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Desktop\"/>
    </mc:Choice>
  </mc:AlternateContent>
  <xr:revisionPtr revIDLastSave="0" documentId="13_ncr:1_{41F395D7-7B64-4658-8C8E-AD27D91B5D89}" xr6:coauthVersionLast="47" xr6:coauthVersionMax="47" xr10:uidLastSave="{00000000-0000-0000-0000-000000000000}"/>
  <bookViews>
    <workbookView xWindow="-110" yWindow="-110" windowWidth="19420" windowHeight="10300" tabRatio="826" firstSheet="1" activeTab="1" xr2:uid="{08020EEF-899D-4A7E-A29D-AD94E9A76AB1}"/>
  </bookViews>
  <sheets>
    <sheet name="ERP Data" sheetId="1" state="hidden" r:id="rId1"/>
    <sheet name="July - 26" sheetId="2" r:id="rId2"/>
    <sheet name="Stores" sheetId="4" r:id="rId3"/>
    <sheet name="Purchase" sheetId="7" r:id="rId4"/>
    <sheet name="Sales" sheetId="6" r:id="rId5"/>
    <sheet name="Job In" sheetId="8" r:id="rId6"/>
    <sheet name="Job Out" sheetId="9" r:id="rId7"/>
  </sheets>
  <definedNames>
    <definedName name="_xlnm._FilterDatabase" localSheetId="0" hidden="1">'ERP Data'!$A$2:$AA$2</definedName>
    <definedName name="_xlnm._FilterDatabase" localSheetId="5" hidden="1">'Job In'!$A$3:$BQ$77</definedName>
    <definedName name="_xlnm._FilterDatabase" localSheetId="6" hidden="1">'Job Out'!$B$3:$W$15</definedName>
    <definedName name="_xlnm._FilterDatabase" localSheetId="1" hidden="1">'July - 26'!$A$5:$Z$35</definedName>
    <definedName name="_xlnm._FilterDatabase" localSheetId="3" hidden="1">Purchase!$B$3:$AJ$864</definedName>
    <definedName name="_xlnm._FilterDatabase" localSheetId="4" hidden="1">Sales!$B$3:$AI$385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31" i="2" l="1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Z6" i="2"/>
  <c r="Y6" i="2"/>
  <c r="W14" i="2" l="1"/>
  <c r="V14" i="2"/>
  <c r="W8" i="2"/>
  <c r="V8" i="2"/>
  <c r="N92" i="4"/>
  <c r="X8" i="2" l="1"/>
  <c r="C33" i="2"/>
  <c r="AP404" i="6" l="1"/>
  <c r="AP403" i="6"/>
  <c r="AP402" i="6"/>
  <c r="AP401" i="6"/>
  <c r="AP400" i="6"/>
  <c r="AP399" i="6"/>
  <c r="AP398" i="6"/>
  <c r="AP397" i="6"/>
  <c r="AP396" i="6"/>
  <c r="AP395" i="6"/>
  <c r="AP394" i="6"/>
  <c r="AP393" i="6"/>
  <c r="AP392" i="6"/>
  <c r="AP391" i="6"/>
  <c r="AP390" i="6"/>
  <c r="AB19" i="2" l="1"/>
  <c r="AB30" i="2"/>
  <c r="AB27" i="2"/>
  <c r="AB24" i="2"/>
  <c r="AB18" i="2"/>
  <c r="AB17" i="2"/>
  <c r="AB13" i="2"/>
  <c r="AB12" i="2"/>
  <c r="AB16" i="2" s="1"/>
  <c r="AB11" i="2"/>
  <c r="AB10" i="2"/>
  <c r="AB7" i="2"/>
  <c r="AB6" i="2"/>
  <c r="AP887" i="7"/>
  <c r="AP886" i="7"/>
  <c r="AP885" i="7"/>
  <c r="AP884" i="7"/>
  <c r="AP883" i="7"/>
  <c r="AP882" i="7"/>
  <c r="AP881" i="7"/>
  <c r="AP880" i="7"/>
  <c r="AP879" i="7"/>
  <c r="AP878" i="7"/>
  <c r="AP877" i="7"/>
  <c r="AP876" i="7"/>
  <c r="AP875" i="7"/>
  <c r="AP874" i="7"/>
  <c r="AP873" i="7"/>
  <c r="AP872" i="7"/>
  <c r="AP871" i="7"/>
  <c r="AP870" i="7"/>
  <c r="AP869" i="7"/>
  <c r="O1" i="6"/>
  <c r="AF2" i="6"/>
  <c r="O2" i="6"/>
  <c r="N2" i="6"/>
  <c r="P2" i="9"/>
  <c r="BP2" i="8"/>
  <c r="N2" i="8"/>
  <c r="AB15" i="2" l="1"/>
  <c r="O2" i="7" l="1"/>
  <c r="AF853" i="7" l="1"/>
  <c r="AF852" i="7"/>
  <c r="AF851" i="7"/>
  <c r="AF850" i="7"/>
  <c r="AF849" i="7"/>
  <c r="AF848" i="7"/>
  <c r="AF847" i="7"/>
  <c r="AF846" i="7"/>
  <c r="AF842" i="7"/>
  <c r="AF840" i="7"/>
  <c r="AF839" i="7"/>
  <c r="AF836" i="7"/>
  <c r="AF835" i="7"/>
  <c r="AF834" i="7"/>
  <c r="AF833" i="7"/>
  <c r="AF832" i="7"/>
  <c r="AF831" i="7"/>
  <c r="AF783" i="7"/>
  <c r="AF774" i="7"/>
  <c r="AF773" i="7"/>
  <c r="AF636" i="7"/>
  <c r="AF607" i="7"/>
  <c r="AF558" i="7"/>
  <c r="AF518" i="7"/>
  <c r="AF517" i="7"/>
  <c r="AF516" i="7"/>
  <c r="AF515" i="7"/>
  <c r="AF514" i="7"/>
  <c r="AF513" i="7"/>
  <c r="AF446" i="7"/>
  <c r="AF445" i="7"/>
  <c r="AF444" i="7"/>
  <c r="AF439" i="7"/>
  <c r="AF411" i="7"/>
  <c r="AF410" i="7"/>
  <c r="AF409" i="7"/>
  <c r="AF408" i="7"/>
  <c r="AF407" i="7"/>
  <c r="AF406" i="7"/>
  <c r="AF382" i="7"/>
  <c r="AF381" i="7"/>
  <c r="AF380" i="7"/>
  <c r="AF379" i="7"/>
  <c r="AF378" i="7"/>
  <c r="AF377" i="7"/>
  <c r="AF376" i="7"/>
  <c r="AF375" i="7"/>
  <c r="AF374" i="7"/>
  <c r="AF373" i="7"/>
  <c r="AF372" i="7"/>
  <c r="AF371" i="7"/>
  <c r="AF370" i="7"/>
  <c r="AF369" i="7"/>
  <c r="AF320" i="7"/>
  <c r="AF319" i="7"/>
  <c r="AF318" i="7"/>
  <c r="AF317" i="7"/>
  <c r="AF316" i="7"/>
  <c r="AF315" i="7"/>
  <c r="AF314" i="7"/>
  <c r="AF271" i="7"/>
  <c r="AF270" i="7"/>
  <c r="AF269" i="7"/>
  <c r="AF268" i="7"/>
  <c r="AF267" i="7"/>
  <c r="AF266" i="7"/>
  <c r="AF265" i="7"/>
  <c r="AF264" i="7"/>
  <c r="AF259" i="7"/>
  <c r="AF258" i="7"/>
  <c r="AF257" i="7"/>
  <c r="AF253" i="7"/>
  <c r="AF252" i="7"/>
  <c r="AF251" i="7"/>
  <c r="AF250" i="7"/>
  <c r="AF222" i="7"/>
  <c r="AF221" i="7"/>
  <c r="AF220" i="7"/>
  <c r="AF215" i="7"/>
  <c r="AF214" i="7"/>
  <c r="AF213" i="7"/>
  <c r="AF212" i="7"/>
  <c r="AF194" i="7"/>
  <c r="AF193" i="7"/>
  <c r="AF192" i="7"/>
  <c r="AF188" i="7"/>
  <c r="AF187" i="7"/>
  <c r="AF186" i="7"/>
  <c r="AF179" i="7"/>
  <c r="AF178" i="7"/>
  <c r="AF170" i="7"/>
  <c r="AF150" i="7"/>
  <c r="AF149" i="7"/>
  <c r="AF129" i="7"/>
  <c r="AF128" i="7"/>
  <c r="AF127" i="7"/>
  <c r="AF126" i="7"/>
  <c r="AF125" i="7"/>
  <c r="AF109" i="7"/>
  <c r="AF108" i="7"/>
  <c r="AF106" i="7"/>
  <c r="AF105" i="7"/>
  <c r="AF104" i="7"/>
  <c r="AF88" i="7"/>
  <c r="AF87" i="7"/>
  <c r="AF86" i="7"/>
  <c r="AF85" i="7"/>
  <c r="AF84" i="7"/>
  <c r="AF72" i="7"/>
  <c r="N824" i="7"/>
  <c r="N823" i="7"/>
  <c r="N822" i="7"/>
  <c r="N821" i="7"/>
  <c r="N820" i="7"/>
  <c r="N819" i="7"/>
  <c r="N782" i="7"/>
  <c r="N781" i="7"/>
  <c r="N719" i="7"/>
  <c r="N628" i="7"/>
  <c r="N627" i="7"/>
  <c r="N581" i="7"/>
  <c r="N484" i="7"/>
  <c r="N468" i="7"/>
  <c r="N356" i="7"/>
  <c r="N355" i="7"/>
  <c r="N354" i="7"/>
  <c r="N353" i="7"/>
  <c r="N352" i="7"/>
  <c r="N351" i="7"/>
  <c r="N350" i="7"/>
  <c r="N243" i="7"/>
  <c r="N242" i="7"/>
  <c r="N241" i="7"/>
  <c r="N2" i="7" l="1"/>
  <c r="AF2" i="7"/>
  <c r="G33" i="2" l="1"/>
  <c r="AK2" i="7"/>
  <c r="N89" i="4" l="1"/>
  <c r="N88" i="4"/>
  <c r="N86" i="4"/>
  <c r="K86" i="4"/>
  <c r="H86" i="4"/>
  <c r="E86" i="4"/>
  <c r="N75" i="4"/>
  <c r="N77" i="4" s="1"/>
  <c r="K75" i="4"/>
  <c r="H75" i="4"/>
  <c r="E75" i="4"/>
  <c r="N66" i="4"/>
  <c r="N68" i="4" s="1"/>
  <c r="K66" i="4"/>
  <c r="H66" i="4"/>
  <c r="E66" i="4"/>
  <c r="N58" i="4"/>
  <c r="K58" i="4"/>
  <c r="H58" i="4"/>
  <c r="E58" i="4"/>
  <c r="N50" i="4"/>
  <c r="K50" i="4"/>
  <c r="H50" i="4"/>
  <c r="E50" i="4"/>
  <c r="N41" i="4"/>
  <c r="K41" i="4"/>
  <c r="H41" i="4"/>
  <c r="E41" i="4"/>
  <c r="N32" i="4"/>
  <c r="K32" i="4"/>
  <c r="H32" i="4"/>
  <c r="E32" i="4"/>
  <c r="N24" i="4"/>
  <c r="K24" i="4"/>
  <c r="H24" i="4"/>
  <c r="E24" i="4"/>
  <c r="N16" i="4"/>
  <c r="K16" i="4"/>
  <c r="H16" i="4"/>
  <c r="E16" i="4"/>
  <c r="N8" i="4"/>
  <c r="K8" i="4"/>
  <c r="H8" i="4"/>
  <c r="E8" i="4"/>
  <c r="N78" i="4" l="1"/>
  <c r="W28" i="2" l="1"/>
  <c r="W27" i="2"/>
  <c r="W26" i="2"/>
  <c r="W25" i="2"/>
  <c r="W24" i="2"/>
  <c r="W23" i="2"/>
  <c r="W22" i="2"/>
  <c r="W21" i="2"/>
  <c r="W20" i="2"/>
  <c r="W16" i="2"/>
  <c r="W13" i="2"/>
  <c r="W12" i="2"/>
  <c r="W11" i="2"/>
  <c r="W10" i="2"/>
  <c r="W9" i="2"/>
  <c r="W7" i="2"/>
  <c r="V30" i="2"/>
  <c r="V28" i="2"/>
  <c r="V27" i="2"/>
  <c r="V26" i="2"/>
  <c r="V25" i="2"/>
  <c r="V24" i="2"/>
  <c r="V23" i="2"/>
  <c r="V22" i="2"/>
  <c r="V21" i="2"/>
  <c r="V20" i="2"/>
  <c r="V16" i="2"/>
  <c r="W31" i="2"/>
  <c r="W30" i="2"/>
  <c r="W29" i="2"/>
  <c r="W19" i="2"/>
  <c r="W18" i="2"/>
  <c r="W17" i="2"/>
  <c r="W15" i="2"/>
  <c r="W6" i="2"/>
  <c r="V31" i="2"/>
  <c r="V29" i="2"/>
  <c r="V19" i="2"/>
  <c r="V18" i="2"/>
  <c r="V17" i="2"/>
  <c r="V15" i="2"/>
  <c r="V13" i="2"/>
  <c r="V12" i="2"/>
  <c r="V11" i="2"/>
  <c r="V10" i="2"/>
  <c r="V9" i="2"/>
  <c r="V7" i="2"/>
  <c r="X20" i="2"/>
  <c r="E33" i="2"/>
  <c r="X21" i="2" l="1"/>
  <c r="X10" i="2"/>
  <c r="X7" i="2"/>
  <c r="V6" i="2"/>
  <c r="X6" i="2" s="1"/>
  <c r="AC6" i="2" s="1"/>
  <c r="AA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F33" i="2"/>
  <c r="M35" i="2"/>
  <c r="D33" i="2"/>
  <c r="AD31" i="2"/>
  <c r="X31" i="2"/>
  <c r="AC31" i="2" s="1"/>
  <c r="AD30" i="2"/>
  <c r="X30" i="2"/>
  <c r="AC30" i="2" s="1"/>
  <c r="AD29" i="2"/>
  <c r="X29" i="2"/>
  <c r="AC29" i="2" s="1"/>
  <c r="AD28" i="2"/>
  <c r="X28" i="2"/>
  <c r="AC28" i="2" s="1"/>
  <c r="AD27" i="2"/>
  <c r="X27" i="2"/>
  <c r="AC27" i="2" s="1"/>
  <c r="AD26" i="2"/>
  <c r="X26" i="2"/>
  <c r="AC26" i="2" s="1"/>
  <c r="AD25" i="2"/>
  <c r="X25" i="2"/>
  <c r="AC25" i="2" s="1"/>
  <c r="AD24" i="2"/>
  <c r="X24" i="2"/>
  <c r="AC24" i="2" s="1"/>
  <c r="AB23" i="2"/>
  <c r="X23" i="2"/>
  <c r="AB22" i="2"/>
  <c r="AB20" i="2" s="1"/>
  <c r="X22" i="2"/>
  <c r="AB21" i="2"/>
  <c r="AD21" i="2" s="1"/>
  <c r="AD19" i="2"/>
  <c r="X19" i="2"/>
  <c r="AC19" i="2" s="1"/>
  <c r="AD18" i="2"/>
  <c r="X18" i="2"/>
  <c r="AC18" i="2" s="1"/>
  <c r="AD17" i="2"/>
  <c r="X17" i="2"/>
  <c r="AC17" i="2" s="1"/>
  <c r="AD16" i="2"/>
  <c r="X16" i="2"/>
  <c r="X15" i="2"/>
  <c r="AC15" i="2" s="1"/>
  <c r="AD14" i="2"/>
  <c r="X14" i="2"/>
  <c r="AC14" i="2" s="1"/>
  <c r="AD13" i="2"/>
  <c r="X13" i="2"/>
  <c r="AC13" i="2" s="1"/>
  <c r="AD12" i="2"/>
  <c r="X12" i="2"/>
  <c r="AC12" i="2" s="1"/>
  <c r="AD11" i="2"/>
  <c r="X11" i="2"/>
  <c r="AC11" i="2" s="1"/>
  <c r="AD10" i="2"/>
  <c r="AC10" i="2"/>
  <c r="AD9" i="2"/>
  <c r="X9" i="2"/>
  <c r="AC9" i="2" s="1"/>
  <c r="AD8" i="2"/>
  <c r="AC8" i="2"/>
  <c r="AD7" i="2"/>
  <c r="AC7" i="2"/>
  <c r="AD6" i="2"/>
  <c r="AD15" i="2" l="1"/>
  <c r="AC21" i="2"/>
  <c r="AC23" i="2"/>
  <c r="O35" i="2"/>
  <c r="O37" i="2" s="1"/>
  <c r="AC20" i="2"/>
  <c r="AB33" i="2"/>
  <c r="AD23" i="2"/>
  <c r="AD20" i="2"/>
  <c r="X33" i="2"/>
  <c r="AC16" i="2"/>
  <c r="N35" i="2"/>
  <c r="N37" i="2" s="1"/>
  <c r="Y33" i="2"/>
  <c r="AC22" i="2"/>
  <c r="AD22" i="2"/>
  <c r="W38" i="2"/>
  <c r="M37" i="2"/>
  <c r="X38" i="2"/>
  <c r="W40" i="2"/>
  <c r="X40" i="2"/>
  <c r="AE19" i="2"/>
  <c r="AE33" i="2" s="1"/>
  <c r="Z33" i="2"/>
  <c r="AD33" i="2" l="1"/>
  <c r="AC33" i="2"/>
  <c r="Q35" i="2"/>
  <c r="P37" i="2" s="1"/>
  <c r="Y38" i="2"/>
  <c r="W39" i="2"/>
  <c r="W41" i="2" s="1"/>
  <c r="X39" i="2"/>
  <c r="Y40" i="2"/>
  <c r="AD37" i="2" l="1"/>
  <c r="Y39" i="2"/>
  <c r="X41" i="2"/>
  <c r="Y41" i="2" s="1"/>
  <c r="Z42" i="2" s="1"/>
</calcChain>
</file>

<file path=xl/sharedStrings.xml><?xml version="1.0" encoding="utf-8"?>
<sst xmlns="http://schemas.openxmlformats.org/spreadsheetml/2006/main" count="22328" uniqueCount="2330">
  <si>
    <t>CompanyName</t>
  </si>
  <si>
    <t>MainGroup</t>
  </si>
  <si>
    <t>SubGroupName</t>
  </si>
  <si>
    <t>Op.Factory Owned</t>
  </si>
  <si>
    <t>Op.Factory JW (Others)</t>
  </si>
  <si>
    <t>Op.At JW (Own)</t>
  </si>
  <si>
    <t>Branch Tfr Recd</t>
  </si>
  <si>
    <t>Purchase</t>
  </si>
  <si>
    <t>Warehouse Inwards</t>
  </si>
  <si>
    <t>Recd from JW (Own)</t>
  </si>
  <si>
    <t>Recd For JW (Others)</t>
  </si>
  <si>
    <t>Sales</t>
  </si>
  <si>
    <t>Br Transfer Sent</t>
  </si>
  <si>
    <t>Sent for JW (Own)</t>
  </si>
  <si>
    <t>Return JW(Others)</t>
  </si>
  <si>
    <t>Total Production Own+JW</t>
  </si>
  <si>
    <t>Total Consumption Own+JW</t>
  </si>
  <si>
    <t>Production at JW</t>
  </si>
  <si>
    <t>Consumption At JW</t>
  </si>
  <si>
    <t>Production Of JW</t>
  </si>
  <si>
    <t>Consumption Of JW</t>
  </si>
  <si>
    <t>Stock Adjustment Entry</t>
  </si>
  <si>
    <t>Net Production Own</t>
  </si>
  <si>
    <t>Net Consumption Own</t>
  </si>
  <si>
    <t>Cl.Factory Owned</t>
  </si>
  <si>
    <t>Cl.Factory JW (Others)</t>
  </si>
  <si>
    <t>Cl.At JW (Own)</t>
  </si>
  <si>
    <t>K.P. WOVEN PRIVATE LIMITED</t>
  </si>
  <si>
    <t>RM</t>
  </si>
  <si>
    <t>FIBC Accessories</t>
  </si>
  <si>
    <t>Filler</t>
  </si>
  <si>
    <t>LDPE Granules</t>
  </si>
  <si>
    <t>LLDPE Granules</t>
  </si>
  <si>
    <t>Masterbatch</t>
  </si>
  <si>
    <t>PP Granules</t>
  </si>
  <si>
    <t>UV MB</t>
  </si>
  <si>
    <t>SF</t>
  </si>
  <si>
    <t>HD Lam Fabric</t>
  </si>
  <si>
    <t>HD UL Fabric</t>
  </si>
  <si>
    <t>LDPE/LLDPE Bags</t>
  </si>
  <si>
    <t>PE Film</t>
  </si>
  <si>
    <t>Polyester Yarn</t>
  </si>
  <si>
    <t>PP Lam Fabric</t>
  </si>
  <si>
    <t>PP Tapes</t>
  </si>
  <si>
    <t>PP UL Fabric</t>
  </si>
  <si>
    <t>PP Webbing</t>
  </si>
  <si>
    <t>PP Yarn</t>
  </si>
  <si>
    <t>RP Granules</t>
  </si>
  <si>
    <t>Wastage/Scrap</t>
  </si>
  <si>
    <t>FG</t>
  </si>
  <si>
    <t>FIBC Bags</t>
  </si>
  <si>
    <t>FIBC WIP</t>
  </si>
  <si>
    <t>HDPE Bags</t>
  </si>
  <si>
    <t>PP Bags</t>
  </si>
  <si>
    <t>Small Bags WIP</t>
  </si>
  <si>
    <t>Trading Items</t>
  </si>
  <si>
    <t xml:space="preserve">Total </t>
  </si>
  <si>
    <t>RM Consumables</t>
  </si>
  <si>
    <t>Ink</t>
  </si>
  <si>
    <t>Thinner</t>
  </si>
  <si>
    <t>RATE CONSIDER</t>
  </si>
  <si>
    <t>RATE</t>
  </si>
  <si>
    <t>CLOSING AMOUNT FACTORY</t>
  </si>
  <si>
    <t>CLOSING AMOUNT JOB OWN</t>
  </si>
  <si>
    <t>VALUE</t>
  </si>
  <si>
    <t>PURCHASE</t>
  </si>
  <si>
    <t>HDPE Granules</t>
  </si>
  <si>
    <t>Films All</t>
  </si>
  <si>
    <t>PP+20</t>
  </si>
  <si>
    <t>ULF+5</t>
  </si>
  <si>
    <t>pp+10</t>
  </si>
  <si>
    <t>pp+20</t>
  </si>
  <si>
    <t>sale - 5%</t>
  </si>
  <si>
    <t>purchase</t>
  </si>
  <si>
    <t>Op.</t>
  </si>
  <si>
    <t>IN</t>
  </si>
  <si>
    <t>OUT</t>
  </si>
  <si>
    <t>CL</t>
  </si>
  <si>
    <t>PERTICULER</t>
  </si>
  <si>
    <t>OWN STOCK VALUE</t>
  </si>
  <si>
    <t>JOB STOCK VALUE</t>
  </si>
  <si>
    <t>TOTAL</t>
  </si>
  <si>
    <t>RM STOCK</t>
  </si>
  <si>
    <t>SF STOCK</t>
  </si>
  <si>
    <t>FG STOCK</t>
  </si>
  <si>
    <t>deptt</t>
  </si>
  <si>
    <t>Openingstock</t>
  </si>
  <si>
    <t>OpRate</t>
  </si>
  <si>
    <t>OpValue</t>
  </si>
  <si>
    <t>InwardsQty</t>
  </si>
  <si>
    <t>InwdRate</t>
  </si>
  <si>
    <t>InwdValue</t>
  </si>
  <si>
    <t>OutWardsQty</t>
  </si>
  <si>
    <t>OutRate</t>
  </si>
  <si>
    <t>Outvalue</t>
  </si>
  <si>
    <t>closingStk</t>
  </si>
  <si>
    <t>LatestRate</t>
  </si>
  <si>
    <t>ClosingAmount</t>
  </si>
  <si>
    <t>companyname</t>
  </si>
  <si>
    <t>AvgClosingRate</t>
  </si>
  <si>
    <t>Capex</t>
  </si>
  <si>
    <t>Packing Material</t>
  </si>
  <si>
    <t>Consumables</t>
  </si>
  <si>
    <t>Printing &amp; Stationery</t>
  </si>
  <si>
    <t>Other Scrap</t>
  </si>
  <si>
    <t>Stores/Spares</t>
  </si>
  <si>
    <t>01.10.2025 To 31.11.2025</t>
  </si>
  <si>
    <t>01.11.2025 TO 30.11.2025</t>
  </si>
  <si>
    <t>01.12.2025. to 31.12.2025</t>
  </si>
  <si>
    <t>01.01.2026 to 31.01.2026</t>
  </si>
  <si>
    <t>01.02.2026 TO 28.02.2026</t>
  </si>
  <si>
    <t>01.03.2026 to 31.03.2026</t>
  </si>
  <si>
    <t>01.04.2026 to 30.04.2026</t>
  </si>
  <si>
    <t>01.05.2026 to 31.05.2026</t>
  </si>
  <si>
    <t>Cr.</t>
  </si>
  <si>
    <t>01.06.2026 to 30.06.2026</t>
  </si>
  <si>
    <t>category</t>
  </si>
  <si>
    <t>Unit</t>
  </si>
  <si>
    <t>Purchase Withinstate- Stores, Spares &amp; Consumable</t>
  </si>
  <si>
    <t>Purchase Withinstate- Packing Material</t>
  </si>
  <si>
    <t>Purchase Interstate - Raw Material</t>
  </si>
  <si>
    <t>Purchase Interstate- Stores, Spares &amp; Consumable</t>
  </si>
  <si>
    <t>Purchase Raw Material - High Seas</t>
  </si>
  <si>
    <t>Purchase Withinstate - Raw Material</t>
  </si>
  <si>
    <t>GNCN 200</t>
  </si>
  <si>
    <t>EG/2627/20</t>
  </si>
  <si>
    <t>General Purchase</t>
  </si>
  <si>
    <t>Eminent Globexim</t>
  </si>
  <si>
    <t>24AAIFE9434G1ZE</t>
  </si>
  <si>
    <t>GNCN 201</t>
  </si>
  <si>
    <t>Shree Ganesh Stereo</t>
  </si>
  <si>
    <t>24AHDPC2510M1ZU</t>
  </si>
  <si>
    <t>GNPK 119</t>
  </si>
  <si>
    <t>PIL2/D/324</t>
  </si>
  <si>
    <t>Plastene India ltd - Unit 2-Purchase</t>
  </si>
  <si>
    <t>24AAACO3087C1ZT</t>
  </si>
  <si>
    <t>GNPK 120</t>
  </si>
  <si>
    <t>PIL1/D/868</t>
  </si>
  <si>
    <t>Plastene India ltd - Unit 1-Purchase</t>
  </si>
  <si>
    <t>GNPK 121</t>
  </si>
  <si>
    <t xml:space="preserve"> 407/2026-27</t>
  </si>
  <si>
    <t>Labbdhi Paper Tubes Pvt Ltd</t>
  </si>
  <si>
    <t>24AACCL4303N1ZM</t>
  </si>
  <si>
    <t>GNPK 122</t>
  </si>
  <si>
    <t>SS/SL/26-27/189</t>
  </si>
  <si>
    <t>Shree Salareshwar Wood Packers Private Limited.</t>
  </si>
  <si>
    <t>24ABLCS6579H1ZR</t>
  </si>
  <si>
    <t>GNPK 123</t>
  </si>
  <si>
    <t>SPL0842/26-27</t>
  </si>
  <si>
    <t>Pack Seals Industries</t>
  </si>
  <si>
    <t>27AJHPM9842J1ZM</t>
  </si>
  <si>
    <t>GNPK 124</t>
  </si>
  <si>
    <t>SSM01911</t>
  </si>
  <si>
    <t>Satyam Stationery Mart</t>
  </si>
  <si>
    <t>24AGUPL9792N1Z6</t>
  </si>
  <si>
    <t>GNSP 341</t>
  </si>
  <si>
    <t>TG0926110178</t>
  </si>
  <si>
    <t>Lohia Corp Limited - 09AAKCK2932Q1ZU - UP</t>
  </si>
  <si>
    <t>09AAKCK2932Q1ZU</t>
  </si>
  <si>
    <t>GNSP 342</t>
  </si>
  <si>
    <t>G/0219</t>
  </si>
  <si>
    <t>Shree Meter &amp; Heater</t>
  </si>
  <si>
    <t>24BEGPR0567G1ZH</t>
  </si>
  <si>
    <t>GNSP 343</t>
  </si>
  <si>
    <t>GINZA/26-27/0932</t>
  </si>
  <si>
    <t>Ginza Machinery Mfg.Co.</t>
  </si>
  <si>
    <t>24AAAFG5650J1ZJ</t>
  </si>
  <si>
    <t>GNSP 344</t>
  </si>
  <si>
    <t>WI2627/0148</t>
  </si>
  <si>
    <t>West India Forklift Services</t>
  </si>
  <si>
    <t>24AOQPC4561C2Z7</t>
  </si>
  <si>
    <t>RM 237</t>
  </si>
  <si>
    <t>PIL1/D/867</t>
  </si>
  <si>
    <t>R.M.P.</t>
  </si>
  <si>
    <t>RM 238</t>
  </si>
  <si>
    <t>PIL1/DE/18</t>
  </si>
  <si>
    <t>RM 239</t>
  </si>
  <si>
    <t>HPBL/D/328</t>
  </si>
  <si>
    <t>HCP Plastene Bulkpack Limited - Purchase</t>
  </si>
  <si>
    <t>24AABCG1282C2Z6</t>
  </si>
  <si>
    <t>RM 240</t>
  </si>
  <si>
    <t>PIL2/D/323</t>
  </si>
  <si>
    <t>RM 241</t>
  </si>
  <si>
    <t>HPBL/D/336</t>
  </si>
  <si>
    <t>RM 242</t>
  </si>
  <si>
    <t>TI/394</t>
  </si>
  <si>
    <t>Olive Industries</t>
  </si>
  <si>
    <t>24AAEFO9994M1ZE</t>
  </si>
  <si>
    <t>GNCN 202</t>
  </si>
  <si>
    <t>GNPK 125</t>
  </si>
  <si>
    <t>PIL1/D/880</t>
  </si>
  <si>
    <t>GNSP 345</t>
  </si>
  <si>
    <t>GST/50.</t>
  </si>
  <si>
    <t>Arham Cams Pvt Ltd</t>
  </si>
  <si>
    <t>24AAICA0799H1ZK</t>
  </si>
  <si>
    <t>GNSP 346</t>
  </si>
  <si>
    <t>VTV/26-27/1591</t>
  </si>
  <si>
    <t>Shri Nakoda Transmission &amp; Electric Co.</t>
  </si>
  <si>
    <t>24AFGFS2586E1ZX</t>
  </si>
  <si>
    <t>RM 243</t>
  </si>
  <si>
    <t>PIL1/D/879</t>
  </si>
  <si>
    <t>RM 244</t>
  </si>
  <si>
    <t>PIL1/D/881</t>
  </si>
  <si>
    <t>RM 245</t>
  </si>
  <si>
    <t>DG-261002398</t>
  </si>
  <si>
    <t>J J Plastalloy Pvt Ltd</t>
  </si>
  <si>
    <t>24AAACJ5701E1Z5</t>
  </si>
  <si>
    <t>RM 246</t>
  </si>
  <si>
    <t>Dynamic Wooltex</t>
  </si>
  <si>
    <t>08ABFPB2251A1ZI</t>
  </si>
  <si>
    <t>GNPK 126</t>
  </si>
  <si>
    <t>PIL1/D/891</t>
  </si>
  <si>
    <t>GNSP 347</t>
  </si>
  <si>
    <t>G/0003</t>
  </si>
  <si>
    <t>Rudra Enterprise - 24BEVPP2275L1ZS</t>
  </si>
  <si>
    <t>24BEVPP2275L1ZS</t>
  </si>
  <si>
    <t>GNSP 348</t>
  </si>
  <si>
    <t>0524/26-27</t>
  </si>
  <si>
    <t>Axle Steel &amp; Fasteners</t>
  </si>
  <si>
    <t>24AAYFA5084G1Z4</t>
  </si>
  <si>
    <t>GNSP 349</t>
  </si>
  <si>
    <t>UT/2700621</t>
  </si>
  <si>
    <t>United Transmission</t>
  </si>
  <si>
    <t>24AACFU1059P1ZW</t>
  </si>
  <si>
    <t>RM 247</t>
  </si>
  <si>
    <t>HPBL/D/342</t>
  </si>
  <si>
    <t>RMIMP 17</t>
  </si>
  <si>
    <t>IMP-RM</t>
  </si>
  <si>
    <t>Ivict(Singapore) Pte. Ltd.</t>
  </si>
  <si>
    <t>N.A.</t>
  </si>
  <si>
    <t>RMIMP 18</t>
  </si>
  <si>
    <t>RMIMP 19</t>
  </si>
  <si>
    <t>RMIMP 20</t>
  </si>
  <si>
    <t>GNCN 203</t>
  </si>
  <si>
    <t>Brahmani Printers</t>
  </si>
  <si>
    <t>24CSJPP6974M1ZU</t>
  </si>
  <si>
    <t>GNCN 204</t>
  </si>
  <si>
    <t>Brahmani Labels</t>
  </si>
  <si>
    <t>24CIAPP4681A1ZK</t>
  </si>
  <si>
    <t>GNSP 350</t>
  </si>
  <si>
    <t>S/01673</t>
  </si>
  <si>
    <t>Hi Flex Hydraulics Pvt Ltd</t>
  </si>
  <si>
    <t>24AABCH4875J1ZE</t>
  </si>
  <si>
    <t>RM 248</t>
  </si>
  <si>
    <t>HPBLV/D/29</t>
  </si>
  <si>
    <t>Hcp Plastene Bulkpack Ltd Vadodara-Sales</t>
  </si>
  <si>
    <t>RM 249</t>
  </si>
  <si>
    <t>HPBL/D/345</t>
  </si>
  <si>
    <t>RMIMP 21</t>
  </si>
  <si>
    <t>RMIMP 22</t>
  </si>
  <si>
    <t>RMIMP 23</t>
  </si>
  <si>
    <t>GNPK 127</t>
  </si>
  <si>
    <t>PIL1/D/913</t>
  </si>
  <si>
    <t>GNSP 351</t>
  </si>
  <si>
    <t>GST/136</t>
  </si>
  <si>
    <t>GNSP 352</t>
  </si>
  <si>
    <t>GST/137</t>
  </si>
  <si>
    <t>GNSP 353</t>
  </si>
  <si>
    <t>GIGST3592627</t>
  </si>
  <si>
    <t>Global Industries</t>
  </si>
  <si>
    <t>24AADFG7242B1ZX</t>
  </si>
  <si>
    <t>RM 250</t>
  </si>
  <si>
    <t>PIL2/D/335</t>
  </si>
  <si>
    <t>RM 251</t>
  </si>
  <si>
    <t>PIL1/D/917</t>
  </si>
  <si>
    <t>RM 253</t>
  </si>
  <si>
    <t>TI/420</t>
  </si>
  <si>
    <t>RM 254</t>
  </si>
  <si>
    <t>HPBL/D/346</t>
  </si>
  <si>
    <t>GNCN 205</t>
  </si>
  <si>
    <t>SSM02052</t>
  </si>
  <si>
    <t>GNPK 128</t>
  </si>
  <si>
    <t>PIL2/D/340</t>
  </si>
  <si>
    <t>GNPK 129</t>
  </si>
  <si>
    <t>PIL1/D/929</t>
  </si>
  <si>
    <t>GNSP 354</t>
  </si>
  <si>
    <t>Vivek Industrial Service</t>
  </si>
  <si>
    <t>24AKZPB7901L1ZR</t>
  </si>
  <si>
    <t>GNSP 355</t>
  </si>
  <si>
    <t>G-0155</t>
  </si>
  <si>
    <t>Green Traders</t>
  </si>
  <si>
    <t>24ACFPS7268D1ZG</t>
  </si>
  <si>
    <t>GNSP 356</t>
  </si>
  <si>
    <t>G24088</t>
  </si>
  <si>
    <t>Bright Rubber</t>
  </si>
  <si>
    <t>24AACFB1249A1ZA</t>
  </si>
  <si>
    <t>RM 255</t>
  </si>
  <si>
    <t>PIL2/D/339</t>
  </si>
  <si>
    <t>RM 256</t>
  </si>
  <si>
    <t>PIL1/D/931</t>
  </si>
  <si>
    <t>RM 257</t>
  </si>
  <si>
    <t>AMD/26-27/01773</t>
  </si>
  <si>
    <t>Alok Master Batches Private Limited- Dadra</t>
  </si>
  <si>
    <t>26AAACA6143K1ZR</t>
  </si>
  <si>
    <t>RM 258</t>
  </si>
  <si>
    <t>KPPL/26-27/706</t>
  </si>
  <si>
    <t>Karnavati Polyblends Pvt Ltd</t>
  </si>
  <si>
    <t>24AAACK9111D1Z2</t>
  </si>
  <si>
    <t>RMIMP 24</t>
  </si>
  <si>
    <t>GNCN 206</t>
  </si>
  <si>
    <t>292/2026-27</t>
  </si>
  <si>
    <t>Mahavir Impex 24AEQPS2981A1ZD</t>
  </si>
  <si>
    <t>24AEQPS2981A1ZD</t>
  </si>
  <si>
    <t>GNCN 207</t>
  </si>
  <si>
    <t>34/26-27</t>
  </si>
  <si>
    <t>Shyam Apparels</t>
  </si>
  <si>
    <t>24AFEPK6929B1ZP</t>
  </si>
  <si>
    <t>GNCN 208</t>
  </si>
  <si>
    <t>Panchvati Tools Co.</t>
  </si>
  <si>
    <t>24ABVPP9097Q1Z7</t>
  </si>
  <si>
    <t>GNCN 209</t>
  </si>
  <si>
    <t>GNCN 210</t>
  </si>
  <si>
    <t>GNCN 211</t>
  </si>
  <si>
    <t>GNCN 212</t>
  </si>
  <si>
    <t>MTI/26-27/0410</t>
  </si>
  <si>
    <t>Meshtech India- Creditor</t>
  </si>
  <si>
    <t>06BRKPM7202C1Z3</t>
  </si>
  <si>
    <t>GNPK 130</t>
  </si>
  <si>
    <t>PIL1/D/941</t>
  </si>
  <si>
    <t>GNSP 357</t>
  </si>
  <si>
    <t>GST/354</t>
  </si>
  <si>
    <t>Kabra Electricals</t>
  </si>
  <si>
    <t>24ANLPK2335A1ZJ</t>
  </si>
  <si>
    <t>GNSP 358</t>
  </si>
  <si>
    <t>VTV/26-27/1689</t>
  </si>
  <si>
    <t>GNSP 359</t>
  </si>
  <si>
    <t>GNSP 360</t>
  </si>
  <si>
    <t>1220/26-27</t>
  </si>
  <si>
    <t>Kan Power Rubber Industries</t>
  </si>
  <si>
    <t>24AEHPN1023R1ZD</t>
  </si>
  <si>
    <t>GNSP 361</t>
  </si>
  <si>
    <t>GTI/262700101</t>
  </si>
  <si>
    <t>Sonal Industries - Amraiwadi</t>
  </si>
  <si>
    <t>24ABHPP4109R1Z8</t>
  </si>
  <si>
    <t>GNSP 362</t>
  </si>
  <si>
    <t>GST/125</t>
  </si>
  <si>
    <t>GNSP 363</t>
  </si>
  <si>
    <t>GST/00042</t>
  </si>
  <si>
    <t>Divya Industries</t>
  </si>
  <si>
    <t>08BEQPS9132G1ZX</t>
  </si>
  <si>
    <t>GNSP 364</t>
  </si>
  <si>
    <t>MSS25/429</t>
  </si>
  <si>
    <t>Mahalaxmi Sulz Spare</t>
  </si>
  <si>
    <t>08BABPB3225J1Z4</t>
  </si>
  <si>
    <t>GNSP 365</t>
  </si>
  <si>
    <t>Uni-Tex</t>
  </si>
  <si>
    <t>08AHGPB9007M1Z8</t>
  </si>
  <si>
    <t>GNSP 366</t>
  </si>
  <si>
    <t>GST/128</t>
  </si>
  <si>
    <t>GNSP 367</t>
  </si>
  <si>
    <t>GST/126</t>
  </si>
  <si>
    <t>GNSP 368</t>
  </si>
  <si>
    <t>GST/127</t>
  </si>
  <si>
    <t>GNSP 369</t>
  </si>
  <si>
    <t>GI/1139</t>
  </si>
  <si>
    <t>Pavan Electricals And Hardware</t>
  </si>
  <si>
    <t>24BTTPR5056A1ZJ</t>
  </si>
  <si>
    <t>RM 259</t>
  </si>
  <si>
    <t>PIL1/D/944</t>
  </si>
  <si>
    <t>RM 260</t>
  </si>
  <si>
    <t>HPBL/D/353</t>
  </si>
  <si>
    <t>RM 261</t>
  </si>
  <si>
    <t>HPBL/D/356</t>
  </si>
  <si>
    <t>GNCN 213</t>
  </si>
  <si>
    <t>GNPK 131</t>
  </si>
  <si>
    <t>PIL1/D/959</t>
  </si>
  <si>
    <t>GNSP 370</t>
  </si>
  <si>
    <t>TE/937/26-27</t>
  </si>
  <si>
    <t>Tanmay Engitech</t>
  </si>
  <si>
    <t>24ARIPK4378C1ZV</t>
  </si>
  <si>
    <t>GNSP 371</t>
  </si>
  <si>
    <t>GST/141</t>
  </si>
  <si>
    <t>GNSP 372</t>
  </si>
  <si>
    <t>G/314/26-27</t>
  </si>
  <si>
    <t>Nishith Enterprise</t>
  </si>
  <si>
    <t>24APKPS0815A1ZB</t>
  </si>
  <si>
    <t>RM 262</t>
  </si>
  <si>
    <t>PIL1/D/958</t>
  </si>
  <si>
    <t>RM 263</t>
  </si>
  <si>
    <t>PIL1/DE/19</t>
  </si>
  <si>
    <t>RM 264</t>
  </si>
  <si>
    <t>PIL1/D/961</t>
  </si>
  <si>
    <t>RM 265</t>
  </si>
  <si>
    <t>HPBLV/D/30</t>
  </si>
  <si>
    <t>RM 266</t>
  </si>
  <si>
    <t>HPBLV/D/32</t>
  </si>
  <si>
    <t>RM 267</t>
  </si>
  <si>
    <t>HPBL/D/357</t>
  </si>
  <si>
    <t>RM 268</t>
  </si>
  <si>
    <t>FPPL/125/26-27</t>
  </si>
  <si>
    <t>Fortune Polytech Private Limited</t>
  </si>
  <si>
    <t>24AABCF6398J1ZA</t>
  </si>
  <si>
    <t>RMIMP 25</t>
  </si>
  <si>
    <t>GNCN 214</t>
  </si>
  <si>
    <t>Tashkent Oil Company Pvt Ltd</t>
  </si>
  <si>
    <t>24AAACT7751N1ZY</t>
  </si>
  <si>
    <t>GNCN 215</t>
  </si>
  <si>
    <t>SSM02149</t>
  </si>
  <si>
    <t>GNCN 216</t>
  </si>
  <si>
    <t>GI/1174</t>
  </si>
  <si>
    <t>GNPK 132</t>
  </si>
  <si>
    <t>331/2026-27</t>
  </si>
  <si>
    <t>GNPK 133</t>
  </si>
  <si>
    <t>SS/SL/26-27/196</t>
  </si>
  <si>
    <t>GNPK 134</t>
  </si>
  <si>
    <t>SS/SL/26-27/199</t>
  </si>
  <si>
    <t>GNPK 135</t>
  </si>
  <si>
    <t>SSM02131</t>
  </si>
  <si>
    <t>RM 269</t>
  </si>
  <si>
    <t>HPBL/D/359</t>
  </si>
  <si>
    <t>RM 270</t>
  </si>
  <si>
    <t>M/1062/2026-27</t>
  </si>
  <si>
    <t>Ishan Plastic LLP</t>
  </si>
  <si>
    <t>24AAHFI1010M1ZQ</t>
  </si>
  <si>
    <t>GNCN 217</t>
  </si>
  <si>
    <t>PIL2/D/351</t>
  </si>
  <si>
    <t>GNCN 218</t>
  </si>
  <si>
    <t>35/26-27</t>
  </si>
  <si>
    <t>GNPK 136</t>
  </si>
  <si>
    <t>PIL1/D/987</t>
  </si>
  <si>
    <t>GNPK 137</t>
  </si>
  <si>
    <t>PIL2/D/352</t>
  </si>
  <si>
    <t>GNPK 138</t>
  </si>
  <si>
    <t>SS/SL/26-27/200</t>
  </si>
  <si>
    <t>GNSP 373</t>
  </si>
  <si>
    <t>GST/368</t>
  </si>
  <si>
    <t>GNSP 374</t>
  </si>
  <si>
    <t>Max Spare Limited</t>
  </si>
  <si>
    <t>27AADCS6349E1Z9</t>
  </si>
  <si>
    <t>GNSP 375</t>
  </si>
  <si>
    <t>TG0926111669</t>
  </si>
  <si>
    <t>GNSP 376</t>
  </si>
  <si>
    <t>G-0433</t>
  </si>
  <si>
    <t>GNSP 377</t>
  </si>
  <si>
    <t>GST/26-27/3127</t>
  </si>
  <si>
    <t>Armstrong</t>
  </si>
  <si>
    <t>24ABAFA4683N1Z8</t>
  </si>
  <si>
    <t>RM 271</t>
  </si>
  <si>
    <t>PIL1/D/989</t>
  </si>
  <si>
    <t>RM 272</t>
  </si>
  <si>
    <t>HPBL/D/367</t>
  </si>
  <si>
    <t>RM 273</t>
  </si>
  <si>
    <t>HPBL/D/365</t>
  </si>
  <si>
    <t>RM 274</t>
  </si>
  <si>
    <t>924/26-27</t>
  </si>
  <si>
    <t>Vyankatesh Udyog (I) Pvt Ltd - Purchase</t>
  </si>
  <si>
    <t>27AAECV8365Q1ZC</t>
  </si>
  <si>
    <t>RM 275</t>
  </si>
  <si>
    <t>AMD/26-27/01887</t>
  </si>
  <si>
    <t>GNCN 219</t>
  </si>
  <si>
    <t>Sayona Engineers</t>
  </si>
  <si>
    <t>24AGKPC9603P1Z3</t>
  </si>
  <si>
    <t>GNCN 220</t>
  </si>
  <si>
    <t>GNCN 221</t>
  </si>
  <si>
    <t>GNPK 140</t>
  </si>
  <si>
    <t>PIL2/D/358</t>
  </si>
  <si>
    <t>GNSP 378</t>
  </si>
  <si>
    <t>GNSP 379</t>
  </si>
  <si>
    <t>0557/26-27</t>
  </si>
  <si>
    <t>GNSP 380</t>
  </si>
  <si>
    <t>GST/26-27/3191</t>
  </si>
  <si>
    <t>RM 276</t>
  </si>
  <si>
    <t>PIL1/ME/14</t>
  </si>
  <si>
    <t>RM 277</t>
  </si>
  <si>
    <t>PIL2/D/357</t>
  </si>
  <si>
    <t>RM 278</t>
  </si>
  <si>
    <t>PIL2/D/362</t>
  </si>
  <si>
    <t>GNCN 222</t>
  </si>
  <si>
    <t>GNCN 223</t>
  </si>
  <si>
    <t>SSM02197</t>
  </si>
  <si>
    <t>GNPK 141</t>
  </si>
  <si>
    <t>SSE/2026-27/0826</t>
  </si>
  <si>
    <t>Shiv Shakti Enterprise</t>
  </si>
  <si>
    <t>24AIEPG9602Q1ZZ</t>
  </si>
  <si>
    <t>GNPK 142</t>
  </si>
  <si>
    <t>PIL1/D/1018</t>
  </si>
  <si>
    <t>GNSP 381</t>
  </si>
  <si>
    <t>RI-0417/2026-27</t>
  </si>
  <si>
    <t>Svan Texcon Pvt Ltd</t>
  </si>
  <si>
    <t>24AABCS6490E1ZF</t>
  </si>
  <si>
    <t>GNSP 382</t>
  </si>
  <si>
    <t>TG2426104106</t>
  </si>
  <si>
    <t>Lohia Corp Limited - 24AAKCK2932Q1Z2 - Guj</t>
  </si>
  <si>
    <t>24AAKCK2932Q1Z2</t>
  </si>
  <si>
    <t>GNSP 383</t>
  </si>
  <si>
    <t>TG2426104105</t>
  </si>
  <si>
    <t>GNSP 384</t>
  </si>
  <si>
    <t>TG2426103274</t>
  </si>
  <si>
    <t>RM 279</t>
  </si>
  <si>
    <t>HPBL/D/369</t>
  </si>
  <si>
    <t>RM 280</t>
  </si>
  <si>
    <t>PIL1/DE/20</t>
  </si>
  <si>
    <t>RM 281</t>
  </si>
  <si>
    <t>PIL1/D/1019</t>
  </si>
  <si>
    <t>GNCN 225</t>
  </si>
  <si>
    <t>WC0682/26-27</t>
  </si>
  <si>
    <t>Welar Corporation</t>
  </si>
  <si>
    <t>24AAQFV2769P1Z6</t>
  </si>
  <si>
    <t>GNCN 226</t>
  </si>
  <si>
    <t>Jupiter Scientific</t>
  </si>
  <si>
    <t>24AIUPP5606K1ZQ</t>
  </si>
  <si>
    <t>GNCN 227</t>
  </si>
  <si>
    <t>2025/26-1689</t>
  </si>
  <si>
    <t>Naran Scissors Works &amp; Traders</t>
  </si>
  <si>
    <t>24ARQPM5850R1ZV</t>
  </si>
  <si>
    <t>GNCN 228</t>
  </si>
  <si>
    <t>GNCN 229</t>
  </si>
  <si>
    <t>GNCN 230</t>
  </si>
  <si>
    <t>GI/1211</t>
  </si>
  <si>
    <t>GNCN 231</t>
  </si>
  <si>
    <t>BG26-27/45</t>
  </si>
  <si>
    <t>Brahmani Graphics</t>
  </si>
  <si>
    <t>24BGAPP5082Q1ZW</t>
  </si>
  <si>
    <t>GNCN 232</t>
  </si>
  <si>
    <t>26-27/AG/83</t>
  </si>
  <si>
    <t>Akshara Graphics - Purchase</t>
  </si>
  <si>
    <t>23BTLPS7416R1ZT</t>
  </si>
  <si>
    <t>GNMS 14</t>
  </si>
  <si>
    <t>SSM02212</t>
  </si>
  <si>
    <t>GNPK 143</t>
  </si>
  <si>
    <t>PIL1/D/1028</t>
  </si>
  <si>
    <t>GNSP 385</t>
  </si>
  <si>
    <t>Shree Ram Sulz Spares</t>
  </si>
  <si>
    <t>08EKUPS3217K1ZE</t>
  </si>
  <si>
    <t>GNSP 386</t>
  </si>
  <si>
    <t>66/26-27</t>
  </si>
  <si>
    <t>Mahavir Marketing</t>
  </si>
  <si>
    <t>24AFBPJ7196J1Z7</t>
  </si>
  <si>
    <t>GNSP 387</t>
  </si>
  <si>
    <t>67/26-27</t>
  </si>
  <si>
    <t>GNSP 388</t>
  </si>
  <si>
    <t>068/26-27</t>
  </si>
  <si>
    <t>Chakshu Engineering</t>
  </si>
  <si>
    <t>24ADZPS9415R1Z8</t>
  </si>
  <si>
    <t>GNSP 389</t>
  </si>
  <si>
    <t>Bhumi Hardware &amp; Electricals</t>
  </si>
  <si>
    <t>24ASGPC4647K1ZQ</t>
  </si>
  <si>
    <t>RM 282</t>
  </si>
  <si>
    <t>PIL1/D/1029</t>
  </si>
  <si>
    <t>RM 283</t>
  </si>
  <si>
    <t>PIL1/ME/15</t>
  </si>
  <si>
    <t>RM 284</t>
  </si>
  <si>
    <t>HPBL/D/376</t>
  </si>
  <si>
    <t>GNCN 233</t>
  </si>
  <si>
    <t>T-0470</t>
  </si>
  <si>
    <t>Multi Enterprise</t>
  </si>
  <si>
    <t>24ABOPM4832H1ZJ</t>
  </si>
  <si>
    <t>GNCN 234</t>
  </si>
  <si>
    <t>GNCN 235</t>
  </si>
  <si>
    <t>GNCN 236</t>
  </si>
  <si>
    <t>38/26-27</t>
  </si>
  <si>
    <t>GNMS 15</t>
  </si>
  <si>
    <t>KDS/192/26-27</t>
  </si>
  <si>
    <t>Kamaldeep Stationers</t>
  </si>
  <si>
    <t>24CMHPK0484K1ZW</t>
  </si>
  <si>
    <t>GNPK 144</t>
  </si>
  <si>
    <t>PIL1/D/1041</t>
  </si>
  <si>
    <t>GNSP 390</t>
  </si>
  <si>
    <t>GST-1357/26-27</t>
  </si>
  <si>
    <t>Himanshu Enterprise</t>
  </si>
  <si>
    <t>24AAKFH4457N1ZX</t>
  </si>
  <si>
    <t>GNSP 391</t>
  </si>
  <si>
    <t>VTV/26-27/1899</t>
  </si>
  <si>
    <t>GNSP 392</t>
  </si>
  <si>
    <t>908/2026-27</t>
  </si>
  <si>
    <t>Khator Enterprises</t>
  </si>
  <si>
    <t>24ACFPK3378J1ZG</t>
  </si>
  <si>
    <t>GNSP 393</t>
  </si>
  <si>
    <t>26-27/0598</t>
  </si>
  <si>
    <t>Simandhar Technology</t>
  </si>
  <si>
    <t>24AZFPS4845P1ZN</t>
  </si>
  <si>
    <t>RM 285</t>
  </si>
  <si>
    <t>PIL1/D/1039</t>
  </si>
  <si>
    <t>RM 286</t>
  </si>
  <si>
    <t>PIL1/D/1040</t>
  </si>
  <si>
    <t>RM 287</t>
  </si>
  <si>
    <t>PIL1/D/1043</t>
  </si>
  <si>
    <t>RM 288</t>
  </si>
  <si>
    <t>PIL1/D/1042</t>
  </si>
  <si>
    <t>RM 289</t>
  </si>
  <si>
    <t>HCP Enterprise Ltd-Purchase</t>
  </si>
  <si>
    <t>24AAACC7815N1ZI</t>
  </si>
  <si>
    <t>RM 290</t>
  </si>
  <si>
    <t>RMIMP 26</t>
  </si>
  <si>
    <t>OCPL/25-26/HSS/19</t>
  </si>
  <si>
    <t>Oswal Commodities Private Limited - Purchase</t>
  </si>
  <si>
    <t>24AAACO3557B2ZV</t>
  </si>
  <si>
    <t>GNPK 145</t>
  </si>
  <si>
    <t>PIL1/D/1052</t>
  </si>
  <si>
    <t>GNSP 394</t>
  </si>
  <si>
    <t>MSS25/479</t>
  </si>
  <si>
    <t>GNSP 395</t>
  </si>
  <si>
    <t>MSS25/478</t>
  </si>
  <si>
    <t>GNSP 396</t>
  </si>
  <si>
    <t>MSS25/480</t>
  </si>
  <si>
    <t>GNSP 397</t>
  </si>
  <si>
    <t>T-0129</t>
  </si>
  <si>
    <t>Garvi Enterprise</t>
  </si>
  <si>
    <t>24AOVPP4343C1ZO</t>
  </si>
  <si>
    <t>RM 291</t>
  </si>
  <si>
    <t>PIL1/DE/21</t>
  </si>
  <si>
    <t>RM 292</t>
  </si>
  <si>
    <t>PIL1/D/1054</t>
  </si>
  <si>
    <t>RM 293</t>
  </si>
  <si>
    <t>PIL2/D/375</t>
  </si>
  <si>
    <t>GNCN 237</t>
  </si>
  <si>
    <t>GNPK 146</t>
  </si>
  <si>
    <t>Murlidhar Paper Tube</t>
  </si>
  <si>
    <t>24ARHPP9327M1Z7</t>
  </si>
  <si>
    <t>GNPK 147</t>
  </si>
  <si>
    <t>PIL1/D/1066</t>
  </si>
  <si>
    <t>GNPK 148</t>
  </si>
  <si>
    <t>PPL/D/362</t>
  </si>
  <si>
    <t>Plastene Polyfilms Ltd-Purchase</t>
  </si>
  <si>
    <t>24AAFCP2956A1ZR</t>
  </si>
  <si>
    <t>GNSP 398</t>
  </si>
  <si>
    <t>G/0135/26-27</t>
  </si>
  <si>
    <t>Sagar Industries - 24ABEFS4427N1ZW</t>
  </si>
  <si>
    <t>24ABEFS4427N1ZW</t>
  </si>
  <si>
    <t>GNSP 399</t>
  </si>
  <si>
    <t>A-2969/26-27</t>
  </si>
  <si>
    <t>Perfect Belts Private Limited (Gujarat)</t>
  </si>
  <si>
    <t>24AABCP1066F1ZU</t>
  </si>
  <si>
    <t>GNSP 400</t>
  </si>
  <si>
    <t>TG2426104226</t>
  </si>
  <si>
    <t>Lohia Global Solutions - Gujarat - (A Div of Lohia Corp Ltd)</t>
  </si>
  <si>
    <t>24AAACL2470J1ZO</t>
  </si>
  <si>
    <t>RM 294</t>
  </si>
  <si>
    <t>HPBLV/D/37</t>
  </si>
  <si>
    <t>RM 295</t>
  </si>
  <si>
    <t>HPBL/D/386</t>
  </si>
  <si>
    <t>RM 296</t>
  </si>
  <si>
    <t>PIL1/ME/16</t>
  </si>
  <si>
    <t>RM 297</t>
  </si>
  <si>
    <t>PPL/D/364</t>
  </si>
  <si>
    <t>RM 298</t>
  </si>
  <si>
    <t>PIL1/D/1067</t>
  </si>
  <si>
    <t>RM 299</t>
  </si>
  <si>
    <t>PIL1/DE/22</t>
  </si>
  <si>
    <t>RM 300</t>
  </si>
  <si>
    <t>PPL/D/361</t>
  </si>
  <si>
    <t>RM 301</t>
  </si>
  <si>
    <t>TIVI132</t>
  </si>
  <si>
    <t>Variofil Industries</t>
  </si>
  <si>
    <t>24AAOFV5137D1Z5</t>
  </si>
  <si>
    <t>GNMS 16</t>
  </si>
  <si>
    <t>SSM02306</t>
  </si>
  <si>
    <t>GNPK 149</t>
  </si>
  <si>
    <t>PIL2/D/384</t>
  </si>
  <si>
    <t>GNSP 401</t>
  </si>
  <si>
    <t>A-3058/26-27</t>
  </si>
  <si>
    <t>GNSP 402</t>
  </si>
  <si>
    <t>T/26-27/464</t>
  </si>
  <si>
    <t>Susmatex Machinery</t>
  </si>
  <si>
    <t>24AFGPB1596P1Z6</t>
  </si>
  <si>
    <t>GNSP 403</t>
  </si>
  <si>
    <t>GST-1509/26-27</t>
  </si>
  <si>
    <t>GNSP 404</t>
  </si>
  <si>
    <t>GNSP 405</t>
  </si>
  <si>
    <t>GI/1233</t>
  </si>
  <si>
    <t>RM 302</t>
  </si>
  <si>
    <t>PIL2/D/383</t>
  </si>
  <si>
    <t>RM 303</t>
  </si>
  <si>
    <t>S/963/26-27</t>
  </si>
  <si>
    <t>Soltex Petro Products Limited - Silvassa</t>
  </si>
  <si>
    <t>26AAECS2424D2ZR</t>
  </si>
  <si>
    <t>RM 304</t>
  </si>
  <si>
    <t>PIL1/D/1080</t>
  </si>
  <si>
    <t>RM 305</t>
  </si>
  <si>
    <t>HPBL/D/391</t>
  </si>
  <si>
    <t>RMIMP 27</t>
  </si>
  <si>
    <t>GNCN 238</t>
  </si>
  <si>
    <t>PIL2/D/388</t>
  </si>
  <si>
    <t>GNPK 150</t>
  </si>
  <si>
    <t>PIL1/D/1087</t>
  </si>
  <si>
    <t>GNSP 406</t>
  </si>
  <si>
    <t>PH/27/0421</t>
  </si>
  <si>
    <t>Promatech Mfg&amp; Trading Co. Pvt Ltd</t>
  </si>
  <si>
    <t>08AADCP5755D1ZE</t>
  </si>
  <si>
    <t>GNSP 407</t>
  </si>
  <si>
    <t xml:space="preserve">Saroj Textiles </t>
  </si>
  <si>
    <t>08AHEPN1326P1Z2</t>
  </si>
  <si>
    <t>RM 306</t>
  </si>
  <si>
    <t>PIL1/ME/17</t>
  </si>
  <si>
    <t>RM 307</t>
  </si>
  <si>
    <t>PIL1/D/1093</t>
  </si>
  <si>
    <t>RM 308</t>
  </si>
  <si>
    <t>PIL1/DE/23</t>
  </si>
  <si>
    <t>RM 309</t>
  </si>
  <si>
    <t>PIL1/D/1089</t>
  </si>
  <si>
    <t>GNPK 151</t>
  </si>
  <si>
    <t>PIL1/D/1102</t>
  </si>
  <si>
    <t>GNSP 408</t>
  </si>
  <si>
    <t>Jay Ambe Tex Spare</t>
  </si>
  <si>
    <t>24BLEPP3881L1ZO</t>
  </si>
  <si>
    <t>GNSP 409</t>
  </si>
  <si>
    <t>GNSP 410</t>
  </si>
  <si>
    <t>Bhavani International</t>
  </si>
  <si>
    <t>24ADYPA4306Q1Z5</t>
  </si>
  <si>
    <t>GNSP 411</t>
  </si>
  <si>
    <t>G/340/26-27</t>
  </si>
  <si>
    <t>GNSP 412</t>
  </si>
  <si>
    <t>SE/26-27/102</t>
  </si>
  <si>
    <t>Shubh Engineering</t>
  </si>
  <si>
    <t>24FDSPR6048R1ZC</t>
  </si>
  <si>
    <t>RM 310</t>
  </si>
  <si>
    <t>HPBL/D/394</t>
  </si>
  <si>
    <t>RM 311</t>
  </si>
  <si>
    <t>PIL2/D/389</t>
  </si>
  <si>
    <t>RM 312</t>
  </si>
  <si>
    <t>PIL1/D/1103</t>
  </si>
  <si>
    <t>RM 313</t>
  </si>
  <si>
    <t>PIL1/D/1104</t>
  </si>
  <si>
    <t>GNPK 152</t>
  </si>
  <si>
    <t>PIL1/D/1116</t>
  </si>
  <si>
    <t>RM 314</t>
  </si>
  <si>
    <t>CTM/26-27/0472</t>
  </si>
  <si>
    <t>CTM Technical Textiles Limited</t>
  </si>
  <si>
    <t>24AACCC9379D1ZM</t>
  </si>
  <si>
    <t>RM 315</t>
  </si>
  <si>
    <t>pil1/d/1117</t>
  </si>
  <si>
    <t>RM 316</t>
  </si>
  <si>
    <t>pil1/de/24</t>
  </si>
  <si>
    <t>RM 317</t>
  </si>
  <si>
    <t>hpbl/d/398</t>
  </si>
  <si>
    <t>RM 318</t>
  </si>
  <si>
    <t>HCP/D/64</t>
  </si>
  <si>
    <t>GNCN 239</t>
  </si>
  <si>
    <t>43/26-27</t>
  </si>
  <si>
    <t>GNCN 240</t>
  </si>
  <si>
    <t>26-27/AG/100</t>
  </si>
  <si>
    <t>GNCN 241</t>
  </si>
  <si>
    <t>2026-27/3117</t>
  </si>
  <si>
    <t>Ajanta Chemicals</t>
  </si>
  <si>
    <t>24AAWPD8861A1ZN</t>
  </si>
  <si>
    <t>GNCN 242</t>
  </si>
  <si>
    <t>GNCN 243</t>
  </si>
  <si>
    <t>Ahmedabad Cotton Waste Co.</t>
  </si>
  <si>
    <t>24AMGPP5900Q1ZN</t>
  </si>
  <si>
    <t>GNCN 244</t>
  </si>
  <si>
    <t>GE-179</t>
  </si>
  <si>
    <t>Galaxy Enterprise</t>
  </si>
  <si>
    <t>24AAVFG3033A1ZS</t>
  </si>
  <si>
    <t>GNMS 17</t>
  </si>
  <si>
    <t>26-27/0311</t>
  </si>
  <si>
    <t>Excel Office Solution</t>
  </si>
  <si>
    <t>24AMFPC3014K1ZK</t>
  </si>
  <si>
    <t>GNPK 153</t>
  </si>
  <si>
    <t>SSM02324</t>
  </si>
  <si>
    <t>GNPK 154</t>
  </si>
  <si>
    <t>PIL1/D/1127</t>
  </si>
  <si>
    <t>GNSP 413</t>
  </si>
  <si>
    <t>GI/1341</t>
  </si>
  <si>
    <t>GNSP 414</t>
  </si>
  <si>
    <t>GNSP 415</t>
  </si>
  <si>
    <t>GNSP 416</t>
  </si>
  <si>
    <t>TI-202627-451</t>
  </si>
  <si>
    <t>AJ Technovations Private Limited</t>
  </si>
  <si>
    <t>24AAOCA3012D1ZA</t>
  </si>
  <si>
    <t>GNSP 417</t>
  </si>
  <si>
    <t>RI-0479/2026-27</t>
  </si>
  <si>
    <t>GNSP 418</t>
  </si>
  <si>
    <t>RM 319</t>
  </si>
  <si>
    <t>PIL1/D/1128</t>
  </si>
  <si>
    <t>GNCN 245</t>
  </si>
  <si>
    <t>SS/SL/26-27/83</t>
  </si>
  <si>
    <t>GNCN 246</t>
  </si>
  <si>
    <t>2627CIL2867</t>
  </si>
  <si>
    <t>Chemline India Ltd</t>
  </si>
  <si>
    <t>06AAACC0504G1ZF</t>
  </si>
  <si>
    <t>GNPK 155</t>
  </si>
  <si>
    <t>SSE/2026-27/0919</t>
  </si>
  <si>
    <t>GNPK 156</t>
  </si>
  <si>
    <t>TX/RGE/2026/014</t>
  </si>
  <si>
    <t>R G Enterprise</t>
  </si>
  <si>
    <t>24AYAPP0172C1Z0</t>
  </si>
  <si>
    <t>GNPK 157</t>
  </si>
  <si>
    <t>PIL1/D/1142</t>
  </si>
  <si>
    <t>GNPK 158</t>
  </si>
  <si>
    <t>PIL1/D/1144</t>
  </si>
  <si>
    <t>GNPK 159</t>
  </si>
  <si>
    <t>PIL2/D/399</t>
  </si>
  <si>
    <t>RM 320</t>
  </si>
  <si>
    <t>HPBL/D/402</t>
  </si>
  <si>
    <t>RM 321</t>
  </si>
  <si>
    <t>PIL1/D/1145</t>
  </si>
  <si>
    <t>RM 322</t>
  </si>
  <si>
    <t>PIL1/DE/25</t>
  </si>
  <si>
    <t>RM 323</t>
  </si>
  <si>
    <t>PIL2/D/398</t>
  </si>
  <si>
    <t>GNCN 247</t>
  </si>
  <si>
    <t>542/2026-27</t>
  </si>
  <si>
    <t>Swastik Marketing</t>
  </si>
  <si>
    <t>24AAWPR4477Q1ZG</t>
  </si>
  <si>
    <t>GNCN 248</t>
  </si>
  <si>
    <t>Lube Adhesive &amp; Engineering Co</t>
  </si>
  <si>
    <t>24AQYPM1863D1ZL</t>
  </si>
  <si>
    <t>GNCN 249</t>
  </si>
  <si>
    <t>New Raj Fashion</t>
  </si>
  <si>
    <t>24ANNPS7434A1ZZ</t>
  </si>
  <si>
    <t>GNMS 18</t>
  </si>
  <si>
    <t>2026-27/376</t>
  </si>
  <si>
    <t>Ashirwad Infocom</t>
  </si>
  <si>
    <t>24APTPM2228L1ZI</t>
  </si>
  <si>
    <t>GNSP 419</t>
  </si>
  <si>
    <t>0391/26-27</t>
  </si>
  <si>
    <t>GNSP 420</t>
  </si>
  <si>
    <t>GST-26-27/286</t>
  </si>
  <si>
    <t>Shree Maruti Spring And Engineers</t>
  </si>
  <si>
    <t>24CIRPP5007P1ZM</t>
  </si>
  <si>
    <t>GNSP 421</t>
  </si>
  <si>
    <t>GST/164</t>
  </si>
  <si>
    <t>GNSP 422</t>
  </si>
  <si>
    <t>GST/174</t>
  </si>
  <si>
    <t>GNSP 423</t>
  </si>
  <si>
    <t>GST/163</t>
  </si>
  <si>
    <t>GNSP 424</t>
  </si>
  <si>
    <t>GST/165</t>
  </si>
  <si>
    <t>GNSP 425</t>
  </si>
  <si>
    <t>G24221</t>
  </si>
  <si>
    <t>GNSP 426</t>
  </si>
  <si>
    <t>SR/587/26-27</t>
  </si>
  <si>
    <t>S.R.Sewing Tech</t>
  </si>
  <si>
    <t>19AORPR0945L1Z4</t>
  </si>
  <si>
    <t>GNSP 427</t>
  </si>
  <si>
    <t>G24147</t>
  </si>
  <si>
    <t>GNSP 428</t>
  </si>
  <si>
    <t>GNSP 429</t>
  </si>
  <si>
    <t>GNSP 430</t>
  </si>
  <si>
    <t>KH-1418-2627</t>
  </si>
  <si>
    <t>Rajratan Electricals Pvt Ltd</t>
  </si>
  <si>
    <t>24AAACV3059P1ZZ</t>
  </si>
  <si>
    <t>GNSP 431</t>
  </si>
  <si>
    <t>KH-1417-2627</t>
  </si>
  <si>
    <t>RM 324</t>
  </si>
  <si>
    <t>PPL/D/404</t>
  </si>
  <si>
    <t>GNPK 160</t>
  </si>
  <si>
    <t>PIL1/D/1161</t>
  </si>
  <si>
    <t>GNPK 161</t>
  </si>
  <si>
    <t>PIL1/D/1171</t>
  </si>
  <si>
    <t>RM 325</t>
  </si>
  <si>
    <t>HPBL/D/410</t>
  </si>
  <si>
    <t>RM 326</t>
  </si>
  <si>
    <t>HPBL/D/412</t>
  </si>
  <si>
    <t>RM 327</t>
  </si>
  <si>
    <t>PIL2/D/402</t>
  </si>
  <si>
    <t>RM 328</t>
  </si>
  <si>
    <t>PIL1/D/1162</t>
  </si>
  <si>
    <t>RM 330</t>
  </si>
  <si>
    <t>PIL1/DE/26</t>
  </si>
  <si>
    <t>GNCN 250</t>
  </si>
  <si>
    <t>51/26-27</t>
  </si>
  <si>
    <t>GNCN 251</t>
  </si>
  <si>
    <t>0389/26-27</t>
  </si>
  <si>
    <t>Spectrum Lubricants Private Limited</t>
  </si>
  <si>
    <t>24AAPCS9776D1ZS</t>
  </si>
  <si>
    <t>GNCN 252</t>
  </si>
  <si>
    <t>IOC-255</t>
  </si>
  <si>
    <t>Uma Steel Traders</t>
  </si>
  <si>
    <t>24ALSPP1946R1Z5</t>
  </si>
  <si>
    <t>GNPK 162</t>
  </si>
  <si>
    <t>PIL2/D/408</t>
  </si>
  <si>
    <t>GNPK 163</t>
  </si>
  <si>
    <t>PIL1/D/1187</t>
  </si>
  <si>
    <t>GNPK 164</t>
  </si>
  <si>
    <t>GST/980/26-27</t>
  </si>
  <si>
    <t>Aum Polypack</t>
  </si>
  <si>
    <t>24CGYPP7498D1ZI</t>
  </si>
  <si>
    <t>GNPK 165</t>
  </si>
  <si>
    <t>A1341/26-27</t>
  </si>
  <si>
    <t>Abhinandan Plastopack</t>
  </si>
  <si>
    <t>24AAWFA6103E1ZO</t>
  </si>
  <si>
    <t>GNPK 166</t>
  </si>
  <si>
    <t>SS/SL/26-27/120</t>
  </si>
  <si>
    <t>GNPK 167</t>
  </si>
  <si>
    <t>PIL1/D/1196</t>
  </si>
  <si>
    <t>GNPK 168</t>
  </si>
  <si>
    <t>SS/SL/26-27/177</t>
  </si>
  <si>
    <t>GNSP 432</t>
  </si>
  <si>
    <t>TG2426104923</t>
  </si>
  <si>
    <t>GNSP 433</t>
  </si>
  <si>
    <t>VTV/26-27/2126</t>
  </si>
  <si>
    <t>GNSP 434</t>
  </si>
  <si>
    <t>KLPR/26-27/2909</t>
  </si>
  <si>
    <t>K Patel Drives Systems</t>
  </si>
  <si>
    <t>24AAVFK8829L1ZF</t>
  </si>
  <si>
    <t>GNSP 435</t>
  </si>
  <si>
    <t>A-3333/26-27</t>
  </si>
  <si>
    <t>GNSP 436</t>
  </si>
  <si>
    <t>0607/26-27</t>
  </si>
  <si>
    <t>GNSP 437</t>
  </si>
  <si>
    <t>TG2426104782</t>
  </si>
  <si>
    <t>GNSP 438</t>
  </si>
  <si>
    <t>GIGST4282627</t>
  </si>
  <si>
    <t>GNSP 439</t>
  </si>
  <si>
    <t>PPL/D/391</t>
  </si>
  <si>
    <t>GNSP 440</t>
  </si>
  <si>
    <t>G/2627/47</t>
  </si>
  <si>
    <t>Fourwents Engineering Company</t>
  </si>
  <si>
    <t>24AAAFF2180N1ZH</t>
  </si>
  <si>
    <t>GNSP 441</t>
  </si>
  <si>
    <t>TE/1137/26-27</t>
  </si>
  <si>
    <t>GNSP 442</t>
  </si>
  <si>
    <t>GNSP 443</t>
  </si>
  <si>
    <t>SR/624/26-27</t>
  </si>
  <si>
    <t>GNSP 444</t>
  </si>
  <si>
    <t>GST-156</t>
  </si>
  <si>
    <t>Jay Jagannath Industries- 24GKEPP9703F1Z1</t>
  </si>
  <si>
    <t>24GKEPP9703F1Z1</t>
  </si>
  <si>
    <t>GNSP 445</t>
  </si>
  <si>
    <t>GNSP 446</t>
  </si>
  <si>
    <t>GNSP 447</t>
  </si>
  <si>
    <t>GST/183</t>
  </si>
  <si>
    <t>GNSP 448</t>
  </si>
  <si>
    <t>GST-181</t>
  </si>
  <si>
    <t>GNSP 449</t>
  </si>
  <si>
    <t>GST-182</t>
  </si>
  <si>
    <t>GNSP 450</t>
  </si>
  <si>
    <t>MSS25/515</t>
  </si>
  <si>
    <t>GNSP 451</t>
  </si>
  <si>
    <t>MSS25/517</t>
  </si>
  <si>
    <t>GNSP 452</t>
  </si>
  <si>
    <t>MSS25/514</t>
  </si>
  <si>
    <t>GNSP 453</t>
  </si>
  <si>
    <t>MSS25/518</t>
  </si>
  <si>
    <t>GNSP 454</t>
  </si>
  <si>
    <t>MSS25/516</t>
  </si>
  <si>
    <t>GNSP 455</t>
  </si>
  <si>
    <t>MSS25/513</t>
  </si>
  <si>
    <t>GNSP 456</t>
  </si>
  <si>
    <t>MSS25/512</t>
  </si>
  <si>
    <t>RM 331</t>
  </si>
  <si>
    <t>PIL1/ME/19</t>
  </si>
  <si>
    <t>RM 332</t>
  </si>
  <si>
    <t>HPBL4/ME/9</t>
  </si>
  <si>
    <t>Hcp Plastene Bulkpack Ltd (Unit-Iv) - Purchase</t>
  </si>
  <si>
    <t>RM 333</t>
  </si>
  <si>
    <t>PIL2/D/407</t>
  </si>
  <si>
    <t>RM 334</t>
  </si>
  <si>
    <t>HPBL/D/422</t>
  </si>
  <si>
    <t>RM 335</t>
  </si>
  <si>
    <t>PIL1/D/1188</t>
  </si>
  <si>
    <t>RM 336</t>
  </si>
  <si>
    <t>PPCYPL/2627/118</t>
  </si>
  <si>
    <t>Parth Poly Coat Yarn Pvt Ltd</t>
  </si>
  <si>
    <t>24AAGCP6363E1ZH</t>
  </si>
  <si>
    <t>RM 337</t>
  </si>
  <si>
    <t>CTM/26-27/0490</t>
  </si>
  <si>
    <t>RM 338</t>
  </si>
  <si>
    <t>HPBL4/ME/10</t>
  </si>
  <si>
    <t>RM 339</t>
  </si>
  <si>
    <t>PIL1/D/1172</t>
  </si>
  <si>
    <t>RM 340</t>
  </si>
  <si>
    <t>PIL1/ME/21</t>
  </si>
  <si>
    <t>RM 341</t>
  </si>
  <si>
    <t>HPBL/D/430</t>
  </si>
  <si>
    <t>RM 342</t>
  </si>
  <si>
    <t>PIL1/D/1197</t>
  </si>
  <si>
    <t>RM 343</t>
  </si>
  <si>
    <t>PIL2/D/415</t>
  </si>
  <si>
    <t>RM 344</t>
  </si>
  <si>
    <t>PIL2/D/413</t>
  </si>
  <si>
    <t>GNPK 169</t>
  </si>
  <si>
    <t>SS/SL/26-27/229</t>
  </si>
  <si>
    <t>GNSP 457</t>
  </si>
  <si>
    <t>PH/27/0464</t>
  </si>
  <si>
    <t>GNSP 458</t>
  </si>
  <si>
    <t>TG2426104987</t>
  </si>
  <si>
    <t>GNSP 459</t>
  </si>
  <si>
    <t>TG2426104986</t>
  </si>
  <si>
    <t>GNSP 460</t>
  </si>
  <si>
    <t>RM 345</t>
  </si>
  <si>
    <t>PIL1/ME/22</t>
  </si>
  <si>
    <t>RM 346</t>
  </si>
  <si>
    <t>PIL2/D/418</t>
  </si>
  <si>
    <t>RM 347</t>
  </si>
  <si>
    <t>PIL1/ME/23</t>
  </si>
  <si>
    <t>GNCN 253</t>
  </si>
  <si>
    <t>SSM02409</t>
  </si>
  <si>
    <t>GNCN 254</t>
  </si>
  <si>
    <t>Dhirubhai And Sons</t>
  </si>
  <si>
    <t>24AIWPD7380E1Z2</t>
  </si>
  <si>
    <t>GNCN 255</t>
  </si>
  <si>
    <t>PIL2/D/422</t>
  </si>
  <si>
    <t>GNPK 170</t>
  </si>
  <si>
    <t>GNPK 171</t>
  </si>
  <si>
    <t>PIL1/D/1215</t>
  </si>
  <si>
    <t>GNPK 172</t>
  </si>
  <si>
    <t>BI/26-27/071</t>
  </si>
  <si>
    <t>Bhagwati  Impex</t>
  </si>
  <si>
    <t>24AXVPT0296P1ZD</t>
  </si>
  <si>
    <t>GNSP 461</t>
  </si>
  <si>
    <t>T/26-27/433</t>
  </si>
  <si>
    <t>RM 348</t>
  </si>
  <si>
    <t>PIL1/DE/27</t>
  </si>
  <si>
    <t>RM 349</t>
  </si>
  <si>
    <t>PIL1/D/1216</t>
  </si>
  <si>
    <t>RM 350</t>
  </si>
  <si>
    <t>TI/444</t>
  </si>
  <si>
    <t>RM 351</t>
  </si>
  <si>
    <t>TI/485</t>
  </si>
  <si>
    <t>RM 352</t>
  </si>
  <si>
    <t>PIL2/D/420</t>
  </si>
  <si>
    <t>GNCN 256</t>
  </si>
  <si>
    <t>GNCN 257</t>
  </si>
  <si>
    <t>Ganesh Poly Graph</t>
  </si>
  <si>
    <t>24ALEPC4203C1Z3</t>
  </si>
  <si>
    <t>GNCN 258</t>
  </si>
  <si>
    <t>GNCN 259</t>
  </si>
  <si>
    <t>GNCN 260</t>
  </si>
  <si>
    <t>26-27/AG/112</t>
  </si>
  <si>
    <t>GNCN 261</t>
  </si>
  <si>
    <t>26-27/AG/108</t>
  </si>
  <si>
    <t>GNCN 262</t>
  </si>
  <si>
    <t>GNCN 263</t>
  </si>
  <si>
    <t>GNPK 173</t>
  </si>
  <si>
    <t>A000102</t>
  </si>
  <si>
    <t>Bhavna Trading Company</t>
  </si>
  <si>
    <t>24THBPS3555R1Z8</t>
  </si>
  <si>
    <t>GNPK 174</t>
  </si>
  <si>
    <t>PIL2/D/424</t>
  </si>
  <si>
    <t>GNPK 175</t>
  </si>
  <si>
    <t>PIL1/D/1228</t>
  </si>
  <si>
    <t>GNSP 462</t>
  </si>
  <si>
    <t>GI/1446</t>
  </si>
  <si>
    <t>GNSP 463</t>
  </si>
  <si>
    <t>T-0315</t>
  </si>
  <si>
    <t>Yen Traders</t>
  </si>
  <si>
    <t>24AVIPP3294L1Z2</t>
  </si>
  <si>
    <t>GNSP 464</t>
  </si>
  <si>
    <t>A-3501/26-27</t>
  </si>
  <si>
    <t>GNSP 465</t>
  </si>
  <si>
    <t>G24269</t>
  </si>
  <si>
    <t>GNSP 466</t>
  </si>
  <si>
    <t>GNSP 467</t>
  </si>
  <si>
    <t>GST/26-27/3706</t>
  </si>
  <si>
    <t>RM 353</t>
  </si>
  <si>
    <t>HPBL/D/436</t>
  </si>
  <si>
    <t>RM 354</t>
  </si>
  <si>
    <t>PIL2/D/423</t>
  </si>
  <si>
    <t>RM 355</t>
  </si>
  <si>
    <t>HPBL4/ME/11</t>
  </si>
  <si>
    <t>RM 356</t>
  </si>
  <si>
    <t>PIL1/DE/28</t>
  </si>
  <si>
    <t>RM 357</t>
  </si>
  <si>
    <t>HPBLV/D/42</t>
  </si>
  <si>
    <t>Hcp Plastene Bulkpack Ltd Vadodara Purchase</t>
  </si>
  <si>
    <t>RM 358</t>
  </si>
  <si>
    <t>HPBL/D/439</t>
  </si>
  <si>
    <t>RM 359</t>
  </si>
  <si>
    <t>PIL1/D/1229</t>
  </si>
  <si>
    <t>RM 360</t>
  </si>
  <si>
    <t>PPCYPL/2627/122</t>
  </si>
  <si>
    <t>Date</t>
  </si>
  <si>
    <t>Particular</t>
  </si>
  <si>
    <t>Voucher Type</t>
  </si>
  <si>
    <t>Voucher No</t>
  </si>
  <si>
    <t>Type</t>
  </si>
  <si>
    <t>Invoice No</t>
  </si>
  <si>
    <t>Invoice Date</t>
  </si>
  <si>
    <t>Main Grp</t>
  </si>
  <si>
    <t>Group Name</t>
  </si>
  <si>
    <t>Sub Grup</t>
  </si>
  <si>
    <t>sales Group Name</t>
  </si>
  <si>
    <t>Item Name</t>
  </si>
  <si>
    <t>Quantity</t>
  </si>
  <si>
    <t>Amount</t>
  </si>
  <si>
    <t>Item Desc</t>
  </si>
  <si>
    <t>Bill Amount</t>
  </si>
  <si>
    <t>CGST Rate</t>
  </si>
  <si>
    <t>CGST Amt</t>
  </si>
  <si>
    <t>SGST Rate</t>
  </si>
  <si>
    <t>SGST Amt</t>
  </si>
  <si>
    <t>IGST Rate</t>
  </si>
  <si>
    <t>IGST Amt</t>
  </si>
  <si>
    <t>Freight GST</t>
  </si>
  <si>
    <t>Total GST</t>
  </si>
  <si>
    <t>TCS</t>
  </si>
  <si>
    <t>GST-IN</t>
  </si>
  <si>
    <t>HSN Code</t>
  </si>
  <si>
    <t>Currencty</t>
  </si>
  <si>
    <t>Exc.Rate</t>
  </si>
  <si>
    <t>Net Wt</t>
  </si>
  <si>
    <t>Country</t>
  </si>
  <si>
    <t>Plastene India ltd - Unit 1-Sales</t>
  </si>
  <si>
    <t>Sales - Within State  Manufactured Goods</t>
  </si>
  <si>
    <t>KPV/D/380</t>
  </si>
  <si>
    <t>Yarn All</t>
  </si>
  <si>
    <t>PP Tape</t>
  </si>
  <si>
    <t>PP Fibrillated Tape Twisted 3200 MW</t>
  </si>
  <si>
    <t>MW</t>
  </si>
  <si>
    <t>KGS</t>
  </si>
  <si>
    <t>Rs.</t>
  </si>
  <si>
    <t>India</t>
  </si>
  <si>
    <t>KPV/D/382</t>
  </si>
  <si>
    <t>PP WOVEN BIG BAGS / SACKS</t>
  </si>
  <si>
    <t>FIBC Bags With UV With Liner</t>
  </si>
  <si>
    <t>26.19378/67004952-UN</t>
  </si>
  <si>
    <t>FIBC Bags With UV Without Liner</t>
  </si>
  <si>
    <t>26/80122/26131/15.1657-18</t>
  </si>
  <si>
    <t>KPV/D/383</t>
  </si>
  <si>
    <t>PIR-260149/4IBC-085-O010</t>
  </si>
  <si>
    <t>Rudra Trading Co.</t>
  </si>
  <si>
    <t>Sales - Interstate - Manufactured Goods</t>
  </si>
  <si>
    <t>KPV/D/381</t>
  </si>
  <si>
    <t>PP Granuals</t>
  </si>
  <si>
    <t>RP Granules GRAY</t>
  </si>
  <si>
    <t>27BCGPD5673M1Z7</t>
  </si>
  <si>
    <t>Yuan Da Plastic Fabric Corporation</t>
  </si>
  <si>
    <t>Export Sales</t>
  </si>
  <si>
    <t>KPW/E/88/26-27</t>
  </si>
  <si>
    <t>Sales - Direct Export - Mfg - U/R</t>
  </si>
  <si>
    <t>PP WOVEN BIG BAG</t>
  </si>
  <si>
    <t>$</t>
  </si>
  <si>
    <t>USA</t>
  </si>
  <si>
    <t>Conrop S.R.O.</t>
  </si>
  <si>
    <t>KPW/E/89/26-27</t>
  </si>
  <si>
    <t>PP/PE Fabric</t>
  </si>
  <si>
    <t>PP WOVEN FABRIC</t>
  </si>
  <si>
    <t>PP UL Fabric With UV</t>
  </si>
  <si>
    <t>P WOVEN FABRIC</t>
  </si>
  <si>
    <t>€</t>
  </si>
  <si>
    <t>Czech Republic</t>
  </si>
  <si>
    <t>HCP Plastene Bulkpack Limited - Sales</t>
  </si>
  <si>
    <t>Sales - Within State - Traded Goods</t>
  </si>
  <si>
    <t>KPV/D/385</t>
  </si>
  <si>
    <t>Oil &amp; Greases</t>
  </si>
  <si>
    <t>Stores &amp; Spares</t>
  </si>
  <si>
    <t>White Oil:- 12 No</t>
  </si>
  <si>
    <t>Job Invoice</t>
  </si>
  <si>
    <t>KPV/D/388</t>
  </si>
  <si>
    <t>Job Work Income</t>
  </si>
  <si>
    <t>26.19398/BH-C573EXP-1 (PP BIG BAGS)</t>
  </si>
  <si>
    <t>26.19397/BH-C573H (PP BIG BAGS)</t>
  </si>
  <si>
    <t>26.19399/BH-C573SL (PP BIG BAGS)</t>
  </si>
  <si>
    <t>26.19396/BH-C573FL (PP BIG BAGS)</t>
  </si>
  <si>
    <t>Plastene India ltd - Unit 2-Sales</t>
  </si>
  <si>
    <t>KPV/D/386</t>
  </si>
  <si>
    <t>PP FABRILLATED YARN</t>
  </si>
  <si>
    <t>.</t>
  </si>
  <si>
    <t>VENT</t>
  </si>
  <si>
    <t>KPV/D/387</t>
  </si>
  <si>
    <t>MS Structure Items</t>
  </si>
  <si>
    <t>Capital Work in Progress</t>
  </si>
  <si>
    <t>MS PIPE</t>
  </si>
  <si>
    <t>MS Pipe</t>
  </si>
  <si>
    <t>Umasree Texplast Pvt Ltd - Sales</t>
  </si>
  <si>
    <t>KPV/D/384</t>
  </si>
  <si>
    <t>PP UL Fabric Ventilated</t>
  </si>
  <si>
    <t>24AAACU6665Q1ZO</t>
  </si>
  <si>
    <t>KPV/D/389</t>
  </si>
  <si>
    <t>KPV/D/391</t>
  </si>
  <si>
    <t>20-5658/4057-A</t>
  </si>
  <si>
    <t>KPV/D/394</t>
  </si>
  <si>
    <t>PP Lam Fabric With UV</t>
  </si>
  <si>
    <t xml:space="preserve">FIBC Fabric Coated (Less Then 90+20 GSM)_x000D_
</t>
  </si>
  <si>
    <t>Webbing</t>
  </si>
  <si>
    <t>PP WEBBING</t>
  </si>
  <si>
    <t>Webbing Tie MW</t>
  </si>
  <si>
    <t>KPV/D/395</t>
  </si>
  <si>
    <t>KPV/D/396</t>
  </si>
  <si>
    <t>Webbing BLUE / COLOR</t>
  </si>
  <si>
    <t>Webbing MW</t>
  </si>
  <si>
    <t xml:space="preserve">Sulzer Conductive Fabric_x000D_
</t>
  </si>
  <si>
    <t xml:space="preserve">Conductive Fabric-Spout (Coated/Uncoated) Till 90 GSM Total_x000D_
</t>
  </si>
  <si>
    <t>KPV/D/397</t>
  </si>
  <si>
    <t>KPV/D/390</t>
  </si>
  <si>
    <t>PP WOVEN BIG BAG (26.19244/67291111-1)</t>
  </si>
  <si>
    <t>KPV/D/393</t>
  </si>
  <si>
    <t>PP UL Fabric FG</t>
  </si>
  <si>
    <t>KPV/D/398</t>
  </si>
  <si>
    <t>Plastene Polyfilms Ltd-Sales</t>
  </si>
  <si>
    <t>KPV/D/392</t>
  </si>
  <si>
    <t>Granules</t>
  </si>
  <si>
    <t>PP Advanced H312</t>
  </si>
  <si>
    <t>Flexochem Ventures Private Limited</t>
  </si>
  <si>
    <t>KPV/D/402</t>
  </si>
  <si>
    <t>90X90X70</t>
  </si>
  <si>
    <t>24AAFCF0504J1Z2</t>
  </si>
  <si>
    <t>Hcp Plastene Bulkpack Ltd (Unit Iv) - Sales</t>
  </si>
  <si>
    <t>KPV/D/404</t>
  </si>
  <si>
    <t>PP Fibrillated Tape Twisted 3200 Blue</t>
  </si>
  <si>
    <t>BLUE</t>
  </si>
  <si>
    <t>KPV/D/399</t>
  </si>
  <si>
    <t>KPV/D/400</t>
  </si>
  <si>
    <t>KPV/D/401</t>
  </si>
  <si>
    <t>Master batch</t>
  </si>
  <si>
    <t>MB Karnavati Varana Brown</t>
  </si>
  <si>
    <t>KPV/D/403</t>
  </si>
  <si>
    <t>Tecnopacking</t>
  </si>
  <si>
    <t>KPW/E/90/26-27</t>
  </si>
  <si>
    <t>Spain</t>
  </si>
  <si>
    <t>KPV/D/405</t>
  </si>
  <si>
    <t>Webbing BLUE</t>
  </si>
  <si>
    <t>Webbing BLACK</t>
  </si>
  <si>
    <t>KPV/D/406</t>
  </si>
  <si>
    <t>MS Pipe 4  C Class</t>
  </si>
  <si>
    <t>KPV/D/407</t>
  </si>
  <si>
    <t>25/80334/25687/15.4719-18</t>
  </si>
  <si>
    <t>25/80122/25618/15.2622-18</t>
  </si>
  <si>
    <t>KPV/D/409</t>
  </si>
  <si>
    <t>202600223/006789</t>
  </si>
  <si>
    <t>202600237/010144</t>
  </si>
  <si>
    <t>202600237/010145</t>
  </si>
  <si>
    <t>202600237/010146</t>
  </si>
  <si>
    <t>202600237/010147</t>
  </si>
  <si>
    <t>202600253/008267</t>
  </si>
  <si>
    <t>202600262/011117</t>
  </si>
  <si>
    <t>202600311/010174</t>
  </si>
  <si>
    <t>KPV/D/408</t>
  </si>
  <si>
    <t>KPV/D/410</t>
  </si>
  <si>
    <t>PP UL Fabric MW</t>
  </si>
  <si>
    <t xml:space="preserve">Sulzer Ventilated_x000D_
</t>
  </si>
  <si>
    <t>PP MF Yarn</t>
  </si>
  <si>
    <t>PP MF Yarn Flat 1000 Denier UV NW</t>
  </si>
  <si>
    <t>KPV/D/411</t>
  </si>
  <si>
    <t>KPV/D/412</t>
  </si>
  <si>
    <t>KPV/D/413</t>
  </si>
  <si>
    <t xml:space="preserve">Ink </t>
  </si>
  <si>
    <t>Ink Vyankatesh Blue 072 C 505</t>
  </si>
  <si>
    <t>KPV/D/414</t>
  </si>
  <si>
    <t>PO-9211/MFGCL404856DSFOOD</t>
  </si>
  <si>
    <t>Ameriglobe LLC</t>
  </si>
  <si>
    <t>KPW/E/91/26-27</t>
  </si>
  <si>
    <t>Bulk Lift International LLC</t>
  </si>
  <si>
    <t>KPW/E/92/26-27</t>
  </si>
  <si>
    <t>KPV/D/415</t>
  </si>
  <si>
    <t>Hotmelt  ( Glue )</t>
  </si>
  <si>
    <t>KPV/D/416</t>
  </si>
  <si>
    <t>PO26045/0015-15CS(4)-REV08 (PP BIG BAGS)</t>
  </si>
  <si>
    <t>KPV/D/418</t>
  </si>
  <si>
    <t>KPV/D/419</t>
  </si>
  <si>
    <t>KPV/D/420</t>
  </si>
  <si>
    <t>F.G</t>
  </si>
  <si>
    <t>Sacos Durcal S.A</t>
  </si>
  <si>
    <t>KPW/E/93/26-27</t>
  </si>
  <si>
    <t>KPV/D/426</t>
  </si>
  <si>
    <t>BLACK</t>
  </si>
  <si>
    <t>KPV/D/430</t>
  </si>
  <si>
    <t>Polyester Yarn Twisted</t>
  </si>
  <si>
    <t>Filler code</t>
  </si>
  <si>
    <t>Filler Cord</t>
  </si>
  <si>
    <t>PP LAMINETED FABRIC</t>
  </si>
  <si>
    <t xml:space="preserve">Conductive Fabric-FIBC Heavy GSM (More then 90 GSM Total)_x000D_
</t>
  </si>
  <si>
    <t>PP Lam Fabric BLUE</t>
  </si>
  <si>
    <t>Webbing GREEN</t>
  </si>
  <si>
    <t>Webbing MW TIE</t>
  </si>
  <si>
    <t>KPV/D/431</t>
  </si>
  <si>
    <t>KPV/D/425</t>
  </si>
  <si>
    <t>1500020866/01</t>
  </si>
  <si>
    <t>26.19390/MERCER-15</t>
  </si>
  <si>
    <t>POUS-5182/IMPQ06145</t>
  </si>
  <si>
    <t>POUS-5182/IMPQ06235</t>
  </si>
  <si>
    <t>POUS-5182/IMPQ06310</t>
  </si>
  <si>
    <t>KPV/D/427</t>
  </si>
  <si>
    <t>TUBE</t>
  </si>
  <si>
    <t>KPV/D/428</t>
  </si>
  <si>
    <t>KPV/D/423</t>
  </si>
  <si>
    <t>KPV/D/424</t>
  </si>
  <si>
    <t>KPV/D/422</t>
  </si>
  <si>
    <t>6125/JS-14502C (PP WOVEN BIG BAGS)</t>
  </si>
  <si>
    <t>6126/JS-14504 (PP WOVEN BIG BAGS)</t>
  </si>
  <si>
    <t>6138/JS-15030 (PP WOVEN BIG BAGS)</t>
  </si>
  <si>
    <t>KPV/D/429</t>
  </si>
  <si>
    <t>Southern Packaging Lp</t>
  </si>
  <si>
    <t>KPW/E/94/26-27</t>
  </si>
  <si>
    <t>KPW/E/95/26-27</t>
  </si>
  <si>
    <t>KPV/D/434</t>
  </si>
  <si>
    <t>Non Woven Fabric (Felt)</t>
  </si>
  <si>
    <t>Oswal Extrusion Ltd- KASEZ-Sales</t>
  </si>
  <si>
    <t>SALES (FOREX)</t>
  </si>
  <si>
    <t>KPW/E/97/26-27</t>
  </si>
  <si>
    <t>Sales - Kasez - Trading - U/B</t>
  </si>
  <si>
    <t>24AAACO7290H4ZB</t>
  </si>
  <si>
    <t>Sales - Waste &amp; Scrape</t>
  </si>
  <si>
    <t>KPV/D/435</t>
  </si>
  <si>
    <t>Waste</t>
  </si>
  <si>
    <t>PP/HD Wastage/Scrap</t>
  </si>
  <si>
    <t>KPV/D/436</t>
  </si>
  <si>
    <t>26.19389/MERCER-16</t>
  </si>
  <si>
    <t>26/80334/26167/15.4716-18</t>
  </si>
  <si>
    <t>8500591215/A-157775</t>
  </si>
  <si>
    <t>8500595084/A-136599</t>
  </si>
  <si>
    <t>KPV/D/432</t>
  </si>
  <si>
    <t>LESS THAN 90 GSM</t>
  </si>
  <si>
    <t>KPV/D/433</t>
  </si>
  <si>
    <t>KPW/E/96/26-27</t>
  </si>
  <si>
    <t>PP WOVEN BIG BAGS</t>
  </si>
  <si>
    <t>KPV/D/437</t>
  </si>
  <si>
    <t>Kgs</t>
  </si>
  <si>
    <t>KPW/E/98/26-27</t>
  </si>
  <si>
    <t>Sales - Direct Export - Mfg - U/B</t>
  </si>
  <si>
    <t>Exim Handelsonderneming Rotterdam Bv</t>
  </si>
  <si>
    <t>KPW/E/99/26-27</t>
  </si>
  <si>
    <t>Netherlands</t>
  </si>
  <si>
    <t>KPV/D/438</t>
  </si>
  <si>
    <t>PP UL Fabric YELLOW</t>
  </si>
  <si>
    <t>KPV/D/439</t>
  </si>
  <si>
    <t>KPW/E/100/26-27</t>
  </si>
  <si>
    <t>P WOVEN BIG BAG</t>
  </si>
  <si>
    <t>Chamunda Scrap Traders</t>
  </si>
  <si>
    <t>KPV/D/443</t>
  </si>
  <si>
    <t>Wooden Scrap</t>
  </si>
  <si>
    <t>24EWDPS1555M1Z4</t>
  </si>
  <si>
    <t>KPV/D/442</t>
  </si>
  <si>
    <t>Thinner VLX</t>
  </si>
  <si>
    <t>Thinner Vyankatesh Thinner</t>
  </si>
  <si>
    <t>KPV/D/445</t>
  </si>
  <si>
    <t>KPV/D/446</t>
  </si>
  <si>
    <t>KPV/D/444</t>
  </si>
  <si>
    <t>KPV/D/447</t>
  </si>
  <si>
    <t>KPV/D/449</t>
  </si>
  <si>
    <t>8500594008/156904</t>
  </si>
  <si>
    <t>KPV/D/440</t>
  </si>
  <si>
    <t>KPV/D/441</t>
  </si>
  <si>
    <t>KPV/D/448</t>
  </si>
  <si>
    <t>PP Fibrillated Tape Twisted 3200 Black</t>
  </si>
  <si>
    <t>KPV/D/450</t>
  </si>
  <si>
    <t>BC-62900/04-11883</t>
  </si>
  <si>
    <t>BC-63801/04-11452</t>
  </si>
  <si>
    <t>KPV/D/453</t>
  </si>
  <si>
    <t>Webbing BLUE &amp; BLACK</t>
  </si>
  <si>
    <t xml:space="preserve"> Webbing MW</t>
  </si>
  <si>
    <t>KPV/D/454</t>
  </si>
  <si>
    <t>KPV/D/451</t>
  </si>
  <si>
    <t>200651575/82992</t>
  </si>
  <si>
    <t>KPV/D/452</t>
  </si>
  <si>
    <t>200651666/82992</t>
  </si>
  <si>
    <t>KPV/D/455</t>
  </si>
  <si>
    <t>BC-63840/04-10415</t>
  </si>
  <si>
    <t>Zakkencentrale Belgium N.V.</t>
  </si>
  <si>
    <t>KPW/E/101/26-27</t>
  </si>
  <si>
    <t>Belgium</t>
  </si>
  <si>
    <t>Avesta Pharma Pvt Ltd</t>
  </si>
  <si>
    <t>KPV/D/456</t>
  </si>
  <si>
    <t>86X86X122</t>
  </si>
  <si>
    <t>27AAHCA7372B1ZS</t>
  </si>
  <si>
    <t>KPV/D/458</t>
  </si>
  <si>
    <t>KPV/D/457</t>
  </si>
  <si>
    <t>PP Zhongjing T30S</t>
  </si>
  <si>
    <t>KPV/D/460</t>
  </si>
  <si>
    <t>FIBC Fabric Coated (Less Then 90+20 GSM)_x000D_
 MW</t>
  </si>
  <si>
    <t>FIBC Fabric Coated (Less Then 90+20 GSM)_x000D_
 BLACK</t>
  </si>
  <si>
    <t>KPV/D/459</t>
  </si>
  <si>
    <t>GREEN</t>
  </si>
  <si>
    <t>YELLOW</t>
  </si>
  <si>
    <t>KPV/D/461</t>
  </si>
  <si>
    <t>KPV/D/464</t>
  </si>
  <si>
    <t>KPV/D/466</t>
  </si>
  <si>
    <t>Zip Lock Bags</t>
  </si>
  <si>
    <t>Liners</t>
  </si>
  <si>
    <t>LLDPE BAGS</t>
  </si>
  <si>
    <t>LDPE/LLDPE Bags/Liner</t>
  </si>
  <si>
    <t>GOG</t>
  </si>
  <si>
    <t>PP Rope</t>
  </si>
  <si>
    <t>PP Braided Rope MW 6 to 8 GPM</t>
  </si>
  <si>
    <t>Olive Industries - Sales</t>
  </si>
  <si>
    <t>KPV/D/465</t>
  </si>
  <si>
    <t>MB JJ White WE9381PT</t>
  </si>
  <si>
    <t>KPV/D/467</t>
  </si>
  <si>
    <t>Small Bags</t>
  </si>
  <si>
    <t>PP Lam Bags With UV</t>
  </si>
  <si>
    <t>PP Lam Bags ( 26.19417 )</t>
  </si>
  <si>
    <t>KPV/D/468</t>
  </si>
  <si>
    <t>KPV/D/469</t>
  </si>
  <si>
    <t>PP Lam Fabric BLACK</t>
  </si>
  <si>
    <t>PP Lam Fabric MW</t>
  </si>
  <si>
    <t>KPV/D/470</t>
  </si>
  <si>
    <t>KPV/D/471</t>
  </si>
  <si>
    <t>26.19388/MERCER-19</t>
  </si>
  <si>
    <t>26.19391/MERCER-17</t>
  </si>
  <si>
    <t>Shivam Traders - Sales (24AGUPS9760R1ZZ)</t>
  </si>
  <si>
    <t>KPV/D/462</t>
  </si>
  <si>
    <t>90X90X120</t>
  </si>
  <si>
    <t>24AGUPS9760R1ZZ</t>
  </si>
  <si>
    <t>90X90X135</t>
  </si>
  <si>
    <t>90X90X90</t>
  </si>
  <si>
    <t>90X90X80</t>
  </si>
  <si>
    <t>90X90X110</t>
  </si>
  <si>
    <t>90X90X130</t>
  </si>
  <si>
    <t>KPV/D/463</t>
  </si>
  <si>
    <t>Condepols, S.A.</t>
  </si>
  <si>
    <t>KPW/E/105/26-27</t>
  </si>
  <si>
    <t>PP SULZER FABRIC WITH UV MILKY WHITE</t>
  </si>
  <si>
    <t>FPS Flexibles France Sarl</t>
  </si>
  <si>
    <t>KPW/E/103/26-27</t>
  </si>
  <si>
    <t>France</t>
  </si>
  <si>
    <t>KPV/D/474</t>
  </si>
  <si>
    <t>Needles</t>
  </si>
  <si>
    <t>stores &amp;  spares</t>
  </si>
  <si>
    <t>Needle No 29 UY 9848 GS 300</t>
  </si>
  <si>
    <t>KPV/D/472</t>
  </si>
  <si>
    <t>VENTILATED</t>
  </si>
  <si>
    <t>KPV/D/473</t>
  </si>
  <si>
    <t>KPV/D/475</t>
  </si>
  <si>
    <t>Needle No 28</t>
  </si>
  <si>
    <t>KPW/E/104/26-27</t>
  </si>
  <si>
    <t>KPW/E/102/26-27</t>
  </si>
  <si>
    <t>KPV/D/477</t>
  </si>
  <si>
    <t>KPV/D/478</t>
  </si>
  <si>
    <t>KPV/D/479</t>
  </si>
  <si>
    <t>KPV/D/480</t>
  </si>
  <si>
    <t xml:space="preserve">Kusum Packaging Solutions Pvt Ltd </t>
  </si>
  <si>
    <t>KPV/D/476</t>
  </si>
  <si>
    <t>HD MONO BLACK NET 160 GSM</t>
  </si>
  <si>
    <t>24AAKCK4474B1ZO</t>
  </si>
  <si>
    <t>KPV/D/481</t>
  </si>
  <si>
    <t>24/80122/24183/15.2849-18</t>
  </si>
  <si>
    <t>KPV/D/482</t>
  </si>
  <si>
    <t>E-IO26-00456/006810-00006-00</t>
  </si>
  <si>
    <t>Somlo-Zsak Kender-Juta Kft</t>
  </si>
  <si>
    <t>KPW/E/106/26-27</t>
  </si>
  <si>
    <t>Hungary</t>
  </si>
  <si>
    <t>KPW/E/107/26-27</t>
  </si>
  <si>
    <t>KPV/D/486</t>
  </si>
  <si>
    <t>KPV/D/483</t>
  </si>
  <si>
    <t>MB Clariant CMC Veer HP RED 485B</t>
  </si>
  <si>
    <t>KPV/D/484</t>
  </si>
  <si>
    <t>20BB-2026-PL-010/RCV145Q</t>
  </si>
  <si>
    <t>KPV/D/485</t>
  </si>
  <si>
    <t>PP MF Yarn Twisted 1000 Blue</t>
  </si>
  <si>
    <t>1000 DNR BLUE</t>
  </si>
  <si>
    <t>PP MF Yarn Twisted 2500 Blue</t>
  </si>
  <si>
    <t>2500 DNR BLUE</t>
  </si>
  <si>
    <t>KPV/D/487</t>
  </si>
  <si>
    <t>4500202488/SGS-5</t>
  </si>
  <si>
    <t>PO-067306/CA 1F</t>
  </si>
  <si>
    <t>KPV/D/488</t>
  </si>
  <si>
    <t xml:space="preserve">FIBC Fabric Coated (More then 90+20 GSM)_x000D_
</t>
  </si>
  <si>
    <t>KPV/D/489</t>
  </si>
  <si>
    <t>KPV/D/490</t>
  </si>
  <si>
    <t>KPV/D/491</t>
  </si>
  <si>
    <t>KPW/E/108/26-27</t>
  </si>
  <si>
    <t>KPV/D/492</t>
  </si>
  <si>
    <t>Webbing Tie</t>
  </si>
  <si>
    <t>KPV/D/493</t>
  </si>
  <si>
    <t>FIBCO/PO/2026/0087/JBPL-145L</t>
  </si>
  <si>
    <t>KPV/D/494</t>
  </si>
  <si>
    <t>KPV/D/495</t>
  </si>
  <si>
    <t>KPV/D/496</t>
  </si>
  <si>
    <t>KPV/D/497</t>
  </si>
  <si>
    <t>MB Alok Blue 10363</t>
  </si>
  <si>
    <t>KPV/D/498</t>
  </si>
  <si>
    <t>KPV/D/499</t>
  </si>
  <si>
    <t>KPV/D/500</t>
  </si>
  <si>
    <t>Balaji Formalin Private Limited</t>
  </si>
  <si>
    <t>KPV/D/506</t>
  </si>
  <si>
    <t>105X105X70</t>
  </si>
  <si>
    <t>27AABCB7062K1ZJ</t>
  </si>
  <si>
    <t>KPW/E/109/26-27</t>
  </si>
  <si>
    <t>KPV/D/502</t>
  </si>
  <si>
    <t>MORE THAN 90 GSM</t>
  </si>
  <si>
    <t>G.O.G</t>
  </si>
  <si>
    <t>KPV/D/503</t>
  </si>
  <si>
    <t>KPV/D/507</t>
  </si>
  <si>
    <t>26/80334/26168/15.4720-18</t>
  </si>
  <si>
    <t>KPV/D/501</t>
  </si>
  <si>
    <t>KPV/D/504</t>
  </si>
  <si>
    <t>LESS THA 90 GSM</t>
  </si>
  <si>
    <t>KPV/D/505</t>
  </si>
  <si>
    <t>KPV/D/508</t>
  </si>
  <si>
    <t>BC-63758/04-12600</t>
  </si>
  <si>
    <t>KPV/D/511</t>
  </si>
  <si>
    <t>KPW/2026/CONT-172/01</t>
  </si>
  <si>
    <t>KPW/2026/CONT-175/01</t>
  </si>
  <si>
    <t>KPV/D/509</t>
  </si>
  <si>
    <t>CONDUCTIVE</t>
  </si>
  <si>
    <t>KPV/D/510</t>
  </si>
  <si>
    <t>KPW/E/110/26-27</t>
  </si>
  <si>
    <t>KPV/D/512</t>
  </si>
  <si>
    <t>PNHF-17-A1</t>
  </si>
  <si>
    <t>PNHF-17-A2</t>
  </si>
  <si>
    <t>KPV/D/513</t>
  </si>
  <si>
    <t>KPV/D/514</t>
  </si>
  <si>
    <t>KPV/D/515</t>
  </si>
  <si>
    <t>Fibco Plastic Industry Llc</t>
  </si>
  <si>
    <t>KPW/E/111/26-27</t>
  </si>
  <si>
    <t>90X90X127_160 Bags/Pallet</t>
  </si>
  <si>
    <t>United Arab Emirates</t>
  </si>
  <si>
    <t>KPV/D/516</t>
  </si>
  <si>
    <t>REJECT BAGS</t>
  </si>
  <si>
    <t>KPV/D/517</t>
  </si>
  <si>
    <t>SAS Emballage Industrie Concept - Bazelle</t>
  </si>
  <si>
    <t>KPW/E/112/26-27</t>
  </si>
  <si>
    <t>75X75X125_380 Bags/Pallet</t>
  </si>
  <si>
    <t>95X95X110_325 Bags/Pallet</t>
  </si>
  <si>
    <t>60X60X70_500 Bags/Pallet</t>
  </si>
  <si>
    <t>95X95X110_300 Bags/Pallet</t>
  </si>
  <si>
    <t>80X80X90_375 Bags/Pallet</t>
  </si>
  <si>
    <t>KPW/E/113/26-27</t>
  </si>
  <si>
    <t>79X79X91_350 Bags/Pallet</t>
  </si>
  <si>
    <t>95X95X110_265 Bags/Pallet</t>
  </si>
  <si>
    <t>95X95X110_250 Bags/Pallet</t>
  </si>
  <si>
    <t>88X88X104_300 Bags/Pallet</t>
  </si>
  <si>
    <t>80X80X90_500 Bags/Pallet</t>
  </si>
  <si>
    <t>95X95X195_210 Bags/Pallet</t>
  </si>
  <si>
    <t>KPW/E/114/26-27</t>
  </si>
  <si>
    <t>91X91X100_300 Bags/Pallet</t>
  </si>
  <si>
    <t>86X86X108_290 Bags/Pallet</t>
  </si>
  <si>
    <t>91X91X180_130 Bags/Pallet</t>
  </si>
  <si>
    <t>Arrow Asssociates</t>
  </si>
  <si>
    <t>KPV/D/524</t>
  </si>
  <si>
    <t>79X79X97</t>
  </si>
  <si>
    <t>24AADFN9576H1ZX</t>
  </si>
  <si>
    <t>KPW/E/116/26-27</t>
  </si>
  <si>
    <t>91X96X173_165 Bags/Pallet</t>
  </si>
  <si>
    <t>KPV/D/522</t>
  </si>
  <si>
    <t>KPV/D/518</t>
  </si>
  <si>
    <t>Packaging Material</t>
  </si>
  <si>
    <t>Packing Materials</t>
  </si>
  <si>
    <t>Plastic Pallet</t>
  </si>
  <si>
    <t>KPV/D/519</t>
  </si>
  <si>
    <t>FIBCO/PO/2026/JBPL-120-TC</t>
  </si>
  <si>
    <t>KPV/D/523</t>
  </si>
  <si>
    <t>KPV/D/520</t>
  </si>
  <si>
    <t>KPV/D/521</t>
  </si>
  <si>
    <t>KPW/E/115/26-27</t>
  </si>
  <si>
    <t>90X90X100_450 BAGS/PALLET</t>
  </si>
  <si>
    <t>85X85X90_500 BAGS/PALLET</t>
  </si>
  <si>
    <t>90X90X100_420 BAGS/PALLET</t>
  </si>
  <si>
    <t>80X80X80_500 BAGS/PALLET</t>
  </si>
  <si>
    <t>80X80X80_600 BAGS/PALLET</t>
  </si>
  <si>
    <t>90X90X100_400 BAGS/PALLET</t>
  </si>
  <si>
    <t>KPW/E/117/26-27</t>
  </si>
  <si>
    <t>90X90X90_500 BAGS/PALLET</t>
  </si>
  <si>
    <t>80X80X90_550 BAGS/PALLET</t>
  </si>
  <si>
    <t>KPV/D/532</t>
  </si>
  <si>
    <t>KPV/D/533</t>
  </si>
  <si>
    <t>KPV/D/528</t>
  </si>
  <si>
    <t>Sulzer Ventilated_x000D_
 Black</t>
  </si>
  <si>
    <t>KPV/D/529</t>
  </si>
  <si>
    <t>KPV/D/534</t>
  </si>
  <si>
    <t>Webbing COLOR</t>
  </si>
  <si>
    <t>KPV/D/536</t>
  </si>
  <si>
    <t>KPV/D/527</t>
  </si>
  <si>
    <t>KPV/D/530</t>
  </si>
  <si>
    <t>26.19438/ips-414156typeD-1</t>
  </si>
  <si>
    <t>KPV/D/526</t>
  </si>
  <si>
    <t>KPV/D/531</t>
  </si>
  <si>
    <t>PO342/HU0240</t>
  </si>
  <si>
    <t>Shree Bahuchar Trading Company</t>
  </si>
  <si>
    <t>KPV/D/525</t>
  </si>
  <si>
    <t>EMPTY INDOTHIN BAG</t>
  </si>
  <si>
    <t>24BIOPD0858C1ZK</t>
  </si>
  <si>
    <t>KPW/E/119/26-27</t>
  </si>
  <si>
    <t>89X89X104_150 Bags/Pallet</t>
  </si>
  <si>
    <t>KPV/D/537</t>
  </si>
  <si>
    <t>FVPL/PO/2026-00144</t>
  </si>
  <si>
    <t>KPV/D/538</t>
  </si>
  <si>
    <t>KPW/E/118/26-27</t>
  </si>
  <si>
    <t>105X105X175_150 Bags/Pallet</t>
  </si>
  <si>
    <t>purchase Group Name</t>
  </si>
  <si>
    <t>Pp Rope</t>
  </si>
  <si>
    <t>Stitching Spares</t>
  </si>
  <si>
    <t>Needle Lever Connecting Rod ( Big Bkt.) # 502690 B</t>
  </si>
  <si>
    <t>Pcs</t>
  </si>
  <si>
    <t>Feed Bar Bracket 603616</t>
  </si>
  <si>
    <t>502683 (Needle Lever Conn. Rod Bkt. (Small )</t>
  </si>
  <si>
    <t>Looper Avoid Eccentric Fork 603516</t>
  </si>
  <si>
    <t>Paper Cores</t>
  </si>
  <si>
    <t>Paper Core</t>
  </si>
  <si>
    <t>Cutting Machine Spares</t>
  </si>
  <si>
    <t>Top Pinch Roller Shaft 11169158800</t>
  </si>
  <si>
    <t>Bottom Pinch Roller Shaft 11169159000</t>
  </si>
  <si>
    <t>Monofilament Yarn 840 Denier</t>
  </si>
  <si>
    <t>Container Seal (Rem Mark)</t>
  </si>
  <si>
    <t>MB Colman Shiny Black ( RD Black-01 )</t>
  </si>
  <si>
    <t>Webbing MF</t>
  </si>
  <si>
    <t>Cutter Blades</t>
  </si>
  <si>
    <t>Scissor Plastic Handle</t>
  </si>
  <si>
    <t>Rubber/Polymer Stereo</t>
  </si>
  <si>
    <t>Rubber Stereo</t>
  </si>
  <si>
    <t>PCS</t>
  </si>
  <si>
    <t>Heaters</t>
  </si>
  <si>
    <t>Ceramic Heater 300mm(D)X45mm(L) 240 V A.C.2000 W</t>
  </si>
  <si>
    <t>Pallets</t>
  </si>
  <si>
    <t>Pine Wooden Pallet Design Code STD90110</t>
  </si>
  <si>
    <t>Forklift Spares</t>
  </si>
  <si>
    <t>Fog Lamp For Forklift Head Light</t>
  </si>
  <si>
    <t>Sulzer Machine Spares</t>
  </si>
  <si>
    <t>Sliding Catch For P7100 Part no.911.801.104</t>
  </si>
  <si>
    <t>Drive shaft p7100, 911803136</t>
  </si>
  <si>
    <t>Non Woven Fabric (Felt) 170Gsm.Pati Cut Length- 2" ( 5 Cm ) (Food Grade Quality)</t>
  </si>
  <si>
    <t>PP Basell 462S</t>
  </si>
  <si>
    <t>IT Spares</t>
  </si>
  <si>
    <t>8 Port Dlink Switch</t>
  </si>
  <si>
    <t>Hardware Items</t>
  </si>
  <si>
    <t>Allen Bolt 12X40 mm</t>
  </si>
  <si>
    <t>Grub Screw 12X30 mm ( Ub / Tvs )</t>
  </si>
  <si>
    <t>Allen Bolt 14X40 mm</t>
  </si>
  <si>
    <t>MS Hex Nipple 1/2"</t>
  </si>
  <si>
    <t>Hyd. Hex Nipple 1"</t>
  </si>
  <si>
    <t>Hydraulic  Hex  Nipple  2"</t>
  </si>
  <si>
    <t>Grub Screw 10X15</t>
  </si>
  <si>
    <t>DOC Pouch</t>
  </si>
  <si>
    <t>ZTFA/26002TN [BOE/BOL:2026894/COSU6441186480]</t>
  </si>
  <si>
    <t>Singapore</t>
  </si>
  <si>
    <t>ZTFA/26002TN,. [BOE/BOL:2026894/COSU6441186480]</t>
  </si>
  <si>
    <t>ZTFA/26002TN,, [BOE/BOL:2026894/COSU6441186480]</t>
  </si>
  <si>
    <t>utility</t>
  </si>
  <si>
    <t>Hot Air Gun</t>
  </si>
  <si>
    <t>Gear Box</t>
  </si>
  <si>
    <t>Worm Gearbox Make:Elecon,Model :3Nu</t>
  </si>
  <si>
    <t>PE Labels (Pcs)</t>
  </si>
  <si>
    <t>Tyvek Labels (Pcs)</t>
  </si>
  <si>
    <t>Pump</t>
  </si>
  <si>
    <t>Radial Piston Pump Model No.1Rce7B-50 (Sp)</t>
  </si>
  <si>
    <t>ZTFA/26002TN.. [BOE/BOL:2026894/COSU6441186480]</t>
  </si>
  <si>
    <t>ZTFA/26002TN., [BOE/BOL:2026894/COSU6441186480]</t>
  </si>
  <si>
    <t>Projectile Body (D2)</t>
  </si>
  <si>
    <t>Splined Shaft (For Sulzer Teckup) -911110162</t>
  </si>
  <si>
    <t>Needle Loom Spares</t>
  </si>
  <si>
    <t>Guide             9063</t>
  </si>
  <si>
    <t>Pinion Intermediate  8234</t>
  </si>
  <si>
    <t>Ceramic 9034</t>
  </si>
  <si>
    <t>Change Gear 8219</t>
  </si>
  <si>
    <t>LLDPE Film</t>
  </si>
  <si>
    <t>Films All (SF)</t>
  </si>
  <si>
    <t>LDPE/LLDPE Film – Conductive</t>
  </si>
  <si>
    <t>PP HPCL Y35GR</t>
  </si>
  <si>
    <t>MB Alok Blue AM10430 Pantone 072C</t>
  </si>
  <si>
    <t>Oil Seal</t>
  </si>
  <si>
    <t>O Ring Pu 95 X 5 mm</t>
  </si>
  <si>
    <t>Fuses</t>
  </si>
  <si>
    <t>Fuse Hrc 630 Amp. Sb 03 Standard</t>
  </si>
  <si>
    <t>Fuse Link 400 Amp , Hrc Type-Hn,Size-Ii L&amp;T Make</t>
  </si>
  <si>
    <t>ZTFA/26002TN,,, [BOE/BOL:2026894/COSU6441186480]</t>
  </si>
  <si>
    <t>MB Karnavati  New Chrome Yellow</t>
  </si>
  <si>
    <t>MB Karnavati Leaf Green</t>
  </si>
  <si>
    <t>MB Karnavati Polyplast Blue</t>
  </si>
  <si>
    <t>MB Karnavati Rishi Green-T</t>
  </si>
  <si>
    <t>MB Karnavati Shiny Black</t>
  </si>
  <si>
    <t>Alfa Blade For Sdi Cutter Knife. Size;-18mm No.1404H</t>
  </si>
  <si>
    <t>Foot Round For Beam KB support 911.806.329</t>
  </si>
  <si>
    <t>NOS</t>
  </si>
  <si>
    <t>Hexagonal Nut M16 For Beam KB support 921.509.900</t>
  </si>
  <si>
    <t>Bolt M16x145 For Beam KB support 911.113.479</t>
  </si>
  <si>
    <t>Support Bolt M16x285 For Beam KB support 911.164.201</t>
  </si>
  <si>
    <t>Disc Left-Hand Thread (40x30, M16) For Beam KB support 911.006.227</t>
  </si>
  <si>
    <t>Guide Tooth D1</t>
  </si>
  <si>
    <t>Conveyr Chain Cover</t>
  </si>
  <si>
    <t>Hexagon socket counter Sunk Screw M6x20, 921.011.504</t>
  </si>
  <si>
    <t>Upper Guide Plate D1 P7100, 911.316.659</t>
  </si>
  <si>
    <t>Upper Guide Plate D1 PU 911.116.150</t>
  </si>
  <si>
    <t>Brass Rivet Small (For Sulzer Harness)</t>
  </si>
  <si>
    <t>Gear Wheel 4:60 Gun Metal With Bearing Slot</t>
  </si>
  <si>
    <t>PP RIL H350FG</t>
  </si>
  <si>
    <t>Contactor</t>
  </si>
  <si>
    <t>Contactor LC1D09 25 A Coil -24 V.Ac</t>
  </si>
  <si>
    <t>Bailing Machine Spares</t>
  </si>
  <si>
    <t>Hydraulic Hose pipe 2" x 3 mtr, Both side swivel nut with one side L bend , WP - 350 Bar</t>
  </si>
  <si>
    <t>Drive Shaft EP10 P7100 for tappet motion 911.348.018</t>
  </si>
  <si>
    <t>Drive Shaft EP10 Tw11 for tappet motion 911.148.288</t>
  </si>
  <si>
    <t>Elastic Band Width 38 mmWhite</t>
  </si>
  <si>
    <t>MTR</t>
  </si>
  <si>
    <t>Filters for Extrusion</t>
  </si>
  <si>
    <t>Ss Scr.Mesh 204mm Diax120 Mesh</t>
  </si>
  <si>
    <t>Ss Scr.Mesh 204mm Diax20 Mesh</t>
  </si>
  <si>
    <t>Ss Scr.Mesh 204mm Diax80 Mesh</t>
  </si>
  <si>
    <t>Spray Wd 40 - 400 Ml</t>
  </si>
  <si>
    <t>Allen Bolt 04X35 mm</t>
  </si>
  <si>
    <t>Gi Washer 8 mm</t>
  </si>
  <si>
    <t>Chain 5/8"  Single Make-Diamond</t>
  </si>
  <si>
    <t>Pkts</t>
  </si>
  <si>
    <t>Circlip Plier 06" External</t>
  </si>
  <si>
    <t>Welding Rods</t>
  </si>
  <si>
    <t>SS Welding Road 2.5mm</t>
  </si>
  <si>
    <t>Building Material</t>
  </si>
  <si>
    <t>Dammer Roll ( Tarpentine )</t>
  </si>
  <si>
    <t>ROLLS</t>
  </si>
  <si>
    <t>Lights/Fans</t>
  </si>
  <si>
    <t>Tubelight Set 4 Feet/40Wott/250V.Ac/T Class-Z, C.G. Make, Flp, Fluorescent Luminaire Ex " D " I P55 Extl 14, Cmri No. V/1/1/5977</t>
  </si>
  <si>
    <t>SET</t>
  </si>
  <si>
    <t>Uniform/protective Item</t>
  </si>
  <si>
    <t>Apron Colour White</t>
  </si>
  <si>
    <t>Pulley</t>
  </si>
  <si>
    <t>Pully 70mm</t>
  </si>
  <si>
    <t>Lever Adjusting Screw No-33</t>
  </si>
  <si>
    <t>Clutch Linier (With Plate)</t>
  </si>
  <si>
    <t>Clutch Shaft Set No 21</t>
  </si>
  <si>
    <t>Threaded Lever  No-1 For TW11 130 Machine Part No-912.509.491</t>
  </si>
  <si>
    <t>Threaded Lever  No-3 For TW11 130 Machine Part No-912.509.493</t>
  </si>
  <si>
    <t>Projectile Gripper D2  4X5mm, 2500 GMS, Multi Grooved Type</t>
  </si>
  <si>
    <t>HD Lam Fabric With UV</t>
  </si>
  <si>
    <t>Bearings</t>
  </si>
  <si>
    <t>Bearing 126 No.</t>
  </si>
  <si>
    <t>Bearing No Csk 17Cs St1Bep</t>
  </si>
  <si>
    <t>Bearing 6902 Zz.</t>
  </si>
  <si>
    <t>LLDPE Granuals</t>
  </si>
  <si>
    <t>LLDPE F0120L HMEL</t>
  </si>
  <si>
    <t>Pneumatic Cylinders &amp; Spares</t>
  </si>
  <si>
    <t>Pneumatic Cylinder Seal Kit, Make -Janatics, Model No. A24032075O</t>
  </si>
  <si>
    <t>Set</t>
  </si>
  <si>
    <t>Solvent</t>
  </si>
  <si>
    <t>Ltr</t>
  </si>
  <si>
    <t>PVC Fittings</t>
  </si>
  <si>
    <t>UPVC Elbow 4"</t>
  </si>
  <si>
    <t>Electrical Fittings</t>
  </si>
  <si>
    <t>Ear Plug</t>
  </si>
  <si>
    <t>PAIR</t>
  </si>
  <si>
    <t>Cutter Lifter</t>
  </si>
  <si>
    <t>Screw - 99240</t>
  </si>
  <si>
    <t>Screw 22824</t>
  </si>
  <si>
    <t>Electrical Items/Spares</t>
  </si>
  <si>
    <t>Rechargable Torch Make- Eveready</t>
  </si>
  <si>
    <t>MCB &amp; MCCBs</t>
  </si>
  <si>
    <t>Mcb 32 Amp. 2 Pole</t>
  </si>
  <si>
    <t>Insulator (Spout Die Support) Part No : 1169150700</t>
  </si>
  <si>
    <t>Wooden Pallet Flate Size 85X105Cm</t>
  </si>
  <si>
    <t>Apron Colour Sky Blue Short Sleeves Labcoat</t>
  </si>
  <si>
    <t>Ink Vyankatesh Poly Opaque White OPEQUE WHITE VLX 624</t>
  </si>
  <si>
    <t>Ink Vyankatesh Poly Process Yellow VLX 671</t>
  </si>
  <si>
    <t>Ink Vyankatesh Poly Orange 021 C VLX 528</t>
  </si>
  <si>
    <t>Looper A 3376 SS3000 2H</t>
  </si>
  <si>
    <t>Looper A 3375 SS3000 2H</t>
  </si>
  <si>
    <t>Screw For Looper 73,SS3000 2H</t>
  </si>
  <si>
    <t>Set Screw 22894</t>
  </si>
  <si>
    <t>Set Screw 89</t>
  </si>
  <si>
    <t>Needle Holder A 8373 B</t>
  </si>
  <si>
    <t>Allen Bolt 14X30 mm</t>
  </si>
  <si>
    <t>Hex Bolt 12X100 mm Full Thread</t>
  </si>
  <si>
    <t>Allen Key 10 mm - L Type</t>
  </si>
  <si>
    <t>UV PIL NFG Natural MFY PP 20%</t>
  </si>
  <si>
    <t>Ear B-Lock Natural Colour</t>
  </si>
  <si>
    <t>B-Lock PP Natural Color Galaxy make</t>
  </si>
  <si>
    <t>Sleeve Part No.11150001300</t>
  </si>
  <si>
    <t>Tape Plant Spares</t>
  </si>
  <si>
    <t>Brake Part No. 11130860430</t>
  </si>
  <si>
    <t>Circular Loom Spares</t>
  </si>
  <si>
    <t>Rubber Emery 100 mMSq. Type</t>
  </si>
  <si>
    <t>Disposable Cap</t>
  </si>
  <si>
    <t>M19 On-Off Switch Luna (43A00829S - 24.0047)</t>
  </si>
  <si>
    <t>M20 Frame for Luna On-Off Switch (24.0048 - 43A008285)</t>
  </si>
  <si>
    <t>Eyelet  27.0479.002 Sr No 62</t>
  </si>
  <si>
    <t>Accumulator Spares</t>
  </si>
  <si>
    <t>S/Z Switch Part no.24.0810.001</t>
  </si>
  <si>
    <t>Winding Disc Complete Part no.24.0783.101</t>
  </si>
  <si>
    <t>Sulzer Loom Spares</t>
  </si>
  <si>
    <t>Sensor Circuit Board HDX-2 Part No 9E00415R</t>
  </si>
  <si>
    <t>Kit on/off switch 24.0721.R</t>
  </si>
  <si>
    <t>Sensor Board Cable A/C 05R01401</t>
  </si>
  <si>
    <t>Prewinder Circuit Board HDX3, 09E00840</t>
  </si>
  <si>
    <t>Sensor Circuit Board HDX3, 09E00842</t>
  </si>
  <si>
    <t>On/Off Magnet Holder HDX3, 24.0642</t>
  </si>
  <si>
    <t>Sensor Board Cable HDX2, 05R01006</t>
  </si>
  <si>
    <t>Widing  Disc HDX2, 24.0384.201</t>
  </si>
  <si>
    <t>Max Speed Switch HDX2, 27.0509</t>
  </si>
  <si>
    <t>Bellow Compl. HDX2/HDX3, 24.0573.003</t>
  </si>
  <si>
    <t>Counter Weight HDX2/HDX3, 24.0912</t>
  </si>
  <si>
    <t>Motor Circuit Board Sr No.24 Part No:- 09E00442R</t>
  </si>
  <si>
    <t>Tumble Cylinder Xl. Compl. Part No.24.0141.004</t>
  </si>
  <si>
    <t>Max Speed Switch 24.0810.003</t>
  </si>
  <si>
    <t>Eyelet HDX3, 24.0777.001</t>
  </si>
  <si>
    <t>Bellow Ser No.132 Part No:-240242</t>
  </si>
  <si>
    <t>Purchase Return</t>
  </si>
  <si>
    <t>KPV/PR/4</t>
  </si>
  <si>
    <t>Purchase Return - Stores, Spares &amp; Consumable</t>
  </si>
  <si>
    <t>Hinges 2"</t>
  </si>
  <si>
    <t>Blowers</t>
  </si>
  <si>
    <t>Centrifugal Blower 0.25 Hp, 3 Phase, 2800 Rpm.</t>
  </si>
  <si>
    <t>Crucible- 25-50ML, Dia- 6 Cm (Ceramic Bowl For Temperature- 650 Degree)</t>
  </si>
  <si>
    <t>Switch 6 Amp</t>
  </si>
  <si>
    <t>Mending Cutter</t>
  </si>
  <si>
    <t>Distil Water</t>
  </si>
  <si>
    <t>LTR</t>
  </si>
  <si>
    <t>Stationery Items</t>
  </si>
  <si>
    <t>Xerox Paper A/4 - Bond Paper</t>
  </si>
  <si>
    <t>Pkt</t>
  </si>
  <si>
    <t>Guide Tooth Patti Set (Lower / Upper )</t>
  </si>
  <si>
    <t>Velcro 50 mm Male And Female ( White )</t>
  </si>
  <si>
    <t>Velcro W- 50mm Black Male X L-25 Mtr</t>
  </si>
  <si>
    <t>Velcro W- 50mm Black Female X L-25 Mtr</t>
  </si>
  <si>
    <t>Woolen Felt-Size 4 Inch Width * 8mm Thickness * 13 Feet Length</t>
  </si>
  <si>
    <t>HCP/D/58 [BOE/BOL:2286054/0]</t>
  </si>
  <si>
    <t>LLDPE KUNLUN DFDA9047</t>
  </si>
  <si>
    <t>V Belt</t>
  </si>
  <si>
    <t>V Belt A-78  Fenner</t>
  </si>
  <si>
    <t>Bearing 22206 E - Zkl</t>
  </si>
  <si>
    <t>Bearing 6212 Zz Skf</t>
  </si>
  <si>
    <t>Bearing 6001 Zz</t>
  </si>
  <si>
    <t>Bearing 6202 Zz</t>
  </si>
  <si>
    <t>PP RIL H350EC</t>
  </si>
  <si>
    <t>PP MF Yarn Twisted 1000 UV NW</t>
  </si>
  <si>
    <t>PP MF Yarn Twisted 2500 Denier UV NW</t>
  </si>
  <si>
    <t>PIL2/D/371 [BOE/BOL:2286054/0]</t>
  </si>
  <si>
    <t>Cables/Wires</t>
  </si>
  <si>
    <t>Copper Flexible Cable 1.5 Sq mm Single Core</t>
  </si>
  <si>
    <t>16 Amp 3 Pin Top</t>
  </si>
  <si>
    <t>Copper Flexible Cable 16 Sq,mm X 1 Core</t>
  </si>
  <si>
    <t>Load Cell 1000 Kg</t>
  </si>
  <si>
    <t>Oil Filter</t>
  </si>
  <si>
    <t>DG Set Spares</t>
  </si>
  <si>
    <t>Exchange Fuel Filter Insert</t>
  </si>
  <si>
    <t>Coolent Water</t>
  </si>
  <si>
    <t>LITTER</t>
  </si>
  <si>
    <t>Engine Oil ( Packing Size- 04 Ltr) Tmhin-Genuine-Cf4-Id</t>
  </si>
  <si>
    <t>Roller Bush 911.241.723</t>
  </si>
  <si>
    <t>Half Pattern Cam AA U, 911.141.727</t>
  </si>
  <si>
    <t>Spacing Ring D=28/6.25x7.2mm 911308261</t>
  </si>
  <si>
    <t>Nylon Bush Size:-25/20 For Pinion Shaft</t>
  </si>
  <si>
    <t>Paint</t>
  </si>
  <si>
    <t>Oil Paint Smoke Grey 0616</t>
  </si>
  <si>
    <t>Brush Paint 4" Fargo</t>
  </si>
  <si>
    <t>Pu Cover Stape Roller Part No.11169159100</t>
  </si>
  <si>
    <t>Bearing 608 Zz</t>
  </si>
  <si>
    <t>Bearing 6003 Zz Skf</t>
  </si>
  <si>
    <t>Bearing 6204 Zz Skf</t>
  </si>
  <si>
    <t>Bearing 6206 Zz "Skf" Make</t>
  </si>
  <si>
    <t>Bearing 6004 Zz</t>
  </si>
  <si>
    <t>Bearing 6208 Zz</t>
  </si>
  <si>
    <t>Bearing 6004 Zz Skf</t>
  </si>
  <si>
    <t>Heald Frame Complete153"Size / C-Type (For Sulzer Loom)</t>
  </si>
  <si>
    <t>PP NSRP NSY114G</t>
  </si>
  <si>
    <t>Bearing 30204</t>
  </si>
  <si>
    <t>Bearing 32009 X/Q Skf</t>
  </si>
  <si>
    <t>Timing Belt</t>
  </si>
  <si>
    <t>Timing Belt 200 Xl</t>
  </si>
  <si>
    <t>Hose Clamp 1"</t>
  </si>
  <si>
    <t>Combination Plier 8" Product No 1621 - 8 "Taparia" Make</t>
  </si>
  <si>
    <t>UPVC Brass FTA 1"</t>
  </si>
  <si>
    <t>Hose Pipe Green Size 2"</t>
  </si>
  <si>
    <t>Hexo Blade 12 X 1/2 X 18 Tpi</t>
  </si>
  <si>
    <t>Bearing 6203 Zz Skf</t>
  </si>
  <si>
    <t>Ball Pen</t>
  </si>
  <si>
    <t>Stamp Pad Ink - Blue Colour ( 100 Ml. )</t>
  </si>
  <si>
    <t>Marker Pen White Colour</t>
  </si>
  <si>
    <t>Consumables-Electrical</t>
  </si>
  <si>
    <t>Pencil Cell 1.5 V ( R03 Aaa  Um4  Er03X )</t>
  </si>
  <si>
    <t>Pencil</t>
  </si>
  <si>
    <t>Pencil Cell Aa</t>
  </si>
  <si>
    <t>Filler Soltex PTUFF23</t>
  </si>
  <si>
    <t>Intermediate Pinion 770728</t>
  </si>
  <si>
    <t>Feeder Jaw MS ( Knurling)</t>
  </si>
  <si>
    <t>Scissor D1 (For Hard Fibre)</t>
  </si>
  <si>
    <t>Latch Needle 5821 Code 254512 Needle Deha 7.9 . 121 . G 01 "Groz Beckert" Make</t>
  </si>
  <si>
    <t>Picking Unit Su Cam P7100, LT 130/SL 110 /LL/SU, 911.359.271</t>
  </si>
  <si>
    <t>Intermediate Gear Wheel Incl. Pos 23 (912.510.129)</t>
  </si>
  <si>
    <t>Neddle Bearing 4520</t>
  </si>
  <si>
    <t>Latch Needle 3160108</t>
  </si>
  <si>
    <t>HD UL Fabric With UV (Raschel Fabric)</t>
  </si>
  <si>
    <t>Housekeeping Material</t>
  </si>
  <si>
    <t>Cotton Waste</t>
  </si>
  <si>
    <t>Compressor Spares</t>
  </si>
  <si>
    <t>Air Filter Cartridge Kit Part No 4E0301.0</t>
  </si>
  <si>
    <t>Valves</t>
  </si>
  <si>
    <t>Maintenance Kit - VC Valve PN-400905.0</t>
  </si>
  <si>
    <t>Oil Filter Part No. 6.4493.0 (Csd 85)</t>
  </si>
  <si>
    <t>Utility</t>
  </si>
  <si>
    <t>Filter Mat Part No.- 7.4519.0  For,Asd 50</t>
  </si>
  <si>
    <t>Hose Line Of Air Compressor Ask 27  , Part No. 8.2372.1</t>
  </si>
  <si>
    <t>Benzene (B16) Liquid Chemical For Berrel Cleaning For Mfi Tester</t>
  </si>
  <si>
    <t>Clip Steel</t>
  </si>
  <si>
    <t>Lock 60mm</t>
  </si>
  <si>
    <t>Pvc Single Nail Clamp 25 MM</t>
  </si>
  <si>
    <t>Gi Wire 14 Gauge</t>
  </si>
  <si>
    <t>other Spares</t>
  </si>
  <si>
    <t>Plastic Folder (U Type)</t>
  </si>
  <si>
    <t>Whitener Pen</t>
  </si>
  <si>
    <t>Marker Pen CD/DVD/OHP</t>
  </si>
  <si>
    <t>Alfa Blade</t>
  </si>
  <si>
    <t>Box File Big</t>
  </si>
  <si>
    <t>Permanent Marker Ink 500mls</t>
  </si>
  <si>
    <t>Spring File</t>
  </si>
  <si>
    <t>Xerox Paper A/4</t>
  </si>
  <si>
    <t>High Lighter Yellow</t>
  </si>
  <si>
    <t>Permanent Marker Pen</t>
  </si>
  <si>
    <t>building Material</t>
  </si>
  <si>
    <t>PEB Material</t>
  </si>
  <si>
    <t>Corner Flashing</t>
  </si>
  <si>
    <t>RMT</t>
  </si>
  <si>
    <t>Hex Bolt 12X60 mm Full Thread</t>
  </si>
  <si>
    <t>Hex Nut 12 mm</t>
  </si>
  <si>
    <t>Adhesive Tapes</t>
  </si>
  <si>
    <t>Cello Tape W-2" Natural X L-65 Mtr</t>
  </si>
  <si>
    <t>Yarn Sensor X3, 54R00439</t>
  </si>
  <si>
    <t>Nos</t>
  </si>
  <si>
    <t>Pfr Sensor Part No:-911.802.664</t>
  </si>
  <si>
    <t>Paper Core 55 mm x 65 mm x 290 mm</t>
  </si>
  <si>
    <t>Wooden Board</t>
  </si>
  <si>
    <t>Leno Device 330</t>
  </si>
  <si>
    <t>Leno Doups</t>
  </si>
  <si>
    <t>Slay Wedge Piece 911.323.724</t>
  </si>
  <si>
    <t>Office Equipments</t>
  </si>
  <si>
    <t>Printer - Epson</t>
  </si>
  <si>
    <t>Chemicals</t>
  </si>
  <si>
    <t>Anabond 666- U</t>
  </si>
  <si>
    <t>Oil Seal (As Per Sample)</t>
  </si>
  <si>
    <t>Frpfs ( Rubber Ped For Stand)</t>
  </si>
  <si>
    <t>Speb - 7 Dunl0P</t>
  </si>
  <si>
    <t>Apron Navy Blue Color</t>
  </si>
  <si>
    <t>Led Tube Light , 20 Watt , 3000 Lumens , Corvi Make</t>
  </si>
  <si>
    <t>Led Panel Light 2X2  36 Watt.   As 45</t>
  </si>
  <si>
    <t>Thread Hook 81310</t>
  </si>
  <si>
    <t>Analog Oscillator Connecting Cable Part NO 911802267</t>
  </si>
  <si>
    <t>Angle Sensor For Sulzer Loom P7100 Part No.911.302.508</t>
  </si>
  <si>
    <t>Spring</t>
  </si>
  <si>
    <t>Counter Sunk Rivet (Harness Rivet Original Itema Weaving ) Part No.911-209-163</t>
  </si>
  <si>
    <t>PP UL Bags Without UV</t>
  </si>
  <si>
    <t>Gripper Foot Su</t>
  </si>
  <si>
    <t>Gripper Foot F A</t>
  </si>
  <si>
    <t>Main shaft Bush 50/62x38, 911.715.007</t>
  </si>
  <si>
    <t>Bush For Picking Shaft :912122205</t>
  </si>
  <si>
    <t>Stretch Film</t>
  </si>
  <si>
    <t>Pre Stretched Film of 9-12 micron</t>
  </si>
  <si>
    <t>Surgical Hand Gloves</t>
  </si>
  <si>
    <t>Seal Kit/Repairing Kit For 'Fourwents' Rotary Union</t>
  </si>
  <si>
    <t>Seal Kit/Repairing Kit For ''Fourwents'' Rotary Union</t>
  </si>
  <si>
    <t>Ireland</t>
  </si>
  <si>
    <t>Latch Needle Clamp  5820</t>
  </si>
  <si>
    <t>Latch Needle Holder 5824</t>
  </si>
  <si>
    <t>Front Reed 4/75</t>
  </si>
  <si>
    <t>Bolt 8230</t>
  </si>
  <si>
    <t>Bevel Gear For Wrapping machine T=30 Hardening teeth.</t>
  </si>
  <si>
    <t>Rubber Star Spider F-95 "Fenner" Make</t>
  </si>
  <si>
    <t>Flight Trigger For Weft Brake</t>
  </si>
  <si>
    <t>Pinion Shaft 10Teeth (For Sulzer Teckup) - 911110341</t>
  </si>
  <si>
    <t>Teckup Pinion Shaft 13Th -912510003 (Sulzer)</t>
  </si>
  <si>
    <t>Picking Block For P7100 LD Make</t>
  </si>
  <si>
    <t>Returner D2</t>
  </si>
  <si>
    <t>Guide Tooth Bolt</t>
  </si>
  <si>
    <t>Sl Guide Rail D2 PU 911316153</t>
  </si>
  <si>
    <t>Projectile Gripper Revet</t>
  </si>
  <si>
    <t>Screw Driver 12"</t>
  </si>
  <si>
    <t>Hex Bolt 08X35 mm</t>
  </si>
  <si>
    <t>GI Nut 8 mm</t>
  </si>
  <si>
    <t>Bearing 6304 Zz Skf</t>
  </si>
  <si>
    <t>PP MF Yarn Twisted 2500 Green</t>
  </si>
  <si>
    <t>Needle No 34 UY 9853 GA 430/172</t>
  </si>
  <si>
    <t>Projectile Gripper D1 2.2 X 4mm, 3000 GMS Dimond Knurled, (911.312.403)</t>
  </si>
  <si>
    <t>Wooden Pallet Size 90X115X7Cm Gutka ( Nnz Bv Order Only)</t>
  </si>
  <si>
    <t>Pine Wooden Pallet Design Code PC90110</t>
  </si>
  <si>
    <t>Lugs  95 Sqmm Copper Ring Type</t>
  </si>
  <si>
    <t>Copper Lugs 10Sq mm Ring Type</t>
  </si>
  <si>
    <t>Copper Lugs Ring Type 4 Sq mm Hole Size 6 mm</t>
  </si>
  <si>
    <t>Copper Flexible 0.75 Sq mm X 2 Core</t>
  </si>
  <si>
    <t>Cable 4 Core</t>
  </si>
  <si>
    <t>Oil 68 Hydraulic</t>
  </si>
  <si>
    <t>Pneumatic Cylinder, Make -Janatics, Model No. A51025160O</t>
  </si>
  <si>
    <t>Air Silencer Brass Bronze For Cutting Machine Size ¼”</t>
  </si>
  <si>
    <t>Oil Sea 30 No.</t>
  </si>
  <si>
    <t>Projectile Body(6.5mm)</t>
  </si>
  <si>
    <t>Cut Off Wheel 4"X1" Thik</t>
  </si>
  <si>
    <t>Allen Bolt 10X25 mm</t>
  </si>
  <si>
    <t>Allen Bolt 08X25 mm</t>
  </si>
  <si>
    <t>Tools</t>
  </si>
  <si>
    <t>Hand Grinder" Bosch" Make- 4"</t>
  </si>
  <si>
    <t>Project Feeder Gripper Es D1</t>
  </si>
  <si>
    <t>C00090 - COLOP Printer Q12 - Customized</t>
  </si>
  <si>
    <t>Monofilament Yarn 400 Denier</t>
  </si>
  <si>
    <t>Monofilament Yarn</t>
  </si>
  <si>
    <t>Stamp Ped Ink</t>
  </si>
  <si>
    <t>Front Reed  6x50, 770322</t>
  </si>
  <si>
    <t>Vertical Shoft 22001</t>
  </si>
  <si>
    <t>Driven Helical Gear 32T  Nylon+Steel Part. No. 22002 (Susmatex Machinery)</t>
  </si>
  <si>
    <t>Idler Gear 770754</t>
  </si>
  <si>
    <t>Connecting Rod (770915)</t>
  </si>
  <si>
    <t>Shedding Lever 771201</t>
  </si>
  <si>
    <t>Spreader, Upper For Overedge Stitching  (81507)</t>
  </si>
  <si>
    <t>Lift Lever For Tapper Pin # 80770</t>
  </si>
  <si>
    <t>Screw 22567</t>
  </si>
  <si>
    <t>Screw 22574</t>
  </si>
  <si>
    <t>Cross Looper Lever 81313B</t>
  </si>
  <si>
    <t>Nut 11/64-40,P6110420-Sp</t>
  </si>
  <si>
    <t>Screw 22894L</t>
  </si>
  <si>
    <t>Bushing For Crank Shaft 80694Da</t>
  </si>
  <si>
    <t>Screw 74 A</t>
  </si>
  <si>
    <t>Pressure Foot Assy.Right 606418A</t>
  </si>
  <si>
    <t>Stretch Film 400mmx29Mic</t>
  </si>
  <si>
    <t>Seal Kit  ( As Per Sample) For R.P. Plant Bell Press M/C)</t>
  </si>
  <si>
    <t>KPV/PR/5</t>
  </si>
  <si>
    <t>Drill Bit Hss Size :- 16 mm</t>
  </si>
  <si>
    <t>srno</t>
  </si>
  <si>
    <t>Itemcode</t>
  </si>
  <si>
    <t>Itemname</t>
  </si>
  <si>
    <t>Indentsubcode</t>
  </si>
  <si>
    <t>PoNO</t>
  </si>
  <si>
    <t>OrderQty</t>
  </si>
  <si>
    <t>Challanqty</t>
  </si>
  <si>
    <t>Recdqty</t>
  </si>
  <si>
    <t>PendingQty</t>
  </si>
  <si>
    <t>Acceptedqty</t>
  </si>
  <si>
    <t>Vehicalno</t>
  </si>
  <si>
    <t>Partyname</t>
  </si>
  <si>
    <t>Suppliername</t>
  </si>
  <si>
    <t>ChallanNo</t>
  </si>
  <si>
    <t>Challan Date</t>
  </si>
  <si>
    <t>subcategory</t>
  </si>
  <si>
    <t>MRno</t>
  </si>
  <si>
    <t>Rate</t>
  </si>
  <si>
    <t>BillNo</t>
  </si>
  <si>
    <t>Bill Date</t>
  </si>
  <si>
    <t>ItemRemarks</t>
  </si>
  <si>
    <t>Remarks</t>
  </si>
  <si>
    <t>Note</t>
  </si>
  <si>
    <t>Transportname</t>
  </si>
  <si>
    <t>Lrnodate</t>
  </si>
  <si>
    <t>Discamt</t>
  </si>
  <si>
    <t>Discamt1</t>
  </si>
  <si>
    <t>ExciseAmount</t>
  </si>
  <si>
    <t>EducessAmount</t>
  </si>
  <si>
    <t>HiEducessamount</t>
  </si>
  <si>
    <t>InwardVatType</t>
  </si>
  <si>
    <t>Vatamount</t>
  </si>
  <si>
    <t>Addvatamount</t>
  </si>
  <si>
    <t>Frieght</t>
  </si>
  <si>
    <t>Pkgfwd</t>
  </si>
  <si>
    <t>Otherchg</t>
  </si>
  <si>
    <t>Spdutyname</t>
  </si>
  <si>
    <t>Spdutyamt</t>
  </si>
  <si>
    <t>Additionalduty</t>
  </si>
  <si>
    <t>Billamount</t>
  </si>
  <si>
    <t>Deptt</t>
  </si>
  <si>
    <t>GroupName</t>
  </si>
  <si>
    <t>Deptt Po Indent</t>
  </si>
  <si>
    <t>LoginName</t>
  </si>
  <si>
    <t>servicetax</t>
  </si>
  <si>
    <t>Basic Amount</t>
  </si>
  <si>
    <t>GateInwardNo</t>
  </si>
  <si>
    <t>GateInwardDate</t>
  </si>
  <si>
    <t>VendorGST</t>
  </si>
  <si>
    <t>MRN User</t>
  </si>
  <si>
    <t>POUserName</t>
  </si>
  <si>
    <t>CGSTPer</t>
  </si>
  <si>
    <t>CGSTAmount</t>
  </si>
  <si>
    <t>SGSTPer</t>
  </si>
  <si>
    <t>SGSTAmount</t>
  </si>
  <si>
    <t>IGSTPer</t>
  </si>
  <si>
    <t>IGSTAmount</t>
  </si>
  <si>
    <t>RBIllmount</t>
  </si>
  <si>
    <t>EWayNo</t>
  </si>
  <si>
    <t>EWayDt</t>
  </si>
  <si>
    <t>netwt</t>
  </si>
  <si>
    <t>KPV/26-27/SII01166</t>
  </si>
  <si>
    <t>WIP00023</t>
  </si>
  <si>
    <t>No Subcode</t>
  </si>
  <si>
    <t>No PO</t>
  </si>
  <si>
    <t>GJ16Z8614</t>
  </si>
  <si>
    <t>PIL1/SC/104</t>
  </si>
  <si>
    <t>JOB IN</t>
  </si>
  <si>
    <t>SELF</t>
  </si>
  <si>
    <t>JBIN-SE 114</t>
  </si>
  <si>
    <t>CROSS CORNER FABRIC COLOR HQS 1 ROLL</t>
  </si>
  <si>
    <t>PP Woven Fabrics,</t>
  </si>
  <si>
    <t>PATEL  TRANSPORT.</t>
  </si>
  <si>
    <t>VAT</t>
  </si>
  <si>
    <t>erp</t>
  </si>
  <si>
    <t>R-361</t>
  </si>
  <si>
    <t>kpstore</t>
  </si>
  <si>
    <t>CROSS CORNER FABRIC  1 ROLL</t>
  </si>
  <si>
    <t>CROSS CORNER FABRIC  HQS 2 ROLL</t>
  </si>
  <si>
    <t>MORE THEN 90GSM HQS 1 ROLL</t>
  </si>
  <si>
    <t>MORE THEN 90GSM MW 2 ROLL</t>
  </si>
  <si>
    <t>MORE THEN 90GSM MW HQS 4 ROLL</t>
  </si>
  <si>
    <t>MORE THEN 90GSM MW HQS CONDUCTIVE  3 ROLL</t>
  </si>
  <si>
    <t>WIP00025</t>
  </si>
  <si>
    <t>LESS THEN 90GSM MW 1 ROLL</t>
  </si>
  <si>
    <t>WIP00151</t>
  </si>
  <si>
    <t>54 BUN.</t>
  </si>
  <si>
    <t>KPV/26-27/SII01187</t>
  </si>
  <si>
    <t>GJ06BT5602</t>
  </si>
  <si>
    <t>PIL1/SC/106</t>
  </si>
  <si>
    <t>JBIN-SE 115</t>
  </si>
  <si>
    <t>2ROLL, CHROSS CORNNER</t>
  </si>
  <si>
    <t>R 366</t>
  </si>
  <si>
    <t>4ROLL CROSS CORNNER</t>
  </si>
  <si>
    <t>2ROLL MORE THEN 90 GSM COLOR HCQ</t>
  </si>
  <si>
    <t>3ROLL MORE THEN 90GSM MW</t>
  </si>
  <si>
    <t>6ROLL MORE THEN 90 GSM HQS</t>
  </si>
  <si>
    <t>KPV/26-27/SII01191</t>
  </si>
  <si>
    <t>SMF00247</t>
  </si>
  <si>
    <t>HD UL Monofilament Fabric (Kg)</t>
  </si>
  <si>
    <t>GJ27TG8278</t>
  </si>
  <si>
    <t>Kayel Syntex Limited</t>
  </si>
  <si>
    <t>JBIN-SE 116</t>
  </si>
  <si>
    <t>6ROLL, 4686MTR, 845.3KGS, 850BLACK 110CM,</t>
  </si>
  <si>
    <t>Monofilament Yarn,</t>
  </si>
  <si>
    <t>R 364</t>
  </si>
  <si>
    <t>24AAACK8589P1ZP</t>
  </si>
  <si>
    <t>KPV/26-27/SII01193</t>
  </si>
  <si>
    <t>GJ01KT9275</t>
  </si>
  <si>
    <t>PIL1/SC/109</t>
  </si>
  <si>
    <t>JBIN-SE 117</t>
  </si>
  <si>
    <t>PATEL  TRANSPORT</t>
  </si>
  <si>
    <t>R-370</t>
  </si>
  <si>
    <t>CROSS CORNER FABRIC MW 5 ROLL</t>
  </si>
  <si>
    <t>CROSS CORNER FABRIC MW HQS 1 ROLL</t>
  </si>
  <si>
    <t>MORE THEN 90GSM MW 5 ROLL</t>
  </si>
  <si>
    <t>MORE THEN 90GSM MW HQS 1 ROLL</t>
  </si>
  <si>
    <t>KPV/26-27/SII01205</t>
  </si>
  <si>
    <t>GJ23AW7180</t>
  </si>
  <si>
    <t>Indralok Fabrics Pvt Ltd - Purchase</t>
  </si>
  <si>
    <t>JBIN-SE 118</t>
  </si>
  <si>
    <t>11ROLL</t>
  </si>
  <si>
    <t>PP Woven Fabrics,LENO FABICS,</t>
  </si>
  <si>
    <t>R-375</t>
  </si>
  <si>
    <t>24AAACI4240F1Z4</t>
  </si>
  <si>
    <t>WIP00031</t>
  </si>
  <si>
    <t>4BORA</t>
  </si>
  <si>
    <t>KPV/26-27/SII01211</t>
  </si>
  <si>
    <t>SMF00255</t>
  </si>
  <si>
    <t>PP Texene Chromiq PY0003S</t>
  </si>
  <si>
    <t>GJ27X2343</t>
  </si>
  <si>
    <t>PIL1/JW/39</t>
  </si>
  <si>
    <t>OTHER</t>
  </si>
  <si>
    <t>JBIN-OT 16</t>
  </si>
  <si>
    <t xml:space="preserve">BEAM CHROHMIQ R TWSTD </t>
  </si>
  <si>
    <t>self</t>
  </si>
  <si>
    <t>39 29-06-2026</t>
  </si>
  <si>
    <t>R-378</t>
  </si>
  <si>
    <t>SMF00267</t>
  </si>
  <si>
    <t>PP Texene Chromiq PY0001SL</t>
  </si>
  <si>
    <t xml:space="preserve">SINGLE CHROMIQ R END YARN </t>
  </si>
  <si>
    <t>KPV/26-27/SII01215</t>
  </si>
  <si>
    <t>PIL1/SC/110</t>
  </si>
  <si>
    <t>JBIN-SE 119</t>
  </si>
  <si>
    <t>40BUN,</t>
  </si>
  <si>
    <t>R-380</t>
  </si>
  <si>
    <t>1ROLLCROSS CORNNER COLOR HQS</t>
  </si>
  <si>
    <t>2ROLL, CROSS CORNNR</t>
  </si>
  <si>
    <t>4ROLL CROSS CORNNER HQS</t>
  </si>
  <si>
    <t>1ROLL, MORE THEN  90GSM COLOR HQS</t>
  </si>
  <si>
    <t>3ROLL, MORE THEN 90GSM COLOR, HQS</t>
  </si>
  <si>
    <t>6ROLL MORE THEN  90GSM HQS</t>
  </si>
  <si>
    <t>KPV/26-27/SII01233</t>
  </si>
  <si>
    <t>GJ16AY4240</t>
  </si>
  <si>
    <t>PIL1/SC/112</t>
  </si>
  <si>
    <t>JBIN-SE 120</t>
  </si>
  <si>
    <t>CORNER FABRIC COLOR HQS 1 ROLL</t>
  </si>
  <si>
    <t>R-385</t>
  </si>
  <si>
    <t>CROSS CORNER FABRIC MW 3 ROLL</t>
  </si>
  <si>
    <t>MORE THEN 90GSM MW 1 ROLL</t>
  </si>
  <si>
    <t>KPV/26-27/SII01237</t>
  </si>
  <si>
    <t>GJ02XX9133</t>
  </si>
  <si>
    <t>PIL1/SC/113</t>
  </si>
  <si>
    <t>JBIN-SE 121</t>
  </si>
  <si>
    <t>2 ROLL</t>
  </si>
  <si>
    <t>R-392</t>
  </si>
  <si>
    <t>4 ROLL</t>
  </si>
  <si>
    <t>1 ROLL</t>
  </si>
  <si>
    <t>3 ROLL</t>
  </si>
  <si>
    <t>KPV/26-27/SII01260</t>
  </si>
  <si>
    <t>RAW05130</t>
  </si>
  <si>
    <t>GJ18BW4749</t>
  </si>
  <si>
    <t>PIL2/SC/52</t>
  </si>
  <si>
    <t>JBIN-SE 122</t>
  </si>
  <si>
    <t>60 BAGS</t>
  </si>
  <si>
    <t>R-396</t>
  </si>
  <si>
    <t>KPV/26-27/SII01265</t>
  </si>
  <si>
    <t>RAW05516</t>
  </si>
  <si>
    <t>UV Arguvin FG 626 LD</t>
  </si>
  <si>
    <t>GJ24X8795</t>
  </si>
  <si>
    <t>PIL1/JW/45</t>
  </si>
  <si>
    <t>JBIN-OT 17</t>
  </si>
  <si>
    <t>80 BAGS</t>
  </si>
  <si>
    <t>3919 07-07-2026</t>
  </si>
  <si>
    <t>R-401</t>
  </si>
  <si>
    <t>KPV/26-27/SII01271</t>
  </si>
  <si>
    <t>JBIN-SE 123</t>
  </si>
  <si>
    <t>PP Woven Fabrics,Monofilament Yarn,</t>
  </si>
  <si>
    <t>R-390</t>
  </si>
  <si>
    <t>SMF00253</t>
  </si>
  <si>
    <t>10 ROLL</t>
  </si>
  <si>
    <t>3 ROLL EMPTY COPES 33 BAGS QTY-644 NOS</t>
  </si>
  <si>
    <t>KPV/26-27/SII01279</t>
  </si>
  <si>
    <t>PIL1/SC/115</t>
  </si>
  <si>
    <t>JBIN-SE 124</t>
  </si>
  <si>
    <t>R-399</t>
  </si>
  <si>
    <t>KPV/26-27/SII01283</t>
  </si>
  <si>
    <t>GJ18BX0314</t>
  </si>
  <si>
    <t>PIL1/SC/116</t>
  </si>
  <si>
    <t>JBIN-SE 125</t>
  </si>
  <si>
    <t>30 BUN.</t>
  </si>
  <si>
    <t>R-404</t>
  </si>
  <si>
    <t>WIP00181</t>
  </si>
  <si>
    <t>KPV/26-27/SII01295</t>
  </si>
  <si>
    <t>PIL1/SC/117</t>
  </si>
  <si>
    <t>JBIN-SE 126</t>
  </si>
  <si>
    <t>12ROLL COATED SULZER FABRIC</t>
  </si>
  <si>
    <t>R 407</t>
  </si>
  <si>
    <t>16ROLL COATED SULZER FABRIC</t>
  </si>
  <si>
    <t>1ROLL CROSS CORNNER COLOR HQS</t>
  </si>
  <si>
    <t>1ROLL CROSS CORNER</t>
  </si>
  <si>
    <t>1ROLL MORE THEN 90GSM COLOR HQS</t>
  </si>
  <si>
    <t>1ROLL MORE THEN 90GSM COLORHQS</t>
  </si>
  <si>
    <t>1ROLL MORE THEN 90GSM HQS</t>
  </si>
  <si>
    <t>KPV/26-27/SII01300</t>
  </si>
  <si>
    <t>RAW05173</t>
  </si>
  <si>
    <t>PP RIL H030SG</t>
  </si>
  <si>
    <t>GJ02XX7834</t>
  </si>
  <si>
    <t>Umasree Texplast Pvt Ltd - Purchase</t>
  </si>
  <si>
    <t>J0212/26-27</t>
  </si>
  <si>
    <t>JBIN-OT 18</t>
  </si>
  <si>
    <t>4 BAGS</t>
  </si>
  <si>
    <t>R-411</t>
  </si>
  <si>
    <t>KPV/26-27/SII01301</t>
  </si>
  <si>
    <t>GJ18AZ9313</t>
  </si>
  <si>
    <t>J0233/26-27</t>
  </si>
  <si>
    <t>JBIN-OT 19</t>
  </si>
  <si>
    <t>2 BAGS,1 BAGE LOOSE</t>
  </si>
  <si>
    <t>R-410</t>
  </si>
  <si>
    <t>KPV/26-27/SII01310</t>
  </si>
  <si>
    <t>JBIN-SE 127</t>
  </si>
  <si>
    <t>29 ROLL</t>
  </si>
  <si>
    <t>LENO FABICS,PP Woven Fabrics,</t>
  </si>
  <si>
    <t>R-412</t>
  </si>
  <si>
    <t>KPV/26-27/SII01318</t>
  </si>
  <si>
    <t>JBIN-SE 128</t>
  </si>
  <si>
    <t>Monofilament Yarn,PP Woven Fabrics,</t>
  </si>
  <si>
    <t>R-413</t>
  </si>
  <si>
    <t>KPV/26-27/SII01382</t>
  </si>
  <si>
    <t>JBIN-SE 129</t>
  </si>
  <si>
    <t>R 427</t>
  </si>
  <si>
    <t>20ROLL</t>
  </si>
  <si>
    <t>KPV/26-27/SII01409</t>
  </si>
  <si>
    <t>RAW05179</t>
  </si>
  <si>
    <t>GJ23V6036</t>
  </si>
  <si>
    <t>PIL1/JW/47</t>
  </si>
  <si>
    <t>JBIN-OT 20</t>
  </si>
  <si>
    <t>400 bags</t>
  </si>
  <si>
    <t>3938 16-07-2026</t>
  </si>
  <si>
    <t>R-438</t>
  </si>
  <si>
    <t>KPV/26-27/SII01451</t>
  </si>
  <si>
    <t>JBIN-SE 130</t>
  </si>
  <si>
    <t>20ROLL, 107CM 10ROLL, 104CM 10ROLL</t>
  </si>
  <si>
    <t>PP Woven Fabrics,HD UL Monofilament Fabric,</t>
  </si>
  <si>
    <t>R447</t>
  </si>
  <si>
    <t>KPV/26-27/SII01453</t>
  </si>
  <si>
    <t>JBIN-SE 131</t>
  </si>
  <si>
    <t>8BORA</t>
  </si>
  <si>
    <t>R452</t>
  </si>
  <si>
    <t>19ROLL, 90CM X 50GSM</t>
  </si>
  <si>
    <t>KPV/26-27/SII01475</t>
  </si>
  <si>
    <t>RAW05187</t>
  </si>
  <si>
    <t>PP Granules Others</t>
  </si>
  <si>
    <t>GJ02X2900</t>
  </si>
  <si>
    <t>Asia Bulk Sacks Pvt Ltd - Purchase</t>
  </si>
  <si>
    <t>81/2026-27</t>
  </si>
  <si>
    <t>JBIN-OT 21</t>
  </si>
  <si>
    <t>1102A</t>
  </si>
  <si>
    <t>R 456</t>
  </si>
  <si>
    <t>24AACCA4884D1ZW</t>
  </si>
  <si>
    <t>KPV/26-27/SII01543</t>
  </si>
  <si>
    <t>GJ27X9535</t>
  </si>
  <si>
    <t>PIL2/JW/61</t>
  </si>
  <si>
    <t>JBIN-OT 22</t>
  </si>
  <si>
    <t xml:space="preserve">200BAG, </t>
  </si>
  <si>
    <t>R 472</t>
  </si>
  <si>
    <t>KPV/26-27/SII01544</t>
  </si>
  <si>
    <t>GJ03AT2455</t>
  </si>
  <si>
    <t>PIL2/JW/66</t>
  </si>
  <si>
    <t>JBIN-OT 23</t>
  </si>
  <si>
    <t>120BAG</t>
  </si>
  <si>
    <t>R474</t>
  </si>
  <si>
    <t>KPV/26-27/SII01573</t>
  </si>
  <si>
    <t>PIL2/JW/69</t>
  </si>
  <si>
    <t>JBIN-OT 24</t>
  </si>
  <si>
    <t>400BAG,</t>
  </si>
  <si>
    <t>R 477</t>
  </si>
  <si>
    <t>KPV/26-27/SII01581</t>
  </si>
  <si>
    <t>RAW06298</t>
  </si>
  <si>
    <t>PP JINNENG HP550J</t>
  </si>
  <si>
    <t>GJ03BW9221</t>
  </si>
  <si>
    <t>JBIN-OT 25</t>
  </si>
  <si>
    <t>PIL1/JW/73</t>
  </si>
  <si>
    <t>1200BAG</t>
  </si>
  <si>
    <t>E 481</t>
  </si>
  <si>
    <t>KPV/26-27/SII01613</t>
  </si>
  <si>
    <t>GJ12AY9503</t>
  </si>
  <si>
    <t>PIL1/JW/74</t>
  </si>
  <si>
    <t>JBIN-OT 26</t>
  </si>
  <si>
    <t>1000BAG</t>
  </si>
  <si>
    <t>R483</t>
  </si>
  <si>
    <t>sysdate</t>
  </si>
  <si>
    <t>Company Name</t>
  </si>
  <si>
    <t>NatureProc</t>
  </si>
  <si>
    <t>DescriptionGoods</t>
  </si>
  <si>
    <t>itemcode</t>
  </si>
  <si>
    <t>itemname</t>
  </si>
  <si>
    <t>Identification</t>
  </si>
  <si>
    <t>QtyDesc</t>
  </si>
  <si>
    <t>ItemUnit</t>
  </si>
  <si>
    <t>ItemQty</t>
  </si>
  <si>
    <t>ItemValue</t>
  </si>
  <si>
    <t>TotalAmt</t>
  </si>
  <si>
    <t>VehicalNo</t>
  </si>
  <si>
    <t>LRNo</t>
  </si>
  <si>
    <t>TransportName</t>
  </si>
  <si>
    <t>KPV/26-27/JOBWORK/22</t>
  </si>
  <si>
    <t>Kayel Syntex Limited - Sales</t>
  </si>
  <si>
    <t>FOR JOB WORK</t>
  </si>
  <si>
    <t>HDPE Yarn Monofilament</t>
  </si>
  <si>
    <t>437 BAG</t>
  </si>
  <si>
    <t>KPV/26-27/JOBWORK/23</t>
  </si>
  <si>
    <t>Indralok Fabrics Pvt Ltd - Sales</t>
  </si>
  <si>
    <t xml:space="preserve">FOR JOB WORK </t>
  </si>
  <si>
    <t>FILLER</t>
  </si>
  <si>
    <t>RAW06013</t>
  </si>
  <si>
    <t>03 Bags</t>
  </si>
  <si>
    <t>Polypropylene Granuals</t>
  </si>
  <si>
    <t>RAW06021</t>
  </si>
  <si>
    <t>PP China L5E89</t>
  </si>
  <si>
    <t>134 Bags</t>
  </si>
  <si>
    <t>RAW06198</t>
  </si>
  <si>
    <t>UV PIL NFG 20LD</t>
  </si>
  <si>
    <t>04 Bags</t>
  </si>
  <si>
    <t>KPV/26-27/JOBWORK/24</t>
  </si>
  <si>
    <t>252 BAGS</t>
  </si>
  <si>
    <t>KPV/26-27/JOBWORK/25</t>
  </si>
  <si>
    <t>KPV/26-27/JOBWORK/26</t>
  </si>
  <si>
    <t>312 BAG</t>
  </si>
  <si>
    <t>SMF00271</t>
  </si>
  <si>
    <t>Monofilament Yarn 940 Denier</t>
  </si>
  <si>
    <t>63 BAG</t>
  </si>
  <si>
    <t>WIP00020</t>
  </si>
  <si>
    <t>124 BAG</t>
  </si>
  <si>
    <t>KPV/26-27/JOBWORK/27</t>
  </si>
  <si>
    <t>112 bag</t>
  </si>
  <si>
    <t>GJ38TB0155</t>
  </si>
  <si>
    <t>GROUP</t>
  </si>
  <si>
    <t>N.A</t>
  </si>
  <si>
    <t>Row Labels</t>
  </si>
  <si>
    <t>Grand Total</t>
  </si>
  <si>
    <t>Sum of Quantity</t>
  </si>
  <si>
    <t>Sum of Net Wt</t>
  </si>
  <si>
    <t>(blank)</t>
  </si>
  <si>
    <t>Sum of Amount</t>
  </si>
  <si>
    <t>Sum of Acceptedqty</t>
  </si>
  <si>
    <t>Sum of netwt</t>
  </si>
  <si>
    <t>Sum of ItemQty</t>
  </si>
  <si>
    <t>01.07.2026 to 31.07.2026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</si>
</sst>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#,##0.0000_);[Red]\(#,##0.0000\)"/>
    <numFmt numFmtId="166" formatCode="_ * #,##0.00_ ;_ * \-#,##0.00_ ;_ * &quot;-&quot;??_ ;_ @_ "/>
    <numFmt numFmtId="168" formatCode="dd/mm/yyyy;@"/>
    <numFmt numFmtId="169" formatCode="_-* #,##0_-;\-* #,##0_-;_-* &quot;-&quot;??_-;_-@_-"/>
    <numFmt numFmtId="170" formatCode="0.00_ ;[Red]\-0.00\ 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rgb="FFFF0000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  <font>
      <b/>
      <sz val="10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169E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2" fillId="0" borderId="0">
      <alignment vertical="center"/>
    </xf>
    <xf numFmtId="166" fontId="12" fillId="0" borderId="0" applyFont="0" applyFill="0" applyBorder="0" applyAlignment="0" applyProtection="0">
      <alignment vertical="center"/>
    </xf>
  </cellStyleXfs>
  <cellXfs count="99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quotePrefix="1"/>
    <xf numFmtId="2" fontId="1" fillId="0" borderId="1" xfId="2" applyNumberFormat="1" applyFont="1" applyBorder="1" applyAlignment="1">
      <alignment horizontal="center" vertical="center" wrapText="1"/>
    </xf>
    <xf numFmtId="2" fontId="1" fillId="4" borderId="1" xfId="2" applyNumberFormat="1" applyFont="1" applyFill="1" applyBorder="1" applyAlignment="1">
      <alignment horizontal="center" vertical="center" wrapText="1"/>
    </xf>
    <xf numFmtId="2" fontId="1" fillId="5" borderId="1" xfId="2" applyNumberFormat="1" applyFont="1" applyFill="1" applyBorder="1" applyAlignment="1">
      <alignment horizontal="center" vertical="center" wrapText="1"/>
    </xf>
    <xf numFmtId="2" fontId="1" fillId="6" borderId="1" xfId="2" applyNumberFormat="1" applyFont="1" applyFill="1" applyBorder="1" applyAlignment="1">
      <alignment horizontal="center" vertical="center" wrapText="1"/>
    </xf>
    <xf numFmtId="164" fontId="1" fillId="0" borderId="1" xfId="2" applyFont="1" applyBorder="1" applyAlignment="1">
      <alignment horizontal="center" vertical="center" wrapText="1"/>
    </xf>
    <xf numFmtId="2" fontId="1" fillId="7" borderId="1" xfId="2" applyNumberFormat="1" applyFont="1" applyFill="1" applyBorder="1" applyAlignment="1">
      <alignment horizontal="center" vertical="center" wrapText="1"/>
    </xf>
    <xf numFmtId="2" fontId="7" fillId="0" borderId="1" xfId="2" applyNumberFormat="1" applyFont="1" applyBorder="1" applyAlignment="1">
      <alignment horizontal="center" vertical="center" wrapText="1"/>
    </xf>
    <xf numFmtId="2" fontId="7" fillId="0" borderId="1" xfId="2" applyNumberFormat="1" applyFont="1" applyFill="1" applyBorder="1" applyAlignment="1">
      <alignment horizontal="center" vertical="center" wrapText="1"/>
    </xf>
    <xf numFmtId="2" fontId="1" fillId="0" borderId="1" xfId="2" applyNumberFormat="1" applyFont="1" applyFill="1" applyBorder="1" applyAlignment="1">
      <alignment horizontal="center" vertical="center" wrapText="1"/>
    </xf>
    <xf numFmtId="164" fontId="1" fillId="0" borderId="1" xfId="2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2" fontId="0" fillId="0" borderId="1" xfId="2" applyNumberFormat="1" applyFont="1" applyBorder="1"/>
    <xf numFmtId="2" fontId="8" fillId="0" borderId="1" xfId="2" applyNumberFormat="1" applyFont="1" applyBorder="1"/>
    <xf numFmtId="0" fontId="0" fillId="0" borderId="1" xfId="0" applyBorder="1" applyAlignment="1">
      <alignment vertical="center"/>
    </xf>
    <xf numFmtId="2" fontId="4" fillId="0" borderId="1" xfId="2" applyNumberFormat="1" applyFont="1" applyBorder="1"/>
    <xf numFmtId="2" fontId="8" fillId="3" borderId="1" xfId="2" applyNumberFormat="1" applyFont="1" applyFill="1" applyBorder="1"/>
    <xf numFmtId="43" fontId="0" fillId="0" borderId="1" xfId="1" applyFont="1" applyBorder="1"/>
    <xf numFmtId="2" fontId="0" fillId="0" borderId="1" xfId="2" applyNumberFormat="1" applyFont="1" applyFill="1" applyBorder="1"/>
    <xf numFmtId="0" fontId="1" fillId="0" borderId="1" xfId="0" applyFont="1" applyBorder="1"/>
    <xf numFmtId="0" fontId="9" fillId="0" borderId="1" xfId="0" applyFont="1" applyBorder="1"/>
    <xf numFmtId="0" fontId="1" fillId="3" borderId="1" xfId="0" applyFont="1" applyFill="1" applyBorder="1"/>
    <xf numFmtId="0" fontId="9" fillId="3" borderId="1" xfId="0" applyFont="1" applyFill="1" applyBorder="1"/>
    <xf numFmtId="2" fontId="1" fillId="0" borderId="1" xfId="2" applyNumberFormat="1" applyFont="1" applyBorder="1"/>
    <xf numFmtId="0" fontId="5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wrapText="1"/>
    </xf>
    <xf numFmtId="0" fontId="8" fillId="0" borderId="1" xfId="0" applyFont="1" applyBorder="1"/>
    <xf numFmtId="2" fontId="0" fillId="0" borderId="1" xfId="0" applyNumberFormat="1" applyBorder="1"/>
    <xf numFmtId="164" fontId="0" fillId="0" borderId="0" xfId="2" applyFont="1"/>
    <xf numFmtId="164" fontId="0" fillId="0" borderId="1" xfId="0" applyNumberFormat="1" applyBorder="1"/>
    <xf numFmtId="164" fontId="1" fillId="0" borderId="1" xfId="0" applyNumberFormat="1" applyFont="1" applyBorder="1"/>
    <xf numFmtId="165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0" fillId="3" borderId="1" xfId="2" applyNumberFormat="1" applyFont="1" applyFill="1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/>
    <xf numFmtId="0" fontId="0" fillId="0" borderId="0" xfId="0" applyAlignment="1">
      <alignment horizontal="center"/>
    </xf>
    <xf numFmtId="2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43" fontId="1" fillId="0" borderId="0" xfId="1" applyFont="1"/>
    <xf numFmtId="1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168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 wrapText="1"/>
    </xf>
    <xf numFmtId="16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13" fillId="3" borderId="1" xfId="0" applyFont="1" applyFill="1" applyBorder="1" applyAlignment="1">
      <alignment horizontal="center" vertical="center"/>
    </xf>
    <xf numFmtId="2" fontId="8" fillId="0" borderId="1" xfId="2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2" fontId="7" fillId="0" borderId="1" xfId="2" applyNumberFormat="1" applyFont="1" applyFill="1" applyBorder="1" applyAlignment="1">
      <alignment horizontal="left"/>
    </xf>
    <xf numFmtId="2" fontId="8" fillId="0" borderId="1" xfId="2" applyNumberFormat="1" applyFont="1" applyFill="1" applyBorder="1" applyAlignment="1">
      <alignment horizontal="left"/>
    </xf>
    <xf numFmtId="169" fontId="0" fillId="0" borderId="0" xfId="1" applyNumberFormat="1" applyFont="1"/>
    <xf numFmtId="170" fontId="0" fillId="0" borderId="1" xfId="0" applyNumberFormat="1" applyBorder="1"/>
    <xf numFmtId="170" fontId="0" fillId="3" borderId="1" xfId="0" applyNumberFormat="1" applyFill="1" applyBorder="1"/>
    <xf numFmtId="2" fontId="14" fillId="0" borderId="1" xfId="2" applyNumberFormat="1" applyFont="1" applyBorder="1"/>
    <xf numFmtId="2" fontId="4" fillId="3" borderId="1" xfId="2" applyNumberFormat="1" applyFont="1" applyFill="1" applyBorder="1"/>
    <xf numFmtId="40" fontId="0" fillId="0" borderId="1" xfId="0" applyNumberFormat="1" applyBorder="1"/>
    <xf numFmtId="17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14" fillId="0" borderId="1" xfId="0" applyFont="1" applyBorder="1"/>
  </cellXfs>
  <cellStyles count="5">
    <cellStyle name="Comma" xfId="1" builtinId="3"/>
    <cellStyle name="Comma 2" xfId="2" xr:uid="{133F1D6A-E323-429F-828C-2213E09E3524}"/>
    <cellStyle name="Comma 6" xfId="4" xr:uid="{F1191BB6-BAC3-4B81-99B0-9578D61AEAD6}"/>
    <cellStyle name="Normal" xfId="0" builtinId="0"/>
    <cellStyle name="Normal 2" xfId="3" xr:uid="{6F651BB5-BE49-45D5-94AC-A381A0476E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44.647561689817" createdVersion="8" refreshedVersion="8" minRefreshableVersion="3" recordCount="862" xr:uid="{FD96DFDC-93F4-416D-AF96-95846F121A58}">
  <cacheSource type="worksheet">
    <worksheetSource ref="B3:AH866" sheet="Purchase"/>
  </cacheSource>
  <cacheFields count="33">
    <cacheField name="Date" numFmtId="0">
      <sharedItems containsNonDate="0" containsDate="1" containsString="0" containsBlank="1" minDate="2026-07-01T00:00:00" maxDate="2026-08-01T00:00:00"/>
    </cacheField>
    <cacheField name="Particular" numFmtId="0">
      <sharedItems containsBlank="1"/>
    </cacheField>
    <cacheField name="Voucher Type" numFmtId="0">
      <sharedItems containsBlank="1"/>
    </cacheField>
    <cacheField name="Voucher No" numFmtId="0">
      <sharedItems containsBlank="1"/>
    </cacheField>
    <cacheField name="Type" numFmtId="0">
      <sharedItems containsBlank="1"/>
    </cacheField>
    <cacheField name="Invoice No" numFmtId="0">
      <sharedItems containsBlank="1" containsMixedTypes="1" containsNumber="1" containsInteger="1" minValue="67" maxValue="61810"/>
    </cacheField>
    <cacheField name="Invoice Date" numFmtId="0">
      <sharedItems containsNonDate="0" containsDate="1" containsString="0" containsBlank="1" minDate="2026-02-23T00:00:00" maxDate="2026-08-01T00:00:00"/>
    </cacheField>
    <cacheField name="Main Grp" numFmtId="0">
      <sharedItems containsBlank="1"/>
    </cacheField>
    <cacheField name="Group Name" numFmtId="0">
      <sharedItems containsBlank="1"/>
    </cacheField>
    <cacheField name="Sub Grup" numFmtId="0">
      <sharedItems containsBlank="1" containsMixedTypes="1" containsNumber="1" containsInteger="1" minValue="0" maxValue="0"/>
    </cacheField>
    <cacheField name="purchase Group Name" numFmtId="0">
      <sharedItems containsBlank="1"/>
    </cacheField>
    <cacheField name="Item Name" numFmtId="0">
      <sharedItems containsBlank="1"/>
    </cacheField>
    <cacheField name="Quantity" numFmtId="0">
      <sharedItems containsString="0" containsBlank="1" containsNumber="1" minValue="-410" maxValue="1848099.62"/>
    </cacheField>
    <cacheField name="Amount" numFmtId="0">
      <sharedItems containsString="0" containsBlank="1" containsNumber="1" minValue="-21300" maxValue="198365253.87"/>
    </cacheField>
    <cacheField name="Item Desc" numFmtId="0">
      <sharedItems containsBlank="1"/>
    </cacheField>
    <cacheField name="Bill Amount" numFmtId="0">
      <sharedItems containsString="0" containsBlank="1" containsNumber="1" minValue="-25134" maxValue="216648796.53999999"/>
    </cacheField>
    <cacheField name="CGST Rate" numFmtId="0">
      <sharedItems containsString="0" containsBlank="1" containsNumber="1" minValue="0" maxValue="9"/>
    </cacheField>
    <cacheField name="CGST Amt" numFmtId="0">
      <sharedItems containsString="0" containsBlank="1" containsNumber="1" minValue="0" maxValue="8955452.9199999999"/>
    </cacheField>
    <cacheField name="SGST Rate" numFmtId="0">
      <sharedItems containsString="0" containsBlank="1" containsNumber="1" minValue="0" maxValue="9"/>
    </cacheField>
    <cacheField name="SGST Amt" numFmtId="0">
      <sharedItems containsString="0" containsBlank="1" containsNumber="1" minValue="0" maxValue="8955452.9199999999"/>
    </cacheField>
    <cacheField name="IGST Rate" numFmtId="0">
      <sharedItems containsString="0" containsBlank="1" containsNumber="1" containsInteger="1" minValue="0" maxValue="18"/>
    </cacheField>
    <cacheField name="IGST Amt" numFmtId="0">
      <sharedItems containsString="0" containsBlank="1" containsNumber="1" minValue="0" maxValue="460186.48"/>
    </cacheField>
    <cacheField name="Freight GST" numFmtId="0">
      <sharedItems containsString="0" containsBlank="1" containsNumber="1" minValue="0" maxValue="5816.93"/>
    </cacheField>
    <cacheField name="Total GST" numFmtId="0">
      <sharedItems containsString="0" containsBlank="1" containsNumber="1" minValue="0" maxValue="18376909.260000002"/>
    </cacheField>
    <cacheField name="TCS" numFmtId="0">
      <sharedItems containsString="0" containsBlank="1" containsNumber="1" containsInteger="1" minValue="0" maxValue="0"/>
    </cacheField>
    <cacheField name="GST-IN" numFmtId="0">
      <sharedItems containsBlank="1"/>
    </cacheField>
    <cacheField name="Unit" numFmtId="0">
      <sharedItems containsBlank="1"/>
    </cacheField>
    <cacheField name="HSN Code" numFmtId="0">
      <sharedItems containsString="0" containsBlank="1" containsNumber="1" containsInteger="1" minValue="2853" maxValue="96110000"/>
    </cacheField>
    <cacheField name="Currencty" numFmtId="0">
      <sharedItems containsBlank="1"/>
    </cacheField>
    <cacheField name="Exc.Rate" numFmtId="0">
      <sharedItems containsString="0" containsBlank="1" containsNumber="1" containsInteger="1" minValue="1" maxValue="1"/>
    </cacheField>
    <cacheField name="Net Wt" numFmtId="0">
      <sharedItems containsString="0" containsBlank="1" containsNumber="1" minValue="-20" maxValue="123750"/>
    </cacheField>
    <cacheField name="Country" numFmtId="0">
      <sharedItems containsBlank="1"/>
    </cacheField>
    <cacheField name="GROUP" numFmtId="0">
      <sharedItems containsBlank="1" count="19">
        <s v="N.A"/>
        <s v="PP UL Fabric"/>
        <s v="PP Lam Fabric"/>
        <s v="PP Yarn"/>
        <s v="LDPE/LLDPE Bags"/>
        <s v="Masterbatch"/>
        <s v="PP Webbing"/>
        <s v="FIBC Accessories"/>
        <s v="PP Granules"/>
        <s v="FIBC Bags"/>
        <s v="PE Film"/>
        <s v="HD Lam Fabric"/>
        <s v="LLDPE Granules"/>
        <s v="UV MB"/>
        <s v="Filler"/>
        <s v="HD UL Fabric"/>
        <s v="PP Bags"/>
        <s v="Polyester Yar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44.682965856482" createdVersion="8" refreshedVersion="8" minRefreshableVersion="3" recordCount="383" xr:uid="{D7E4E06B-28A9-4318-BAF4-204693F2B803}">
  <cacheSource type="worksheet">
    <worksheetSource ref="B3:AH387" sheet="Sales"/>
  </cacheSource>
  <cacheFields count="33">
    <cacheField name="Date" numFmtId="0">
      <sharedItems containsNonDate="0" containsDate="1" containsString="0" containsBlank="1" minDate="2026-07-01T00:00:00" maxDate="2026-08-01T00:00:00"/>
    </cacheField>
    <cacheField name="Particular" numFmtId="0">
      <sharedItems containsBlank="1"/>
    </cacheField>
    <cacheField name="Voucher Type" numFmtId="0">
      <sharedItems containsBlank="1"/>
    </cacheField>
    <cacheField name="Voucher No" numFmtId="0">
      <sharedItems containsBlank="1" containsMixedTypes="1" containsNumber="1" containsInteger="1" minValue="380" maxValue="538"/>
    </cacheField>
    <cacheField name="Type" numFmtId="0">
      <sharedItems containsBlank="1"/>
    </cacheField>
    <cacheField name="Invoice No" numFmtId="0">
      <sharedItems containsBlank="1"/>
    </cacheField>
    <cacheField name="Invoice Date" numFmtId="0">
      <sharedItems containsNonDate="0" containsDate="1" containsString="0" containsBlank="1" minDate="2026-07-01T00:00:00" maxDate="2026-08-01T00:00:00"/>
    </cacheField>
    <cacheField name="Main Grp" numFmtId="0">
      <sharedItems containsBlank="1"/>
    </cacheField>
    <cacheField name="Group Name" numFmtId="0">
      <sharedItems containsBlank="1"/>
    </cacheField>
    <cacheField name="Sub Grup" numFmtId="0">
      <sharedItems containsBlank="1"/>
    </cacheField>
    <cacheField name="sales Group Name" numFmtId="0">
      <sharedItems containsBlank="1"/>
    </cacheField>
    <cacheField name="Item Name" numFmtId="0">
      <sharedItems containsBlank="1"/>
    </cacheField>
    <cacheField name="Quantity" numFmtId="0">
      <sharedItems containsString="0" containsBlank="1" containsNumber="1" minValue="1" maxValue="1370229.25"/>
    </cacheField>
    <cacheField name="Amount" numFmtId="0">
      <sharedItems containsString="0" containsBlank="1" containsNumber="1" minValue="48" maxValue="249362390.43000001"/>
    </cacheField>
    <cacheField name="Item Desc" numFmtId="0">
      <sharedItems containsBlank="1"/>
    </cacheField>
    <cacheField name="Bill Amount" numFmtId="0">
      <sharedItems containsString="0" containsBlank="1" containsNumber="1" minValue="0" maxValue="270533277.75"/>
    </cacheField>
    <cacheField name="CGST Rate" numFmtId="0">
      <sharedItems containsString="0" containsBlank="1" containsNumber="1" minValue="0" maxValue="9"/>
    </cacheField>
    <cacheField name="CGST Amt" numFmtId="0">
      <sharedItems containsString="0" containsBlank="1" containsNumber="1" minValue="0" maxValue="10164522.66"/>
    </cacheField>
    <cacheField name="SGST Rate" numFmtId="0">
      <sharedItems containsString="0" containsBlank="1" containsNumber="1" minValue="0" maxValue="9"/>
    </cacheField>
    <cacheField name="SGST Amt" numFmtId="0">
      <sharedItems containsString="0" containsBlank="1" containsNumber="1" minValue="0" maxValue="10164522.66"/>
    </cacheField>
    <cacheField name="IGST Rate" numFmtId="0">
      <sharedItems containsString="0" containsBlank="1" containsNumber="1" containsInteger="1" minValue="0" maxValue="18"/>
    </cacheField>
    <cacheField name="IGST Amt" numFmtId="0">
      <sharedItems containsString="0" containsBlank="1" containsNumber="1" minValue="0" maxValue="8410553.2200000007"/>
    </cacheField>
    <cacheField name="Freight GST" numFmtId="0">
      <sharedItems containsString="0" containsBlank="1" containsNumber="1" minValue="0" maxValue="122500.38"/>
    </cacheField>
    <cacheField name="Total GST" numFmtId="0">
      <sharedItems containsString="0" containsBlank="1" containsNumber="1" minValue="0" maxValue="28862098.920000002"/>
    </cacheField>
    <cacheField name="TCS" numFmtId="0">
      <sharedItems containsString="0" containsBlank="1" containsNumber="1" minValue="0" maxValue="18850.02"/>
    </cacheField>
    <cacheField name="GST-IN" numFmtId="0">
      <sharedItems containsBlank="1"/>
    </cacheField>
    <cacheField name="Unit" numFmtId="0">
      <sharedItems containsBlank="1"/>
    </cacheField>
    <cacheField name="HSN Code" numFmtId="0">
      <sharedItems containsString="0" containsBlank="1" containsNumber="1" containsInteger="1" minValue="271019" maxValue="73063090"/>
    </cacheField>
    <cacheField name="Currencty" numFmtId="0">
      <sharedItems containsBlank="1"/>
    </cacheField>
    <cacheField name="Exc.Rate" numFmtId="0">
      <sharedItems containsString="0" containsBlank="1" containsNumber="1" minValue="1" maxValue="108.6"/>
    </cacheField>
    <cacheField name="Net Wt" numFmtId="0">
      <sharedItems containsString="0" containsBlank="1" containsNumber="1" minValue="0" maxValue="99000"/>
    </cacheField>
    <cacheField name="Country" numFmtId="0">
      <sharedItems containsBlank="1"/>
    </cacheField>
    <cacheField name="GROUP" numFmtId="0">
      <sharedItems containsBlank="1" count="15">
        <s v="PP Yarn"/>
        <s v="FIBC Bags"/>
        <s v="RP Granules"/>
        <s v="PP UL Fabric"/>
        <s v="N.A"/>
        <s v="PP Lam Fabric"/>
        <s v="PP Webbing"/>
        <s v="PP Granules"/>
        <s v="Masterbatch"/>
        <s v="Polyester Yarn"/>
        <s v="FIBC Accessories"/>
        <s v="Wastage/Scrap"/>
        <s v="LDPE/LLDPE Bags"/>
        <s v="PP Bag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44.686344444446" createdVersion="8" refreshedVersion="8" minRefreshableVersion="3" recordCount="68" xr:uid="{7CB6F72C-ECCC-42EC-8EC4-2BD8040D09C7}">
  <cacheSource type="worksheet">
    <worksheetSource ref="C3:BQ71" sheet="Job In"/>
  </cacheSource>
  <cacheFields count="68">
    <cacheField name="Date" numFmtId="168">
      <sharedItems containsSemiMixedTypes="0" containsNonDate="0" containsDate="1" containsString="0" minDate="2026-07-01T00:00:00" maxDate="2026-07-21T00:00:00"/>
    </cacheField>
    <cacheField name="srno" numFmtId="0">
      <sharedItems/>
    </cacheField>
    <cacheField name="Itemcode" numFmtId="0">
      <sharedItems/>
    </cacheField>
    <cacheField name="Itemname" numFmtId="0">
      <sharedItems/>
    </cacheField>
    <cacheField name="Indentsubcode" numFmtId="0">
      <sharedItems containsMixedTypes="1" containsNumber="1" containsInteger="1" minValue="1" maxValue="2"/>
    </cacheField>
    <cacheField name="PoNO" numFmtId="0">
      <sharedItems/>
    </cacheField>
    <cacheField name="OrderQty" numFmtId="0">
      <sharedItems containsSemiMixedTypes="0" containsString="0" containsNumber="1" containsInteger="1" minValue="0" maxValue="0"/>
    </cacheField>
    <cacheField name="Challanqty" numFmtId="0">
      <sharedItems containsSemiMixedTypes="0" containsString="0" containsNumber="1" minValue="11.4" maxValue="10000"/>
    </cacheField>
    <cacheField name="Unit" numFmtId="0">
      <sharedItems/>
    </cacheField>
    <cacheField name="Recdqty" numFmtId="0">
      <sharedItems containsSemiMixedTypes="0" containsString="0" containsNumber="1" minValue="11.4" maxValue="10000"/>
    </cacheField>
    <cacheField name="PendingQty" numFmtId="0">
      <sharedItems containsSemiMixedTypes="0" containsString="0" containsNumber="1" containsInteger="1" minValue="0" maxValue="0"/>
    </cacheField>
    <cacheField name="Acceptedqty" numFmtId="0">
      <sharedItems containsSemiMixedTypes="0" containsString="0" containsNumber="1" minValue="11.4" maxValue="10000"/>
    </cacheField>
    <cacheField name="Vehicalno" numFmtId="0">
      <sharedItems/>
    </cacheField>
    <cacheField name="Partyname" numFmtId="0">
      <sharedItems/>
    </cacheField>
    <cacheField name="Suppliername" numFmtId="0">
      <sharedItems/>
    </cacheField>
    <cacheField name="ChallanNo" numFmtId="0">
      <sharedItems containsMixedTypes="1" containsNumber="1" containsInteger="1" minValue="12" maxValue="56"/>
    </cacheField>
    <cacheField name="Challan Date" numFmtId="14">
      <sharedItems containsSemiMixedTypes="0" containsNonDate="0" containsDate="1" containsString="0" minDate="2026-06-30T00:00:00" maxDate="2026-07-21T00:00:00"/>
    </cacheField>
    <cacheField name="category" numFmtId="0">
      <sharedItems/>
    </cacheField>
    <cacheField name="subcategory" numFmtId="0">
      <sharedItems/>
    </cacheField>
    <cacheField name="MRno" numFmtId="0">
      <sharedItems/>
    </cacheField>
    <cacheField name="Rate" numFmtId="0">
      <sharedItems containsSemiMixedTypes="0" containsString="0" containsNumber="1" minValue="0.1" maxValue="26652.25"/>
    </cacheField>
    <cacheField name="Amount" numFmtId="0">
      <sharedItems containsSemiMixedTypes="0" containsString="0" containsNumber="1" containsInteger="1" minValue="0" maxValue="0"/>
    </cacheField>
    <cacheField name="BillNo" numFmtId="0">
      <sharedItems containsMixedTypes="1" containsNumber="1" containsInteger="1" minValue="12" maxValue="56"/>
    </cacheField>
    <cacheField name="Bill Date" numFmtId="14">
      <sharedItems containsSemiMixedTypes="0" containsNonDate="0" containsDate="1" containsString="0" minDate="2026-06-30T00:00:00" maxDate="2026-07-21T00:00:00"/>
    </cacheField>
    <cacheField name="ItemRemarks" numFmtId="0">
      <sharedItems containsBlank="1"/>
    </cacheField>
    <cacheField name="Remarks" numFmtId="0">
      <sharedItems containsBlank="1"/>
    </cacheField>
    <cacheField name="Note" numFmtId="0">
      <sharedItems containsNonDate="0" containsString="0" containsBlank="1"/>
    </cacheField>
    <cacheField name="Transportname" numFmtId="0">
      <sharedItems containsMixedTypes="1" containsNumber="1" containsInteger="1" minValue="0" maxValue="0"/>
    </cacheField>
    <cacheField name="Lrnodate" numFmtId="0">
      <sharedItems containsMixedTypes="1" containsNumber="1" containsInteger="1" minValue="0" maxValue="3915"/>
    </cacheField>
    <cacheField name="Discamt" numFmtId="0">
      <sharedItems containsSemiMixedTypes="0" containsString="0" containsNumber="1" containsInteger="1" minValue="0" maxValue="0"/>
    </cacheField>
    <cacheField name="Discamt1" numFmtId="0">
      <sharedItems containsSemiMixedTypes="0" containsString="0" containsNumber="1" containsInteger="1" minValue="0" maxValue="0"/>
    </cacheField>
    <cacheField name="ExciseAmount" numFmtId="0">
      <sharedItems containsSemiMixedTypes="0" containsString="0" containsNumber="1" containsInteger="1" minValue="0" maxValue="0"/>
    </cacheField>
    <cacheField name="EducessAmount" numFmtId="0">
      <sharedItems containsSemiMixedTypes="0" containsString="0" containsNumber="1" containsInteger="1" minValue="0" maxValue="0"/>
    </cacheField>
    <cacheField name="HiEducessamount" numFmtId="0">
      <sharedItems containsSemiMixedTypes="0" containsString="0" containsNumber="1" containsInteger="1" minValue="0" maxValue="0"/>
    </cacheField>
    <cacheField name="InwardVatType" numFmtId="0">
      <sharedItems/>
    </cacheField>
    <cacheField name="Vatamount" numFmtId="0">
      <sharedItems containsSemiMixedTypes="0" containsString="0" containsNumber="1" containsInteger="1" minValue="0" maxValue="0"/>
    </cacheField>
    <cacheField name="Addvatamount" numFmtId="0">
      <sharedItems containsSemiMixedTypes="0" containsString="0" containsNumber="1" containsInteger="1" minValue="0" maxValue="0"/>
    </cacheField>
    <cacheField name="Frieght" numFmtId="0">
      <sharedItems containsSemiMixedTypes="0" containsString="0" containsNumber="1" containsInteger="1" minValue="0" maxValue="0"/>
    </cacheField>
    <cacheField name="Pkgfwd" numFmtId="0">
      <sharedItems containsSemiMixedTypes="0" containsString="0" containsNumber="1" containsInteger="1" minValue="0" maxValue="0"/>
    </cacheField>
    <cacheField name="Otherchg" numFmtId="0">
      <sharedItems containsSemiMixedTypes="0" containsString="0" containsNumber="1" containsInteger="1" minValue="0" maxValue="0"/>
    </cacheField>
    <cacheField name="Spdutyname" numFmtId="0">
      <sharedItems containsNonDate="0" containsString="0" containsBlank="1"/>
    </cacheField>
    <cacheField name="Spdutyamt" numFmtId="0">
      <sharedItems containsSemiMixedTypes="0" containsString="0" containsNumber="1" minValue="-4572193.4874999998" maxValue="-9180"/>
    </cacheField>
    <cacheField name="Additionalduty" numFmtId="0">
      <sharedItems containsSemiMixedTypes="0" containsString="0" containsNumber="1" containsInteger="1" minValue="0" maxValue="0"/>
    </cacheField>
    <cacheField name="Billamount" numFmtId="0">
      <sharedItems containsSemiMixedTypes="0" containsString="0" containsNumber="1" containsInteger="1" minValue="0" maxValue="0"/>
    </cacheField>
    <cacheField name="Deptt" numFmtId="0">
      <sharedItems/>
    </cacheField>
    <cacheField name="GroupName" numFmtId="0">
      <sharedItems/>
    </cacheField>
    <cacheField name="SubGroupName" numFmtId="0">
      <sharedItems/>
    </cacheField>
    <cacheField name="Deptt Po Indent" numFmtId="0">
      <sharedItems/>
    </cacheField>
    <cacheField name="LoginName" numFmtId="0">
      <sharedItems containsBlank="1"/>
    </cacheField>
    <cacheField name="servicetax" numFmtId="0">
      <sharedItems containsSemiMixedTypes="0" containsString="0" containsNumber="1" containsInteger="1" minValue="0" maxValue="0"/>
    </cacheField>
    <cacheField name="Basic Amount" numFmtId="0">
      <sharedItems containsSemiMixedTypes="0" containsString="0" containsNumber="1" containsInteger="1" minValue="0" maxValue="0"/>
    </cacheField>
    <cacheField name="GateInwardNo" numFmtId="0">
      <sharedItems/>
    </cacheField>
    <cacheField name="GateInwardDate" numFmtId="14">
      <sharedItems containsSemiMixedTypes="0" containsNonDate="0" containsDate="1" containsString="0" minDate="2026-07-01T00:00:00" maxDate="2026-07-21T00:00:00"/>
    </cacheField>
    <cacheField name="VendorGST" numFmtId="0">
      <sharedItems/>
    </cacheField>
    <cacheField name="MRN User" numFmtId="0">
      <sharedItems/>
    </cacheField>
    <cacheField name="POUserName" numFmtId="0">
      <sharedItems containsNonDate="0" containsString="0" containsBlank="1"/>
    </cacheField>
    <cacheField name="CGSTPer" numFmtId="0">
      <sharedItems containsSemiMixedTypes="0" containsString="0" containsNumber="1" containsInteger="1" minValue="0" maxValue="0"/>
    </cacheField>
    <cacheField name="CGSTAmount" numFmtId="0">
      <sharedItems containsSemiMixedTypes="0" containsString="0" containsNumber="1" containsInteger="1" minValue="0" maxValue="0"/>
    </cacheField>
    <cacheField name="SGSTPer" numFmtId="0">
      <sharedItems containsSemiMixedTypes="0" containsString="0" containsNumber="1" containsInteger="1" minValue="0" maxValue="0"/>
    </cacheField>
    <cacheField name="SGSTAmount" numFmtId="0">
      <sharedItems containsSemiMixedTypes="0" containsString="0" containsNumber="1" containsInteger="1" minValue="0" maxValue="0"/>
    </cacheField>
    <cacheField name="IGSTPer" numFmtId="0">
      <sharedItems containsSemiMixedTypes="0" containsString="0" containsNumber="1" containsInteger="1" minValue="0" maxValue="0"/>
    </cacheField>
    <cacheField name="IGSTAmount" numFmtId="0">
      <sharedItems containsSemiMixedTypes="0" containsString="0" containsNumber="1" containsInteger="1" minValue="0" maxValue="0"/>
    </cacheField>
    <cacheField name="RBIllmount" numFmtId="0">
      <sharedItems containsSemiMixedTypes="0" containsString="0" containsNumber="1" containsInteger="1" minValue="0" maxValue="0"/>
    </cacheField>
    <cacheField name="EWayNo" numFmtId="0">
      <sharedItems containsMixedTypes="1" containsNumber="1" containsInteger="1" minValue="602137742244" maxValue="692148004044"/>
    </cacheField>
    <cacheField name="EWayDt" numFmtId="0">
      <sharedItems containsSemiMixedTypes="0" containsNonDate="0" containsDate="1" containsString="0" minDate="2026-06-30T15:45:00" maxDate="2026-07-20T16:44:00"/>
    </cacheField>
    <cacheField name="netwt" numFmtId="0">
      <sharedItems containsSemiMixedTypes="0" containsString="0" containsNumber="1" minValue="11.4" maxValue="10000"/>
    </cacheField>
    <cacheField name="GROUP" numFmtId="0">
      <sharedItems count="7">
        <s v="PP UL Fabric"/>
        <s v="PP Lam Fabric"/>
        <s v="PP Yarn"/>
        <s v="HD UL Fabric"/>
        <s v="Wastage/Scrap"/>
        <s v="N.A"/>
        <s v="PP Granules"/>
      </sharedItems>
    </cacheField>
    <cacheField name="1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44.688215046299" createdVersion="8" refreshedVersion="8" minRefreshableVersion="3" recordCount="13" xr:uid="{BFF23FAC-2B26-4F58-868C-823B81AC57E2}">
  <cacheSource type="worksheet">
    <worksheetSource ref="D3:V16" sheet="Job Out"/>
  </cacheSource>
  <cacheFields count="19">
    <cacheField name="sysdate" numFmtId="0">
      <sharedItems containsNonDate="0" containsDate="1" containsString="0" containsBlank="1" minDate="2026-07-02T00:00:00" maxDate="2026-07-24T00:00:00"/>
    </cacheField>
    <cacheField name="Company Name" numFmtId="0">
      <sharedItems containsBlank="1"/>
    </cacheField>
    <cacheField name="NatureProc" numFmtId="0">
      <sharedItems containsBlank="1"/>
    </cacheField>
    <cacheField name="DescriptionGoods" numFmtId="0">
      <sharedItems containsBlank="1"/>
    </cacheField>
    <cacheField name="Deptt" numFmtId="0">
      <sharedItems containsBlank="1"/>
    </cacheField>
    <cacheField name="GroupName" numFmtId="0">
      <sharedItems containsBlank="1"/>
    </cacheField>
    <cacheField name="SubGroupName" numFmtId="0">
      <sharedItems containsBlank="1"/>
    </cacheField>
    <cacheField name="itemcode" numFmtId="0">
      <sharedItems containsBlank="1"/>
    </cacheField>
    <cacheField name="itemname" numFmtId="0">
      <sharedItems containsBlank="1"/>
    </cacheField>
    <cacheField name="Identification" numFmtId="0">
      <sharedItems containsBlank="1"/>
    </cacheField>
    <cacheField name="QtyDesc" numFmtId="0">
      <sharedItems containsBlank="1"/>
    </cacheField>
    <cacheField name="ItemUnit" numFmtId="0">
      <sharedItems containsBlank="1"/>
    </cacheField>
    <cacheField name="ItemQty" numFmtId="0">
      <sharedItems containsString="0" containsBlank="1" containsNumber="1" minValue="70" maxValue="5021.4799999999996"/>
    </cacheField>
    <cacheField name="ItemValue" numFmtId="0">
      <sharedItems containsString="0" containsBlank="1" containsNumber="1" minValue="1960" maxValue="1024356.8125999999"/>
    </cacheField>
    <cacheField name="TotalAmt" numFmtId="0">
      <sharedItems containsString="0" containsBlank="1" containsNumber="1" minValue="148700.75" maxValue="1147279.6299999999"/>
    </cacheField>
    <cacheField name="VehicalNo" numFmtId="0">
      <sharedItems containsBlank="1"/>
    </cacheField>
    <cacheField name="LRNo" numFmtId="0">
      <sharedItems containsBlank="1"/>
    </cacheField>
    <cacheField name="TransportName" numFmtId="0">
      <sharedItems containsNonDate="0" containsString="0" containsBlank="1"/>
    </cacheField>
    <cacheField name="GROUP" numFmtId="0">
      <sharedItems containsBlank="1" count="5">
        <s v="PP Yarn"/>
        <s v="Filler"/>
        <s v="PP Granules"/>
        <s v="UV MB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2">
  <r>
    <d v="2026-07-01T00:00:00"/>
    <s v="Eminent Globexim"/>
    <s v="General Purchase"/>
    <s v="GNCN 200"/>
    <s v="Purchase Withinstate- Stores, Spares &amp; Consumable"/>
    <s v="EG/2627/20"/>
    <d v="2026-06-20T00:00:00"/>
    <s v="Packing Material"/>
    <s v="Packaging Material"/>
    <s v="Stores &amp; Spares"/>
    <s v="Consumables"/>
    <s v="Pp Rope"/>
    <n v="262.10000000000002"/>
    <n v="40887.599999999999"/>
    <s v="Pp Rope"/>
    <n v="43247"/>
    <n v="2.5"/>
    <n v="1029.69"/>
    <n v="2.5"/>
    <n v="1029.69"/>
    <n v="0"/>
    <n v="0"/>
    <n v="0"/>
    <n v="2059.38"/>
    <n v="0"/>
    <s v="24AAIFE9434G1ZE"/>
    <s v="Kgs"/>
    <n v="2853"/>
    <s v="Rs."/>
    <n v="1"/>
    <n v="0"/>
    <s v="India"/>
    <x v="0"/>
  </r>
  <r>
    <d v="2026-07-01T00:00:00"/>
    <s v="Ginza Machinery Mfg.Co."/>
    <s v="General Purchase"/>
    <s v="GNSP 343"/>
    <s v="Purchase Withinstate- Stores, Spares &amp; Consumable"/>
    <s v="GINZA/26-27/0932"/>
    <d v="2026-06-29T00:00:00"/>
    <s v="Stores/Spares"/>
    <s v="Stitching Spares"/>
    <s v="Stores &amp; Spares"/>
    <s v="stores &amp;  spares"/>
    <s v="Needle Lever Connecting Rod ( Big Bkt.) # 502690 B"/>
    <n v="10"/>
    <n v="5250"/>
    <s v="Needle Lever Connecting Rod ( Big Bkt.) # 502690 B"/>
    <n v="18952"/>
    <n v="2.5"/>
    <n v="131.25"/>
    <n v="2.5"/>
    <n v="131.25"/>
    <n v="0"/>
    <n v="0"/>
    <n v="0"/>
    <n v="262.5"/>
    <n v="0"/>
    <s v="24AAAFG5650J1ZJ"/>
    <s v="Pcs"/>
    <n v="84529099"/>
    <s v="Rs."/>
    <n v="1"/>
    <n v="0"/>
    <s v="India"/>
    <x v="0"/>
  </r>
  <r>
    <d v="2026-07-01T00:00:00"/>
    <s v="Ginza Machinery Mfg.Co."/>
    <s v="General Purchase"/>
    <s v="GNSP 343"/>
    <s v="Purchase Withinstate- Stores, Spares &amp; Consumable"/>
    <s v="GINZA/26-27/0932"/>
    <d v="2026-06-29T00:00:00"/>
    <s v="Stores/Spares"/>
    <s v="Stitching Spares"/>
    <s v="Stores &amp; Spares"/>
    <s v="stores &amp;  spares"/>
    <s v="Feed Bar Bracket 603616"/>
    <n v="10"/>
    <n v="5250"/>
    <s v="Feed Bar Bracket 603616"/>
    <n v="0"/>
    <n v="2.5"/>
    <n v="131.25"/>
    <n v="2.5"/>
    <n v="131.25"/>
    <n v="0"/>
    <n v="0"/>
    <n v="0"/>
    <n v="262.5"/>
    <n v="0"/>
    <s v="24AAAFG5650J1ZJ"/>
    <s v="Pcs"/>
    <n v="84529099"/>
    <s v="Rs."/>
    <n v="1"/>
    <n v="0"/>
    <s v="India"/>
    <x v="0"/>
  </r>
  <r>
    <d v="2026-07-01T00:00:00"/>
    <s v="Ginza Machinery Mfg.Co."/>
    <s v="General Purchase"/>
    <s v="GNSP 343"/>
    <s v="Purchase Withinstate- Stores, Spares &amp; Consumable"/>
    <s v="GINZA/26-27/0932"/>
    <d v="2026-06-29T00:00:00"/>
    <s v="Stores/Spares"/>
    <s v="Stitching Spares"/>
    <s v="Stores &amp; Spares"/>
    <s v="stores &amp;  spares"/>
    <s v="502683 (Needle Lever Conn. Rod Bkt. (Small )"/>
    <n v="10"/>
    <n v="4550"/>
    <s v="502683 (Needle Lever Conn. Rod Bkt. (Small )"/>
    <n v="0"/>
    <n v="2.5"/>
    <n v="113.75"/>
    <n v="2.5"/>
    <n v="113.75"/>
    <n v="0"/>
    <n v="0"/>
    <n v="0"/>
    <n v="227.5"/>
    <n v="0"/>
    <s v="24AAAFG5650J1ZJ"/>
    <s v="Pcs"/>
    <n v="845290"/>
    <s v="Rs."/>
    <n v="1"/>
    <n v="0"/>
    <s v="India"/>
    <x v="0"/>
  </r>
  <r>
    <d v="2026-07-01T00:00:00"/>
    <s v="Ginza Machinery Mfg.Co."/>
    <s v="General Purchase"/>
    <s v="GNSP 343"/>
    <s v="Purchase Withinstate- Stores, Spares &amp; Consumable"/>
    <s v="GINZA/26-27/0932"/>
    <d v="2026-06-29T00:00:00"/>
    <s v="Stores/Spares"/>
    <s v="Stitching Spares"/>
    <s v="Stores &amp; Spares"/>
    <s v="stores &amp;  spares"/>
    <s v="Looper Avoid Eccentric Fork 603516"/>
    <n v="5"/>
    <n v="2100"/>
    <s v="Looper Avoid Eccentric Fork 603516"/>
    <n v="0"/>
    <n v="2.5"/>
    <n v="75"/>
    <n v="2.5"/>
    <n v="75"/>
    <n v="0"/>
    <n v="0"/>
    <n v="0"/>
    <n v="150"/>
    <n v="0"/>
    <s v="24AAAFG5650J1ZJ"/>
    <s v="Pcs"/>
    <n v="84529099"/>
    <s v="Rs."/>
    <n v="1"/>
    <n v="0"/>
    <s v="India"/>
    <x v="0"/>
  </r>
  <r>
    <d v="2026-07-01T00:00:00"/>
    <s v="HCP Plastene Bulkpack Limited - Purchase"/>
    <s v="R.M.P."/>
    <s v="RM 239"/>
    <s v="Purchase Withinstate - Raw Material"/>
    <s v="HPBL/D/328"/>
    <d v="2026-06-30T00:00:00"/>
    <s v="SF"/>
    <s v="PP/PE Fabric"/>
    <s v="PP UL Fabric"/>
    <s v="PP WOVEN FABRIC"/>
    <s v="PP UL Fabric With UV"/>
    <n v="317"/>
    <n v="70342.3"/>
    <s v="PP UL Fabric With UV"/>
    <n v="1084907.0900000001"/>
    <n v="9"/>
    <n v="6330.81"/>
    <n v="9"/>
    <n v="6330.81"/>
    <n v="0"/>
    <n v="0"/>
    <n v="0"/>
    <n v="12661.62"/>
    <n v="0"/>
    <s v="24AABCG1282C2Z6"/>
    <s v="Kgs"/>
    <n v="39269080"/>
    <s v="Rs."/>
    <n v="1"/>
    <n v="317"/>
    <s v="India"/>
    <x v="1"/>
  </r>
  <r>
    <d v="2026-07-01T00:00:00"/>
    <s v="HCP Plastene Bulkpack Limited - Purchase"/>
    <s v="R.M.P."/>
    <s v="RM 239"/>
    <s v="Purchase Withinstate - Raw Material"/>
    <s v="HPBL/D/328"/>
    <d v="2026-06-30T00:00:00"/>
    <s v="SF"/>
    <s v="PP/PE Fabric"/>
    <s v="PP UL Fabric"/>
    <s v="PP WOVEN FABRIC"/>
    <s v="PP UL Fabric With UV"/>
    <n v="629"/>
    <n v="100577.1"/>
    <s v="PP UL Fabric With UV"/>
    <n v="0"/>
    <n v="9"/>
    <n v="9051.94"/>
    <n v="9"/>
    <n v="9051.94"/>
    <n v="0"/>
    <n v="0"/>
    <n v="0"/>
    <n v="18103.88"/>
    <n v="0"/>
    <s v="24AABCG1282C2Z6"/>
    <s v="Kgs"/>
    <n v="39269080"/>
    <s v="Rs."/>
    <n v="1"/>
    <n v="629"/>
    <s v="India"/>
    <x v="1"/>
  </r>
  <r>
    <d v="2026-07-01T00:00:00"/>
    <s v="HCP Plastene Bulkpack Limited - Purchase"/>
    <s v="R.M.P."/>
    <s v="RM 239"/>
    <s v="Purchase Withinstate - Raw Material"/>
    <s v="HPBL/D/328"/>
    <d v="2026-06-30T00:00:00"/>
    <s v="SF"/>
    <s v="PP/PE Fabric"/>
    <s v="PP UL Fabric"/>
    <s v="PP WOVEN FABRIC"/>
    <s v="PP UL Fabric With UV"/>
    <n v="4628"/>
    <n v="749273.2"/>
    <s v="PP UL Fabric With UV"/>
    <n v="0"/>
    <n v="9"/>
    <n v="67434.59"/>
    <n v="9"/>
    <n v="67434.59"/>
    <n v="0"/>
    <n v="0"/>
    <n v="0"/>
    <n v="134869.18"/>
    <n v="0"/>
    <s v="24AABCG1282C2Z6"/>
    <s v="Kgs"/>
    <n v="39269080"/>
    <s v="Rs."/>
    <n v="1"/>
    <n v="4628"/>
    <s v="India"/>
    <x v="1"/>
  </r>
  <r>
    <d v="2026-07-01T00:00:00"/>
    <s v="HCP Plastene Bulkpack Limited - Purchase"/>
    <s v="R.M.P."/>
    <s v="RM 241"/>
    <s v="Purchase Withinstate - Raw Material"/>
    <s v="HPBL/D/336"/>
    <d v="2026-07-01T00:00:00"/>
    <s v="SF"/>
    <s v="PP/PE Fabric"/>
    <s v="PP UL Fabric"/>
    <s v="PP WOVEN FABRIC"/>
    <s v="PP UL Fabric With UV"/>
    <n v="657"/>
    <n v="106368.3"/>
    <s v="PP UL Fabric With UV"/>
    <n v="545314.62"/>
    <n v="9"/>
    <n v="9573.15"/>
    <n v="9"/>
    <n v="9573.15"/>
    <n v="0"/>
    <n v="0"/>
    <n v="0"/>
    <n v="19146.3"/>
    <n v="0"/>
    <s v="24AABCG1282C2Z6"/>
    <s v="Kgs"/>
    <n v="39269080"/>
    <s v="Rs."/>
    <n v="1"/>
    <n v="657"/>
    <s v="India"/>
    <x v="1"/>
  </r>
  <r>
    <d v="2026-07-01T00:00:00"/>
    <s v="HCP Plastene Bulkpack Limited - Purchase"/>
    <s v="R.M.P."/>
    <s v="RM 241"/>
    <s v="Purchase Withinstate - Raw Material"/>
    <s v="HPBL/D/336"/>
    <d v="2026-07-01T00:00:00"/>
    <s v="SF"/>
    <s v="PP/PE Fabric"/>
    <s v="PP Lam Fabric"/>
    <s v="PP LAMINETED FABRIC"/>
    <s v="PP Lam Fabric With UV"/>
    <n v="2173"/>
    <n v="356154.7"/>
    <s v="PP Lam Fabric With UV"/>
    <n v="0"/>
    <n v="9"/>
    <n v="32053.919999999998"/>
    <n v="9"/>
    <n v="32053.919999999998"/>
    <n v="0"/>
    <n v="0"/>
    <n v="0"/>
    <n v="64107.839999999997"/>
    <n v="0"/>
    <s v="24AABCG1282C2Z6"/>
    <s v="Kgs"/>
    <n v="63053300"/>
    <s v="Rs."/>
    <n v="1"/>
    <n v="2173"/>
    <s v="India"/>
    <x v="2"/>
  </r>
  <r>
    <d v="2026-07-01T00:00:00"/>
    <s v="Labbdhi Paper Tubes Pvt Ltd"/>
    <s v="General Purchase"/>
    <s v="GNPK 121"/>
    <s v="Purchase Withinstate- Packing Material"/>
    <s v=" 407/2026-27"/>
    <d v="2026-06-30T00:00:00"/>
    <s v="Packing Material"/>
    <s v="Paper Cores"/>
    <s v="Packing Materials"/>
    <s v="Packing Materials"/>
    <s v="Paper Core"/>
    <n v="1845"/>
    <n v="66420"/>
    <s v="Paper Core"/>
    <n v="78376"/>
    <n v="9"/>
    <n v="5977.8"/>
    <n v="9"/>
    <n v="5977.8"/>
    <n v="0"/>
    <n v="0"/>
    <n v="0"/>
    <n v="11955.6"/>
    <n v="0"/>
    <s v="24AACCL4303N1ZM"/>
    <s v="Kgs"/>
    <n v="482290"/>
    <s v="Rs."/>
    <n v="1"/>
    <n v="0"/>
    <s v="India"/>
    <x v="0"/>
  </r>
  <r>
    <d v="2026-07-01T00:00:00"/>
    <s v="Lohia Corp Limited - 09AAKCK2932Q1ZU - UP"/>
    <s v="General Purchase"/>
    <s v="GNSP 341"/>
    <s v="Purchase Interstate- Stores, Spares &amp; Consumable"/>
    <s v="TG0926110178"/>
    <d v="2026-06-26T00:00:00"/>
    <s v="Stores/Spares"/>
    <s v="Cutting Machine Spares"/>
    <s v="Stores &amp; Spares"/>
    <s v="stores &amp;  spares"/>
    <s v="Top Pinch Roller Shaft 11169158800"/>
    <n v="1"/>
    <n v="11875"/>
    <s v="Top Pinch Roller Shaft 11169158800"/>
    <n v="26985.42"/>
    <n v="0"/>
    <n v="0"/>
    <n v="0"/>
    <n v="0"/>
    <n v="18"/>
    <n v="2137.5"/>
    <n v="166.32"/>
    <n v="2303.8200000000002"/>
    <n v="0"/>
    <s v="09AAKCK2932Q1ZU"/>
    <s v="Pcs"/>
    <n v="84799090"/>
    <s v="Rs."/>
    <n v="1"/>
    <n v="0"/>
    <s v="India"/>
    <x v="0"/>
  </r>
  <r>
    <d v="2026-07-01T00:00:00"/>
    <s v="Lohia Corp Limited - 09AAKCK2932Q1ZU - UP"/>
    <s v="General Purchase"/>
    <s v="GNSP 341"/>
    <s v="Purchase Interstate- Stores, Spares &amp; Consumable"/>
    <s v="TG0926110178"/>
    <d v="2026-06-26T00:00:00"/>
    <s v="Stores/Spares"/>
    <s v="Cutting Machine Spares"/>
    <s v="Stores &amp; Spares"/>
    <s v="stores &amp;  spares"/>
    <s v="Bottom Pinch Roller Shaft 11169159000"/>
    <n v="1"/>
    <n v="10070"/>
    <s v="Bottom Pinch Roller Shaft 11169159000"/>
    <n v="0"/>
    <n v="0"/>
    <n v="0"/>
    <n v="0"/>
    <n v="0"/>
    <n v="18"/>
    <n v="1812.6"/>
    <n v="166.32"/>
    <n v="1978.9199999999998"/>
    <n v="0"/>
    <s v="09AAKCK2932Q1ZU"/>
    <s v="Pcs"/>
    <n v="84799090"/>
    <s v="Rs."/>
    <n v="1"/>
    <n v="0"/>
    <s v="India"/>
    <x v="0"/>
  </r>
  <r>
    <d v="2026-07-01T00:00:00"/>
    <s v="Olive Industries"/>
    <s v="R.M.P."/>
    <s v="RM 242"/>
    <s v="Purchase Withinstate - Raw Material"/>
    <s v="TI/394"/>
    <d v="2026-06-30T00:00:00"/>
    <s v="SF"/>
    <s v="Yarn All"/>
    <s v="PP Yarn"/>
    <s v="PP MF Yarn"/>
    <s v="Monofilament Yarn 840 Denier"/>
    <n v="144.96"/>
    <n v="29716.075199999999"/>
    <s v="Monofilament Yarn 840 Denier"/>
    <n v="31202"/>
    <n v="2.5"/>
    <n v="742.9"/>
    <n v="2.5"/>
    <n v="742.9"/>
    <n v="0"/>
    <n v="0"/>
    <n v="0"/>
    <n v="1485.8"/>
    <n v="0"/>
    <s v="24AAEFO9994M1ZE"/>
    <s v="Kgs"/>
    <n v="12345678"/>
    <s v="Rs."/>
    <n v="1"/>
    <n v="144.96"/>
    <s v="India"/>
    <x v="3"/>
  </r>
  <r>
    <d v="2026-07-01T00:00:00"/>
    <s v="Pack Seals Industries"/>
    <s v="General Purchase"/>
    <s v="GNPK 123"/>
    <s v="Purchase Interstate- Stores, Spares &amp; Consumable"/>
    <s v="SPL0842/26-27"/>
    <d v="2026-06-29T00:00:00"/>
    <s v="Packing Material"/>
    <s v="Packaging Material"/>
    <s v="Packing Materials"/>
    <s v="Packing Materials"/>
    <s v="Container Seal (Rem Mark)"/>
    <n v="200"/>
    <n v="14000"/>
    <s v="Container Seal (Rem Mark)"/>
    <n v="16520"/>
    <n v="0"/>
    <n v="0"/>
    <n v="0"/>
    <n v="0"/>
    <n v="18"/>
    <n v="2520"/>
    <n v="0"/>
    <n v="2520"/>
    <n v="0"/>
    <s v="27AJHPM9842J1ZM"/>
    <s v="Pcs"/>
    <n v="84799090"/>
    <s v="Rs."/>
    <n v="1"/>
    <n v="0"/>
    <s v="India"/>
    <x v="0"/>
  </r>
  <r>
    <d v="2026-07-01T00:00:00"/>
    <s v="Plastene India ltd - Unit 1-Purchase"/>
    <s v="General Purchase"/>
    <s v="GNPK 120"/>
    <s v="Purchase Withinstate- Packing Material"/>
    <s v="PIL1/D/868"/>
    <d v="2026-06-30T00:00:00"/>
    <s v="Stores/Spares"/>
    <s v="MS Structure Items"/>
    <s v="Packing Materials"/>
    <s v="Packing Materials"/>
    <s v="MS Pipe 4  C Class"/>
    <n v="215"/>
    <n v="10320"/>
    <s v="MS Pipe 4  C Class"/>
    <n v="12167.28"/>
    <n v="9"/>
    <n v="928.8"/>
    <n v="9"/>
    <n v="928.8"/>
    <n v="0"/>
    <n v="0"/>
    <n v="0"/>
    <n v="1857.6"/>
    <n v="0"/>
    <s v="24AAACO3087C1ZT"/>
    <s v="Kgs"/>
    <n v="73063090"/>
    <s v="Rs."/>
    <n v="1"/>
    <n v="0"/>
    <s v="India"/>
    <x v="0"/>
  </r>
  <r>
    <d v="2026-07-01T00:00:00"/>
    <s v="Plastene India ltd - Unit 1-Purchase"/>
    <s v="R.M.P."/>
    <s v="RM 237"/>
    <s v="Purchase Withinstate - Raw Material"/>
    <s v="PIL1/D/867"/>
    <d v="2026-06-30T00:00:00"/>
    <s v="SF"/>
    <s v="Liners"/>
    <s v="LDPE/LLDPE Bags"/>
    <s v="LLDPE BAGS"/>
    <s v="LDPE/LLDPE Bags/Liner"/>
    <n v="319"/>
    <n v="59062.85"/>
    <s v="LDPE/LLDPE Bags/Liner"/>
    <n v="69635.11"/>
    <n v="9"/>
    <n v="5315.66"/>
    <n v="9"/>
    <n v="5315.66"/>
    <n v="0"/>
    <n v="0"/>
    <n v="0"/>
    <n v="10631.32"/>
    <n v="0"/>
    <s v="24AAACO3087C1ZT"/>
    <s v="Kgs"/>
    <n v="39200000"/>
    <s v="Rs."/>
    <n v="1"/>
    <n v="319"/>
    <s v="India"/>
    <x v="4"/>
  </r>
  <r>
    <d v="2026-07-01T00:00:00"/>
    <s v="Plastene India ltd - Unit 1-Purchase"/>
    <s v="R.M.P."/>
    <s v="RM 238"/>
    <s v="Purchase Withinstate - Raw Material"/>
    <s v="PIL1/DE/18"/>
    <d v="2026-06-30T00:00:00"/>
    <s v="SF"/>
    <s v="PP/PE Fabric"/>
    <s v="PP UL Fabric"/>
    <s v="PP WOVEN FABRIC"/>
    <s v="PP UL Fabric With UV"/>
    <n v="200"/>
    <n v="79000"/>
    <s v="PP UL Fabric With UV"/>
    <n v="93141"/>
    <n v="9"/>
    <n v="7110"/>
    <n v="9"/>
    <n v="7110"/>
    <n v="0"/>
    <n v="0"/>
    <n v="0"/>
    <n v="14220"/>
    <n v="0"/>
    <s v="24AAACO3087C1ZT"/>
    <s v="Kgs"/>
    <n v="39269080"/>
    <s v="Rs."/>
    <n v="1"/>
    <n v="200"/>
    <s v="India"/>
    <x v="1"/>
  </r>
  <r>
    <d v="2026-07-01T00:00:00"/>
    <s v="Plastene India ltd - Unit 2-Purchase"/>
    <s v="General Purchase"/>
    <s v="GNPK 119"/>
    <s v="Purchase Withinstate- Packing Material"/>
    <s v="PIL2/D/324"/>
    <d v="2026-06-30T00:00:00"/>
    <s v="Stores/Spares"/>
    <s v="MS Structure Items"/>
    <s v="Packing Materials"/>
    <s v="Packing Materials"/>
    <s v="MS Pipe"/>
    <n v="79"/>
    <n v="3792"/>
    <s v="MS Pipe"/>
    <n v="4470.7700000000004"/>
    <n v="9"/>
    <n v="341.28"/>
    <n v="9"/>
    <n v="341.28"/>
    <n v="0"/>
    <n v="0"/>
    <n v="0"/>
    <n v="682.56"/>
    <n v="0"/>
    <s v="24AAACO3087C1ZT"/>
    <s v="Kgs"/>
    <n v="7306309"/>
    <s v="Rs."/>
    <n v="1"/>
    <n v="0"/>
    <s v="India"/>
    <x v="0"/>
  </r>
  <r>
    <d v="2026-07-01T00:00:00"/>
    <s v="Plastene India ltd - Unit 2-Purchase"/>
    <s v="R.M.P."/>
    <s v="RM 240"/>
    <s v="Purchase Withinstate - Raw Material"/>
    <s v="PIL2/D/323"/>
    <d v="2026-06-30T00:00:00"/>
    <s v="SF"/>
    <s v="PP/PE Fabric"/>
    <s v="PP UL Fabric"/>
    <s v="PP WOVEN FABRIC"/>
    <s v="PP UL Fabric With UV"/>
    <n v="1647"/>
    <n v="175899.6"/>
    <s v="PP UL Fabric With UV"/>
    <n v="612525.63"/>
    <n v="9"/>
    <n v="15830.96"/>
    <n v="9"/>
    <n v="15830.96"/>
    <n v="0"/>
    <n v="0"/>
    <n v="0"/>
    <n v="31661.919999999998"/>
    <n v="0"/>
    <s v="24AAACO3087C1ZT"/>
    <s v="Kgs"/>
    <n v="39269080"/>
    <s v="Rs."/>
    <n v="1"/>
    <n v="1647"/>
    <s v="India"/>
    <x v="1"/>
  </r>
  <r>
    <d v="2026-07-01T00:00:00"/>
    <s v="Plastene India ltd - Unit 2-Purchase"/>
    <s v="R.M.P."/>
    <s v="RM 240"/>
    <s v="Purchase Withinstate - Raw Material"/>
    <s v="PIL2/D/323"/>
    <d v="2026-06-30T00:00:00"/>
    <s v="SF"/>
    <s v="PP/PE Fabric"/>
    <s v="PP UL Fabric"/>
    <s v="PP WOVEN FABRIC"/>
    <s v="PP UL Fabric With UV"/>
    <n v="689"/>
    <n v="74825.399999999994"/>
    <s v="PP UL Fabric With UV"/>
    <n v="0"/>
    <n v="9"/>
    <n v="6734.29"/>
    <n v="9"/>
    <n v="6734.29"/>
    <n v="0"/>
    <n v="0"/>
    <n v="0"/>
    <n v="13468.58"/>
    <n v="0"/>
    <s v="24AAACO3087C1ZT"/>
    <s v="Kgs"/>
    <n v="39269080"/>
    <s v="Rs."/>
    <n v="1"/>
    <n v="689"/>
    <s v="India"/>
    <x v="1"/>
  </r>
  <r>
    <d v="2026-07-01T00:00:00"/>
    <s v="Plastene India ltd - Unit 2-Purchase"/>
    <s v="R.M.P."/>
    <s v="RM 240"/>
    <s v="Purchase Withinstate - Raw Material"/>
    <s v="PIL2/D/323"/>
    <d v="2026-06-30T00:00:00"/>
    <s v="RM"/>
    <s v="Granules"/>
    <s v="Masterbatch"/>
    <s v="Master batch"/>
    <s v="MB Colman Shiny Black ( RD Black-01 )"/>
    <n v="100"/>
    <n v="15900"/>
    <s v="MB Colman Shiny Black ( RD Black-01 )"/>
    <n v="0"/>
    <n v="9"/>
    <n v="1431"/>
    <n v="9"/>
    <n v="1431"/>
    <n v="0"/>
    <n v="0"/>
    <n v="0"/>
    <n v="2862"/>
    <n v="0"/>
    <s v="24AAACO3087C1ZT"/>
    <s v="Kgs"/>
    <n v="32064990"/>
    <s v="Rs."/>
    <n v="1"/>
    <n v="100"/>
    <s v="India"/>
    <x v="5"/>
  </r>
  <r>
    <d v="2026-07-01T00:00:00"/>
    <s v="Plastene India ltd - Unit 2-Purchase"/>
    <s v="R.M.P."/>
    <s v="RM 240"/>
    <s v="Purchase Withinstate - Raw Material"/>
    <s v="PIL2/D/323"/>
    <d v="2026-06-30T00:00:00"/>
    <s v="SF"/>
    <s v="Webbing"/>
    <s v="PP Webbing"/>
    <s v="PP WEBBING"/>
    <s v="Webbing"/>
    <n v="1978.4"/>
    <n v="214854.24"/>
    <s v="Webbing"/>
    <n v="0"/>
    <n v="9"/>
    <n v="19336.88"/>
    <n v="9"/>
    <n v="19336.88"/>
    <n v="0"/>
    <n v="0"/>
    <n v="0"/>
    <n v="38673.760000000002"/>
    <n v="0"/>
    <s v="24AAACO3087C1ZT"/>
    <s v="Kgs"/>
    <n v="3926908"/>
    <s v="Rs."/>
    <n v="1"/>
    <n v="1978.4"/>
    <s v="India"/>
    <x v="6"/>
  </r>
  <r>
    <d v="2026-07-01T00:00:00"/>
    <s v="Plastene India ltd - Unit 2-Purchase"/>
    <s v="R.M.P."/>
    <s v="RM 240"/>
    <s v="Purchase Withinstate - Raw Material"/>
    <s v="PIL2/D/323"/>
    <d v="2026-06-30T00:00:00"/>
    <s v="SF"/>
    <s v="Webbing"/>
    <s v="PP Webbing"/>
    <s v="PP WEBBING"/>
    <s v="Webbing MF"/>
    <n v="293.60000000000002"/>
    <n v="38050.559999999998"/>
    <s v="Webbing MF"/>
    <n v="0"/>
    <n v="9"/>
    <n v="3424.55"/>
    <n v="9"/>
    <n v="3424.55"/>
    <n v="0"/>
    <n v="0"/>
    <n v="0"/>
    <n v="6849.1"/>
    <n v="0"/>
    <s v="24AAACO3087C1ZT"/>
    <s v="Kgs"/>
    <n v="39269080"/>
    <s v="Rs."/>
    <n v="1"/>
    <n v="293.60000000000002"/>
    <s v="India"/>
    <x v="6"/>
  </r>
  <r>
    <d v="2026-07-01T00:00:00"/>
    <s v="Satyam Stationery Mart"/>
    <s v="General Purchase"/>
    <s v="GNPK 124"/>
    <s v="Purchase Withinstate- Packing Material"/>
    <s v="SSM01911"/>
    <d v="2026-06-29T00:00:00"/>
    <s v="Stores/Spares"/>
    <s v="Cutter Blades"/>
    <s v="Packing Materials"/>
    <s v="Packing Materials"/>
    <s v="Scissor Plastic Handle"/>
    <n v="20"/>
    <n v="1240"/>
    <s v="Scissor Plastic Handle"/>
    <n v="1463"/>
    <n v="9"/>
    <n v="111.6"/>
    <n v="9"/>
    <n v="111.6"/>
    <n v="0"/>
    <n v="0"/>
    <n v="0"/>
    <n v="223.2"/>
    <n v="0"/>
    <s v="24AGUPL9792N1Z6"/>
    <s v="Pcs"/>
    <n v="82130000"/>
    <s v="Rs."/>
    <n v="1"/>
    <n v="0"/>
    <s v="India"/>
    <x v="0"/>
  </r>
  <r>
    <d v="2026-07-01T00:00:00"/>
    <s v="Shree Ganesh Stereo"/>
    <s v="General Purchase"/>
    <s v="GNCN 201"/>
    <s v="Purchase Withinstate- Stores, Spares &amp; Consumable"/>
    <n v="1184"/>
    <d v="2026-06-27T00:00:00"/>
    <s v="Consumables"/>
    <s v="Rubber/Polymer Stereo"/>
    <s v="Stores &amp; Spares"/>
    <s v="Consumables"/>
    <s v="Rubber Stereo"/>
    <n v="1"/>
    <n v="84"/>
    <s v="Rubber Stereo"/>
    <n v="1010"/>
    <n v="9"/>
    <n v="7.56"/>
    <n v="9"/>
    <n v="7.56"/>
    <n v="0"/>
    <n v="0"/>
    <n v="0"/>
    <n v="15.12"/>
    <n v="0"/>
    <s v="24AHDPC2510M1ZU"/>
    <s v="Pcs"/>
    <n v="400200"/>
    <s v="Rs."/>
    <n v="1"/>
    <n v="0"/>
    <s v="India"/>
    <x v="0"/>
  </r>
  <r>
    <d v="2026-07-01T00:00:00"/>
    <s v="Shree Ganesh Stereo"/>
    <s v="General Purchase"/>
    <s v="GNCN 201"/>
    <s v="Purchase Withinstate- Stores, Spares &amp; Consumable"/>
    <n v="1184"/>
    <d v="2026-06-27T00:00:00"/>
    <s v="Consumables"/>
    <s v="Rubber/Polymer Stereo"/>
    <s v="Stores &amp; Spares"/>
    <s v="Consumables"/>
    <s v="Rubber Stereo"/>
    <n v="1"/>
    <n v="771.75"/>
    <s v="Rubber Stereo"/>
    <n v="0"/>
    <n v="9"/>
    <n v="69.459999999999994"/>
    <n v="9"/>
    <n v="69.459999999999994"/>
    <n v="0"/>
    <n v="0"/>
    <n v="0"/>
    <n v="138.91999999999999"/>
    <n v="0"/>
    <s v="24AHDPC2510M1ZU"/>
    <s v="Pcs"/>
    <n v="400200"/>
    <s v="Rs."/>
    <n v="1"/>
    <n v="0"/>
    <s v="India"/>
    <x v="0"/>
  </r>
  <r>
    <d v="2026-07-01T00:00:00"/>
    <s v="Shree Meter &amp; Heater"/>
    <s v="General Purchase"/>
    <s v="GNSP 342"/>
    <s v="Purchase Withinstate- Stores, Spares &amp; Consumable"/>
    <s v="G/0219"/>
    <d v="2026-06-30T00:00:00"/>
    <s v="Stores/Spares"/>
    <s v="Heaters"/>
    <s v="Stores &amp; Spares"/>
    <s v="stores &amp;  spares"/>
    <s v="Ceramic Heater 300mm(D)X45mm(L) 240 V A.C.2000 W"/>
    <n v="5"/>
    <n v="10900"/>
    <s v="Ceramic Heater 300mm(D)X45mm(L) 240 V A.C.2000 W"/>
    <n v="13511"/>
    <n v="9"/>
    <n v="981"/>
    <n v="9"/>
    <n v="981"/>
    <n v="0"/>
    <n v="0"/>
    <n v="99"/>
    <n v="2061"/>
    <n v="0"/>
    <s v="24BEGPR0567G1ZH"/>
    <s v="Pcs"/>
    <n v="851680"/>
    <s v="Rs."/>
    <n v="1"/>
    <n v="0"/>
    <s v="India"/>
    <x v="0"/>
  </r>
  <r>
    <d v="2026-07-01T00:00:00"/>
    <s v="Shree Salareshwar Wood Packers Private Limited."/>
    <s v="Purchase"/>
    <s v="GNPK 122"/>
    <s v="Purchase Withinstate- Packing Material"/>
    <s v="SS/SL/26-27/189"/>
    <d v="2026-07-01T00:00:00"/>
    <s v="Packing Material"/>
    <s v="Pallets"/>
    <s v="Pallets"/>
    <s v="Packing Materials"/>
    <s v="Pine Wooden Pallet Design Code STD90110"/>
    <n v="150"/>
    <n v="108750"/>
    <s v="Pine Wooden Pallet Design Code STD90110"/>
    <n v="114188"/>
    <n v="2.5"/>
    <n v="2718.75"/>
    <n v="2.5"/>
    <n v="2718.75"/>
    <n v="0"/>
    <n v="0"/>
    <n v="0"/>
    <n v="5437.5"/>
    <n v="0"/>
    <s v="24ABLCS6579H1ZR"/>
    <s v="Pcs"/>
    <n v="44152000"/>
    <s v="Rs."/>
    <n v="1"/>
    <n v="0"/>
    <s v="India"/>
    <x v="0"/>
  </r>
  <r>
    <d v="2026-07-01T00:00:00"/>
    <s v="West India Forklift Services"/>
    <s v="General Purchase"/>
    <s v="GNSP 344"/>
    <s v="Purchase Withinstate- Stores, Spares &amp; Consumable"/>
    <s v="WI2627/0148"/>
    <d v="2026-06-29T00:00:00"/>
    <s v="Stores/Spares"/>
    <s v="Forklift Spares"/>
    <s v="Stores &amp; Spares"/>
    <s v="stores &amp;  spares"/>
    <s v="Fog Lamp For Forklift Head Light"/>
    <n v="4"/>
    <n v="13040"/>
    <s v="Fog Lamp For Forklift Head Light"/>
    <n v="15387"/>
    <n v="9"/>
    <n v="1173.5999999999999"/>
    <n v="9"/>
    <n v="1173.5999999999999"/>
    <n v="0"/>
    <n v="0"/>
    <n v="0"/>
    <n v="2347.1999999999998"/>
    <n v="0"/>
    <s v="24AOQPC4561C2Z7"/>
    <s v="Pcs"/>
    <n v="85399090"/>
    <s v="Rs."/>
    <n v="1"/>
    <n v="0"/>
    <s v="India"/>
    <x v="0"/>
  </r>
  <r>
    <d v="2026-07-02T00:00:00"/>
    <s v="Arham Cams Pvt Ltd"/>
    <s v="General Purchase"/>
    <s v="GNSP 345"/>
    <s v="Purchase Withinstate- Stores, Spares &amp; Consumable"/>
    <s v="GST/50."/>
    <d v="2026-05-02T00:00:00"/>
    <s v="Stores/Spares"/>
    <s v="Sulzer Machine Spares"/>
    <s v="Stores &amp; Spares"/>
    <s v="stores &amp;  spares"/>
    <s v="Sliding Catch For P7100 Part no.911.801.104"/>
    <n v="100"/>
    <n v="8000"/>
    <s v="Sliding Catch For P7100 Part no.911.801.104"/>
    <n v="26845"/>
    <n v="9"/>
    <n v="720"/>
    <n v="9"/>
    <n v="720"/>
    <n v="0"/>
    <n v="0"/>
    <n v="72"/>
    <n v="1512"/>
    <n v="0"/>
    <s v="24AAICA0799H1ZK"/>
    <s v="Pcs"/>
    <n v="844810"/>
    <s v="Rs."/>
    <n v="1"/>
    <n v="0"/>
    <s v="India"/>
    <x v="0"/>
  </r>
  <r>
    <d v="2026-07-02T00:00:00"/>
    <s v="Arham Cams Pvt Ltd"/>
    <s v="General Purchase"/>
    <s v="GNSP 345"/>
    <s v="Purchase Withinstate- Stores, Spares &amp; Consumable"/>
    <s v="GST/50."/>
    <d v="2026-05-02T00:00:00"/>
    <s v="Stores/Spares"/>
    <s v="Sulzer Machine Spares"/>
    <s v="Stores &amp; Spares"/>
    <s v="stores &amp;  spares"/>
    <s v="Drive shaft p7100, 911803136"/>
    <n v="1"/>
    <n v="14350"/>
    <s v="Drive shaft p7100, 911803136"/>
    <n v="0"/>
    <n v="9"/>
    <n v="1291.5"/>
    <n v="9"/>
    <n v="1291.5"/>
    <n v="0"/>
    <n v="0"/>
    <n v="72"/>
    <n v="2655"/>
    <n v="0"/>
    <s v="24AAICA0799H1ZK"/>
    <s v="Pcs"/>
    <n v="84484990"/>
    <s v="Rs."/>
    <n v="1"/>
    <n v="0"/>
    <s v="India"/>
    <x v="0"/>
  </r>
  <r>
    <d v="2026-07-02T00:00:00"/>
    <s v="Dynamic Wooltex"/>
    <s v="R.M.P."/>
    <s v="RM 246"/>
    <s v="Purchase Withinstate - Raw Material"/>
    <n v="13524"/>
    <d v="2026-06-29T00:00:00"/>
    <s v="RM"/>
    <s v="FIBC Accessories"/>
    <s v="FIBC Accessories"/>
    <s v="PP WOVEN FABRIC"/>
    <s v="Non Woven Fabric (Felt) 170Gsm.Pati Cut Length- 2&quot; ( 5 Cm ) (Food Grade Quality)"/>
    <n v="1699.3"/>
    <n v="254895"/>
    <s v="Non Woven Fabric (Felt) 170Gsm.Pati Cut Length- 2&quot; ( 5 Cm ) (Food Grade Quality)"/>
    <n v="283389.75"/>
    <n v="0"/>
    <n v="0"/>
    <n v="0"/>
    <n v="0"/>
    <n v="5"/>
    <n v="12744.75"/>
    <n v="750"/>
    <n v="13494.75"/>
    <n v="0"/>
    <s v="08ABFPB2251A1ZI"/>
    <s v="Kgs"/>
    <n v="58079010"/>
    <s v="Rs."/>
    <n v="1"/>
    <n v="1699.3"/>
    <s v="India"/>
    <x v="7"/>
  </r>
  <r>
    <d v="2026-07-02T00:00:00"/>
    <s v="J J Plastalloy Pvt Ltd"/>
    <s v="R.M.P."/>
    <s v="RM 245"/>
    <s v="Purchase Withinstate - Raw Material"/>
    <s v="DG-261002398"/>
    <d v="2026-06-30T00:00:00"/>
    <s v="RM"/>
    <s v="Granules"/>
    <s v="Masterbatch"/>
    <s v="Master batch"/>
    <s v="MB JJ White WE9381PT"/>
    <n v="500"/>
    <n v="89000"/>
    <s v="MB JJ White WE9381PT"/>
    <n v="105020"/>
    <n v="9"/>
    <n v="8010"/>
    <n v="9"/>
    <n v="8010"/>
    <n v="0"/>
    <n v="0"/>
    <n v="0"/>
    <n v="16020"/>
    <n v="0"/>
    <s v="24AAACJ5701E1Z5"/>
    <s v="Kgs"/>
    <n v="32064990"/>
    <s v="Rs."/>
    <n v="1"/>
    <n v="500"/>
    <s v="India"/>
    <x v="5"/>
  </r>
  <r>
    <d v="2026-07-02T00:00:00"/>
    <s v="Plastene India ltd - Unit 1-Purchase"/>
    <s v="Purchase"/>
    <s v="GNPK 125"/>
    <s v="Purchase Withinstate- Packing Material"/>
    <s v="PIL1/D/880"/>
    <d v="2026-07-01T00:00:00"/>
    <s v="Stores/Spares"/>
    <s v="MS Structure Items"/>
    <s v="Packing Materials"/>
    <s v="Packing Materials"/>
    <s v="MS Pipe 4  C Class"/>
    <n v="255"/>
    <n v="12240"/>
    <s v="MS Pipe 4  C Class"/>
    <n v="14430.96"/>
    <n v="9"/>
    <n v="1101.5999999999999"/>
    <n v="9"/>
    <n v="1101.5999999999999"/>
    <n v="0"/>
    <n v="0"/>
    <n v="0"/>
    <n v="2203.1999999999998"/>
    <n v="0"/>
    <s v="24AAACO3087C1ZT"/>
    <s v="Kgs"/>
    <n v="73063090"/>
    <s v="Rs."/>
    <n v="1"/>
    <n v="0"/>
    <s v="India"/>
    <x v="0"/>
  </r>
  <r>
    <d v="2026-07-02T00:00:00"/>
    <s v="Plastene India ltd - Unit 1-Purchase"/>
    <s v="R.M.P."/>
    <s v="RM 243"/>
    <s v="Purchase Withinstate - Raw Material"/>
    <s v="PIL1/D/879"/>
    <d v="2026-07-01T00:00:00"/>
    <s v="RM"/>
    <s v="Granules"/>
    <s v="PP Granules"/>
    <s v="PP Granuals"/>
    <s v="PP Basell 462S"/>
    <n v="2000"/>
    <n v="300000"/>
    <s v="PP Basell 462S"/>
    <n v="353700"/>
    <n v="9"/>
    <n v="27000"/>
    <n v="9"/>
    <n v="27000"/>
    <n v="0"/>
    <n v="0"/>
    <n v="0"/>
    <n v="54000"/>
    <n v="0"/>
    <s v="24AAACO3087C1ZT"/>
    <s v="Kgs"/>
    <n v="39021000"/>
    <s v="Rs."/>
    <n v="1"/>
    <n v="2000"/>
    <s v="India"/>
    <x v="8"/>
  </r>
  <r>
    <d v="2026-07-02T00:00:00"/>
    <s v="Plastene India ltd - Unit 1-Purchase"/>
    <s v="R.M.P."/>
    <s v="RM 244"/>
    <s v="Purchase Withinstate - Raw Material"/>
    <s v="PIL1/D/881"/>
    <d v="2026-07-01T00:00:00"/>
    <s v="SF"/>
    <s v="Liners"/>
    <s v="LDPE/LLDPE Bags"/>
    <s v="LLDPE BAGS"/>
    <s v="LDPE/LLDPE Bags/Liner"/>
    <n v="949"/>
    <n v="175707.35"/>
    <s v="LDPE/LLDPE Bags/Liner"/>
    <n v="212925.5"/>
    <n v="9"/>
    <n v="15813.66"/>
    <n v="9"/>
    <n v="15813.66"/>
    <n v="0"/>
    <n v="0"/>
    <n v="0"/>
    <n v="31627.32"/>
    <n v="0"/>
    <s v="24AAACO3087C1ZT"/>
    <s v="Kgs"/>
    <n v="39200000"/>
    <s v="Rs."/>
    <n v="1"/>
    <n v="949"/>
    <s v="India"/>
    <x v="4"/>
  </r>
  <r>
    <d v="2026-07-02T00:00:00"/>
    <s v="Plastene India ltd - Unit 1-Purchase"/>
    <s v="R.M.P."/>
    <s v="RM 244"/>
    <s v="Purchase Withinstate - Raw Material"/>
    <s v="PIL1/D/881"/>
    <d v="2026-07-01T00:00:00"/>
    <s v="SF"/>
    <s v="Liners"/>
    <s v="LDPE/LLDPE Bags"/>
    <s v="LLDPE BAGS"/>
    <s v="LDPE/LLDPE Bags/Liner"/>
    <n v="27"/>
    <n v="4891.05"/>
    <s v="LDPE/LLDPE Bags/Liner"/>
    <n v="0"/>
    <n v="9"/>
    <n v="440.19"/>
    <n v="9"/>
    <n v="440.19"/>
    <n v="0"/>
    <n v="0"/>
    <n v="0"/>
    <n v="880.38"/>
    <n v="0"/>
    <s v="24AAACO3087C1ZT"/>
    <s v="Kgs"/>
    <n v="39200000"/>
    <s v="Rs."/>
    <n v="1"/>
    <n v="27"/>
    <s v="India"/>
    <x v="4"/>
  </r>
  <r>
    <d v="2026-07-02T00:00:00"/>
    <s v="Shree Ganesh Stereo"/>
    <s v="General Purchase"/>
    <s v="GNCN 202"/>
    <s v="Purchase Withinstate- Stores, Spares &amp; Consumable"/>
    <n v="1214"/>
    <d v="2026-06-29T00:00:00"/>
    <s v="Consumables"/>
    <s v="Rubber/Polymer Stereo"/>
    <s v="Stores &amp; Spares"/>
    <s v="Consumables"/>
    <s v="Rubber Stereo"/>
    <n v="1"/>
    <n v="2832.9"/>
    <s v="Rubber Stereo"/>
    <n v="5785"/>
    <n v="9"/>
    <n v="254.96"/>
    <n v="9"/>
    <n v="254.96"/>
    <n v="0"/>
    <n v="0"/>
    <n v="0"/>
    <n v="509.92"/>
    <n v="0"/>
    <s v="24AHDPC2510M1ZU"/>
    <s v="Pcs"/>
    <n v="400200"/>
    <s v="Rs."/>
    <n v="1"/>
    <n v="0"/>
    <s v="India"/>
    <x v="0"/>
  </r>
  <r>
    <d v="2026-07-02T00:00:00"/>
    <s v="Shree Ganesh Stereo"/>
    <s v="General Purchase"/>
    <s v="GNCN 202"/>
    <s v="Purchase Withinstate- Stores, Spares &amp; Consumable"/>
    <n v="1214"/>
    <d v="2026-06-29T00:00:00"/>
    <s v="Consumables"/>
    <s v="Rubber/Polymer Stereo"/>
    <s v="Stores &amp; Spares"/>
    <s v="Consumables"/>
    <s v="Rubber Stereo"/>
    <n v="1"/>
    <n v="2069.5500000000002"/>
    <s v="Rubber Stereo"/>
    <n v="0"/>
    <n v="9"/>
    <n v="186.26"/>
    <n v="9"/>
    <n v="186.26"/>
    <n v="0"/>
    <n v="0"/>
    <n v="0"/>
    <n v="372.52"/>
    <n v="0"/>
    <s v="24AHDPC2510M1ZU"/>
    <s v="Pcs"/>
    <n v="400200"/>
    <s v="Rs."/>
    <n v="1"/>
    <n v="0"/>
    <s v="India"/>
    <x v="0"/>
  </r>
  <r>
    <d v="2026-07-02T00:00:00"/>
    <s v="Shri Nakoda Transmission &amp; Electric Co."/>
    <s v="General Purchase"/>
    <s v="GNSP 346"/>
    <s v="Purchase Withinstate- Stores, Spares &amp; Consumable"/>
    <s v="VTV/26-27/1591"/>
    <d v="2026-06-24T00:00:00"/>
    <s v="Stores/Spares"/>
    <s v="IT Spares"/>
    <s v="Stores &amp; Spares"/>
    <s v="stores &amp;  spares"/>
    <s v="8 Port Dlink Switch"/>
    <n v="20"/>
    <n v="1100"/>
    <s v="8 Port Dlink Switch"/>
    <n v="8575"/>
    <n v="9"/>
    <n v="99"/>
    <n v="9"/>
    <n v="99"/>
    <n v="0"/>
    <n v="0"/>
    <n v="36"/>
    <n v="234"/>
    <n v="0"/>
    <s v="24AFGFS2586E1ZX"/>
    <s v="Pcs"/>
    <n v="85176990"/>
    <s v="Rs."/>
    <n v="1"/>
    <n v="0"/>
    <s v="India"/>
    <x v="0"/>
  </r>
  <r>
    <d v="2026-07-02T00:00:00"/>
    <s v="Shri Nakoda Transmission &amp; Electric Co."/>
    <s v="General Purchase"/>
    <s v="GNSP 346"/>
    <s v="Purchase Withinstate- Stores, Spares &amp; Consumable"/>
    <s v="VTV/26-27/1591"/>
    <d v="2026-06-24T00:00:00"/>
    <s v="Stores/Spares"/>
    <s v="IT Spares"/>
    <s v="Stores &amp; Spares"/>
    <s v="stores &amp;  spares"/>
    <s v="8 Port Dlink Switch"/>
    <n v="6"/>
    <n v="342"/>
    <s v="8 Port Dlink Switch"/>
    <n v="0"/>
    <n v="9"/>
    <n v="30.78"/>
    <n v="9"/>
    <n v="30.78"/>
    <n v="0"/>
    <n v="0"/>
    <n v="36"/>
    <n v="97.56"/>
    <n v="0"/>
    <s v="24AFGFS2586E1ZX"/>
    <s v="Pcs"/>
    <n v="85176990"/>
    <s v="Rs."/>
    <n v="1"/>
    <n v="0"/>
    <s v="India"/>
    <x v="0"/>
  </r>
  <r>
    <d v="2026-07-02T00:00:00"/>
    <s v="Shri Nakoda Transmission &amp; Electric Co."/>
    <s v="General Purchase"/>
    <s v="GNSP 346"/>
    <s v="Purchase Withinstate- Stores, Spares &amp; Consumable"/>
    <s v="VTV/26-27/1591"/>
    <d v="2026-06-24T00:00:00"/>
    <s v="Stores/Spares"/>
    <s v="IT Spares"/>
    <s v="Stores &amp; Spares"/>
    <s v="stores &amp;  spares"/>
    <s v="8 Port Dlink Switch"/>
    <n v="45"/>
    <n v="5625"/>
    <s v="8 Port Dlink Switch"/>
    <n v="0"/>
    <n v="9"/>
    <n v="506.25"/>
    <n v="9"/>
    <n v="506.25"/>
    <n v="0"/>
    <n v="0"/>
    <n v="36"/>
    <n v="1048.5"/>
    <n v="0"/>
    <s v="24AFGFS2586E1ZX"/>
    <s v="Pcs"/>
    <n v="85176990"/>
    <s v="Rs."/>
    <n v="1"/>
    <n v="0"/>
    <s v="India"/>
    <x v="0"/>
  </r>
  <r>
    <d v="2026-07-03T00:00:00"/>
    <s v="Axle Steel &amp; Fasteners"/>
    <s v="General Purchase"/>
    <s v="GNSP 348"/>
    <s v="Purchase Withinstate- Stores, Spares &amp; Consumable"/>
    <s v="0524/26-27"/>
    <d v="2026-07-01T00:00:00"/>
    <s v="Stores/Spares"/>
    <s v="Hardware Items"/>
    <s v="Stores &amp; Spares"/>
    <s v="stores &amp;  spares"/>
    <s v="Allen Bolt 12X40 mm"/>
    <n v="30"/>
    <n v="407.23200000000003"/>
    <s v="Allen Bolt 12X40 mm"/>
    <n v="3507"/>
    <n v="9"/>
    <n v="36.6509"/>
    <n v="9"/>
    <n v="36.6509"/>
    <n v="0"/>
    <n v="0"/>
    <n v="32.4"/>
    <n v="105.70176000000001"/>
    <n v="0"/>
    <s v="24AAYFA5084G1Z4"/>
    <s v="Pcs"/>
    <n v="73181500"/>
    <s v="Rs."/>
    <n v="1"/>
    <n v="0"/>
    <s v="India"/>
    <x v="0"/>
  </r>
  <r>
    <d v="2026-07-03T00:00:00"/>
    <s v="Axle Steel &amp; Fasteners"/>
    <s v="General Purchase"/>
    <s v="GNSP 348"/>
    <s v="Purchase Withinstate- Stores, Spares &amp; Consumable"/>
    <s v="0524/26-27"/>
    <d v="2026-07-01T00:00:00"/>
    <s v="Stores/Spares"/>
    <s v="Hardware Items"/>
    <s v="Stores &amp; Spares"/>
    <s v="stores &amp;  spares"/>
    <s v="Grub Screw 12X30 mm ( Ub / Tvs )"/>
    <n v="50"/>
    <n v="422.52"/>
    <s v="Grub Screw 12X30 mm ( Ub / Tvs )"/>
    <n v="0"/>
    <n v="9"/>
    <n v="38.026800000000001"/>
    <n v="9"/>
    <n v="38.026800000000001"/>
    <n v="0"/>
    <n v="0"/>
    <n v="32.4"/>
    <n v="108.45359999999999"/>
    <n v="0"/>
    <s v="24AAYFA5084G1Z4"/>
    <s v="Pcs"/>
    <n v="73181900"/>
    <s v="Rs."/>
    <n v="1"/>
    <n v="0"/>
    <s v="India"/>
    <x v="0"/>
  </r>
  <r>
    <d v="2026-07-03T00:00:00"/>
    <s v="Axle Steel &amp; Fasteners"/>
    <s v="General Purchase"/>
    <s v="GNSP 348"/>
    <s v="Purchase Withinstate- Stores, Spares &amp; Consumable"/>
    <s v="0524/26-27"/>
    <d v="2026-07-01T00:00:00"/>
    <s v="Stores/Spares"/>
    <s v="Hardware Items"/>
    <s v="Stores &amp; Spares"/>
    <s v="stores &amp;  spares"/>
    <s v="Allen Bolt 14X40 mm"/>
    <n v="30"/>
    <n v="923.45399999999995"/>
    <s v="Allen Bolt 14X40 mm"/>
    <n v="0"/>
    <n v="9"/>
    <n v="83.110900000000001"/>
    <n v="9"/>
    <n v="83.110900000000001"/>
    <n v="0"/>
    <n v="0"/>
    <n v="32.4"/>
    <n v="198.62172000000001"/>
    <n v="0"/>
    <s v="24AAYFA5084G1Z4"/>
    <s v="Pcs"/>
    <n v="731819"/>
    <s v="Rs."/>
    <n v="1"/>
    <n v="0"/>
    <s v="India"/>
    <x v="0"/>
  </r>
  <r>
    <d v="2026-07-03T00:00:00"/>
    <s v="Axle Steel &amp; Fasteners"/>
    <s v="General Purchase"/>
    <s v="GNSP 348"/>
    <s v="Purchase Withinstate- Stores, Spares &amp; Consumable"/>
    <s v="0524/26-27"/>
    <d v="2026-07-01T00:00:00"/>
    <s v="Stores/Spares"/>
    <s v="Hardware Items"/>
    <s v="Stores &amp; Spares"/>
    <s v="stores &amp;  spares"/>
    <s v="MS Hex Nipple 1/2&quot;"/>
    <n v="3"/>
    <n v="66"/>
    <s v="MS Hex Nipple 1/2&quot;"/>
    <n v="0"/>
    <n v="9"/>
    <n v="5.94"/>
    <n v="9"/>
    <n v="5.94"/>
    <n v="0"/>
    <n v="0"/>
    <n v="32.4"/>
    <n v="44.28"/>
    <n v="0"/>
    <s v="24AAYFA5084G1Z4"/>
    <s v="Pcs"/>
    <n v="730799"/>
    <s v="Rs."/>
    <n v="1"/>
    <n v="0"/>
    <s v="India"/>
    <x v="0"/>
  </r>
  <r>
    <d v="2026-07-03T00:00:00"/>
    <s v="Axle Steel &amp; Fasteners"/>
    <s v="General Purchase"/>
    <s v="GNSP 348"/>
    <s v="Purchase Withinstate- Stores, Spares &amp; Consumable"/>
    <s v="0524/26-27"/>
    <d v="2026-07-01T00:00:00"/>
    <s v="Stores/Spares"/>
    <s v="Hardware Items"/>
    <s v="Stores &amp; Spares"/>
    <s v="stores &amp;  spares"/>
    <s v="Hyd. Hex Nipple 1&quot;"/>
    <n v="3"/>
    <n v="126"/>
    <s v="Hyd. Hex Nipple 1&quot;"/>
    <n v="0"/>
    <n v="9"/>
    <n v="11.34"/>
    <n v="9"/>
    <n v="11.34"/>
    <n v="0"/>
    <n v="0"/>
    <n v="32.4"/>
    <n v="55.08"/>
    <n v="0"/>
    <s v="24AAYFA5084G1Z4"/>
    <s v="Pcs"/>
    <n v="73079190"/>
    <s v="Rs."/>
    <n v="1"/>
    <n v="0"/>
    <s v="India"/>
    <x v="0"/>
  </r>
  <r>
    <d v="2026-07-03T00:00:00"/>
    <s v="Axle Steel &amp; Fasteners"/>
    <s v="General Purchase"/>
    <s v="GNSP 348"/>
    <s v="Purchase Withinstate- Stores, Spares &amp; Consumable"/>
    <s v="0524/26-27"/>
    <d v="2026-07-01T00:00:00"/>
    <s v="Stores/Spares"/>
    <s v="Hardware Items"/>
    <s v="Stores &amp; Spares"/>
    <s v="stores &amp;  spares"/>
    <s v="Hydraulic  Hex  Nipple  2&quot;"/>
    <n v="3"/>
    <n v="525"/>
    <s v="Hydraulic  Hex  Nipple  2&quot;"/>
    <n v="0"/>
    <n v="9"/>
    <n v="47.25"/>
    <n v="9"/>
    <n v="47.25"/>
    <n v="0"/>
    <n v="0"/>
    <n v="32.4"/>
    <n v="126.9"/>
    <n v="0"/>
    <s v="24AAYFA5084G1Z4"/>
    <s v="Pcs"/>
    <n v="730700"/>
    <s v="Rs."/>
    <n v="1"/>
    <n v="0"/>
    <s v="India"/>
    <x v="0"/>
  </r>
  <r>
    <d v="2026-07-03T00:00:00"/>
    <s v="Axle Steel &amp; Fasteners"/>
    <s v="General Purchase"/>
    <s v="GNSP 348"/>
    <s v="Purchase Withinstate- Stores, Spares &amp; Consumable"/>
    <s v="0524/26-27"/>
    <d v="2026-07-01T00:00:00"/>
    <s v="Stores/Spares"/>
    <s v="Hardware Items"/>
    <s v="Stores &amp; Spares"/>
    <s v="stores &amp;  spares"/>
    <s v="Grub Screw 10X15"/>
    <n v="100"/>
    <n v="322.14"/>
    <s v="Grub Screw 10X15"/>
    <n v="0"/>
    <n v="9"/>
    <n v="28.992599999999999"/>
    <n v="9"/>
    <n v="28.992599999999999"/>
    <n v="0"/>
    <n v="0"/>
    <n v="32.4"/>
    <n v="90.385199999999998"/>
    <n v="0"/>
    <s v="24AAYFA5084G1Z4"/>
    <s v="Pcs"/>
    <n v="73181900"/>
    <s v="Rs."/>
    <n v="1"/>
    <n v="0"/>
    <s v="India"/>
    <x v="0"/>
  </r>
  <r>
    <d v="2026-07-03T00:00:00"/>
    <s v="HCP Plastene Bulkpack Limited - Purchase"/>
    <s v="R.M.P."/>
    <s v="RM 247"/>
    <s v="Purchase Withinstate - Raw Material"/>
    <s v="HPBL/D/342"/>
    <d v="2026-07-03T00:00:00"/>
    <s v="SF"/>
    <s v="Liners"/>
    <s v="LDPE/LLDPE Bags"/>
    <s v="LLDPE BAGS"/>
    <s v="DOC Pouch"/>
    <n v="627"/>
    <n v="121004.73"/>
    <s v="DOC Pouch"/>
    <n v="1452008.81"/>
    <n v="9"/>
    <n v="10890.43"/>
    <n v="9"/>
    <n v="10890.43"/>
    <n v="0"/>
    <n v="0"/>
    <n v="0"/>
    <n v="21780.86"/>
    <n v="0"/>
    <s v="24AABCG1282C2Z6"/>
    <s v="Kgs"/>
    <n v="39232100"/>
    <s v="Rs."/>
    <n v="1"/>
    <n v="627"/>
    <s v="India"/>
    <x v="4"/>
  </r>
  <r>
    <d v="2026-07-03T00:00:00"/>
    <s v="HCP Plastene Bulkpack Limited - Purchase"/>
    <s v="R.M.P."/>
    <s v="RM 247"/>
    <s v="Purchase Withinstate - Raw Material"/>
    <s v="HPBL/D/342"/>
    <d v="2026-07-03T00:00:00"/>
    <s v="SF"/>
    <s v="PP/PE Fabric"/>
    <s v="PP UL Fabric"/>
    <s v="PP WOVEN FABRIC"/>
    <s v="PP UL Fabric With UV"/>
    <n v="5320"/>
    <n v="861308"/>
    <s v="PP UL Fabric With UV"/>
    <n v="0"/>
    <n v="9"/>
    <n v="77517.72"/>
    <n v="9"/>
    <n v="77517.72"/>
    <n v="0"/>
    <n v="0"/>
    <n v="0"/>
    <n v="155035.44"/>
    <n v="0"/>
    <s v="24AABCG1282C2Z6"/>
    <s v="Kgs"/>
    <n v="39269080"/>
    <s v="Rs."/>
    <n v="1"/>
    <n v="5320"/>
    <s v="India"/>
    <x v="1"/>
  </r>
  <r>
    <d v="2026-07-03T00:00:00"/>
    <s v="HCP Plastene Bulkpack Limited - Purchase"/>
    <s v="R.M.P."/>
    <s v="RM 247"/>
    <s v="Purchase Withinstate - Raw Material"/>
    <s v="HPBL/D/342"/>
    <d v="2026-07-03T00:00:00"/>
    <s v="SF"/>
    <s v="PP/PE Fabric"/>
    <s v="PP UL Fabric"/>
    <s v="PP WOVEN FABRIC"/>
    <s v="PP UL Fabric With UV"/>
    <n v="672"/>
    <n v="107452.8"/>
    <s v="PP UL Fabric With UV"/>
    <n v="0"/>
    <n v="9"/>
    <n v="9670.75"/>
    <n v="9"/>
    <n v="9670.75"/>
    <n v="0"/>
    <n v="0"/>
    <n v="0"/>
    <n v="19341.5"/>
    <n v="0"/>
    <s v="24AABCG1282C2Z6"/>
    <s v="Kgs"/>
    <n v="39269080"/>
    <s v="Rs."/>
    <n v="1"/>
    <n v="672"/>
    <s v="India"/>
    <x v="1"/>
  </r>
  <r>
    <d v="2026-07-03T00:00:00"/>
    <s v="HCP Plastene Bulkpack Limited - Purchase"/>
    <s v="R.M.P."/>
    <s v="RM 247"/>
    <s v="Purchase Withinstate - Raw Material"/>
    <s v="HPBL/D/342"/>
    <d v="2026-07-03T00:00:00"/>
    <s v="SF"/>
    <s v="PP/PE Fabric"/>
    <s v="PP UL Fabric"/>
    <s v="PP WOVEN FABRIC"/>
    <s v="PP UL Fabric With UV"/>
    <n v="639"/>
    <n v="141794.1"/>
    <s v="PP UL Fabric With UV"/>
    <n v="0"/>
    <n v="9"/>
    <n v="12761.47"/>
    <n v="9"/>
    <n v="12761.47"/>
    <n v="0"/>
    <n v="0"/>
    <n v="0"/>
    <n v="25522.94"/>
    <n v="0"/>
    <s v="24AABCG1282C2Z6"/>
    <s v="Kgs"/>
    <n v="39269080"/>
    <s v="Rs."/>
    <n v="1"/>
    <n v="639"/>
    <s v="India"/>
    <x v="1"/>
  </r>
  <r>
    <d v="2026-07-03T00:00:00"/>
    <s v="Ivict(Singapore) Pte. Ltd."/>
    <s v="IMP-RM"/>
    <s v="RMIMP 17"/>
    <s v="Purchase Raw Material - High Seas"/>
    <s v="ZTFA/26002TN [BOE/BOL:2026894/COSU6441186480]"/>
    <d v="2026-02-23T00:00:00"/>
    <s v="RM"/>
    <s v="Granules"/>
    <s v="PP Granules"/>
    <s v="PP Granuals"/>
    <s v="PP Advanced H312"/>
    <n v="49500"/>
    <n v="3821053.5"/>
    <s v="PP Advanced H312"/>
    <n v="3821053.5"/>
    <n v="0"/>
    <n v="0"/>
    <n v="0"/>
    <n v="0"/>
    <n v="0"/>
    <n v="0"/>
    <n v="0"/>
    <n v="0"/>
    <n v="0"/>
    <s v="N.A."/>
    <s v="Kgs"/>
    <n v="39021000"/>
    <s v="Rs."/>
    <n v="1"/>
    <n v="49500"/>
    <s v="Singapore"/>
    <x v="8"/>
  </r>
  <r>
    <d v="2026-07-03T00:00:00"/>
    <s v="Ivict(Singapore) Pte. Ltd."/>
    <s v="IMP-RM"/>
    <s v="RMIMP 18"/>
    <s v="Purchase Raw Material - High Seas"/>
    <s v="ZTFA/26002TN [BOE/BOL:2026894/COSU6441186480]"/>
    <d v="2026-02-23T00:00:00"/>
    <s v="RM"/>
    <s v="Granules"/>
    <s v="PP Granules"/>
    <s v="PP Granuals"/>
    <s v="PP Advanced H312"/>
    <n v="24750"/>
    <n v="1910526.75"/>
    <s v="PP Advanced H312"/>
    <n v="1910526.75"/>
    <n v="0"/>
    <n v="0"/>
    <n v="0"/>
    <n v="0"/>
    <n v="0"/>
    <n v="0"/>
    <n v="0"/>
    <n v="0"/>
    <n v="0"/>
    <s v="N.A."/>
    <s v="Kgs"/>
    <n v="39021000"/>
    <s v="Rs."/>
    <n v="1"/>
    <n v="24750"/>
    <s v="Singapore"/>
    <x v="8"/>
  </r>
  <r>
    <d v="2026-07-03T00:00:00"/>
    <s v="Ivict(Singapore) Pte. Ltd."/>
    <s v="IMP-RM"/>
    <s v="RMIMP 19"/>
    <s v="Purchase Raw Material - High Seas"/>
    <s v="ZTFA/26002TN,. [BOE/BOL:2026894/COSU6441186480]"/>
    <d v="2026-02-23T00:00:00"/>
    <s v="RM"/>
    <s v="Granules"/>
    <s v="PP Granules"/>
    <s v="PP Granuals"/>
    <s v="PP Advanced H312"/>
    <n v="24750"/>
    <n v="1910526.75"/>
    <s v="PP Advanced H312"/>
    <n v="1910526.75"/>
    <n v="0"/>
    <n v="0"/>
    <n v="0"/>
    <n v="0"/>
    <n v="0"/>
    <n v="0"/>
    <n v="0"/>
    <n v="0"/>
    <n v="0"/>
    <s v="N.A."/>
    <s v="Kgs"/>
    <n v="39021000"/>
    <s v="Rs."/>
    <n v="1"/>
    <n v="24750"/>
    <s v="Singapore"/>
    <x v="8"/>
  </r>
  <r>
    <d v="2026-07-03T00:00:00"/>
    <s v="Ivict(Singapore) Pte. Ltd."/>
    <s v="IMP-RM"/>
    <s v="RMIMP 20"/>
    <s v="Purchase Raw Material - High Seas"/>
    <s v="ZTFA/26002TN,, [BOE/BOL:2026894/COSU6441186480]"/>
    <d v="2026-02-23T00:00:00"/>
    <s v="RM"/>
    <s v="Granules"/>
    <s v="PP Granules"/>
    <s v="PP Granuals"/>
    <s v="PP Advanced H312"/>
    <n v="24750"/>
    <n v="1910526.75"/>
    <s v="PP Advanced H312"/>
    <n v="1910526.75"/>
    <n v="0"/>
    <n v="0"/>
    <n v="0"/>
    <n v="0"/>
    <n v="0"/>
    <n v="0"/>
    <n v="0"/>
    <n v="0"/>
    <n v="0"/>
    <s v="N.A."/>
    <s v="Kgs"/>
    <n v="39021000"/>
    <s v="Rs."/>
    <n v="1"/>
    <n v="24750"/>
    <s v="Singapore"/>
    <x v="8"/>
  </r>
  <r>
    <d v="2026-07-03T00:00:00"/>
    <s v="Plastene India ltd - Unit 1-Purchase"/>
    <s v="Purchase"/>
    <s v="GNPK 126"/>
    <s v="Purchase Withinstate- Packing Material"/>
    <s v="PIL1/D/891"/>
    <d v="2026-07-02T00:00:00"/>
    <s v="Stores/Spares"/>
    <s v="MS Structure Items"/>
    <s v="Packing Materials"/>
    <s v="Packing Materials"/>
    <s v="MS Pipe 4  C Class"/>
    <n v="230"/>
    <n v="11040"/>
    <s v="MS Pipe 4  C Class"/>
    <n v="13016.16"/>
    <n v="9"/>
    <n v="993.6"/>
    <n v="9"/>
    <n v="993.6"/>
    <n v="0"/>
    <n v="0"/>
    <n v="0"/>
    <n v="1987.2"/>
    <n v="0"/>
    <s v="24AAACO3087C1ZT"/>
    <s v="Kgs"/>
    <n v="73063090"/>
    <s v="Rs."/>
    <n v="1"/>
    <n v="0"/>
    <s v="India"/>
    <x v="0"/>
  </r>
  <r>
    <d v="2026-07-03T00:00:00"/>
    <s v="Rudra Enterprise - 24BEVPP2275L1ZS"/>
    <s v="General Purchase"/>
    <s v="GNSP 347"/>
    <s v="Purchase Withinstate- Stores, Spares &amp; Consumable"/>
    <s v="G/0003"/>
    <d v="2026-05-18T00:00:00"/>
    <s v="Stores/Spares"/>
    <s v="utility"/>
    <s v="Stores &amp; Spares"/>
    <s v="stores &amp;  spares"/>
    <s v="Hot Air Gun"/>
    <n v="8"/>
    <n v="11600"/>
    <s v="Hot Air Gun"/>
    <n v="13771"/>
    <n v="9"/>
    <n v="1044"/>
    <n v="9"/>
    <n v="1044"/>
    <n v="0"/>
    <n v="0"/>
    <n v="12.6"/>
    <n v="2100.6"/>
    <n v="0"/>
    <s v="24BEVPP2275L1ZS"/>
    <s v="Pcs"/>
    <n v="841989"/>
    <s v="Rs."/>
    <n v="1"/>
    <n v="0"/>
    <s v="India"/>
    <x v="0"/>
  </r>
  <r>
    <d v="2026-07-03T00:00:00"/>
    <s v="United Transmission"/>
    <s v="General Purchase"/>
    <s v="GNSP 349"/>
    <s v="Purchase Withinstate- Stores, Spares &amp; Consumable"/>
    <s v="UT/2700621"/>
    <d v="2026-07-01T00:00:00"/>
    <s v="Stores/Spares"/>
    <s v="Gear Box"/>
    <s v="Stores &amp; Spares"/>
    <s v="stores &amp;  spares"/>
    <s v="Worm Gearbox Make:Elecon,Model :3Nu"/>
    <n v="1"/>
    <n v="7500"/>
    <s v="Worm Gearbox Make:Elecon,Model :3Nu"/>
    <n v="9204"/>
    <n v="9"/>
    <n v="702"/>
    <n v="9"/>
    <n v="702"/>
    <n v="0"/>
    <n v="0"/>
    <n v="0"/>
    <n v="1404"/>
    <n v="0"/>
    <s v="24AACFU1059P1ZW"/>
    <s v="Pcs"/>
    <n v="848340"/>
    <s v="Rs."/>
    <n v="1"/>
    <n v="0"/>
    <s v="India"/>
    <x v="0"/>
  </r>
  <r>
    <d v="2026-07-04T00:00:00"/>
    <s v="Brahmani Labels"/>
    <s v="General Purchase"/>
    <s v="GNCN 204"/>
    <s v="Purchase Withinstate- Stores, Spares &amp; Consumable"/>
    <n v="278"/>
    <d v="2026-07-02T00:00:00"/>
    <s v="SF"/>
    <s v="Liners"/>
    <s v="LDPE/LLDPE Bags"/>
    <s v="Consumables"/>
    <s v="PE Labels (Pcs)"/>
    <n v="29.1"/>
    <n v="11479"/>
    <s v="PE Labels (Pcs)"/>
    <n v="69229"/>
    <n v="9"/>
    <n v="1033.1099999999999"/>
    <n v="9"/>
    <n v="1033.1099999999999"/>
    <n v="0"/>
    <n v="0"/>
    <n v="0"/>
    <n v="2066.2199999999998"/>
    <n v="0"/>
    <s v="24CIAPP4681A1ZK"/>
    <s v="Kgs"/>
    <n v="392300"/>
    <s v="Rs."/>
    <n v="1"/>
    <n v="29.1"/>
    <m/>
    <x v="0"/>
  </r>
  <r>
    <d v="2026-07-04T00:00:00"/>
    <s v="Brahmani Labels"/>
    <s v="General Purchase"/>
    <s v="GNCN 204"/>
    <s v="Purchase Withinstate- Stores, Spares &amp; Consumable"/>
    <n v="278"/>
    <d v="2026-07-02T00:00:00"/>
    <s v="SF"/>
    <s v="Liners"/>
    <s v="LDPE/LLDPE Bags"/>
    <s v="Consumables"/>
    <s v="PE Labels (Pcs)"/>
    <n v="101.5"/>
    <n v="39988"/>
    <s v="PE Labels (Pcs)"/>
    <n v="0"/>
    <n v="9"/>
    <n v="3598.92"/>
    <n v="9"/>
    <n v="3598.92"/>
    <n v="0"/>
    <n v="0"/>
    <n v="0"/>
    <n v="7197.84"/>
    <n v="0"/>
    <s v="24CIAPP4681A1ZK"/>
    <s v="Kgs"/>
    <n v="392300"/>
    <s v="Rs."/>
    <n v="1"/>
    <n v="101.5"/>
    <m/>
    <x v="0"/>
  </r>
  <r>
    <d v="2026-07-04T00:00:00"/>
    <s v="Brahmani Labels"/>
    <s v="General Purchase"/>
    <s v="GNCN 204"/>
    <s v="Purchase Withinstate- Stores, Spares &amp; Consumable"/>
    <n v="278"/>
    <d v="2026-07-02T00:00:00"/>
    <s v="SF"/>
    <s v="Liners"/>
    <s v="LDPE/LLDPE Bags"/>
    <s v="Consumables"/>
    <s v="PE Labels (Pcs)"/>
    <n v="8.5"/>
    <n v="3367"/>
    <s v="PE Labels (Pcs)"/>
    <n v="0"/>
    <n v="9"/>
    <n v="303.02999999999997"/>
    <n v="9"/>
    <n v="303.02999999999997"/>
    <n v="0"/>
    <n v="0"/>
    <n v="0"/>
    <n v="606.05999999999995"/>
    <n v="0"/>
    <s v="24CIAPP4681A1ZK"/>
    <s v="Kgs"/>
    <n v="392300"/>
    <s v="Rs."/>
    <n v="1"/>
    <n v="8.5"/>
    <m/>
    <x v="0"/>
  </r>
  <r>
    <d v="2026-07-04T00:00:00"/>
    <s v="Brahmani Labels"/>
    <s v="General Purchase"/>
    <s v="GNCN 204"/>
    <s v="Purchase Withinstate- Stores, Spares &amp; Consumable"/>
    <n v="278"/>
    <d v="2026-07-02T00:00:00"/>
    <s v="SF"/>
    <s v="Liners"/>
    <s v="LDPE/LLDPE Bags"/>
    <s v="Consumables"/>
    <s v="PE Labels (Pcs)"/>
    <n v="8.5"/>
    <n v="3835"/>
    <s v="PE Labels (Pcs)"/>
    <n v="0"/>
    <n v="9"/>
    <n v="345.15"/>
    <n v="9"/>
    <n v="345.15"/>
    <n v="0"/>
    <n v="0"/>
    <n v="0"/>
    <n v="690.3"/>
    <n v="0"/>
    <s v="24CIAPP4681A1ZK"/>
    <s v="Kgs"/>
    <n v="392300"/>
    <s v="Rs."/>
    <n v="1"/>
    <n v="8.5"/>
    <m/>
    <x v="0"/>
  </r>
  <r>
    <d v="2026-07-04T00:00:00"/>
    <s v="Brahmani Printers"/>
    <s v="General Purchase"/>
    <s v="GNCN 203"/>
    <s v="Purchase Withinstate- Stores, Spares &amp; Consumable"/>
    <n v="304"/>
    <d v="2026-07-02T00:00:00"/>
    <s v="RM Consumables"/>
    <s v="FIBC Accessories"/>
    <s v="FIBC Accessories"/>
    <s v="Consumables"/>
    <s v="Tyvek Labels (Pcs)"/>
    <n v="600"/>
    <n v="840"/>
    <s v="Tyvek Labels (Pcs)"/>
    <n v="4531"/>
    <n v="9"/>
    <n v="75.599999999999994"/>
    <n v="9"/>
    <n v="75.599999999999994"/>
    <n v="0"/>
    <n v="0"/>
    <n v="90"/>
    <n v="241.2"/>
    <n v="0"/>
    <s v="24CSJPP6974M1ZU"/>
    <s v="Pcs"/>
    <n v="58079010"/>
    <s v="Rs."/>
    <n v="1"/>
    <n v="1.9"/>
    <s v="India"/>
    <x v="0"/>
  </r>
  <r>
    <d v="2026-07-04T00:00:00"/>
    <s v="Brahmani Printers"/>
    <s v="General Purchase"/>
    <s v="GNCN 203"/>
    <s v="Purchase Withinstate- Stores, Spares &amp; Consumable"/>
    <n v="304"/>
    <d v="2026-07-02T00:00:00"/>
    <s v="RM Consumables"/>
    <s v="FIBC Accessories"/>
    <s v="FIBC Accessories"/>
    <s v="Consumables"/>
    <s v="Tyvek Labels (Pcs)"/>
    <n v="5000"/>
    <n v="2500"/>
    <s v="Tyvek Labels (Pcs)"/>
    <n v="0"/>
    <n v="9"/>
    <n v="225"/>
    <n v="9"/>
    <n v="225"/>
    <n v="0"/>
    <n v="0"/>
    <n v="90"/>
    <n v="540"/>
    <n v="0"/>
    <s v="24CSJPP6974M1ZU"/>
    <s v="Pcs"/>
    <n v="58079010"/>
    <s v="Rs."/>
    <n v="1"/>
    <n v="16.5"/>
    <s v="India"/>
    <x v="0"/>
  </r>
  <r>
    <d v="2026-07-04T00:00:00"/>
    <s v="HCP Plastene Bulkpack Limited - Purchase"/>
    <s v="R.M.P."/>
    <s v="RM 249"/>
    <s v="Purchase Withinstate - Raw Material"/>
    <s v="HPBL/D/345"/>
    <d v="2026-07-04T00:00:00"/>
    <s v="FG"/>
    <s v="FIBC Bags"/>
    <s v="FIBC Bags"/>
    <s v="PP WOVEN BIG BAGS / SACKS"/>
    <s v="FIBC Bags With UV Without Liner"/>
    <n v="19817.400000000001"/>
    <n v="3885003.0959999999"/>
    <s v="FIBC Bags With UV Without Liner"/>
    <n v="4580418.66"/>
    <n v="9"/>
    <n v="349650.28"/>
    <n v="9"/>
    <n v="349650.28"/>
    <n v="0"/>
    <n v="0"/>
    <n v="0"/>
    <n v="699300.56"/>
    <n v="0"/>
    <s v="24AABCG1282C2Z6"/>
    <s v="Kgs"/>
    <n v="63053200"/>
    <s v="Rs."/>
    <n v="1"/>
    <n v="19817.400000000001"/>
    <s v="India"/>
    <x v="9"/>
  </r>
  <r>
    <d v="2026-07-04T00:00:00"/>
    <s v="Hcp Plastene Bulkpack Ltd Vadodara-Sales"/>
    <s v="R.M.P."/>
    <s v="RM 248"/>
    <s v="Purchase Withinstate - Raw Material"/>
    <s v="HPBLV/D/29"/>
    <d v="2026-07-04T00:00:00"/>
    <s v="FG"/>
    <s v="FIBC Bags"/>
    <s v="FIBC Bags"/>
    <s v="PP WOVEN BIG BAGS / SACKS"/>
    <s v="FIBC Bags With UV Without Liner"/>
    <n v="279.5"/>
    <n v="68625.634999999995"/>
    <s v="FIBC Bags With UV Without Liner"/>
    <n v="80978.259999999995"/>
    <n v="9"/>
    <n v="6176.31"/>
    <n v="9"/>
    <n v="6176.31"/>
    <n v="0"/>
    <n v="0"/>
    <n v="0"/>
    <n v="12352.62"/>
    <n v="0"/>
    <s v="24AABCG1282C2Z6"/>
    <s v="Kgs"/>
    <n v="63053200"/>
    <s v="Rs."/>
    <n v="1"/>
    <n v="279.5"/>
    <s v="India"/>
    <x v="9"/>
  </r>
  <r>
    <d v="2026-07-04T00:00:00"/>
    <s v="Hi Flex Hydraulics Pvt Ltd"/>
    <s v="General Purchase"/>
    <s v="GNSP 350"/>
    <s v="Purchase Withinstate- Stores, Spares &amp; Consumable"/>
    <s v="S/01673"/>
    <d v="2026-06-15T00:00:00"/>
    <s v="Stores/Spares"/>
    <s v="Pump"/>
    <s v="Stores &amp; Spares"/>
    <s v="stores &amp;  spares"/>
    <s v="Radial Piston Pump Model No.1Rce7B-50 (Sp)"/>
    <n v="2"/>
    <n v="21090"/>
    <s v="Radial Piston Pump Model No.1Rce7B-50 (Sp)"/>
    <n v="25181"/>
    <n v="9"/>
    <n v="1920.6"/>
    <n v="9"/>
    <n v="1920.6"/>
    <n v="0"/>
    <n v="0"/>
    <n v="0"/>
    <n v="3841.2"/>
    <n v="0"/>
    <s v="24AABCH4875J1ZE"/>
    <s v="Pcs"/>
    <n v="8413812"/>
    <s v="Rs."/>
    <n v="1"/>
    <n v="0"/>
    <s v="India"/>
    <x v="0"/>
  </r>
  <r>
    <d v="2026-07-04T00:00:00"/>
    <s v="Ivict(Singapore) Pte. Ltd."/>
    <s v="IMP-RM"/>
    <s v="RMIMP 21"/>
    <s v="Purchase Raw Material - High Seas"/>
    <s v="ZTFA/26002TN.. [BOE/BOL:2026894/COSU6441186480]"/>
    <d v="2026-02-23T00:00:00"/>
    <s v="RM"/>
    <s v="Granules"/>
    <s v="PP Granules"/>
    <s v="PP Granuals"/>
    <s v="PP Advanced H312"/>
    <n v="24750"/>
    <n v="1910526.75"/>
    <s v="PP Advanced H312"/>
    <n v="1910526.75"/>
    <n v="0"/>
    <n v="0"/>
    <n v="0"/>
    <n v="0"/>
    <n v="0"/>
    <n v="0"/>
    <n v="0"/>
    <n v="0"/>
    <n v="0"/>
    <s v="N.A."/>
    <s v="Kgs"/>
    <n v="39021000"/>
    <s v="Rs."/>
    <n v="1"/>
    <n v="24750"/>
    <s v="Singapore"/>
    <x v="8"/>
  </r>
  <r>
    <d v="2026-07-04T00:00:00"/>
    <s v="Ivict(Singapore) Pte. Ltd."/>
    <s v="IMP-RM"/>
    <s v="RMIMP 22"/>
    <s v="Purchase Raw Material - High Seas"/>
    <s v="ZTFA/26002TN., [BOE/BOL:2026894/COSU6441186480]"/>
    <d v="2026-02-23T00:00:00"/>
    <s v="RM"/>
    <s v="Granules"/>
    <s v="PP Granules"/>
    <s v="PP Granuals"/>
    <s v="PP Advanced H312"/>
    <n v="24750"/>
    <n v="1910526.75"/>
    <s v="PP Advanced H312"/>
    <n v="1910526.75"/>
    <n v="0"/>
    <n v="0"/>
    <n v="0"/>
    <n v="0"/>
    <n v="0"/>
    <n v="0"/>
    <n v="0"/>
    <n v="0"/>
    <n v="0"/>
    <s v="N.A."/>
    <s v="Kgs"/>
    <n v="39021000"/>
    <s v="Rs."/>
    <n v="1"/>
    <n v="24750"/>
    <s v="Singapore"/>
    <x v="8"/>
  </r>
  <r>
    <d v="2026-07-04T00:00:00"/>
    <s v="Ivict(Singapore) Pte. Ltd."/>
    <s v="IMP-RM"/>
    <s v="RMIMP 23"/>
    <s v="Purchase Raw Material - High Seas"/>
    <s v="ZTFA/26002TN [BOE/BOL:2026894/COSU6441186480]"/>
    <d v="2026-02-23T00:00:00"/>
    <s v="RM"/>
    <s v="Granules"/>
    <s v="PP Granules"/>
    <s v="PP Granuals"/>
    <s v="PP Advanced H312"/>
    <n v="123750"/>
    <n v="9552633.75"/>
    <s v="PP Advanced H312"/>
    <n v="9552633.75"/>
    <n v="0"/>
    <n v="0"/>
    <n v="0"/>
    <n v="0"/>
    <n v="0"/>
    <n v="0"/>
    <n v="0"/>
    <n v="0"/>
    <n v="0"/>
    <s v="N.A."/>
    <s v="Kgs"/>
    <n v="39021000"/>
    <s v="Rs."/>
    <n v="1"/>
    <n v="123750"/>
    <s v="Singapore"/>
    <x v="8"/>
  </r>
  <r>
    <d v="2026-07-05T00:00:00"/>
    <s v="Arham Cams Pvt Ltd"/>
    <s v="General Purchase"/>
    <s v="GNSP 351"/>
    <s v="Purchase Withinstate- Stores, Spares &amp; Consumable"/>
    <s v="GST/136"/>
    <d v="2026-07-02T00:00:00"/>
    <s v="Stores/Spares"/>
    <s v="Sulzer Machine Spares"/>
    <s v="Stores &amp; Spares"/>
    <s v="stores &amp;  spares"/>
    <s v="Projectile Body (D2)"/>
    <n v="15"/>
    <n v="5775"/>
    <s v="Projectile Body (D2)"/>
    <n v="6874"/>
    <n v="9"/>
    <n v="524.25"/>
    <n v="9"/>
    <n v="524.25"/>
    <n v="0"/>
    <n v="0"/>
    <n v="0"/>
    <n v="1048.5"/>
    <n v="0"/>
    <s v="24AAICA0799H1ZK"/>
    <s v="Pcs"/>
    <n v="844810"/>
    <s v="Rs."/>
    <n v="1"/>
    <n v="0"/>
    <s v="India"/>
    <x v="0"/>
  </r>
  <r>
    <d v="2026-07-05T00:00:00"/>
    <s v="Arham Cams Pvt Ltd"/>
    <s v="General Purchase"/>
    <s v="GNSP 352"/>
    <s v="Purchase Withinstate- Stores, Spares &amp; Consumable"/>
    <s v="GST/137"/>
    <d v="2026-07-02T00:00:00"/>
    <s v="Stores/Spares"/>
    <s v="Sulzer Machine Spares"/>
    <s v="Stores &amp; Spares"/>
    <s v="stores &amp;  spares"/>
    <s v="Splined Shaft (For Sulzer Teckup) -911110162"/>
    <n v="3"/>
    <n v="2175"/>
    <s v="Splined Shaft (For Sulzer Teckup) -911110162"/>
    <n v="5381"/>
    <n v="9"/>
    <n v="195.75"/>
    <n v="9"/>
    <n v="195.75"/>
    <n v="0"/>
    <n v="0"/>
    <n v="0"/>
    <n v="391.5"/>
    <n v="0"/>
    <s v="24AAICA0799H1ZK"/>
    <s v="Pcs"/>
    <n v="844849"/>
    <s v="Rs."/>
    <n v="1"/>
    <n v="0"/>
    <s v="India"/>
    <x v="0"/>
  </r>
  <r>
    <d v="2026-07-05T00:00:00"/>
    <s v="Arham Cams Pvt Ltd"/>
    <s v="General Purchase"/>
    <s v="GNSP 352"/>
    <s v="Purchase Withinstate- Stores, Spares &amp; Consumable"/>
    <s v="GST/137"/>
    <d v="2026-07-02T00:00:00"/>
    <s v="Stores/Spares"/>
    <s v="Sulzer Machine Spares"/>
    <s v="Stores &amp; Spares"/>
    <s v="stores &amp;  spares"/>
    <s v="Splined Shaft (For Sulzer Teckup) -911110162"/>
    <n v="3"/>
    <n v="2085"/>
    <s v="Splined Shaft (For Sulzer Teckup) -911110162"/>
    <n v="0"/>
    <n v="9"/>
    <n v="214.65"/>
    <n v="9"/>
    <n v="214.65"/>
    <n v="0"/>
    <n v="0"/>
    <n v="0"/>
    <n v="429.3"/>
    <n v="0"/>
    <s v="24AAICA0799H1ZK"/>
    <s v="Pcs"/>
    <n v="844849"/>
    <s v="Rs."/>
    <n v="1"/>
    <n v="0"/>
    <s v="India"/>
    <x v="0"/>
  </r>
  <r>
    <d v="2026-07-05T00:00:00"/>
    <s v="Global Industries"/>
    <s v="General Purchase"/>
    <s v="GNSP 353"/>
    <s v="Purchase Withinstate- Stores, Spares &amp; Consumable"/>
    <s v="GIGST3592627"/>
    <d v="2026-07-02T00:00:00"/>
    <s v="Stores/Spares"/>
    <s v="Needle Loom Spares"/>
    <s v="Stores &amp; Spares"/>
    <s v="stores &amp;  spares"/>
    <s v="Guide             9063"/>
    <n v="30"/>
    <n v="6570"/>
    <s v="Guide             9063"/>
    <n v="18169"/>
    <n v="9"/>
    <n v="591.29999999999995"/>
    <n v="9"/>
    <n v="591.29999999999995"/>
    <n v="0"/>
    <n v="0"/>
    <n v="0"/>
    <n v="1182.5999999999999"/>
    <n v="0"/>
    <s v="24AADFG7242B1ZX"/>
    <s v="Pcs"/>
    <n v="844630"/>
    <s v="Rs."/>
    <n v="1"/>
    <n v="0"/>
    <s v="India"/>
    <x v="0"/>
  </r>
  <r>
    <d v="2026-07-05T00:00:00"/>
    <s v="Global Industries"/>
    <s v="General Purchase"/>
    <s v="GNSP 353"/>
    <s v="Purchase Withinstate- Stores, Spares &amp; Consumable"/>
    <s v="GIGST3592627"/>
    <d v="2026-07-02T00:00:00"/>
    <s v="Stores/Spares"/>
    <s v="Needle Loom Spares"/>
    <s v="Stores &amp; Spares"/>
    <s v="stores &amp;  spares"/>
    <s v="Pinion Intermediate  8234"/>
    <n v="10"/>
    <n v="5110"/>
    <s v="Pinion Intermediate  8234"/>
    <n v="0"/>
    <n v="9"/>
    <n v="459.9"/>
    <n v="9"/>
    <n v="459.9"/>
    <n v="0"/>
    <n v="0"/>
    <n v="0"/>
    <n v="919.8"/>
    <n v="0"/>
    <s v="24AADFG7242B1ZX"/>
    <s v="Pcs"/>
    <n v="844649"/>
    <s v="Rs."/>
    <n v="1"/>
    <n v="0"/>
    <s v="India"/>
    <x v="0"/>
  </r>
  <r>
    <d v="2026-07-05T00:00:00"/>
    <s v="Global Industries"/>
    <s v="General Purchase"/>
    <s v="GNSP 353"/>
    <s v="Purchase Withinstate- Stores, Spares &amp; Consumable"/>
    <s v="GIGST3592627"/>
    <d v="2026-07-02T00:00:00"/>
    <s v="Stores/Spares"/>
    <s v="Needle Loom Spares"/>
    <s v="Stores &amp; Spares"/>
    <s v="stores &amp;  spares"/>
    <s v="Ceramic 9034"/>
    <n v="100"/>
    <n v="1460"/>
    <s v="Ceramic 9034"/>
    <n v="0"/>
    <n v="9"/>
    <n v="131.4"/>
    <n v="9"/>
    <n v="131.4"/>
    <n v="0"/>
    <n v="0"/>
    <n v="0"/>
    <n v="262.8"/>
    <n v="0"/>
    <s v="24AADFG7242B1ZX"/>
    <s v="Pcs"/>
    <n v="844630"/>
    <s v="Rs."/>
    <n v="1"/>
    <n v="0"/>
    <s v="India"/>
    <x v="0"/>
  </r>
  <r>
    <d v="2026-07-05T00:00:00"/>
    <s v="Global Industries"/>
    <s v="General Purchase"/>
    <s v="GNSP 353"/>
    <s v="Purchase Withinstate- Stores, Spares &amp; Consumable"/>
    <s v="GIGST3592627"/>
    <d v="2026-07-02T00:00:00"/>
    <s v="Stores/Spares"/>
    <s v="Needle Loom Spares"/>
    <s v="Stores &amp; Spares"/>
    <s v="stores &amp;  spares"/>
    <s v="Change Gear 8219"/>
    <n v="5"/>
    <n v="2007.5"/>
    <s v="Change Gear 8219"/>
    <n v="0"/>
    <n v="9"/>
    <n v="203.18"/>
    <n v="9"/>
    <n v="203.18"/>
    <n v="0"/>
    <n v="0"/>
    <n v="0"/>
    <n v="406.36"/>
    <n v="0"/>
    <s v="24AADFG7242B1ZX"/>
    <s v="Pcs"/>
    <n v="84490000"/>
    <s v="Rs."/>
    <n v="1"/>
    <n v="0"/>
    <s v="India"/>
    <x v="0"/>
  </r>
  <r>
    <d v="2026-07-05T00:00:00"/>
    <s v="HCP Plastene Bulkpack Limited - Purchase"/>
    <s v="R.M.P."/>
    <s v="RM 254"/>
    <s v="Purchase Withinstate - Raw Material"/>
    <s v="HPBL/D/346"/>
    <d v="2026-07-04T00:00:00"/>
    <s v="SF"/>
    <s v="PP/PE Fabric"/>
    <s v="PP UL Fabric"/>
    <s v="PP WOVEN FABRIC"/>
    <s v="PP UL Fabric With UV"/>
    <n v="858"/>
    <n v="190390.2"/>
    <s v="PP UL Fabric With UV"/>
    <n v="1253765.44"/>
    <n v="9"/>
    <n v="17135.12"/>
    <n v="9"/>
    <n v="17135.12"/>
    <n v="0"/>
    <n v="0"/>
    <n v="0"/>
    <n v="34270.239999999998"/>
    <n v="0"/>
    <s v="24AABCG1282C2Z6"/>
    <s v="Kgs"/>
    <n v="39269080"/>
    <s v="Rs."/>
    <n v="1"/>
    <n v="858"/>
    <s v="India"/>
    <x v="1"/>
  </r>
  <r>
    <d v="2026-07-05T00:00:00"/>
    <s v="HCP Plastene Bulkpack Limited - Purchase"/>
    <s v="R.M.P."/>
    <s v="RM 254"/>
    <s v="Purchase Withinstate - Raw Material"/>
    <s v="HPBL/D/346"/>
    <d v="2026-07-04T00:00:00"/>
    <s v="SF"/>
    <s v="PP/PE Fabric"/>
    <s v="PP UL Fabric"/>
    <s v="PP WOVEN FABRIC"/>
    <s v="PP UL Fabric With UV"/>
    <n v="327"/>
    <n v="52287.3"/>
    <s v="PP UL Fabric With UV"/>
    <n v="0"/>
    <n v="9"/>
    <n v="4705.8599999999997"/>
    <n v="9"/>
    <n v="4705.8599999999997"/>
    <n v="0"/>
    <n v="0"/>
    <n v="0"/>
    <n v="9411.7199999999993"/>
    <n v="0"/>
    <s v="24AABCG1282C2Z6"/>
    <s v="Kgs"/>
    <n v="39269080"/>
    <s v="Rs."/>
    <n v="1"/>
    <n v="327"/>
    <s v="India"/>
    <x v="1"/>
  </r>
  <r>
    <d v="2026-07-05T00:00:00"/>
    <s v="HCP Plastene Bulkpack Limited - Purchase"/>
    <s v="R.M.P."/>
    <s v="RM 254"/>
    <s v="Purchase Withinstate - Raw Material"/>
    <s v="HPBL/D/346"/>
    <d v="2026-07-04T00:00:00"/>
    <s v="SF"/>
    <s v="PP/PE Fabric"/>
    <s v="PP UL Fabric"/>
    <s v="PP WOVEN FABRIC"/>
    <s v="PP UL Fabric With UV"/>
    <n v="4559"/>
    <n v="738102.1"/>
    <s v="PP UL Fabric With UV"/>
    <n v="0"/>
    <n v="9"/>
    <n v="66429.19"/>
    <n v="9"/>
    <n v="66429.19"/>
    <n v="0"/>
    <n v="0"/>
    <n v="0"/>
    <n v="132858.38"/>
    <n v="0"/>
    <s v="24AABCG1282C2Z6"/>
    <s v="Kgs"/>
    <n v="39269080"/>
    <s v="Rs."/>
    <n v="1"/>
    <n v="4559"/>
    <s v="India"/>
    <x v="1"/>
  </r>
  <r>
    <d v="2026-07-05T00:00:00"/>
    <s v="HCP Plastene Bulkpack Limited - Purchase"/>
    <s v="R.M.P."/>
    <s v="RM 254"/>
    <s v="Purchase Withinstate - Raw Material"/>
    <s v="HPBL/D/346"/>
    <d v="2026-07-04T00:00:00"/>
    <s v="SF"/>
    <s v="Liners"/>
    <s v="LDPE/LLDPE Bags"/>
    <s v="LLDPE Film"/>
    <s v="DOC Pouch"/>
    <n v="247"/>
    <n v="47668.53"/>
    <s v="DOC Pouch"/>
    <n v="0"/>
    <n v="9"/>
    <n v="4290.17"/>
    <n v="9"/>
    <n v="4290.17"/>
    <n v="0"/>
    <n v="0"/>
    <n v="0"/>
    <n v="8580.34"/>
    <n v="0"/>
    <s v="24AABCG1282C2Z6"/>
    <s v="Kgs"/>
    <n v="39232100"/>
    <s v="Rs."/>
    <n v="1"/>
    <n v="247"/>
    <s v="India"/>
    <x v="4"/>
  </r>
  <r>
    <d v="2026-07-05T00:00:00"/>
    <s v="HCP Plastene Bulkpack Limited - Purchase"/>
    <s v="R.M.P."/>
    <s v="RM 254"/>
    <s v="Purchase Withinstate - Raw Material"/>
    <s v="HPBL/D/346"/>
    <d v="2026-07-04T00:00:00"/>
    <s v="SF"/>
    <s v="Films All (SF)"/>
    <s v="PE Film"/>
    <s v="LLDPE Film"/>
    <s v="LDPE/LLDPE Film – Conductive"/>
    <n v="186"/>
    <n v="34966.14"/>
    <s v="LDPE/LLDPE Film – Conductive"/>
    <n v="0"/>
    <n v="9"/>
    <n v="3146.95"/>
    <n v="9"/>
    <n v="3146.95"/>
    <n v="0"/>
    <n v="0"/>
    <n v="0"/>
    <n v="6293.9"/>
    <n v="0"/>
    <s v="24AABCG1282C2Z6"/>
    <s v="Kgs"/>
    <n v="39201019"/>
    <s v="Rs."/>
    <n v="1"/>
    <n v="186"/>
    <s v="India"/>
    <x v="10"/>
  </r>
  <r>
    <d v="2026-07-05T00:00:00"/>
    <s v="Olive Industries"/>
    <s v="R.M.P."/>
    <s v="RM 253"/>
    <s v="Purchase Withinstate - Raw Material"/>
    <s v="TI/420"/>
    <d v="2026-07-04T00:00:00"/>
    <s v="SF"/>
    <s v="Yarn All"/>
    <s v="PP Yarn"/>
    <s v="PP MF Yarn"/>
    <s v="Monofilament Yarn 840 Denier"/>
    <n v="3055.84"/>
    <n v="626431.92079999996"/>
    <s v="Monofilament Yarn 840 Denier"/>
    <n v="657754"/>
    <n v="2.5"/>
    <n v="15660.8"/>
    <n v="2.5"/>
    <n v="15660.8"/>
    <n v="0"/>
    <n v="0"/>
    <n v="0"/>
    <n v="31321.599999999999"/>
    <n v="0"/>
    <s v="24AAEFO9994M1ZE"/>
    <s v="Kgs"/>
    <n v="12345678"/>
    <s v="Rs."/>
    <n v="1"/>
    <n v="3055.6"/>
    <s v="India"/>
    <x v="3"/>
  </r>
  <r>
    <d v="2026-07-05T00:00:00"/>
    <s v="Plastene India ltd - Unit 1-Purchase"/>
    <s v="Purchase"/>
    <s v="GNPK 127"/>
    <s v="Purchase Withinstate- Packing Material"/>
    <s v="PIL1/D/913"/>
    <d v="2026-07-04T00:00:00"/>
    <s v="Stores/Spares"/>
    <s v="MS Structure Items"/>
    <s v="Packing Materials"/>
    <s v="Packing Materials"/>
    <s v="MS Pipe 4  C Class"/>
    <n v="278"/>
    <n v="13344"/>
    <s v="MS Pipe 4  C Class"/>
    <n v="15732.58"/>
    <n v="9"/>
    <n v="1200.96"/>
    <n v="9"/>
    <n v="1200.96"/>
    <n v="0"/>
    <n v="0"/>
    <n v="0"/>
    <n v="2401.92"/>
    <n v="0"/>
    <s v="24AAACO3087C1ZT"/>
    <s v="Kgs"/>
    <n v="73063090"/>
    <s v="Rs."/>
    <n v="1"/>
    <n v="0"/>
    <s v="India"/>
    <x v="0"/>
  </r>
  <r>
    <d v="2026-07-05T00:00:00"/>
    <s v="Plastene India ltd - Unit 1-Purchase"/>
    <s v="R.M.P."/>
    <s v="RM 251"/>
    <s v="Purchase Withinstate - Raw Material"/>
    <s v="PIL1/D/917"/>
    <d v="2026-07-04T00:00:00"/>
    <s v="SF"/>
    <s v="Liners"/>
    <s v="LDPE/LLDPE Bags"/>
    <s v="LLDPE BAGS"/>
    <s v="LDPE/LLDPE Bags/Liner"/>
    <n v="878"/>
    <n v="163992.84"/>
    <s v="LDPE/LLDPE Bags/Liner"/>
    <n v="193347.57"/>
    <n v="9"/>
    <n v="14759.36"/>
    <n v="9"/>
    <n v="14759.36"/>
    <n v="0"/>
    <n v="0"/>
    <n v="0"/>
    <n v="29518.720000000001"/>
    <n v="0"/>
    <s v="24AAACO3087C1ZT"/>
    <s v="Kgs"/>
    <n v="39200000"/>
    <s v="Rs."/>
    <n v="1"/>
    <n v="878"/>
    <s v="India"/>
    <x v="4"/>
  </r>
  <r>
    <d v="2026-07-05T00:00:00"/>
    <s v="Plastene India ltd - Unit 2-Purchase"/>
    <s v="R.M.P."/>
    <s v="RM 250"/>
    <s v="Purchase Withinstate - Raw Material"/>
    <s v="PIL2/D/335"/>
    <d v="2026-07-04T00:00:00"/>
    <s v="RM"/>
    <s v="Granules"/>
    <s v="PP Granules"/>
    <s v="PP Granuals"/>
    <s v="PP HPCL Y35GR"/>
    <n v="5000"/>
    <n v="696750"/>
    <s v="PP HPCL Y35GR"/>
    <n v="821468.25"/>
    <n v="9"/>
    <n v="62707.5"/>
    <n v="9"/>
    <n v="62707.5"/>
    <n v="0"/>
    <n v="0"/>
    <n v="0"/>
    <n v="125415"/>
    <n v="0"/>
    <s v="24AAACO3087C1ZT"/>
    <s v="Kgs"/>
    <n v="39021000"/>
    <s v="Rs."/>
    <n v="1"/>
    <n v="5000"/>
    <s v="India"/>
    <x v="8"/>
  </r>
  <r>
    <d v="2026-07-06T00:00:00"/>
    <s v="Alok Master Batches Private Limited- Dadra"/>
    <s v="R.M.P."/>
    <s v="RM 257"/>
    <s v="Purchase Interstate - Raw Material"/>
    <s v="AMD/26-27/01773"/>
    <d v="2026-07-02T00:00:00"/>
    <s v="RM"/>
    <s v="Granules"/>
    <s v="Masterbatch"/>
    <s v="Master batch"/>
    <s v="MB Alok Blue AM10430 Pantone 072C"/>
    <n v="250"/>
    <n v="124500"/>
    <s v="MB Alok Blue AM10430 Pantone 072C"/>
    <n v="146910"/>
    <n v="0"/>
    <n v="0"/>
    <n v="0"/>
    <n v="0"/>
    <n v="18"/>
    <n v="22410"/>
    <n v="0"/>
    <n v="22410"/>
    <n v="0"/>
    <s v="26AAACA6143K1ZR"/>
    <s v="Kgs"/>
    <n v="32041990"/>
    <s v="Rs."/>
    <n v="1"/>
    <n v="250"/>
    <s v="India"/>
    <x v="5"/>
  </r>
  <r>
    <d v="2026-07-06T00:00:00"/>
    <s v="Bright Rubber"/>
    <s v="General Purchase"/>
    <s v="GNSP 356"/>
    <s v="Purchase Withinstate- Stores, Spares &amp; Consumable"/>
    <s v="G24088"/>
    <d v="2026-07-02T00:00:00"/>
    <s v="Consumables"/>
    <s v="Oil Seal"/>
    <s v="Stores &amp; Spares"/>
    <s v="stores &amp;  spares"/>
    <s v="O Ring Pu 95 X 5 mm"/>
    <n v="100"/>
    <n v="5000"/>
    <s v="O Ring Pu 95 X 5 mm"/>
    <n v="5994"/>
    <n v="9"/>
    <n v="450"/>
    <n v="9"/>
    <n v="450"/>
    <n v="0"/>
    <n v="0"/>
    <n v="14.4"/>
    <n v="914.4"/>
    <n v="0"/>
    <s v="24AACFB1249A1ZA"/>
    <s v="Pcs"/>
    <n v="40169330"/>
    <s v="Rs."/>
    <n v="1"/>
    <n v="0"/>
    <s v="India"/>
    <x v="0"/>
  </r>
  <r>
    <d v="2026-07-06T00:00:00"/>
    <s v="Green Traders"/>
    <s v="General Purchase"/>
    <s v="GNSP 355"/>
    <s v="Purchase Withinstate- Stores, Spares &amp; Consumable"/>
    <s v="G-0155"/>
    <d v="2026-05-09T00:00:00"/>
    <s v="Stores/Spares"/>
    <s v="Fuses"/>
    <s v="Stores &amp; Spares"/>
    <s v="stores &amp;  spares"/>
    <s v="Fuse Hrc 630 Amp. Sb 03 Standard"/>
    <n v="3"/>
    <n v="4644"/>
    <s v="Fuse Hrc 630 Amp. Sb 03 Standard"/>
    <n v="11074"/>
    <n v="9"/>
    <n v="417.96"/>
    <n v="9"/>
    <n v="417.96"/>
    <n v="0"/>
    <n v="0"/>
    <n v="0"/>
    <n v="835.92"/>
    <n v="0"/>
    <s v="24ACFPS7268D1ZG"/>
    <s v="Pcs"/>
    <n v="853610"/>
    <s v="Rs."/>
    <n v="1"/>
    <n v="0"/>
    <s v="India"/>
    <x v="0"/>
  </r>
  <r>
    <d v="2026-07-06T00:00:00"/>
    <s v="Green Traders"/>
    <s v="General Purchase"/>
    <s v="GNSP 355"/>
    <s v="Purchase Withinstate- Stores, Spares &amp; Consumable"/>
    <s v="G-0155"/>
    <d v="2026-05-09T00:00:00"/>
    <s v="Stores/Spares"/>
    <s v="Fuses"/>
    <s v="Stores &amp; Spares"/>
    <s v="stores &amp;  spares"/>
    <s v="Fuse Link 400 Amp , Hrc Type-Hn,Size-Ii L&amp;T Make"/>
    <n v="3"/>
    <n v="4740.96"/>
    <s v="Fuse Link 400 Amp , Hrc Type-Hn,Size-Ii L&amp;T Make"/>
    <n v="0"/>
    <n v="9"/>
    <n v="426.69"/>
    <n v="9"/>
    <n v="426.69"/>
    <n v="0"/>
    <n v="0"/>
    <n v="0"/>
    <n v="853.38"/>
    <n v="0"/>
    <s v="24ACFPS7268D1ZG"/>
    <s v="Pcs"/>
    <n v="853690"/>
    <s v="Rs."/>
    <n v="1"/>
    <n v="0"/>
    <s v="India"/>
    <x v="0"/>
  </r>
  <r>
    <d v="2026-07-06T00:00:00"/>
    <s v="Ivict(Singapore) Pte. Ltd."/>
    <s v="IMP-RM"/>
    <s v="RMIMP 24"/>
    <s v="Purchase Raw Material - High Seas"/>
    <s v="ZTFA/26002TN,,, [BOE/BOL:2026894/COSU6441186480]"/>
    <d v="2026-02-23T00:00:00"/>
    <s v="RM"/>
    <s v="Granules"/>
    <s v="PP Granules"/>
    <s v="PP Granuals"/>
    <s v="PP Advanced H312"/>
    <n v="99000"/>
    <n v="7642107"/>
    <s v="PP Advanced H312"/>
    <n v="7642107"/>
    <n v="0"/>
    <n v="0"/>
    <n v="0"/>
    <n v="0"/>
    <n v="0"/>
    <n v="0"/>
    <n v="0"/>
    <n v="0"/>
    <n v="0"/>
    <s v="N.A."/>
    <s v="Kgs"/>
    <n v="39021000"/>
    <s v="Rs."/>
    <n v="1"/>
    <n v="99000"/>
    <s v="Singapore"/>
    <x v="8"/>
  </r>
  <r>
    <d v="2026-07-06T00:00:00"/>
    <s v="Karnavati Polyblends Pvt Ltd"/>
    <s v="R.M.P."/>
    <s v="RM 258"/>
    <s v="Purchase Withinstate - Raw Material"/>
    <s v="KPPL/26-27/706"/>
    <d v="2026-07-06T00:00:00"/>
    <s v="RM"/>
    <s v="Granules"/>
    <s v="Masterbatch"/>
    <s v="Master batch"/>
    <s v="MB Karnavati  New Chrome Yellow"/>
    <n v="100"/>
    <n v="23280"/>
    <s v="MB Karnavati  New Chrome Yellow"/>
    <n v="488916"/>
    <n v="9"/>
    <n v="2095.1999999999998"/>
    <n v="9"/>
    <n v="2095.1999999999998"/>
    <n v="0"/>
    <n v="0"/>
    <n v="0"/>
    <n v="4190.3999999999996"/>
    <n v="0"/>
    <s v="24AAACK9111D1Z2"/>
    <s v="Kgs"/>
    <n v="32064990"/>
    <s v="Rs."/>
    <n v="1"/>
    <n v="100"/>
    <s v="India"/>
    <x v="5"/>
  </r>
  <r>
    <d v="2026-07-06T00:00:00"/>
    <s v="Karnavati Polyblends Pvt Ltd"/>
    <s v="R.M.P."/>
    <s v="RM 258"/>
    <s v="Purchase Withinstate - Raw Material"/>
    <s v="KPPL/26-27/706"/>
    <d v="2026-07-06T00:00:00"/>
    <s v="RM"/>
    <s v="Granules"/>
    <s v="Masterbatch"/>
    <s v="Master batch"/>
    <s v="MB Karnavati Leaf Green"/>
    <n v="300"/>
    <n v="68385"/>
    <s v="MB Karnavati Leaf Green"/>
    <n v="0"/>
    <n v="9"/>
    <n v="6154.65"/>
    <n v="9"/>
    <n v="6154.65"/>
    <n v="0"/>
    <n v="0"/>
    <n v="0"/>
    <n v="12309.3"/>
    <n v="0"/>
    <s v="24AAACK9111D1Z2"/>
    <s v="Kgs"/>
    <n v="32064990"/>
    <s v="Rs."/>
    <n v="1"/>
    <n v="300"/>
    <s v="India"/>
    <x v="5"/>
  </r>
  <r>
    <d v="2026-07-06T00:00:00"/>
    <s v="Karnavati Polyblends Pvt Ltd"/>
    <s v="R.M.P."/>
    <s v="RM 258"/>
    <s v="Purchase Withinstate - Raw Material"/>
    <s v="KPPL/26-27/706"/>
    <d v="2026-07-06T00:00:00"/>
    <s v="RM"/>
    <s v="Granules"/>
    <s v="Masterbatch"/>
    <s v="Master batch"/>
    <s v="MB Karnavati Polyplast Blue"/>
    <n v="500"/>
    <n v="127555"/>
    <s v="MB Karnavati Polyplast Blue"/>
    <n v="0"/>
    <n v="9"/>
    <n v="11479.95"/>
    <n v="9"/>
    <n v="11479.95"/>
    <n v="0"/>
    <n v="0"/>
    <n v="0"/>
    <n v="22959.9"/>
    <n v="0"/>
    <s v="24AAACK9111D1Z2"/>
    <s v="Kgs"/>
    <n v="320649"/>
    <s v="Rs."/>
    <n v="1"/>
    <n v="500"/>
    <s v="India"/>
    <x v="5"/>
  </r>
  <r>
    <d v="2026-07-06T00:00:00"/>
    <s v="Karnavati Polyblends Pvt Ltd"/>
    <s v="R.M.P."/>
    <s v="RM 258"/>
    <s v="Purchase Withinstate - Raw Material"/>
    <s v="KPPL/26-27/706"/>
    <d v="2026-07-06T00:00:00"/>
    <s v="RM"/>
    <s v="Granules"/>
    <s v="Masterbatch"/>
    <s v="Master batch"/>
    <s v="MB Karnavati Rishi Green-T"/>
    <n v="150"/>
    <n v="29245.5"/>
    <s v="MB Karnavati Rishi Green-T"/>
    <n v="0"/>
    <n v="9"/>
    <n v="2632.1"/>
    <n v="9"/>
    <n v="2632.1"/>
    <n v="0"/>
    <n v="0"/>
    <n v="0"/>
    <n v="5264.2"/>
    <n v="0"/>
    <s v="24AAACK9111D1Z2"/>
    <s v="Kgs"/>
    <n v="32064990"/>
    <s v="Rs."/>
    <n v="1"/>
    <n v="150"/>
    <s v="India"/>
    <x v="5"/>
  </r>
  <r>
    <d v="2026-07-06T00:00:00"/>
    <s v="Karnavati Polyblends Pvt Ltd"/>
    <s v="R.M.P."/>
    <s v="RM 258"/>
    <s v="Purchase Withinstate - Raw Material"/>
    <s v="KPPL/26-27/706"/>
    <d v="2026-07-06T00:00:00"/>
    <s v="RM"/>
    <s v="Granules"/>
    <s v="Masterbatch"/>
    <s v="Master batch"/>
    <s v="MB Karnavati Shiny Black"/>
    <n v="1000"/>
    <n v="165870"/>
    <s v="MB Karnavati Shiny Black"/>
    <n v="0"/>
    <n v="9"/>
    <n v="14928.3"/>
    <n v="9"/>
    <n v="14928.3"/>
    <n v="0"/>
    <n v="0"/>
    <n v="0"/>
    <n v="29856.6"/>
    <n v="0"/>
    <s v="24AAACK9111D1Z2"/>
    <s v="Kgs"/>
    <n v="32064990"/>
    <s v="Rs."/>
    <n v="1"/>
    <n v="1000"/>
    <s v="India"/>
    <x v="5"/>
  </r>
  <r>
    <d v="2026-07-06T00:00:00"/>
    <s v="Plastene India ltd - Unit 1-Purchase"/>
    <s v="Purchase"/>
    <s v="GNPK 129"/>
    <s v="Purchase Withinstate- Packing Material"/>
    <s v="PIL1/D/929"/>
    <d v="2026-07-05T00:00:00"/>
    <s v="Stores/Spares"/>
    <s v="MS Structure Items"/>
    <s v="Packing Materials"/>
    <s v="Packing Materials"/>
    <s v="MS Pipe 4  C Class"/>
    <n v="106"/>
    <n v="5088"/>
    <s v="MS Pipe 4  C Class"/>
    <n v="5998.75"/>
    <n v="9"/>
    <n v="457.92"/>
    <n v="9"/>
    <n v="457.92"/>
    <n v="0"/>
    <n v="0"/>
    <n v="0"/>
    <n v="915.84"/>
    <n v="0"/>
    <s v="24AAACO3087C1ZT"/>
    <s v="Kgs"/>
    <n v="73063090"/>
    <s v="Rs."/>
    <n v="1"/>
    <n v="0"/>
    <s v="India"/>
    <x v="0"/>
  </r>
  <r>
    <d v="2026-07-06T00:00:00"/>
    <s v="Plastene India ltd - Unit 1-Purchase"/>
    <s v="R.M.P."/>
    <s v="RM 256"/>
    <s v="Purchase Withinstate - Raw Material"/>
    <s v="PIL1/D/931"/>
    <d v="2026-07-05T00:00:00"/>
    <s v="SF"/>
    <s v="Liners"/>
    <s v="LDPE/LLDPE Bags"/>
    <s v="LLDPE BAGS"/>
    <s v="LDPE/LLDPE Bags/Liner"/>
    <n v="1731.8"/>
    <n v="358101.60399999999"/>
    <s v="LDPE/LLDPE Bags/Liner"/>
    <n v="1239152.3999999999"/>
    <n v="9"/>
    <n v="32229.14"/>
    <n v="9"/>
    <n v="32229.14"/>
    <n v="0"/>
    <n v="0"/>
    <n v="0"/>
    <n v="64458.28"/>
    <n v="0"/>
    <s v="24AAACO3087C1ZT"/>
    <s v="Kgs"/>
    <n v="39200000"/>
    <s v="Rs."/>
    <n v="1"/>
    <n v="1731.8"/>
    <s v="India"/>
    <x v="4"/>
  </r>
  <r>
    <d v="2026-07-06T00:00:00"/>
    <s v="Plastene India ltd - Unit 1-Purchase"/>
    <s v="R.M.P."/>
    <s v="RM 256"/>
    <s v="Purchase Withinstate - Raw Material"/>
    <s v="PIL1/D/931"/>
    <d v="2026-07-05T00:00:00"/>
    <s v="SF"/>
    <s v="Liners"/>
    <s v="LDPE/LLDPE Bags"/>
    <s v="LLDPE BAGS"/>
    <s v="LDPE/LLDPE Bags/Liner"/>
    <n v="1376.8"/>
    <n v="339642.79200000002"/>
    <s v="LDPE/LLDPE Bags/Liner"/>
    <n v="0"/>
    <n v="9"/>
    <n v="30567.85"/>
    <n v="9"/>
    <n v="30567.85"/>
    <n v="0"/>
    <n v="0"/>
    <n v="0"/>
    <n v="61135.7"/>
    <n v="0"/>
    <s v="24AAACO3087C1ZT"/>
    <s v="Kgs"/>
    <n v="39200000"/>
    <s v="Rs."/>
    <n v="1"/>
    <n v="1376.8"/>
    <s v="India"/>
    <x v="4"/>
  </r>
  <r>
    <d v="2026-07-06T00:00:00"/>
    <s v="Plastene India ltd - Unit 1-Purchase"/>
    <s v="R.M.P."/>
    <s v="RM 256"/>
    <s v="Purchase Withinstate - Raw Material"/>
    <s v="PIL1/D/931"/>
    <d v="2026-07-05T00:00:00"/>
    <s v="SF"/>
    <s v="Liners"/>
    <s v="LDPE/LLDPE Bags"/>
    <s v="LLDPE BAGS"/>
    <s v="LDPE/LLDPE Bags/Liner"/>
    <n v="1861.5"/>
    <n v="353275.47"/>
    <s v="LDPE/LLDPE Bags/Liner"/>
    <n v="0"/>
    <n v="9"/>
    <n v="31794.79"/>
    <n v="9"/>
    <n v="31794.79"/>
    <n v="0"/>
    <n v="0"/>
    <n v="0"/>
    <n v="63589.58"/>
    <n v="0"/>
    <s v="24AAACO3087C1ZT"/>
    <s v="Kgs"/>
    <n v="39200000"/>
    <s v="Rs."/>
    <n v="1"/>
    <n v="1861.5"/>
    <s v="India"/>
    <x v="4"/>
  </r>
  <r>
    <d v="2026-07-06T00:00:00"/>
    <s v="Plastene India ltd - Unit 2-Purchase"/>
    <s v="Purchase"/>
    <s v="GNPK 128"/>
    <s v="Purchase Withinstate- Packing Material"/>
    <s v="PIL2/D/340"/>
    <d v="2026-07-05T00:00:00"/>
    <s v="Stores/Spares"/>
    <s v="MS Structure Items"/>
    <s v="Packing Materials"/>
    <s v="Packing Materials"/>
    <s v="MS Pipe"/>
    <n v="196"/>
    <n v="9408"/>
    <s v="MS Pipe"/>
    <n v="11092.03"/>
    <n v="9"/>
    <n v="846.72"/>
    <n v="9"/>
    <n v="846.72"/>
    <n v="0"/>
    <n v="0"/>
    <n v="0"/>
    <n v="1693.44"/>
    <n v="0"/>
    <s v="24AAACO3087C1ZT"/>
    <s v="Kgs"/>
    <n v="7306309"/>
    <s v="Rs."/>
    <n v="1"/>
    <n v="0"/>
    <s v="India"/>
    <x v="0"/>
  </r>
  <r>
    <d v="2026-07-06T00:00:00"/>
    <s v="Plastene India ltd - Unit 2-Purchase"/>
    <s v="R.M.P."/>
    <s v="RM 255"/>
    <s v="Purchase Withinstate - Raw Material"/>
    <s v="PIL2/D/339"/>
    <d v="2026-07-06T00:00:00"/>
    <s v="SF"/>
    <s v="PP/PE Fabric"/>
    <s v="PP UL Fabric"/>
    <s v="PP WOVEN FABRIC"/>
    <s v="PP UL Fabric With UV"/>
    <n v="5793"/>
    <n v="617533.80000000005"/>
    <s v="PP UL Fabric With UV"/>
    <n v="883040.49"/>
    <n v="9"/>
    <n v="55578.04"/>
    <n v="9"/>
    <n v="55578.04"/>
    <n v="0"/>
    <n v="0"/>
    <n v="0"/>
    <n v="111156.08"/>
    <n v="0"/>
    <s v="24AAACO3087C1ZT"/>
    <s v="Kgs"/>
    <n v="39269080"/>
    <s v="Rs."/>
    <n v="1"/>
    <n v="5793"/>
    <s v="India"/>
    <x v="1"/>
  </r>
  <r>
    <d v="2026-07-06T00:00:00"/>
    <s v="Plastene India ltd - Unit 2-Purchase"/>
    <s v="R.M.P."/>
    <s v="RM 255"/>
    <s v="Purchase Withinstate - Raw Material"/>
    <s v="PIL2/D/339"/>
    <d v="2026-07-06T00:00:00"/>
    <s v="SF"/>
    <s v="Webbing"/>
    <s v="PP Webbing"/>
    <s v="PP WEBBING"/>
    <s v="Webbing MF"/>
    <n v="1014.2"/>
    <n v="131440.32000000001"/>
    <s v="Webbing MF"/>
    <n v="0"/>
    <n v="9"/>
    <n v="11829.63"/>
    <n v="9"/>
    <n v="11829.63"/>
    <n v="0"/>
    <n v="0"/>
    <n v="0"/>
    <n v="23659.26"/>
    <n v="0"/>
    <s v="24AAACO3087C1ZT"/>
    <s v="Kgs"/>
    <n v="39269080"/>
    <s v="Rs."/>
    <n v="1"/>
    <n v="1014.2"/>
    <s v="India"/>
    <x v="6"/>
  </r>
  <r>
    <d v="2026-07-06T00:00:00"/>
    <s v="Satyam Stationery Mart"/>
    <s v="General Purchase"/>
    <s v="GNCN 205"/>
    <s v="Purchase Withinstate- Stores, Spares &amp; Consumable"/>
    <s v="SSM02052"/>
    <d v="2026-07-04T00:00:00"/>
    <s v="Stores/Spares"/>
    <s v="Cutter Blades"/>
    <s v="Stores &amp; Spares"/>
    <s v="stores &amp;  spares"/>
    <s v="Alfa Blade For Sdi Cutter Knife. Size;-18mm No.1404H"/>
    <n v="1000"/>
    <n v="7150"/>
    <s v="Alfa Blade For Sdi Cutter Knife. Size;-18mm No.1404H"/>
    <n v="8437"/>
    <n v="9"/>
    <n v="643.5"/>
    <n v="9"/>
    <n v="643.5"/>
    <n v="0"/>
    <n v="0"/>
    <n v="0"/>
    <n v="1287"/>
    <n v="0"/>
    <s v="24AGUPL9792N1Z6"/>
    <s v="Pcs"/>
    <n v="82089090"/>
    <s v="Rs."/>
    <n v="1"/>
    <n v="0"/>
    <s v="India"/>
    <x v="0"/>
  </r>
  <r>
    <d v="2026-07-06T00:00:00"/>
    <s v="Vivek Industrial Service"/>
    <s v="General Purchase"/>
    <s v="GNSP 354"/>
    <s v="Purchase Withinstate- Stores, Spares &amp; Consumable"/>
    <n v="445"/>
    <d v="2026-07-02T00:00:00"/>
    <s v="Stores/Spares"/>
    <s v="utility"/>
    <s v="Stores &amp; Spares"/>
    <s v="stores &amp;  spares"/>
    <s v="Hot Air Gun"/>
    <n v="10"/>
    <n v="24200"/>
    <s v="Hot Air Gun"/>
    <n v="29028"/>
    <n v="9"/>
    <n v="2178"/>
    <n v="9"/>
    <n v="2178"/>
    <n v="0"/>
    <n v="0"/>
    <n v="72"/>
    <n v="4428"/>
    <n v="0"/>
    <s v="24AKZPB7901L1ZR"/>
    <s v="Pcs"/>
    <n v="841989"/>
    <s v="Rs."/>
    <n v="1"/>
    <n v="0"/>
    <s v="India"/>
    <x v="0"/>
  </r>
  <r>
    <d v="2026-07-07T00:00:00"/>
    <s v="Arham Cams Pvt Ltd"/>
    <s v="General Purchase"/>
    <s v="GNSP 362"/>
    <s v="Purchase Withinstate- Stores, Spares &amp; Consumable"/>
    <s v="GST/125"/>
    <d v="2026-06-27T00:00:00"/>
    <s v="Stores/Spares"/>
    <s v="Sulzer Machine Spares"/>
    <s v="Stores &amp; Spares"/>
    <s v="stores &amp;  spares"/>
    <s v="Foot Round For Beam KB support 911.806.329"/>
    <n v="5"/>
    <n v="840"/>
    <s v="Foot Round For Beam KB support 911.806.329"/>
    <n v="4171"/>
    <n v="9"/>
    <n v="75.599999999999994"/>
    <n v="9"/>
    <n v="75.599999999999994"/>
    <n v="0"/>
    <n v="0"/>
    <n v="18"/>
    <n v="169.2"/>
    <n v="0"/>
    <s v="24AAICA0799H1ZK"/>
    <s v="NOS"/>
    <n v="84484990"/>
    <s v="Rs."/>
    <n v="1"/>
    <n v="0"/>
    <s v="India"/>
    <x v="0"/>
  </r>
  <r>
    <d v="2026-07-07T00:00:00"/>
    <s v="Arham Cams Pvt Ltd"/>
    <s v="General Purchase"/>
    <s v="GNSP 362"/>
    <s v="Purchase Withinstate- Stores, Spares &amp; Consumable"/>
    <s v="GST/125"/>
    <d v="2026-06-27T00:00:00"/>
    <s v="Stores/Spares"/>
    <s v="Sulzer Machine Spares"/>
    <s v="Stores &amp; Spares"/>
    <s v="stores &amp;  spares"/>
    <s v="Hexagonal Nut M16 For Beam KB support 921.509.900"/>
    <n v="10"/>
    <n v="120"/>
    <s v="Hexagonal Nut M16 For Beam KB support 921.509.900"/>
    <n v="0"/>
    <n v="9"/>
    <n v="10.8"/>
    <n v="9"/>
    <n v="10.8"/>
    <n v="0"/>
    <n v="0"/>
    <n v="18"/>
    <n v="39.6"/>
    <n v="0"/>
    <s v="24AAICA0799H1ZK"/>
    <s v="NOS"/>
    <n v="84484990"/>
    <s v="Rs."/>
    <n v="1"/>
    <n v="0"/>
    <s v="India"/>
    <x v="0"/>
  </r>
  <r>
    <d v="2026-07-07T00:00:00"/>
    <s v="Arham Cams Pvt Ltd"/>
    <s v="General Purchase"/>
    <s v="GNSP 362"/>
    <s v="Purchase Withinstate- Stores, Spares &amp; Consumable"/>
    <s v="GST/125"/>
    <d v="2026-06-27T00:00:00"/>
    <s v="Stores/Spares"/>
    <s v="Sulzer Machine Spares"/>
    <s v="Stores &amp; Spares"/>
    <s v="stores &amp;  spares"/>
    <s v="Bolt M16x145 For Beam KB support 911.113.479"/>
    <n v="5"/>
    <n v="1210"/>
    <s v="Bolt M16x145 For Beam KB support 911.113.479"/>
    <n v="0"/>
    <n v="9"/>
    <n v="108.9"/>
    <n v="9"/>
    <n v="108.9"/>
    <n v="0"/>
    <n v="0"/>
    <n v="18"/>
    <n v="235.8"/>
    <n v="0"/>
    <s v="24AAICA0799H1ZK"/>
    <s v="NOS"/>
    <n v="84484990"/>
    <s v="Rs."/>
    <n v="1"/>
    <n v="0"/>
    <s v="India"/>
    <x v="0"/>
  </r>
  <r>
    <d v="2026-07-07T00:00:00"/>
    <s v="Arham Cams Pvt Ltd"/>
    <s v="General Purchase"/>
    <s v="GNSP 362"/>
    <s v="Purchase Withinstate- Stores, Spares &amp; Consumable"/>
    <s v="GST/125"/>
    <d v="2026-06-27T00:00:00"/>
    <s v="Stores/Spares"/>
    <s v="Sulzer Machine Spares"/>
    <s v="Stores &amp; Spares"/>
    <s v="stores &amp;  spares"/>
    <s v="Support Bolt M16x285 For Beam KB support 911.164.201"/>
    <n v="5"/>
    <n v="840"/>
    <s v="Support Bolt M16x285 For Beam KB support 911.164.201"/>
    <n v="0"/>
    <n v="9"/>
    <n v="75.599999999999994"/>
    <n v="9"/>
    <n v="75.599999999999994"/>
    <n v="0"/>
    <n v="0"/>
    <n v="18"/>
    <n v="169.2"/>
    <n v="0"/>
    <s v="24AAICA0799H1ZK"/>
    <s v="NOS"/>
    <n v="84484990"/>
    <s v="Rs."/>
    <n v="1"/>
    <n v="0"/>
    <s v="India"/>
    <x v="0"/>
  </r>
  <r>
    <d v="2026-07-07T00:00:00"/>
    <s v="Arham Cams Pvt Ltd"/>
    <s v="General Purchase"/>
    <s v="GNSP 362"/>
    <s v="Purchase Withinstate- Stores, Spares &amp; Consumable"/>
    <s v="GST/125"/>
    <d v="2026-06-27T00:00:00"/>
    <s v="Stores/Spares"/>
    <s v="Sulzer Machine Spares"/>
    <s v="Stores &amp; Spares"/>
    <s v="stores &amp;  spares"/>
    <s v="Disc Left-Hand Thread (40x30, M16) For Beam KB support 911.006.227"/>
    <n v="5"/>
    <n v="425"/>
    <s v="Disc Left-Hand Thread (40x30, M16) For Beam KB support 911.006.227"/>
    <n v="0"/>
    <n v="9"/>
    <n v="38.25"/>
    <n v="9"/>
    <n v="38.25"/>
    <n v="0"/>
    <n v="0"/>
    <n v="18"/>
    <n v="94.5"/>
    <n v="0"/>
    <s v="24AAICA0799H1ZK"/>
    <s v="NOS"/>
    <n v="84484990"/>
    <s v="Rs."/>
    <n v="1"/>
    <n v="0"/>
    <s v="India"/>
    <x v="0"/>
  </r>
  <r>
    <d v="2026-07-07T00:00:00"/>
    <s v="Arham Cams Pvt Ltd"/>
    <s v="General Purchase"/>
    <s v="GNSP 366"/>
    <s v="Purchase Withinstate- Stores, Spares &amp; Consumable"/>
    <s v="GST/128"/>
    <d v="2026-06-27T00:00:00"/>
    <s v="Stores/Spares"/>
    <s v="Sulzer Machine Spares"/>
    <s v="Stores &amp; Spares"/>
    <s v="stores &amp;  spares"/>
    <s v="Guide Tooth D1"/>
    <n v="2000"/>
    <n v="21300"/>
    <s v="Guide Tooth D1"/>
    <n v="33512"/>
    <n v="9"/>
    <n v="1917"/>
    <n v="9"/>
    <n v="1917"/>
    <n v="0"/>
    <n v="0"/>
    <n v="0"/>
    <n v="3834"/>
    <n v="0"/>
    <s v="24AAICA0799H1ZK"/>
    <s v="Pcs"/>
    <n v="844810"/>
    <s v="Rs."/>
    <n v="1"/>
    <n v="0"/>
    <s v="India"/>
    <x v="0"/>
  </r>
  <r>
    <d v="2026-07-07T00:00:00"/>
    <s v="Arham Cams Pvt Ltd"/>
    <s v="General Purchase"/>
    <s v="GNSP 366"/>
    <s v="Purchase Withinstate- Stores, Spares &amp; Consumable"/>
    <s v="GST/128"/>
    <d v="2026-06-27T00:00:00"/>
    <s v="Stores/Spares"/>
    <s v="Sulzer Machine Spares"/>
    <s v="Stores &amp; Spares"/>
    <s v="stores &amp;  spares"/>
    <s v="Conveyr Chain Cover"/>
    <n v="100"/>
    <n v="3400"/>
    <s v="Conveyr Chain Cover"/>
    <n v="0"/>
    <n v="9"/>
    <n v="333"/>
    <n v="9"/>
    <n v="333"/>
    <n v="0"/>
    <n v="0"/>
    <n v="0"/>
    <n v="666"/>
    <n v="0"/>
    <s v="24AAICA0799H1ZK"/>
    <s v="Pcs"/>
    <n v="844849"/>
    <s v="Rs."/>
    <n v="1"/>
    <n v="0"/>
    <s v="India"/>
    <x v="0"/>
  </r>
  <r>
    <d v="2026-07-07T00:00:00"/>
    <s v="Arham Cams Pvt Ltd"/>
    <s v="General Purchase"/>
    <s v="GNSP 366"/>
    <s v="Purchase Withinstate- Stores, Spares &amp; Consumable"/>
    <s v="GST/128"/>
    <d v="2026-06-27T00:00:00"/>
    <s v="Stores/Spares"/>
    <s v="Sulzer Machine Spares"/>
    <s v="Stores &amp; Spares"/>
    <s v="stores &amp;  spares"/>
    <s v="Conveyr Chain Cover"/>
    <n v="100"/>
    <n v="3400"/>
    <s v="Conveyr Chain Cover"/>
    <n v="0"/>
    <n v="9"/>
    <n v="306"/>
    <n v="9"/>
    <n v="306"/>
    <n v="0"/>
    <n v="0"/>
    <n v="0"/>
    <n v="612"/>
    <n v="0"/>
    <s v="24AAICA0799H1ZK"/>
    <s v="Pcs"/>
    <n v="844849"/>
    <s v="Rs."/>
    <n v="1"/>
    <n v="0"/>
    <s v="India"/>
    <x v="0"/>
  </r>
  <r>
    <d v="2026-07-07T00:00:00"/>
    <s v="Arham Cams Pvt Ltd"/>
    <s v="General Purchase"/>
    <s v="GNSP 367"/>
    <s v="Purchase Withinstate- Stores, Spares &amp; Consumable"/>
    <s v="GST/126"/>
    <d v="2026-06-27T00:00:00"/>
    <s v="Stores/Spares"/>
    <s v="Sulzer Machine Spares"/>
    <s v="Stores &amp; Spares"/>
    <s v="stores &amp;  spares"/>
    <s v="Hexagon socket counter Sunk Screw M6x20, 921.011.504"/>
    <n v="30"/>
    <n v="360"/>
    <s v="Hexagon socket counter Sunk Screw M6x20, 921.011.504"/>
    <n v="1841"/>
    <n v="9"/>
    <n v="36.9"/>
    <n v="9"/>
    <n v="36.9"/>
    <n v="0"/>
    <n v="0"/>
    <n v="0"/>
    <n v="73.8"/>
    <n v="0"/>
    <s v="24AAICA0799H1ZK"/>
    <s v="NOS"/>
    <n v="84484990"/>
    <s v="Rs."/>
    <n v="1"/>
    <n v="0"/>
    <s v="India"/>
    <x v="0"/>
  </r>
  <r>
    <d v="2026-07-07T00:00:00"/>
    <s v="Arham Cams Pvt Ltd"/>
    <s v="General Purchase"/>
    <s v="GNSP 367"/>
    <s v="Purchase Withinstate- Stores, Spares &amp; Consumable"/>
    <s v="GST/126"/>
    <d v="2026-06-27T00:00:00"/>
    <s v="Stores/Spares"/>
    <s v="Sulzer Machine Spares"/>
    <s v="Stores &amp; Spares"/>
    <s v="stores &amp;  spares"/>
    <s v="Upper Guide Plate D1 P7100, 911.316.659"/>
    <n v="5"/>
    <n v="575"/>
    <s v="Upper Guide Plate D1 P7100, 911.316.659"/>
    <n v="0"/>
    <n v="9"/>
    <n v="51.75"/>
    <n v="9"/>
    <n v="51.75"/>
    <n v="0"/>
    <n v="0"/>
    <n v="0"/>
    <n v="103.5"/>
    <n v="0"/>
    <s v="24AAICA0799H1ZK"/>
    <s v="NOS"/>
    <n v="84484990"/>
    <s v="Rs."/>
    <n v="1"/>
    <n v="0"/>
    <s v="India"/>
    <x v="0"/>
  </r>
  <r>
    <d v="2026-07-07T00:00:00"/>
    <s v="Arham Cams Pvt Ltd"/>
    <s v="General Purchase"/>
    <s v="GNSP 367"/>
    <s v="Purchase Withinstate- Stores, Spares &amp; Consumable"/>
    <s v="GST/126"/>
    <d v="2026-06-27T00:00:00"/>
    <s v="Stores/Spares"/>
    <s v="Sulzer Machine Spares"/>
    <s v="Stores &amp; Spares"/>
    <s v="stores &amp;  spares"/>
    <s v="Upper Guide Plate D1 PU 911.116.150"/>
    <n v="5"/>
    <n v="575"/>
    <s v="Upper Guide Plate D1 PU 911.116.150"/>
    <n v="0"/>
    <n v="9"/>
    <n v="51.75"/>
    <n v="9"/>
    <n v="51.75"/>
    <n v="0"/>
    <n v="0"/>
    <n v="0"/>
    <n v="103.5"/>
    <n v="0"/>
    <s v="24AAICA0799H1ZK"/>
    <s v="NOS"/>
    <n v="84484990"/>
    <s v="Rs."/>
    <n v="1"/>
    <n v="0"/>
    <s v="India"/>
    <x v="0"/>
  </r>
  <r>
    <d v="2026-07-07T00:00:00"/>
    <s v="Arham Cams Pvt Ltd"/>
    <s v="General Purchase"/>
    <s v="GNSP 368"/>
    <s v="Purchase Withinstate- Stores, Spares &amp; Consumable"/>
    <s v="GST/127"/>
    <d v="2026-06-27T00:00:00"/>
    <s v="Stores/Spares"/>
    <s v="Sulzer Machine Spares"/>
    <s v="Stores &amp; Spares"/>
    <s v="stores &amp;  spares"/>
    <s v="Brass Rivet Small (For Sulzer Harness)"/>
    <n v="200"/>
    <n v="400"/>
    <s v="Brass Rivet Small (For Sulzer Harness)"/>
    <n v="472"/>
    <n v="9"/>
    <n v="36"/>
    <n v="9"/>
    <n v="36"/>
    <n v="0"/>
    <n v="0"/>
    <n v="0"/>
    <n v="72"/>
    <n v="0"/>
    <s v="24AAICA0799H1ZK"/>
    <s v="Pcs"/>
    <n v="844810"/>
    <s v="Rs."/>
    <n v="1"/>
    <n v="0"/>
    <s v="India"/>
    <x v="0"/>
  </r>
  <r>
    <d v="2026-07-07T00:00:00"/>
    <s v="Divya Industries"/>
    <s v="General Purchase"/>
    <s v="GNSP 363"/>
    <s v="Purchase Interstate- Stores, Spares &amp; Consumable"/>
    <s v="GST/00042"/>
    <d v="2026-06-20T00:00:00"/>
    <s v="Stores/Spares"/>
    <s v="Sulzer Machine Spares"/>
    <s v="Stores &amp; Spares"/>
    <s v="stores &amp;  spares"/>
    <s v="Gear Wheel 4:60 Gun Metal With Bearing Slot"/>
    <n v="5"/>
    <n v="17500"/>
    <s v="Gear Wheel 4:60 Gun Metal With Bearing Slot"/>
    <n v="20650"/>
    <n v="0"/>
    <n v="0"/>
    <n v="0"/>
    <n v="0"/>
    <n v="18"/>
    <n v="3150"/>
    <n v="0"/>
    <n v="3150"/>
    <n v="0"/>
    <s v="08BEQPS9132G1ZX"/>
    <s v="Pcs"/>
    <n v="844810"/>
    <s v="Rs."/>
    <n v="1"/>
    <n v="0"/>
    <s v="India"/>
    <x v="0"/>
  </r>
  <r>
    <d v="2026-07-07T00:00:00"/>
    <s v="HCP Plastene Bulkpack Limited - Purchase"/>
    <s v="R.M.P."/>
    <s v="RM 260"/>
    <s v="Purchase Withinstate - Raw Material"/>
    <s v="HPBL/D/353"/>
    <d v="2026-07-07T00:00:00"/>
    <s v="SF"/>
    <s v="PP/PE Fabric"/>
    <s v="PP UL Fabric"/>
    <s v="PP WOVEN FABRIC"/>
    <s v="PP UL Fabric With UV"/>
    <n v="468"/>
    <n v="77173.2"/>
    <s v="PP UL Fabric With UV"/>
    <n v="1128527.3"/>
    <n v="9"/>
    <n v="6945.59"/>
    <n v="9"/>
    <n v="6945.59"/>
    <n v="0"/>
    <n v="0"/>
    <n v="0"/>
    <n v="13891.18"/>
    <n v="0"/>
    <s v="24AABCG1282C2Z6"/>
    <s v="Kgs"/>
    <n v="39269080"/>
    <s v="Rs."/>
    <n v="1"/>
    <n v="468"/>
    <s v="India"/>
    <x v="1"/>
  </r>
  <r>
    <d v="2026-07-07T00:00:00"/>
    <s v="HCP Plastene Bulkpack Limited - Purchase"/>
    <s v="R.M.P."/>
    <s v="RM 260"/>
    <s v="Purchase Withinstate - Raw Material"/>
    <s v="HPBL/D/353"/>
    <d v="2026-07-07T00:00:00"/>
    <s v="SF"/>
    <s v="PP/PE Fabric"/>
    <s v="PP UL Fabric"/>
    <s v="PP WOVEN FABRIC"/>
    <s v="PP UL Fabric With UV"/>
    <n v="2955"/>
    <n v="478414.5"/>
    <s v="PP UL Fabric With UV"/>
    <n v="0"/>
    <n v="9"/>
    <n v="43057.3"/>
    <n v="9"/>
    <n v="43057.3"/>
    <n v="0"/>
    <n v="0"/>
    <n v="0"/>
    <n v="86114.6"/>
    <n v="0"/>
    <s v="24AABCG1282C2Z6"/>
    <s v="Kgs"/>
    <n v="39269080"/>
    <s v="Rs."/>
    <n v="1"/>
    <n v="2955"/>
    <s v="India"/>
    <x v="1"/>
  </r>
  <r>
    <d v="2026-07-07T00:00:00"/>
    <s v="HCP Plastene Bulkpack Limited - Purchase"/>
    <s v="R.M.P."/>
    <s v="RM 260"/>
    <s v="Purchase Withinstate - Raw Material"/>
    <s v="HPBL/D/353"/>
    <d v="2026-07-07T00:00:00"/>
    <s v="SF"/>
    <s v="PP/PE Fabric"/>
    <s v="PP UL Fabric"/>
    <s v="PP WOVEN FABRIC"/>
    <s v="PP UL Fabric With UV"/>
    <n v="876"/>
    <n v="140072.4"/>
    <s v="PP UL Fabric With UV"/>
    <n v="0"/>
    <n v="9"/>
    <n v="12606.52"/>
    <n v="9"/>
    <n v="12606.52"/>
    <n v="0"/>
    <n v="0"/>
    <n v="0"/>
    <n v="25213.040000000001"/>
    <n v="0"/>
    <s v="24AABCG1282C2Z6"/>
    <s v="Kgs"/>
    <n v="39269080"/>
    <s v="Rs."/>
    <n v="1"/>
    <n v="876"/>
    <s v="India"/>
    <x v="1"/>
  </r>
  <r>
    <d v="2026-07-07T00:00:00"/>
    <s v="HCP Plastene Bulkpack Limited - Purchase"/>
    <s v="R.M.P."/>
    <s v="RM 260"/>
    <s v="Purchase Withinstate - Raw Material"/>
    <s v="HPBL/D/353"/>
    <d v="2026-07-07T00:00:00"/>
    <s v="SF"/>
    <s v="PP/PE Fabric"/>
    <s v="PP UL Fabric"/>
    <s v="PP WOVEN FABRIC"/>
    <s v="PP UL Fabric With UV"/>
    <n v="1009"/>
    <n v="223897.1"/>
    <s v="PP UL Fabric With UV"/>
    <n v="0"/>
    <n v="9"/>
    <n v="20150.740000000002"/>
    <n v="9"/>
    <n v="20150.740000000002"/>
    <n v="0"/>
    <n v="0"/>
    <n v="0"/>
    <n v="40301.480000000003"/>
    <n v="0"/>
    <s v="24AABCG1282C2Z6"/>
    <s v="Kgs"/>
    <n v="39269080"/>
    <s v="Rs."/>
    <n v="1"/>
    <n v="1009"/>
    <s v="India"/>
    <x v="1"/>
  </r>
  <r>
    <d v="2026-07-07T00:00:00"/>
    <s v="HCP Plastene Bulkpack Limited - Purchase"/>
    <s v="R.M.P."/>
    <s v="RM 260"/>
    <s v="Purchase Withinstate - Raw Material"/>
    <s v="HPBL/D/353"/>
    <d v="2026-07-07T00:00:00"/>
    <s v="SF"/>
    <s v="Liners"/>
    <s v="LDPE/LLDPE Bags"/>
    <s v="LLDPE Film"/>
    <s v="DOC Pouch"/>
    <n v="195"/>
    <n v="37633.050000000003"/>
    <s v="DOC Pouch"/>
    <n v="0"/>
    <n v="9"/>
    <n v="3386.97"/>
    <n v="9"/>
    <n v="3386.97"/>
    <n v="0"/>
    <n v="0"/>
    <n v="0"/>
    <n v="6773.94"/>
    <n v="0"/>
    <s v="24AABCG1282C2Z6"/>
    <s v="Kgs"/>
    <n v="39232100"/>
    <s v="Rs."/>
    <n v="1"/>
    <n v="195"/>
    <s v="India"/>
    <x v="4"/>
  </r>
  <r>
    <d v="2026-07-07T00:00:00"/>
    <s v="HCP Plastene Bulkpack Limited - Purchase"/>
    <s v="R.M.P."/>
    <s v="RM 261"/>
    <s v="Purchase Withinstate - Raw Material"/>
    <s v="HPBL/D/356"/>
    <d v="2026-07-07T00:00:00"/>
    <s v="RM"/>
    <s v="Granules"/>
    <s v="PP Granules"/>
    <s v="PP Granuals"/>
    <s v="PP RIL H350FG"/>
    <n v="800"/>
    <n v="120000"/>
    <s v="PP RIL H350FG"/>
    <n v="141480"/>
    <n v="9"/>
    <n v="10800"/>
    <n v="9"/>
    <n v="10800"/>
    <n v="0"/>
    <n v="0"/>
    <n v="0"/>
    <n v="21600"/>
    <n v="0"/>
    <s v="24AABCG1282C2Z6"/>
    <s v="Kgs"/>
    <n v="39021000"/>
    <s v="Rs."/>
    <n v="1"/>
    <n v="800"/>
    <s v="India"/>
    <x v="8"/>
  </r>
  <r>
    <d v="2026-07-07T00:00:00"/>
    <s v="Kabra Electricals"/>
    <s v="General Purchase"/>
    <s v="GNSP 357"/>
    <s v="Purchase Withinstate- Stores, Spares &amp; Consumable"/>
    <s v="GST/354"/>
    <d v="2026-07-04T00:00:00"/>
    <s v="Stores/Spares"/>
    <s v="Contactor"/>
    <s v="Stores &amp; Spares"/>
    <s v="stores &amp;  spares"/>
    <s v="Contactor LC1D09 25 A Coil -24 V.Ac"/>
    <n v="10"/>
    <n v="29950"/>
    <s v="Contactor LC1D09 25 A Coil -24 V.Ac"/>
    <n v="50976"/>
    <n v="9"/>
    <n v="2695.5"/>
    <n v="9"/>
    <n v="2695.5"/>
    <n v="0"/>
    <n v="0"/>
    <n v="54"/>
    <n v="5445"/>
    <n v="0"/>
    <s v="24ANLPK2335A1ZJ"/>
    <s v="Pcs"/>
    <n v="853620"/>
    <s v="Rs."/>
    <n v="1"/>
    <n v="0"/>
    <s v="India"/>
    <x v="0"/>
  </r>
  <r>
    <d v="2026-07-07T00:00:00"/>
    <s v="Kabra Electricals"/>
    <s v="General Purchase"/>
    <s v="GNSP 357"/>
    <s v="Purchase Withinstate- Stores, Spares &amp; Consumable"/>
    <s v="GST/354"/>
    <d v="2026-07-04T00:00:00"/>
    <s v="Stores/Spares"/>
    <s v="Contactor"/>
    <s v="Stores &amp; Spares"/>
    <s v="stores &amp;  spares"/>
    <s v="Contactor LC1D09 25 A Coil -24 V.Ac"/>
    <n v="10"/>
    <n v="12950"/>
    <s v="Contactor LC1D09 25 A Coil -24 V.Ac"/>
    <n v="0"/>
    <n v="9"/>
    <n v="1165.5"/>
    <n v="9"/>
    <n v="1165.5"/>
    <n v="0"/>
    <n v="0"/>
    <n v="54"/>
    <n v="2385"/>
    <n v="0"/>
    <s v="24ANLPK2335A1ZJ"/>
    <s v="Pcs"/>
    <n v="853620"/>
    <s v="Rs."/>
    <n v="1"/>
    <n v="0"/>
    <s v="India"/>
    <x v="0"/>
  </r>
  <r>
    <d v="2026-07-07T00:00:00"/>
    <s v="Kan Power Rubber Industries"/>
    <s v="General Purchase"/>
    <s v="GNSP 360"/>
    <s v="Purchase Withinstate- Stores, Spares &amp; Consumable"/>
    <s v="1220/26-27"/>
    <d v="2026-07-02T00:00:00"/>
    <s v="Stores/Spares"/>
    <s v="Bailing Machine Spares"/>
    <s v="Stores &amp; Spares"/>
    <s v="stores &amp;  spares"/>
    <s v="Hydraulic Hose pipe 2&quot; x 3 mtr, Both side swivel nut with one side L bend , WP - 350 Bar"/>
    <n v="2"/>
    <n v="11540"/>
    <s v="Hydraulic Hose pipe 2&quot; x 3 mtr, Both side swivel nut with one side L bend , WP - 350 Bar"/>
    <n v="13617"/>
    <n v="9"/>
    <n v="1038.5999999999999"/>
    <n v="9"/>
    <n v="1038.5999999999999"/>
    <n v="0"/>
    <n v="0"/>
    <n v="0"/>
    <n v="2077.1999999999998"/>
    <n v="0"/>
    <s v="24AEHPN1023R1ZD"/>
    <s v="Pcs"/>
    <n v="73071900"/>
    <s v="Rs."/>
    <n v="1"/>
    <n v="0"/>
    <s v="India"/>
    <x v="0"/>
  </r>
  <r>
    <d v="2026-07-07T00:00:00"/>
    <s v="Mahalaxmi Sulz Spare"/>
    <s v="General Purchase"/>
    <s v="GNSP 364"/>
    <s v="Purchase Interstate- Stores, Spares &amp; Consumable"/>
    <s v="MSS25/429"/>
    <d v="2026-06-28T00:00:00"/>
    <s v="Stores/Spares"/>
    <s v="Sulzer Machine Spares"/>
    <s v="Stores &amp; Spares"/>
    <s v="stores &amp;  spares"/>
    <s v="Drive Shaft EP10 P7100 for tappet motion 911.348.018"/>
    <n v="2"/>
    <n v="27000"/>
    <s v="Drive Shaft EP10 P7100 for tappet motion 911.348.018"/>
    <n v="64900"/>
    <n v="0"/>
    <n v="0"/>
    <n v="0"/>
    <n v="0"/>
    <n v="18"/>
    <n v="4860"/>
    <n v="0"/>
    <n v="4860"/>
    <n v="0"/>
    <s v="08BABPB3225J1Z4"/>
    <s v="Pcs"/>
    <n v="84484990"/>
    <s v="Rs."/>
    <n v="1"/>
    <n v="0"/>
    <s v="India"/>
    <x v="0"/>
  </r>
  <r>
    <d v="2026-07-07T00:00:00"/>
    <s v="Mahalaxmi Sulz Spare"/>
    <s v="General Purchase"/>
    <s v="GNSP 364"/>
    <s v="Purchase Interstate- Stores, Spares &amp; Consumable"/>
    <s v="MSS25/429"/>
    <d v="2026-06-28T00:00:00"/>
    <s v="Stores/Spares"/>
    <s v="Sulzer Machine Spares"/>
    <s v="Stores &amp; Spares"/>
    <s v="stores &amp;  spares"/>
    <s v="Drive Shaft EP10 Tw11 for tappet motion 911.148.288"/>
    <n v="2"/>
    <n v="28000"/>
    <s v="Drive Shaft EP10 Tw11 for tappet motion 911.148.288"/>
    <n v="0"/>
    <n v="0"/>
    <n v="0"/>
    <n v="0"/>
    <n v="0"/>
    <n v="18"/>
    <n v="5040"/>
    <n v="0"/>
    <n v="5040"/>
    <n v="0"/>
    <s v="08BABPB3225J1Z4"/>
    <s v="Pcs"/>
    <n v="84484990"/>
    <s v="Rs."/>
    <n v="1"/>
    <n v="0"/>
    <s v="India"/>
    <x v="0"/>
  </r>
  <r>
    <d v="2026-07-07T00:00:00"/>
    <s v="Mahavir Impex 24AEQPS2981A1ZD"/>
    <s v="General Purchase"/>
    <s v="GNCN 206"/>
    <s v="Purchase Withinstate- Stores, Spares &amp; Consumable"/>
    <s v="292/2026-27"/>
    <d v="2026-06-29T00:00:00"/>
    <s v="Consumables"/>
    <s v="Consumables"/>
    <s v="Stores &amp; Spares"/>
    <s v="Consumables"/>
    <s v="Elastic Band Width 38 mmWhite"/>
    <n v="5000"/>
    <n v="34000"/>
    <s v="Elastic Band Width 38 mmWhite"/>
    <n v="35700"/>
    <n v="2.5"/>
    <n v="850"/>
    <n v="2.5"/>
    <n v="850"/>
    <n v="0"/>
    <n v="0"/>
    <n v="0"/>
    <n v="1700"/>
    <n v="0"/>
    <s v="24AEQPS2981A1ZD"/>
    <s v="MTR"/>
    <n v="401699"/>
    <s v="Rs."/>
    <n v="1"/>
    <n v="0"/>
    <s v="India"/>
    <x v="0"/>
  </r>
  <r>
    <d v="2026-07-07T00:00:00"/>
    <s v="Meshtech India- Creditor"/>
    <s v="General Purchase"/>
    <s v="GNCN 212"/>
    <s v="Purchase Interstate- Stores, Spares &amp; Consumable"/>
    <s v="MTI/26-27/0410"/>
    <d v="2026-06-30T00:00:00"/>
    <s v="Consumables"/>
    <s v="Filters for Extrusion"/>
    <s v="Stores &amp; Spares"/>
    <s v="Consumables"/>
    <s v="Ss Scr.Mesh 204mm Diax120 Mesh"/>
    <n v="900"/>
    <n v="7425"/>
    <s v="Ss Scr.Mesh 204mm Diax120 Mesh"/>
    <n v="29736"/>
    <n v="0"/>
    <n v="0"/>
    <n v="0"/>
    <n v="0"/>
    <n v="18"/>
    <n v="1336.5"/>
    <n v="0"/>
    <n v="1336.5"/>
    <n v="0"/>
    <s v="06BRKPM7202C1Z3"/>
    <s v="Pcs"/>
    <n v="73141410"/>
    <s v="Rs."/>
    <n v="1"/>
    <n v="0"/>
    <s v="India"/>
    <x v="0"/>
  </r>
  <r>
    <d v="2026-07-07T00:00:00"/>
    <s v="Meshtech India- Creditor"/>
    <s v="General Purchase"/>
    <s v="GNCN 212"/>
    <s v="Purchase Interstate- Stores, Spares &amp; Consumable"/>
    <s v="MTI/26-27/0410"/>
    <d v="2026-06-30T00:00:00"/>
    <s v="Consumables"/>
    <s v="Filters for Extrusion"/>
    <s v="Stores &amp; Spares"/>
    <s v="Consumables"/>
    <s v="Ss Scr.Mesh 204mm Diax20 Mesh"/>
    <n v="900"/>
    <n v="10350"/>
    <s v="Ss Scr.Mesh 204mm Diax20 Mesh"/>
    <n v="0"/>
    <n v="0"/>
    <n v="0"/>
    <n v="0"/>
    <n v="0"/>
    <n v="18"/>
    <n v="1863"/>
    <n v="0"/>
    <n v="1863"/>
    <n v="0"/>
    <s v="06BRKPM7202C1Z3"/>
    <s v="Pcs"/>
    <n v="73141410"/>
    <s v="Rs."/>
    <n v="1"/>
    <n v="0"/>
    <s v="India"/>
    <x v="0"/>
  </r>
  <r>
    <d v="2026-07-07T00:00:00"/>
    <s v="Meshtech India- Creditor"/>
    <s v="General Purchase"/>
    <s v="GNCN 212"/>
    <s v="Purchase Interstate- Stores, Spares &amp; Consumable"/>
    <s v="MTI/26-27/0410"/>
    <d v="2026-06-30T00:00:00"/>
    <s v="Consumables"/>
    <s v="Filters for Extrusion"/>
    <s v="Stores &amp; Spares"/>
    <s v="Consumables"/>
    <s v="Ss Scr.Mesh 204mm Diax80 Mesh"/>
    <n v="900"/>
    <n v="7425"/>
    <s v="Ss Scr.Mesh 204mm Diax80 Mesh"/>
    <n v="0"/>
    <n v="0"/>
    <n v="0"/>
    <n v="0"/>
    <n v="0"/>
    <n v="18"/>
    <n v="1336.5"/>
    <n v="0"/>
    <n v="1336.5"/>
    <n v="0"/>
    <s v="06BRKPM7202C1Z3"/>
    <s v="Pcs"/>
    <n v="73141410"/>
    <s v="Rs."/>
    <n v="1"/>
    <n v="0"/>
    <s v="India"/>
    <x v="0"/>
  </r>
  <r>
    <d v="2026-07-07T00:00:00"/>
    <s v="Panchvati Tools Co."/>
    <s v="General Purchase"/>
    <s v="GNCN 208"/>
    <s v="Purchase Withinstate- Stores, Spares &amp; Consumable"/>
    <n v="979"/>
    <d v="2026-07-02T00:00:00"/>
    <s v="Consumables"/>
    <s v="Consumables"/>
    <s v="Stores &amp; Spares"/>
    <s v="Consumables"/>
    <s v="Spray Wd 40 - 400 Ml"/>
    <n v="5"/>
    <n v="1475"/>
    <s v="Spray Wd 40 - 400 Ml"/>
    <n v="1741"/>
    <n v="9"/>
    <n v="132.75"/>
    <n v="9"/>
    <n v="132.75"/>
    <n v="0"/>
    <n v="0"/>
    <n v="0"/>
    <n v="265.5"/>
    <n v="0"/>
    <s v="24ABVPP9097Q1Z7"/>
    <s v="Pcs"/>
    <n v="84836010"/>
    <s v="Rs."/>
    <n v="1"/>
    <n v="0"/>
    <s v="India"/>
    <x v="0"/>
  </r>
  <r>
    <d v="2026-07-07T00:00:00"/>
    <s v="Panchvati Tools Co."/>
    <s v="General Purchase"/>
    <s v="GNSP 359"/>
    <s v="Purchase Withinstate- Stores, Spares &amp; Consumable"/>
    <n v="978"/>
    <d v="2026-07-02T00:00:00"/>
    <s v="Stores/Spares"/>
    <s v="Hardware Items"/>
    <s v="Stores &amp; Spares"/>
    <s v="stores &amp;  spares"/>
    <s v="Allen Bolt 04X35 mm"/>
    <n v="5"/>
    <n v="17.786999999999999"/>
    <s v="Allen Bolt 04X35 mm"/>
    <n v="8834"/>
    <n v="9"/>
    <n v="1.6"/>
    <n v="9"/>
    <n v="1.6"/>
    <n v="0"/>
    <n v="0"/>
    <n v="0"/>
    <n v="3.2"/>
    <n v="0"/>
    <s v="24ABVPP9097Q1Z7"/>
    <s v="Pcs"/>
    <n v="84529000"/>
    <s v="Rs."/>
    <n v="1"/>
    <n v="0"/>
    <s v="India"/>
    <x v="0"/>
  </r>
  <r>
    <d v="2026-07-07T00:00:00"/>
    <s v="Panchvati Tools Co."/>
    <s v="General Purchase"/>
    <s v="GNSP 359"/>
    <s v="Purchase Withinstate- Stores, Spares &amp; Consumable"/>
    <n v="978"/>
    <d v="2026-07-02T00:00:00"/>
    <s v="Stores/Spares"/>
    <s v="Hardware Items"/>
    <s v="Stores &amp; Spares"/>
    <s v="stores &amp;  spares"/>
    <s v="Gi Washer 8 mm"/>
    <n v="2"/>
    <n v="240"/>
    <s v="Gi Washer 8 mm"/>
    <n v="0"/>
    <n v="9"/>
    <n v="21.6"/>
    <n v="9"/>
    <n v="21.6"/>
    <n v="0"/>
    <n v="0"/>
    <n v="0"/>
    <n v="43.2"/>
    <n v="0"/>
    <s v="24ABVPP9097Q1Z7"/>
    <s v="Kgs"/>
    <n v="84529000"/>
    <s v="Rs."/>
    <n v="1"/>
    <n v="0"/>
    <s v="India"/>
    <x v="0"/>
  </r>
  <r>
    <d v="2026-07-07T00:00:00"/>
    <s v="Panchvati Tools Co."/>
    <s v="General Purchase"/>
    <s v="GNSP 359"/>
    <s v="Purchase Withinstate- Stores, Spares &amp; Consumable"/>
    <n v="978"/>
    <d v="2026-07-02T00:00:00"/>
    <s v="Stores/Spares"/>
    <s v="Hardware Items"/>
    <s v="Stores &amp; Spares"/>
    <s v="stores &amp;  spares"/>
    <s v="Chain 5/8&quot;  Single Make-Diamond"/>
    <n v="2"/>
    <n v="2178.56"/>
    <s v="Chain 5/8&quot;  Single Make-Diamond"/>
    <n v="0"/>
    <n v="9"/>
    <n v="196.07"/>
    <n v="9"/>
    <n v="196.07"/>
    <n v="0"/>
    <n v="0"/>
    <n v="0"/>
    <n v="392.14"/>
    <n v="0"/>
    <s v="24ABVPP9097Q1Z7"/>
    <s v="Pkts"/>
    <n v="73151100"/>
    <s v="Rs."/>
    <n v="1"/>
    <n v="0"/>
    <s v="India"/>
    <x v="0"/>
  </r>
  <r>
    <d v="2026-07-07T00:00:00"/>
    <s v="Panchvati Tools Co."/>
    <s v="General Purchase"/>
    <s v="GNSP 359"/>
    <s v="Purchase Withinstate- Stores, Spares &amp; Consumable"/>
    <n v="978"/>
    <d v="2026-07-02T00:00:00"/>
    <s v="Stores/Spares"/>
    <s v="Hardware Items"/>
    <s v="Stores &amp; Spares"/>
    <s v="stores &amp;  spares"/>
    <s v="Circlip Plier 06&quot; External"/>
    <n v="4"/>
    <n v="849.92"/>
    <s v="Circlip Plier 06&quot; External"/>
    <n v="0"/>
    <n v="9"/>
    <n v="76.489999999999995"/>
    <n v="9"/>
    <n v="76.489999999999995"/>
    <n v="0"/>
    <n v="0"/>
    <n v="0"/>
    <n v="152.97999999999999"/>
    <n v="0"/>
    <s v="24ABVPP9097Q1Z7"/>
    <s v="Pcs"/>
    <n v="84821011"/>
    <s v="Rs."/>
    <n v="1"/>
    <n v="0"/>
    <s v="India"/>
    <x v="0"/>
  </r>
  <r>
    <d v="2026-07-07T00:00:00"/>
    <s v="Panchvati Tools Co."/>
    <s v="General Purchase"/>
    <s v="GNSP 359"/>
    <s v="Purchase Withinstate- Stores, Spares &amp; Consumable"/>
    <n v="978"/>
    <d v="2026-07-02T00:00:00"/>
    <s v="Stores/Spares"/>
    <s v="Welding Rods"/>
    <s v="Stores &amp; Spares"/>
    <s v="stores &amp;  spares"/>
    <s v="SS Welding Road 2.5mm"/>
    <n v="6"/>
    <n v="4200"/>
    <s v="SS Welding Road 2.5mm"/>
    <n v="0"/>
    <n v="9"/>
    <n v="378"/>
    <n v="9"/>
    <n v="378"/>
    <n v="0"/>
    <n v="0"/>
    <n v="0"/>
    <n v="756"/>
    <n v="0"/>
    <s v="24ABVPP9097Q1Z7"/>
    <s v="Pkts"/>
    <n v="83113090"/>
    <s v="Rs."/>
    <n v="1"/>
    <n v="0"/>
    <s v="India"/>
    <x v="0"/>
  </r>
  <r>
    <d v="2026-07-07T00:00:00"/>
    <s v="Pavan Electricals And Hardware"/>
    <s v="General Purchase"/>
    <s v="GNSP 369"/>
    <s v="Purchase Withinstate- Stores, Spares &amp; Consumable"/>
    <s v="GI/1139"/>
    <d v="2026-07-06T00:00:00"/>
    <s v="Capex"/>
    <s v="Building Material"/>
    <s v="Stores &amp; Spares"/>
    <s v="stores &amp;  spares"/>
    <s v="Dammer Roll ( Tarpentine )"/>
    <n v="2"/>
    <n v="1900"/>
    <s v="Dammer Roll ( Tarpentine )"/>
    <n v="2242"/>
    <n v="9"/>
    <n v="171"/>
    <n v="9"/>
    <n v="171"/>
    <n v="0"/>
    <n v="0"/>
    <n v="0"/>
    <n v="342"/>
    <n v="0"/>
    <s v="24BTTPR5056A1ZJ"/>
    <s v="ROLLS"/>
    <n v="139020"/>
    <s v="Rs."/>
    <n v="1"/>
    <n v="0"/>
    <s v="India"/>
    <x v="0"/>
  </r>
  <r>
    <d v="2026-07-07T00:00:00"/>
    <s v="Plastene India ltd - Unit 1-Purchase"/>
    <s v="General Purchase"/>
    <s v="GNPK 130"/>
    <s v="Purchase Withinstate- Packing Material"/>
    <s v="PIL1/D/941"/>
    <d v="2026-07-06T00:00:00"/>
    <s v="Stores/Spares"/>
    <s v="MS Structure Items"/>
    <s v="Packing Materials"/>
    <s v="Packing Materials"/>
    <s v="MS Pipe 4  C Class"/>
    <n v="76"/>
    <n v="3648"/>
    <s v="MS Pipe 4  C Class"/>
    <n v="12450.24"/>
    <n v="9"/>
    <n v="328.32"/>
    <n v="9"/>
    <n v="328.32"/>
    <n v="0"/>
    <n v="0"/>
    <n v="0"/>
    <n v="656.64"/>
    <n v="0"/>
    <s v="24AAACO3087C1ZT"/>
    <s v="Kgs"/>
    <n v="73063090"/>
    <s v="Rs."/>
    <n v="1"/>
    <n v="0"/>
    <s v="India"/>
    <x v="0"/>
  </r>
  <r>
    <d v="2026-07-07T00:00:00"/>
    <s v="Plastene India ltd - Unit 1-Purchase"/>
    <s v="General Purchase"/>
    <s v="GNPK 130"/>
    <s v="Purchase Withinstate- Packing Material"/>
    <s v="PIL1/D/941"/>
    <d v="2026-07-06T00:00:00"/>
    <s v="Stores/Spares"/>
    <s v="MS Structure Items"/>
    <s v="Packing Materials"/>
    <s v="Packing Materials"/>
    <s v="MS Pipe 4  C Class"/>
    <n v="144"/>
    <n v="6912"/>
    <s v="MS Pipe 4  C Class"/>
    <n v="0"/>
    <n v="9"/>
    <n v="622.08000000000004"/>
    <n v="9"/>
    <n v="622.08000000000004"/>
    <n v="0"/>
    <n v="0"/>
    <n v="0"/>
    <n v="1244.1600000000001"/>
    <n v="0"/>
    <s v="24AAACO3087C1ZT"/>
    <s v="Kgs"/>
    <n v="73063090"/>
    <s v="Rs."/>
    <n v="1"/>
    <n v="0"/>
    <s v="India"/>
    <x v="0"/>
  </r>
  <r>
    <d v="2026-07-07T00:00:00"/>
    <s v="Plastene India ltd - Unit 1-Purchase"/>
    <s v="R.M.P."/>
    <s v="RM 259"/>
    <s v="Purchase Withinstate - Raw Material"/>
    <s v="PIL1/D/944"/>
    <d v="2026-07-06T00:00:00"/>
    <s v="SF"/>
    <s v="Liners"/>
    <s v="LDPE/LLDPE Bags"/>
    <s v="LLDPE BAGS"/>
    <s v="LDPE/LLDPE Bags/Liner"/>
    <n v="542.6"/>
    <n v="99176.428"/>
    <s v="LDPE/LLDPE Bags/Liner"/>
    <n v="194120.26"/>
    <n v="9"/>
    <n v="8925.8799999999992"/>
    <n v="9"/>
    <n v="8925.8799999999992"/>
    <n v="0"/>
    <n v="0"/>
    <n v="0"/>
    <n v="17851.759999999998"/>
    <n v="0"/>
    <s v="24AAACO3087C1ZT"/>
    <s v="Kgs"/>
    <n v="39200000"/>
    <s v="Rs."/>
    <n v="1"/>
    <n v="542.6"/>
    <s v="India"/>
    <x v="4"/>
  </r>
  <r>
    <d v="2026-07-07T00:00:00"/>
    <s v="Plastene India ltd - Unit 1-Purchase"/>
    <s v="R.M.P."/>
    <s v="RM 259"/>
    <s v="Purchase Withinstate - Raw Material"/>
    <s v="PIL1/D/944"/>
    <d v="2026-07-06T00:00:00"/>
    <s v="SF"/>
    <s v="Liners"/>
    <s v="LDPE/LLDPE Bags"/>
    <s v="LLDPE BAGS"/>
    <s v="LDPE/LLDPE Bags/Liner"/>
    <n v="358.2"/>
    <n v="65471.796000000002"/>
    <s v="LDPE/LLDPE Bags/Liner"/>
    <n v="0"/>
    <n v="9"/>
    <n v="5892.46"/>
    <n v="9"/>
    <n v="5892.46"/>
    <n v="0"/>
    <n v="0"/>
    <n v="0"/>
    <n v="11784.92"/>
    <n v="0"/>
    <s v="24AAACO3087C1ZT"/>
    <s v="Kgs"/>
    <n v="39200000"/>
    <s v="Rs."/>
    <n v="1"/>
    <n v="358.2"/>
    <s v="India"/>
    <x v="4"/>
  </r>
  <r>
    <d v="2026-07-07T00:00:00"/>
    <s v="Shree Ganesh Stereo"/>
    <s v="General Purchase"/>
    <s v="GNCN 209"/>
    <s v="Purchase Withinstate- Stores, Spares &amp; Consumable"/>
    <n v="1302"/>
    <d v="2026-07-03T00:00:00"/>
    <s v="Consumables"/>
    <s v="Rubber/Polymer Stereo"/>
    <s v="Stores &amp; Spares"/>
    <s v="Consumables"/>
    <s v="Rubber Stereo"/>
    <n v="1"/>
    <n v="261.8"/>
    <s v="Rubber Stereo"/>
    <n v="4459"/>
    <n v="9"/>
    <n v="23.56"/>
    <n v="9"/>
    <n v="23.56"/>
    <n v="0"/>
    <n v="0"/>
    <n v="0"/>
    <n v="47.12"/>
    <n v="0"/>
    <s v="24AHDPC2510M1ZU"/>
    <s v="Pcs"/>
    <n v="400200"/>
    <s v="Rs."/>
    <n v="1"/>
    <n v="0"/>
    <s v="India"/>
    <x v="0"/>
  </r>
  <r>
    <d v="2026-07-07T00:00:00"/>
    <s v="Shree Ganesh Stereo"/>
    <s v="General Purchase"/>
    <s v="GNCN 209"/>
    <s v="Purchase Withinstate- Stores, Spares &amp; Consumable"/>
    <n v="1302"/>
    <d v="2026-07-03T00:00:00"/>
    <s v="Consumables"/>
    <s v="Rubber/Polymer Stereo"/>
    <s v="Stores &amp; Spares"/>
    <s v="Consumables"/>
    <s v="Rubber Stereo"/>
    <n v="1"/>
    <n v="800.8"/>
    <s v="Rubber Stereo"/>
    <n v="0"/>
    <n v="9"/>
    <n v="72.069999999999993"/>
    <n v="9"/>
    <n v="72.069999999999993"/>
    <n v="0"/>
    <n v="0"/>
    <n v="0"/>
    <n v="144.13999999999999"/>
    <n v="0"/>
    <s v="24AHDPC2510M1ZU"/>
    <s v="Pcs"/>
    <n v="400200"/>
    <s v="Rs."/>
    <n v="1"/>
    <n v="0"/>
    <s v="India"/>
    <x v="0"/>
  </r>
  <r>
    <d v="2026-07-07T00:00:00"/>
    <s v="Shree Ganesh Stereo"/>
    <s v="General Purchase"/>
    <s v="GNCN 209"/>
    <s v="Purchase Withinstate- Stores, Spares &amp; Consumable"/>
    <n v="1302"/>
    <d v="2026-07-03T00:00:00"/>
    <s v="Consumables"/>
    <s v="Rubber/Polymer Stereo"/>
    <s v="Stores &amp; Spares"/>
    <s v="Consumables"/>
    <s v="Rubber Stereo"/>
    <n v="1"/>
    <n v="123.2"/>
    <s v="Rubber Stereo"/>
    <n v="0"/>
    <n v="9"/>
    <n v="11.09"/>
    <n v="9"/>
    <n v="11.09"/>
    <n v="0"/>
    <n v="0"/>
    <n v="0"/>
    <n v="22.18"/>
    <n v="0"/>
    <s v="24AHDPC2510M1ZU"/>
    <s v="Pcs"/>
    <n v="400200"/>
    <s v="Rs."/>
    <n v="1"/>
    <n v="0"/>
    <s v="India"/>
    <x v="0"/>
  </r>
  <r>
    <d v="2026-07-07T00:00:00"/>
    <s v="Shree Ganesh Stereo"/>
    <s v="General Purchase"/>
    <s v="GNCN 209"/>
    <s v="Purchase Withinstate- Stores, Spares &amp; Consumable"/>
    <n v="1302"/>
    <d v="2026-07-03T00:00:00"/>
    <s v="Consumables"/>
    <s v="Rubber/Polymer Stereo"/>
    <s v="Stores &amp; Spares"/>
    <s v="Consumables"/>
    <s v="Rubber Stereo"/>
    <n v="1"/>
    <n v="890.4"/>
    <s v="Rubber Stereo"/>
    <n v="0"/>
    <n v="9"/>
    <n v="80.14"/>
    <n v="9"/>
    <n v="80.14"/>
    <n v="0"/>
    <n v="0"/>
    <n v="0"/>
    <n v="160.28"/>
    <n v="0"/>
    <s v="24AHDPC2510M1ZU"/>
    <s v="Pcs"/>
    <n v="400200"/>
    <s v="Rs."/>
    <n v="1"/>
    <n v="0"/>
    <s v="India"/>
    <x v="0"/>
  </r>
  <r>
    <d v="2026-07-07T00:00:00"/>
    <s v="Shree Ganesh Stereo"/>
    <s v="General Purchase"/>
    <s v="GNCN 209"/>
    <s v="Purchase Withinstate- Stores, Spares &amp; Consumable"/>
    <n v="1302"/>
    <d v="2026-07-03T00:00:00"/>
    <s v="Consumables"/>
    <s v="Rubber/Polymer Stereo"/>
    <s v="Stores &amp; Spares"/>
    <s v="Consumables"/>
    <s v="Rubber Stereo"/>
    <n v="1"/>
    <n v="1702.4"/>
    <s v="Rubber Stereo"/>
    <n v="0"/>
    <n v="9"/>
    <n v="153.22"/>
    <n v="9"/>
    <n v="153.22"/>
    <n v="0"/>
    <n v="0"/>
    <n v="0"/>
    <n v="306.44"/>
    <n v="0"/>
    <s v="24AHDPC2510M1ZU"/>
    <s v="Pcs"/>
    <n v="400200"/>
    <s v="Rs."/>
    <n v="1"/>
    <n v="0"/>
    <s v="India"/>
    <x v="0"/>
  </r>
  <r>
    <d v="2026-07-07T00:00:00"/>
    <s v="Shree Ganesh Stereo"/>
    <s v="General Purchase"/>
    <s v="GNCN 210"/>
    <s v="Purchase Withinstate- Stores, Spares &amp; Consumable"/>
    <n v="1272"/>
    <d v="2026-07-02T00:00:00"/>
    <s v="Consumables"/>
    <s v="Rubber/Polymer Stereo"/>
    <s v="Stores &amp; Spares"/>
    <s v="Consumables"/>
    <s v="Rubber Stereo"/>
    <n v="1"/>
    <n v="94.5"/>
    <s v="Rubber Stereo"/>
    <n v="706"/>
    <n v="9"/>
    <n v="8.51"/>
    <n v="9"/>
    <n v="8.51"/>
    <n v="0"/>
    <n v="0"/>
    <n v="0"/>
    <n v="17.02"/>
    <n v="0"/>
    <s v="24AHDPC2510M1ZU"/>
    <s v="Pcs"/>
    <n v="400200"/>
    <s v="Rs."/>
    <n v="1"/>
    <n v="0"/>
    <s v="India"/>
    <x v="0"/>
  </r>
  <r>
    <d v="2026-07-07T00:00:00"/>
    <s v="Shree Ganesh Stereo"/>
    <s v="General Purchase"/>
    <s v="GNCN 210"/>
    <s v="Purchase Withinstate- Stores, Spares &amp; Consumable"/>
    <n v="1272"/>
    <d v="2026-07-02T00:00:00"/>
    <s v="Consumables"/>
    <s v="Rubber/Polymer Stereo"/>
    <s v="Stores &amp; Spares"/>
    <s v="Consumables"/>
    <s v="Rubber Stereo"/>
    <n v="1"/>
    <n v="504"/>
    <s v="Rubber Stereo"/>
    <n v="0"/>
    <n v="9"/>
    <n v="45.36"/>
    <n v="9"/>
    <n v="45.36"/>
    <n v="0"/>
    <n v="0"/>
    <n v="0"/>
    <n v="90.72"/>
    <n v="0"/>
    <s v="24AHDPC2510M1ZU"/>
    <s v="Pcs"/>
    <n v="400200"/>
    <s v="Rs."/>
    <n v="1"/>
    <n v="0"/>
    <s v="India"/>
    <x v="0"/>
  </r>
  <r>
    <d v="2026-07-07T00:00:00"/>
    <s v="Shree Ganesh Stereo"/>
    <s v="General Purchase"/>
    <s v="GNCN 211"/>
    <s v="Purchase Withinstate- Stores, Spares &amp; Consumable"/>
    <n v="1285"/>
    <d v="2026-07-02T00:00:00"/>
    <s v="Consumables"/>
    <s v="Rubber/Polymer Stereo"/>
    <s v="Stores &amp; Spares"/>
    <s v="Consumables"/>
    <s v="Rubber Stereo"/>
    <n v="1"/>
    <n v="1881.6"/>
    <s v="Rubber Stereo"/>
    <n v="4980"/>
    <n v="9"/>
    <n v="169.34"/>
    <n v="9"/>
    <n v="169.34"/>
    <n v="0"/>
    <n v="0"/>
    <n v="0"/>
    <n v="338.68"/>
    <n v="0"/>
    <s v="24AHDPC2510M1ZU"/>
    <s v="Pcs"/>
    <n v="400200"/>
    <s v="Rs."/>
    <n v="1"/>
    <n v="0"/>
    <s v="India"/>
    <x v="0"/>
  </r>
  <r>
    <d v="2026-07-07T00:00:00"/>
    <s v="Shree Ganesh Stereo"/>
    <s v="General Purchase"/>
    <s v="GNCN 211"/>
    <s v="Purchase Withinstate- Stores, Spares &amp; Consumable"/>
    <n v="1285"/>
    <d v="2026-07-02T00:00:00"/>
    <s v="Consumables"/>
    <s v="Rubber/Polymer Stereo"/>
    <s v="Stores &amp; Spares"/>
    <s v="Consumables"/>
    <s v="Rubber Stereo"/>
    <n v="1"/>
    <n v="1356.6"/>
    <s v="Rubber Stereo"/>
    <n v="0"/>
    <n v="9"/>
    <n v="122.09"/>
    <n v="9"/>
    <n v="122.09"/>
    <n v="0"/>
    <n v="0"/>
    <n v="0"/>
    <n v="244.18"/>
    <n v="0"/>
    <s v="24AHDPC2510M1ZU"/>
    <s v="Pcs"/>
    <n v="400200"/>
    <s v="Rs."/>
    <n v="1"/>
    <n v="0"/>
    <s v="India"/>
    <x v="0"/>
  </r>
  <r>
    <d v="2026-07-07T00:00:00"/>
    <s v="Shree Ganesh Stereo"/>
    <s v="General Purchase"/>
    <s v="GNCN 211"/>
    <s v="Purchase Withinstate- Stores, Spares &amp; Consumable"/>
    <n v="1285"/>
    <d v="2026-07-02T00:00:00"/>
    <s v="Consumables"/>
    <s v="Rubber/Polymer Stereo"/>
    <s v="Stores &amp; Spares"/>
    <s v="Consumables"/>
    <s v="Rubber Stereo"/>
    <n v="1"/>
    <n v="982.1"/>
    <s v="Rubber Stereo"/>
    <n v="0"/>
    <n v="9"/>
    <n v="88.39"/>
    <n v="9"/>
    <n v="88.39"/>
    <n v="0"/>
    <n v="0"/>
    <n v="0"/>
    <n v="176.78"/>
    <n v="0"/>
    <s v="24AHDPC2510M1ZU"/>
    <s v="Pcs"/>
    <n v="400200"/>
    <s v="Rs."/>
    <n v="1"/>
    <n v="0"/>
    <s v="India"/>
    <x v="0"/>
  </r>
  <r>
    <d v="2026-07-07T00:00:00"/>
    <s v="Shri Nakoda Transmission &amp; Electric Co."/>
    <s v="General Purchase"/>
    <s v="GNSP 358"/>
    <s v="Purchase Withinstate- Stores, Spares &amp; Consumable"/>
    <s v="VTV/26-27/1689"/>
    <d v="2026-06-27T00:00:00"/>
    <s v="Stores/Spares"/>
    <s v="Lights/Fans"/>
    <s v="Stores &amp; Spares"/>
    <s v="stores &amp;  spares"/>
    <s v="Tubelight Set 4 Feet/40Wott/250V.Ac/T Class-Z, C.G. Make, Flp, Fluorescent Luminaire Ex &quot; D &quot; I P55 Extl 14, Cmri No. V/1/1/5977"/>
    <n v="2"/>
    <n v="6000"/>
    <s v="Tubelight Set 4 Feet/40Wott/250V.Ac/T Class-Z, C.G. Make, Flp, Fluorescent Luminaire Ex &quot; D &quot; I P55 Extl 14, Cmri No. V/1/1/5977"/>
    <n v="7080"/>
    <n v="9"/>
    <n v="540"/>
    <n v="9"/>
    <n v="540"/>
    <n v="0"/>
    <n v="0"/>
    <n v="0"/>
    <n v="1080"/>
    <n v="0"/>
    <s v="24AFGFS2586E1ZX"/>
    <s v="SET"/>
    <n v="853931"/>
    <s v="Rs."/>
    <n v="1"/>
    <n v="0"/>
    <s v="India"/>
    <x v="0"/>
  </r>
  <r>
    <d v="2026-07-07T00:00:00"/>
    <s v="Shyam Apparels"/>
    <s v="General Purchase"/>
    <s v="GNCN 207"/>
    <s v="Purchase Withinstate- Stores, Spares &amp; Consumable"/>
    <s v="34/26-27"/>
    <d v="2026-06-30T00:00:00"/>
    <s v="Consumables"/>
    <s v="Uniform/protective Item"/>
    <s v="Stores &amp; Spares"/>
    <s v="Consumables"/>
    <s v="Apron Colour White"/>
    <n v="73"/>
    <n v="14235"/>
    <s v="Apron Colour White"/>
    <n v="14947"/>
    <n v="2.5"/>
    <n v="355.88"/>
    <n v="2.5"/>
    <n v="355.88"/>
    <n v="0"/>
    <n v="0"/>
    <n v="0"/>
    <n v="711.76"/>
    <n v="0"/>
    <s v="24AFEPK6929B1ZP"/>
    <s v="Pcs"/>
    <n v="40159010"/>
    <s v="Rs."/>
    <n v="1"/>
    <n v="0"/>
    <s v="India"/>
    <x v="0"/>
  </r>
  <r>
    <d v="2026-07-07T00:00:00"/>
    <s v="Sonal Industries - Amraiwadi"/>
    <s v="General Purchase"/>
    <s v="GNSP 361"/>
    <s v="Purchase Withinstate- Stores, Spares &amp; Consumable"/>
    <s v="GTI/262700101"/>
    <d v="2026-07-02T00:00:00"/>
    <s v="Stores/Spares"/>
    <s v="Pulley"/>
    <s v="Stores &amp; Spares"/>
    <s v="stores &amp;  spares"/>
    <s v="Pully 70mm"/>
    <n v="15"/>
    <n v="4140"/>
    <s v="Pully 70mm"/>
    <n v="19848"/>
    <n v="9"/>
    <n v="372.6"/>
    <n v="9"/>
    <n v="372.6"/>
    <n v="0"/>
    <n v="0"/>
    <n v="0"/>
    <n v="745.2"/>
    <n v="0"/>
    <s v="24ABHPP4109R1Z8"/>
    <s v="Pcs"/>
    <n v="85030029"/>
    <s v="Rs."/>
    <n v="1"/>
    <n v="0"/>
    <s v="India"/>
    <x v="0"/>
  </r>
  <r>
    <d v="2026-07-07T00:00:00"/>
    <s v="Sonal Industries - Amraiwadi"/>
    <s v="General Purchase"/>
    <s v="GNSP 361"/>
    <s v="Purchase Withinstate- Stores, Spares &amp; Consumable"/>
    <s v="GTI/262700101"/>
    <d v="2026-07-02T00:00:00"/>
    <s v="Stores/Spares"/>
    <s v="Hardware Items"/>
    <s v="Stores &amp; Spares"/>
    <s v="stores &amp;  spares"/>
    <s v="Lever Adjusting Screw No-33"/>
    <n v="30"/>
    <n v="2160"/>
    <s v="Lever Adjusting Screw No-33"/>
    <n v="0"/>
    <n v="9"/>
    <n v="194.4"/>
    <n v="9"/>
    <n v="194.4"/>
    <n v="0"/>
    <n v="0"/>
    <n v="0"/>
    <n v="388.8"/>
    <n v="0"/>
    <s v="24ABHPP4109R1Z8"/>
    <s v="Pcs"/>
    <n v="85030090"/>
    <s v="Rs."/>
    <n v="1"/>
    <n v="0"/>
    <s v="India"/>
    <x v="0"/>
  </r>
  <r>
    <d v="2026-07-07T00:00:00"/>
    <s v="Sonal Industries - Amraiwadi"/>
    <s v="General Purchase"/>
    <s v="GNSP 361"/>
    <s v="Purchase Withinstate- Stores, Spares &amp; Consumable"/>
    <s v="GTI/262700101"/>
    <d v="2026-07-02T00:00:00"/>
    <s v="Stores/Spares"/>
    <s v="Stitching Spares"/>
    <s v="Stores &amp; Spares"/>
    <s v="stores &amp;  spares"/>
    <s v="Clutch Linier (With Plate)"/>
    <n v="30"/>
    <n v="3120"/>
    <s v="Clutch Linier (With Plate)"/>
    <n v="0"/>
    <n v="9"/>
    <n v="280.8"/>
    <n v="9"/>
    <n v="280.8"/>
    <n v="0"/>
    <n v="0"/>
    <n v="0"/>
    <n v="561.6"/>
    <n v="0"/>
    <s v="24ABHPP4109R1Z8"/>
    <s v="Pcs"/>
    <n v="87089300"/>
    <s v="Rs."/>
    <n v="1"/>
    <n v="0"/>
    <s v="India"/>
    <x v="0"/>
  </r>
  <r>
    <d v="2026-07-07T00:00:00"/>
    <s v="Sonal Industries - Amraiwadi"/>
    <s v="General Purchase"/>
    <s v="GNSP 361"/>
    <s v="Purchase Withinstate- Stores, Spares &amp; Consumable"/>
    <s v="GTI/262700101"/>
    <d v="2026-07-02T00:00:00"/>
    <s v="Stores/Spares"/>
    <s v="Stitching Spares"/>
    <s v="Stores &amp; Spares"/>
    <s v="stores &amp;  spares"/>
    <s v="Clutch Shaft Set No 21"/>
    <n v="25"/>
    <n v="7400"/>
    <s v="Clutch Shaft Set No 21"/>
    <n v="0"/>
    <n v="9"/>
    <n v="666"/>
    <n v="9"/>
    <n v="666"/>
    <n v="0"/>
    <n v="0"/>
    <n v="0"/>
    <n v="1332"/>
    <n v="0"/>
    <s v="24ABHPP4109R1Z8"/>
    <s v="Pcs"/>
    <n v="85330900"/>
    <s v="Rs."/>
    <n v="1"/>
    <n v="0"/>
    <s v="India"/>
    <x v="0"/>
  </r>
  <r>
    <d v="2026-07-07T00:00:00"/>
    <s v="Uni-Tex"/>
    <s v="General Purchase"/>
    <s v="GNSP 365"/>
    <s v="Purchase Interstate- Stores, Spares &amp; Consumable"/>
    <n v="274"/>
    <d v="2026-06-28T00:00:00"/>
    <s v="Stores/Spares"/>
    <s v="Sulzer Machine Spares"/>
    <s v="Stores &amp; Spares"/>
    <s v="stores &amp;  spares"/>
    <s v="Threaded Lever  No-1 For TW11 130 Machine Part No-912.509.491"/>
    <n v="1"/>
    <n v="6500"/>
    <s v="Threaded Lever  No-1 For TW11 130 Machine Part No-912.509.491"/>
    <n v="15340"/>
    <n v="0"/>
    <n v="0"/>
    <n v="0"/>
    <n v="0"/>
    <n v="18"/>
    <n v="1170"/>
    <n v="0"/>
    <n v="1170"/>
    <n v="0"/>
    <s v="08AHGPB9007M1Z8"/>
    <s v="Pcs"/>
    <n v="84463090"/>
    <s v="Rs."/>
    <n v="1"/>
    <n v="0"/>
    <s v="India"/>
    <x v="0"/>
  </r>
  <r>
    <d v="2026-07-07T00:00:00"/>
    <s v="Uni-Tex"/>
    <s v="General Purchase"/>
    <s v="GNSP 365"/>
    <s v="Purchase Interstate- Stores, Spares &amp; Consumable"/>
    <n v="274"/>
    <d v="2026-06-28T00:00:00"/>
    <s v="Stores/Spares"/>
    <s v="Sulzer Machine Spares"/>
    <s v="Stores &amp; Spares"/>
    <s v="stores &amp;  spares"/>
    <s v="Threaded Lever  No-3 For TW11 130 Machine Part No-912.509.493"/>
    <n v="1"/>
    <n v="6500"/>
    <s v="Threaded Lever  No-3 For TW11 130 Machine Part No-912.509.493"/>
    <n v="0"/>
    <n v="0"/>
    <n v="0"/>
    <n v="0"/>
    <n v="0"/>
    <n v="18"/>
    <n v="1170"/>
    <n v="0"/>
    <n v="1170"/>
    <n v="0"/>
    <s v="08AHGPB9007M1Z8"/>
    <s v="Pcs"/>
    <n v="84463090"/>
    <s v="Rs."/>
    <n v="1"/>
    <n v="0"/>
    <s v="India"/>
    <x v="0"/>
  </r>
  <r>
    <d v="2026-07-08T00:00:00"/>
    <s v="Arham Cams Pvt Ltd"/>
    <s v="General Purchase"/>
    <s v="GNSP 371"/>
    <s v="Purchase Withinstate- Stores, Spares &amp; Consumable"/>
    <s v="GST/141"/>
    <d v="2026-07-06T00:00:00"/>
    <s v="Stores/Spares"/>
    <s v="Sulzer Machine Spares"/>
    <s v="Stores &amp; Spares"/>
    <s v="stores &amp;  spares"/>
    <s v="Projectile Gripper D2  4X5mm, 2500 GMS, Multi Grooved Type"/>
    <n v="20"/>
    <n v="6300"/>
    <s v="Projectile Gripper D2  4X5mm, 2500 GMS, Multi Grooved Type"/>
    <n v="7481"/>
    <n v="9"/>
    <n v="570.6"/>
    <n v="9"/>
    <n v="570.6"/>
    <n v="0"/>
    <n v="0"/>
    <n v="0"/>
    <n v="1141.2"/>
    <n v="0"/>
    <s v="24AAICA0799H1ZK"/>
    <s v="Pcs"/>
    <n v="844849"/>
    <s v="Rs."/>
    <n v="1"/>
    <n v="0"/>
    <s v="India"/>
    <x v="0"/>
  </r>
  <r>
    <d v="2026-07-08T00:00:00"/>
    <s v="Fortune Polytech Private Limited"/>
    <s v="R.M.P."/>
    <s v="RM 268"/>
    <s v="Purchase Withinstate - Raw Material"/>
    <s v="FPPL/125/26-27"/>
    <d v="2026-06-28T00:00:00"/>
    <s v="SF"/>
    <s v="PP/PE Fabric"/>
    <s v="HD Lam Fabric"/>
    <s v="PP LAMINETED FABRIC"/>
    <s v="HD Lam Fabric With UV"/>
    <n v="1166"/>
    <n v="213378"/>
    <s v="HD Lam Fabric With UV"/>
    <n v="251786"/>
    <n v="9"/>
    <n v="19204.02"/>
    <n v="9"/>
    <n v="19204.02"/>
    <n v="0"/>
    <n v="0"/>
    <n v="0"/>
    <n v="38408.04"/>
    <n v="0"/>
    <s v="24AABCF6398J1ZA"/>
    <s v="Kgs"/>
    <n v="39269099"/>
    <s v="Rs."/>
    <n v="1"/>
    <n v="1166"/>
    <s v="India"/>
    <x v="11"/>
  </r>
  <r>
    <d v="2026-07-08T00:00:00"/>
    <s v="HCP Plastene Bulkpack Limited - Purchase"/>
    <s v="R.M.P."/>
    <s v="RM 267"/>
    <s v="Purchase Withinstate - Raw Material"/>
    <s v="HPBL/D/357"/>
    <d v="2026-07-08T00:00:00"/>
    <s v="FG"/>
    <s v="FIBC Bags"/>
    <s v="FIBC Bags"/>
    <s v="PP WOVEN BIG BAGS / SACKS"/>
    <s v="FIBC Bags With UV Without Liner"/>
    <n v="2259.6"/>
    <n v="522803.652"/>
    <s v="FIBC Bags With UV Without Liner"/>
    <n v="5541882.25"/>
    <n v="9"/>
    <n v="47052.33"/>
    <n v="9"/>
    <n v="47052.33"/>
    <n v="0"/>
    <n v="0"/>
    <n v="0"/>
    <n v="94104.66"/>
    <n v="0"/>
    <s v="24AABCG1282C2Z6"/>
    <s v="Kgs"/>
    <n v="63053200"/>
    <s v="Rs."/>
    <n v="1"/>
    <n v="2259.6"/>
    <s v="India"/>
    <x v="9"/>
  </r>
  <r>
    <d v="2026-07-08T00:00:00"/>
    <s v="HCP Plastene Bulkpack Limited - Purchase"/>
    <s v="R.M.P."/>
    <s v="RM 267"/>
    <s v="Purchase Withinstate - Raw Material"/>
    <s v="HPBL/D/357"/>
    <d v="2026-07-08T00:00:00"/>
    <s v="FG"/>
    <s v="FIBC Bags"/>
    <s v="FIBC Bags"/>
    <s v="PP WOVEN BIG BAGS / SACKS"/>
    <s v="FIBC Bags With UV Without Liner"/>
    <n v="928.3"/>
    <n v="203734.00099999999"/>
    <s v="FIBC Bags With UV Without Liner"/>
    <n v="0"/>
    <n v="9"/>
    <n v="18336.060000000001"/>
    <n v="9"/>
    <n v="18336.060000000001"/>
    <n v="0"/>
    <n v="0"/>
    <n v="0"/>
    <n v="36672.120000000003"/>
    <n v="0"/>
    <s v="24AABCG1282C2Z6"/>
    <s v="Kgs"/>
    <n v="63053200"/>
    <s v="Rs."/>
    <n v="1"/>
    <n v="928.3"/>
    <s v="India"/>
    <x v="9"/>
  </r>
  <r>
    <d v="2026-07-08T00:00:00"/>
    <s v="HCP Plastene Bulkpack Limited - Purchase"/>
    <s v="R.M.P."/>
    <s v="RM 267"/>
    <s v="Purchase Withinstate - Raw Material"/>
    <s v="HPBL/D/357"/>
    <d v="2026-07-08T00:00:00"/>
    <s v="FG"/>
    <s v="FIBC Bags"/>
    <s v="FIBC Bags"/>
    <s v="PP WOVEN BIG BAGS / SACKS"/>
    <s v="FIBC Bags With UV Without Liner"/>
    <n v="926.3"/>
    <n v="203758.21100000001"/>
    <s v="FIBC Bags With UV Without Liner"/>
    <n v="0"/>
    <n v="9"/>
    <n v="18338.240000000002"/>
    <n v="9"/>
    <n v="18338.240000000002"/>
    <n v="0"/>
    <n v="0"/>
    <n v="0"/>
    <n v="36676.480000000003"/>
    <n v="0"/>
    <s v="24AABCG1282C2Z6"/>
    <s v="Kgs"/>
    <n v="63053200"/>
    <s v="Rs."/>
    <n v="1"/>
    <n v="926.3"/>
    <s v="India"/>
    <x v="9"/>
  </r>
  <r>
    <d v="2026-07-08T00:00:00"/>
    <s v="HCP Plastene Bulkpack Limited - Purchase"/>
    <s v="R.M.P."/>
    <s v="RM 267"/>
    <s v="Purchase Withinstate - Raw Material"/>
    <s v="HPBL/D/357"/>
    <d v="2026-07-08T00:00:00"/>
    <s v="FG"/>
    <s v="FIBC Bags"/>
    <s v="FIBC Bags"/>
    <s v="PP WOVEN BIG BAGS / SACKS"/>
    <s v="FIBC Bags With UV Without Liner"/>
    <n v="1379.9"/>
    <n v="305772.04100000003"/>
    <s v="FIBC Bags With UV Without Liner"/>
    <n v="0"/>
    <n v="9"/>
    <n v="27519.48"/>
    <n v="9"/>
    <n v="27519.48"/>
    <n v="0"/>
    <n v="0"/>
    <n v="0"/>
    <n v="55038.96"/>
    <n v="0"/>
    <s v="24AABCG1282C2Z6"/>
    <s v="Kgs"/>
    <n v="63053200"/>
    <s v="Rs."/>
    <n v="1"/>
    <n v="1379.9"/>
    <s v="India"/>
    <x v="9"/>
  </r>
  <r>
    <d v="2026-07-08T00:00:00"/>
    <s v="HCP Plastene Bulkpack Limited - Purchase"/>
    <s v="R.M.P."/>
    <s v="RM 267"/>
    <s v="Purchase Withinstate - Raw Material"/>
    <s v="HPBL/D/357"/>
    <d v="2026-07-08T00:00:00"/>
    <s v="FG"/>
    <s v="FIBC Bags"/>
    <s v="FIBC Bags"/>
    <s v="PP WOVEN BIG BAGS / SACKS"/>
    <s v="FIBC Bags With UV Without Liner"/>
    <n v="12960.85"/>
    <n v="2658011.1179999998"/>
    <s v="FIBC Bags With UV Without Liner"/>
    <n v="0"/>
    <n v="9"/>
    <n v="239221"/>
    <n v="9"/>
    <n v="239221"/>
    <n v="0"/>
    <n v="0"/>
    <n v="0"/>
    <n v="478442"/>
    <n v="0"/>
    <s v="24AABCG1282C2Z6"/>
    <s v="Kgs"/>
    <n v="63053200"/>
    <s v="Rs."/>
    <n v="1"/>
    <n v="12960.85"/>
    <s v="India"/>
    <x v="9"/>
  </r>
  <r>
    <d v="2026-07-08T00:00:00"/>
    <s v="HCP Plastene Bulkpack Limited - Purchase"/>
    <s v="R.M.P."/>
    <s v="RM 267"/>
    <s v="Purchase Withinstate - Raw Material"/>
    <s v="HPBL/D/357"/>
    <d v="2026-07-08T00:00:00"/>
    <s v="FG"/>
    <s v="FIBC Bags"/>
    <s v="FIBC Bags"/>
    <s v="PP WOVEN BIG BAGS / SACKS"/>
    <s v="FIBC Bags With UV Without Liner"/>
    <n v="2762.9"/>
    <n v="600129.50899999996"/>
    <s v="FIBC Bags With UV Without Liner"/>
    <n v="0"/>
    <n v="9"/>
    <n v="54011.66"/>
    <n v="9"/>
    <n v="54011.66"/>
    <n v="0"/>
    <n v="0"/>
    <n v="0"/>
    <n v="108023.32"/>
    <n v="0"/>
    <s v="24AABCG1282C2Z6"/>
    <s v="Kgs"/>
    <n v="63053200"/>
    <s v="Rs."/>
    <n v="1"/>
    <n v="2762.9"/>
    <s v="India"/>
    <x v="9"/>
  </r>
  <r>
    <d v="2026-07-08T00:00:00"/>
    <s v="HCP Plastene Bulkpack Limited - Purchase"/>
    <s v="R.M.P."/>
    <s v="RM 267"/>
    <s v="Purchase Withinstate - Raw Material"/>
    <s v="HPBL/D/357"/>
    <d v="2026-07-08T00:00:00"/>
    <s v="FG"/>
    <s v="FIBC Bags"/>
    <s v="FIBC Bags"/>
    <s v="PP WOVEN BIG BAGS / SACKS"/>
    <s v="FIBC Bags With UV Without Liner"/>
    <n v="927"/>
    <n v="206285.31"/>
    <s v="FIBC Bags With UV Without Liner"/>
    <n v="0"/>
    <n v="9"/>
    <n v="18565.68"/>
    <n v="9"/>
    <n v="18565.68"/>
    <n v="0"/>
    <n v="0"/>
    <n v="0"/>
    <n v="37131.360000000001"/>
    <n v="0"/>
    <s v="24AABCG1282C2Z6"/>
    <s v="Kgs"/>
    <n v="63053200"/>
    <s v="Rs."/>
    <n v="1"/>
    <n v="927"/>
    <s v="India"/>
    <x v="9"/>
  </r>
  <r>
    <d v="2026-07-08T00:00:00"/>
    <s v="Hcp Plastene Bulkpack Ltd Vadodara-Sales"/>
    <s v="R.M.P."/>
    <s v="RM 265"/>
    <s v="Purchase Withinstate - Raw Material"/>
    <s v="HPBLV/D/30"/>
    <d v="2026-07-07T00:00:00"/>
    <s v="FG"/>
    <s v="FIBC Bags"/>
    <s v="FIBC Bags"/>
    <s v="PP WOVEN BIG BAGS / SACKS"/>
    <s v="FIBC Bags With UV Without Liner"/>
    <n v="2492.4"/>
    <n v="641718.228"/>
    <s v="FIBC Bags With UV Without Liner"/>
    <n v="757227.51"/>
    <n v="9"/>
    <n v="57754.64"/>
    <n v="9"/>
    <n v="57754.64"/>
    <n v="0"/>
    <n v="0"/>
    <n v="0"/>
    <n v="115509.28"/>
    <n v="0"/>
    <s v="24AABCG1282C2Z6"/>
    <s v="Kgs"/>
    <n v="63053200"/>
    <s v="Rs."/>
    <n v="1"/>
    <n v="2492.4"/>
    <s v="India"/>
    <x v="9"/>
  </r>
  <r>
    <d v="2026-07-08T00:00:00"/>
    <s v="Hcp Plastene Bulkpack Ltd Vadodara-Sales"/>
    <s v="R.M.P."/>
    <s v="RM 266"/>
    <s v="Purchase Withinstate - Raw Material"/>
    <s v="HPBLV/D/32"/>
    <d v="2026-07-07T00:00:00"/>
    <s v="SF"/>
    <s v="PP/PE Fabric"/>
    <s v="PP UL Fabric"/>
    <s v="PP WOVEN FABRIC"/>
    <s v="PP UL Fabric With UV"/>
    <n v="836.3"/>
    <n v="153168.345"/>
    <s v="PP UL Fabric With UV"/>
    <n v="180738.65"/>
    <n v="9"/>
    <n v="13785.15"/>
    <n v="9"/>
    <n v="13785.15"/>
    <n v="0"/>
    <n v="0"/>
    <n v="0"/>
    <n v="27570.3"/>
    <n v="0"/>
    <s v="24AABCG1282C2Z6"/>
    <s v="Kgs"/>
    <n v="39269080"/>
    <s v="Rs."/>
    <n v="1"/>
    <n v="836.3"/>
    <s v="India"/>
    <x v="1"/>
  </r>
  <r>
    <d v="2026-07-08T00:00:00"/>
    <s v="Ivict(Singapore) Pte. Ltd."/>
    <s v="IMP-RM"/>
    <s v="RMIMP 25"/>
    <s v="Purchase Raw Material - High Seas"/>
    <s v="ZTFA/26002TN,, [BOE/BOL:2026894/COSU6441186480]"/>
    <d v="2026-02-23T00:00:00"/>
    <s v="RM"/>
    <s v="Granules"/>
    <s v="PP Granules"/>
    <s v="PP Granuals"/>
    <s v="PP Advanced H312"/>
    <n v="99000"/>
    <n v="7642107"/>
    <s v="PP Advanced H312"/>
    <n v="7642107"/>
    <n v="0"/>
    <n v="0"/>
    <n v="0"/>
    <n v="0"/>
    <n v="0"/>
    <n v="0"/>
    <n v="0"/>
    <n v="0"/>
    <n v="0"/>
    <s v="N.A."/>
    <s v="Kgs"/>
    <n v="39021000"/>
    <s v="Rs."/>
    <n v="1"/>
    <n v="99000"/>
    <s v="Singapore"/>
    <x v="8"/>
  </r>
  <r>
    <d v="2026-07-08T00:00:00"/>
    <s v="Nishith Enterprise"/>
    <s v="General Purchase"/>
    <s v="GNSP 372"/>
    <s v="Purchase Withinstate- Stores, Spares &amp; Consumable"/>
    <s v="G/314/26-27"/>
    <d v="2026-07-07T00:00:00"/>
    <s v="Stores/Spares"/>
    <s v="Bearings"/>
    <s v="Stores &amp; Spares"/>
    <s v="stores &amp;  spares"/>
    <s v="Bearing 126 No."/>
    <n v="50"/>
    <n v="3000"/>
    <s v="Bearing 126 No."/>
    <n v="29500"/>
    <n v="9"/>
    <n v="270"/>
    <n v="9"/>
    <n v="270"/>
    <n v="0"/>
    <n v="0"/>
    <n v="0"/>
    <n v="540"/>
    <n v="0"/>
    <s v="24APKPS0815A1ZB"/>
    <s v="Pcs"/>
    <n v="848210"/>
    <s v="Rs."/>
    <n v="1"/>
    <n v="0"/>
    <s v="India"/>
    <x v="0"/>
  </r>
  <r>
    <d v="2026-07-08T00:00:00"/>
    <s v="Nishith Enterprise"/>
    <s v="General Purchase"/>
    <s v="GNSP 372"/>
    <s v="Purchase Withinstate- Stores, Spares &amp; Consumable"/>
    <s v="G/314/26-27"/>
    <d v="2026-07-07T00:00:00"/>
    <s v="Stores/Spares"/>
    <s v="Bearings"/>
    <s v="Stores &amp; Spares"/>
    <s v="stores &amp;  spares"/>
    <s v="Bearing No Csk 17Cs St1Bep"/>
    <n v="20"/>
    <n v="18000"/>
    <s v="Bearing No Csk 17Cs St1Bep"/>
    <n v="0"/>
    <n v="9"/>
    <n v="1620"/>
    <n v="9"/>
    <n v="1620"/>
    <n v="0"/>
    <n v="0"/>
    <n v="0"/>
    <n v="3240"/>
    <n v="0"/>
    <s v="24APKPS0815A1ZB"/>
    <s v="Pcs"/>
    <n v="73141410"/>
    <s v="Rs."/>
    <n v="1"/>
    <n v="0"/>
    <s v="India"/>
    <x v="0"/>
  </r>
  <r>
    <d v="2026-07-08T00:00:00"/>
    <s v="Nishith Enterprise"/>
    <s v="General Purchase"/>
    <s v="GNSP 372"/>
    <s v="Purchase Withinstate- Stores, Spares &amp; Consumable"/>
    <s v="G/314/26-27"/>
    <d v="2026-07-07T00:00:00"/>
    <s v="Stores/Spares"/>
    <s v="Bearings"/>
    <s v="Stores &amp; Spares"/>
    <s v="stores &amp;  spares"/>
    <s v="Bearing 6902 Zz."/>
    <n v="50"/>
    <n v="4000"/>
    <s v="Bearing 6902 Zz."/>
    <n v="0"/>
    <n v="9"/>
    <n v="360"/>
    <n v="9"/>
    <n v="360"/>
    <n v="0"/>
    <n v="0"/>
    <n v="0"/>
    <n v="720"/>
    <n v="0"/>
    <s v="24APKPS0815A1ZB"/>
    <s v="Pcs"/>
    <n v="84822090"/>
    <s v="Rs."/>
    <n v="1"/>
    <n v="0"/>
    <s v="India"/>
    <x v="0"/>
  </r>
  <r>
    <d v="2026-07-08T00:00:00"/>
    <s v="Plastene India ltd - Unit 1-Purchase"/>
    <s v="Purchase"/>
    <s v="GNPK 131"/>
    <s v="Purchase Withinstate- Packing Material"/>
    <s v="PIL1/D/959"/>
    <d v="2026-07-07T00:00:00"/>
    <s v="Stores/Spares"/>
    <s v="MS Structure Items"/>
    <s v="Packing Materials"/>
    <s v="Packing Materials"/>
    <s v="MS Pipe 4  C Class"/>
    <n v="121"/>
    <n v="5808"/>
    <s v="MS Pipe 4  C Class"/>
    <n v="6847.63"/>
    <n v="9"/>
    <n v="522.72"/>
    <n v="9"/>
    <n v="522.72"/>
    <n v="0"/>
    <n v="0"/>
    <n v="0"/>
    <n v="1045.44"/>
    <n v="0"/>
    <s v="24AAACO3087C1ZT"/>
    <s v="Kgs"/>
    <n v="73063090"/>
    <s v="Rs."/>
    <n v="1"/>
    <n v="0"/>
    <s v="India"/>
    <x v="0"/>
  </r>
  <r>
    <d v="2026-07-08T00:00:00"/>
    <s v="Plastene India ltd - Unit 1-Purchase"/>
    <s v="R.M.P."/>
    <s v="RM 262"/>
    <s v="Purchase Withinstate - Raw Material"/>
    <s v="PIL1/D/958"/>
    <d v="2026-07-07T00:00:00"/>
    <s v="RM"/>
    <s v="Granules"/>
    <s v="LLDPE Granules"/>
    <s v="LLDPE Granuals"/>
    <s v="LLDPE F0120L HMEL"/>
    <n v="5000"/>
    <n v="666000"/>
    <s v="LLDPE F0120L HMEL"/>
    <n v="785214"/>
    <n v="9"/>
    <n v="59940"/>
    <n v="9"/>
    <n v="59940"/>
    <n v="0"/>
    <n v="0"/>
    <n v="0"/>
    <n v="119880"/>
    <n v="0"/>
    <s v="24AAACO3087C1ZT"/>
    <s v="Kgs"/>
    <n v="39014010"/>
    <s v="Rs."/>
    <n v="1"/>
    <n v="5000"/>
    <s v="India"/>
    <x v="12"/>
  </r>
  <r>
    <d v="2026-07-08T00:00:00"/>
    <s v="Plastene India ltd - Unit 1-Purchase"/>
    <s v="R.M.P."/>
    <s v="RM 263"/>
    <s v="Purchase Withinstate - Raw Material"/>
    <s v="PIL1/DE/19"/>
    <d v="2026-07-07T00:00:00"/>
    <s v="SF"/>
    <s v="PP/PE Fabric"/>
    <s v="PP UL Fabric"/>
    <s v="PP WOVEN FABRIC"/>
    <s v="PP UL Fabric With UV"/>
    <n v="311"/>
    <n v="122845"/>
    <s v="PP UL Fabric With UV"/>
    <n v="144834.16"/>
    <n v="9"/>
    <n v="11056.05"/>
    <n v="9"/>
    <n v="11056.05"/>
    <n v="0"/>
    <n v="0"/>
    <n v="0"/>
    <n v="22112.1"/>
    <n v="0"/>
    <s v="24AAACO3087C1ZT"/>
    <s v="Kgs"/>
    <n v="39269080"/>
    <s v="Rs."/>
    <n v="1"/>
    <n v="311"/>
    <s v="India"/>
    <x v="1"/>
  </r>
  <r>
    <d v="2026-07-08T00:00:00"/>
    <s v="Plastene India ltd - Unit 1-Purchase"/>
    <s v="R.M.P."/>
    <s v="RM 264"/>
    <s v="Purchase Withinstate - Raw Material"/>
    <s v="PIL1/D/961"/>
    <d v="2026-07-07T00:00:00"/>
    <s v="SF"/>
    <s v="Liners"/>
    <s v="LDPE/LLDPE Bags"/>
    <s v="LLDPE BAGS"/>
    <s v="LDPE/LLDPE Bags/Liner"/>
    <n v="6"/>
    <n v="2235.7800000000002"/>
    <s v="LDPE/LLDPE Bags/Liner"/>
    <n v="256674.32"/>
    <n v="9"/>
    <n v="201.22"/>
    <n v="9"/>
    <n v="201.22"/>
    <n v="0"/>
    <n v="0"/>
    <n v="0"/>
    <n v="402.44"/>
    <n v="0"/>
    <s v="24AAACO3087C1ZT"/>
    <s v="Kgs"/>
    <n v="39200000"/>
    <s v="Rs."/>
    <n v="1"/>
    <n v="6"/>
    <s v="India"/>
    <x v="4"/>
  </r>
  <r>
    <d v="2026-07-08T00:00:00"/>
    <s v="Plastene India ltd - Unit 1-Purchase"/>
    <s v="R.M.P."/>
    <s v="RM 264"/>
    <s v="Purchase Withinstate - Raw Material"/>
    <s v="PIL1/D/961"/>
    <d v="2026-07-07T00:00:00"/>
    <s v="SF"/>
    <s v="Liners"/>
    <s v="LDPE/LLDPE Bags"/>
    <s v="LLDPE BAGS"/>
    <s v="LDPE/LLDPE Bags/Liner"/>
    <n v="909.23"/>
    <n v="215469.3254"/>
    <s v="LDPE/LLDPE Bags/Liner"/>
    <n v="0"/>
    <n v="9"/>
    <n v="19392.240000000002"/>
    <n v="9"/>
    <n v="19392.240000000002"/>
    <n v="0"/>
    <n v="0"/>
    <n v="0"/>
    <n v="38784.480000000003"/>
    <n v="0"/>
    <s v="24AAACO3087C1ZT"/>
    <s v="Kgs"/>
    <n v="39200000"/>
    <s v="Rs."/>
    <n v="1"/>
    <n v="909.23"/>
    <s v="India"/>
    <x v="4"/>
  </r>
  <r>
    <d v="2026-07-08T00:00:00"/>
    <s v="Shree Ganesh Stereo"/>
    <s v="General Purchase"/>
    <s v="GNCN 213"/>
    <s v="Purchase Withinstate- Stores, Spares &amp; Consumable"/>
    <n v="1311"/>
    <d v="2026-04-04T00:00:00"/>
    <s v="Consumables"/>
    <s v="Rubber/Polymer Stereo"/>
    <s v="Stores &amp; Spares"/>
    <s v="Consumables"/>
    <s v="Rubber Stereo"/>
    <n v="1"/>
    <n v="2375.1"/>
    <s v="Rubber Stereo"/>
    <n v="2902"/>
    <n v="9"/>
    <n v="213.76"/>
    <n v="9"/>
    <n v="213.76"/>
    <n v="0"/>
    <n v="0"/>
    <n v="0"/>
    <n v="427.52"/>
    <n v="0"/>
    <s v="24AHDPC2510M1ZU"/>
    <s v="Pcs"/>
    <n v="400200"/>
    <s v="Rs."/>
    <n v="1"/>
    <n v="0"/>
    <s v="India"/>
    <x v="0"/>
  </r>
  <r>
    <d v="2026-07-08T00:00:00"/>
    <s v="Shree Ganesh Stereo"/>
    <s v="General Purchase"/>
    <s v="GNCN 213"/>
    <s v="Purchase Withinstate- Stores, Spares &amp; Consumable"/>
    <n v="1311"/>
    <d v="2026-04-04T00:00:00"/>
    <s v="Consumables"/>
    <s v="Rubber/Polymer Stereo"/>
    <s v="Stores &amp; Spares"/>
    <s v="Consumables"/>
    <s v="Rubber Stereo"/>
    <n v="1"/>
    <n v="84"/>
    <s v="Rubber Stereo"/>
    <n v="0"/>
    <n v="9"/>
    <n v="7.56"/>
    <n v="9"/>
    <n v="7.56"/>
    <n v="0"/>
    <n v="0"/>
    <n v="0"/>
    <n v="15.12"/>
    <n v="0"/>
    <s v="24AHDPC2510M1ZU"/>
    <s v="Pcs"/>
    <n v="400200"/>
    <s v="Rs."/>
    <n v="1"/>
    <n v="0"/>
    <s v="India"/>
    <x v="0"/>
  </r>
  <r>
    <d v="2026-07-08T00:00:00"/>
    <s v="Tanmay Engitech"/>
    <s v="General Purchase"/>
    <s v="GNSP 370"/>
    <s v="Purchase Withinstate- Stores, Spares &amp; Consumable"/>
    <s v="TE/937/26-27"/>
    <d v="2026-07-03T00:00:00"/>
    <s v="Stores/Spares"/>
    <s v="Pneumatic Cylinders &amp; Spares"/>
    <s v="Stores &amp; Spares"/>
    <s v="stores &amp;  spares"/>
    <s v="Pneumatic Cylinder Seal Kit, Make -Janatics, Model No. A24032075O"/>
    <n v="6"/>
    <n v="2499.36"/>
    <s v="Pneumatic Cylinder Seal Kit, Make -Janatics, Model No. A24032075O"/>
    <n v="2949"/>
    <n v="9"/>
    <n v="224.94"/>
    <n v="9"/>
    <n v="224.94"/>
    <n v="0"/>
    <n v="0"/>
    <n v="0"/>
    <n v="449.88"/>
    <n v="0"/>
    <s v="24ARIPK4378C1ZV"/>
    <s v="SET"/>
    <n v="84123100"/>
    <s v="Rs."/>
    <n v="1"/>
    <n v="0"/>
    <s v="India"/>
    <x v="0"/>
  </r>
  <r>
    <d v="2026-07-09T00:00:00"/>
    <s v="HCP Plastene Bulkpack Limited - Purchase"/>
    <s v="R.M.P."/>
    <s v="RM 269"/>
    <s v="Purchase Withinstate - Raw Material"/>
    <s v="HPBL/D/359"/>
    <d v="2026-07-09T00:00:00"/>
    <s v="SF"/>
    <s v="PP/PE Fabric"/>
    <s v="PP UL Fabric"/>
    <s v="PP WOVEN FABRIC"/>
    <s v="PP UL Fabric With UV"/>
    <n v="2752"/>
    <n v="430660.48"/>
    <s v="PP UL Fabric With UV"/>
    <n v="1059932.6399999999"/>
    <n v="9"/>
    <n v="38759.440000000002"/>
    <n v="9"/>
    <n v="38759.440000000002"/>
    <n v="0"/>
    <n v="0"/>
    <n v="0"/>
    <n v="77518.880000000005"/>
    <n v="0"/>
    <s v="24AABCG1282C2Z6"/>
    <s v="Kgs"/>
    <n v="39269080"/>
    <s v="Rs."/>
    <n v="1"/>
    <n v="2752"/>
    <s v="India"/>
    <x v="1"/>
  </r>
  <r>
    <d v="2026-07-09T00:00:00"/>
    <s v="HCP Plastene Bulkpack Limited - Purchase"/>
    <s v="R.M.P."/>
    <s v="RM 269"/>
    <s v="Purchase Withinstate - Raw Material"/>
    <s v="HPBL/D/359"/>
    <d v="2026-07-09T00:00:00"/>
    <s v="SF"/>
    <s v="PP/PE Fabric"/>
    <s v="PP UL Fabric"/>
    <s v="PP WOVEN FABRIC"/>
    <s v="PP UL Fabric With UV"/>
    <n v="1048"/>
    <n v="226881.52"/>
    <s v="PP UL Fabric With UV"/>
    <n v="0"/>
    <n v="9"/>
    <n v="20419.34"/>
    <n v="9"/>
    <n v="20419.34"/>
    <n v="0"/>
    <n v="0"/>
    <n v="0"/>
    <n v="40838.68"/>
    <n v="0"/>
    <s v="24AABCG1282C2Z6"/>
    <s v="Kgs"/>
    <n v="39269080"/>
    <s v="Rs."/>
    <n v="1"/>
    <n v="1048"/>
    <s v="India"/>
    <x v="1"/>
  </r>
  <r>
    <d v="2026-07-09T00:00:00"/>
    <s v="HCP Plastene Bulkpack Limited - Purchase"/>
    <s v="R.M.P."/>
    <s v="RM 269"/>
    <s v="Purchase Withinstate - Raw Material"/>
    <s v="HPBL/D/359"/>
    <d v="2026-07-09T00:00:00"/>
    <s v="SF"/>
    <s v="PP/PE Fabric"/>
    <s v="PP UL Fabric"/>
    <s v="PP WOVEN FABRIC"/>
    <s v="PP UL Fabric With UV"/>
    <n v="1563"/>
    <n v="241467.87"/>
    <s v="PP UL Fabric With UV"/>
    <n v="0"/>
    <n v="9"/>
    <n v="21732.11"/>
    <n v="9"/>
    <n v="21732.11"/>
    <n v="0"/>
    <n v="0"/>
    <n v="0"/>
    <n v="43464.22"/>
    <n v="0"/>
    <s v="24AABCG1282C2Z6"/>
    <s v="Kgs"/>
    <n v="39269080"/>
    <s v="Rs."/>
    <n v="1"/>
    <n v="1563"/>
    <s v="India"/>
    <x v="1"/>
  </r>
  <r>
    <d v="2026-07-09T00:00:00"/>
    <s v="Ishan Plastic LLP"/>
    <s v="R.M.P."/>
    <s v="RM 270"/>
    <s v="Purchase Withinstate - Raw Material"/>
    <s v="M/1062/2026-27"/>
    <d v="2026-07-07T00:00:00"/>
    <s v="RM"/>
    <s v="Granules"/>
    <s v="PP Granules"/>
    <s v="PP Granuals"/>
    <s v="PP RIL H350FG"/>
    <n v="10000"/>
    <n v="1357500"/>
    <s v="PP RIL H350FG"/>
    <n v="1600492.5"/>
    <n v="9"/>
    <n v="122175"/>
    <n v="9"/>
    <n v="122175"/>
    <n v="0"/>
    <n v="0"/>
    <n v="0"/>
    <n v="244350"/>
    <n v="0"/>
    <s v="24AAHFI1010M1ZQ"/>
    <s v="Kgs"/>
    <n v="39021000"/>
    <s v="Rs."/>
    <n v="1"/>
    <n v="10000"/>
    <s v="India"/>
    <x v="8"/>
  </r>
  <r>
    <d v="2026-07-09T00:00:00"/>
    <s v="Labbdhi Paper Tubes Pvt Ltd"/>
    <s v="Purchase"/>
    <s v="GNPK 132"/>
    <s v="Purchase Withinstate- Packing Material"/>
    <s v="331/2026-27"/>
    <d v="2026-06-16T00:00:00"/>
    <s v="Packing Material"/>
    <s v="Paper Cores"/>
    <s v="Packing Materials"/>
    <s v="Packing Materials"/>
    <s v="Paper Core"/>
    <n v="16.5"/>
    <n v="594"/>
    <s v="Paper Core"/>
    <n v="7455"/>
    <n v="9"/>
    <n v="53.46"/>
    <n v="9"/>
    <n v="53.46"/>
    <n v="0"/>
    <n v="0"/>
    <n v="0"/>
    <n v="106.92"/>
    <n v="0"/>
    <s v="24AACCL4303N1ZM"/>
    <s v="Kgs"/>
    <n v="482290"/>
    <s v="Rs."/>
    <n v="1"/>
    <n v="0"/>
    <s v="India"/>
    <x v="0"/>
  </r>
  <r>
    <d v="2026-07-09T00:00:00"/>
    <s v="Labbdhi Paper Tubes Pvt Ltd"/>
    <s v="Purchase"/>
    <s v="GNPK 132"/>
    <s v="Purchase Withinstate- Packing Material"/>
    <s v="331/2026-27"/>
    <d v="2026-06-16T00:00:00"/>
    <s v="Packing Material"/>
    <s v="Paper Cores"/>
    <s v="Packing Materials"/>
    <s v="Packing Materials"/>
    <s v="Paper Core"/>
    <n v="12"/>
    <n v="432"/>
    <s v="Paper Core"/>
    <n v="0"/>
    <n v="9"/>
    <n v="38.880000000000003"/>
    <n v="9"/>
    <n v="38.880000000000003"/>
    <n v="0"/>
    <n v="0"/>
    <n v="0"/>
    <n v="77.760000000000005"/>
    <n v="0"/>
    <s v="24AACCL4303N1ZM"/>
    <s v="Kgs"/>
    <n v="482290"/>
    <s v="Rs."/>
    <n v="1"/>
    <n v="0"/>
    <s v="India"/>
    <x v="0"/>
  </r>
  <r>
    <d v="2026-07-09T00:00:00"/>
    <s v="Labbdhi Paper Tubes Pvt Ltd"/>
    <s v="Purchase"/>
    <s v="GNPK 132"/>
    <s v="Purchase Withinstate- Packing Material"/>
    <s v="331/2026-27"/>
    <d v="2026-06-16T00:00:00"/>
    <s v="Packing Material"/>
    <s v="Paper Cores"/>
    <s v="Packing Materials"/>
    <s v="Packing Materials"/>
    <s v="Paper Core"/>
    <n v="75"/>
    <n v="2700"/>
    <s v="Paper Core"/>
    <n v="0"/>
    <n v="9"/>
    <n v="243"/>
    <n v="9"/>
    <n v="243"/>
    <n v="0"/>
    <n v="0"/>
    <n v="0"/>
    <n v="486"/>
    <n v="0"/>
    <s v="24AACCL4303N1ZM"/>
    <s v="Kgs"/>
    <n v="482290"/>
    <s v="Rs."/>
    <n v="1"/>
    <n v="0"/>
    <s v="India"/>
    <x v="0"/>
  </r>
  <r>
    <d v="2026-07-09T00:00:00"/>
    <s v="Labbdhi Paper Tubes Pvt Ltd"/>
    <s v="Purchase"/>
    <s v="GNPK 132"/>
    <s v="Purchase Withinstate- Packing Material"/>
    <s v="331/2026-27"/>
    <d v="2026-06-16T00:00:00"/>
    <s v="Packing Material"/>
    <s v="Paper Cores"/>
    <s v="Packing Materials"/>
    <s v="Packing Materials"/>
    <s v="Paper Core"/>
    <n v="72"/>
    <n v="2592"/>
    <s v="Paper Core"/>
    <n v="0"/>
    <n v="9"/>
    <n v="233.28"/>
    <n v="9"/>
    <n v="233.28"/>
    <n v="0"/>
    <n v="0"/>
    <n v="0"/>
    <n v="466.56"/>
    <n v="0"/>
    <s v="24AACCL4303N1ZM"/>
    <s v="Kgs"/>
    <n v="482290"/>
    <s v="Rs."/>
    <n v="1"/>
    <n v="0"/>
    <s v="India"/>
    <x v="0"/>
  </r>
  <r>
    <d v="2026-07-09T00:00:00"/>
    <s v="Pavan Electricals And Hardware"/>
    <s v="General Purchase"/>
    <s v="GNCN 216"/>
    <s v="Purchase Withinstate- Stores, Spares &amp; Consumable"/>
    <s v="GI/1174"/>
    <d v="2026-07-08T00:00:00"/>
    <s v="RM Consumables"/>
    <s v="Ink"/>
    <s v="Thinner"/>
    <s v="Ink "/>
    <s v="Solvent"/>
    <n v="1"/>
    <n v="260"/>
    <s v="Solvent"/>
    <n v="1204"/>
    <n v="9"/>
    <n v="23.4"/>
    <n v="9"/>
    <n v="23.4"/>
    <n v="0"/>
    <n v="0"/>
    <n v="0"/>
    <n v="46.8"/>
    <n v="0"/>
    <s v="24BTTPR5056A1ZJ"/>
    <s v="Ltr"/>
    <n v="381400"/>
    <s v="Rs."/>
    <n v="1"/>
    <n v="1"/>
    <s v="India"/>
    <x v="0"/>
  </r>
  <r>
    <d v="2026-07-09T00:00:00"/>
    <s v="Pavan Electricals And Hardware"/>
    <s v="General Purchase"/>
    <s v="GNCN 216"/>
    <s v="Purchase Withinstate- Stores, Spares &amp; Consumable"/>
    <s v="GI/1174"/>
    <d v="2026-07-08T00:00:00"/>
    <s v="Stores/Spares"/>
    <s v="PVC Fittings"/>
    <s v="Stores &amp; Spares"/>
    <s v="Consumables"/>
    <s v="UPVC Elbow 4&quot;"/>
    <n v="2"/>
    <n v="760"/>
    <s v="UPVC Elbow 4&quot;"/>
    <n v="0"/>
    <n v="9"/>
    <n v="68.400000000000006"/>
    <n v="9"/>
    <n v="68.400000000000006"/>
    <n v="0"/>
    <n v="0"/>
    <n v="0"/>
    <n v="136.80000000000001"/>
    <n v="0"/>
    <s v="24BTTPR5056A1ZJ"/>
    <s v="Pcs"/>
    <n v="391740"/>
    <s v="Rs."/>
    <n v="1"/>
    <n v="2"/>
    <s v="India"/>
    <x v="0"/>
  </r>
  <r>
    <d v="2026-07-09T00:00:00"/>
    <s v="Satyam Stationery Mart"/>
    <s v="General Purchase"/>
    <s v="GNCN 215"/>
    <s v="Purchase Withinstate- Stores, Spares &amp; Consumable"/>
    <s v="SSM02149"/>
    <d v="2026-07-09T00:00:00"/>
    <s v="Stores/Spares"/>
    <s v="Electrical Fittings"/>
    <s v="Stores &amp; Spares"/>
    <s v="Consumables"/>
    <s v="Ear Plug"/>
    <n v="1000"/>
    <n v="9500"/>
    <s v="Ear Plug"/>
    <n v="11210"/>
    <n v="9"/>
    <n v="855"/>
    <n v="9"/>
    <n v="855"/>
    <n v="0"/>
    <n v="0"/>
    <n v="0"/>
    <n v="1710"/>
    <n v="0"/>
    <s v="24AGUPL9792N1Z6"/>
    <s v="PAIR"/>
    <n v="40169970"/>
    <s v="Rs."/>
    <n v="1"/>
    <n v="0"/>
    <s v="India"/>
    <x v="0"/>
  </r>
  <r>
    <d v="2026-07-09T00:00:00"/>
    <s v="Satyam Stationery Mart"/>
    <s v="Purchase"/>
    <s v="GNPK 135"/>
    <s v="Purchase Withinstate- Packing Material"/>
    <s v="SSM02131"/>
    <d v="2026-07-08T00:00:00"/>
    <s v="Stores/Spares"/>
    <s v="Cutter Blades"/>
    <s v="Packing Materials"/>
    <s v="Packing Materials"/>
    <s v="Cutter Lifter"/>
    <n v="20"/>
    <n v="280"/>
    <s v="Cutter Lifter"/>
    <n v="330"/>
    <n v="9"/>
    <n v="25.2"/>
    <n v="9"/>
    <n v="25.2"/>
    <n v="0"/>
    <n v="0"/>
    <n v="0"/>
    <n v="50.4"/>
    <n v="0"/>
    <s v="24AGUPL9792N1Z6"/>
    <s v="Pcs"/>
    <n v="820770"/>
    <s v="Rs."/>
    <n v="1"/>
    <n v="0"/>
    <s v="India"/>
    <x v="0"/>
  </r>
  <r>
    <d v="2026-07-09T00:00:00"/>
    <s v="Shree Salareshwar Wood Packers Private Limited."/>
    <s v="Purchase"/>
    <s v="GNPK 133"/>
    <s v="Purchase Withinstate- Packing Material"/>
    <s v="SS/SL/26-27/196"/>
    <d v="2026-07-06T00:00:00"/>
    <s v="Packing Material"/>
    <s v="Pallets"/>
    <s v="Pallets"/>
    <s v="Packing Materials"/>
    <s v="Pine Wooden Pallet Design Code STD90110"/>
    <n v="50"/>
    <n v="36250"/>
    <s v="Pine Wooden Pallet Design Code STD90110"/>
    <n v="38063"/>
    <n v="2.5"/>
    <n v="906.25"/>
    <n v="2.5"/>
    <n v="906.25"/>
    <n v="0"/>
    <n v="0"/>
    <n v="0"/>
    <n v="1812.5"/>
    <n v="0"/>
    <s v="24ABLCS6579H1ZR"/>
    <s v="Pcs"/>
    <n v="44152000"/>
    <s v="Rs."/>
    <n v="1"/>
    <n v="0"/>
    <s v="India"/>
    <x v="0"/>
  </r>
  <r>
    <d v="2026-07-09T00:00:00"/>
    <s v="Shree Salareshwar Wood Packers Private Limited."/>
    <s v="Purchase"/>
    <s v="GNPK 134"/>
    <s v="Purchase Withinstate- Packing Material"/>
    <s v="SS/SL/26-27/199"/>
    <d v="2026-07-09T00:00:00"/>
    <s v="Packing Material"/>
    <s v="Pallets"/>
    <s v="Pallets"/>
    <s v="Packing Materials"/>
    <s v="Pine Wooden Pallet Design Code STD90110"/>
    <n v="50"/>
    <n v="36250"/>
    <s v="Pine Wooden Pallet Design Code STD90110"/>
    <n v="38062.5"/>
    <n v="2.5"/>
    <n v="906.25"/>
    <n v="2.5"/>
    <n v="906.25"/>
    <n v="0"/>
    <n v="0"/>
    <n v="0"/>
    <n v="1812.5"/>
    <n v="0"/>
    <s v="24ABLCS6579H1ZR"/>
    <s v="Pcs"/>
    <n v="44152000"/>
    <s v="Rs."/>
    <n v="1"/>
    <n v="0"/>
    <s v="India"/>
    <x v="0"/>
  </r>
  <r>
    <d v="2026-07-09T00:00:00"/>
    <s v="Tashkent Oil Company Pvt Ltd"/>
    <s v="General Purchase"/>
    <s v="GNCN 214"/>
    <s v="Purchase Withinstate- Stores, Spares &amp; Consumable"/>
    <n v="729"/>
    <d v="2026-07-08T00:00:00"/>
    <s v="Consumables"/>
    <s v="Oil &amp; Greases"/>
    <s v="Stores &amp; Spares"/>
    <s v="Consumables"/>
    <s v="White Oil:- 12 No"/>
    <n v="2100"/>
    <n v="239400"/>
    <s v="White Oil:- 12 No"/>
    <n v="282492"/>
    <n v="9"/>
    <n v="21546"/>
    <n v="9"/>
    <n v="21546"/>
    <n v="0"/>
    <n v="0"/>
    <n v="0"/>
    <n v="43092"/>
    <n v="0"/>
    <s v="24AAACT7751N1ZY"/>
    <s v="Ltr"/>
    <n v="27101990"/>
    <s v="Rs."/>
    <n v="1"/>
    <n v="0"/>
    <s v="India"/>
    <x v="0"/>
  </r>
  <r>
    <d v="2026-07-10T00:00:00"/>
    <s v="Alok Master Batches Private Limited- Dadra"/>
    <s v="R.M.P."/>
    <s v="RM 275"/>
    <s v="Purchase Interstate - Raw Material"/>
    <s v="AMD/26-27/01887"/>
    <d v="2026-07-07T00:00:00"/>
    <s v="RM"/>
    <s v="Granules"/>
    <s v="Masterbatch"/>
    <s v="Master batch"/>
    <s v="MB Alok Blue 10363"/>
    <n v="100"/>
    <n v="38500"/>
    <s v="MB Alok Blue 10363"/>
    <n v="45430"/>
    <n v="0"/>
    <n v="0"/>
    <n v="0"/>
    <n v="0"/>
    <n v="18"/>
    <n v="6930"/>
    <n v="0"/>
    <n v="6930"/>
    <n v="0"/>
    <s v="26AAACA6143K1ZR"/>
    <s v="Kgs"/>
    <n v="32064990"/>
    <s v="Rs."/>
    <n v="1"/>
    <n v="100"/>
    <s v="India"/>
    <x v="5"/>
  </r>
  <r>
    <d v="2026-07-10T00:00:00"/>
    <s v="Armstrong"/>
    <s v="General Purchase"/>
    <s v="GNSP 377"/>
    <s v="Purchase Withinstate- Stores, Spares &amp; Consumable"/>
    <s v="GST/26-27/3127"/>
    <d v="2026-07-09T00:00:00"/>
    <s v="Stores/Spares"/>
    <s v="Hardware Items"/>
    <s v="Stores &amp; Spares"/>
    <s v="stores &amp;  spares"/>
    <s v="Screw - 99240"/>
    <n v="30"/>
    <n v="2880"/>
    <s v="Screw - 99240"/>
    <n v="8832"/>
    <n v="9"/>
    <n v="259.2"/>
    <n v="9"/>
    <n v="259.2"/>
    <n v="0"/>
    <n v="0"/>
    <n v="0"/>
    <n v="518.4"/>
    <n v="0"/>
    <s v="24ABAFA4683N1Z8"/>
    <s v="Pcs"/>
    <n v="73181500"/>
    <s v="Rs."/>
    <n v="1"/>
    <n v="0"/>
    <s v="India"/>
    <x v="0"/>
  </r>
  <r>
    <d v="2026-07-10T00:00:00"/>
    <s v="Armstrong"/>
    <s v="General Purchase"/>
    <s v="GNSP 377"/>
    <s v="Purchase Withinstate- Stores, Spares &amp; Consumable"/>
    <s v="GST/26-27/3127"/>
    <d v="2026-07-09T00:00:00"/>
    <s v="Stores/Spares"/>
    <s v="Hardware Items"/>
    <s v="Stores &amp; Spares"/>
    <s v="stores &amp;  spares"/>
    <s v="Screw 22824"/>
    <n v="30"/>
    <n v="4560"/>
    <s v="Screw 22824"/>
    <n v="0"/>
    <n v="9"/>
    <n v="414.45"/>
    <n v="9"/>
    <n v="414.45"/>
    <n v="0"/>
    <n v="0"/>
    <n v="0"/>
    <n v="828.9"/>
    <n v="0"/>
    <s v="24ABAFA4683N1Z8"/>
    <s v="Pcs"/>
    <n v="73181500"/>
    <s v="Rs."/>
    <n v="1"/>
    <n v="0"/>
    <s v="India"/>
    <x v="0"/>
  </r>
  <r>
    <d v="2026-07-10T00:00:00"/>
    <s v="Green Traders"/>
    <s v="General Purchase"/>
    <s v="GNSP 376"/>
    <s v="Purchase Withinstate- Stores, Spares &amp; Consumable"/>
    <s v="G-0433"/>
    <d v="2026-07-06T00:00:00"/>
    <s v="Stores/Spares"/>
    <s v="Electrical Items/Spares"/>
    <s v="Stores &amp; Spares"/>
    <s v="stores &amp;  spares"/>
    <s v="Rechargable Torch Make- Eveready"/>
    <n v="2"/>
    <n v="1080"/>
    <s v="Rechargable Torch Make- Eveready"/>
    <n v="1451"/>
    <n v="9"/>
    <n v="97.2"/>
    <n v="9"/>
    <n v="97.2"/>
    <n v="0"/>
    <n v="0"/>
    <n v="27"/>
    <n v="221.4"/>
    <n v="0"/>
    <s v="24ACFPS7268D1ZG"/>
    <s v="Pcs"/>
    <n v="85131010"/>
    <s v="Rs."/>
    <n v="1"/>
    <n v="0"/>
    <s v="India"/>
    <x v="0"/>
  </r>
  <r>
    <d v="2026-07-10T00:00:00"/>
    <s v="HCP Plastene Bulkpack Limited - Purchase"/>
    <s v="R.M.P."/>
    <s v="RM 272"/>
    <s v="Purchase Withinstate - Raw Material"/>
    <s v="HPBL/D/367"/>
    <d v="2026-07-10T00:00:00"/>
    <s v="FG"/>
    <s v="FIBC Bags"/>
    <s v="FIBC Bags"/>
    <s v="PP WOVEN BIG BAGS / SACKS"/>
    <s v="FIBC Bags With UV Without Liner"/>
    <n v="3074"/>
    <n v="611541.56000000006"/>
    <s v="FIBC Bags With UV Without Liner"/>
    <n v="721007.5"/>
    <n v="9"/>
    <n v="55038.74"/>
    <n v="9"/>
    <n v="55038.74"/>
    <n v="0"/>
    <n v="0"/>
    <n v="0"/>
    <n v="110077.48"/>
    <n v="0"/>
    <s v="24AABCG1282C2Z6"/>
    <s v="Kgs"/>
    <n v="63053200"/>
    <s v="Rs."/>
    <n v="1"/>
    <n v="3074"/>
    <s v="India"/>
    <x v="9"/>
  </r>
  <r>
    <d v="2026-07-10T00:00:00"/>
    <s v="HCP Plastene Bulkpack Limited - Purchase"/>
    <s v="R.M.P."/>
    <s v="RM 273"/>
    <s v="Purchase Withinstate - Raw Material"/>
    <s v="HPBL/D/365"/>
    <d v="2026-07-10T00:00:00"/>
    <s v="SF"/>
    <s v="Liners"/>
    <s v="LDPE/LLDPE Bags"/>
    <s v="LLDPE Film"/>
    <s v="DOC Pouch"/>
    <n v="388"/>
    <n v="65141.32"/>
    <s v="DOC Pouch"/>
    <n v="661812.21"/>
    <n v="9"/>
    <n v="5862.72"/>
    <n v="9"/>
    <n v="5862.72"/>
    <n v="0"/>
    <n v="0"/>
    <n v="0"/>
    <n v="11725.44"/>
    <n v="0"/>
    <s v="24AABCG1282C2Z6"/>
    <s v="Kgs"/>
    <n v="39232100"/>
    <s v="Rs."/>
    <n v="1"/>
    <n v="388"/>
    <s v="India"/>
    <x v="4"/>
  </r>
  <r>
    <d v="2026-07-10T00:00:00"/>
    <s v="HCP Plastene Bulkpack Limited - Purchase"/>
    <s v="R.M.P."/>
    <s v="RM 273"/>
    <s v="Purchase Withinstate - Raw Material"/>
    <s v="HPBL/D/365"/>
    <d v="2026-07-10T00:00:00"/>
    <s v="SF"/>
    <s v="PP/PE Fabric"/>
    <s v="PP UL Fabric"/>
    <s v="PP WOVEN FABRIC"/>
    <s v="PP UL Fabric With UV"/>
    <n v="375"/>
    <n v="57933.75"/>
    <s v="PP UL Fabric With UV"/>
    <n v="0"/>
    <n v="9"/>
    <n v="5214.04"/>
    <n v="9"/>
    <n v="5214.04"/>
    <n v="0"/>
    <n v="0"/>
    <n v="0"/>
    <n v="10428.08"/>
    <n v="0"/>
    <s v="24AABCG1282C2Z6"/>
    <s v="Kgs"/>
    <n v="39269080"/>
    <s v="Rs."/>
    <n v="1"/>
    <n v="375"/>
    <s v="India"/>
    <x v="1"/>
  </r>
  <r>
    <d v="2026-07-10T00:00:00"/>
    <s v="HCP Plastene Bulkpack Limited - Purchase"/>
    <s v="R.M.P."/>
    <s v="RM 273"/>
    <s v="Purchase Withinstate - Raw Material"/>
    <s v="HPBL/D/365"/>
    <d v="2026-07-10T00:00:00"/>
    <s v="SF"/>
    <s v="PP/PE Fabric"/>
    <s v="PP UL Fabric"/>
    <s v="PP WOVEN FABRIC"/>
    <s v="PP UL Fabric With UV"/>
    <n v="2463"/>
    <n v="385434.87"/>
    <s v="PP UL Fabric With UV"/>
    <n v="0"/>
    <n v="9"/>
    <n v="34689.14"/>
    <n v="9"/>
    <n v="34689.14"/>
    <n v="0"/>
    <n v="0"/>
    <n v="0"/>
    <n v="69378.28"/>
    <n v="0"/>
    <s v="24AABCG1282C2Z6"/>
    <s v="Kgs"/>
    <n v="39269080"/>
    <s v="Rs."/>
    <n v="1"/>
    <n v="2463"/>
    <s v="India"/>
    <x v="1"/>
  </r>
  <r>
    <d v="2026-07-10T00:00:00"/>
    <s v="HCP Plastene Bulkpack Limited - Purchase"/>
    <s v="R.M.P."/>
    <s v="RM 273"/>
    <s v="Purchase Withinstate - Raw Material"/>
    <s v="HPBL/D/365"/>
    <d v="2026-07-10T00:00:00"/>
    <s v="SF"/>
    <s v="PP/PE Fabric"/>
    <s v="PP UL Fabric"/>
    <s v="PP WOVEN FABRIC"/>
    <s v="PP UL Fabric With UV"/>
    <n v="244"/>
    <n v="52823.56"/>
    <s v="PP UL Fabric With UV"/>
    <n v="0"/>
    <n v="9"/>
    <n v="4754.12"/>
    <n v="9"/>
    <n v="4754.12"/>
    <n v="0"/>
    <n v="0"/>
    <n v="0"/>
    <n v="9508.24"/>
    <n v="0"/>
    <s v="24AABCG1282C2Z6"/>
    <s v="Kgs"/>
    <n v="39269080"/>
    <s v="Rs."/>
    <n v="1"/>
    <n v="244"/>
    <s v="India"/>
    <x v="1"/>
  </r>
  <r>
    <d v="2026-07-10T00:00:00"/>
    <s v="Kabra Electricals"/>
    <s v="General Purchase"/>
    <s v="GNSP 373"/>
    <s v="Purchase Withinstate- Stores, Spares &amp; Consumable"/>
    <s v="GST/368"/>
    <d v="2026-07-08T00:00:00"/>
    <s v="Stores/Spares"/>
    <s v="MCB &amp; MCCBs"/>
    <s v="Stores &amp; Spares"/>
    <s v="stores &amp;  spares"/>
    <s v="Mcb 32 Amp. 2 Pole"/>
    <n v="5"/>
    <n v="2225"/>
    <s v="Mcb 32 Amp. 2 Pole"/>
    <n v="2802"/>
    <n v="9"/>
    <n v="200.25"/>
    <n v="9"/>
    <n v="200.25"/>
    <n v="0"/>
    <n v="0"/>
    <n v="27"/>
    <n v="427.5"/>
    <n v="0"/>
    <s v="24ANLPK2335A1ZJ"/>
    <s v="Pcs"/>
    <n v="853620"/>
    <s v="Rs."/>
    <n v="1"/>
    <n v="0"/>
    <s v="India"/>
    <x v="0"/>
  </r>
  <r>
    <d v="2026-07-10T00:00:00"/>
    <s v="Lohia Corp Limited - 09AAKCK2932Q1ZU - UP"/>
    <s v="General Purchase"/>
    <s v="GNSP 375"/>
    <s v="Purchase Interstate- Stores, Spares &amp; Consumable"/>
    <s v="TG0926111669"/>
    <d v="2026-07-04T00:00:00"/>
    <s v="Stores/Spares"/>
    <s v="Cutting Machine Spares"/>
    <s v="Stores &amp; Spares"/>
    <s v="stores &amp;  spares"/>
    <s v="Insulator (Spout Die Support) Part No : 1169150700"/>
    <n v="3"/>
    <n v="342"/>
    <s v="Insulator (Spout Die Support) Part No : 1169150700"/>
    <n v="420.55"/>
    <n v="0"/>
    <n v="0"/>
    <n v="0"/>
    <n v="0"/>
    <n v="18"/>
    <n v="61.56"/>
    <n v="2.59"/>
    <n v="64.150000000000006"/>
    <n v="0"/>
    <s v="09AAKCK2932Q1ZU"/>
    <s v="Pcs"/>
    <n v="84799090"/>
    <s v="Rs."/>
    <n v="1"/>
    <n v="0"/>
    <s v="India"/>
    <x v="0"/>
  </r>
  <r>
    <d v="2026-07-10T00:00:00"/>
    <s v="Max Spare Limited"/>
    <s v="General Purchase"/>
    <s v="GNSP 374"/>
    <s v="Purchase Interstate- Stores, Spares &amp; Consumable"/>
    <n v="61810"/>
    <d v="2026-07-07T00:00:00"/>
    <s v="Consumables"/>
    <s v="Oil Seal"/>
    <s v="Stores &amp; Spares"/>
    <s v="stores &amp;  spares"/>
    <s v="Oil Seal"/>
    <n v="5"/>
    <n v="1460"/>
    <s v="Oil Seal"/>
    <n v="1770"/>
    <n v="0"/>
    <n v="0"/>
    <n v="0"/>
    <n v="0"/>
    <n v="18"/>
    <n v="262.8"/>
    <n v="7.2"/>
    <n v="270"/>
    <n v="0"/>
    <s v="27AADCS6349E1Z9"/>
    <s v="Pcs"/>
    <n v="40169330"/>
    <s v="Rs."/>
    <n v="1"/>
    <n v="0"/>
    <s v="India"/>
    <x v="0"/>
  </r>
  <r>
    <d v="2026-07-10T00:00:00"/>
    <s v="Plastene India ltd - Unit 1-Purchase"/>
    <s v="General Purchase"/>
    <s v="GNPK 136"/>
    <s v="Purchase Withinstate- Packing Material"/>
    <s v="PIL1/D/987"/>
    <d v="2026-07-09T00:00:00"/>
    <s v="Stores/Spares"/>
    <s v="MS Structure Items"/>
    <s v="Packing Materials"/>
    <s v="Packing Materials"/>
    <s v="MS Pipe 4  C Class"/>
    <n v="166"/>
    <n v="7968"/>
    <s v="MS Pipe 4  C Class"/>
    <n v="9394.27"/>
    <n v="9"/>
    <n v="717.12"/>
    <n v="9"/>
    <n v="717.12"/>
    <n v="0"/>
    <n v="0"/>
    <n v="0"/>
    <n v="1434.24"/>
    <n v="0"/>
    <s v="24AAACO3087C1ZT"/>
    <s v="Kgs"/>
    <n v="73063090"/>
    <s v="Rs."/>
    <n v="1"/>
    <n v="166"/>
    <s v="India"/>
    <x v="0"/>
  </r>
  <r>
    <d v="2026-07-10T00:00:00"/>
    <s v="Plastene India ltd - Unit 1-Purchase"/>
    <s v="R.M.P."/>
    <s v="RM 271"/>
    <s v="Purchase Withinstate - Raw Material"/>
    <s v="PIL1/D/989"/>
    <d v="2026-07-09T00:00:00"/>
    <s v="SF"/>
    <s v="Liners"/>
    <s v="LDPE/LLDPE Bags"/>
    <s v="LLDPE BAGS"/>
    <s v="LDPE/LLDPE Bags/Liner"/>
    <n v="501"/>
    <n v="91572.78"/>
    <s v="LDPE/LLDPE Bags/Liner"/>
    <n v="413625.34"/>
    <n v="9"/>
    <n v="8241.5499999999993"/>
    <n v="9"/>
    <n v="8241.5499999999993"/>
    <n v="0"/>
    <n v="0"/>
    <n v="0"/>
    <n v="16483.099999999999"/>
    <n v="0"/>
    <s v="24AAACO3087C1ZT"/>
    <s v="Kgs"/>
    <n v="39200000"/>
    <s v="Rs."/>
    <n v="1"/>
    <n v="501"/>
    <s v="India"/>
    <x v="4"/>
  </r>
  <r>
    <d v="2026-07-10T00:00:00"/>
    <s v="Plastene India ltd - Unit 1-Purchase"/>
    <s v="R.M.P."/>
    <s v="RM 271"/>
    <s v="Purchase Withinstate - Raw Material"/>
    <s v="PIL1/D/989"/>
    <d v="2026-07-09T00:00:00"/>
    <s v="SF"/>
    <s v="PP/PE Fabric"/>
    <s v="PP UL Fabric"/>
    <s v="PP WOVEN FABRIC"/>
    <s v="PP UL Fabric With UV"/>
    <n v="969.86"/>
    <n v="144984.3714"/>
    <s v="PP UL Fabric With UV"/>
    <n v="0"/>
    <n v="9"/>
    <n v="13048.59"/>
    <n v="9"/>
    <n v="13048.59"/>
    <n v="0"/>
    <n v="0"/>
    <n v="0"/>
    <n v="26097.18"/>
    <n v="0"/>
    <s v="24AAACO3087C1ZT"/>
    <s v="Kgs"/>
    <n v="39269080"/>
    <s v="Rs."/>
    <n v="1"/>
    <n v="969.86"/>
    <s v="India"/>
    <x v="1"/>
  </r>
  <r>
    <d v="2026-07-10T00:00:00"/>
    <s v="Plastene India ltd - Unit 1-Purchase"/>
    <s v="R.M.P."/>
    <s v="RM 271"/>
    <s v="Purchase Withinstate - Raw Material"/>
    <s v="PIL1/D/989"/>
    <d v="2026-07-09T00:00:00"/>
    <s v="SF"/>
    <s v="Yarn All"/>
    <s v="PP Yarn"/>
    <s v="PP MF Yarn"/>
    <s v="PP MF Yarn Flat 1000 Denier UV NW"/>
    <n v="820.7"/>
    <n v="128431.34299999999"/>
    <s v="PP MF Yarn Flat 1000 Denier UV NW"/>
    <n v="0"/>
    <n v="2.5"/>
    <n v="3210.78"/>
    <n v="2.5"/>
    <n v="3210.78"/>
    <n v="0"/>
    <n v="0"/>
    <n v="0"/>
    <n v="6421.56"/>
    <n v="0"/>
    <s v="24AAACO3087C1ZT"/>
    <s v="Kgs"/>
    <n v="540248"/>
    <s v="Rs."/>
    <n v="1"/>
    <n v="820.7"/>
    <s v="India"/>
    <x v="3"/>
  </r>
  <r>
    <d v="2026-07-10T00:00:00"/>
    <s v="Plastene India ltd - Unit 2-Purchase"/>
    <s v="General Purchase"/>
    <s v="GNCN 217"/>
    <s v="Purchase Withinstate- Stores, Spares &amp; Consumable"/>
    <s v="PIL2/D/351"/>
    <d v="2026-07-09T00:00:00"/>
    <s v="SF"/>
    <s v="Liners"/>
    <s v="LDPE/LLDPE Bags"/>
    <s v="Consumables"/>
    <s v="PE Labels (Pcs)"/>
    <n v="31.4"/>
    <n v="9400"/>
    <s v="PE Labels (Pcs)"/>
    <n v="11082.6"/>
    <n v="9"/>
    <n v="846"/>
    <n v="9"/>
    <n v="846"/>
    <n v="0"/>
    <n v="0"/>
    <n v="0"/>
    <n v="1692"/>
    <n v="0"/>
    <s v="24AAACO3087C1ZT"/>
    <s v="Kgs"/>
    <n v="392300"/>
    <s v="Rs."/>
    <n v="1"/>
    <n v="31.4"/>
    <s v="India"/>
    <x v="0"/>
  </r>
  <r>
    <d v="2026-07-10T00:00:00"/>
    <s v="Plastene India ltd - Unit 2-Purchase"/>
    <s v="Purchase"/>
    <s v="GNPK 137"/>
    <s v="Purchase Withinstate- Packing Material"/>
    <s v="PIL2/D/352"/>
    <d v="2026-07-09T00:00:00"/>
    <s v="Packing Material"/>
    <s v="Pallets"/>
    <s v="Packing Materials"/>
    <s v="Packing Materials"/>
    <s v="Wooden Pallet Flate Size 85X105Cm"/>
    <n v="5"/>
    <n v="2610"/>
    <s v="Wooden Pallet Flate Size 85X105Cm"/>
    <n v="4977.99"/>
    <n v="2.5"/>
    <n v="65.25"/>
    <n v="2.5"/>
    <n v="65.25"/>
    <n v="0"/>
    <n v="0"/>
    <n v="0"/>
    <n v="130.5"/>
    <n v="0"/>
    <s v="24AAACO3087C1ZT"/>
    <s v="Pcs"/>
    <n v="44152000"/>
    <s v="Rs."/>
    <n v="1"/>
    <n v="0"/>
    <s v="India"/>
    <x v="0"/>
  </r>
  <r>
    <d v="2026-07-10T00:00:00"/>
    <s v="Plastene India ltd - Unit 2-Purchase"/>
    <s v="Purchase"/>
    <s v="GNPK 137"/>
    <s v="Purchase Withinstate- Packing Material"/>
    <s v="PIL2/D/352"/>
    <d v="2026-07-09T00:00:00"/>
    <s v="Packing Material"/>
    <s v="Packaging Material"/>
    <s v="Packing Materials"/>
    <s v="Packing Materials"/>
    <s v="Plastic Pallet"/>
    <n v="2"/>
    <n v="1900"/>
    <s v="Plastic Pallet"/>
    <n v="0"/>
    <n v="9"/>
    <n v="171"/>
    <n v="9"/>
    <n v="171"/>
    <n v="0"/>
    <n v="0"/>
    <n v="0"/>
    <n v="342"/>
    <n v="0"/>
    <s v="24AAACO3087C1ZT"/>
    <s v="Pcs"/>
    <n v="39239090"/>
    <s v="Rs."/>
    <n v="1"/>
    <n v="0"/>
    <s v="India"/>
    <x v="0"/>
  </r>
  <r>
    <d v="2026-07-10T00:00:00"/>
    <s v="Shree Salareshwar Wood Packers Private Limited."/>
    <s v="Purchase"/>
    <s v="GNPK 138"/>
    <s v="Purchase Withinstate- Packing Material"/>
    <s v="SS/SL/26-27/200"/>
    <d v="2026-07-09T00:00:00"/>
    <s v="Packing Material"/>
    <s v="Pallets"/>
    <s v="Pallets"/>
    <s v="Packing Materials"/>
    <s v="Pine Wooden Pallet Design Code STD90110"/>
    <n v="250"/>
    <n v="181250"/>
    <s v="Pine Wooden Pallet Design Code STD90110"/>
    <n v="190312"/>
    <n v="2.5"/>
    <n v="4531.25"/>
    <n v="2.5"/>
    <n v="4531.25"/>
    <n v="0"/>
    <n v="0"/>
    <n v="0"/>
    <n v="9062.5"/>
    <n v="0"/>
    <s v="24ABLCS6579H1ZR"/>
    <s v="Pcs"/>
    <n v="44152000"/>
    <s v="Rs."/>
    <n v="1"/>
    <n v="0"/>
    <s v="India"/>
    <x v="0"/>
  </r>
  <r>
    <d v="2026-07-10T00:00:00"/>
    <s v="Shyam Apparels"/>
    <s v="General Purchase"/>
    <s v="GNCN 218"/>
    <s v="Purchase Withinstate- Stores, Spares &amp; Consumable"/>
    <s v="35/26-27"/>
    <d v="2026-07-09T00:00:00"/>
    <s v="Consumables"/>
    <s v="Uniform/protective Item"/>
    <s v="Stores &amp; Spares"/>
    <s v="Consumables"/>
    <s v="Apron Colour White"/>
    <n v="27"/>
    <n v="5265"/>
    <s v="Apron Colour White"/>
    <n v="36036"/>
    <n v="2.5"/>
    <n v="131.62"/>
    <n v="2.5"/>
    <n v="131.62"/>
    <n v="0"/>
    <n v="0"/>
    <n v="0"/>
    <n v="263.24"/>
    <n v="0"/>
    <s v="24AFEPK6929B1ZP"/>
    <s v="Pcs"/>
    <n v="40159010"/>
    <s v="Rs."/>
    <n v="1"/>
    <n v="0"/>
    <s v="India"/>
    <x v="0"/>
  </r>
  <r>
    <d v="2026-07-10T00:00:00"/>
    <s v="Shyam Apparels"/>
    <s v="General Purchase"/>
    <s v="GNCN 218"/>
    <s v="Purchase Withinstate- Stores, Spares &amp; Consumable"/>
    <s v="35/26-27"/>
    <d v="2026-07-09T00:00:00"/>
    <s v="Consumables"/>
    <s v="Uniform/protective Item"/>
    <s v="Stores &amp; Spares"/>
    <s v="Consumables"/>
    <s v="Apron Colour Sky Blue Short Sleeves Labcoat"/>
    <n v="149"/>
    <n v="29055"/>
    <s v="Apron Colour Sky Blue Short Sleeves Labcoat"/>
    <n v="0"/>
    <n v="2.5"/>
    <n v="726.38"/>
    <n v="2.5"/>
    <n v="726.38"/>
    <n v="0"/>
    <n v="0"/>
    <n v="0"/>
    <n v="1452.76"/>
    <n v="0"/>
    <s v="24AFEPK6929B1ZP"/>
    <s v="Pcs"/>
    <n v="320414"/>
    <s v="Rs."/>
    <n v="1"/>
    <n v="0"/>
    <s v="India"/>
    <x v="0"/>
  </r>
  <r>
    <d v="2026-07-10T00:00:00"/>
    <s v="Vyankatesh Udyog (I) Pvt Ltd - Purchase"/>
    <s v="R.M.P."/>
    <s v="RM 274"/>
    <s v="Purchase Interstate - Raw Material"/>
    <s v="924/26-27"/>
    <d v="2026-06-25T00:00:00"/>
    <s v="RM Consumables"/>
    <s v="Ink"/>
    <s v="Ink"/>
    <s v="Ink "/>
    <s v="Ink Vyankatesh Poly Opaque White OPEQUE WHITE VLX 624"/>
    <n v="100"/>
    <n v="27700"/>
    <s v="Ink Vyankatesh Poly Opaque White OPEQUE WHITE VLX 624"/>
    <n v="407749"/>
    <n v="0"/>
    <n v="0"/>
    <n v="0"/>
    <n v="0"/>
    <n v="18"/>
    <n v="4986"/>
    <n v="0"/>
    <n v="4986"/>
    <n v="0"/>
    <s v="27AAECV8365Q1ZC"/>
    <s v="Kgs"/>
    <n v="32151910"/>
    <s v="Rs."/>
    <n v="1"/>
    <n v="0"/>
    <s v="India"/>
    <x v="0"/>
  </r>
  <r>
    <d v="2026-07-10T00:00:00"/>
    <s v="Vyankatesh Udyog (I) Pvt Ltd - Purchase"/>
    <s v="R.M.P."/>
    <s v="RM 274"/>
    <s v="Purchase Interstate - Raw Material"/>
    <s v="924/26-27"/>
    <d v="2026-06-25T00:00:00"/>
    <s v="RM Consumables"/>
    <s v="Ink"/>
    <s v="Ink"/>
    <s v="Ink "/>
    <s v="Ink Vyankatesh Poly Process Yellow VLX 671"/>
    <n v="100"/>
    <n v="28200"/>
    <s v="Ink Vyankatesh Poly Process Yellow VLX 671"/>
    <n v="0"/>
    <n v="0"/>
    <n v="0"/>
    <n v="0"/>
    <n v="0"/>
    <n v="18"/>
    <n v="5076"/>
    <n v="0"/>
    <n v="5076"/>
    <n v="0"/>
    <s v="27AAECV8365Q1ZC"/>
    <s v="Kgs"/>
    <n v="84485900"/>
    <s v="Rs."/>
    <n v="1"/>
    <n v="0"/>
    <s v="India"/>
    <x v="0"/>
  </r>
  <r>
    <d v="2026-07-10T00:00:00"/>
    <s v="Vyankatesh Udyog (I) Pvt Ltd - Purchase"/>
    <s v="R.M.P."/>
    <s v="RM 274"/>
    <s v="Purchase Interstate - Raw Material"/>
    <s v="924/26-27"/>
    <d v="2026-06-25T00:00:00"/>
    <s v="RM Consumables"/>
    <s v="Ink"/>
    <s v="Ink"/>
    <s v="Ink "/>
    <s v="Ink Vyankatesh Poly Orange 021 C VLX 528"/>
    <n v="50"/>
    <n v="14250"/>
    <s v="Ink Vyankatesh Poly Orange 021 C VLX 528"/>
    <n v="0"/>
    <n v="0"/>
    <n v="0"/>
    <n v="0"/>
    <n v="0"/>
    <n v="18"/>
    <n v="2565"/>
    <n v="0"/>
    <n v="2565"/>
    <n v="0"/>
    <s v="27AAECV8365Q1ZC"/>
    <s v="Kgs"/>
    <n v="32151910"/>
    <s v="Rs."/>
    <n v="1"/>
    <n v="0"/>
    <s v="India"/>
    <x v="0"/>
  </r>
  <r>
    <d v="2026-07-10T00:00:00"/>
    <s v="Vyankatesh Udyog (I) Pvt Ltd - Purchase"/>
    <s v="R.M.P."/>
    <s v="RM 274"/>
    <s v="Purchase Interstate - Raw Material"/>
    <s v="924/26-27"/>
    <d v="2026-06-25T00:00:00"/>
    <s v="RM Consumables"/>
    <s v="Ink"/>
    <s v="Thinner"/>
    <s v="Thinner VLX"/>
    <s v="Thinner Vyankatesh Thinner"/>
    <n v="2550"/>
    <n v="275400"/>
    <s v="Thinner Vyankatesh Thinner"/>
    <n v="0"/>
    <n v="0"/>
    <n v="0"/>
    <n v="0"/>
    <n v="0"/>
    <n v="18"/>
    <n v="49572"/>
    <n v="0"/>
    <n v="49572"/>
    <n v="0"/>
    <s v="27AAECV8365Q1ZC"/>
    <s v="Kgs"/>
    <n v="38140010"/>
    <s v="Rs."/>
    <n v="1"/>
    <n v="0"/>
    <s v="India"/>
    <x v="0"/>
  </r>
  <r>
    <d v="2026-07-11T00:00:00"/>
    <s v="Armstrong"/>
    <s v="General Purchase"/>
    <s v="GNSP 380"/>
    <s v="Purchase Withinstate- Stores, Spares &amp; Consumable"/>
    <s v="GST/26-27/3191"/>
    <d v="2026-07-10T00:00:00"/>
    <s v="Stores/Spares"/>
    <s v="Stitching Spares"/>
    <s v="Stores &amp; Spares"/>
    <s v="stores &amp;  spares"/>
    <s v="Looper A 3376 SS3000 2H"/>
    <n v="6"/>
    <n v="16176"/>
    <s v="Looper A 3376 SS3000 2H"/>
    <n v="49898"/>
    <n v="2.5"/>
    <n v="404.4"/>
    <n v="2.5"/>
    <n v="404.4"/>
    <n v="0"/>
    <n v="0"/>
    <n v="0"/>
    <n v="808.8"/>
    <n v="0"/>
    <s v="24ABAFA4683N1Z8"/>
    <s v="Pcs"/>
    <n v="84529099"/>
    <s v="Rs."/>
    <n v="1"/>
    <n v="0"/>
    <s v="India"/>
    <x v="0"/>
  </r>
  <r>
    <d v="2026-07-11T00:00:00"/>
    <s v="Armstrong"/>
    <s v="General Purchase"/>
    <s v="GNSP 380"/>
    <s v="Purchase Withinstate- Stores, Spares &amp; Consumable"/>
    <s v="GST/26-27/3191"/>
    <d v="2026-07-10T00:00:00"/>
    <s v="Stores/Spares"/>
    <s v="Stitching Spares"/>
    <s v="Stores &amp; Spares"/>
    <s v="stores &amp;  spares"/>
    <s v="Looper A 3375 SS3000 2H"/>
    <n v="6"/>
    <n v="15480"/>
    <s v="Looper A 3375 SS3000 2H"/>
    <n v="0"/>
    <n v="2.5"/>
    <n v="387"/>
    <n v="2.5"/>
    <n v="387"/>
    <n v="0"/>
    <n v="0"/>
    <n v="0"/>
    <n v="774"/>
    <n v="0"/>
    <s v="24ABAFA4683N1Z8"/>
    <s v="Pcs"/>
    <n v="84529099"/>
    <s v="Rs."/>
    <n v="1"/>
    <n v="0"/>
    <s v="India"/>
    <x v="0"/>
  </r>
  <r>
    <d v="2026-07-11T00:00:00"/>
    <s v="Armstrong"/>
    <s v="General Purchase"/>
    <s v="GNSP 380"/>
    <s v="Purchase Withinstate- Stores, Spares &amp; Consumable"/>
    <s v="GST/26-27/3191"/>
    <d v="2026-07-10T00:00:00"/>
    <s v="Stores/Spares"/>
    <s v="Stitching Spares"/>
    <s v="Stores &amp; Spares"/>
    <s v="stores &amp;  spares"/>
    <s v="Screw For Looper 73,SS3000 2H"/>
    <n v="17"/>
    <n v="2584"/>
    <s v="Screw For Looper 73,SS3000 2H"/>
    <n v="0"/>
    <n v="9"/>
    <n v="232.56"/>
    <n v="9"/>
    <n v="232.56"/>
    <n v="0"/>
    <n v="0"/>
    <n v="0"/>
    <n v="465.12"/>
    <n v="0"/>
    <s v="24ABAFA4683N1Z8"/>
    <s v="Pcs"/>
    <n v="84529099"/>
    <s v="Rs."/>
    <n v="1"/>
    <n v="0"/>
    <s v="India"/>
    <x v="0"/>
  </r>
  <r>
    <d v="2026-07-11T00:00:00"/>
    <s v="Armstrong"/>
    <s v="General Purchase"/>
    <s v="GNSP 380"/>
    <s v="Purchase Withinstate- Stores, Spares &amp; Consumable"/>
    <s v="GST/26-27/3191"/>
    <d v="2026-07-10T00:00:00"/>
    <s v="Stores/Spares"/>
    <s v="Stitching Spares"/>
    <s v="Stores &amp; Spares"/>
    <s v="stores &amp;  spares"/>
    <s v="Set Screw 22894"/>
    <n v="13"/>
    <n v="1716"/>
    <s v="Set Screw 22894"/>
    <n v="0"/>
    <n v="9"/>
    <n v="158.94"/>
    <n v="9"/>
    <n v="158.94"/>
    <n v="0"/>
    <n v="0"/>
    <n v="0"/>
    <n v="317.88"/>
    <n v="0"/>
    <s v="24ABAFA4683N1Z8"/>
    <s v="Pcs"/>
    <n v="84529099"/>
    <s v="Rs."/>
    <n v="1"/>
    <n v="0"/>
    <s v="India"/>
    <x v="0"/>
  </r>
  <r>
    <d v="2026-07-11T00:00:00"/>
    <s v="Armstrong"/>
    <s v="General Purchase"/>
    <s v="GNSP 380"/>
    <s v="Purchase Withinstate- Stores, Spares &amp; Consumable"/>
    <s v="GST/26-27/3191"/>
    <d v="2026-07-10T00:00:00"/>
    <s v="Stores/Spares"/>
    <s v="Stitching Spares"/>
    <s v="Stores &amp; Spares"/>
    <s v="stores &amp;  spares"/>
    <s v="Set Screw 89"/>
    <n v="20"/>
    <n v="1920"/>
    <s v="Set Screw 89"/>
    <n v="0"/>
    <n v="9"/>
    <n v="172.8"/>
    <n v="9"/>
    <n v="172.8"/>
    <n v="0"/>
    <n v="0"/>
    <n v="0"/>
    <n v="345.6"/>
    <n v="0"/>
    <s v="24ABAFA4683N1Z8"/>
    <s v="Pcs"/>
    <n v="84529099"/>
    <s v="Rs."/>
    <n v="1"/>
    <n v="0"/>
    <s v="India"/>
    <x v="0"/>
  </r>
  <r>
    <d v="2026-07-11T00:00:00"/>
    <s v="Armstrong"/>
    <s v="General Purchase"/>
    <s v="GNSP 380"/>
    <s v="Purchase Withinstate- Stores, Spares &amp; Consumable"/>
    <s v="GST/26-27/3191"/>
    <d v="2026-07-10T00:00:00"/>
    <s v="Stores/Spares"/>
    <s v="Stitching Spares"/>
    <s v="Stores &amp; Spares"/>
    <s v="stores &amp;  spares"/>
    <s v="Needle Holder A 8373 B"/>
    <n v="5"/>
    <n v="8820"/>
    <s v="Needle Holder A 8373 B"/>
    <n v="0"/>
    <n v="2.5"/>
    <n v="220.5"/>
    <n v="2.5"/>
    <n v="220.5"/>
    <n v="0"/>
    <n v="0"/>
    <n v="0"/>
    <n v="441"/>
    <n v="0"/>
    <s v="24ABAFA4683N1Z8"/>
    <s v="Pcs"/>
    <n v="84529099"/>
    <s v="Rs."/>
    <n v="1"/>
    <n v="0"/>
    <s v="India"/>
    <x v="0"/>
  </r>
  <r>
    <d v="2026-07-11T00:00:00"/>
    <s v="Axle Steel &amp; Fasteners"/>
    <s v="General Purchase"/>
    <s v="GNSP 379"/>
    <s v="Purchase Withinstate- Stores, Spares &amp; Consumable"/>
    <s v="0557/26-27"/>
    <d v="2026-07-10T00:00:00"/>
    <s v="Stores/Spares"/>
    <s v="Hardware Items"/>
    <s v="Stores &amp; Spares"/>
    <s v="stores &amp;  spares"/>
    <s v="Allen Bolt 14X30 mm"/>
    <n v="100"/>
    <n v="3576.3"/>
    <s v="Allen Bolt 14X30 mm"/>
    <n v="4368"/>
    <n v="9"/>
    <n v="333.12"/>
    <n v="9"/>
    <n v="333.12"/>
    <n v="0"/>
    <n v="0"/>
    <n v="0"/>
    <n v="666.24"/>
    <n v="0"/>
    <s v="24AAYFA5084G1Z4"/>
    <s v="Pcs"/>
    <n v="84529000"/>
    <s v="Rs."/>
    <n v="1"/>
    <n v="0"/>
    <s v="India"/>
    <x v="0"/>
  </r>
  <r>
    <d v="2026-07-11T00:00:00"/>
    <s v="Brahmani Labels"/>
    <s v="General Purchase"/>
    <s v="GNCN 221"/>
    <s v="Purchase Withinstate- Stores, Spares &amp; Consumable"/>
    <n v="302"/>
    <d v="2026-07-07T00:00:00"/>
    <s v="SF"/>
    <s v="Liners"/>
    <s v="LDPE/LLDPE Bags"/>
    <s v="Consumables"/>
    <s v="PE Labels (Pcs)"/>
    <n v="2"/>
    <n v="1634"/>
    <s v="PE Labels (Pcs)"/>
    <n v="24708"/>
    <n v="9"/>
    <n v="147.06"/>
    <n v="9"/>
    <n v="147.06"/>
    <n v="0"/>
    <n v="0"/>
    <n v="90"/>
    <n v="384.12"/>
    <n v="0"/>
    <s v="24CIAPP4681A1ZK"/>
    <s v="Kgs"/>
    <n v="392300"/>
    <s v="Rs."/>
    <n v="1"/>
    <n v="2"/>
    <m/>
    <x v="0"/>
  </r>
  <r>
    <d v="2026-07-11T00:00:00"/>
    <s v="Brahmani Labels"/>
    <s v="General Purchase"/>
    <s v="GNCN 221"/>
    <s v="Purchase Withinstate- Stores, Spares &amp; Consumable"/>
    <n v="302"/>
    <d v="2026-07-07T00:00:00"/>
    <s v="SF"/>
    <s v="Liners"/>
    <s v="LDPE/LLDPE Bags"/>
    <s v="Consumables"/>
    <s v="PE Labels (Pcs)"/>
    <n v="2.4"/>
    <n v="1800"/>
    <s v="PE Labels (Pcs)"/>
    <n v="0"/>
    <n v="9"/>
    <n v="162"/>
    <n v="9"/>
    <n v="162"/>
    <n v="0"/>
    <n v="0"/>
    <n v="90"/>
    <n v="414"/>
    <n v="0"/>
    <s v="24CIAPP4681A1ZK"/>
    <s v="Kgs"/>
    <n v="392300"/>
    <s v="Rs."/>
    <n v="1"/>
    <n v="2.4"/>
    <m/>
    <x v="0"/>
  </r>
  <r>
    <d v="2026-07-11T00:00:00"/>
    <s v="Brahmani Labels"/>
    <s v="General Purchase"/>
    <s v="GNCN 221"/>
    <s v="Purchase Withinstate- Stores, Spares &amp; Consumable"/>
    <n v="302"/>
    <d v="2026-07-07T00:00:00"/>
    <s v="SF"/>
    <s v="Liners"/>
    <s v="LDPE/LLDPE Bags"/>
    <s v="Consumables"/>
    <s v="PE Labels (Pcs)"/>
    <n v="19.100000000000001"/>
    <n v="5260"/>
    <s v="PE Labels (Pcs)"/>
    <n v="0"/>
    <n v="9"/>
    <n v="473.4"/>
    <n v="9"/>
    <n v="473.4"/>
    <n v="0"/>
    <n v="0"/>
    <n v="90"/>
    <n v="1036.8"/>
    <n v="0"/>
    <s v="24CIAPP4681A1ZK"/>
    <s v="Kgs"/>
    <n v="392300"/>
    <s v="Rs."/>
    <n v="1"/>
    <n v="19.100000000000001"/>
    <m/>
    <x v="0"/>
  </r>
  <r>
    <d v="2026-07-11T00:00:00"/>
    <s v="Brahmani Labels"/>
    <s v="General Purchase"/>
    <s v="GNCN 221"/>
    <s v="Purchase Withinstate- Stores, Spares &amp; Consumable"/>
    <n v="302"/>
    <d v="2026-07-07T00:00:00"/>
    <s v="SF"/>
    <s v="Liners"/>
    <s v="LDPE/LLDPE Bags"/>
    <s v="Consumables"/>
    <s v="PE Labels (Pcs)"/>
    <n v="28.7"/>
    <n v="11745"/>
    <s v="PE Labels (Pcs)"/>
    <n v="0"/>
    <n v="9"/>
    <n v="1057.05"/>
    <n v="9"/>
    <n v="1057.05"/>
    <n v="0"/>
    <n v="0"/>
    <n v="90"/>
    <n v="2204.1"/>
    <n v="0"/>
    <s v="24CIAPP4681A1ZK"/>
    <s v="Kgs"/>
    <n v="392300"/>
    <s v="Rs."/>
    <n v="1"/>
    <n v="28.7"/>
    <m/>
    <x v="0"/>
  </r>
  <r>
    <d v="2026-07-11T00:00:00"/>
    <s v="Brahmani Printers"/>
    <s v="General Purchase"/>
    <s v="GNCN 220"/>
    <s v="Purchase Withinstate- Stores, Spares &amp; Consumable"/>
    <n v="312"/>
    <d v="2026-07-07T00:00:00"/>
    <s v="RM Consumables"/>
    <s v="FIBC Accessories"/>
    <s v="FIBC Accessories"/>
    <s v="Consumables"/>
    <s v="Tyvek Labels (Pcs)"/>
    <n v="2000"/>
    <n v="5200"/>
    <s v="Tyvek Labels (Pcs)"/>
    <n v="6136"/>
    <n v="9"/>
    <n v="468"/>
    <n v="9"/>
    <n v="468"/>
    <n v="0"/>
    <n v="0"/>
    <n v="0"/>
    <n v="936"/>
    <n v="0"/>
    <s v="24CSJPP6974M1ZU"/>
    <s v="Pcs"/>
    <n v="58079010"/>
    <s v="Rs."/>
    <n v="1"/>
    <n v="6.6"/>
    <s v="India"/>
    <x v="0"/>
  </r>
  <r>
    <d v="2026-07-11T00:00:00"/>
    <s v="Panchvati Tools Co."/>
    <s v="General Purchase"/>
    <s v="GNSP 378"/>
    <s v="Purchase Withinstate- Stores, Spares &amp; Consumable"/>
    <n v="1065"/>
    <d v="2026-07-10T00:00:00"/>
    <s v="Stores/Spares"/>
    <s v="Hardware Items"/>
    <s v="Stores &amp; Spares"/>
    <s v="stores &amp;  spares"/>
    <s v="Hex Bolt 12X100 mm Full Thread"/>
    <n v="10"/>
    <n v="224.196"/>
    <s v="Hex Bolt 12X100 mm Full Thread"/>
    <n v="548"/>
    <n v="9"/>
    <n v="20.18"/>
    <n v="9"/>
    <n v="20.18"/>
    <n v="0"/>
    <n v="0"/>
    <n v="0"/>
    <n v="40.36"/>
    <n v="0"/>
    <s v="24ABVPP9097Q1Z7"/>
    <s v="Pcs"/>
    <n v="84821011"/>
    <s v="Rs."/>
    <n v="1"/>
    <n v="0"/>
    <s v="India"/>
    <x v="0"/>
  </r>
  <r>
    <d v="2026-07-11T00:00:00"/>
    <s v="Panchvati Tools Co."/>
    <s v="General Purchase"/>
    <s v="GNSP 378"/>
    <s v="Purchase Withinstate- Stores, Spares &amp; Consumable"/>
    <n v="1065"/>
    <d v="2026-07-10T00:00:00"/>
    <s v="Stores/Spares"/>
    <s v="Hardware Items"/>
    <s v="Stores &amp; Spares"/>
    <s v="stores &amp;  spares"/>
    <s v="Allen Key 10 mm - L Type"/>
    <n v="5"/>
    <n v="240"/>
    <s v="Allen Key 10 mm - L Type"/>
    <n v="0"/>
    <n v="9"/>
    <n v="21.6"/>
    <n v="9"/>
    <n v="21.6"/>
    <n v="0"/>
    <n v="0"/>
    <n v="0"/>
    <n v="43.2"/>
    <n v="0"/>
    <s v="24ABVPP9097Q1Z7"/>
    <s v="Pcs"/>
    <n v="84821011"/>
    <s v="Rs."/>
    <n v="1"/>
    <n v="0"/>
    <s v="India"/>
    <x v="0"/>
  </r>
  <r>
    <d v="2026-07-11T00:00:00"/>
    <s v="Plastene India ltd - Unit 1-Purchase"/>
    <s v="R.M.P."/>
    <s v="RM 276"/>
    <s v="Purchase Withinstate - Raw Material"/>
    <s v="PIL1/ME/14"/>
    <d v="2026-07-11T00:00:00"/>
    <s v="FG"/>
    <s v="FIBC Bags"/>
    <s v="FIBC Bags"/>
    <s v="PP WOVEN BIG BAGS / SACKS"/>
    <s v="FIBC Bags With UV Without Liner"/>
    <n v="8683.4"/>
    <n v="3003501.2259999998"/>
    <s v="FIBC Bags With UV Without Liner"/>
    <n v="3003501.23"/>
    <n v="0.05"/>
    <n v="1501.75"/>
    <n v="0.05"/>
    <n v="1501.75"/>
    <n v="0"/>
    <n v="0"/>
    <n v="0"/>
    <n v="3003.5"/>
    <n v="0"/>
    <s v="24AAACO3087C1ZT"/>
    <s v="Kgs"/>
    <n v="63053200"/>
    <s v="Rs."/>
    <n v="1"/>
    <n v="8683.4"/>
    <s v="India"/>
    <x v="9"/>
  </r>
  <r>
    <d v="2026-07-11T00:00:00"/>
    <s v="Plastene India ltd - Unit 2-Purchase"/>
    <s v="Purchase"/>
    <s v="GNPK 140"/>
    <s v="Purchase Withinstate- Packing Material"/>
    <s v="PIL2/D/358"/>
    <d v="2026-07-10T00:00:00"/>
    <s v="Stores/Spares"/>
    <s v="MS Structure Items"/>
    <s v="Packing Materials"/>
    <s v="Packing Materials"/>
    <s v="MS Pipe"/>
    <n v="115"/>
    <n v="5520"/>
    <s v="MS Pipe"/>
    <n v="6507.78"/>
    <n v="9"/>
    <n v="496.8"/>
    <n v="9"/>
    <n v="496.8"/>
    <n v="0"/>
    <n v="0"/>
    <n v="0"/>
    <n v="993.6"/>
    <n v="0"/>
    <s v="24AAACO3087C1ZT"/>
    <s v="Kgs"/>
    <n v="7306309"/>
    <s v="Rs."/>
    <n v="1"/>
    <n v="0"/>
    <s v="India"/>
    <x v="0"/>
  </r>
  <r>
    <d v="2026-07-11T00:00:00"/>
    <s v="Plastene India ltd - Unit 2-Purchase"/>
    <s v="R.M.P."/>
    <s v="RM 277"/>
    <s v="Purchase Withinstate - Raw Material"/>
    <s v="PIL2/D/357"/>
    <d v="2026-07-10T00:00:00"/>
    <s v="RM"/>
    <s v="Granules"/>
    <s v="UV MB"/>
    <s v="Master batch"/>
    <s v="UV PIL NFG Natural MFY PP 20%"/>
    <n v="2100"/>
    <n v="504000"/>
    <s v="UV PIL NFG Natural MFY PP 20%"/>
    <n v="1354498.35"/>
    <n v="9"/>
    <n v="45360"/>
    <n v="9"/>
    <n v="45360"/>
    <n v="0"/>
    <n v="0"/>
    <n v="0"/>
    <n v="90720"/>
    <n v="0"/>
    <s v="24AAACO3087C1ZT"/>
    <s v="Kgs"/>
    <n v="32061190"/>
    <s v="Rs."/>
    <n v="1"/>
    <n v="2100"/>
    <s v="India"/>
    <x v="13"/>
  </r>
  <r>
    <d v="2026-07-11T00:00:00"/>
    <s v="Plastene India ltd - Unit 2-Purchase"/>
    <s v="R.M.P."/>
    <s v="RM 277"/>
    <s v="Purchase Withinstate - Raw Material"/>
    <s v="PIL2/D/357"/>
    <d v="2026-07-10T00:00:00"/>
    <s v="SF"/>
    <s v="PP/PE Fabric"/>
    <s v="PP UL Fabric"/>
    <s v="PP WOVEN FABRIC"/>
    <s v="PP UL Fabric With UV"/>
    <n v="3968"/>
    <n v="422988.79999999999"/>
    <s v="PP UL Fabric With UV"/>
    <n v="0"/>
    <n v="9"/>
    <n v="38068.99"/>
    <n v="9"/>
    <n v="38068.99"/>
    <n v="0"/>
    <n v="0"/>
    <n v="0"/>
    <n v="76137.98"/>
    <n v="0"/>
    <s v="24AAACO3087C1ZT"/>
    <s v="Kgs"/>
    <n v="39269080"/>
    <s v="Rs."/>
    <n v="1"/>
    <n v="3968"/>
    <s v="India"/>
    <x v="1"/>
  </r>
  <r>
    <d v="2026-07-11T00:00:00"/>
    <s v="Plastene India ltd - Unit 2-Purchase"/>
    <s v="R.M.P."/>
    <s v="RM 277"/>
    <s v="Purchase Withinstate - Raw Material"/>
    <s v="PIL2/D/357"/>
    <d v="2026-07-10T00:00:00"/>
    <s v="SF"/>
    <s v="Webbing"/>
    <s v="PP Webbing"/>
    <s v="PP WEBBING"/>
    <s v="Webbing MF"/>
    <n v="546.20000000000005"/>
    <n v="72426.12"/>
    <s v="Webbing MF"/>
    <n v="0"/>
    <n v="9"/>
    <n v="6518.35"/>
    <n v="9"/>
    <n v="6518.35"/>
    <n v="0"/>
    <n v="0"/>
    <n v="0"/>
    <n v="13036.7"/>
    <n v="0"/>
    <s v="24AAACO3087C1ZT"/>
    <s v="Kgs"/>
    <n v="39269080"/>
    <s v="Rs."/>
    <n v="1"/>
    <n v="546.20000000000005"/>
    <s v="India"/>
    <x v="6"/>
  </r>
  <r>
    <d v="2026-07-11T00:00:00"/>
    <s v="Plastene India ltd - Unit 2-Purchase"/>
    <s v="R.M.P."/>
    <s v="RM 277"/>
    <s v="Purchase Withinstate - Raw Material"/>
    <s v="PIL2/D/357"/>
    <d v="2026-07-10T00:00:00"/>
    <s v="SF"/>
    <s v="Webbing"/>
    <s v="PP Webbing"/>
    <s v="PP WEBBING"/>
    <s v="Webbing MF"/>
    <n v="300.60000000000002"/>
    <n v="38055.96"/>
    <s v="Webbing MF"/>
    <n v="0"/>
    <n v="9"/>
    <n v="3425.04"/>
    <n v="9"/>
    <n v="3425.04"/>
    <n v="0"/>
    <n v="0"/>
    <n v="0"/>
    <n v="6850.08"/>
    <n v="0"/>
    <s v="24AAACO3087C1ZT"/>
    <s v="Kgs"/>
    <n v="39269080"/>
    <s v="Rs."/>
    <n v="1"/>
    <n v="300.60000000000002"/>
    <s v="India"/>
    <x v="6"/>
  </r>
  <r>
    <d v="2026-07-11T00:00:00"/>
    <s v="Plastene India ltd - Unit 2-Purchase"/>
    <s v="R.M.P."/>
    <s v="RM 277"/>
    <s v="Purchase Withinstate - Raw Material"/>
    <s v="PIL2/D/357"/>
    <d v="2026-07-10T00:00:00"/>
    <s v="SF"/>
    <s v="Webbing"/>
    <s v="PP Webbing"/>
    <s v="PP WEBBING"/>
    <s v="Webbing MF"/>
    <n v="879.8"/>
    <n v="111382.68"/>
    <s v="Webbing MF"/>
    <n v="0"/>
    <n v="9"/>
    <n v="10024.44"/>
    <n v="9"/>
    <n v="10024.44"/>
    <n v="0"/>
    <n v="0"/>
    <n v="0"/>
    <n v="20048.88"/>
    <n v="0"/>
    <s v="24AAACO3087C1ZT"/>
    <s v="Kgs"/>
    <n v="39269080"/>
    <s v="Rs."/>
    <n v="1"/>
    <n v="879.8"/>
    <s v="India"/>
    <x v="6"/>
  </r>
  <r>
    <d v="2026-07-11T00:00:00"/>
    <s v="Plastene India ltd - Unit 2-Purchase"/>
    <s v="R.M.P."/>
    <s v="RM 278"/>
    <s v="Purchase Withinstate - Raw Material"/>
    <s v="PIL2/D/362"/>
    <d v="2026-07-11T00:00:00"/>
    <s v="FG"/>
    <s v="FIBC Bags"/>
    <s v="FIBC Bags"/>
    <s v="PP WOVEN BIG BAGS / SACKS"/>
    <s v="FIBC Bags With UV Without Liner"/>
    <n v="20053"/>
    <n v="4044088.51"/>
    <s v="FIBC Bags With UV Without Liner"/>
    <n v="4767980.3600000003"/>
    <n v="9"/>
    <n v="363967.97"/>
    <n v="9"/>
    <n v="363967.97"/>
    <n v="0"/>
    <n v="0"/>
    <n v="0"/>
    <n v="727935.94"/>
    <n v="0"/>
    <s v="24AAACO3087C1ZT"/>
    <s v="Kgs"/>
    <n v="63053200"/>
    <s v="Rs."/>
    <n v="1"/>
    <n v="20053"/>
    <s v="India"/>
    <x v="9"/>
  </r>
  <r>
    <d v="2026-07-11T00:00:00"/>
    <s v="Sayona Engineers"/>
    <s v="General Purchase"/>
    <s v="GNCN 219"/>
    <s v="Purchase Withinstate- Stores, Spares &amp; Consumable"/>
    <n v="338"/>
    <d v="2026-07-10T00:00:00"/>
    <s v="RM Consumables"/>
    <s v="FIBC Accessories"/>
    <s v="Stores &amp; Spares"/>
    <s v="Consumables"/>
    <s v="Ear B-Lock Natural Colour"/>
    <n v="6500"/>
    <n v="22425"/>
    <s v="Ear B-Lock Natural Colour"/>
    <n v="56994"/>
    <n v="9"/>
    <n v="2018.25"/>
    <n v="9"/>
    <n v="2018.25"/>
    <n v="0"/>
    <n v="0"/>
    <n v="0"/>
    <n v="4036.5"/>
    <n v="0"/>
    <s v="24AGKPC9603P1Z3"/>
    <s v="Pcs"/>
    <n v="39235090"/>
    <s v="Rs."/>
    <n v="1"/>
    <n v="6500"/>
    <s v="India"/>
    <x v="0"/>
  </r>
  <r>
    <d v="2026-07-11T00:00:00"/>
    <s v="Sayona Engineers"/>
    <s v="General Purchase"/>
    <s v="GNCN 219"/>
    <s v="Purchase Withinstate- Stores, Spares &amp; Consumable"/>
    <n v="338"/>
    <d v="2026-07-10T00:00:00"/>
    <s v="RM Consumables"/>
    <s v="FIBC Accessories"/>
    <s v="Stores &amp; Spares"/>
    <s v="Consumables"/>
    <s v="B-Lock PP Natural Color Galaxy make"/>
    <n v="7500"/>
    <n v="25875"/>
    <s v="B-Lock PP Natural Color Galaxy make"/>
    <n v="0"/>
    <n v="9"/>
    <n v="2328.75"/>
    <n v="9"/>
    <n v="2328.75"/>
    <n v="0"/>
    <n v="0"/>
    <n v="0"/>
    <n v="4657.5"/>
    <n v="0"/>
    <s v="24AGKPC9603P1Z3"/>
    <s v="Pcs"/>
    <n v="39235090"/>
    <s v="Rs."/>
    <n v="1"/>
    <n v="7500"/>
    <s v="India"/>
    <x v="0"/>
  </r>
  <r>
    <d v="2026-07-12T00:00:00"/>
    <s v="HCP Plastene Bulkpack Limited - Purchase"/>
    <s v="R.M.P."/>
    <s v="RM 279"/>
    <s v="Purchase Withinstate - Raw Material"/>
    <s v="HPBL/D/369"/>
    <d v="2026-07-12T00:00:00"/>
    <s v="SF"/>
    <s v="PP/PE Fabric"/>
    <s v="PP UL Fabric"/>
    <s v="PP WOVEN FABRIC"/>
    <s v="PP UL Fabric With UV"/>
    <n v="618"/>
    <n v="133790.82"/>
    <s v="PP UL Fabric With UV"/>
    <n v="1269062.5900000001"/>
    <n v="9"/>
    <n v="12041.17"/>
    <n v="9"/>
    <n v="12041.17"/>
    <n v="0"/>
    <n v="0"/>
    <n v="0"/>
    <n v="24082.34"/>
    <n v="0"/>
    <s v="24AABCG1282C2Z6"/>
    <s v="Kgs"/>
    <n v="39269080"/>
    <s v="Rs."/>
    <n v="1"/>
    <n v="618"/>
    <s v="India"/>
    <x v="1"/>
  </r>
  <r>
    <d v="2026-07-12T00:00:00"/>
    <s v="HCP Plastene Bulkpack Limited - Purchase"/>
    <s v="R.M.P."/>
    <s v="RM 279"/>
    <s v="Purchase Withinstate - Raw Material"/>
    <s v="HPBL/D/369"/>
    <d v="2026-07-12T00:00:00"/>
    <s v="SF"/>
    <s v="PP/PE Fabric"/>
    <s v="PP UL Fabric"/>
    <s v="PP WOVEN FABRIC"/>
    <s v="PP UL Fabric With UV"/>
    <n v="2903"/>
    <n v="454290.47"/>
    <s v="PP UL Fabric With UV"/>
    <n v="0"/>
    <n v="9"/>
    <n v="40886.14"/>
    <n v="9"/>
    <n v="40886.14"/>
    <n v="0"/>
    <n v="0"/>
    <n v="0"/>
    <n v="81772.28"/>
    <n v="0"/>
    <s v="24AABCG1282C2Z6"/>
    <s v="Kgs"/>
    <n v="39269080"/>
    <s v="Rs."/>
    <n v="1"/>
    <n v="2903"/>
    <s v="India"/>
    <x v="1"/>
  </r>
  <r>
    <d v="2026-07-12T00:00:00"/>
    <s v="HCP Plastene Bulkpack Limited - Purchase"/>
    <s v="R.M.P."/>
    <s v="RM 279"/>
    <s v="Purchase Withinstate - Raw Material"/>
    <s v="HPBL/D/369"/>
    <d v="2026-07-12T00:00:00"/>
    <s v="SF"/>
    <s v="PP/PE Fabric"/>
    <s v="PP Lam Fabric"/>
    <s v="PP LAMINETED FABRIC"/>
    <s v="PP Lam Fabric With UV"/>
    <n v="3081"/>
    <n v="488307.69"/>
    <s v="PP Lam Fabric With UV"/>
    <n v="0"/>
    <n v="9"/>
    <n v="43947.69"/>
    <n v="9"/>
    <n v="43947.69"/>
    <n v="0"/>
    <n v="0"/>
    <n v="0"/>
    <n v="87895.38"/>
    <n v="0"/>
    <s v="24AABCG1282C2Z6"/>
    <s v="Kgs"/>
    <n v="63053300"/>
    <s v="Rs."/>
    <n v="1"/>
    <n v="3081"/>
    <s v="India"/>
    <x v="2"/>
  </r>
  <r>
    <d v="2026-07-12T00:00:00"/>
    <s v="Lohia Corp Limited - 24AAKCK2932Q1Z2 - Guj"/>
    <s v="General Purchase"/>
    <s v="GNSP 382"/>
    <s v="Purchase Withinstate- Stores, Spares &amp; Consumable"/>
    <s v="TG2426104106"/>
    <d v="2026-07-09T00:00:00"/>
    <s v="Stores/Spares"/>
    <s v="Cutting Machine Spares"/>
    <s v="Stores &amp; Spares"/>
    <s v="stores &amp;  spares"/>
    <s v="Sleeve Part No.11150001300"/>
    <n v="3"/>
    <n v="67.5"/>
    <s v="Sleeve Part No.11150001300"/>
    <n v="85.35"/>
    <n v="9"/>
    <n v="6.51"/>
    <n v="9"/>
    <n v="6.51"/>
    <n v="0"/>
    <n v="0"/>
    <n v="0"/>
    <n v="13.02"/>
    <n v="0"/>
    <s v="24AAKCK2932Q1Z2"/>
    <s v="Pcs"/>
    <n v="84798999"/>
    <s v="Rs."/>
    <n v="1"/>
    <n v="0"/>
    <s v="India"/>
    <x v="0"/>
  </r>
  <r>
    <d v="2026-07-12T00:00:00"/>
    <s v="Lohia Corp Limited - 24AAKCK2932Q1Z2 - Guj"/>
    <s v="General Purchase"/>
    <s v="GNSP 383"/>
    <s v="Purchase Withinstate- Stores, Spares &amp; Consumable"/>
    <s v="TG2426104105"/>
    <d v="2026-07-09T00:00:00"/>
    <s v="Stores/Spares"/>
    <s v="Tape Plant Spares"/>
    <s v="Stores &amp; Spares"/>
    <s v="stores &amp;  spares"/>
    <s v="Brake Part No. 11130860430"/>
    <n v="6"/>
    <n v="324"/>
    <s v="Brake Part No. 11130860430"/>
    <n v="379.56"/>
    <n v="9"/>
    <n v="28.95"/>
    <n v="9"/>
    <n v="28.95"/>
    <n v="0"/>
    <n v="0"/>
    <n v="0"/>
    <n v="57.9"/>
    <n v="0"/>
    <s v="24AAKCK2932Q1Z2"/>
    <s v="Pcs"/>
    <n v="844820"/>
    <s v="Rs."/>
    <n v="1"/>
    <n v="0"/>
    <s v="India"/>
    <x v="0"/>
  </r>
  <r>
    <d v="2026-07-12T00:00:00"/>
    <s v="Lohia Corp Limited - 24AAKCK2932Q1Z2 - Guj"/>
    <s v="General Purchase"/>
    <s v="GNSP 384"/>
    <s v="Purchase Withinstate- Stores, Spares &amp; Consumable"/>
    <s v="TG2426103274"/>
    <d v="2026-06-25T00:00:00"/>
    <s v="Stores/Spares"/>
    <s v="Circular Loom Spares"/>
    <s v="Stores &amp; Spares"/>
    <s v="stores &amp;  spares"/>
    <s v="Rubber Emery 100 mMSq. Type"/>
    <n v="100"/>
    <n v="12000"/>
    <s v="Rubber Emery 100 mMSq. Type"/>
    <n v="12579"/>
    <n v="2.5"/>
    <n v="299.5"/>
    <n v="2.5"/>
    <n v="299.5"/>
    <n v="0"/>
    <n v="0"/>
    <n v="0"/>
    <n v="599"/>
    <n v="0"/>
    <s v="24AAKCK2932Q1Z2"/>
    <s v="MTR"/>
    <n v="844810"/>
    <s v="Rs."/>
    <n v="1"/>
    <n v="0"/>
    <s v="India"/>
    <x v="0"/>
  </r>
  <r>
    <d v="2026-07-12T00:00:00"/>
    <s v="Plastene India ltd - Unit 1-Purchase"/>
    <s v="Purchase"/>
    <s v="GNPK 142"/>
    <s v="Purchase Withinstate- Packing Material"/>
    <s v="PIL1/D/1018"/>
    <d v="2026-07-12T00:00:00"/>
    <s v="Stores/Spares"/>
    <s v="MS Structure Items"/>
    <s v="Packing Materials"/>
    <s v="Packing Materials"/>
    <s v="MS Pipe 4  C Class"/>
    <n v="218"/>
    <n v="10464"/>
    <s v="MS Pipe 4  C Class"/>
    <n v="12337.06"/>
    <n v="9"/>
    <n v="941.76"/>
    <n v="9"/>
    <n v="941.76"/>
    <n v="0"/>
    <n v="0"/>
    <n v="0"/>
    <n v="1883.52"/>
    <n v="0"/>
    <s v="24AAACO3087C1ZT"/>
    <s v="Kgs"/>
    <n v="73063090"/>
    <s v="Rs."/>
    <n v="1"/>
    <n v="0"/>
    <s v="India"/>
    <x v="0"/>
  </r>
  <r>
    <d v="2026-07-12T00:00:00"/>
    <s v="Plastene India ltd - Unit 1-Purchase"/>
    <s v="R.M.P."/>
    <s v="RM 280"/>
    <s v="Purchase Withinstate - Raw Material"/>
    <s v="PIL1/DE/20"/>
    <d v="2026-07-11T00:00:00"/>
    <s v="SF"/>
    <s v="PP/PE Fabric"/>
    <s v="PP UL Fabric"/>
    <s v="PP WOVEN FABRIC"/>
    <s v="PP UL Fabric With UV"/>
    <n v="579"/>
    <n v="228705"/>
    <s v="PP UL Fabric With UV"/>
    <n v="269643.3"/>
    <n v="9"/>
    <n v="20583.45"/>
    <n v="9"/>
    <n v="20583.45"/>
    <n v="0"/>
    <n v="0"/>
    <n v="0"/>
    <n v="41166.9"/>
    <n v="0"/>
    <s v="24AAACO3087C1ZT"/>
    <s v="Kgs"/>
    <n v="39269080"/>
    <s v="Rs."/>
    <n v="1"/>
    <n v="579"/>
    <s v="India"/>
    <x v="1"/>
  </r>
  <r>
    <d v="2026-07-12T00:00:00"/>
    <s v="Plastene India ltd - Unit 1-Purchase"/>
    <s v="R.M.P."/>
    <s v="RM 281"/>
    <s v="Purchase Withinstate - Raw Material"/>
    <s v="PIL1/D/1019"/>
    <d v="2026-07-11T00:00:00"/>
    <s v="SF"/>
    <s v="Liners"/>
    <s v="LDPE/LLDPE Bags"/>
    <s v="LLDPE BAGS"/>
    <s v="LDPE/LLDPE Bags/Liner"/>
    <n v="3339.8"/>
    <n v="690603.84400000004"/>
    <s v="LDPE/LLDPE Bags/Liner"/>
    <n v="2213207.33"/>
    <n v="9"/>
    <n v="62154.35"/>
    <n v="9"/>
    <n v="62154.35"/>
    <n v="0"/>
    <n v="0"/>
    <n v="0"/>
    <n v="124308.7"/>
    <n v="0"/>
    <s v="24AAACO3087C1ZT"/>
    <s v="Kgs"/>
    <n v="39200000"/>
    <s v="Rs."/>
    <n v="1"/>
    <n v="3339.8"/>
    <s v="India"/>
    <x v="4"/>
  </r>
  <r>
    <d v="2026-07-12T00:00:00"/>
    <s v="Plastene India ltd - Unit 1-Purchase"/>
    <s v="R.M.P."/>
    <s v="RM 281"/>
    <s v="Purchase Withinstate - Raw Material"/>
    <s v="PIL1/D/1019"/>
    <d v="2026-07-11T00:00:00"/>
    <s v="SF"/>
    <s v="Liners"/>
    <s v="LDPE/LLDPE Bags"/>
    <s v="LLDPE BAGS"/>
    <s v="LDPE/LLDPE Bags/Liner"/>
    <n v="565"/>
    <n v="103270.7"/>
    <s v="LDPE/LLDPE Bags/Liner"/>
    <n v="0"/>
    <n v="9"/>
    <n v="9294.36"/>
    <n v="9"/>
    <n v="9294.36"/>
    <n v="0"/>
    <n v="0"/>
    <n v="0"/>
    <n v="18588.72"/>
    <n v="0"/>
    <s v="24AAACO3087C1ZT"/>
    <s v="Kgs"/>
    <n v="39200000"/>
    <s v="Rs."/>
    <n v="1"/>
    <n v="565"/>
    <s v="India"/>
    <x v="4"/>
  </r>
  <r>
    <d v="2026-07-12T00:00:00"/>
    <s v="Plastene India ltd - Unit 1-Purchase"/>
    <s v="R.M.P."/>
    <s v="RM 281"/>
    <s v="Purchase Withinstate - Raw Material"/>
    <s v="PIL1/D/1019"/>
    <d v="2026-07-11T00:00:00"/>
    <s v="SF"/>
    <s v="Liners"/>
    <s v="LDPE/LLDPE Bags"/>
    <s v="LLDPE BAGS"/>
    <s v="LDPE/LLDPE Bags/Liner"/>
    <n v="225"/>
    <n v="42025.5"/>
    <s v="LDPE/LLDPE Bags/Liner"/>
    <n v="0"/>
    <n v="9"/>
    <n v="3782.3"/>
    <n v="9"/>
    <n v="3782.3"/>
    <n v="0"/>
    <n v="0"/>
    <n v="0"/>
    <n v="7564.6"/>
    <n v="0"/>
    <s v="24AAACO3087C1ZT"/>
    <s v="Kgs"/>
    <n v="39200000"/>
    <s v="Rs."/>
    <n v="1"/>
    <n v="225"/>
    <s v="India"/>
    <x v="4"/>
  </r>
  <r>
    <d v="2026-07-12T00:00:00"/>
    <s v="Plastene India ltd - Unit 1-Purchase"/>
    <s v="R.M.P."/>
    <s v="RM 281"/>
    <s v="Purchase Withinstate - Raw Material"/>
    <s v="PIL1/D/1019"/>
    <d v="2026-07-11T00:00:00"/>
    <s v="SF"/>
    <s v="PP/PE Fabric"/>
    <s v="PP UL Fabric"/>
    <s v="PP WOVEN FABRIC"/>
    <s v="PP UL Fabric With UV"/>
    <n v="1616"/>
    <n v="233495.84"/>
    <s v="PP UL Fabric With UV"/>
    <n v="0"/>
    <n v="9"/>
    <n v="21014.63"/>
    <n v="9"/>
    <n v="21014.63"/>
    <n v="0"/>
    <n v="0"/>
    <n v="0"/>
    <n v="42029.26"/>
    <n v="0"/>
    <s v="24AAACO3087C1ZT"/>
    <s v="Kgs"/>
    <n v="39269080"/>
    <s v="Rs."/>
    <n v="1"/>
    <n v="1616"/>
    <s v="India"/>
    <x v="1"/>
  </r>
  <r>
    <d v="2026-07-12T00:00:00"/>
    <s v="Plastene India ltd - Unit 1-Purchase"/>
    <s v="R.M.P."/>
    <s v="RM 281"/>
    <s v="Purchase Withinstate - Raw Material"/>
    <s v="PIL1/D/1019"/>
    <d v="2026-07-11T00:00:00"/>
    <s v="SF"/>
    <s v="PP/PE Fabric"/>
    <s v="PP UL Fabric"/>
    <s v="PP WOVEN FABRIC"/>
    <s v="PP UL Fabric With UV"/>
    <n v="551"/>
    <n v="81266.990000000005"/>
    <s v="PP UL Fabric With UV"/>
    <n v="0"/>
    <n v="9"/>
    <n v="7314.03"/>
    <n v="9"/>
    <n v="7314.03"/>
    <n v="0"/>
    <n v="0"/>
    <n v="0"/>
    <n v="14628.06"/>
    <n v="0"/>
    <s v="24AAACO3087C1ZT"/>
    <s v="Kgs"/>
    <n v="39269080"/>
    <s v="Rs."/>
    <n v="1"/>
    <n v="551"/>
    <s v="India"/>
    <x v="1"/>
  </r>
  <r>
    <d v="2026-07-12T00:00:00"/>
    <s v="Plastene India ltd - Unit 1-Purchase"/>
    <s v="R.M.P."/>
    <s v="RM 281"/>
    <s v="Purchase Withinstate - Raw Material"/>
    <s v="PIL1/D/1019"/>
    <d v="2026-07-11T00:00:00"/>
    <s v="SF"/>
    <s v="PP/PE Fabric"/>
    <s v="PP UL Fabric"/>
    <s v="PP WOVEN FABRIC"/>
    <s v="PP UL Fabric With UV"/>
    <n v="1297"/>
    <n v="193888.53"/>
    <s v="PP UL Fabric With UV"/>
    <n v="0"/>
    <n v="9"/>
    <n v="17449.97"/>
    <n v="9"/>
    <n v="17449.97"/>
    <n v="0"/>
    <n v="0"/>
    <n v="0"/>
    <n v="34899.94"/>
    <n v="0"/>
    <s v="24AAACO3087C1ZT"/>
    <s v="Kgs"/>
    <n v="39269080"/>
    <s v="Rs."/>
    <n v="1"/>
    <n v="1297"/>
    <s v="India"/>
    <x v="1"/>
  </r>
  <r>
    <d v="2026-07-12T00:00:00"/>
    <s v="Plastene India ltd - Unit 1-Purchase"/>
    <s v="R.M.P."/>
    <s v="RM 281"/>
    <s v="Purchase Withinstate - Raw Material"/>
    <s v="PIL1/D/1019"/>
    <d v="2026-07-11T00:00:00"/>
    <s v="SF"/>
    <s v="PP/PE Fabric"/>
    <s v="PP Lam Fabric"/>
    <s v="PP LAMINETED FABRIC"/>
    <s v="PP Lam Fabric With UV"/>
    <n v="3516"/>
    <n v="532638.84"/>
    <s v="PP Lam Fabric With UV"/>
    <n v="0"/>
    <n v="9"/>
    <n v="47937.5"/>
    <n v="9"/>
    <n v="47937.5"/>
    <n v="0"/>
    <n v="0"/>
    <n v="0"/>
    <n v="95875"/>
    <n v="0"/>
    <s v="24AAACO3087C1ZT"/>
    <s v="Kgs"/>
    <n v="63053300"/>
    <s v="Rs."/>
    <n v="1"/>
    <n v="3516"/>
    <s v="India"/>
    <x v="2"/>
  </r>
  <r>
    <d v="2026-07-12T00:00:00"/>
    <s v="Satyam Stationery Mart"/>
    <s v="General Purchase"/>
    <s v="GNCN 223"/>
    <s v="Purchase Withinstate- Stores, Spares &amp; Consumable"/>
    <s v="SSM02197"/>
    <d v="2026-07-11T00:00:00"/>
    <s v="Consumables"/>
    <s v="Consumables"/>
    <s v="Stores &amp; Spares"/>
    <s v="Consumables"/>
    <s v="Disposable Cap"/>
    <n v="10000"/>
    <n v="6800"/>
    <s v="Disposable Cap"/>
    <n v="7140"/>
    <n v="2.5"/>
    <n v="170"/>
    <n v="2.5"/>
    <n v="170"/>
    <n v="0"/>
    <n v="0"/>
    <n v="0"/>
    <n v="340"/>
    <n v="0"/>
    <s v="24AGUPL9792N1Z6"/>
    <s v="Pcs"/>
    <n v="62104090"/>
    <s v="Rs."/>
    <n v="1"/>
    <n v="0"/>
    <s v="India"/>
    <x v="0"/>
  </r>
  <r>
    <d v="2026-07-12T00:00:00"/>
    <s v="Shiv Shakti Enterprise"/>
    <s v="Purchase"/>
    <s v="GNPK 141"/>
    <s v="Purchase Withinstate- Packing Material"/>
    <s v="SSE/2026-27/0826"/>
    <d v="2026-07-08T00:00:00"/>
    <s v="Packing Material"/>
    <s v="Pallets"/>
    <s v="Pallets"/>
    <s v="Packing Materials"/>
    <s v="Pine Wooden Pallet Design Code STD90110"/>
    <n v="155"/>
    <n v="124775"/>
    <s v="Pine Wooden Pallet Design Code STD90110"/>
    <n v="142814"/>
    <n v="2.5"/>
    <n v="4019.38"/>
    <n v="2.5"/>
    <n v="4019.38"/>
    <n v="0"/>
    <n v="0"/>
    <n v="0"/>
    <n v="8038.76"/>
    <n v="0"/>
    <s v="24AIEPG9602Q1ZZ"/>
    <s v="Pcs"/>
    <n v="44152000"/>
    <s v="Rs."/>
    <n v="1"/>
    <n v="0"/>
    <s v="India"/>
    <x v="0"/>
  </r>
  <r>
    <d v="2026-07-12T00:00:00"/>
    <s v="Shree Ganesh Stereo"/>
    <s v="General Purchase"/>
    <s v="GNCN 222"/>
    <s v="Purchase Withinstate- Stores, Spares &amp; Consumable"/>
    <n v="1396"/>
    <d v="2026-07-09T00:00:00"/>
    <s v="Consumables"/>
    <s v="Rubber/Polymer Stereo"/>
    <s v="Stores &amp; Spares"/>
    <s v="Consumables"/>
    <s v="Rubber Stereo"/>
    <n v="1"/>
    <n v="238.7"/>
    <s v="Rubber Stereo"/>
    <n v="4096"/>
    <n v="9"/>
    <n v="21.48"/>
    <n v="9"/>
    <n v="21.48"/>
    <n v="0"/>
    <n v="0"/>
    <n v="0"/>
    <n v="42.96"/>
    <n v="0"/>
    <s v="24AHDPC2510M1ZU"/>
    <s v="Pcs"/>
    <n v="400200"/>
    <s v="Rs."/>
    <n v="1"/>
    <n v="0"/>
    <s v="India"/>
    <x v="0"/>
  </r>
  <r>
    <d v="2026-07-12T00:00:00"/>
    <s v="Shree Ganesh Stereo"/>
    <s v="General Purchase"/>
    <s v="GNCN 222"/>
    <s v="Purchase Withinstate- Stores, Spares &amp; Consumable"/>
    <n v="1396"/>
    <d v="2026-07-09T00:00:00"/>
    <s v="Consumables"/>
    <s v="Rubber/Polymer Stereo"/>
    <s v="Stores &amp; Spares"/>
    <s v="Consumables"/>
    <s v="Rubber Stereo"/>
    <n v="1"/>
    <n v="172.55"/>
    <s v="Rubber Stereo"/>
    <n v="0"/>
    <n v="9"/>
    <n v="15.53"/>
    <n v="9"/>
    <n v="15.53"/>
    <n v="0"/>
    <n v="0"/>
    <n v="0"/>
    <n v="31.06"/>
    <n v="0"/>
    <s v="24AHDPC2510M1ZU"/>
    <s v="Pcs"/>
    <n v="400200"/>
    <s v="Rs."/>
    <n v="1"/>
    <n v="0"/>
    <s v="India"/>
    <x v="0"/>
  </r>
  <r>
    <d v="2026-07-12T00:00:00"/>
    <s v="Shree Ganesh Stereo"/>
    <s v="General Purchase"/>
    <s v="GNCN 222"/>
    <s v="Purchase Withinstate- Stores, Spares &amp; Consumable"/>
    <n v="1396"/>
    <d v="2026-07-09T00:00:00"/>
    <s v="Consumables"/>
    <s v="Rubber/Polymer Stereo"/>
    <s v="Stores &amp; Spares"/>
    <s v="Consumables"/>
    <s v="Rubber Stereo"/>
    <n v="1"/>
    <n v="252"/>
    <s v="Rubber Stereo"/>
    <n v="0"/>
    <n v="9"/>
    <n v="22.68"/>
    <n v="9"/>
    <n v="22.68"/>
    <n v="0"/>
    <n v="0"/>
    <n v="0"/>
    <n v="45.36"/>
    <n v="0"/>
    <s v="24AHDPC2510M1ZU"/>
    <s v="Pcs"/>
    <n v="400200"/>
    <s v="Rs."/>
    <n v="1"/>
    <n v="0"/>
    <s v="India"/>
    <x v="0"/>
  </r>
  <r>
    <d v="2026-07-12T00:00:00"/>
    <s v="Shree Ganesh Stereo"/>
    <s v="General Purchase"/>
    <s v="GNCN 222"/>
    <s v="Purchase Withinstate- Stores, Spares &amp; Consumable"/>
    <n v="1396"/>
    <d v="2026-07-09T00:00:00"/>
    <s v="Consumables"/>
    <s v="Rubber/Polymer Stereo"/>
    <s v="Stores &amp; Spares"/>
    <s v="Consumables"/>
    <s v="Rubber Stereo"/>
    <n v="1"/>
    <n v="2808.05"/>
    <s v="Rubber Stereo"/>
    <n v="0"/>
    <n v="9"/>
    <n v="252.72"/>
    <n v="9"/>
    <n v="252.72"/>
    <n v="0"/>
    <n v="0"/>
    <n v="0"/>
    <n v="505.44"/>
    <n v="0"/>
    <s v="24AHDPC2510M1ZU"/>
    <s v="Pcs"/>
    <n v="400200"/>
    <s v="Rs."/>
    <n v="1"/>
    <n v="0"/>
    <s v="India"/>
    <x v="0"/>
  </r>
  <r>
    <d v="2026-07-12T00:00:00"/>
    <s v="Svan Texcon Pvt Ltd"/>
    <s v="General Purchase"/>
    <s v="GNSP 381"/>
    <s v="Purchase Withinstate- Stores, Spares &amp; Consumable"/>
    <s v="RI-0417/2026-27"/>
    <d v="2026-07-08T00:00:00"/>
    <s v="Stores/Spares"/>
    <s v="Sulzer Machine Spares"/>
    <s v="Stores &amp; Spares"/>
    <s v="stores &amp;  spares"/>
    <s v="M19 On-Off Switch Luna (43A00829S - 24.0047)"/>
    <n v="5"/>
    <n v="200"/>
    <s v="M19 On-Off Switch Luna (43A00829S - 24.0047)"/>
    <n v="200181"/>
    <n v="9"/>
    <n v="18"/>
    <n v="9"/>
    <n v="18"/>
    <n v="0"/>
    <n v="0"/>
    <n v="0"/>
    <n v="36"/>
    <n v="0"/>
    <s v="24AABCS6490E1ZF"/>
    <s v="Pcs"/>
    <n v="84481900"/>
    <s v="Rs."/>
    <n v="1"/>
    <n v="0"/>
    <s v="India"/>
    <x v="0"/>
  </r>
  <r>
    <d v="2026-07-12T00:00:00"/>
    <s v="Svan Texcon Pvt Ltd"/>
    <s v="General Purchase"/>
    <s v="GNSP 381"/>
    <s v="Purchase Withinstate- Stores, Spares &amp; Consumable"/>
    <s v="RI-0417/2026-27"/>
    <d v="2026-07-08T00:00:00"/>
    <s v="Stores/Spares"/>
    <s v="Sulzer Machine Spares"/>
    <s v="Stores &amp; Spares"/>
    <s v="stores &amp;  spares"/>
    <s v="M20 Frame for Luna On-Off Switch (24.0048 - 43A008285)"/>
    <n v="5"/>
    <n v="250"/>
    <s v="M20 Frame for Luna On-Off Switch (24.0048 - 43A008285)"/>
    <n v="0"/>
    <n v="9"/>
    <n v="22.5"/>
    <n v="9"/>
    <n v="22.5"/>
    <n v="0"/>
    <n v="0"/>
    <n v="0"/>
    <n v="45"/>
    <n v="0"/>
    <s v="24AABCS6490E1ZF"/>
    <s v="Pcs"/>
    <n v="84481900"/>
    <s v="Rs."/>
    <n v="1"/>
    <n v="0"/>
    <s v="India"/>
    <x v="0"/>
  </r>
  <r>
    <d v="2026-07-12T00:00:00"/>
    <s v="Svan Texcon Pvt Ltd"/>
    <s v="General Purchase"/>
    <s v="GNSP 381"/>
    <s v="Purchase Withinstate- Stores, Spares &amp; Consumable"/>
    <s v="RI-0417/2026-27"/>
    <d v="2026-07-08T00:00:00"/>
    <s v="Stores/Spares"/>
    <s v="Sulzer Machine Spares"/>
    <s v="Stores &amp; Spares"/>
    <s v="stores &amp;  spares"/>
    <s v="Eyelet  27.0479.002 Sr No 62"/>
    <n v="2"/>
    <n v="1400"/>
    <s v="Eyelet  27.0479.002 Sr No 62"/>
    <n v="0"/>
    <n v="9"/>
    <n v="126"/>
    <n v="9"/>
    <n v="126"/>
    <n v="0"/>
    <n v="0"/>
    <n v="0"/>
    <n v="252"/>
    <n v="0"/>
    <s v="24AABCS6490E1ZF"/>
    <s v="Pcs"/>
    <n v="448190"/>
    <s v="Rs."/>
    <n v="1"/>
    <n v="0"/>
    <s v="India"/>
    <x v="0"/>
  </r>
  <r>
    <d v="2026-07-12T00:00:00"/>
    <s v="Svan Texcon Pvt Ltd"/>
    <s v="General Purchase"/>
    <s v="GNSP 381"/>
    <s v="Purchase Withinstate- Stores, Spares &amp; Consumable"/>
    <s v="RI-0417/2026-27"/>
    <d v="2026-07-08T00:00:00"/>
    <s v="Stores/Spares"/>
    <s v="Accumulator Spares"/>
    <s v="Stores &amp; Spares"/>
    <s v="stores &amp;  spares"/>
    <s v="S/Z Switch Part no.24.0810.001"/>
    <n v="3"/>
    <n v="255"/>
    <s v="S/Z Switch Part no.24.0810.001"/>
    <n v="0"/>
    <n v="9"/>
    <n v="22.95"/>
    <n v="9"/>
    <n v="22.95"/>
    <n v="0"/>
    <n v="0"/>
    <n v="0"/>
    <n v="45.9"/>
    <n v="0"/>
    <s v="24AABCS6490E1ZF"/>
    <s v="Pcs"/>
    <n v="8448"/>
    <s v="Rs."/>
    <n v="1"/>
    <n v="0"/>
    <s v="India"/>
    <x v="0"/>
  </r>
  <r>
    <d v="2026-07-12T00:00:00"/>
    <s v="Svan Texcon Pvt Ltd"/>
    <s v="General Purchase"/>
    <s v="GNSP 381"/>
    <s v="Purchase Withinstate- Stores, Spares &amp; Consumable"/>
    <s v="RI-0417/2026-27"/>
    <d v="2026-07-08T00:00:00"/>
    <s v="Stores/Spares"/>
    <s v="Accumulator Spares"/>
    <s v="Stores &amp; Spares"/>
    <s v="stores &amp;  spares"/>
    <s v="Winding Disc Complete Part no.24.0783.101"/>
    <n v="2"/>
    <n v="12400"/>
    <s v="Winding Disc Complete Part no.24.0783.101"/>
    <n v="0"/>
    <n v="9"/>
    <n v="1116"/>
    <n v="9"/>
    <n v="1116"/>
    <n v="0"/>
    <n v="0"/>
    <n v="0"/>
    <n v="2232"/>
    <n v="0"/>
    <s v="24AABCS6490E1ZF"/>
    <s v="Pcs"/>
    <n v="84481900"/>
    <s v="Rs."/>
    <n v="1"/>
    <n v="0"/>
    <s v="India"/>
    <x v="0"/>
  </r>
  <r>
    <d v="2026-07-12T00:00:00"/>
    <s v="Svan Texcon Pvt Ltd"/>
    <s v="General Purchase"/>
    <s v="GNSP 381"/>
    <s v="Purchase Withinstate- Stores, Spares &amp; Consumable"/>
    <s v="RI-0417/2026-27"/>
    <d v="2026-07-08T00:00:00"/>
    <s v="Stores/Spares"/>
    <s v="Sulzer Loom Spares"/>
    <s v="Stores/Spares"/>
    <s v="stores &amp;  spares"/>
    <s v="Sensor Circuit Board HDX-2 Part No 9E00415R"/>
    <n v="1"/>
    <n v="13600"/>
    <s v="Sensor Circuit Board HDX-2 Part No 9E00415R"/>
    <n v="0"/>
    <n v="9"/>
    <n v="1224"/>
    <n v="9"/>
    <n v="1224"/>
    <n v="0"/>
    <n v="0"/>
    <n v="0"/>
    <n v="2448"/>
    <n v="0"/>
    <s v="24AABCS6490E1ZF"/>
    <s v="Pcs"/>
    <n v="84484990"/>
    <s v="Rs."/>
    <n v="1"/>
    <n v="0"/>
    <s v="India"/>
    <x v="0"/>
  </r>
  <r>
    <d v="2026-07-12T00:00:00"/>
    <s v="Svan Texcon Pvt Ltd"/>
    <s v="General Purchase"/>
    <s v="GNSP 381"/>
    <s v="Purchase Withinstate- Stores, Spares &amp; Consumable"/>
    <s v="RI-0417/2026-27"/>
    <d v="2026-07-08T00:00:00"/>
    <s v="Stores/Spares"/>
    <s v="Sulzer Machine Spares"/>
    <s v="Stores &amp; Spares"/>
    <s v="stores &amp;  spares"/>
    <s v="Kit on/off switch 24.0721.R"/>
    <n v="5"/>
    <n v="425"/>
    <s v="Kit on/off switch 24.0721.R"/>
    <n v="0"/>
    <n v="9"/>
    <n v="38.25"/>
    <n v="9"/>
    <n v="38.25"/>
    <n v="0"/>
    <n v="0"/>
    <n v="0"/>
    <n v="76.5"/>
    <n v="0"/>
    <s v="24AABCS6490E1ZF"/>
    <s v="Pcs"/>
    <n v="84481900"/>
    <s v="Rs."/>
    <n v="1"/>
    <n v="0"/>
    <s v="India"/>
    <x v="0"/>
  </r>
  <r>
    <d v="2026-07-12T00:00:00"/>
    <s v="Svan Texcon Pvt Ltd"/>
    <s v="General Purchase"/>
    <s v="GNSP 381"/>
    <s v="Purchase Withinstate- Stores, Spares &amp; Consumable"/>
    <s v="RI-0417/2026-27"/>
    <d v="2026-07-08T00:00:00"/>
    <s v="Stores/Spares"/>
    <s v="Sulzer Machine Spares"/>
    <s v="Stores &amp; Spares"/>
    <s v="stores &amp;  spares"/>
    <s v="Sensor Board Cable A/C 05R01401"/>
    <n v="2"/>
    <n v="1870"/>
    <s v="Sensor Board Cable A/C 05R01401"/>
    <n v="0"/>
    <n v="9"/>
    <n v="168.3"/>
    <n v="9"/>
    <n v="168.3"/>
    <n v="0"/>
    <n v="0"/>
    <n v="0"/>
    <n v="336.6"/>
    <n v="0"/>
    <s v="24AABCS6490E1ZF"/>
    <s v="Pcs"/>
    <n v="84481900"/>
    <s v="Rs."/>
    <n v="1"/>
    <n v="0"/>
    <s v="India"/>
    <x v="0"/>
  </r>
  <r>
    <d v="2026-07-12T00:00:00"/>
    <s v="Svan Texcon Pvt Ltd"/>
    <s v="General Purchase"/>
    <s v="GNSP 381"/>
    <s v="Purchase Withinstate- Stores, Spares &amp; Consumable"/>
    <s v="RI-0417/2026-27"/>
    <d v="2026-07-08T00:00:00"/>
    <s v="Stores/Spares"/>
    <s v="Sulzer Machine Spares"/>
    <s v="Stores &amp; Spares"/>
    <s v="stores &amp;  spares"/>
    <s v="Prewinder Circuit Board HDX3, 09E00840"/>
    <n v="1"/>
    <n v="31800"/>
    <s v="Prewinder Circuit Board HDX3, 09E00840"/>
    <n v="0"/>
    <n v="9"/>
    <n v="2862"/>
    <n v="9"/>
    <n v="2862"/>
    <n v="0"/>
    <n v="0"/>
    <n v="0"/>
    <n v="5724"/>
    <n v="0"/>
    <s v="24AABCS6490E1ZF"/>
    <s v="Pcs"/>
    <n v="448190"/>
    <s v="Rs."/>
    <n v="1"/>
    <n v="0"/>
    <s v="India"/>
    <x v="0"/>
  </r>
  <r>
    <d v="2026-07-12T00:00:00"/>
    <s v="Svan Texcon Pvt Ltd"/>
    <s v="General Purchase"/>
    <s v="GNSP 381"/>
    <s v="Purchase Withinstate- Stores, Spares &amp; Consumable"/>
    <s v="RI-0417/2026-27"/>
    <d v="2026-07-08T00:00:00"/>
    <s v="Stores/Spares"/>
    <s v="Sulzer Machine Spares"/>
    <s v="Stores &amp; Spares"/>
    <s v="stores &amp;  spares"/>
    <s v="Sensor Circuit Board HDX3, 09E00842"/>
    <n v="1"/>
    <n v="13800"/>
    <s v="Sensor Circuit Board HDX3, 09E00842"/>
    <n v="0"/>
    <n v="9"/>
    <n v="1242"/>
    <n v="9"/>
    <n v="1242"/>
    <n v="0"/>
    <n v="0"/>
    <n v="0"/>
    <n v="2484"/>
    <n v="0"/>
    <s v="24AABCS6490E1ZF"/>
    <s v="Pcs"/>
    <n v="448190"/>
    <s v="Rs."/>
    <n v="1"/>
    <n v="0"/>
    <s v="India"/>
    <x v="0"/>
  </r>
  <r>
    <d v="2026-07-12T00:00:00"/>
    <s v="Svan Texcon Pvt Ltd"/>
    <s v="General Purchase"/>
    <s v="GNSP 381"/>
    <s v="Purchase Withinstate- Stores, Spares &amp; Consumable"/>
    <s v="RI-0417/2026-27"/>
    <d v="2026-07-08T00:00:00"/>
    <s v="Stores/Spares"/>
    <s v="Sulzer Machine Spares"/>
    <s v="Stores &amp; Spares"/>
    <s v="stores &amp;  spares"/>
    <s v="On/Off Magnet Holder HDX3, 24.0642"/>
    <n v="3"/>
    <n v="255"/>
    <s v="On/Off Magnet Holder HDX3, 24.0642"/>
    <n v="0"/>
    <n v="9"/>
    <n v="22.95"/>
    <n v="9"/>
    <n v="22.95"/>
    <n v="0"/>
    <n v="0"/>
    <n v="0"/>
    <n v="45.9"/>
    <n v="0"/>
    <s v="24AABCS6490E1ZF"/>
    <s v="Pcs"/>
    <n v="84484290"/>
    <s v="Rs."/>
    <n v="1"/>
    <n v="0"/>
    <s v="India"/>
    <x v="0"/>
  </r>
  <r>
    <d v="2026-07-12T00:00:00"/>
    <s v="Svan Texcon Pvt Ltd"/>
    <s v="General Purchase"/>
    <s v="GNSP 381"/>
    <s v="Purchase Withinstate- Stores, Spares &amp; Consumable"/>
    <s v="RI-0417/2026-27"/>
    <d v="2026-07-08T00:00:00"/>
    <s v="Stores/Spares"/>
    <s v="Sulzer Machine Spares"/>
    <s v="Stores &amp; Spares"/>
    <s v="stores &amp;  spares"/>
    <s v="Sensor Board Cable HDX2, 05R01006"/>
    <n v="1"/>
    <n v="1165"/>
    <s v="Sensor Board Cable HDX2, 05R01006"/>
    <n v="0"/>
    <n v="9"/>
    <n v="104.85"/>
    <n v="9"/>
    <n v="104.85"/>
    <n v="0"/>
    <n v="0"/>
    <n v="0"/>
    <n v="209.7"/>
    <n v="0"/>
    <s v="24AABCS6490E1ZF"/>
    <s v="Pcs"/>
    <n v="84484290"/>
    <s v="Rs."/>
    <n v="1"/>
    <n v="0"/>
    <s v="India"/>
    <x v="0"/>
  </r>
  <r>
    <d v="2026-07-12T00:00:00"/>
    <s v="Svan Texcon Pvt Ltd"/>
    <s v="General Purchase"/>
    <s v="GNSP 381"/>
    <s v="Purchase Withinstate- Stores, Spares &amp; Consumable"/>
    <s v="RI-0417/2026-27"/>
    <d v="2026-07-08T00:00:00"/>
    <s v="Stores/Spares"/>
    <s v="Sulzer Machine Spares"/>
    <s v="Stores &amp; Spares"/>
    <s v="stores &amp;  spares"/>
    <s v="Widing  Disc HDX2, 24.0384.201"/>
    <n v="2"/>
    <n v="8000"/>
    <s v="Widing  Disc HDX2, 24.0384.201"/>
    <n v="0"/>
    <n v="9"/>
    <n v="720"/>
    <n v="9"/>
    <n v="720"/>
    <n v="0"/>
    <n v="0"/>
    <n v="0"/>
    <n v="1440"/>
    <n v="0"/>
    <s v="24AABCS6490E1ZF"/>
    <s v="Pcs"/>
    <n v="84484290"/>
    <s v="Rs."/>
    <n v="1"/>
    <n v="0"/>
    <s v="India"/>
    <x v="0"/>
  </r>
  <r>
    <d v="2026-07-12T00:00:00"/>
    <s v="Svan Texcon Pvt Ltd"/>
    <s v="General Purchase"/>
    <s v="GNSP 381"/>
    <s v="Purchase Withinstate- Stores, Spares &amp; Consumable"/>
    <s v="RI-0417/2026-27"/>
    <d v="2026-07-08T00:00:00"/>
    <s v="Stores/Spares"/>
    <s v="Sulzer Machine Spares"/>
    <s v="Stores &amp; Spares"/>
    <s v="stores &amp;  spares"/>
    <s v="Max Speed Switch HDX2, 27.0509"/>
    <n v="5"/>
    <n v="500"/>
    <s v="Max Speed Switch HDX2, 27.0509"/>
    <n v="0"/>
    <n v="9"/>
    <n v="45"/>
    <n v="9"/>
    <n v="45"/>
    <n v="0"/>
    <n v="0"/>
    <n v="0"/>
    <n v="90"/>
    <n v="0"/>
    <s v="24AABCS6490E1ZF"/>
    <s v="Pcs"/>
    <n v="84484290"/>
    <s v="Rs."/>
    <n v="1"/>
    <n v="0"/>
    <s v="India"/>
    <x v="0"/>
  </r>
  <r>
    <d v="2026-07-12T00:00:00"/>
    <s v="Svan Texcon Pvt Ltd"/>
    <s v="General Purchase"/>
    <s v="GNSP 381"/>
    <s v="Purchase Withinstate- Stores, Spares &amp; Consumable"/>
    <s v="RI-0417/2026-27"/>
    <d v="2026-07-08T00:00:00"/>
    <s v="Stores/Spares"/>
    <s v="Sulzer Machine Spares"/>
    <s v="Stores &amp; Spares"/>
    <s v="stores &amp;  spares"/>
    <s v="Bellow Compl. HDX2/HDX3, 24.0573.003"/>
    <n v="5"/>
    <n v="21500"/>
    <s v="Bellow Compl. HDX2/HDX3, 24.0573.003"/>
    <n v="0"/>
    <n v="9"/>
    <n v="1935"/>
    <n v="9"/>
    <n v="1935"/>
    <n v="0"/>
    <n v="0"/>
    <n v="0"/>
    <n v="3870"/>
    <n v="0"/>
    <s v="24AABCS6490E1ZF"/>
    <s v="Pcs"/>
    <n v="84484290"/>
    <s v="Rs."/>
    <n v="1"/>
    <n v="0"/>
    <s v="India"/>
    <x v="0"/>
  </r>
  <r>
    <d v="2026-07-12T00:00:00"/>
    <s v="Svan Texcon Pvt Ltd"/>
    <s v="General Purchase"/>
    <s v="GNSP 381"/>
    <s v="Purchase Withinstate- Stores, Spares &amp; Consumable"/>
    <s v="RI-0417/2026-27"/>
    <d v="2026-07-08T00:00:00"/>
    <s v="Stores/Spares"/>
    <s v="Sulzer Machine Spares"/>
    <s v="Stores &amp; Spares"/>
    <s v="stores &amp;  spares"/>
    <s v="Counter Weight HDX2/HDX3, 24.0912"/>
    <n v="5"/>
    <n v="4650"/>
    <s v="Counter Weight HDX2/HDX3, 24.0912"/>
    <n v="0"/>
    <n v="9"/>
    <n v="418.5"/>
    <n v="9"/>
    <n v="418.5"/>
    <n v="0"/>
    <n v="0"/>
    <n v="0"/>
    <n v="837"/>
    <n v="0"/>
    <s v="24AABCS6490E1ZF"/>
    <s v="Pcs"/>
    <n v="84484290"/>
    <s v="Rs."/>
    <n v="1"/>
    <n v="0"/>
    <s v="India"/>
    <x v="0"/>
  </r>
  <r>
    <d v="2026-07-12T00:00:00"/>
    <s v="Svan Texcon Pvt Ltd"/>
    <s v="General Purchase"/>
    <s v="GNSP 381"/>
    <s v="Purchase Withinstate- Stores, Spares &amp; Consumable"/>
    <s v="RI-0417/2026-27"/>
    <d v="2026-07-08T00:00:00"/>
    <s v="Stores/Spares"/>
    <s v="Sulzer Machine Spares"/>
    <s v="Stores &amp; Spares"/>
    <s v="stores &amp;  spares"/>
    <s v="Motor Circuit Board Sr No.24 Part No:- 09E00442R"/>
    <n v="1"/>
    <n v="37000"/>
    <s v="Motor Circuit Board Sr No.24 Part No:- 09E00442R"/>
    <n v="0"/>
    <n v="9"/>
    <n v="3330"/>
    <n v="9"/>
    <n v="3330"/>
    <n v="0"/>
    <n v="0"/>
    <n v="0"/>
    <n v="6660"/>
    <n v="0"/>
    <s v="24AABCS6490E1ZF"/>
    <s v="Pcs"/>
    <n v="448190"/>
    <s v="Rs."/>
    <n v="1"/>
    <n v="0"/>
    <s v="India"/>
    <x v="0"/>
  </r>
  <r>
    <d v="2026-07-12T00:00:00"/>
    <s v="Svan Texcon Pvt Ltd"/>
    <s v="General Purchase"/>
    <s v="GNSP 381"/>
    <s v="Purchase Withinstate- Stores, Spares &amp; Consumable"/>
    <s v="RI-0417/2026-27"/>
    <d v="2026-07-08T00:00:00"/>
    <s v="Stores/Spares"/>
    <s v="Sulzer Machine Spares"/>
    <s v="Stores &amp; Spares"/>
    <s v="stores &amp;  spares"/>
    <s v="Tumble Cylinder Xl. Compl. Part No.24.0141.004"/>
    <n v="2"/>
    <n v="16200"/>
    <s v="Tumble Cylinder Xl. Compl. Part No.24.0141.004"/>
    <n v="0"/>
    <n v="9"/>
    <n v="1512"/>
    <n v="9"/>
    <n v="1512"/>
    <n v="0"/>
    <n v="0"/>
    <n v="0"/>
    <n v="3024"/>
    <n v="0"/>
    <s v="24AABCS6490E1ZF"/>
    <s v="SET"/>
    <n v="84489019"/>
    <s v="Rs."/>
    <n v="1"/>
    <n v="0"/>
    <s v="India"/>
    <x v="0"/>
  </r>
  <r>
    <d v="2026-07-12T00:00:00"/>
    <s v="Svan Texcon Pvt Ltd"/>
    <s v="General Purchase"/>
    <s v="GNSP 381"/>
    <s v="Purchase Withinstate- Stores, Spares &amp; Consumable"/>
    <s v="RI-0417/2026-27"/>
    <d v="2026-07-08T00:00:00"/>
    <s v="Stores/Spares"/>
    <s v="Sulzer Machine Spares"/>
    <s v="Stores &amp; Spares"/>
    <s v="stores &amp;  spares"/>
    <s v="Max Speed Switch 24.0810.003"/>
    <n v="5"/>
    <n v="375"/>
    <s v="Max Speed Switch 24.0810.003"/>
    <n v="0"/>
    <n v="9"/>
    <n v="33.75"/>
    <n v="9"/>
    <n v="33.75"/>
    <n v="0"/>
    <n v="0"/>
    <n v="0"/>
    <n v="67.5"/>
    <n v="0"/>
    <s v="24AABCS6490E1ZF"/>
    <s v="Pcs"/>
    <n v="84481900"/>
    <s v="Rs."/>
    <n v="1"/>
    <n v="0"/>
    <s v="India"/>
    <x v="0"/>
  </r>
  <r>
    <d v="2026-07-12T00:00:00"/>
    <s v="Svan Texcon Pvt Ltd"/>
    <s v="General Purchase"/>
    <s v="GNSP 381"/>
    <s v="Purchase Withinstate- Stores, Spares &amp; Consumable"/>
    <s v="RI-0417/2026-27"/>
    <d v="2026-07-08T00:00:00"/>
    <s v="Stores/Spares"/>
    <s v="Sulzer Machine Spares"/>
    <s v="Stores &amp; Spares"/>
    <s v="stores &amp;  spares"/>
    <s v="Eyelet HDX3, 24.0777.001"/>
    <n v="5"/>
    <n v="1900"/>
    <s v="Eyelet HDX3, 24.0777.001"/>
    <n v="0"/>
    <n v="9"/>
    <n v="171"/>
    <n v="9"/>
    <n v="171"/>
    <n v="0"/>
    <n v="0"/>
    <n v="0"/>
    <n v="342"/>
    <n v="0"/>
    <s v="24AABCS6490E1ZF"/>
    <s v="Pcs"/>
    <n v="84484290"/>
    <s v="Rs."/>
    <n v="1"/>
    <n v="0"/>
    <s v="India"/>
    <x v="0"/>
  </r>
  <r>
    <d v="2026-07-12T00:00:00"/>
    <s v="Svan Texcon Pvt Ltd"/>
    <s v="General Purchase"/>
    <s v="GNSP 381"/>
    <s v="Purchase Withinstate- Stores, Spares &amp; Consumable"/>
    <s v="RI-0417/2026-27"/>
    <d v="2026-07-08T00:00:00"/>
    <s v="Stores/Spares"/>
    <s v="Sulzer Machine Spares"/>
    <s v="Stores &amp; Spares"/>
    <s v="stores &amp;  spares"/>
    <s v="Bellow Ser No.132 Part No:-240242"/>
    <n v="3"/>
    <n v="1500"/>
    <s v="Bellow Ser No.132 Part No:-240242"/>
    <n v="0"/>
    <n v="9"/>
    <n v="135"/>
    <n v="9"/>
    <n v="135"/>
    <n v="0"/>
    <n v="0"/>
    <n v="0"/>
    <n v="270"/>
    <n v="0"/>
    <s v="24AABCS6490E1ZF"/>
    <s v="Pcs"/>
    <n v="844849"/>
    <s v="Rs."/>
    <n v="1"/>
    <n v="0"/>
    <s v="India"/>
    <x v="0"/>
  </r>
  <r>
    <d v="2026-07-13T00:00:00"/>
    <s v="Akshara Graphics - Purchase"/>
    <s v="General Purchase"/>
    <s v="GNCN 232"/>
    <s v="Purchase Interstate- Stores, Spares &amp; Consumable"/>
    <s v="26-27/AG/83"/>
    <d v="2026-06-27T00:00:00"/>
    <s v="RM Consumables"/>
    <s v="FIBC Accessories"/>
    <s v="FIBC Accessories"/>
    <s v="Consumables"/>
    <s v="Tyvek Labels (Pcs)"/>
    <n v="1180"/>
    <n v="4720"/>
    <s v="Tyvek Labels (Pcs)"/>
    <n v="76811"/>
    <n v="0"/>
    <n v="0"/>
    <n v="0"/>
    <n v="0"/>
    <n v="18"/>
    <n v="849.6"/>
    <n v="0"/>
    <n v="849.6"/>
    <n v="0"/>
    <s v="23BTLPS7416R1ZT"/>
    <s v="Pcs"/>
    <n v="58079010"/>
    <s v="Rs."/>
    <n v="1"/>
    <n v="3.8"/>
    <s v="India"/>
    <x v="0"/>
  </r>
  <r>
    <d v="2026-07-13T00:00:00"/>
    <s v="Akshara Graphics - Purchase"/>
    <s v="General Purchase"/>
    <s v="GNCN 232"/>
    <s v="Purchase Interstate- Stores, Spares &amp; Consumable"/>
    <s v="26-27/AG/83"/>
    <d v="2026-06-27T00:00:00"/>
    <s v="RM Consumables"/>
    <s v="FIBC Accessories"/>
    <s v="FIBC Accessories"/>
    <s v="Consumables"/>
    <s v="Tyvek Labels (Pcs)"/>
    <n v="3210"/>
    <n v="6420"/>
    <s v="Tyvek Labels (Pcs)"/>
    <n v="0"/>
    <n v="0"/>
    <n v="0"/>
    <n v="0"/>
    <n v="0"/>
    <n v="18"/>
    <n v="1155.5999999999999"/>
    <n v="0"/>
    <n v="1155.5999999999999"/>
    <n v="0"/>
    <s v="23BTLPS7416R1ZT"/>
    <s v="Pcs"/>
    <n v="58079010"/>
    <s v="Rs."/>
    <n v="1"/>
    <n v="10.5"/>
    <s v="India"/>
    <x v="0"/>
  </r>
  <r>
    <d v="2026-07-13T00:00:00"/>
    <s v="Akshara Graphics - Purchase"/>
    <s v="General Purchase"/>
    <s v="GNCN 232"/>
    <s v="Purchase Interstate- Stores, Spares &amp; Consumable"/>
    <s v="26-27/AG/83"/>
    <d v="2026-06-27T00:00:00"/>
    <s v="RM Consumables"/>
    <s v="FIBC Accessories"/>
    <s v="FIBC Accessories"/>
    <s v="Consumables"/>
    <s v="Tyvek Labels (Pcs)"/>
    <n v="3800"/>
    <n v="6840"/>
    <s v="Tyvek Labels (Pcs)"/>
    <n v="0"/>
    <n v="0"/>
    <n v="0"/>
    <n v="0"/>
    <n v="0"/>
    <n v="18"/>
    <n v="1231.2"/>
    <n v="0"/>
    <n v="1231.2"/>
    <n v="0"/>
    <s v="23BTLPS7416R1ZT"/>
    <s v="Pcs"/>
    <n v="58079010"/>
    <s v="Rs."/>
    <n v="1"/>
    <n v="12.5"/>
    <s v="India"/>
    <x v="0"/>
  </r>
  <r>
    <d v="2026-07-13T00:00:00"/>
    <s v="Akshara Graphics - Purchase"/>
    <s v="General Purchase"/>
    <s v="GNCN 232"/>
    <s v="Purchase Interstate- Stores, Spares &amp; Consumable"/>
    <s v="26-27/AG/83"/>
    <d v="2026-06-27T00:00:00"/>
    <s v="RM Consumables"/>
    <s v="FIBC Accessories"/>
    <s v="FIBC Accessories"/>
    <s v="Consumables"/>
    <s v="Tyvek Labels (Pcs)"/>
    <n v="1015"/>
    <n v="3349.5"/>
    <s v="Tyvek Labels (Pcs)"/>
    <n v="0"/>
    <n v="0"/>
    <n v="0"/>
    <n v="0"/>
    <n v="0"/>
    <n v="18"/>
    <n v="602.91"/>
    <n v="0"/>
    <n v="602.91"/>
    <n v="0"/>
    <s v="23BTLPS7416R1ZT"/>
    <s v="Pcs"/>
    <n v="58079010"/>
    <s v="Rs."/>
    <n v="1"/>
    <n v="3.3"/>
    <s v="India"/>
    <x v="0"/>
  </r>
  <r>
    <d v="2026-07-13T00:00:00"/>
    <s v="Akshara Graphics - Purchase"/>
    <s v="General Purchase"/>
    <s v="GNCN 232"/>
    <s v="Purchase Interstate- Stores, Spares &amp; Consumable"/>
    <s v="26-27/AG/83"/>
    <d v="2026-06-27T00:00:00"/>
    <s v="RM Consumables"/>
    <s v="FIBC Accessories"/>
    <s v="FIBC Accessories"/>
    <s v="Consumables"/>
    <s v="Tyvek Labels (Pcs)"/>
    <n v="3875"/>
    <n v="14725"/>
    <s v="Tyvek Labels (Pcs)"/>
    <n v="0"/>
    <n v="0"/>
    <n v="0"/>
    <n v="0"/>
    <n v="0"/>
    <n v="18"/>
    <n v="2650.5"/>
    <n v="0"/>
    <n v="2650.5"/>
    <n v="0"/>
    <s v="23BTLPS7416R1ZT"/>
    <s v="Pcs"/>
    <n v="58079010"/>
    <s v="Rs."/>
    <n v="1"/>
    <n v="12.7"/>
    <s v="India"/>
    <x v="0"/>
  </r>
  <r>
    <d v="2026-07-13T00:00:00"/>
    <s v="Akshara Graphics - Purchase"/>
    <s v="General Purchase"/>
    <s v="GNCN 232"/>
    <s v="Purchase Interstate- Stores, Spares &amp; Consumable"/>
    <s v="26-27/AG/83"/>
    <d v="2026-06-27T00:00:00"/>
    <s v="RM Consumables"/>
    <s v="FIBC Accessories"/>
    <s v="FIBC Accessories"/>
    <s v="Consumables"/>
    <s v="Tyvek Labels (Pcs)"/>
    <n v="6540"/>
    <n v="26160"/>
    <s v="Tyvek Labels (Pcs)"/>
    <n v="0"/>
    <n v="0"/>
    <n v="0"/>
    <n v="0"/>
    <n v="0"/>
    <n v="18"/>
    <n v="4708.8"/>
    <n v="0"/>
    <n v="4708.8"/>
    <n v="0"/>
    <s v="23BTLPS7416R1ZT"/>
    <s v="Pcs"/>
    <n v="58079010"/>
    <s v="Rs."/>
    <n v="1"/>
    <n v="21.5"/>
    <s v="India"/>
    <x v="0"/>
  </r>
  <r>
    <d v="2026-07-13T00:00:00"/>
    <s v="Akshara Graphics - Purchase"/>
    <s v="General Purchase"/>
    <s v="GNCN 232"/>
    <s v="Purchase Interstate- Stores, Spares &amp; Consumable"/>
    <s v="26-27/AG/83"/>
    <d v="2026-06-27T00:00:00"/>
    <s v="RM Consumables"/>
    <s v="FIBC Accessories"/>
    <s v="FIBC Accessories"/>
    <s v="Consumables"/>
    <s v="Tyvek Labels (Pcs)"/>
    <n v="720"/>
    <n v="2880"/>
    <s v="Tyvek Labels (Pcs)"/>
    <n v="0"/>
    <n v="0"/>
    <n v="0"/>
    <n v="0"/>
    <n v="0"/>
    <n v="18"/>
    <n v="518.4"/>
    <n v="0"/>
    <n v="518.4"/>
    <n v="0"/>
    <s v="23BTLPS7416R1ZT"/>
    <s v="Pcs"/>
    <n v="58079010"/>
    <s v="Rs."/>
    <n v="1"/>
    <n v="2.2999999999999998"/>
    <s v="India"/>
    <x v="0"/>
  </r>
  <r>
    <d v="2026-07-13T00:00:00"/>
    <s v="Arham Cams Pvt Ltd"/>
    <s v="Purchase Return"/>
    <s v="KPV/PR/4"/>
    <s v="Purchase Return - Stores, Spares &amp; Consumable"/>
    <s v="KPV/PR/4"/>
    <d v="2026-07-13T00:00:00"/>
    <s v="Stores/Spares"/>
    <s v="Sulzer Machine Spares"/>
    <s v="Stores &amp; Spares"/>
    <s v="stores &amp;  spares"/>
    <s v="Guide Tooth D1"/>
    <n v="-20"/>
    <n v="-21300"/>
    <s v="Guide Tooth D1"/>
    <n v="-25134"/>
    <n v="9"/>
    <n v="1917"/>
    <n v="9"/>
    <n v="1917"/>
    <n v="0"/>
    <n v="0"/>
    <n v="0"/>
    <n v="3834"/>
    <n v="0"/>
    <s v="24AAICA0799H1ZK"/>
    <s v="Kgs"/>
    <n v="844610"/>
    <s v="Rs."/>
    <n v="1"/>
    <n v="-20"/>
    <s v="India"/>
    <x v="0"/>
  </r>
  <r>
    <d v="2026-07-13T00:00:00"/>
    <s v="Bhumi Hardware &amp; Electricals"/>
    <s v="General Purchase"/>
    <s v="GNSP 389"/>
    <s v="Purchase Withinstate- Stores, Spares &amp; Consumable"/>
    <n v="2434"/>
    <d v="2026-07-11T00:00:00"/>
    <s v="Stores/Spares"/>
    <s v="Hardware Items"/>
    <s v="Stores &amp; Spares"/>
    <s v="stores &amp;  spares"/>
    <s v="Hinges 2&quot;"/>
    <n v="100"/>
    <n v="1800"/>
    <s v="Hinges 2&quot;"/>
    <n v="2124"/>
    <n v="9"/>
    <n v="162"/>
    <n v="9"/>
    <n v="162"/>
    <n v="0"/>
    <n v="0"/>
    <n v="0"/>
    <n v="324"/>
    <n v="0"/>
    <s v="24ASGPC4647K1ZQ"/>
    <s v="Pcs"/>
    <n v="83021090"/>
    <s v="Rs."/>
    <n v="1"/>
    <n v="0"/>
    <s v="India"/>
    <x v="0"/>
  </r>
  <r>
    <d v="2026-07-13T00:00:00"/>
    <s v="Brahmani Graphics"/>
    <s v="General Purchase"/>
    <s v="GNCN 231"/>
    <s v="Purchase Withinstate- Stores, Spares &amp; Consumable"/>
    <s v="BG26-27/45"/>
    <d v="2026-07-04T00:00:00"/>
    <s v="Consumables"/>
    <s v="Rubber/Polymer Stereo"/>
    <s v="Stores &amp; Spares"/>
    <s v="Consumables"/>
    <s v="Rubber Stereo"/>
    <n v="1"/>
    <n v="1968.4"/>
    <s v="Rubber Stereo"/>
    <n v="4006"/>
    <n v="9"/>
    <n v="177.16"/>
    <n v="9"/>
    <n v="177.16"/>
    <n v="0"/>
    <n v="0"/>
    <n v="0"/>
    <n v="354.32"/>
    <n v="0"/>
    <s v="24BGAPP5082Q1ZW"/>
    <s v="Pcs"/>
    <n v="400200"/>
    <s v="Rs."/>
    <n v="1"/>
    <n v="0"/>
    <s v="India"/>
    <x v="0"/>
  </r>
  <r>
    <d v="2026-07-13T00:00:00"/>
    <s v="Brahmani Graphics"/>
    <s v="General Purchase"/>
    <s v="GNCN 231"/>
    <s v="Purchase Withinstate- Stores, Spares &amp; Consumable"/>
    <s v="BG26-27/45"/>
    <d v="2026-07-04T00:00:00"/>
    <s v="Consumables"/>
    <s v="Rubber/Polymer Stereo"/>
    <s v="Stores &amp; Spares"/>
    <s v="Consumables"/>
    <s v="Rubber Stereo"/>
    <n v="1"/>
    <n v="691.6"/>
    <s v="Rubber Stereo"/>
    <n v="0"/>
    <n v="9"/>
    <n v="62.24"/>
    <n v="9"/>
    <n v="62.24"/>
    <n v="0"/>
    <n v="0"/>
    <n v="0"/>
    <n v="124.48"/>
    <n v="0"/>
    <s v="24BGAPP5082Q1ZW"/>
    <s v="Pcs"/>
    <n v="400200"/>
    <s v="Rs."/>
    <n v="1"/>
    <n v="0"/>
    <s v="India"/>
    <x v="0"/>
  </r>
  <r>
    <d v="2026-07-13T00:00:00"/>
    <s v="Brahmani Graphics"/>
    <s v="General Purchase"/>
    <s v="GNCN 231"/>
    <s v="Purchase Withinstate- Stores, Spares &amp; Consumable"/>
    <s v="BG26-27/45"/>
    <d v="2026-07-04T00:00:00"/>
    <s v="Consumables"/>
    <s v="Rubber/Polymer Stereo"/>
    <s v="Stores &amp; Spares"/>
    <s v="Consumables"/>
    <s v="Rubber Stereo"/>
    <n v="1"/>
    <n v="401.45"/>
    <s v="Rubber Stereo"/>
    <n v="0"/>
    <n v="9"/>
    <n v="36.130000000000003"/>
    <n v="9"/>
    <n v="36.130000000000003"/>
    <n v="0"/>
    <n v="0"/>
    <n v="0"/>
    <n v="72.260000000000005"/>
    <n v="0"/>
    <s v="24BGAPP5082Q1ZW"/>
    <s v="Pcs"/>
    <n v="400200"/>
    <s v="Rs."/>
    <n v="1"/>
    <n v="0"/>
    <s v="India"/>
    <x v="0"/>
  </r>
  <r>
    <d v="2026-07-13T00:00:00"/>
    <s v="Brahmani Graphics"/>
    <s v="General Purchase"/>
    <s v="GNCN 231"/>
    <s v="Purchase Withinstate- Stores, Spares &amp; Consumable"/>
    <s v="BG26-27/45"/>
    <d v="2026-07-04T00:00:00"/>
    <s v="Consumables"/>
    <s v="Rubber/Polymer Stereo"/>
    <s v="Stores &amp; Spares"/>
    <s v="Consumables"/>
    <s v="Rubber Stereo"/>
    <n v="1"/>
    <n v="333.2"/>
    <s v="Rubber Stereo"/>
    <n v="0"/>
    <n v="9"/>
    <n v="29.99"/>
    <n v="9"/>
    <n v="29.99"/>
    <n v="0"/>
    <n v="0"/>
    <n v="0"/>
    <n v="59.98"/>
    <n v="0"/>
    <s v="24BGAPP5082Q1ZW"/>
    <s v="Pcs"/>
    <n v="400200"/>
    <s v="Rs."/>
    <n v="1"/>
    <n v="0"/>
    <s v="India"/>
    <x v="0"/>
  </r>
  <r>
    <d v="2026-07-13T00:00:00"/>
    <s v="Chakshu Engineering"/>
    <s v="General Purchase"/>
    <s v="GNSP 388"/>
    <s v="Purchase Withinstate- Stores, Spares &amp; Consumable"/>
    <s v="068/26-27"/>
    <d v="2026-06-27T00:00:00"/>
    <s v="Capex"/>
    <s v="Blowers"/>
    <s v="Stores &amp; Spares"/>
    <s v="stores &amp;  spares"/>
    <s v="Centrifugal Blower 0.25 Hp, 3 Phase, 2800 Rpm."/>
    <n v="3"/>
    <n v="14400"/>
    <s v="Centrifugal Blower 0.25 Hp, 3 Phase, 2800 Rpm."/>
    <n v="28320"/>
    <n v="9"/>
    <n v="1296"/>
    <n v="9"/>
    <n v="1296"/>
    <n v="0"/>
    <n v="0"/>
    <n v="0"/>
    <n v="2592"/>
    <n v="0"/>
    <s v="24ADZPS9415R1Z8"/>
    <s v="Pcs"/>
    <n v="841459"/>
    <s v="Rs."/>
    <n v="1"/>
    <n v="0"/>
    <s v="India"/>
    <x v="0"/>
  </r>
  <r>
    <d v="2026-07-13T00:00:00"/>
    <s v="Chakshu Engineering"/>
    <s v="General Purchase"/>
    <s v="GNSP 388"/>
    <s v="Purchase Withinstate- Stores, Spares &amp; Consumable"/>
    <s v="068/26-27"/>
    <d v="2026-06-27T00:00:00"/>
    <s v="Capex"/>
    <s v="Blowers"/>
    <s v="Stores &amp; Spares"/>
    <s v="stores &amp;  spares"/>
    <s v="Centrifugal Blower 0.25 Hp, 3 Phase, 2800 Rpm."/>
    <n v="2"/>
    <n v="9600"/>
    <s v="Centrifugal Blower 0.25 Hp, 3 Phase, 2800 Rpm."/>
    <n v="0"/>
    <n v="9"/>
    <n v="864"/>
    <n v="9"/>
    <n v="864"/>
    <n v="0"/>
    <n v="0"/>
    <n v="0"/>
    <n v="1728"/>
    <n v="0"/>
    <s v="24ADZPS9415R1Z8"/>
    <s v="Pcs"/>
    <n v="841459"/>
    <s v="Rs."/>
    <n v="1"/>
    <n v="0"/>
    <s v="India"/>
    <x v="0"/>
  </r>
  <r>
    <d v="2026-07-13T00:00:00"/>
    <s v="HCP Plastene Bulkpack Limited - Purchase"/>
    <s v="R.M.P."/>
    <s v="RM 284"/>
    <s v="Purchase Withinstate - Raw Material"/>
    <s v="HPBL/D/376"/>
    <d v="2026-07-13T00:00:00"/>
    <s v="SF"/>
    <s v="PP/PE Fabric"/>
    <s v="PP Lam Fabric"/>
    <s v="PP LAMINETED FABRIC"/>
    <s v="PP Lam Fabric With UV"/>
    <n v="1793"/>
    <n v="284172.57"/>
    <s v="PP Lam Fabric With UV"/>
    <n v="997506.74"/>
    <n v="9"/>
    <n v="25575.53"/>
    <n v="9"/>
    <n v="25575.53"/>
    <n v="0"/>
    <n v="0"/>
    <n v="0"/>
    <n v="51151.06"/>
    <n v="0"/>
    <s v="24AABCG1282C2Z6"/>
    <s v="Kgs"/>
    <n v="63053300"/>
    <s v="Rs."/>
    <n v="1"/>
    <n v="1793"/>
    <s v="India"/>
    <x v="2"/>
  </r>
  <r>
    <d v="2026-07-13T00:00:00"/>
    <s v="HCP Plastene Bulkpack Limited - Purchase"/>
    <s v="R.M.P."/>
    <s v="RM 284"/>
    <s v="Purchase Withinstate - Raw Material"/>
    <s v="HPBL/D/376"/>
    <d v="2026-07-13T00:00:00"/>
    <s v="SF"/>
    <s v="Films All (SF)"/>
    <s v="PE Film"/>
    <s v="LLDPE Film"/>
    <s v="LDPE/LLDPE Film – Conductive"/>
    <n v="274"/>
    <n v="44631.86"/>
    <s v="LDPE/LLDPE Film – Conductive"/>
    <n v="0"/>
    <n v="9"/>
    <n v="4016.87"/>
    <n v="9"/>
    <n v="4016.87"/>
    <n v="0"/>
    <n v="0"/>
    <n v="0"/>
    <n v="8033.74"/>
    <n v="0"/>
    <s v="24AABCG1282C2Z6"/>
    <s v="Kgs"/>
    <n v="39201019"/>
    <s v="Rs."/>
    <n v="1"/>
    <n v="274"/>
    <s v="India"/>
    <x v="10"/>
  </r>
  <r>
    <d v="2026-07-13T00:00:00"/>
    <s v="HCP Plastene Bulkpack Limited - Purchase"/>
    <s v="R.M.P."/>
    <s v="RM 284"/>
    <s v="Purchase Withinstate - Raw Material"/>
    <s v="HPBL/D/376"/>
    <d v="2026-07-13T00:00:00"/>
    <s v="SF"/>
    <s v="PP/PE Fabric"/>
    <s v="PP UL Fabric"/>
    <s v="PP WOVEN FABRIC"/>
    <s v="PP UL Fabric With UV"/>
    <n v="514"/>
    <n v="79407.86"/>
    <s v="PP UL Fabric With UV"/>
    <n v="0"/>
    <n v="9"/>
    <n v="7146.71"/>
    <n v="9"/>
    <n v="7146.71"/>
    <n v="0"/>
    <n v="0"/>
    <n v="0"/>
    <n v="14293.42"/>
    <n v="0"/>
    <s v="24AABCG1282C2Z6"/>
    <s v="Kgs"/>
    <n v="39269080"/>
    <s v="Rs."/>
    <n v="1"/>
    <n v="514"/>
    <s v="India"/>
    <x v="1"/>
  </r>
  <r>
    <d v="2026-07-13T00:00:00"/>
    <s v="HCP Plastene Bulkpack Limited - Purchase"/>
    <s v="R.M.P."/>
    <s v="RM 284"/>
    <s v="Purchase Withinstate - Raw Material"/>
    <s v="HPBL/D/376"/>
    <d v="2026-07-13T00:00:00"/>
    <s v="SF"/>
    <s v="PP/PE Fabric"/>
    <s v="PP UL Fabric"/>
    <s v="PP WOVEN FABRIC"/>
    <s v="PP UL Fabric With UV"/>
    <n v="273"/>
    <n v="59101.77"/>
    <s v="PP UL Fabric With UV"/>
    <n v="0"/>
    <n v="9"/>
    <n v="5319.16"/>
    <n v="9"/>
    <n v="5319.16"/>
    <n v="0"/>
    <n v="0"/>
    <n v="0"/>
    <n v="10638.32"/>
    <n v="0"/>
    <s v="24AABCG1282C2Z6"/>
    <s v="Kgs"/>
    <n v="39269080"/>
    <s v="Rs."/>
    <n v="1"/>
    <n v="273"/>
    <s v="India"/>
    <x v="1"/>
  </r>
  <r>
    <d v="2026-07-13T00:00:00"/>
    <s v="HCP Plastene Bulkpack Limited - Purchase"/>
    <s v="R.M.P."/>
    <s v="RM 284"/>
    <s v="Purchase Withinstate - Raw Material"/>
    <s v="HPBL/D/376"/>
    <d v="2026-07-13T00:00:00"/>
    <s v="SF"/>
    <s v="PP/PE Fabric"/>
    <s v="PP UL Fabric"/>
    <s v="PP WOVEN FABRIC"/>
    <s v="PP UL Fabric With UV"/>
    <n v="472"/>
    <n v="75279.28"/>
    <s v="PP UL Fabric With UV"/>
    <n v="0"/>
    <n v="9"/>
    <n v="6775.14"/>
    <n v="9"/>
    <n v="6775.14"/>
    <n v="0"/>
    <n v="0"/>
    <n v="0"/>
    <n v="13550.28"/>
    <n v="0"/>
    <s v="24AABCG1282C2Z6"/>
    <s v="Kgs"/>
    <n v="39269080"/>
    <s v="Rs."/>
    <n v="1"/>
    <n v="472"/>
    <s v="India"/>
    <x v="1"/>
  </r>
  <r>
    <d v="2026-07-13T00:00:00"/>
    <s v="HCP Plastene Bulkpack Limited - Purchase"/>
    <s v="R.M.P."/>
    <s v="RM 284"/>
    <s v="Purchase Withinstate - Raw Material"/>
    <s v="HPBL/D/376"/>
    <d v="2026-07-13T00:00:00"/>
    <s v="SF"/>
    <s v="PP/PE Fabric"/>
    <s v="PP UL Fabric"/>
    <s v="PP WOVEN FABRIC"/>
    <s v="PP UL Fabric With UV"/>
    <n v="1450"/>
    <n v="226910.5"/>
    <s v="PP UL Fabric With UV"/>
    <n v="0"/>
    <n v="9"/>
    <n v="20421.939999999999"/>
    <n v="9"/>
    <n v="20421.939999999999"/>
    <n v="0"/>
    <n v="0"/>
    <n v="0"/>
    <n v="40843.879999999997"/>
    <n v="0"/>
    <s v="24AABCG1282C2Z6"/>
    <s v="Kgs"/>
    <n v="39269080"/>
    <s v="Rs."/>
    <n v="1"/>
    <n v="1450"/>
    <s v="India"/>
    <x v="1"/>
  </r>
  <r>
    <d v="2026-07-13T00:00:00"/>
    <s v="HCP Plastene Bulkpack Limited - Purchase"/>
    <s v="R.M.P."/>
    <s v="RM 284"/>
    <s v="Purchase Withinstate - Raw Material"/>
    <s v="HPBL/D/376"/>
    <d v="2026-07-13T00:00:00"/>
    <s v="SF"/>
    <s v="Liners"/>
    <s v="LDPE/LLDPE Bags"/>
    <s v="LLDPE Film"/>
    <s v="DOC Pouch"/>
    <n v="456"/>
    <n v="76557.84"/>
    <s v="DOC Pouch"/>
    <n v="0"/>
    <n v="9"/>
    <n v="6890.21"/>
    <n v="9"/>
    <n v="6890.21"/>
    <n v="0"/>
    <n v="0"/>
    <n v="0"/>
    <n v="13780.42"/>
    <n v="0"/>
    <s v="24AABCG1282C2Z6"/>
    <s v="Kgs"/>
    <n v="39232100"/>
    <s v="Rs."/>
    <n v="1"/>
    <n v="456"/>
    <s v="India"/>
    <x v="4"/>
  </r>
  <r>
    <d v="2026-07-13T00:00:00"/>
    <s v="Jupiter Scientific"/>
    <s v="General Purchase"/>
    <s v="GNCN 226"/>
    <s v="Purchase Withinstate- Stores, Spares &amp; Consumable"/>
    <n v="99"/>
    <d v="2026-06-23T00:00:00"/>
    <s v="Consumables"/>
    <s v="Consumables"/>
    <s v="Stores &amp; Spares"/>
    <s v="Consumables"/>
    <s v="Crucible- 25-50ML, Dia- 6 Cm (Ceramic Bowl For Temperature- 650 Degree)"/>
    <n v="4"/>
    <n v="2600"/>
    <s v="Crucible- 25-50ML, Dia- 6 Cm (Ceramic Bowl For Temperature- 650 Degree)"/>
    <n v="3068"/>
    <n v="9"/>
    <n v="234"/>
    <n v="9"/>
    <n v="234"/>
    <n v="0"/>
    <n v="0"/>
    <n v="0"/>
    <n v="468"/>
    <n v="0"/>
    <s v="24AIUPP5606K1ZQ"/>
    <s v="Pcs"/>
    <n v="7002390"/>
    <s v="Rs."/>
    <n v="1"/>
    <n v="0"/>
    <s v="India"/>
    <x v="0"/>
  </r>
  <r>
    <d v="2026-07-13T00:00:00"/>
    <s v="Mahavir Marketing"/>
    <s v="General Purchase"/>
    <s v="GNSP 386"/>
    <s v="Purchase Withinstate- Stores, Spares &amp; Consumable"/>
    <s v="66/26-27"/>
    <d v="2026-06-24T00:00:00"/>
    <s v="Stores/Spares"/>
    <s v="Electrical Items/Spares"/>
    <s v="Stores &amp; Spares"/>
    <s v="stores &amp;  spares"/>
    <s v="Switch 6 Amp"/>
    <n v="17"/>
    <n v="6806.8"/>
    <s v="Switch 6 Amp"/>
    <n v="8032"/>
    <n v="9"/>
    <n v="612.61"/>
    <n v="9"/>
    <n v="612.61"/>
    <n v="0"/>
    <n v="0"/>
    <n v="0"/>
    <n v="1225.22"/>
    <n v="0"/>
    <s v="24AFBPJ7196J1Z7"/>
    <s v="Pcs"/>
    <n v="853650"/>
    <s v="Rs."/>
    <n v="1"/>
    <n v="0"/>
    <s v="India"/>
    <x v="0"/>
  </r>
  <r>
    <d v="2026-07-13T00:00:00"/>
    <s v="Mahavir Marketing"/>
    <s v="General Purchase"/>
    <s v="GNSP 387"/>
    <s v="Purchase Withinstate- Stores, Spares &amp; Consumable"/>
    <s v="67/26-27"/>
    <d v="2026-06-24T00:00:00"/>
    <s v="Stores/Spares"/>
    <s v="Electrical Items/Spares"/>
    <s v="Stores &amp; Spares"/>
    <s v="stores &amp;  spares"/>
    <s v="Switch 6 Amp"/>
    <n v="15"/>
    <n v="7497"/>
    <s v="Switch 6 Amp"/>
    <n v="8846"/>
    <n v="9"/>
    <n v="674.73"/>
    <n v="9"/>
    <n v="674.73"/>
    <n v="0"/>
    <n v="0"/>
    <n v="0"/>
    <n v="1349.46"/>
    <n v="0"/>
    <s v="24AFBPJ7196J1Z7"/>
    <s v="Pcs"/>
    <n v="853650"/>
    <s v="Rs."/>
    <n v="1"/>
    <n v="0"/>
    <s v="India"/>
    <x v="0"/>
  </r>
  <r>
    <d v="2026-07-13T00:00:00"/>
    <s v="Naran Scissors Works &amp; Traders"/>
    <s v="General Purchase"/>
    <s v="GNCN 227"/>
    <s v="Purchase Withinstate- Stores, Spares &amp; Consumable"/>
    <s v="2025/26-1689"/>
    <d v="2026-06-27T00:00:00"/>
    <s v="Stores/Spares"/>
    <s v="Sulzer Machine Spares"/>
    <s v="Stores &amp; Spares"/>
    <s v="Consumables"/>
    <s v="Mending Cutter"/>
    <n v="50"/>
    <n v="708"/>
    <s v="Mending Cutter"/>
    <n v="835"/>
    <n v="9"/>
    <n v="63.72"/>
    <n v="9"/>
    <n v="63.72"/>
    <n v="0"/>
    <n v="0"/>
    <n v="0"/>
    <n v="127.44"/>
    <n v="0"/>
    <s v="24ARQPM5850R1ZV"/>
    <s v="Pcs"/>
    <n v="846170"/>
    <s v="Rs."/>
    <n v="1"/>
    <n v="0"/>
    <s v="India"/>
    <x v="0"/>
  </r>
  <r>
    <d v="2026-07-13T00:00:00"/>
    <s v="Pavan Electricals And Hardware"/>
    <s v="General Purchase"/>
    <s v="GNCN 230"/>
    <s v="Purchase Withinstate- Stores, Spares &amp; Consumable"/>
    <s v="GI/1211"/>
    <d v="2026-07-11T00:00:00"/>
    <s v="Consumables"/>
    <s v="Consumables"/>
    <s v="Stores &amp; Spares"/>
    <s v="Consumables"/>
    <s v="Distil Water"/>
    <n v="150"/>
    <n v="1500"/>
    <s v="Distil Water"/>
    <n v="1770"/>
    <n v="9"/>
    <n v="135"/>
    <n v="9"/>
    <n v="135"/>
    <n v="0"/>
    <n v="0"/>
    <n v="0"/>
    <n v="270"/>
    <n v="0"/>
    <s v="24BTTPR5056A1ZJ"/>
    <s v="Ltr"/>
    <n v="28530010"/>
    <s v="Rs."/>
    <n v="1"/>
    <n v="0"/>
    <s v="India"/>
    <x v="0"/>
  </r>
  <r>
    <d v="2026-07-13T00:00:00"/>
    <s v="Plastene India ltd - Unit 1-Purchase"/>
    <s v="Purchase"/>
    <s v="GNPK 143"/>
    <s v="Purchase Withinstate- Packing Material"/>
    <s v="PIL1/D/1028"/>
    <d v="2026-07-12T00:00:00"/>
    <s v="Stores/Spares"/>
    <s v="MS Structure Items"/>
    <s v="Packing Materials"/>
    <s v="Packing Materials"/>
    <s v="MS Pipe 4  C Class"/>
    <n v="275"/>
    <n v="13200"/>
    <s v="MS Pipe 4  C Class"/>
    <n v="15562.8"/>
    <n v="9"/>
    <n v="1188"/>
    <n v="9"/>
    <n v="1188"/>
    <n v="0"/>
    <n v="0"/>
    <n v="0"/>
    <n v="2376"/>
    <n v="0"/>
    <s v="24AAACO3087C1ZT"/>
    <s v="Kgs"/>
    <n v="73063090"/>
    <s v="Rs."/>
    <n v="1"/>
    <n v="275"/>
    <s v="India"/>
    <x v="0"/>
  </r>
  <r>
    <d v="2026-07-13T00:00:00"/>
    <s v="Plastene India ltd - Unit 1-Purchase"/>
    <s v="R.M.P."/>
    <s v="RM 282"/>
    <s v="Purchase Withinstate - Raw Material"/>
    <s v="PIL1/D/1029"/>
    <d v="2026-07-12T00:00:00"/>
    <s v="SF"/>
    <s v="PP/PE Fabric"/>
    <s v="PP Lam Fabric"/>
    <s v="PP LAMINETED FABRIC"/>
    <s v="PP Lam Fabric With UV"/>
    <n v="4342"/>
    <n v="657769.57999999996"/>
    <s v="PP Lam Fabric With UV"/>
    <n v="1934795.93"/>
    <n v="9"/>
    <n v="59199.26"/>
    <n v="9"/>
    <n v="59199.26"/>
    <n v="0"/>
    <n v="0"/>
    <n v="0"/>
    <n v="118398.52"/>
    <n v="0"/>
    <s v="24AAACO3087C1ZT"/>
    <s v="Kgs"/>
    <n v="63053300"/>
    <s v="Rs."/>
    <n v="1"/>
    <n v="4342"/>
    <s v="India"/>
    <x v="2"/>
  </r>
  <r>
    <d v="2026-07-13T00:00:00"/>
    <s v="Plastene India ltd - Unit 1-Purchase"/>
    <s v="R.M.P."/>
    <s v="RM 282"/>
    <s v="Purchase Withinstate - Raw Material"/>
    <s v="PIL1/D/1029"/>
    <d v="2026-07-12T00:00:00"/>
    <s v="SF"/>
    <s v="Liners"/>
    <s v="LDPE/LLDPE Bags"/>
    <s v="LLDPE BAGS"/>
    <s v="LDPE/LLDPE Bags/Liner"/>
    <n v="529"/>
    <n v="109386.62"/>
    <s v="LDPE/LLDPE Bags/Liner"/>
    <n v="0"/>
    <n v="9"/>
    <n v="9844.7999999999993"/>
    <n v="9"/>
    <n v="9844.7999999999993"/>
    <n v="0"/>
    <n v="0"/>
    <n v="0"/>
    <n v="19689.599999999999"/>
    <n v="0"/>
    <s v="24AAACO3087C1ZT"/>
    <s v="Kgs"/>
    <n v="39200000"/>
    <s v="Rs."/>
    <n v="1"/>
    <n v="529"/>
    <s v="India"/>
    <x v="4"/>
  </r>
  <r>
    <d v="2026-07-13T00:00:00"/>
    <s v="Plastene India ltd - Unit 1-Purchase"/>
    <s v="R.M.P."/>
    <s v="RM 282"/>
    <s v="Purchase Withinstate - Raw Material"/>
    <s v="PIL1/D/1029"/>
    <d v="2026-07-12T00:00:00"/>
    <s v="SF"/>
    <s v="Liners"/>
    <s v="LDPE/LLDPE Bags"/>
    <s v="LLDPE BAGS"/>
    <s v="LDPE/LLDPE Bags/Liner"/>
    <n v="245"/>
    <n v="44781.1"/>
    <s v="LDPE/LLDPE Bags/Liner"/>
    <n v="0"/>
    <n v="9"/>
    <n v="4030.3"/>
    <n v="9"/>
    <n v="4030.3"/>
    <n v="0"/>
    <n v="0"/>
    <n v="0"/>
    <n v="8060.6"/>
    <n v="0"/>
    <s v="24AAACO3087C1ZT"/>
    <s v="Kgs"/>
    <n v="39200000"/>
    <s v="Rs."/>
    <n v="1"/>
    <n v="245"/>
    <s v="India"/>
    <x v="4"/>
  </r>
  <r>
    <d v="2026-07-13T00:00:00"/>
    <s v="Plastene India ltd - Unit 1-Purchase"/>
    <s v="R.M.P."/>
    <s v="RM 282"/>
    <s v="Purchase Withinstate - Raw Material"/>
    <s v="PIL1/D/1029"/>
    <d v="2026-07-12T00:00:00"/>
    <s v="SF"/>
    <s v="PP/PE Fabric"/>
    <s v="PP UL Fabric"/>
    <s v="PP WOVEN FABRIC"/>
    <s v="PP UL Fabric With UV"/>
    <n v="933"/>
    <n v="134809.17000000001"/>
    <s v="PP UL Fabric With UV"/>
    <n v="0"/>
    <n v="9"/>
    <n v="12132.83"/>
    <n v="9"/>
    <n v="12132.83"/>
    <n v="0"/>
    <n v="0"/>
    <n v="0"/>
    <n v="24265.66"/>
    <n v="0"/>
    <s v="24AAACO3087C1ZT"/>
    <s v="Kgs"/>
    <n v="39269080"/>
    <s v="Rs."/>
    <n v="1"/>
    <n v="933"/>
    <s v="India"/>
    <x v="1"/>
  </r>
  <r>
    <d v="2026-07-13T00:00:00"/>
    <s v="Plastene India ltd - Unit 1-Purchase"/>
    <s v="R.M.P."/>
    <s v="RM 282"/>
    <s v="Purchase Withinstate - Raw Material"/>
    <s v="PIL1/D/1029"/>
    <d v="2026-07-12T00:00:00"/>
    <s v="SF"/>
    <s v="PP/PE Fabric"/>
    <s v="PP UL Fabric"/>
    <s v="PP WOVEN FABRIC"/>
    <s v="PP UL Fabric With UV"/>
    <n v="1154"/>
    <n v="170203.46"/>
    <s v="PP UL Fabric With UV"/>
    <n v="0"/>
    <n v="9"/>
    <n v="15318.31"/>
    <n v="9"/>
    <n v="15318.31"/>
    <n v="0"/>
    <n v="0"/>
    <n v="0"/>
    <n v="30636.62"/>
    <n v="0"/>
    <s v="24AAACO3087C1ZT"/>
    <s v="Kgs"/>
    <n v="39269080"/>
    <s v="Rs."/>
    <n v="1"/>
    <n v="1154"/>
    <s v="India"/>
    <x v="1"/>
  </r>
  <r>
    <d v="2026-07-13T00:00:00"/>
    <s v="Plastene India ltd - Unit 1-Purchase"/>
    <s v="R.M.P."/>
    <s v="RM 282"/>
    <s v="Purchase Withinstate - Raw Material"/>
    <s v="PIL1/D/1029"/>
    <d v="2026-07-12T00:00:00"/>
    <s v="SF"/>
    <s v="PP/PE Fabric"/>
    <s v="PP UL Fabric"/>
    <s v="PP WOVEN FABRIC"/>
    <s v="PP UL Fabric With UV"/>
    <n v="2904"/>
    <n v="434118.96"/>
    <s v="PP UL Fabric With UV"/>
    <n v="0"/>
    <n v="9"/>
    <n v="39070.71"/>
    <n v="9"/>
    <n v="39070.71"/>
    <n v="0"/>
    <n v="0"/>
    <n v="0"/>
    <n v="78141.42"/>
    <n v="0"/>
    <s v="24AAACO3087C1ZT"/>
    <s v="Kgs"/>
    <n v="39269080"/>
    <s v="Rs."/>
    <n v="1"/>
    <n v="2904"/>
    <s v="India"/>
    <x v="1"/>
  </r>
  <r>
    <d v="2026-07-13T00:00:00"/>
    <s v="Plastene India ltd - Unit 1-Purchase"/>
    <s v="R.M.P."/>
    <s v="RM 282"/>
    <s v="Purchase Withinstate - Raw Material"/>
    <s v="PIL1/D/1029"/>
    <d v="2026-07-12T00:00:00"/>
    <s v="SF"/>
    <s v="Yarn All"/>
    <s v="PP Yarn"/>
    <s v="PP MF Yarn"/>
    <s v="PP MF Yarn Twisted 1000 Blue"/>
    <n v="114.9"/>
    <n v="18325.401000000002"/>
    <s v="PP MF Yarn Twisted 1000 Blue"/>
    <n v="0"/>
    <n v="2.5"/>
    <n v="458.14"/>
    <n v="2.5"/>
    <n v="458.14"/>
    <n v="0"/>
    <n v="0"/>
    <n v="0"/>
    <n v="916.28"/>
    <n v="0"/>
    <s v="24AAACO3087C1ZT"/>
    <s v="Kgs"/>
    <n v="54026930"/>
    <s v="Rs."/>
    <n v="1"/>
    <n v="114.9"/>
    <s v="India"/>
    <x v="3"/>
  </r>
  <r>
    <d v="2026-07-13T00:00:00"/>
    <s v="Plastene India ltd - Unit 1-Purchase"/>
    <s v="R.M.P."/>
    <s v="RM 282"/>
    <s v="Purchase Withinstate - Raw Material"/>
    <s v="PIL1/D/1029"/>
    <d v="2026-07-12T00:00:00"/>
    <s v="SF"/>
    <s v="Yarn All"/>
    <s v="PP Yarn"/>
    <s v="PP MF Yarn"/>
    <s v="PP MF Yarn Twisted 2500 Blue"/>
    <n v="509.6"/>
    <n v="82804.903999999995"/>
    <s v="PP MF Yarn Twisted 2500 Blue"/>
    <n v="0"/>
    <n v="2.5"/>
    <n v="2070.12"/>
    <n v="2.5"/>
    <n v="2070.12"/>
    <n v="0"/>
    <n v="0"/>
    <n v="0"/>
    <n v="4140.24"/>
    <n v="0"/>
    <s v="24AAACO3087C1ZT"/>
    <s v="Kgs"/>
    <n v="54026930"/>
    <s v="Rs."/>
    <n v="1"/>
    <n v="509.6"/>
    <s v="India"/>
    <x v="3"/>
  </r>
  <r>
    <d v="2026-07-13T00:00:00"/>
    <s v="Plastene India ltd - Unit 1-Purchase"/>
    <s v="R.M.P."/>
    <s v="RM 283"/>
    <s v="Purchase Withinstate - Raw Material"/>
    <s v="PIL1/ME/15"/>
    <d v="2026-07-13T00:00:00"/>
    <s v="FG"/>
    <s v="FIBC Bags"/>
    <s v="FIBC Bags"/>
    <s v="PP WOVEN BIG BAGS / SACKS"/>
    <s v="FIBC Bags With UV With Liner"/>
    <n v="4615"/>
    <n v="984656.4"/>
    <s v="FIBC Bags With UV With Liner"/>
    <n v="4773632.6399999997"/>
    <n v="0.05"/>
    <n v="492.33"/>
    <n v="0.05"/>
    <n v="492.33"/>
    <n v="0"/>
    <n v="0"/>
    <n v="0"/>
    <n v="984.66"/>
    <n v="0"/>
    <s v="24AAACO3087C1ZT"/>
    <s v="Kgs"/>
    <n v="63053200"/>
    <s v="Rs."/>
    <n v="1"/>
    <n v="4615"/>
    <s v="India"/>
    <x v="9"/>
  </r>
  <r>
    <d v="2026-07-13T00:00:00"/>
    <s v="Plastene India ltd - Unit 1-Purchase"/>
    <s v="R.M.P."/>
    <s v="RM 283"/>
    <s v="Purchase Withinstate - Raw Material"/>
    <s v="PIL1/ME/15"/>
    <d v="2026-07-13T00:00:00"/>
    <s v="FG"/>
    <s v="FIBC Bags"/>
    <s v="FIBC Bags"/>
    <s v="PP WOVEN BIG BAGS / SACKS"/>
    <s v="FIBC Bags With UV With Liner"/>
    <n v="1725"/>
    <n v="403339.5"/>
    <s v="FIBC Bags With UV With Liner"/>
    <n v="0"/>
    <n v="0.05"/>
    <n v="201.67"/>
    <n v="0.05"/>
    <n v="201.67"/>
    <n v="0"/>
    <n v="0"/>
    <n v="0"/>
    <n v="403.34"/>
    <n v="0"/>
    <s v="24AAACO3087C1ZT"/>
    <s v="Kgs"/>
    <n v="63053200"/>
    <s v="Rs."/>
    <n v="1"/>
    <n v="1725"/>
    <s v="India"/>
    <x v="9"/>
  </r>
  <r>
    <d v="2026-07-13T00:00:00"/>
    <s v="Plastene India ltd - Unit 1-Purchase"/>
    <s v="R.M.P."/>
    <s v="RM 283"/>
    <s v="Purchase Withinstate - Raw Material"/>
    <s v="PIL1/ME/15"/>
    <d v="2026-07-13T00:00:00"/>
    <s v="FG"/>
    <s v="FIBC Bags"/>
    <s v="FIBC Bags"/>
    <s v="PP WOVEN BIG BAGS / SACKS"/>
    <s v="FIBC Bags With UV With Liner"/>
    <n v="4525"/>
    <n v="952467.25"/>
    <s v="FIBC Bags With UV With Liner"/>
    <n v="0"/>
    <n v="0.05"/>
    <n v="476.23"/>
    <n v="0.05"/>
    <n v="476.23"/>
    <n v="0"/>
    <n v="0"/>
    <n v="0"/>
    <n v="952.46"/>
    <n v="0"/>
    <s v="24AAACO3087C1ZT"/>
    <s v="Kgs"/>
    <n v="63053200"/>
    <s v="Rs."/>
    <n v="1"/>
    <n v="4525"/>
    <s v="India"/>
    <x v="9"/>
  </r>
  <r>
    <d v="2026-07-13T00:00:00"/>
    <s v="Plastene India ltd - Unit 1-Purchase"/>
    <s v="R.M.P."/>
    <s v="RM 283"/>
    <s v="Purchase Withinstate - Raw Material"/>
    <s v="PIL1/ME/15"/>
    <d v="2026-07-13T00:00:00"/>
    <s v="FG"/>
    <s v="FIBC Bags"/>
    <s v="FIBC Bags"/>
    <s v="PP WOVEN BIG BAGS / SACKS"/>
    <s v="FIBC Bags With UV With Liner"/>
    <n v="11559"/>
    <n v="2433169.5"/>
    <s v="FIBC Bags With UV With Liner"/>
    <n v="0"/>
    <n v="0.05"/>
    <n v="1216.58"/>
    <n v="0.05"/>
    <n v="1216.58"/>
    <n v="0"/>
    <n v="0"/>
    <n v="0"/>
    <n v="2433.16"/>
    <n v="0"/>
    <s v="24AAACO3087C1ZT"/>
    <s v="Kgs"/>
    <n v="63053200"/>
    <s v="Rs."/>
    <n v="1"/>
    <n v="11559"/>
    <s v="India"/>
    <x v="9"/>
  </r>
  <r>
    <d v="2026-07-13T00:00:00"/>
    <s v="Satyam Stationery Mart"/>
    <s v="General Purchase"/>
    <s v="GNMS 14"/>
    <s v="Purchase Withinstate- Stores, Spares &amp; Consumable"/>
    <s v="SSM02212"/>
    <d v="2026-07-11T00:00:00"/>
    <s v="Printing &amp; Stationery"/>
    <s v="Stationery Items"/>
    <s v="Stores &amp; Spares"/>
    <s v="stores &amp;  spares"/>
    <s v="Xerox Paper A/4 - Bond Paper"/>
    <n v="20"/>
    <n v="2300"/>
    <s v="Xerox Paper A/4 - Bond Paper"/>
    <n v="2714"/>
    <n v="9"/>
    <n v="207"/>
    <n v="9"/>
    <n v="207"/>
    <n v="0"/>
    <n v="0"/>
    <n v="0"/>
    <n v="414"/>
    <n v="0"/>
    <s v="24AGUPL9792N1Z6"/>
    <s v="Pkt"/>
    <n v="4810100"/>
    <s v="Rs."/>
    <n v="1"/>
    <n v="0"/>
    <s v="India"/>
    <x v="0"/>
  </r>
  <r>
    <d v="2026-07-13T00:00:00"/>
    <s v="Shree Ganesh Stereo"/>
    <s v="General Purchase"/>
    <s v="GNCN 228"/>
    <s v="Purchase Withinstate- Stores, Spares &amp; Consumable"/>
    <n v="1419"/>
    <d v="2026-07-10T00:00:00"/>
    <s v="Consumables"/>
    <s v="Rubber/Polymer Stereo"/>
    <s v="Stores &amp; Spares"/>
    <s v="Consumables"/>
    <s v="Rubber Stereo"/>
    <n v="1"/>
    <n v="281.05"/>
    <s v="Rubber Stereo"/>
    <n v="2120"/>
    <n v="9"/>
    <n v="25.29"/>
    <n v="9"/>
    <n v="25.29"/>
    <n v="0"/>
    <n v="0"/>
    <n v="0"/>
    <n v="50.58"/>
    <n v="0"/>
    <s v="24AHDPC2510M1ZU"/>
    <s v="Pcs"/>
    <n v="400200"/>
    <s v="Rs."/>
    <n v="1"/>
    <n v="0"/>
    <s v="India"/>
    <x v="0"/>
  </r>
  <r>
    <d v="2026-07-13T00:00:00"/>
    <s v="Shree Ganesh Stereo"/>
    <s v="General Purchase"/>
    <s v="GNCN 228"/>
    <s v="Purchase Withinstate- Stores, Spares &amp; Consumable"/>
    <n v="1419"/>
    <d v="2026-07-10T00:00:00"/>
    <s v="Consumables"/>
    <s v="Rubber/Polymer Stereo"/>
    <s v="Stores &amp; Spares"/>
    <s v="Consumables"/>
    <s v="Rubber Stereo"/>
    <n v="1"/>
    <n v="1515.85"/>
    <s v="Rubber Stereo"/>
    <n v="0"/>
    <n v="9"/>
    <n v="136.43"/>
    <n v="9"/>
    <n v="136.43"/>
    <n v="0"/>
    <n v="0"/>
    <n v="0"/>
    <n v="272.86"/>
    <n v="0"/>
    <s v="24AHDPC2510M1ZU"/>
    <s v="Pcs"/>
    <n v="400200"/>
    <s v="Rs."/>
    <n v="1"/>
    <n v="0"/>
    <s v="India"/>
    <x v="0"/>
  </r>
  <r>
    <d v="2026-07-13T00:00:00"/>
    <s v="Shree Ganesh Stereo"/>
    <s v="General Purchase"/>
    <s v="GNCN 229"/>
    <s v="Purchase Withinstate- Stores, Spares &amp; Consumable"/>
    <n v="1408"/>
    <d v="2026-07-10T00:00:00"/>
    <s v="Consumables"/>
    <s v="Rubber/Polymer Stereo"/>
    <s v="Stores &amp; Spares"/>
    <s v="Consumables"/>
    <s v="Rubber Stereo"/>
    <n v="1"/>
    <n v="315"/>
    <s v="Rubber Stereo"/>
    <n v="2991"/>
    <n v="9"/>
    <n v="28.35"/>
    <n v="9"/>
    <n v="28.35"/>
    <n v="0"/>
    <n v="0"/>
    <n v="0"/>
    <n v="56.7"/>
    <n v="0"/>
    <s v="24AHDPC2510M1ZU"/>
    <s v="Pcs"/>
    <n v="400200"/>
    <s v="Rs."/>
    <n v="1"/>
    <n v="0"/>
    <s v="India"/>
    <x v="0"/>
  </r>
  <r>
    <d v="2026-07-13T00:00:00"/>
    <s v="Shree Ganesh Stereo"/>
    <s v="General Purchase"/>
    <s v="GNCN 229"/>
    <s v="Purchase Withinstate- Stores, Spares &amp; Consumable"/>
    <n v="1408"/>
    <d v="2026-07-10T00:00:00"/>
    <s v="Consumables"/>
    <s v="Rubber/Polymer Stereo"/>
    <s v="Stores &amp; Spares"/>
    <s v="Consumables"/>
    <s v="Rubber Stereo"/>
    <n v="1"/>
    <n v="817.5"/>
    <s v="Rubber Stereo"/>
    <n v="0"/>
    <n v="9"/>
    <n v="73.58"/>
    <n v="9"/>
    <n v="73.58"/>
    <n v="0"/>
    <n v="0"/>
    <n v="0"/>
    <n v="147.16"/>
    <n v="0"/>
    <s v="24AHDPC2510M1ZU"/>
    <s v="Pcs"/>
    <n v="400200"/>
    <s v="Rs."/>
    <n v="1"/>
    <n v="0"/>
    <s v="India"/>
    <x v="0"/>
  </r>
  <r>
    <d v="2026-07-13T00:00:00"/>
    <s v="Shree Ganesh Stereo"/>
    <s v="General Purchase"/>
    <s v="GNCN 229"/>
    <s v="Purchase Withinstate- Stores, Spares &amp; Consumable"/>
    <n v="1408"/>
    <d v="2026-07-10T00:00:00"/>
    <s v="Consumables"/>
    <s v="Rubber/Polymer Stereo"/>
    <s v="Stores &amp; Spares"/>
    <s v="Consumables"/>
    <s v="Rubber Stereo"/>
    <n v="1"/>
    <n v="997.5"/>
    <s v="Rubber Stereo"/>
    <n v="0"/>
    <n v="9"/>
    <n v="89.78"/>
    <n v="9"/>
    <n v="89.78"/>
    <n v="0"/>
    <n v="0"/>
    <n v="0"/>
    <n v="179.56"/>
    <n v="0"/>
    <s v="24AHDPC2510M1ZU"/>
    <s v="Pcs"/>
    <n v="400200"/>
    <s v="Rs."/>
    <n v="1"/>
    <n v="0"/>
    <s v="India"/>
    <x v="0"/>
  </r>
  <r>
    <d v="2026-07-13T00:00:00"/>
    <s v="Shree Ganesh Stereo"/>
    <s v="General Purchase"/>
    <s v="GNCN 229"/>
    <s v="Purchase Withinstate- Stores, Spares &amp; Consumable"/>
    <n v="1408"/>
    <d v="2026-07-10T00:00:00"/>
    <s v="Consumables"/>
    <s v="Rubber/Polymer Stereo"/>
    <s v="Stores &amp; Spares"/>
    <s v="Consumables"/>
    <s v="Rubber Stereo"/>
    <n v="1"/>
    <n v="404.6"/>
    <s v="Rubber Stereo"/>
    <n v="0"/>
    <n v="9"/>
    <n v="36.409999999999997"/>
    <n v="9"/>
    <n v="36.409999999999997"/>
    <n v="0"/>
    <n v="0"/>
    <n v="0"/>
    <n v="72.819999999999993"/>
    <n v="0"/>
    <s v="24AHDPC2510M1ZU"/>
    <s v="Pcs"/>
    <n v="400200"/>
    <s v="Rs."/>
    <n v="1"/>
    <n v="0"/>
    <s v="India"/>
    <x v="0"/>
  </r>
  <r>
    <d v="2026-07-13T00:00:00"/>
    <s v="Shree Ram Sulz Spares"/>
    <s v="General Purchase"/>
    <s v="GNSP 385"/>
    <s v="Purchase Interstate- Stores, Spares &amp; Consumable"/>
    <n v="268"/>
    <d v="2026-07-08T00:00:00"/>
    <s v="Stores/Spares"/>
    <s v="Sulzer Machine Spares"/>
    <s v="Stores &amp; Spares"/>
    <s v="stores &amp;  spares"/>
    <s v="Guide Tooth Patti Set (Lower / Upper )"/>
    <n v="10"/>
    <n v="3700"/>
    <s v="Guide Tooth Patti Set (Lower / Upper )"/>
    <n v="4543"/>
    <n v="0"/>
    <n v="0"/>
    <n v="0"/>
    <n v="0"/>
    <n v="18"/>
    <n v="666"/>
    <n v="27"/>
    <n v="693"/>
    <n v="0"/>
    <s v="08EKUPS3217K1ZE"/>
    <s v="SET"/>
    <n v="844849"/>
    <s v="Rs."/>
    <n v="1"/>
    <n v="0"/>
    <s v="India"/>
    <x v="0"/>
  </r>
  <r>
    <d v="2026-07-13T00:00:00"/>
    <s v="Welar Corporation"/>
    <s v="General Purchase"/>
    <s v="GNCN 225"/>
    <s v="Purchase Withinstate- Stores, Spares &amp; Consumable"/>
    <s v="WC0682/26-27"/>
    <d v="2026-06-25T00:00:00"/>
    <s v="RM Consumables"/>
    <s v="FIBC Accessories"/>
    <s v="FIBC Accessories"/>
    <s v="Consumables"/>
    <s v="Velcro 50 mm Male And Female ( White )"/>
    <n v="990"/>
    <n v="11325.6"/>
    <s v="Velcro 50 mm Male And Female ( White )"/>
    <n v="12012"/>
    <n v="2.5"/>
    <n v="283.14"/>
    <n v="2.5"/>
    <n v="283.14"/>
    <n v="0"/>
    <n v="0"/>
    <n v="0"/>
    <n v="566.28"/>
    <n v="0"/>
    <s v="24AAQFV2769P1Z6"/>
    <s v="MTR"/>
    <n v="58061000"/>
    <s v="Rs."/>
    <n v="1"/>
    <n v="990"/>
    <s v="India"/>
    <x v="0"/>
  </r>
  <r>
    <d v="2026-07-13T00:00:00"/>
    <s v="Welar Corporation"/>
    <s v="General Purchase"/>
    <s v="GNCN 225"/>
    <s v="Purchase Withinstate- Stores, Spares &amp; Consumable"/>
    <s v="WC0682/26-27"/>
    <d v="2026-06-25T00:00:00"/>
    <s v="RM Consumables"/>
    <s v="FIBC Accessories"/>
    <s v="FIBC Accessories"/>
    <s v="Consumables"/>
    <s v="Velcro W- 50mm Black Male X L-25 Mtr"/>
    <n v="10"/>
    <n v="57.2"/>
    <s v="Velcro W- 50mm Black Male X L-25 Mtr"/>
    <n v="0"/>
    <n v="2.5"/>
    <n v="1.43"/>
    <n v="2.5"/>
    <n v="1.43"/>
    <n v="0"/>
    <n v="0"/>
    <n v="0"/>
    <n v="2.86"/>
    <n v="0"/>
    <s v="24AAQFV2769P1Z6"/>
    <s v="MTR"/>
    <n v="580610"/>
    <s v="Rs."/>
    <n v="1"/>
    <n v="10"/>
    <s v="India"/>
    <x v="0"/>
  </r>
  <r>
    <d v="2026-07-13T00:00:00"/>
    <s v="Welar Corporation"/>
    <s v="General Purchase"/>
    <s v="GNCN 225"/>
    <s v="Purchase Withinstate- Stores, Spares &amp; Consumable"/>
    <s v="WC0682/26-27"/>
    <d v="2026-06-25T00:00:00"/>
    <s v="RM Consumables"/>
    <s v="FIBC Accessories"/>
    <s v="FIBC Accessories"/>
    <s v="Consumables"/>
    <s v="Velcro W- 50mm Black Female X L-25 Mtr"/>
    <n v="10"/>
    <n v="57.2"/>
    <s v="Velcro W- 50mm Black Female X L-25 Mtr"/>
    <n v="0"/>
    <n v="2.5"/>
    <n v="1.43"/>
    <n v="2.5"/>
    <n v="1.43"/>
    <n v="0"/>
    <n v="0"/>
    <n v="0"/>
    <n v="2.86"/>
    <n v="0"/>
    <s v="24AAQFV2769P1Z6"/>
    <s v="MTR"/>
    <n v="580610"/>
    <s v="Rs."/>
    <n v="1"/>
    <n v="10"/>
    <s v="India"/>
    <x v="0"/>
  </r>
  <r>
    <d v="2026-07-14T00:00:00"/>
    <s v="Brahmani Labels"/>
    <s v="General Purchase"/>
    <s v="GNCN 235"/>
    <s v="Purchase Withinstate- Stores, Spares &amp; Consumable"/>
    <n v="323"/>
    <d v="2026-07-12T00:00:00"/>
    <s v="SF"/>
    <s v="Liners"/>
    <s v="LDPE/LLDPE Bags"/>
    <s v="Consumables"/>
    <s v="PE Labels (Pcs)"/>
    <n v="9.1999999999999993"/>
    <n v="3640"/>
    <s v="PE Labels (Pcs)"/>
    <n v="32819"/>
    <n v="9"/>
    <n v="327.60000000000002"/>
    <n v="9"/>
    <n v="327.60000000000002"/>
    <n v="0"/>
    <n v="0"/>
    <n v="90"/>
    <n v="745.2"/>
    <n v="0"/>
    <s v="24CIAPP4681A1ZK"/>
    <s v="Kgs"/>
    <n v="392300"/>
    <s v="Rs."/>
    <n v="1"/>
    <n v="9.1999999999999993"/>
    <m/>
    <x v="0"/>
  </r>
  <r>
    <d v="2026-07-14T00:00:00"/>
    <s v="Brahmani Labels"/>
    <s v="General Purchase"/>
    <s v="GNCN 235"/>
    <s v="Purchase Withinstate- Stores, Spares &amp; Consumable"/>
    <n v="323"/>
    <d v="2026-07-12T00:00:00"/>
    <s v="SF"/>
    <s v="Liners"/>
    <s v="LDPE/LLDPE Bags"/>
    <s v="Consumables"/>
    <s v="PE Labels (Pcs)"/>
    <n v="5.0999999999999996"/>
    <n v="2207.5"/>
    <s v="PE Labels (Pcs)"/>
    <n v="0"/>
    <n v="9"/>
    <n v="198.67500000000001"/>
    <n v="9"/>
    <n v="198.67500000000001"/>
    <n v="0"/>
    <n v="0"/>
    <n v="90"/>
    <n v="487.35"/>
    <n v="0"/>
    <s v="24CIAPP4681A1ZK"/>
    <s v="Kgs"/>
    <n v="392300"/>
    <s v="Rs."/>
    <n v="1"/>
    <n v="5.0999999999999996"/>
    <m/>
    <x v="0"/>
  </r>
  <r>
    <d v="2026-07-14T00:00:00"/>
    <s v="Brahmani Labels"/>
    <s v="General Purchase"/>
    <s v="GNCN 235"/>
    <s v="Purchase Withinstate- Stores, Spares &amp; Consumable"/>
    <n v="323"/>
    <d v="2026-07-12T00:00:00"/>
    <s v="SF"/>
    <s v="Liners"/>
    <s v="LDPE/LLDPE Bags"/>
    <s v="Consumables"/>
    <s v="PE Labels (Pcs)"/>
    <n v="23.2"/>
    <n v="8250"/>
    <s v="PE Labels (Pcs)"/>
    <n v="0"/>
    <n v="9"/>
    <n v="742.5"/>
    <n v="9"/>
    <n v="742.5"/>
    <n v="0"/>
    <n v="0"/>
    <n v="90"/>
    <n v="1575"/>
    <n v="0"/>
    <s v="24CIAPP4681A1ZK"/>
    <s v="Kgs"/>
    <n v="392300"/>
    <s v="Rs."/>
    <n v="1"/>
    <n v="23.2"/>
    <m/>
    <x v="0"/>
  </r>
  <r>
    <d v="2026-07-14T00:00:00"/>
    <s v="Brahmani Labels"/>
    <s v="General Purchase"/>
    <s v="GNCN 235"/>
    <s v="Purchase Withinstate- Stores, Spares &amp; Consumable"/>
    <n v="323"/>
    <d v="2026-07-12T00:00:00"/>
    <s v="SF"/>
    <s v="Liners"/>
    <s v="LDPE/LLDPE Bags"/>
    <s v="Consumables"/>
    <s v="PE Labels (Pcs)"/>
    <n v="7"/>
    <n v="3995"/>
    <s v="PE Labels (Pcs)"/>
    <n v="0"/>
    <n v="9"/>
    <n v="359.55"/>
    <n v="9"/>
    <n v="359.55"/>
    <n v="0"/>
    <n v="0"/>
    <n v="90"/>
    <n v="809.1"/>
    <n v="0"/>
    <s v="24CIAPP4681A1ZK"/>
    <s v="Kgs"/>
    <n v="392300"/>
    <s v="Rs."/>
    <n v="1"/>
    <n v="7"/>
    <m/>
    <x v="0"/>
  </r>
  <r>
    <d v="2026-07-14T00:00:00"/>
    <s v="Brahmani Labels"/>
    <s v="General Purchase"/>
    <s v="GNCN 235"/>
    <s v="Purchase Withinstate- Stores, Spares &amp; Consumable"/>
    <n v="323"/>
    <d v="2026-07-12T00:00:00"/>
    <s v="SF"/>
    <s v="Liners"/>
    <s v="LDPE/LLDPE Bags"/>
    <s v="Consumables"/>
    <s v="PE Labels (Pcs)"/>
    <n v="11.8"/>
    <n v="4080"/>
    <s v="PE Labels (Pcs)"/>
    <n v="0"/>
    <n v="9"/>
    <n v="367.2"/>
    <n v="9"/>
    <n v="367.2"/>
    <n v="0"/>
    <n v="0"/>
    <n v="90"/>
    <n v="824.4"/>
    <n v="0"/>
    <s v="24CIAPP4681A1ZK"/>
    <s v="Kgs"/>
    <n v="392300"/>
    <s v="Rs."/>
    <n v="1"/>
    <n v="11.8"/>
    <m/>
    <x v="0"/>
  </r>
  <r>
    <d v="2026-07-14T00:00:00"/>
    <s v="Brahmani Labels"/>
    <s v="General Purchase"/>
    <s v="GNCN 235"/>
    <s v="Purchase Withinstate- Stores, Spares &amp; Consumable"/>
    <n v="323"/>
    <d v="2026-07-12T00:00:00"/>
    <s v="SF"/>
    <s v="Liners"/>
    <s v="LDPE/LLDPE Bags"/>
    <s v="Consumables"/>
    <s v="PE Labels (Pcs)"/>
    <n v="17.8"/>
    <n v="3780"/>
    <s v="PE Labels (Pcs)"/>
    <n v="0"/>
    <n v="9"/>
    <n v="340.2"/>
    <n v="9"/>
    <n v="340.2"/>
    <n v="0"/>
    <n v="0"/>
    <n v="90"/>
    <n v="770.4"/>
    <n v="0"/>
    <s v="24CIAPP4681A1ZK"/>
    <s v="Kgs"/>
    <n v="392300"/>
    <s v="Rs."/>
    <n v="1"/>
    <n v="17.8"/>
    <m/>
    <x v="0"/>
  </r>
  <r>
    <d v="2026-07-14T00:00:00"/>
    <s v="Brahmani Labels"/>
    <s v="General Purchase"/>
    <s v="GNCN 235"/>
    <s v="Purchase Withinstate- Stores, Spares &amp; Consumable"/>
    <n v="323"/>
    <d v="2026-07-12T00:00:00"/>
    <s v="SF"/>
    <s v="Liners"/>
    <s v="LDPE/LLDPE Bags"/>
    <s v="Consumables"/>
    <s v="PE Labels (Pcs)"/>
    <n v="0.66"/>
    <n v="1360"/>
    <s v="PE Labels (Pcs)"/>
    <n v="0"/>
    <n v="9"/>
    <n v="122.4"/>
    <n v="9"/>
    <n v="122.4"/>
    <n v="0"/>
    <n v="0"/>
    <n v="90"/>
    <n v="334.8"/>
    <n v="0"/>
    <s v="24CIAPP4681A1ZK"/>
    <s v="Kgs"/>
    <n v="392300"/>
    <s v="Rs."/>
    <n v="1"/>
    <n v="0.66"/>
    <m/>
    <x v="0"/>
  </r>
  <r>
    <d v="2026-07-14T00:00:00"/>
    <s v="Dynamic Wooltex"/>
    <s v="General Purchase"/>
    <s v="GNCN 234"/>
    <s v="Purchase Interstate- Stores, Spares &amp; Consumable"/>
    <n v="13548"/>
    <d v="2026-07-08T00:00:00"/>
    <s v="Stores/Spares"/>
    <s v="Sulzer Machine Spares"/>
    <s v="Stores &amp; Spares"/>
    <s v="Consumables"/>
    <s v="Woolen Felt-Size 4 Inch Width * 8mm Thickness * 13 Feet Length"/>
    <n v="15.5"/>
    <n v="2790"/>
    <s v="Woolen Felt-Size 4 Inch Width * 8mm Thickness * 13 Feet Length"/>
    <n v="4189.5"/>
    <n v="0"/>
    <n v="0"/>
    <n v="0"/>
    <n v="0"/>
    <n v="5"/>
    <n v="139.5"/>
    <n v="60"/>
    <n v="199.5"/>
    <n v="0"/>
    <s v="08ABFPB2251A1ZI"/>
    <s v="Kgs"/>
    <n v="844810"/>
    <s v="Rs."/>
    <n v="1"/>
    <n v="0"/>
    <s v="India"/>
    <x v="0"/>
  </r>
  <r>
    <d v="2026-07-14T00:00:00"/>
    <s v="HCP Enterprise Ltd-Purchase"/>
    <s v="R.M.P."/>
    <s v="RM 289"/>
    <s v="Purchase Withinstate - Raw Material"/>
    <s v="HCP/D/58 [BOE/BOL:2286054/0]"/>
    <d v="2026-07-14T00:00:00"/>
    <s v="RM"/>
    <s v="Granules"/>
    <s v="LLDPE Granules"/>
    <s v="LLDPE Granuals"/>
    <s v="LLDPE KUNLUN DFDA9047"/>
    <n v="28000"/>
    <n v="3476200"/>
    <s v="LLDPE KUNLUN DFDA9047"/>
    <n v="4098439.8"/>
    <n v="9"/>
    <n v="312858"/>
    <n v="9"/>
    <n v="312858"/>
    <n v="0"/>
    <n v="0"/>
    <n v="0"/>
    <n v="625716"/>
    <n v="0"/>
    <s v="24AAACC7815N1ZI"/>
    <s v="Kgs"/>
    <n v="39014000"/>
    <s v="Rs."/>
    <n v="1"/>
    <n v="28000"/>
    <s v="India"/>
    <x v="12"/>
  </r>
  <r>
    <d v="2026-07-14T00:00:00"/>
    <s v="Himanshu Enterprise"/>
    <s v="General Purchase"/>
    <s v="GNSP 390"/>
    <s v="Purchase Withinstate- Stores, Spares &amp; Consumable"/>
    <s v="GST-1357/26-27"/>
    <d v="2026-07-06T00:00:00"/>
    <s v="Stores/Spares"/>
    <s v="V Belt"/>
    <s v="Stores &amp; Spares"/>
    <s v="stores &amp;  spares"/>
    <s v="V Belt A-78  Fenner"/>
    <n v="60"/>
    <n v="14742"/>
    <s v="V Belt A-78  Fenner"/>
    <n v="17396"/>
    <n v="9"/>
    <n v="1326.78"/>
    <n v="9"/>
    <n v="1326.78"/>
    <n v="0"/>
    <n v="0"/>
    <n v="0"/>
    <n v="2653.56"/>
    <n v="0"/>
    <s v="24AAKFH4457N1ZX"/>
    <s v="Pcs"/>
    <n v="84836090"/>
    <s v="Rs."/>
    <n v="1"/>
    <n v="0"/>
    <s v="India"/>
    <x v="0"/>
  </r>
  <r>
    <d v="2026-07-14T00:00:00"/>
    <s v="Kamaldeep Stationers"/>
    <s v="General Purchase"/>
    <s v="GNMS 15"/>
    <s v="Purchase Withinstate- Stores, Spares &amp; Consumable"/>
    <s v="KDS/192/26-27"/>
    <d v="2026-07-10T00:00:00"/>
    <s v="Stores/Spares"/>
    <s v="Cutter Blades"/>
    <s v="Stores &amp; Spares"/>
    <s v="stores &amp;  spares"/>
    <s v="Scissor Plastic Handle"/>
    <n v="100"/>
    <n v="3300"/>
    <s v="Scissor Plastic Handle"/>
    <n v="3894"/>
    <n v="9"/>
    <n v="297"/>
    <n v="9"/>
    <n v="297"/>
    <n v="0"/>
    <n v="0"/>
    <n v="0"/>
    <n v="594"/>
    <n v="0"/>
    <s v="24CMHPK0484K1ZW"/>
    <s v="Pcs"/>
    <n v="82130000"/>
    <s v="Rs."/>
    <n v="1"/>
    <n v="0"/>
    <s v="India"/>
    <x v="0"/>
  </r>
  <r>
    <d v="2026-07-14T00:00:00"/>
    <s v="Khator Enterprises"/>
    <s v="General Purchase"/>
    <s v="GNSP 392"/>
    <s v="Purchase Withinstate- Stores, Spares &amp; Consumable"/>
    <s v="908/2026-27"/>
    <d v="2026-07-08T00:00:00"/>
    <s v="Stores/Spares"/>
    <s v="Bearings"/>
    <s v="Stores &amp; Spares"/>
    <s v="stores &amp;  spares"/>
    <s v="Bearing 22206 E - Zkl"/>
    <n v="4"/>
    <n v="7924"/>
    <s v="Bearing 22206 E - Zkl"/>
    <n v="22649"/>
    <n v="9"/>
    <n v="713.16"/>
    <n v="9"/>
    <n v="713.16"/>
    <n v="0"/>
    <n v="0"/>
    <n v="0"/>
    <n v="1426.32"/>
    <n v="0"/>
    <s v="24ACFPK3378J1ZG"/>
    <s v="Pcs"/>
    <n v="84823000"/>
    <s v="Rs."/>
    <n v="1"/>
    <n v="0"/>
    <s v="India"/>
    <x v="0"/>
  </r>
  <r>
    <d v="2026-07-14T00:00:00"/>
    <s v="Khator Enterprises"/>
    <s v="General Purchase"/>
    <s v="GNSP 392"/>
    <s v="Purchase Withinstate- Stores, Spares &amp; Consumable"/>
    <s v="908/2026-27"/>
    <d v="2026-07-08T00:00:00"/>
    <s v="Stores/Spares"/>
    <s v="Bearings"/>
    <s v="Stores &amp; Spares"/>
    <s v="stores &amp;  spares"/>
    <s v="Bearing 6212 Zz Skf"/>
    <n v="10"/>
    <n v="5920"/>
    <s v="Bearing 6212 Zz Skf"/>
    <n v="0"/>
    <n v="9"/>
    <n v="532.79999999999995"/>
    <n v="9"/>
    <n v="532.79999999999995"/>
    <n v="0"/>
    <n v="0"/>
    <n v="0"/>
    <n v="1065.5999999999999"/>
    <n v="0"/>
    <s v="24ACFPK3378J1ZG"/>
    <s v="Pcs"/>
    <n v="84821011"/>
    <s v="Rs."/>
    <n v="1"/>
    <n v="0"/>
    <s v="India"/>
    <x v="0"/>
  </r>
  <r>
    <d v="2026-07-14T00:00:00"/>
    <s v="Khator Enterprises"/>
    <s v="General Purchase"/>
    <s v="GNSP 392"/>
    <s v="Purchase Withinstate- Stores, Spares &amp; Consumable"/>
    <s v="908/2026-27"/>
    <d v="2026-07-08T00:00:00"/>
    <s v="Stores/Spares"/>
    <s v="Bearings"/>
    <s v="Stores &amp; Spares"/>
    <s v="stores &amp;  spares"/>
    <s v="Bearing 6001 Zz"/>
    <n v="50"/>
    <n v="1650"/>
    <s v="Bearing 6001 Zz"/>
    <n v="0"/>
    <n v="9"/>
    <n v="148.5"/>
    <n v="9"/>
    <n v="148.5"/>
    <n v="0"/>
    <n v="0"/>
    <n v="0"/>
    <n v="297"/>
    <n v="0"/>
    <s v="24ACFPK3378J1ZG"/>
    <s v="Pcs"/>
    <n v="84821011"/>
    <s v="Rs."/>
    <n v="1"/>
    <n v="0"/>
    <s v="India"/>
    <x v="0"/>
  </r>
  <r>
    <d v="2026-07-14T00:00:00"/>
    <s v="Khator Enterprises"/>
    <s v="General Purchase"/>
    <s v="GNSP 392"/>
    <s v="Purchase Withinstate- Stores, Spares &amp; Consumable"/>
    <s v="908/2026-27"/>
    <d v="2026-07-08T00:00:00"/>
    <s v="Stores/Spares"/>
    <s v="Bearings"/>
    <s v="Stores &amp; Spares"/>
    <s v="stores &amp;  spares"/>
    <s v="Bearing 6202 Zz"/>
    <n v="50"/>
    <n v="3700"/>
    <s v="Bearing 6202 Zz"/>
    <n v="0"/>
    <n v="9"/>
    <n v="333"/>
    <n v="9"/>
    <n v="333"/>
    <n v="0"/>
    <n v="0"/>
    <n v="0"/>
    <n v="666"/>
    <n v="0"/>
    <s v="24ACFPK3378J1ZG"/>
    <s v="Pcs"/>
    <n v="84821011"/>
    <s v="Rs."/>
    <n v="1"/>
    <n v="0"/>
    <s v="India"/>
    <x v="0"/>
  </r>
  <r>
    <d v="2026-07-14T00:00:00"/>
    <s v="Multi Enterprise"/>
    <s v="General Purchase"/>
    <s v="GNCN 233"/>
    <s v="Purchase Withinstate- Stores, Spares &amp; Consumable"/>
    <s v="T-0470"/>
    <d v="2026-07-07T00:00:00"/>
    <s v="Consumables"/>
    <s v="Consumables"/>
    <s v="Stores &amp; Spares"/>
    <s v="Consumables"/>
    <s v="Disposable Cap"/>
    <n v="20000"/>
    <n v="10000"/>
    <s v="Disposable Cap"/>
    <n v="10500"/>
    <n v="2.5"/>
    <n v="250"/>
    <n v="2.5"/>
    <n v="250"/>
    <n v="0"/>
    <n v="0"/>
    <n v="0"/>
    <n v="500"/>
    <n v="0"/>
    <s v="24ABOPM4832H1ZJ"/>
    <s v="Pcs"/>
    <n v="62104090"/>
    <s v="Rs."/>
    <n v="1"/>
    <n v="0"/>
    <s v="India"/>
    <x v="0"/>
  </r>
  <r>
    <d v="2026-07-14T00:00:00"/>
    <s v="Oswal Commodities Private Limited - Purchase"/>
    <s v="IMP-RM"/>
    <s v="RMIMP 26"/>
    <s v="Purchase Raw Material - High Seas"/>
    <s v="OCPL/25-26/HSS/19"/>
    <d v="2026-03-20T00:00:00"/>
    <s v="RM"/>
    <s v="Granules"/>
    <s v="PP Granules"/>
    <s v="PP Granuals"/>
    <s v="PP Zhongjing T30S"/>
    <n v="8000"/>
    <n v="612800"/>
    <s v="PP Zhongjing T30S"/>
    <n v="612187.19999999995"/>
    <n v="0"/>
    <n v="0"/>
    <n v="0"/>
    <n v="0"/>
    <n v="0"/>
    <n v="0"/>
    <n v="0"/>
    <n v="0"/>
    <n v="0"/>
    <s v="24AAACO3557B2ZV"/>
    <s v="Kgs"/>
    <n v="39021000"/>
    <s v="Rs."/>
    <n v="1"/>
    <n v="8000"/>
    <s v="India"/>
    <x v="8"/>
  </r>
  <r>
    <d v="2026-07-14T00:00:00"/>
    <s v="Plastene India ltd - Unit 1-Purchase"/>
    <s v="Purchase"/>
    <s v="GNPK 144"/>
    <s v="Purchase Withinstate- Packing Material"/>
    <s v="PIL1/D/1041"/>
    <d v="2026-07-13T00:00:00"/>
    <s v="Stores/Spares"/>
    <s v="MS Structure Items"/>
    <s v="Packing Materials"/>
    <s v="Packing Materials"/>
    <s v="MS Pipe 4  C Class"/>
    <n v="130"/>
    <n v="6240"/>
    <s v="MS Pipe 4  C Class"/>
    <n v="7356.96"/>
    <n v="9"/>
    <n v="561.6"/>
    <n v="9"/>
    <n v="561.6"/>
    <n v="0"/>
    <n v="0"/>
    <n v="0"/>
    <n v="1123.2"/>
    <n v="0"/>
    <s v="24AAACO3087C1ZT"/>
    <s v="Kgs"/>
    <n v="73063090"/>
    <s v="Rs."/>
    <n v="1"/>
    <n v="0"/>
    <s v="India"/>
    <x v="0"/>
  </r>
  <r>
    <d v="2026-07-14T00:00:00"/>
    <s v="Plastene India ltd - Unit 1-Purchase"/>
    <s v="R.M.P."/>
    <s v="RM 285"/>
    <s v="Purchase Withinstate - Raw Material"/>
    <s v="PIL1/D/1039"/>
    <d v="2026-07-13T00:00:00"/>
    <s v="RM"/>
    <s v="Granules"/>
    <s v="PP Granules"/>
    <s v="PP Granuals"/>
    <s v="PP RIL H350EC"/>
    <n v="2000"/>
    <n v="273262"/>
    <s v="PP RIL H350EC"/>
    <n v="322175.90000000002"/>
    <n v="9"/>
    <n v="24593.58"/>
    <n v="9"/>
    <n v="24593.58"/>
    <n v="0"/>
    <n v="0"/>
    <n v="0"/>
    <n v="49187.16"/>
    <n v="0"/>
    <s v="24AAACO3087C1ZT"/>
    <s v="Kgs"/>
    <n v="39021000"/>
    <s v="Rs."/>
    <n v="1"/>
    <n v="2000"/>
    <s v="India"/>
    <x v="8"/>
  </r>
  <r>
    <d v="2026-07-14T00:00:00"/>
    <s v="Plastene India ltd - Unit 1-Purchase"/>
    <s v="R.M.P."/>
    <s v="RM 286"/>
    <s v="Purchase Withinstate - Raw Material"/>
    <s v="PIL1/D/1040"/>
    <d v="2026-07-13T00:00:00"/>
    <s v="SF"/>
    <s v="Yarn All"/>
    <s v="PP Yarn"/>
    <s v="PP MF Yarn"/>
    <s v="PP MF Yarn Twisted 1000 UV NW"/>
    <n v="1475.5"/>
    <n v="230900.995"/>
    <s v="PP MF Yarn Twisted 1000 UV NW"/>
    <n v="311663.45"/>
    <n v="2.5"/>
    <n v="5772.52"/>
    <n v="2.5"/>
    <n v="5772.52"/>
    <n v="0"/>
    <n v="0"/>
    <n v="0"/>
    <n v="11545.04"/>
    <n v="0"/>
    <s v="24AAACO3087C1ZT"/>
    <s v="Kgs"/>
    <n v="54026930"/>
    <s v="Rs."/>
    <n v="1"/>
    <n v="1475.5"/>
    <s v="India"/>
    <x v="3"/>
  </r>
  <r>
    <d v="2026-07-14T00:00:00"/>
    <s v="Plastene India ltd - Unit 1-Purchase"/>
    <s v="R.M.P."/>
    <s v="RM 286"/>
    <s v="Purchase Withinstate - Raw Material"/>
    <s v="PIL1/D/1040"/>
    <d v="2026-07-13T00:00:00"/>
    <s v="SF"/>
    <s v="Yarn All"/>
    <s v="PP Yarn"/>
    <s v="PP MF Yarn"/>
    <s v="PP MF Yarn Twisted 2500 Denier UV NW"/>
    <n v="415.1"/>
    <n v="66204.298999999999"/>
    <s v="PP MF Yarn Twisted 2500 Denier UV NW"/>
    <n v="0"/>
    <n v="2.5"/>
    <n v="1655.11"/>
    <n v="2.5"/>
    <n v="1655.11"/>
    <n v="0"/>
    <n v="0"/>
    <n v="0"/>
    <n v="3310.22"/>
    <n v="0"/>
    <s v="24AAACO3087C1ZT"/>
    <s v="Kgs"/>
    <n v="54026300"/>
    <s v="Rs."/>
    <n v="1"/>
    <n v="415.1"/>
    <s v="India"/>
    <x v="3"/>
  </r>
  <r>
    <d v="2026-07-14T00:00:00"/>
    <s v="Plastene India ltd - Unit 1-Purchase"/>
    <s v="R.M.P."/>
    <s v="RM 287"/>
    <s v="Purchase Withinstate - Raw Material"/>
    <s v="PIL1/D/1043"/>
    <d v="2026-07-13T00:00:00"/>
    <s v="SF"/>
    <s v="Liners"/>
    <s v="LDPE/LLDPE Bags"/>
    <s v="LLDPE BAGS"/>
    <s v="LDPE/LLDPE Bags/Liner"/>
    <n v="16.5"/>
    <n v="3081.87"/>
    <s v="LDPE/LLDPE Bags/Liner"/>
    <n v="803676.33"/>
    <n v="9"/>
    <n v="277.37"/>
    <n v="9"/>
    <n v="277.37"/>
    <n v="0"/>
    <n v="0"/>
    <n v="0"/>
    <n v="554.74"/>
    <n v="0"/>
    <s v="24AAACO3087C1ZT"/>
    <s v="Kgs"/>
    <n v="39200000"/>
    <s v="Rs."/>
    <n v="1"/>
    <n v="16.5"/>
    <s v="India"/>
    <x v="4"/>
  </r>
  <r>
    <d v="2026-07-14T00:00:00"/>
    <s v="Plastene India ltd - Unit 1-Purchase"/>
    <s v="R.M.P."/>
    <s v="RM 287"/>
    <s v="Purchase Withinstate - Raw Material"/>
    <s v="PIL1/D/1043"/>
    <d v="2026-07-13T00:00:00"/>
    <s v="SF"/>
    <s v="Liners"/>
    <s v="LDPE/LLDPE Bags"/>
    <s v="LLDPE BAGS"/>
    <s v="LDPE/LLDPE Bags/Liner"/>
    <n v="115"/>
    <n v="24124.7"/>
    <s v="LDPE/LLDPE Bags/Liner"/>
    <n v="0"/>
    <n v="9"/>
    <n v="2171.2199999999998"/>
    <n v="9"/>
    <n v="2171.2199999999998"/>
    <n v="0"/>
    <n v="0"/>
    <n v="0"/>
    <n v="4342.4399999999996"/>
    <n v="0"/>
    <s v="24AAACO3087C1ZT"/>
    <s v="Kgs"/>
    <n v="39200000"/>
    <s v="Rs."/>
    <n v="1"/>
    <n v="115"/>
    <s v="India"/>
    <x v="4"/>
  </r>
  <r>
    <d v="2026-07-14T00:00:00"/>
    <s v="Plastene India ltd - Unit 1-Purchase"/>
    <s v="R.M.P."/>
    <s v="RM 287"/>
    <s v="Purchase Withinstate - Raw Material"/>
    <s v="PIL1/D/1043"/>
    <d v="2026-07-13T00:00:00"/>
    <s v="SF"/>
    <s v="Liners"/>
    <s v="LDPE/LLDPE Bags"/>
    <s v="LLDPE BAGS"/>
    <s v="LDPE/LLDPE Bags/Liner"/>
    <n v="100"/>
    <n v="24669"/>
    <s v="LDPE/LLDPE Bags/Liner"/>
    <n v="0"/>
    <n v="9"/>
    <n v="2220.21"/>
    <n v="9"/>
    <n v="2220.21"/>
    <n v="0"/>
    <n v="0"/>
    <n v="0"/>
    <n v="4440.42"/>
    <n v="0"/>
    <s v="24AAACO3087C1ZT"/>
    <s v="Kgs"/>
    <n v="39200000"/>
    <s v="Rs."/>
    <n v="1"/>
    <n v="100"/>
    <s v="India"/>
    <x v="4"/>
  </r>
  <r>
    <d v="2026-07-14T00:00:00"/>
    <s v="Plastene India ltd - Unit 1-Purchase"/>
    <s v="R.M.P."/>
    <s v="RM 287"/>
    <s v="Purchase Withinstate - Raw Material"/>
    <s v="PIL1/D/1043"/>
    <d v="2026-07-13T00:00:00"/>
    <s v="SF"/>
    <s v="Liners"/>
    <s v="LDPE/LLDPE Bags"/>
    <s v="LLDPE BAGS"/>
    <s v="LDPE/LLDPE Bags/Liner"/>
    <n v="521"/>
    <n v="133886.57999999999"/>
    <s v="LDPE/LLDPE Bags/Liner"/>
    <n v="0"/>
    <n v="9"/>
    <n v="12049.79"/>
    <n v="9"/>
    <n v="12049.79"/>
    <n v="0"/>
    <n v="0"/>
    <n v="0"/>
    <n v="24099.58"/>
    <n v="0"/>
    <s v="24AAACO3087C1ZT"/>
    <s v="Kgs"/>
    <n v="39200000"/>
    <s v="Rs."/>
    <n v="1"/>
    <n v="521"/>
    <s v="India"/>
    <x v="4"/>
  </r>
  <r>
    <d v="2026-07-14T00:00:00"/>
    <s v="Plastene India ltd - Unit 1-Purchase"/>
    <s v="R.M.P."/>
    <s v="RM 287"/>
    <s v="Purchase Withinstate - Raw Material"/>
    <s v="PIL1/D/1043"/>
    <d v="2026-07-13T00:00:00"/>
    <s v="SF"/>
    <s v="Liners"/>
    <s v="LDPE/LLDPE Bags"/>
    <s v="LLDPE BAGS"/>
    <s v="LDPE/LLDPE Bags/Liner"/>
    <n v="587.20000000000005"/>
    <n v="121421.216"/>
    <s v="LDPE/LLDPE Bags/Liner"/>
    <n v="0"/>
    <n v="9"/>
    <n v="10927.91"/>
    <n v="9"/>
    <n v="10927.91"/>
    <n v="0"/>
    <n v="0"/>
    <n v="0"/>
    <n v="21855.82"/>
    <n v="0"/>
    <s v="24AAACO3087C1ZT"/>
    <s v="Kgs"/>
    <n v="39200000"/>
    <s v="Rs."/>
    <n v="1"/>
    <n v="587.20000000000005"/>
    <s v="India"/>
    <x v="4"/>
  </r>
  <r>
    <d v="2026-07-14T00:00:00"/>
    <s v="Plastene India ltd - Unit 1-Purchase"/>
    <s v="R.M.P."/>
    <s v="RM 287"/>
    <s v="Purchase Withinstate - Raw Material"/>
    <s v="PIL1/D/1043"/>
    <d v="2026-07-13T00:00:00"/>
    <s v="SF"/>
    <s v="Liners"/>
    <s v="LDPE/LLDPE Bags"/>
    <s v="LLDPE BAGS"/>
    <s v="LDPE/LLDPE Bags/Liner"/>
    <n v="48"/>
    <n v="12335.04"/>
    <s v="LDPE/LLDPE Bags/Liner"/>
    <n v="0"/>
    <n v="9"/>
    <n v="1110.1500000000001"/>
    <n v="9"/>
    <n v="1110.1500000000001"/>
    <n v="0"/>
    <n v="0"/>
    <n v="0"/>
    <n v="2220.3000000000002"/>
    <n v="0"/>
    <s v="24AAACO3087C1ZT"/>
    <s v="Kgs"/>
    <n v="39200000"/>
    <s v="Rs."/>
    <n v="1"/>
    <n v="48"/>
    <s v="India"/>
    <x v="4"/>
  </r>
  <r>
    <d v="2026-07-14T00:00:00"/>
    <s v="Plastene India ltd - Unit 1-Purchase"/>
    <s v="R.M.P."/>
    <s v="RM 287"/>
    <s v="Purchase Withinstate - Raw Material"/>
    <s v="PIL1/D/1043"/>
    <d v="2026-07-13T00:00:00"/>
    <s v="SF"/>
    <s v="Liners"/>
    <s v="LDPE/LLDPE Bags"/>
    <s v="LLDPE BAGS"/>
    <s v="LDPE/LLDPE Bags/Liner"/>
    <n v="1468"/>
    <n v="362140.92"/>
    <s v="LDPE/LLDPE Bags/Liner"/>
    <n v="0"/>
    <n v="9"/>
    <n v="32592.68"/>
    <n v="9"/>
    <n v="32592.68"/>
    <n v="0"/>
    <n v="0"/>
    <n v="0"/>
    <n v="65185.36"/>
    <n v="0"/>
    <s v="24AAACO3087C1ZT"/>
    <s v="Kgs"/>
    <n v="39200000"/>
    <s v="Rs."/>
    <n v="1"/>
    <n v="1468"/>
    <s v="India"/>
    <x v="4"/>
  </r>
  <r>
    <d v="2026-07-14T00:00:00"/>
    <s v="Plastene India ltd - Unit 1-Purchase"/>
    <s v="R.M.P."/>
    <s v="RM 288"/>
    <s v="Purchase Withinstate - Raw Material"/>
    <s v="PIL1/D/1042"/>
    <d v="2026-07-13T00:00:00"/>
    <s v="SF"/>
    <s v="PP/PE Fabric"/>
    <s v="PP Lam Fabric"/>
    <s v="PP LAMINETED FABRIC"/>
    <s v="PP Lam Fabric With UV"/>
    <n v="163"/>
    <n v="24692.87"/>
    <s v="PP Lam Fabric With UV"/>
    <n v="542699.96"/>
    <n v="9"/>
    <n v="2222.36"/>
    <n v="9"/>
    <n v="2222.36"/>
    <n v="0"/>
    <n v="0"/>
    <n v="0"/>
    <n v="4444.72"/>
    <n v="0"/>
    <s v="24AAACO3087C1ZT"/>
    <s v="Kgs"/>
    <n v="63053300"/>
    <s v="Rs."/>
    <n v="1"/>
    <n v="163"/>
    <s v="India"/>
    <x v="2"/>
  </r>
  <r>
    <d v="2026-07-14T00:00:00"/>
    <s v="Plastene India ltd - Unit 1-Purchase"/>
    <s v="R.M.P."/>
    <s v="RM 288"/>
    <s v="Purchase Withinstate - Raw Material"/>
    <s v="PIL1/D/1042"/>
    <d v="2026-07-13T00:00:00"/>
    <s v="SF"/>
    <s v="PP/PE Fabric"/>
    <s v="PP UL Fabric"/>
    <s v="PP WOVEN FABRIC"/>
    <s v="PP UL Fabric With UV"/>
    <n v="390"/>
    <n v="57521.1"/>
    <s v="PP UL Fabric With UV"/>
    <n v="0"/>
    <n v="9"/>
    <n v="5176.8999999999996"/>
    <n v="9"/>
    <n v="5176.8999999999996"/>
    <n v="0"/>
    <n v="0"/>
    <n v="0"/>
    <n v="10353.799999999999"/>
    <n v="0"/>
    <s v="24AAACO3087C1ZT"/>
    <s v="Kgs"/>
    <n v="39269080"/>
    <s v="Rs."/>
    <n v="1"/>
    <n v="390"/>
    <s v="India"/>
    <x v="1"/>
  </r>
  <r>
    <d v="2026-07-14T00:00:00"/>
    <s v="Plastene India ltd - Unit 1-Purchase"/>
    <s v="R.M.P."/>
    <s v="RM 288"/>
    <s v="Purchase Withinstate - Raw Material"/>
    <s v="PIL1/D/1042"/>
    <d v="2026-07-13T00:00:00"/>
    <s v="SF"/>
    <s v="PP/PE Fabric"/>
    <s v="PP UL Fabric"/>
    <s v="PP WOVEN FABRIC"/>
    <s v="PP UL Fabric With UV"/>
    <n v="1100"/>
    <n v="158939"/>
    <s v="PP UL Fabric With UV"/>
    <n v="0"/>
    <n v="9"/>
    <n v="14304.51"/>
    <n v="9"/>
    <n v="14304.51"/>
    <n v="0"/>
    <n v="0"/>
    <n v="0"/>
    <n v="28609.02"/>
    <n v="0"/>
    <s v="24AAACO3087C1ZT"/>
    <s v="Kgs"/>
    <n v="39269080"/>
    <s v="Rs."/>
    <n v="1"/>
    <n v="1100"/>
    <s v="India"/>
    <x v="1"/>
  </r>
  <r>
    <d v="2026-07-14T00:00:00"/>
    <s v="Plastene India ltd - Unit 1-Purchase"/>
    <s v="R.M.P."/>
    <s v="RM 288"/>
    <s v="Purchase Withinstate - Raw Material"/>
    <s v="PIL1/D/1042"/>
    <d v="2026-07-13T00:00:00"/>
    <s v="SF"/>
    <s v="PP/PE Fabric"/>
    <s v="PP UL Fabric"/>
    <s v="PP WOVEN FABRIC"/>
    <s v="PP UL Fabric With UV"/>
    <n v="1466"/>
    <n v="219152.34"/>
    <s v="PP UL Fabric With UV"/>
    <n v="0"/>
    <n v="9"/>
    <n v="19723.71"/>
    <n v="9"/>
    <n v="19723.71"/>
    <n v="0"/>
    <n v="0"/>
    <n v="0"/>
    <n v="39447.42"/>
    <n v="0"/>
    <s v="24AAACO3087C1ZT"/>
    <s v="Kgs"/>
    <n v="39269080"/>
    <s v="Rs."/>
    <n v="1"/>
    <n v="1466"/>
    <s v="India"/>
    <x v="1"/>
  </r>
  <r>
    <d v="2026-07-14T00:00:00"/>
    <s v="Plastene India ltd - Unit 2-Purchase"/>
    <s v="R.M.P."/>
    <s v="RM 290"/>
    <s v="Purchase Withinstate - Raw Material"/>
    <s v="PIL2/D/371 [BOE/BOL:2286054/0]"/>
    <d v="2026-07-14T00:00:00"/>
    <s v="SF"/>
    <s v="Yarn All"/>
    <s v="PP Yarn"/>
    <s v="Filler code"/>
    <s v="Filler Cord"/>
    <n v="3405.28"/>
    <n v="408974.12800000003"/>
    <s v="Filler Cord"/>
    <n v="429013.86"/>
    <n v="2.5"/>
    <n v="10224.35"/>
    <n v="2.5"/>
    <n v="10224.35"/>
    <n v="0"/>
    <n v="0"/>
    <n v="0"/>
    <n v="20448.7"/>
    <n v="0"/>
    <s v="24AAACO3087C1ZT"/>
    <s v="Kgs"/>
    <n v="540263"/>
    <s v="Rs."/>
    <n v="1"/>
    <n v="3405.28"/>
    <s v="India"/>
    <x v="3"/>
  </r>
  <r>
    <d v="2026-07-14T00:00:00"/>
    <s v="Shri Nakoda Transmission &amp; Electric Co."/>
    <s v="General Purchase"/>
    <s v="GNSP 391"/>
    <s v="Purchase Withinstate- Stores, Spares &amp; Consumable"/>
    <s v="VTV/26-27/1899"/>
    <d v="2026-07-09T00:00:00"/>
    <s v="Stores/Spares"/>
    <s v="Cables/Wires"/>
    <s v="Stores &amp; Spares"/>
    <s v="stores &amp;  spares"/>
    <s v="Copper Flexible Cable 1.5 Sq mm Single Core"/>
    <n v="100"/>
    <n v="2242.6999999999998"/>
    <s v="Copper Flexible Cable 1.5 Sq mm Single Core"/>
    <n v="20962"/>
    <n v="9"/>
    <n v="201.84"/>
    <n v="9"/>
    <n v="201.84"/>
    <n v="0"/>
    <n v="0"/>
    <n v="0"/>
    <n v="403.68"/>
    <n v="0"/>
    <s v="24AFGFS2586E1ZX"/>
    <s v="MTR"/>
    <n v="854460"/>
    <s v="Rs."/>
    <n v="1"/>
    <n v="0"/>
    <s v="India"/>
    <x v="0"/>
  </r>
  <r>
    <d v="2026-07-14T00:00:00"/>
    <s v="Shri Nakoda Transmission &amp; Electric Co."/>
    <s v="General Purchase"/>
    <s v="GNSP 391"/>
    <s v="Purchase Withinstate- Stores, Spares &amp; Consumable"/>
    <s v="VTV/26-27/1899"/>
    <d v="2026-07-09T00:00:00"/>
    <s v="Stores/Spares"/>
    <s v="Electrical Items/Spares"/>
    <s v="Stores &amp; Spares"/>
    <s v="stores &amp;  spares"/>
    <s v="16 Amp 3 Pin Top"/>
    <n v="10"/>
    <n v="655"/>
    <s v="16 Amp 3 Pin Top"/>
    <n v="0"/>
    <n v="9"/>
    <n v="58.95"/>
    <n v="9"/>
    <n v="58.95"/>
    <n v="0"/>
    <n v="0"/>
    <n v="0"/>
    <n v="117.9"/>
    <n v="0"/>
    <s v="24AFGFS2586E1ZX"/>
    <s v="Pcs"/>
    <n v="853690"/>
    <s v="Rs."/>
    <n v="1"/>
    <n v="0"/>
    <s v="India"/>
    <x v="0"/>
  </r>
  <r>
    <d v="2026-07-14T00:00:00"/>
    <s v="Shri Nakoda Transmission &amp; Electric Co."/>
    <s v="General Purchase"/>
    <s v="GNSP 391"/>
    <s v="Purchase Withinstate- Stores, Spares &amp; Consumable"/>
    <s v="VTV/26-27/1899"/>
    <d v="2026-07-09T00:00:00"/>
    <s v="Stores/Spares"/>
    <s v="Cables/Wires"/>
    <s v="Stores &amp; Spares"/>
    <s v="stores &amp;  spares"/>
    <s v="Copper Flexible Cable 16 Sq,mm X 1 Core"/>
    <n v="100"/>
    <n v="14866.6"/>
    <s v="Copper Flexible Cable 16 Sq,mm X 1 Core"/>
    <n v="0"/>
    <n v="9"/>
    <n v="1337.99"/>
    <n v="9"/>
    <n v="1337.99"/>
    <n v="0"/>
    <n v="0"/>
    <n v="0"/>
    <n v="2675.98"/>
    <n v="0"/>
    <s v="24AFGFS2586E1ZX"/>
    <s v="MTR"/>
    <n v="8544602"/>
    <s v="Rs."/>
    <n v="1"/>
    <n v="0"/>
    <s v="India"/>
    <x v="0"/>
  </r>
  <r>
    <d v="2026-07-14T00:00:00"/>
    <s v="Shyam Apparels"/>
    <s v="General Purchase"/>
    <s v="GNCN 236"/>
    <s v="Purchase Withinstate- Stores, Spares &amp; Consumable"/>
    <s v="38/26-27"/>
    <d v="2026-07-15T00:00:00"/>
    <s v="Consumables"/>
    <s v="Uniform/protective Item"/>
    <s v="Stores &amp; Spares"/>
    <s v="Consumables"/>
    <s v="Apron Colour Sky Blue Short Sleeves Labcoat"/>
    <n v="245"/>
    <n v="47775"/>
    <s v="Apron Colour Sky Blue Short Sleeves Labcoat"/>
    <n v="50794"/>
    <n v="2.5"/>
    <n v="1194.375"/>
    <n v="2.5"/>
    <n v="1194.375"/>
    <n v="0"/>
    <n v="0"/>
    <n v="30"/>
    <n v="2418.75"/>
    <n v="0"/>
    <s v="24AFEPK6929B1ZP"/>
    <s v="Pcs"/>
    <n v="320414"/>
    <s v="Rs."/>
    <n v="1"/>
    <n v="0"/>
    <s v="India"/>
    <x v="0"/>
  </r>
  <r>
    <d v="2026-07-14T00:00:00"/>
    <s v="Simandhar Technology"/>
    <s v="General Purchase"/>
    <s v="GNSP 393"/>
    <s v="Purchase Withinstate- Stores, Spares &amp; Consumable"/>
    <s v="26-27/0598"/>
    <d v="2026-07-11T00:00:00"/>
    <s v="Stores/Spares"/>
    <s v="Electrical Items/Spares"/>
    <s v="Stores &amp; Spares"/>
    <s v="stores &amp;  spares"/>
    <s v="Load Cell 1000 Kg"/>
    <n v="4"/>
    <n v="5800"/>
    <s v="Load Cell 1000 Kg"/>
    <n v="7198"/>
    <n v="9"/>
    <n v="522"/>
    <n v="9"/>
    <n v="522"/>
    <n v="0"/>
    <n v="0"/>
    <n v="54"/>
    <n v="1098"/>
    <n v="0"/>
    <s v="24AZFPS4845P1ZN"/>
    <s v="Pcs"/>
    <n v="903190"/>
    <s v="Rs."/>
    <n v="1"/>
    <n v="0"/>
    <s v="India"/>
    <x v="0"/>
  </r>
  <r>
    <d v="2026-07-15T00:00:00"/>
    <s v="Garvi Enterprise"/>
    <s v="General Purchase"/>
    <s v="GNSP 397"/>
    <s v="Purchase Withinstate- Stores, Spares &amp; Consumable"/>
    <s v="T-0129"/>
    <d v="2026-07-15T00:00:00"/>
    <s v="Consumables"/>
    <s v="Oil Filter"/>
    <s v="Stores &amp; Spares"/>
    <s v="stores &amp;  spares"/>
    <s v="Oil Filter"/>
    <n v="1"/>
    <n v="453.39"/>
    <s v="Oil Filter"/>
    <n v="13259"/>
    <n v="9"/>
    <n v="40.81"/>
    <n v="9"/>
    <n v="40.81"/>
    <n v="0"/>
    <n v="0"/>
    <n v="0"/>
    <n v="81.62"/>
    <n v="0"/>
    <s v="24AOVPP4343C1ZO"/>
    <s v="Pcs"/>
    <n v="84212300"/>
    <s v="Rs."/>
    <n v="1"/>
    <n v="0"/>
    <s v="India"/>
    <x v="0"/>
  </r>
  <r>
    <d v="2026-07-15T00:00:00"/>
    <s v="Garvi Enterprise"/>
    <s v="General Purchase"/>
    <s v="GNSP 397"/>
    <s v="Purchase Withinstate- Stores, Spares &amp; Consumable"/>
    <s v="T-0129"/>
    <d v="2026-07-15T00:00:00"/>
    <s v="Stores/Spares"/>
    <s v="DG Set Spares"/>
    <s v="Stores &amp; Spares"/>
    <s v="stores &amp;  spares"/>
    <s v="Exchange Fuel Filter Insert"/>
    <n v="1"/>
    <n v="1699.15"/>
    <s v="Exchange Fuel Filter Insert"/>
    <n v="0"/>
    <n v="9"/>
    <n v="152.91999999999999"/>
    <n v="9"/>
    <n v="152.91999999999999"/>
    <n v="0"/>
    <n v="0"/>
    <n v="0"/>
    <n v="305.83999999999997"/>
    <n v="0"/>
    <s v="24AOVPP4343C1ZO"/>
    <s v="Pcs"/>
    <n v="84219900"/>
    <s v="Rs."/>
    <n v="1"/>
    <n v="0"/>
    <s v="India"/>
    <x v="0"/>
  </r>
  <r>
    <d v="2026-07-15T00:00:00"/>
    <s v="Garvi Enterprise"/>
    <s v="General Purchase"/>
    <s v="GNSP 397"/>
    <s v="Purchase Withinstate- Stores, Spares &amp; Consumable"/>
    <s v="T-0129"/>
    <d v="2026-07-15T00:00:00"/>
    <s v="Stores/Spares"/>
    <s v="Hardware Items"/>
    <s v="Stores &amp; Spares"/>
    <s v="stores &amp;  spares"/>
    <s v="Coolent Water"/>
    <n v="1"/>
    <n v="1608.47"/>
    <s v="Coolent Water"/>
    <n v="0"/>
    <n v="9"/>
    <n v="144.76"/>
    <n v="9"/>
    <n v="144.76"/>
    <n v="0"/>
    <n v="0"/>
    <n v="0"/>
    <n v="289.52"/>
    <n v="0"/>
    <s v="24AOVPP4343C1ZO"/>
    <s v="LITTER"/>
    <n v="28539000"/>
    <s v="Rs."/>
    <n v="1"/>
    <n v="0"/>
    <s v="India"/>
    <x v="0"/>
  </r>
  <r>
    <d v="2026-07-15T00:00:00"/>
    <s v="Garvi Enterprise"/>
    <s v="General Purchase"/>
    <s v="GNSP 397"/>
    <s v="Purchase Withinstate- Stores, Spares &amp; Consumable"/>
    <s v="T-0129"/>
    <d v="2026-07-15T00:00:00"/>
    <s v="Consumables"/>
    <s v="Oil &amp; Greases"/>
    <s v="Stores &amp; Spares"/>
    <s v="stores &amp;  spares"/>
    <s v="Engine Oil ( Packing Size- 04 Ltr) Tmhin-Genuine-Cf4-Id"/>
    <n v="1"/>
    <n v="7475.42"/>
    <s v="Engine Oil ( Packing Size- 04 Ltr) Tmhin-Genuine-Cf4-Id"/>
    <n v="0"/>
    <n v="9"/>
    <n v="672.79"/>
    <n v="9"/>
    <n v="672.79"/>
    <n v="0"/>
    <n v="0"/>
    <n v="0"/>
    <n v="1345.58"/>
    <n v="0"/>
    <s v="24AOVPP4343C1ZO"/>
    <s v="Pcs"/>
    <n v="27101980"/>
    <s v="Rs."/>
    <n v="1"/>
    <n v="0"/>
    <s v="India"/>
    <x v="0"/>
  </r>
  <r>
    <d v="2026-07-15T00:00:00"/>
    <s v="Mahalaxmi Sulz Spare"/>
    <s v="General Purchase"/>
    <s v="GNSP 394"/>
    <s v="Purchase Interstate- Stores, Spares &amp; Consumable"/>
    <s v="MSS25/479"/>
    <d v="2026-07-09T00:00:00"/>
    <s v="Stores/Spares"/>
    <s v="Sulzer Machine Spares"/>
    <s v="Stores &amp; Spares"/>
    <s v="stores &amp;  spares"/>
    <s v="Roller Bush 911.241.723"/>
    <n v="200"/>
    <n v="3600"/>
    <s v="Roller Bush 911.241.723"/>
    <n v="11340"/>
    <n v="0"/>
    <n v="0"/>
    <n v="0"/>
    <n v="0"/>
    <n v="18"/>
    <n v="648"/>
    <n v="45"/>
    <n v="693"/>
    <n v="0"/>
    <s v="08BABPB3225J1Z4"/>
    <s v="Pcs"/>
    <n v="84489099"/>
    <s v="Rs."/>
    <n v="1"/>
    <n v="0"/>
    <s v="India"/>
    <x v="0"/>
  </r>
  <r>
    <d v="2026-07-15T00:00:00"/>
    <s v="Mahalaxmi Sulz Spare"/>
    <s v="General Purchase"/>
    <s v="GNSP 394"/>
    <s v="Purchase Interstate- Stores, Spares &amp; Consumable"/>
    <s v="MSS25/479"/>
    <d v="2026-07-09T00:00:00"/>
    <s v="Stores/Spares"/>
    <s v="Sulzer Machine Spares"/>
    <s v="Stores &amp; Spares"/>
    <s v="stores &amp;  spares"/>
    <s v="Half Pattern Cam AA U, 911.141.727"/>
    <n v="120"/>
    <n v="5760"/>
    <s v="Half Pattern Cam AA U, 911.141.727"/>
    <n v="0"/>
    <n v="0"/>
    <n v="0"/>
    <n v="0"/>
    <n v="0"/>
    <n v="18"/>
    <n v="1036.8"/>
    <n v="45"/>
    <n v="1081.8"/>
    <n v="0"/>
    <s v="08BABPB3225J1Z4"/>
    <s v="Pcs"/>
    <n v="84489099"/>
    <s v="Rs."/>
    <n v="1"/>
    <n v="0"/>
    <s v="India"/>
    <x v="0"/>
  </r>
  <r>
    <d v="2026-07-15T00:00:00"/>
    <s v="Mahalaxmi Sulz Spare"/>
    <s v="General Purchase"/>
    <s v="GNSP 395"/>
    <s v="Purchase Interstate- Stores, Spares &amp; Consumable"/>
    <s v="MSS25/478"/>
    <d v="2026-07-09T00:00:00"/>
    <s v="Stores/Spares"/>
    <s v="Sulzer Machine Spares"/>
    <s v="Stores &amp; Spares"/>
    <s v="stores &amp;  spares"/>
    <s v="Spacing Ring D=28/6.25x7.2mm 911308261"/>
    <n v="100"/>
    <n v="2800"/>
    <s v="Spacing Ring D=28/6.25x7.2mm 911308261"/>
    <n v="3599"/>
    <n v="0"/>
    <n v="0"/>
    <n v="0"/>
    <n v="0"/>
    <n v="18"/>
    <n v="504"/>
    <n v="45"/>
    <n v="549"/>
    <n v="0"/>
    <s v="08BABPB3225J1Z4"/>
    <s v="Pcs"/>
    <n v="84463090"/>
    <s v="Rs."/>
    <n v="1"/>
    <n v="0"/>
    <s v="India"/>
    <x v="0"/>
  </r>
  <r>
    <d v="2026-07-15T00:00:00"/>
    <s v="Mahalaxmi Sulz Spare"/>
    <s v="General Purchase"/>
    <s v="GNSP 396"/>
    <s v="Purchase Interstate- Stores, Spares &amp; Consumable"/>
    <s v="MSS25/480"/>
    <d v="2026-07-09T00:00:00"/>
    <s v="Stores/Spares"/>
    <s v="Sulzer Machine Spares"/>
    <s v="Stores &amp; Spares"/>
    <s v="stores &amp;  spares"/>
    <s v="Nylon Bush Size:-25/20 For Pinion Shaft"/>
    <n v="50"/>
    <n v="4250"/>
    <s v="Nylon Bush Size:-25/20 For Pinion Shaft"/>
    <n v="5015"/>
    <n v="0"/>
    <n v="0"/>
    <n v="0"/>
    <n v="0"/>
    <n v="18"/>
    <n v="765"/>
    <n v="0"/>
    <n v="765"/>
    <n v="0"/>
    <s v="08BABPB3225J1Z4"/>
    <s v="Pcs"/>
    <n v="84484990"/>
    <s v="Rs."/>
    <n v="1"/>
    <n v="0"/>
    <s v="India"/>
    <x v="0"/>
  </r>
  <r>
    <d v="2026-07-15T00:00:00"/>
    <s v="Plastene India ltd - Unit 1-Purchase"/>
    <s v="Purchase"/>
    <s v="GNPK 145"/>
    <s v="Purchase Withinstate- Packing Material"/>
    <s v="PIL1/D/1052"/>
    <d v="2026-07-14T00:00:00"/>
    <s v="Stores/Spares"/>
    <s v="MS Structure Items"/>
    <s v="Packing Materials"/>
    <s v="Packing Materials"/>
    <s v="MS Pipe 4  C Class"/>
    <n v="291"/>
    <n v="13968"/>
    <s v="MS Pipe 4  C Class"/>
    <n v="16468.27"/>
    <n v="9"/>
    <n v="1257.1199999999999"/>
    <n v="9"/>
    <n v="1257.1199999999999"/>
    <n v="0"/>
    <n v="0"/>
    <n v="0"/>
    <n v="2514.2399999999998"/>
    <n v="0"/>
    <s v="24AAACO3087C1ZT"/>
    <s v="Kgs"/>
    <n v="73063090"/>
    <s v="Rs."/>
    <n v="1"/>
    <n v="0"/>
    <s v="India"/>
    <x v="0"/>
  </r>
  <r>
    <d v="2026-07-15T00:00:00"/>
    <s v="Plastene India ltd - Unit 1-Purchase"/>
    <s v="R.M.P."/>
    <s v="RM 291"/>
    <s v="Purchase Withinstate - Raw Material"/>
    <s v="PIL1/DE/21"/>
    <d v="2026-07-14T00:00:00"/>
    <s v="SF"/>
    <s v="PP/PE Fabric"/>
    <s v="PP UL Fabric"/>
    <s v="PP WOVEN FABRIC"/>
    <s v="PP UL Fabric With UV"/>
    <n v="241"/>
    <n v="95195"/>
    <s v="PP UL Fabric With UV"/>
    <n v="112234.81"/>
    <n v="9"/>
    <n v="8567.5499999999993"/>
    <n v="9"/>
    <n v="8567.5499999999993"/>
    <n v="0"/>
    <n v="0"/>
    <n v="0"/>
    <n v="17135.099999999999"/>
    <n v="0"/>
    <s v="24AAACO3087C1ZT"/>
    <s v="Kgs"/>
    <n v="39269080"/>
    <s v="Rs."/>
    <n v="1"/>
    <n v="241"/>
    <s v="India"/>
    <x v="1"/>
  </r>
  <r>
    <d v="2026-07-15T00:00:00"/>
    <s v="Plastene India ltd - Unit 1-Purchase"/>
    <s v="R.M.P."/>
    <s v="RM 292"/>
    <s v="Purchase Withinstate - Raw Material"/>
    <s v="PIL1/D/1054"/>
    <d v="2026-07-14T00:00:00"/>
    <s v="SF"/>
    <s v="Liners"/>
    <s v="LDPE/LLDPE Bags"/>
    <s v="LLDPE BAGS"/>
    <s v="LDPE/LLDPE Bags/Liner"/>
    <n v="1231.4000000000001"/>
    <n v="254628.89199999999"/>
    <s v="LDPE/LLDPE Bags/Liner"/>
    <n v="1901531.93"/>
    <n v="9"/>
    <n v="22916.6"/>
    <n v="9"/>
    <n v="22916.6"/>
    <n v="0"/>
    <n v="0"/>
    <n v="0"/>
    <n v="45833.2"/>
    <n v="0"/>
    <s v="24AAACO3087C1ZT"/>
    <s v="Kgs"/>
    <n v="39200000"/>
    <s v="Rs."/>
    <n v="1"/>
    <n v="1231.4000000000001"/>
    <s v="India"/>
    <x v="4"/>
  </r>
  <r>
    <d v="2026-07-15T00:00:00"/>
    <s v="Plastene India ltd - Unit 1-Purchase"/>
    <s v="R.M.P."/>
    <s v="RM 292"/>
    <s v="Purchase Withinstate - Raw Material"/>
    <s v="PIL1/D/1054"/>
    <d v="2026-07-14T00:00:00"/>
    <s v="SF"/>
    <s v="PP/PE Fabric"/>
    <s v="PP UL Fabric"/>
    <s v="PP WOVEN FABRIC"/>
    <s v="PP UL Fabric With UV"/>
    <n v="2596"/>
    <n v="375096.04"/>
    <s v="PP UL Fabric With UV"/>
    <n v="0"/>
    <n v="9"/>
    <n v="33758.639999999999"/>
    <n v="9"/>
    <n v="33758.639999999999"/>
    <n v="0"/>
    <n v="0"/>
    <n v="0"/>
    <n v="67517.279999999999"/>
    <n v="0"/>
    <s v="24AAACO3087C1ZT"/>
    <s v="Kgs"/>
    <n v="39269080"/>
    <s v="Rs."/>
    <n v="1"/>
    <n v="2596"/>
    <s v="India"/>
    <x v="1"/>
  </r>
  <r>
    <d v="2026-07-15T00:00:00"/>
    <s v="Plastene India ltd - Unit 1-Purchase"/>
    <s v="R.M.P."/>
    <s v="RM 292"/>
    <s v="Purchase Withinstate - Raw Material"/>
    <s v="PIL1/D/1054"/>
    <d v="2026-07-14T00:00:00"/>
    <s v="SF"/>
    <s v="PP/PE Fabric"/>
    <s v="PP UL Fabric"/>
    <s v="PP WOVEN FABRIC"/>
    <s v="PP UL Fabric With UV"/>
    <n v="3111"/>
    <n v="458841.39"/>
    <s v="PP UL Fabric With UV"/>
    <n v="0"/>
    <n v="9"/>
    <n v="41295.730000000003"/>
    <n v="9"/>
    <n v="41295.730000000003"/>
    <n v="0"/>
    <n v="0"/>
    <n v="0"/>
    <n v="82591.460000000006"/>
    <n v="0"/>
    <s v="24AAACO3087C1ZT"/>
    <s v="Kgs"/>
    <n v="39269080"/>
    <s v="Rs."/>
    <n v="1"/>
    <n v="3111"/>
    <s v="India"/>
    <x v="1"/>
  </r>
  <r>
    <d v="2026-07-15T00:00:00"/>
    <s v="Plastene India ltd - Unit 1-Purchase"/>
    <s v="R.M.P."/>
    <s v="RM 292"/>
    <s v="Purchase Withinstate - Raw Material"/>
    <s v="PIL1/D/1054"/>
    <d v="2026-07-14T00:00:00"/>
    <s v="SF"/>
    <s v="PP/PE Fabric"/>
    <s v="PP UL Fabric"/>
    <s v="PP WOVEN FABRIC"/>
    <s v="PP UL Fabric With UV"/>
    <n v="1307"/>
    <n v="195383.43"/>
    <s v="PP UL Fabric With UV"/>
    <n v="0"/>
    <n v="9"/>
    <n v="17584.509999999998"/>
    <n v="9"/>
    <n v="17584.509999999998"/>
    <n v="0"/>
    <n v="0"/>
    <n v="0"/>
    <n v="35169.019999999997"/>
    <n v="0"/>
    <s v="24AAACO3087C1ZT"/>
    <s v="Kgs"/>
    <n v="39269080"/>
    <s v="Rs."/>
    <n v="1"/>
    <n v="1307"/>
    <s v="India"/>
    <x v="1"/>
  </r>
  <r>
    <d v="2026-07-15T00:00:00"/>
    <s v="Plastene India ltd - Unit 1-Purchase"/>
    <s v="R.M.P."/>
    <s v="RM 292"/>
    <s v="Purchase Withinstate - Raw Material"/>
    <s v="PIL1/D/1054"/>
    <d v="2026-07-14T00:00:00"/>
    <s v="SF"/>
    <s v="PP/PE Fabric"/>
    <s v="PP Lam Fabric"/>
    <s v="PP LAMINETED FABRIC"/>
    <s v="PP Lam Fabric With UV"/>
    <n v="2171"/>
    <n v="328884.78999999998"/>
    <s v="PP Lam Fabric With UV"/>
    <n v="0"/>
    <n v="9"/>
    <n v="29599.63"/>
    <n v="9"/>
    <n v="29599.63"/>
    <n v="0"/>
    <n v="0"/>
    <n v="0"/>
    <n v="59199.26"/>
    <n v="0"/>
    <s v="24AAACO3087C1ZT"/>
    <s v="Kgs"/>
    <n v="63053300"/>
    <s v="Rs."/>
    <n v="1"/>
    <n v="2171"/>
    <s v="India"/>
    <x v="2"/>
  </r>
  <r>
    <d v="2026-07-15T00:00:00"/>
    <s v="Plastene India ltd - Unit 2-Purchase"/>
    <s v="R.M.P."/>
    <s v="RM 293"/>
    <s v="Purchase Withinstate - Raw Material"/>
    <s v="PIL2/D/375"/>
    <d v="2026-07-14T00:00:00"/>
    <s v="RM"/>
    <s v="Granules"/>
    <s v="PP Granules"/>
    <s v="PP Granuals"/>
    <s v="PP RIL H350EC"/>
    <n v="1000"/>
    <n v="136631"/>
    <s v="PP RIL H350EC"/>
    <n v="161087.95000000001"/>
    <n v="9"/>
    <n v="12296.79"/>
    <n v="9"/>
    <n v="12296.79"/>
    <n v="0"/>
    <n v="0"/>
    <n v="0"/>
    <n v="24593.58"/>
    <n v="0"/>
    <s v="24AAACO3087C1ZT"/>
    <s v="Kgs"/>
    <n v="39021000"/>
    <s v="Rs."/>
    <n v="1"/>
    <n v="1000"/>
    <s v="India"/>
    <x v="8"/>
  </r>
  <r>
    <d v="2026-07-16T00:00:00"/>
    <s v="Bhumi Hardware &amp; Electricals"/>
    <s v="General Purchase"/>
    <s v="GNCN 237"/>
    <s v="Purchase Withinstate- Stores, Spares &amp; Consumable"/>
    <n v="2483"/>
    <d v="2026-07-13T00:00:00"/>
    <s v="Consumables"/>
    <s v="Paint"/>
    <s v="Stores &amp; Spares"/>
    <s v="Consumables"/>
    <s v="Oil Paint Smoke Grey 0616"/>
    <n v="4"/>
    <n v="960"/>
    <s v="Oil Paint Smoke Grey 0616"/>
    <n v="1416"/>
    <n v="9"/>
    <n v="86.4"/>
    <n v="9"/>
    <n v="86.4"/>
    <n v="0"/>
    <n v="0"/>
    <n v="0"/>
    <n v="172.8"/>
    <n v="0"/>
    <s v="24ASGPC4647K1ZQ"/>
    <s v="Ltr"/>
    <n v="52051210"/>
    <s v="Rs."/>
    <n v="1"/>
    <n v="0"/>
    <s v="India"/>
    <x v="0"/>
  </r>
  <r>
    <d v="2026-07-16T00:00:00"/>
    <s v="Bhumi Hardware &amp; Electricals"/>
    <s v="General Purchase"/>
    <s v="GNCN 237"/>
    <s v="Purchase Withinstate- Stores, Spares &amp; Consumable"/>
    <n v="2483"/>
    <d v="2026-07-13T00:00:00"/>
    <s v="Consumables"/>
    <s v="Paint"/>
    <s v="Stores &amp; Spares"/>
    <s v="Consumables"/>
    <s v="Brush Paint 4&quot; Fargo"/>
    <n v="2"/>
    <n v="240"/>
    <s v="Brush Paint 4&quot; Fargo"/>
    <n v="0"/>
    <n v="9"/>
    <n v="21.6"/>
    <n v="9"/>
    <n v="21.6"/>
    <n v="0"/>
    <n v="0"/>
    <n v="0"/>
    <n v="43.2"/>
    <n v="0"/>
    <s v="24ASGPC4647K1ZQ"/>
    <s v="Pcs"/>
    <n v="32081010"/>
    <s v="Rs."/>
    <n v="1"/>
    <n v="0"/>
    <s v="India"/>
    <x v="0"/>
  </r>
  <r>
    <d v="2026-07-16T00:00:00"/>
    <s v="HCP Plastene Bulkpack Limited - Purchase"/>
    <s v="R.M.P."/>
    <s v="RM 295"/>
    <s v="Purchase Withinstate - Raw Material"/>
    <s v="HPBL/D/386"/>
    <d v="2026-07-15T00:00:00"/>
    <s v="SF"/>
    <s v="PP/PE Fabric"/>
    <s v="PP UL Fabric"/>
    <s v="PP WOVEN FABRIC"/>
    <s v="PP UL Fabric With UV"/>
    <n v="4282"/>
    <n v="670090.18000000005"/>
    <s v="PP UL Fabric With UV"/>
    <n v="1127075"/>
    <n v="9"/>
    <n v="60308.12"/>
    <n v="9"/>
    <n v="60308.12"/>
    <n v="0"/>
    <n v="0"/>
    <n v="0"/>
    <n v="120616.24"/>
    <n v="0"/>
    <s v="24AABCG1282C2Z6"/>
    <s v="Kgs"/>
    <n v="39269080"/>
    <s v="Rs."/>
    <n v="1"/>
    <n v="4282"/>
    <s v="India"/>
    <x v="1"/>
  </r>
  <r>
    <d v="2026-07-16T00:00:00"/>
    <s v="HCP Plastene Bulkpack Limited - Purchase"/>
    <s v="R.M.P."/>
    <s v="RM 295"/>
    <s v="Purchase Withinstate - Raw Material"/>
    <s v="HPBL/D/386"/>
    <d v="2026-07-15T00:00:00"/>
    <s v="SF"/>
    <s v="PP/PE Fabric"/>
    <s v="PP UL Fabric"/>
    <s v="PP WOVEN FABRIC"/>
    <s v="PP UL Fabric With UV"/>
    <n v="146"/>
    <n v="22555.54"/>
    <s v="PP UL Fabric With UV"/>
    <n v="0"/>
    <n v="9"/>
    <n v="2030"/>
    <n v="9"/>
    <n v="2030"/>
    <n v="0"/>
    <n v="0"/>
    <n v="0"/>
    <n v="4060"/>
    <n v="0"/>
    <s v="24AABCG1282C2Z6"/>
    <s v="Kgs"/>
    <n v="39269080"/>
    <s v="Rs."/>
    <n v="1"/>
    <n v="146"/>
    <s v="India"/>
    <x v="1"/>
  </r>
  <r>
    <d v="2026-07-16T00:00:00"/>
    <s v="HCP Plastene Bulkpack Limited - Purchase"/>
    <s v="R.M.P."/>
    <s v="RM 295"/>
    <s v="Purchase Withinstate - Raw Material"/>
    <s v="HPBL/D/386"/>
    <d v="2026-07-15T00:00:00"/>
    <s v="SF"/>
    <s v="PP/PE Fabric"/>
    <s v="PP UL Fabric"/>
    <s v="PP WOVEN FABRIC"/>
    <s v="PP UL Fabric With UV"/>
    <n v="355"/>
    <n v="76853.95"/>
    <s v="PP UL Fabric With UV"/>
    <n v="0"/>
    <n v="9"/>
    <n v="6916.86"/>
    <n v="9"/>
    <n v="6916.86"/>
    <n v="0"/>
    <n v="0"/>
    <n v="0"/>
    <n v="13833.72"/>
    <n v="0"/>
    <s v="24AABCG1282C2Z6"/>
    <s v="Kgs"/>
    <n v="39269080"/>
    <s v="Rs."/>
    <n v="1"/>
    <n v="355"/>
    <s v="India"/>
    <x v="1"/>
  </r>
  <r>
    <d v="2026-07-16T00:00:00"/>
    <s v="HCP Plastene Bulkpack Limited - Purchase"/>
    <s v="R.M.P."/>
    <s v="RM 295"/>
    <s v="Purchase Withinstate - Raw Material"/>
    <s v="HPBL/D/386"/>
    <d v="2026-07-15T00:00:00"/>
    <s v="SF"/>
    <s v="PP/PE Fabric"/>
    <s v="PP UL Fabric"/>
    <s v="PP WOVEN FABRIC"/>
    <s v="PP UL Fabric With UV"/>
    <n v="233"/>
    <n v="37161.17"/>
    <s v="PP UL Fabric With UV"/>
    <n v="0"/>
    <n v="9"/>
    <n v="3344.51"/>
    <n v="9"/>
    <n v="3344.51"/>
    <n v="0"/>
    <n v="0"/>
    <n v="0"/>
    <n v="6689.02"/>
    <n v="0"/>
    <s v="24AABCG1282C2Z6"/>
    <s v="Kgs"/>
    <n v="39269080"/>
    <s v="Rs."/>
    <n v="1"/>
    <n v="233"/>
    <s v="India"/>
    <x v="1"/>
  </r>
  <r>
    <d v="2026-07-16T00:00:00"/>
    <s v="HCP Plastene Bulkpack Limited - Purchase"/>
    <s v="R.M.P."/>
    <s v="RM 295"/>
    <s v="Purchase Withinstate - Raw Material"/>
    <s v="HPBL/D/386"/>
    <d v="2026-07-15T00:00:00"/>
    <s v="SF"/>
    <s v="PP/PE Fabric"/>
    <s v="PP Lam Fabric"/>
    <s v="PP LAMINETED FABRIC"/>
    <s v="PP Lam Fabric With UV"/>
    <n v="942"/>
    <n v="149297.57999999999"/>
    <s v="PP Lam Fabric With UV"/>
    <n v="0"/>
    <n v="9"/>
    <n v="13436.78"/>
    <n v="9"/>
    <n v="13436.78"/>
    <n v="0"/>
    <n v="0"/>
    <n v="0"/>
    <n v="26873.56"/>
    <n v="0"/>
    <s v="24AABCG1282C2Z6"/>
    <s v="Kgs"/>
    <n v="63053300"/>
    <s v="Rs."/>
    <n v="1"/>
    <n v="942"/>
    <s v="India"/>
    <x v="2"/>
  </r>
  <r>
    <d v="2026-07-16T00:00:00"/>
    <s v="Hcp Plastene Bulkpack Ltd Vadodara-Sales"/>
    <s v="R.M.P."/>
    <s v="RM 294"/>
    <s v="Purchase Withinstate - Raw Material"/>
    <s v="HPBLV/D/37"/>
    <d v="2026-07-15T00:00:00"/>
    <s v="FG"/>
    <s v="FIBC Bags"/>
    <s v="FIBC Bags"/>
    <s v="PP WOVEN BIG BAGS / SACKS"/>
    <s v="FIBC Bags With UV Without Liner"/>
    <n v="2156.5"/>
    <n v="550144.71499999997"/>
    <s v="FIBC Bags With UV Without Liner"/>
    <n v="649170.76"/>
    <n v="9"/>
    <n v="49513.02"/>
    <n v="9"/>
    <n v="49513.02"/>
    <n v="0"/>
    <n v="0"/>
    <n v="0"/>
    <n v="99026.04"/>
    <n v="0"/>
    <s v="24AABCG1282C2Z6"/>
    <s v="Kgs"/>
    <n v="63053200"/>
    <s v="Rs."/>
    <n v="1"/>
    <n v="2156.5"/>
    <s v="India"/>
    <x v="9"/>
  </r>
  <r>
    <d v="2026-07-16T00:00:00"/>
    <s v="Lohia Global Solutions - Gujarat - (A Div of Lohia Corp Ltd)"/>
    <s v="General Purchase"/>
    <s v="GNSP 400"/>
    <s v="Purchase Withinstate- Stores, Spares &amp; Consumable"/>
    <s v="TG2426104226"/>
    <d v="2026-07-13T00:00:00"/>
    <s v="Stores/Spares"/>
    <s v="Cutting Machine Spares"/>
    <s v="Stores &amp; Spares"/>
    <s v="stores &amp;  spares"/>
    <s v="Pu Cover Stape Roller Part No.11169159100"/>
    <n v="14"/>
    <n v="20412"/>
    <s v="Pu Cover Stape Roller Part No.11169159100"/>
    <n v="23912"/>
    <n v="9"/>
    <n v="1823.81"/>
    <n v="9"/>
    <n v="1823.81"/>
    <n v="0"/>
    <n v="0"/>
    <n v="0"/>
    <n v="3647.62"/>
    <n v="0"/>
    <s v="24AAACL2470J1ZO"/>
    <s v="Pcs"/>
    <n v="84123100"/>
    <s v="Rs."/>
    <n v="1"/>
    <n v="0"/>
    <s v="India"/>
    <x v="0"/>
  </r>
  <r>
    <d v="2026-07-16T00:00:00"/>
    <s v="Murlidhar Paper Tube"/>
    <s v="General Purchase"/>
    <s v="GNPK 146"/>
    <s v="Purchase Withinstate- Packing Material"/>
    <n v="115"/>
    <d v="2026-07-11T00:00:00"/>
    <s v="Packing Material"/>
    <s v="Paper Cores"/>
    <s v="Packing Materials"/>
    <s v="Packing Materials"/>
    <s v="Paper Core"/>
    <n v="260"/>
    <n v="9620"/>
    <s v="Paper Core"/>
    <n v="11352"/>
    <n v="9"/>
    <n v="865.8"/>
    <n v="9"/>
    <n v="865.8"/>
    <n v="0"/>
    <n v="0"/>
    <n v="0"/>
    <n v="1731.6"/>
    <n v="0"/>
    <s v="24ARHPP9327M1Z7"/>
    <s v="Kgs"/>
    <n v="482290"/>
    <s v="Rs."/>
    <n v="1"/>
    <n v="260"/>
    <s v="India"/>
    <x v="0"/>
  </r>
  <r>
    <d v="2026-07-16T00:00:00"/>
    <s v="Perfect Belts Private Limited (Gujarat)"/>
    <s v="General Purchase"/>
    <s v="GNSP 399"/>
    <s v="Purchase Withinstate- Stores, Spares &amp; Consumable"/>
    <s v="A-2969/26-27"/>
    <d v="2026-07-13T00:00:00"/>
    <s v="Stores/Spares"/>
    <s v="Bearings"/>
    <s v="Stores &amp; Spares"/>
    <s v="stores &amp;  spares"/>
    <s v="Bearing 608 Zz"/>
    <n v="50"/>
    <n v="1843"/>
    <s v="Bearing 608 Zz"/>
    <n v="17168"/>
    <n v="9"/>
    <n v="165.87"/>
    <n v="9"/>
    <n v="165.87"/>
    <n v="0"/>
    <n v="0"/>
    <n v="0"/>
    <n v="331.74"/>
    <n v="0"/>
    <s v="24AABCP1066F1ZU"/>
    <s v="Pcs"/>
    <n v="84822090"/>
    <s v="Rs."/>
    <n v="1"/>
    <n v="0"/>
    <s v="India"/>
    <x v="0"/>
  </r>
  <r>
    <d v="2026-07-16T00:00:00"/>
    <s v="Perfect Belts Private Limited (Gujarat)"/>
    <s v="General Purchase"/>
    <s v="GNSP 399"/>
    <s v="Purchase Withinstate- Stores, Spares &amp; Consumable"/>
    <s v="A-2969/26-27"/>
    <d v="2026-07-13T00:00:00"/>
    <s v="Stores/Spares"/>
    <s v="Bearings"/>
    <s v="Stores &amp; Spares"/>
    <s v="stores &amp;  spares"/>
    <s v="Bearing 6003 Zz Skf"/>
    <n v="10"/>
    <n v="595.9"/>
    <s v="Bearing 6003 Zz Skf"/>
    <n v="0"/>
    <n v="9"/>
    <n v="53.63"/>
    <n v="9"/>
    <n v="53.63"/>
    <n v="0"/>
    <n v="0"/>
    <n v="0"/>
    <n v="107.26"/>
    <n v="0"/>
    <s v="24AABCP1066F1ZU"/>
    <s v="Pcs"/>
    <n v="84822090"/>
    <s v="Rs."/>
    <n v="1"/>
    <n v="0"/>
    <s v="India"/>
    <x v="0"/>
  </r>
  <r>
    <d v="2026-07-16T00:00:00"/>
    <s v="Perfect Belts Private Limited (Gujarat)"/>
    <s v="General Purchase"/>
    <s v="GNSP 399"/>
    <s v="Purchase Withinstate- Stores, Spares &amp; Consumable"/>
    <s v="A-2969/26-27"/>
    <d v="2026-07-13T00:00:00"/>
    <s v="Stores/Spares"/>
    <s v="Bearings"/>
    <s v="Stores &amp; Spares"/>
    <s v="stores &amp;  spares"/>
    <s v="Bearing 6204 Zz Skf"/>
    <n v="50"/>
    <n v="4173.5"/>
    <s v="Bearing 6204 Zz Skf"/>
    <n v="0"/>
    <n v="9"/>
    <n v="407.12"/>
    <n v="9"/>
    <n v="407.12"/>
    <n v="0"/>
    <n v="0"/>
    <n v="0"/>
    <n v="814.24"/>
    <n v="0"/>
    <s v="24AABCP1066F1ZU"/>
    <s v="Pcs"/>
    <n v="84821011"/>
    <s v="Rs."/>
    <n v="1"/>
    <n v="0"/>
    <s v="India"/>
    <x v="0"/>
  </r>
  <r>
    <d v="2026-07-16T00:00:00"/>
    <s v="Perfect Belts Private Limited (Gujarat)"/>
    <s v="General Purchase"/>
    <s v="GNSP 399"/>
    <s v="Purchase Withinstate- Stores, Spares &amp; Consumable"/>
    <s v="A-2969/26-27"/>
    <d v="2026-07-13T00:00:00"/>
    <s v="Stores/Spares"/>
    <s v="Bearings"/>
    <s v="Stores &amp; Spares"/>
    <s v="stores &amp;  spares"/>
    <s v="Bearing 6206 Zz &quot;Skf&quot; Make"/>
    <n v="20"/>
    <n v="3730.8"/>
    <s v="Bearing 6206 Zz &quot;Skf&quot; Make"/>
    <n v="0"/>
    <n v="9"/>
    <n v="335.77"/>
    <n v="9"/>
    <n v="335.77"/>
    <n v="0"/>
    <n v="0"/>
    <n v="0"/>
    <n v="671.54"/>
    <n v="0"/>
    <s v="24AABCP1066F1ZU"/>
    <s v="Pcs"/>
    <n v="84822090"/>
    <s v="Rs."/>
    <n v="1"/>
    <n v="0"/>
    <s v="India"/>
    <x v="0"/>
  </r>
  <r>
    <d v="2026-07-16T00:00:00"/>
    <s v="Perfect Belts Private Limited (Gujarat)"/>
    <s v="General Purchase"/>
    <s v="GNSP 399"/>
    <s v="Purchase Withinstate- Stores, Spares &amp; Consumable"/>
    <s v="A-2969/26-27"/>
    <d v="2026-07-13T00:00:00"/>
    <s v="Stores/Spares"/>
    <s v="Bearings"/>
    <s v="Stores &amp; Spares"/>
    <s v="stores &amp;  spares"/>
    <s v="Bearing 6004 Zz"/>
    <n v="20"/>
    <n v="1643"/>
    <s v="Bearing 6004 Zz"/>
    <n v="0"/>
    <n v="9"/>
    <n v="147.87"/>
    <n v="9"/>
    <n v="147.87"/>
    <n v="0"/>
    <n v="0"/>
    <n v="0"/>
    <n v="295.74"/>
    <n v="0"/>
    <s v="24AABCP1066F1ZU"/>
    <s v="Pcs"/>
    <n v="8482300"/>
    <s v="Rs."/>
    <n v="1"/>
    <n v="0"/>
    <s v="India"/>
    <x v="0"/>
  </r>
  <r>
    <d v="2026-07-16T00:00:00"/>
    <s v="Perfect Belts Private Limited (Gujarat)"/>
    <s v="General Purchase"/>
    <s v="GNSP 399"/>
    <s v="Purchase Withinstate- Stores, Spares &amp; Consumable"/>
    <s v="A-2969/26-27"/>
    <d v="2026-07-13T00:00:00"/>
    <s v="Stores/Spares"/>
    <s v="Bearings"/>
    <s v="Stores &amp; Spares"/>
    <s v="stores &amp;  spares"/>
    <s v="Bearing 6208 Zz"/>
    <n v="2"/>
    <n v="569.72"/>
    <s v="Bearing 6208 Zz"/>
    <n v="0"/>
    <n v="9"/>
    <n v="51.27"/>
    <n v="9"/>
    <n v="51.27"/>
    <n v="0"/>
    <n v="0"/>
    <n v="0"/>
    <n v="102.54"/>
    <n v="0"/>
    <s v="24AABCP1066F1ZU"/>
    <s v="Pcs"/>
    <n v="84821011"/>
    <s v="Rs."/>
    <n v="1"/>
    <n v="0"/>
    <s v="India"/>
    <x v="0"/>
  </r>
  <r>
    <d v="2026-07-16T00:00:00"/>
    <s v="Perfect Belts Private Limited (Gujarat)"/>
    <s v="General Purchase"/>
    <s v="GNSP 399"/>
    <s v="Purchase Withinstate- Stores, Spares &amp; Consumable"/>
    <s v="A-2969/26-27"/>
    <d v="2026-07-13T00:00:00"/>
    <s v="Stores/Spares"/>
    <s v="Bearings"/>
    <s v="Stores &amp; Spares"/>
    <s v="stores &amp;  spares"/>
    <s v="Bearing 6004 Zz Skf"/>
    <n v="20"/>
    <n v="1643"/>
    <s v="Bearing 6004 Zz Skf"/>
    <n v="0"/>
    <n v="9"/>
    <n v="147.87"/>
    <n v="9"/>
    <n v="147.87"/>
    <n v="0"/>
    <n v="0"/>
    <n v="0"/>
    <n v="295.74"/>
    <n v="0"/>
    <s v="24AABCP1066F1ZU"/>
    <s v="Pcs"/>
    <n v="84822090"/>
    <s v="Rs."/>
    <n v="1"/>
    <n v="0"/>
    <s v="India"/>
    <x v="0"/>
  </r>
  <r>
    <d v="2026-07-16T00:00:00"/>
    <s v="Plastene India ltd - Unit 1-Purchase"/>
    <s v="Purchase"/>
    <s v="GNPK 147"/>
    <s v="Purchase Withinstate- Packing Material"/>
    <s v="PIL1/D/1066"/>
    <d v="2026-07-15T00:00:00"/>
    <s v="Stores/Spares"/>
    <s v="MS Structure Items"/>
    <s v="Packing Materials"/>
    <s v="Packing Materials"/>
    <s v="MS Pipe 4  C Class"/>
    <n v="142"/>
    <n v="6816"/>
    <s v="MS Pipe 4  C Class"/>
    <n v="8036.06"/>
    <n v="9"/>
    <n v="613.44000000000005"/>
    <n v="9"/>
    <n v="613.44000000000005"/>
    <n v="0"/>
    <n v="0"/>
    <n v="0"/>
    <n v="1226.8800000000001"/>
    <n v="0"/>
    <s v="24AAACO3087C1ZT"/>
    <s v="Kgs"/>
    <n v="73063090"/>
    <s v="Rs."/>
    <n v="1"/>
    <n v="142"/>
    <s v="India"/>
    <x v="0"/>
  </r>
  <r>
    <d v="2026-07-16T00:00:00"/>
    <s v="Plastene India ltd - Unit 1-Purchase"/>
    <s v="R.M.P."/>
    <s v="RM 296"/>
    <s v="Purchase Withinstate - Raw Material"/>
    <s v="PIL1/ME/16"/>
    <d v="2026-07-16T00:00:00"/>
    <s v="FG"/>
    <s v="FIBC Bags"/>
    <s v="FIBC Bags"/>
    <s v="PP WOVEN BIG BAGS / SACKS"/>
    <s v="FIBC Bags With UV Without Liner"/>
    <n v="390"/>
    <n v="77844"/>
    <s v="FIBC Bags With UV Without Liner"/>
    <n v="3716091.31"/>
    <n v="0.05"/>
    <n v="38.92"/>
    <n v="0.05"/>
    <n v="38.92"/>
    <n v="0"/>
    <n v="0"/>
    <n v="0"/>
    <n v="77.84"/>
    <n v="0"/>
    <s v="24AAACO3087C1ZT"/>
    <s v="Kgs"/>
    <n v="63053200"/>
    <s v="Rs."/>
    <n v="1"/>
    <n v="390"/>
    <s v="India"/>
    <x v="9"/>
  </r>
  <r>
    <d v="2026-07-16T00:00:00"/>
    <s v="Plastene India ltd - Unit 1-Purchase"/>
    <s v="R.M.P."/>
    <s v="RM 296"/>
    <s v="Purchase Withinstate - Raw Material"/>
    <s v="PIL1/ME/16"/>
    <d v="2026-07-16T00:00:00"/>
    <s v="FG"/>
    <s v="FIBC Bags"/>
    <s v="FIBC Bags"/>
    <s v="PP WOVEN BIG BAGS / SACKS"/>
    <s v="FIBC Bags With UV Without Liner"/>
    <n v="1584"/>
    <n v="313568.64000000001"/>
    <s v="FIBC Bags With UV Without Liner"/>
    <n v="0"/>
    <n v="0.05"/>
    <n v="156.78"/>
    <n v="0.05"/>
    <n v="156.78"/>
    <n v="0"/>
    <n v="0"/>
    <n v="0"/>
    <n v="313.56"/>
    <n v="0"/>
    <s v="24AAACO3087C1ZT"/>
    <s v="Kgs"/>
    <n v="63053200"/>
    <s v="Rs."/>
    <n v="1"/>
    <n v="1584"/>
    <s v="India"/>
    <x v="9"/>
  </r>
  <r>
    <d v="2026-07-16T00:00:00"/>
    <s v="Plastene India ltd - Unit 1-Purchase"/>
    <s v="R.M.P."/>
    <s v="RM 296"/>
    <s v="Purchase Withinstate - Raw Material"/>
    <s v="PIL1/ME/16"/>
    <d v="2026-07-16T00:00:00"/>
    <s v="FG"/>
    <s v="FIBC Bags"/>
    <s v="FIBC Bags"/>
    <s v="PP WOVEN BIG BAGS / SACKS"/>
    <s v="FIBC Bags With UV Without Liner"/>
    <n v="9579"/>
    <n v="1934191.68"/>
    <s v="FIBC Bags With UV Without Liner"/>
    <n v="0"/>
    <n v="0.05"/>
    <n v="967.1"/>
    <n v="0.05"/>
    <n v="967.1"/>
    <n v="0"/>
    <n v="0"/>
    <n v="0"/>
    <n v="1934.2"/>
    <n v="0"/>
    <s v="24AAACO3087C1ZT"/>
    <s v="Kgs"/>
    <n v="63053200"/>
    <s v="Rs."/>
    <n v="1"/>
    <n v="9579"/>
    <s v="India"/>
    <x v="9"/>
  </r>
  <r>
    <d v="2026-07-16T00:00:00"/>
    <s v="Plastene India ltd - Unit 1-Purchase"/>
    <s v="R.M.P."/>
    <s v="RM 296"/>
    <s v="Purchase Withinstate - Raw Material"/>
    <s v="PIL1/ME/16"/>
    <d v="2026-07-16T00:00:00"/>
    <s v="FG"/>
    <s v="FIBC Bags"/>
    <s v="FIBC Bags"/>
    <s v="PP WOVEN BIG BAGS / SACKS"/>
    <s v="FIBC Bags With UV Without Liner"/>
    <n v="3232"/>
    <n v="644396.16"/>
    <s v="FIBC Bags With UV Without Liner"/>
    <n v="0"/>
    <n v="0.05"/>
    <n v="322.2"/>
    <n v="0.05"/>
    <n v="322.2"/>
    <n v="0"/>
    <n v="0"/>
    <n v="0"/>
    <n v="644.4"/>
    <n v="0"/>
    <s v="24AAACO3087C1ZT"/>
    <s v="Kgs"/>
    <n v="63053200"/>
    <s v="Rs."/>
    <n v="1"/>
    <n v="3232"/>
    <s v="India"/>
    <x v="9"/>
  </r>
  <r>
    <d v="2026-07-16T00:00:00"/>
    <s v="Plastene India ltd - Unit 1-Purchase"/>
    <s v="R.M.P."/>
    <s v="RM 296"/>
    <s v="Purchase Withinstate - Raw Material"/>
    <s v="PIL1/ME/16"/>
    <d v="2026-07-16T00:00:00"/>
    <s v="FG"/>
    <s v="FIBC Bags"/>
    <s v="FIBC Bags"/>
    <s v="PP WOVEN BIG BAGS / SACKS"/>
    <s v="FIBC Bags With UV Without Liner"/>
    <n v="3746"/>
    <n v="746090.82"/>
    <s v="FIBC Bags With UV Without Liner"/>
    <n v="0"/>
    <n v="0.05"/>
    <n v="373.05"/>
    <n v="0.05"/>
    <n v="373.05"/>
    <n v="0"/>
    <n v="0"/>
    <n v="0"/>
    <n v="746.1"/>
    <n v="0"/>
    <s v="24AAACO3087C1ZT"/>
    <s v="Kgs"/>
    <n v="63053200"/>
    <s v="Rs."/>
    <n v="1"/>
    <n v="3746"/>
    <s v="India"/>
    <x v="9"/>
  </r>
  <r>
    <d v="2026-07-16T00:00:00"/>
    <s v="Plastene India ltd - Unit 1-Purchase"/>
    <s v="R.M.P."/>
    <s v="RM 298"/>
    <s v="Purchase Withinstate - Raw Material"/>
    <s v="PIL1/D/1067"/>
    <d v="2026-07-15T00:00:00"/>
    <s v="SF"/>
    <s v="Liners"/>
    <s v="LDPE/LLDPE Bags"/>
    <s v="LLDPE BAGS"/>
    <s v="LDPE/LLDPE Bags/Liner"/>
    <n v="202.3"/>
    <n v="47941.053999999996"/>
    <s v="LDPE/LLDPE Bags/Liner"/>
    <n v="1016966.72"/>
    <n v="9"/>
    <n v="4314.6899999999996"/>
    <n v="9"/>
    <n v="4314.6899999999996"/>
    <n v="0"/>
    <n v="0"/>
    <n v="0"/>
    <n v="8629.3799999999992"/>
    <n v="0"/>
    <s v="24AAACO3087C1ZT"/>
    <s v="Kgs"/>
    <n v="39200000"/>
    <s v="Rs."/>
    <n v="1"/>
    <n v="202.3"/>
    <s v="India"/>
    <x v="4"/>
  </r>
  <r>
    <d v="2026-07-16T00:00:00"/>
    <s v="Plastene India ltd - Unit 1-Purchase"/>
    <s v="R.M.P."/>
    <s v="RM 298"/>
    <s v="Purchase Withinstate - Raw Material"/>
    <s v="PIL1/D/1067"/>
    <d v="2026-07-15T00:00:00"/>
    <s v="SF"/>
    <s v="PP/PE Fabric"/>
    <s v="PP UL Fabric"/>
    <s v="PP WOVEN FABRIC"/>
    <s v="PP UL Fabric With UV"/>
    <n v="1543"/>
    <n v="222948.07"/>
    <s v="PP UL Fabric With UV"/>
    <n v="0"/>
    <n v="9"/>
    <n v="20065.330000000002"/>
    <n v="9"/>
    <n v="20065.330000000002"/>
    <n v="0"/>
    <n v="0"/>
    <n v="0"/>
    <n v="40130.660000000003"/>
    <n v="0"/>
    <s v="24AAACO3087C1ZT"/>
    <s v="Kgs"/>
    <n v="39269080"/>
    <s v="Rs."/>
    <n v="1"/>
    <n v="1543"/>
    <s v="India"/>
    <x v="1"/>
  </r>
  <r>
    <d v="2026-07-16T00:00:00"/>
    <s v="Plastene India ltd - Unit 1-Purchase"/>
    <s v="R.M.P."/>
    <s v="RM 298"/>
    <s v="Purchase Withinstate - Raw Material"/>
    <s v="PIL1/D/1067"/>
    <d v="2026-07-15T00:00:00"/>
    <s v="SF"/>
    <s v="PP/PE Fabric"/>
    <s v="PP UL Fabric"/>
    <s v="PP WOVEN FABRIC"/>
    <s v="PP UL Fabric With UV"/>
    <n v="1713"/>
    <n v="252650.37"/>
    <s v="PP UL Fabric With UV"/>
    <n v="0"/>
    <n v="9"/>
    <n v="22738.53"/>
    <n v="9"/>
    <n v="22738.53"/>
    <n v="0"/>
    <n v="0"/>
    <n v="0"/>
    <n v="45477.06"/>
    <n v="0"/>
    <s v="24AAACO3087C1ZT"/>
    <s v="Kgs"/>
    <n v="39269080"/>
    <s v="Rs."/>
    <n v="1"/>
    <n v="1713"/>
    <s v="India"/>
    <x v="1"/>
  </r>
  <r>
    <d v="2026-07-16T00:00:00"/>
    <s v="Plastene India ltd - Unit 1-Purchase"/>
    <s v="R.M.P."/>
    <s v="RM 298"/>
    <s v="Purchase Withinstate - Raw Material"/>
    <s v="PIL1/D/1067"/>
    <d v="2026-07-15T00:00:00"/>
    <s v="SF"/>
    <s v="PP/PE Fabric"/>
    <s v="PP UL Fabric"/>
    <s v="PP WOVEN FABRIC"/>
    <s v="PP UL Fabric With UV"/>
    <n v="644"/>
    <n v="96271.56"/>
    <s v="PP UL Fabric With UV"/>
    <n v="0"/>
    <n v="9"/>
    <n v="8664.44"/>
    <n v="9"/>
    <n v="8664.44"/>
    <n v="0"/>
    <n v="0"/>
    <n v="0"/>
    <n v="17328.88"/>
    <n v="0"/>
    <s v="24AAACO3087C1ZT"/>
    <s v="Kgs"/>
    <n v="39269080"/>
    <s v="Rs."/>
    <n v="1"/>
    <n v="644"/>
    <s v="India"/>
    <x v="1"/>
  </r>
  <r>
    <d v="2026-07-16T00:00:00"/>
    <s v="Plastene India ltd - Unit 1-Purchase"/>
    <s v="R.M.P."/>
    <s v="RM 298"/>
    <s v="Purchase Withinstate - Raw Material"/>
    <s v="PIL1/D/1067"/>
    <d v="2026-07-15T00:00:00"/>
    <s v="SF"/>
    <s v="Yarn All"/>
    <s v="PP Yarn"/>
    <s v="PP MF Yarn"/>
    <s v="PP MF Yarn Twisted 1000 UV NW"/>
    <n v="1743.5"/>
    <n v="272840.315"/>
    <s v="PP MF Yarn Twisted 1000 UV NW"/>
    <n v="0"/>
    <n v="2.5"/>
    <n v="6821.01"/>
    <n v="2.5"/>
    <n v="6821.01"/>
    <n v="0"/>
    <n v="0"/>
    <n v="0"/>
    <n v="13642.02"/>
    <n v="0"/>
    <s v="24AAACO3087C1ZT"/>
    <s v="Kgs"/>
    <n v="54026930"/>
    <s v="Rs."/>
    <n v="1"/>
    <n v="1743.5"/>
    <s v="India"/>
    <x v="3"/>
  </r>
  <r>
    <d v="2026-07-16T00:00:00"/>
    <s v="Plastene India ltd - Unit 1-Purchase"/>
    <s v="R.M.P."/>
    <s v="RM 299"/>
    <s v="Purchase Withinstate - Raw Material"/>
    <s v="PIL1/DE/22"/>
    <d v="2026-07-15T00:00:00"/>
    <s v="SF"/>
    <s v="PP/PE Fabric"/>
    <s v="PP UL Fabric"/>
    <s v="PP WOVEN FABRIC"/>
    <s v="PP UL Fabric With UV"/>
    <n v="310"/>
    <n v="122450"/>
    <s v="PP UL Fabric With UV"/>
    <n v="144368.54999999999"/>
    <n v="9"/>
    <n v="11020.5"/>
    <n v="9"/>
    <n v="11020.5"/>
    <n v="0"/>
    <n v="0"/>
    <n v="0"/>
    <n v="22041"/>
    <n v="0"/>
    <s v="24AAACO3087C1ZT"/>
    <s v="Kgs"/>
    <n v="39269080"/>
    <s v="Rs."/>
    <n v="1"/>
    <n v="310"/>
    <s v="India"/>
    <x v="1"/>
  </r>
  <r>
    <d v="2026-07-16T00:00:00"/>
    <s v="Plastene Polyfilms Ltd-Purchase"/>
    <s v="Purchase"/>
    <s v="GNPK 148"/>
    <s v="Purchase Withinstate- Packing Material"/>
    <s v="PPL/D/362"/>
    <d v="2026-07-15T00:00:00"/>
    <s v="Stores/Spares"/>
    <s v="MS Structure Items"/>
    <s v="Packing Materials"/>
    <s v="Packing Materials"/>
    <s v="MS Pipe"/>
    <n v="25"/>
    <n v="1200"/>
    <s v="MS Pipe"/>
    <n v="1414.8"/>
    <n v="9"/>
    <n v="108"/>
    <n v="9"/>
    <n v="108"/>
    <n v="0"/>
    <n v="0"/>
    <n v="0"/>
    <n v="216"/>
    <n v="0"/>
    <s v="24AAFCP2956A1ZR"/>
    <s v="Kgs"/>
    <n v="7306309"/>
    <s v="Rs."/>
    <n v="1"/>
    <n v="0"/>
    <s v="India"/>
    <x v="0"/>
  </r>
  <r>
    <d v="2026-07-16T00:00:00"/>
    <s v="Plastene Polyfilms Ltd-Purchase"/>
    <s v="R.M.P."/>
    <s v="RM 297"/>
    <s v="Purchase Withinstate - Raw Material"/>
    <s v="PPL/D/364"/>
    <d v="2026-07-16T00:00:00"/>
    <s v="FG"/>
    <s v="FIBC Bags"/>
    <s v="FIBC Bags"/>
    <s v="PP WOVEN BIG BAGS / SACKS"/>
    <s v="FIBC Bags With UV Without Liner"/>
    <n v="2441.1"/>
    <n v="524348.28"/>
    <s v="FIBC Bags With UV Without Liner"/>
    <n v="6148332.0700000003"/>
    <n v="9"/>
    <n v="47191.35"/>
    <n v="9"/>
    <n v="47191.35"/>
    <n v="0"/>
    <n v="0"/>
    <n v="0"/>
    <n v="94382.7"/>
    <n v="0"/>
    <s v="24AAFCP2956A1ZR"/>
    <s v="Kgs"/>
    <n v="63053200"/>
    <s v="Rs."/>
    <n v="1"/>
    <n v="2441.1"/>
    <s v="India"/>
    <x v="9"/>
  </r>
  <r>
    <d v="2026-07-16T00:00:00"/>
    <s v="Plastene Polyfilms Ltd-Purchase"/>
    <s v="R.M.P."/>
    <s v="RM 297"/>
    <s v="Purchase Withinstate - Raw Material"/>
    <s v="PPL/D/364"/>
    <d v="2026-07-16T00:00:00"/>
    <s v="FG"/>
    <s v="FIBC Bags"/>
    <s v="FIBC Bags"/>
    <s v="PP WOVEN BIG BAGS / SACKS"/>
    <s v="FIBC Bags With UV Without Liner"/>
    <n v="8430"/>
    <n v="2214392.4"/>
    <s v="FIBC Bags With UV Without Liner"/>
    <n v="0"/>
    <n v="9"/>
    <n v="199295.32"/>
    <n v="9"/>
    <n v="199295.32"/>
    <n v="0"/>
    <n v="0"/>
    <n v="0"/>
    <n v="398590.64"/>
    <n v="0"/>
    <s v="24AAFCP2956A1ZR"/>
    <s v="Kgs"/>
    <n v="63053200"/>
    <s v="Rs."/>
    <n v="1"/>
    <n v="8430"/>
    <s v="India"/>
    <x v="9"/>
  </r>
  <r>
    <d v="2026-07-16T00:00:00"/>
    <s v="Plastene Polyfilms Ltd-Purchase"/>
    <s v="R.M.P."/>
    <s v="RM 297"/>
    <s v="Purchase Withinstate - Raw Material"/>
    <s v="PPL/D/364"/>
    <d v="2026-07-16T00:00:00"/>
    <s v="FG"/>
    <s v="FIBC Bags"/>
    <s v="FIBC Bags"/>
    <s v="PP WOVEN BIG BAGS / SACKS"/>
    <s v="FIBC Bags With UV Without Liner"/>
    <n v="1022"/>
    <n v="258228.74"/>
    <s v="FIBC Bags With UV Without Liner"/>
    <n v="0"/>
    <n v="9"/>
    <n v="23240.59"/>
    <n v="9"/>
    <n v="23240.59"/>
    <n v="0"/>
    <n v="0"/>
    <n v="0"/>
    <n v="46481.18"/>
    <n v="0"/>
    <s v="24AAFCP2956A1ZR"/>
    <s v="Kgs"/>
    <n v="63053200"/>
    <s v="Rs."/>
    <n v="1"/>
    <n v="1022"/>
    <s v="India"/>
    <x v="9"/>
  </r>
  <r>
    <d v="2026-07-16T00:00:00"/>
    <s v="Plastene Polyfilms Ltd-Purchase"/>
    <s v="R.M.P."/>
    <s v="RM 297"/>
    <s v="Purchase Withinstate - Raw Material"/>
    <s v="PPL/D/364"/>
    <d v="2026-07-16T00:00:00"/>
    <s v="FG"/>
    <s v="FIBC Bags"/>
    <s v="FIBC Bags"/>
    <s v="PP WOVEN BIG BAGS / SACKS"/>
    <s v="FIBC Bags With UV Without Liner"/>
    <n v="801"/>
    <n v="201755.88"/>
    <s v="FIBC Bags With UV Without Liner"/>
    <n v="0"/>
    <n v="9"/>
    <n v="18158.03"/>
    <n v="9"/>
    <n v="18158.03"/>
    <n v="0"/>
    <n v="0"/>
    <n v="0"/>
    <n v="36316.06"/>
    <n v="0"/>
    <s v="24AAFCP2956A1ZR"/>
    <s v="Kgs"/>
    <n v="63053200"/>
    <s v="Rs."/>
    <n v="1"/>
    <n v="801"/>
    <s v="India"/>
    <x v="9"/>
  </r>
  <r>
    <d v="2026-07-16T00:00:00"/>
    <s v="Plastene Polyfilms Ltd-Purchase"/>
    <s v="R.M.P."/>
    <s v="RM 297"/>
    <s v="Purchase Withinstate - Raw Material"/>
    <s v="PPL/D/364"/>
    <d v="2026-07-16T00:00:00"/>
    <s v="FG"/>
    <s v="FIBC Bags"/>
    <s v="FIBC Bags"/>
    <s v="PP WOVEN BIG BAGS / SACKS"/>
    <s v="FIBC Bags With UV Without Liner"/>
    <n v="6672"/>
    <n v="2016144.96"/>
    <s v="FIBC Bags With UV Without Liner"/>
    <n v="0"/>
    <n v="9"/>
    <n v="181453.05"/>
    <n v="9"/>
    <n v="181453.05"/>
    <n v="0"/>
    <n v="0"/>
    <n v="0"/>
    <n v="362906.1"/>
    <n v="0"/>
    <s v="24AAFCP2956A1ZR"/>
    <s v="Kgs"/>
    <n v="63053200"/>
    <s v="Rs."/>
    <n v="1"/>
    <n v="6672"/>
    <s v="India"/>
    <x v="9"/>
  </r>
  <r>
    <d v="2026-07-16T00:00:00"/>
    <s v="Plastene Polyfilms Ltd-Purchase"/>
    <s v="R.M.P."/>
    <s v="RM 300"/>
    <s v="Purchase Withinstate - Raw Material"/>
    <s v="PPL/D/361"/>
    <d v="2026-07-15T00:00:00"/>
    <s v="SF"/>
    <s v="PP/PE Fabric"/>
    <s v="PP UL Fabric"/>
    <s v="PP WOVEN FABRIC"/>
    <s v="PP UL Fabric With UV"/>
    <n v="733.5"/>
    <n v="113501.79"/>
    <s v="PP UL Fabric With UV"/>
    <n v="133818.60999999999"/>
    <n v="9"/>
    <n v="10215.16"/>
    <n v="9"/>
    <n v="10215.16"/>
    <n v="0"/>
    <n v="0"/>
    <n v="0"/>
    <n v="20430.32"/>
    <n v="0"/>
    <s v="24AAFCP2956A1ZR"/>
    <s v="Kgs"/>
    <n v="39269080"/>
    <s v="Rs."/>
    <n v="1"/>
    <n v="733.5"/>
    <s v="India"/>
    <x v="1"/>
  </r>
  <r>
    <d v="2026-07-16T00:00:00"/>
    <s v="Sagar Industries - 24ABEFS4427N1ZW"/>
    <s v="General Purchase"/>
    <s v="GNSP 398"/>
    <s v="Purchase Withinstate- Stores, Spares &amp; Consumable"/>
    <s v="G/0135/26-27"/>
    <d v="2026-07-15T00:00:00"/>
    <s v="Stores/Spares"/>
    <s v="Sulzer Machine Spares"/>
    <s v="Stores &amp; Spares"/>
    <s v="stores &amp;  spares"/>
    <s v="Heald Frame Complete153&quot;Size / C-Type (For Sulzer Loom)"/>
    <n v="6"/>
    <n v="48900"/>
    <s v="Heald Frame Complete153&quot;Size / C-Type (For Sulzer Loom)"/>
    <n v="61242"/>
    <n v="9"/>
    <n v="4401"/>
    <n v="9"/>
    <n v="4401"/>
    <n v="0"/>
    <n v="0"/>
    <n v="540"/>
    <n v="9342"/>
    <n v="0"/>
    <s v="24ABEFS4427N1ZW"/>
    <s v="Pcs"/>
    <n v="488490"/>
    <s v="Rs."/>
    <n v="1"/>
    <n v="0"/>
    <s v="India"/>
    <x v="0"/>
  </r>
  <r>
    <d v="2026-07-16T00:00:00"/>
    <s v="Variofil Industries"/>
    <s v="R.M.P."/>
    <s v="RM 301"/>
    <s v="Purchase Withinstate - Raw Material"/>
    <s v="TIVI132"/>
    <d v="2026-07-04T00:00:00"/>
    <s v="RM"/>
    <s v="Granules"/>
    <s v="PP Granules"/>
    <s v="PP Granuals"/>
    <s v="PP NSRP NSY114G"/>
    <n v="24000"/>
    <n v="3185040"/>
    <s v="PP NSRP NSY114G"/>
    <n v="3758347"/>
    <n v="9"/>
    <n v="286653.59999999998"/>
    <n v="9"/>
    <n v="286653.59999999998"/>
    <n v="0"/>
    <n v="0"/>
    <n v="0"/>
    <n v="573307.19999999995"/>
    <n v="0"/>
    <s v="24AAOFV5137D1Z5"/>
    <s v="Kgs"/>
    <n v="39021000"/>
    <s v="Rs."/>
    <n v="1"/>
    <n v="24000"/>
    <s v="India"/>
    <x v="8"/>
  </r>
  <r>
    <d v="2026-07-17T00:00:00"/>
    <s v="Bhumi Hardware &amp; Electricals"/>
    <s v="General Purchase"/>
    <s v="GNSP 404"/>
    <s v="Purchase Withinstate- Stores, Spares &amp; Consumable"/>
    <n v="2513"/>
    <d v="2026-07-14T00:00:00"/>
    <s v="Stores/Spares"/>
    <s v="Bearings"/>
    <s v="Stores &amp; Spares"/>
    <s v="stores &amp;  spares"/>
    <s v="Bearing 30204"/>
    <n v="2"/>
    <n v="560"/>
    <s v="Bearing 30204"/>
    <n v="2431"/>
    <n v="9"/>
    <n v="50.4"/>
    <n v="9"/>
    <n v="50.4"/>
    <n v="0"/>
    <n v="0"/>
    <n v="0"/>
    <n v="100.8"/>
    <n v="0"/>
    <s v="24ASGPC4647K1ZQ"/>
    <s v="Pcs"/>
    <n v="84822011"/>
    <s v="Rs."/>
    <n v="1"/>
    <n v="0"/>
    <s v="India"/>
    <x v="0"/>
  </r>
  <r>
    <d v="2026-07-17T00:00:00"/>
    <s v="Bhumi Hardware &amp; Electricals"/>
    <s v="General Purchase"/>
    <s v="GNSP 404"/>
    <s v="Purchase Withinstate- Stores, Spares &amp; Consumable"/>
    <n v="2513"/>
    <d v="2026-07-14T00:00:00"/>
    <s v="Stores/Spares"/>
    <s v="Bearings"/>
    <s v="Stores &amp; Spares"/>
    <s v="stores &amp;  spares"/>
    <s v="Bearing 32009 X/Q Skf"/>
    <n v="2"/>
    <n v="1500"/>
    <s v="Bearing 32009 X/Q Skf"/>
    <n v="0"/>
    <n v="9"/>
    <n v="135"/>
    <n v="9"/>
    <n v="135"/>
    <n v="0"/>
    <n v="0"/>
    <n v="0"/>
    <n v="270"/>
    <n v="0"/>
    <s v="24ASGPC4647K1ZQ"/>
    <s v="Pcs"/>
    <n v="848210"/>
    <s v="Rs."/>
    <n v="1"/>
    <n v="0"/>
    <s v="India"/>
    <x v="0"/>
  </r>
  <r>
    <d v="2026-07-17T00:00:00"/>
    <s v="HCP Plastene Bulkpack Limited - Purchase"/>
    <s v="R.M.P."/>
    <s v="RM 305"/>
    <s v="Purchase Withinstate - Raw Material"/>
    <s v="HPBL/D/391"/>
    <d v="2026-07-17T00:00:00"/>
    <s v="SF"/>
    <s v="PP/PE Fabric"/>
    <s v="PP UL Fabric"/>
    <s v="PP WOVEN FABRIC"/>
    <s v="PP UL Fabric With UV"/>
    <n v="345"/>
    <n v="74689.05"/>
    <s v="PP UL Fabric With UV"/>
    <n v="892784.68"/>
    <n v="9"/>
    <n v="6722.01"/>
    <n v="9"/>
    <n v="6722.01"/>
    <n v="0"/>
    <n v="0"/>
    <n v="0"/>
    <n v="13444.02"/>
    <n v="0"/>
    <s v="24AABCG1282C2Z6"/>
    <s v="Kgs"/>
    <n v="39269080"/>
    <s v="Rs."/>
    <n v="1"/>
    <n v="345"/>
    <s v="India"/>
    <x v="1"/>
  </r>
  <r>
    <d v="2026-07-17T00:00:00"/>
    <s v="HCP Plastene Bulkpack Limited - Purchase"/>
    <s v="R.M.P."/>
    <s v="RM 305"/>
    <s v="Purchase Withinstate - Raw Material"/>
    <s v="HPBL/D/391"/>
    <d v="2026-07-17T00:00:00"/>
    <s v="SF"/>
    <s v="PP/PE Fabric"/>
    <s v="PP UL Fabric"/>
    <s v="PP WOVEN FABRIC"/>
    <s v="PP UL Fabric With UV"/>
    <n v="4255"/>
    <n v="665864.94999999995"/>
    <s v="PP UL Fabric With UV"/>
    <n v="0"/>
    <n v="9"/>
    <n v="59927.85"/>
    <n v="9"/>
    <n v="59927.85"/>
    <n v="0"/>
    <n v="0"/>
    <n v="0"/>
    <n v="119855.7"/>
    <n v="0"/>
    <s v="24AABCG1282C2Z6"/>
    <s v="Kgs"/>
    <n v="39269080"/>
    <s v="Rs."/>
    <n v="1"/>
    <n v="4255"/>
    <s v="India"/>
    <x v="1"/>
  </r>
  <r>
    <d v="2026-07-17T00:00:00"/>
    <s v="HCP Plastene Bulkpack Limited - Purchase"/>
    <s v="R.M.P."/>
    <s v="RM 305"/>
    <s v="Purchase Withinstate - Raw Material"/>
    <s v="HPBL/D/391"/>
    <d v="2026-07-17T00:00:00"/>
    <s v="SF"/>
    <s v="PP/PE Fabric"/>
    <s v="PP UL Fabric"/>
    <s v="PP WOVEN FABRIC"/>
    <s v="PP UL Fabric With UV"/>
    <n v="108"/>
    <n v="16684.919999999998"/>
    <s v="PP UL Fabric With UV"/>
    <n v="0"/>
    <n v="9"/>
    <n v="1501.64"/>
    <n v="9"/>
    <n v="1501.64"/>
    <n v="0"/>
    <n v="0"/>
    <n v="0"/>
    <n v="3003.28"/>
    <n v="0"/>
    <s v="24AABCG1282C2Z6"/>
    <s v="Kgs"/>
    <n v="39269080"/>
    <s v="Rs."/>
    <n v="1"/>
    <n v="108"/>
    <s v="India"/>
    <x v="1"/>
  </r>
  <r>
    <d v="2026-07-17T00:00:00"/>
    <s v="Himanshu Enterprise"/>
    <s v="General Purchase"/>
    <s v="GNSP 403"/>
    <s v="Purchase Withinstate- Stores, Spares &amp; Consumable"/>
    <s v="GST-1509/26-27"/>
    <d v="2026-07-15T00:00:00"/>
    <s v="Stores/Spares"/>
    <s v="Timing Belt"/>
    <s v="Stores &amp; Spares"/>
    <s v="stores &amp;  spares"/>
    <s v="Timing Belt 200 Xl"/>
    <n v="100"/>
    <n v="12300"/>
    <s v="Timing Belt 200 Xl"/>
    <n v="14584"/>
    <n v="9"/>
    <n v="1112"/>
    <n v="9"/>
    <n v="1112"/>
    <n v="0"/>
    <n v="0"/>
    <n v="0"/>
    <n v="2224"/>
    <n v="0"/>
    <s v="24AAKFH4457N1ZX"/>
    <s v="Pcs"/>
    <n v="401610"/>
    <s v="Rs."/>
    <n v="1"/>
    <n v="0"/>
    <s v="India"/>
    <x v="0"/>
  </r>
  <r>
    <d v="2026-07-17T00:00:00"/>
    <s v="Oswal Commodities Private Limited - Purchase"/>
    <s v="IMP-RM"/>
    <s v="RMIMP 27"/>
    <s v="Purchase Raw Material - High Seas"/>
    <s v="OCPL/25-26/HSS/19"/>
    <d v="2026-03-20T00:00:00"/>
    <s v="RM"/>
    <s v="Granules"/>
    <s v="PP Granules"/>
    <s v="PP Granuals"/>
    <s v="PP Zhongjing T30S"/>
    <n v="90000"/>
    <n v="6894000"/>
    <s v="PP Zhongjing T30S"/>
    <n v="6887106"/>
    <n v="0"/>
    <n v="0"/>
    <n v="0"/>
    <n v="0"/>
    <n v="0"/>
    <n v="0"/>
    <n v="0"/>
    <n v="0"/>
    <n v="0"/>
    <s v="24AAACO3557B2ZV"/>
    <s v="Kgs"/>
    <n v="39021000"/>
    <s v="Rs."/>
    <n v="1"/>
    <n v="90000"/>
    <s v="India"/>
    <x v="8"/>
  </r>
  <r>
    <d v="2026-07-17T00:00:00"/>
    <s v="Pavan Electricals And Hardware"/>
    <s v="General Purchase"/>
    <s v="GNSP 405"/>
    <s v="Purchase Withinstate- Stores, Spares &amp; Consumable"/>
    <s v="GI/1233"/>
    <d v="2026-07-12T00:00:00"/>
    <s v="Stores/Spares"/>
    <s v="Hardware Items"/>
    <s v="Stores &amp; Spares"/>
    <s v="stores &amp;  spares"/>
    <s v="Hose Clamp 1&quot;"/>
    <n v="2"/>
    <n v="80"/>
    <s v="Hose Clamp 1&quot;"/>
    <n v="1038"/>
    <n v="9"/>
    <n v="7.2"/>
    <n v="9"/>
    <n v="7.2"/>
    <n v="0"/>
    <n v="0"/>
    <n v="0"/>
    <n v="14.4"/>
    <n v="0"/>
    <s v="24BTTPR5056A1ZJ"/>
    <s v="Pcs"/>
    <n v="73269099"/>
    <s v="Rs."/>
    <n v="1"/>
    <n v="2"/>
    <s v="India"/>
    <x v="0"/>
  </r>
  <r>
    <d v="2026-07-17T00:00:00"/>
    <s v="Pavan Electricals And Hardware"/>
    <s v="General Purchase"/>
    <s v="GNSP 405"/>
    <s v="Purchase Withinstate- Stores, Spares &amp; Consumable"/>
    <s v="GI/1233"/>
    <d v="2026-07-12T00:00:00"/>
    <s v="Stores/Spares"/>
    <s v="Hardware Items"/>
    <s v="Stores &amp; Spares"/>
    <s v="stores &amp;  spares"/>
    <s v="Combination Plier 8&quot; Product No 1621 - 8 &quot;Taparia&quot; Make"/>
    <n v="1"/>
    <n v="240"/>
    <s v="Combination Plier 8&quot; Product No 1621 - 8 &quot;Taparia&quot; Make"/>
    <n v="0"/>
    <n v="9"/>
    <n v="21.6"/>
    <n v="9"/>
    <n v="21.6"/>
    <n v="0"/>
    <n v="0"/>
    <n v="0"/>
    <n v="43.2"/>
    <n v="0"/>
    <s v="24BTTPR5056A1ZJ"/>
    <s v="Pcs"/>
    <n v="82032000"/>
    <s v="Rs."/>
    <n v="1"/>
    <n v="1"/>
    <s v="India"/>
    <x v="0"/>
  </r>
  <r>
    <d v="2026-07-17T00:00:00"/>
    <s v="Pavan Electricals And Hardware"/>
    <s v="General Purchase"/>
    <s v="GNSP 405"/>
    <s v="Purchase Withinstate- Stores, Spares &amp; Consumable"/>
    <s v="GI/1233"/>
    <d v="2026-07-12T00:00:00"/>
    <s v="RM Consumables"/>
    <s v="Ink"/>
    <s v="Thinner"/>
    <s v="Ink "/>
    <s v="Solvent"/>
    <n v="1"/>
    <n v="90"/>
    <s v="Solvent"/>
    <n v="0"/>
    <n v="9"/>
    <n v="8.1"/>
    <n v="9"/>
    <n v="8.1"/>
    <n v="0"/>
    <n v="0"/>
    <n v="0"/>
    <n v="16.2"/>
    <n v="0"/>
    <s v="24BTTPR5056A1ZJ"/>
    <s v="Ltr"/>
    <n v="381400"/>
    <s v="Rs."/>
    <n v="1"/>
    <n v="1"/>
    <s v="India"/>
    <x v="0"/>
  </r>
  <r>
    <d v="2026-07-17T00:00:00"/>
    <s v="Pavan Electricals And Hardware"/>
    <s v="General Purchase"/>
    <s v="GNSP 405"/>
    <s v="Purchase Withinstate- Stores, Spares &amp; Consumable"/>
    <s v="GI/1233"/>
    <d v="2026-07-12T00:00:00"/>
    <s v="Stores/Spares"/>
    <s v="PVC Fittings"/>
    <s v="Stores &amp; Spares"/>
    <s v="stores &amp;  spares"/>
    <s v="UPVC Brass FTA 1&quot;"/>
    <n v="2"/>
    <n v="360"/>
    <s v="UPVC Brass FTA 1&quot;"/>
    <n v="0"/>
    <n v="9"/>
    <n v="32.4"/>
    <n v="9"/>
    <n v="32.4"/>
    <n v="0"/>
    <n v="0"/>
    <n v="0"/>
    <n v="64.8"/>
    <n v="0"/>
    <s v="24BTTPR5056A1ZJ"/>
    <s v="Pcs"/>
    <n v="391700"/>
    <s v="Rs."/>
    <n v="1"/>
    <n v="2"/>
    <s v="India"/>
    <x v="0"/>
  </r>
  <r>
    <d v="2026-07-17T00:00:00"/>
    <s v="Pavan Electricals And Hardware"/>
    <s v="General Purchase"/>
    <s v="GNSP 405"/>
    <s v="Purchase Withinstate- Stores, Spares &amp; Consumable"/>
    <s v="GI/1233"/>
    <d v="2026-07-12T00:00:00"/>
    <s v="Stores/Spares"/>
    <s v="Hardware Items"/>
    <s v="Stores &amp; Spares"/>
    <s v="stores &amp;  spares"/>
    <s v="Hose Pipe Green Size 2&quot;"/>
    <n v="1"/>
    <n v="90"/>
    <s v="Hose Pipe Green Size 2&quot;"/>
    <n v="0"/>
    <n v="9"/>
    <n v="8.1"/>
    <n v="9"/>
    <n v="8.1"/>
    <n v="0"/>
    <n v="0"/>
    <n v="0"/>
    <n v="16.2"/>
    <n v="0"/>
    <s v="24BTTPR5056A1ZJ"/>
    <s v="MTR"/>
    <n v="39173090"/>
    <s v="Rs."/>
    <n v="1"/>
    <n v="1"/>
    <s v="India"/>
    <x v="0"/>
  </r>
  <r>
    <d v="2026-07-17T00:00:00"/>
    <s v="Pavan Electricals And Hardware"/>
    <s v="General Purchase"/>
    <s v="GNSP 405"/>
    <s v="Purchase Withinstate- Stores, Spares &amp; Consumable"/>
    <s v="GI/1233"/>
    <d v="2026-07-12T00:00:00"/>
    <s v="Stores/Spares"/>
    <s v="Hardware Items"/>
    <s v="Stores &amp; Spares"/>
    <s v="stores &amp;  spares"/>
    <s v="Hexo Blade 12 X 1/2 X 18 Tpi"/>
    <n v="1"/>
    <n v="20"/>
    <s v="Hexo Blade 12 X 1/2 X 18 Tpi"/>
    <n v="0"/>
    <n v="9"/>
    <n v="1.8"/>
    <n v="0"/>
    <n v="1.8"/>
    <n v="0"/>
    <n v="0"/>
    <n v="0"/>
    <n v="3.6"/>
    <n v="0"/>
    <s v="24BTTPR5056A1ZJ"/>
    <s v="Pcs"/>
    <n v="820790"/>
    <s v="Rs."/>
    <n v="1"/>
    <n v="1"/>
    <s v="India"/>
    <x v="0"/>
  </r>
  <r>
    <d v="2026-07-17T00:00:00"/>
    <s v="Perfect Belts Private Limited (Gujarat)"/>
    <s v="General Purchase"/>
    <s v="GNSP 401"/>
    <s v="Purchase Withinstate- Stores, Spares &amp; Consumable"/>
    <s v="A-3058/26-27"/>
    <d v="2026-07-15T00:00:00"/>
    <s v="Stores/Spares"/>
    <s v="Bearings"/>
    <s v="Stores &amp; Spares"/>
    <s v="stores &amp;  spares"/>
    <s v="Bearing 6203 Zz Skf"/>
    <n v="30"/>
    <n v="2550"/>
    <s v="Bearing 6203 Zz Skf"/>
    <n v="5841"/>
    <n v="9"/>
    <n v="229.5"/>
    <n v="9"/>
    <n v="229.5"/>
    <n v="0"/>
    <n v="0"/>
    <n v="0"/>
    <n v="459"/>
    <n v="0"/>
    <s v="24AABCP1066F1ZU"/>
    <s v="Pcs"/>
    <n v="84821011"/>
    <s v="Rs."/>
    <n v="1"/>
    <n v="0"/>
    <s v="India"/>
    <x v="0"/>
  </r>
  <r>
    <d v="2026-07-17T00:00:00"/>
    <s v="Perfect Belts Private Limited (Gujarat)"/>
    <s v="General Purchase"/>
    <s v="GNSP 401"/>
    <s v="Purchase Withinstate- Stores, Spares &amp; Consumable"/>
    <s v="A-3058/26-27"/>
    <d v="2026-07-15T00:00:00"/>
    <s v="Stores/Spares"/>
    <s v="Bearings"/>
    <s v="Stores &amp; Spares"/>
    <s v="stores &amp;  spares"/>
    <s v="Bearing 6202 Zz"/>
    <n v="30"/>
    <n v="2249.9699999999998"/>
    <s v="Bearing 6202 Zz"/>
    <n v="0"/>
    <n v="9"/>
    <n v="216"/>
    <n v="9"/>
    <n v="216"/>
    <n v="0"/>
    <n v="0"/>
    <n v="0"/>
    <n v="432"/>
    <n v="0"/>
    <s v="24AABCP1066F1ZU"/>
    <s v="Pcs"/>
    <n v="84821011"/>
    <s v="Rs."/>
    <n v="1"/>
    <n v="0"/>
    <s v="India"/>
    <x v="0"/>
  </r>
  <r>
    <d v="2026-07-17T00:00:00"/>
    <s v="Plastene India ltd - Unit 1-Purchase"/>
    <s v="R.M.P."/>
    <s v="RM 304"/>
    <s v="Purchase Withinstate - Raw Material"/>
    <s v="PIL1/D/1080"/>
    <d v="2026-07-17T00:00:00"/>
    <s v="SF"/>
    <s v="PP/PE Fabric"/>
    <s v="PP Lam Fabric"/>
    <s v="PP LAMINETED FABRIC"/>
    <s v="PP Lam Fabric With UV"/>
    <n v="9132.1"/>
    <n v="1776650.0549999999"/>
    <s v="PP Lam Fabric With UV"/>
    <n v="4486092.46"/>
    <n v="9"/>
    <n v="159898.5"/>
    <n v="9"/>
    <n v="159898.5"/>
    <n v="0"/>
    <n v="0"/>
    <n v="0"/>
    <n v="319797"/>
    <n v="0"/>
    <s v="24AAACO3087C1ZT"/>
    <s v="Kgs"/>
    <n v="63053300"/>
    <s v="Rs."/>
    <n v="1"/>
    <n v="9132.1"/>
    <s v="India"/>
    <x v="2"/>
  </r>
  <r>
    <d v="2026-07-17T00:00:00"/>
    <s v="Plastene India ltd - Unit 1-Purchase"/>
    <s v="R.M.P."/>
    <s v="RM 304"/>
    <s v="Purchase Withinstate - Raw Material"/>
    <s v="PIL1/D/1080"/>
    <d v="2026-07-17T00:00:00"/>
    <s v="SF"/>
    <s v="PP/PE Fabric"/>
    <s v="PP Lam Fabric"/>
    <s v="PP LAMINETED FABRIC"/>
    <s v="PP Lam Fabric With UV"/>
    <n v="1959.2"/>
    <n v="376029.25599999999"/>
    <s v="PP Lam Fabric With UV"/>
    <n v="0"/>
    <n v="9"/>
    <n v="33842.629999999997"/>
    <n v="9"/>
    <n v="33842.629999999997"/>
    <n v="0"/>
    <n v="0"/>
    <n v="0"/>
    <n v="67685.259999999995"/>
    <n v="0"/>
    <s v="24AAACO3087C1ZT"/>
    <s v="Kgs"/>
    <n v="63053300"/>
    <s v="Rs."/>
    <n v="1"/>
    <n v="1959.2"/>
    <s v="India"/>
    <x v="2"/>
  </r>
  <r>
    <d v="2026-07-17T00:00:00"/>
    <s v="Plastene India ltd - Unit 1-Purchase"/>
    <s v="R.M.P."/>
    <s v="RM 304"/>
    <s v="Purchase Withinstate - Raw Material"/>
    <s v="PIL1/D/1080"/>
    <d v="2026-07-17T00:00:00"/>
    <s v="SF"/>
    <s v="PP/PE Fabric"/>
    <s v="PP Lam Fabric"/>
    <s v="PP LAMINETED FABRIC"/>
    <s v="PP Lam Fabric With UV"/>
    <n v="3911.6"/>
    <n v="744690.40800000005"/>
    <s v="PP Lam Fabric With UV"/>
    <n v="0"/>
    <n v="9"/>
    <n v="67022.14"/>
    <n v="9"/>
    <n v="67022.14"/>
    <n v="0"/>
    <n v="0"/>
    <n v="0"/>
    <n v="134044.28"/>
    <n v="0"/>
    <s v="24AAACO3087C1ZT"/>
    <s v="Kgs"/>
    <n v="63053300"/>
    <s v="Rs."/>
    <n v="1"/>
    <n v="3911.6"/>
    <s v="India"/>
    <x v="2"/>
  </r>
  <r>
    <d v="2026-07-17T00:00:00"/>
    <s v="Plastene India ltd - Unit 1-Purchase"/>
    <s v="R.M.P."/>
    <s v="RM 304"/>
    <s v="Purchase Withinstate - Raw Material"/>
    <s v="PIL1/D/1080"/>
    <d v="2026-07-17T00:00:00"/>
    <s v="SF"/>
    <s v="PP/PE Fabric"/>
    <s v="PP Lam Fabric"/>
    <s v="PP LAMINETED FABRIC"/>
    <s v="PP Lam Fabric With UV"/>
    <n v="1097"/>
    <n v="197712.31"/>
    <s v="PP Lam Fabric With UV"/>
    <n v="0"/>
    <n v="9"/>
    <n v="17794.11"/>
    <n v="9"/>
    <n v="17794.11"/>
    <n v="0"/>
    <n v="0"/>
    <n v="0"/>
    <n v="35588.22"/>
    <n v="0"/>
    <s v="24AAACO3087C1ZT"/>
    <s v="Kgs"/>
    <n v="63053300"/>
    <s v="Rs."/>
    <n v="1"/>
    <n v="1097"/>
    <s v="India"/>
    <x v="2"/>
  </r>
  <r>
    <d v="2026-07-17T00:00:00"/>
    <s v="Plastene India ltd - Unit 1-Purchase"/>
    <s v="R.M.P."/>
    <s v="RM 304"/>
    <s v="Purchase Withinstate - Raw Material"/>
    <s v="PIL1/D/1080"/>
    <d v="2026-07-17T00:00:00"/>
    <s v="SF"/>
    <s v="PP/PE Fabric"/>
    <s v="PP Lam Fabric"/>
    <s v="PP LAMINETED FABRIC"/>
    <s v="PP Lam Fabric With UV"/>
    <n v="928"/>
    <n v="167754.56"/>
    <s v="PP Lam Fabric With UV"/>
    <n v="0"/>
    <n v="9"/>
    <n v="15097.91"/>
    <n v="9"/>
    <n v="15097.91"/>
    <n v="0"/>
    <n v="0"/>
    <n v="0"/>
    <n v="30195.82"/>
    <n v="0"/>
    <s v="24AAACO3087C1ZT"/>
    <s v="Kgs"/>
    <n v="63053300"/>
    <s v="Rs."/>
    <n v="1"/>
    <n v="928"/>
    <s v="India"/>
    <x v="2"/>
  </r>
  <r>
    <d v="2026-07-17T00:00:00"/>
    <s v="Plastene India ltd - Unit 1-Purchase"/>
    <s v="R.M.P."/>
    <s v="RM 304"/>
    <s v="Purchase Withinstate - Raw Material"/>
    <s v="PIL1/D/1080"/>
    <d v="2026-07-17T00:00:00"/>
    <s v="SF"/>
    <s v="PP/PE Fabric"/>
    <s v="PP Lam Fabric"/>
    <s v="PP LAMINETED FABRIC"/>
    <s v="PP Lam Fabric With UV"/>
    <n v="2873.9"/>
    <n v="542161.23499999999"/>
    <s v="PP Lam Fabric With UV"/>
    <n v="0"/>
    <n v="9"/>
    <n v="48794.51"/>
    <n v="9"/>
    <n v="48794.51"/>
    <n v="0"/>
    <n v="0"/>
    <n v="0"/>
    <n v="97589.02"/>
    <n v="0"/>
    <s v="24AAACO3087C1ZT"/>
    <s v="Kgs"/>
    <n v="63053300"/>
    <s v="Rs."/>
    <n v="1"/>
    <n v="2873.9"/>
    <s v="India"/>
    <x v="2"/>
  </r>
  <r>
    <d v="2026-07-17T00:00:00"/>
    <s v="Plastene India ltd - Unit 2-Purchase"/>
    <s v="Purchase"/>
    <s v="GNPK 149"/>
    <s v="Purchase Withinstate- Packing Material"/>
    <s v="PIL2/D/384"/>
    <d v="2026-07-16T00:00:00"/>
    <s v="Stores/Spares"/>
    <s v="MS Structure Items"/>
    <s v="Packing Materials"/>
    <s v="Packing Materials"/>
    <s v="MS Pipe"/>
    <n v="158"/>
    <n v="7584"/>
    <s v="MS Pipe"/>
    <n v="8941.5400000000009"/>
    <n v="9"/>
    <n v="682.56"/>
    <n v="9"/>
    <n v="682.56"/>
    <n v="0"/>
    <n v="0"/>
    <n v="0"/>
    <n v="1365.12"/>
    <n v="0"/>
    <s v="24AAACO3087C1ZT"/>
    <s v="Kgs"/>
    <n v="7306309"/>
    <s v="Rs."/>
    <n v="1"/>
    <n v="0"/>
    <s v="India"/>
    <x v="0"/>
  </r>
  <r>
    <d v="2026-07-17T00:00:00"/>
    <s v="Plastene India ltd - Unit 2-Purchase"/>
    <s v="R.M.P."/>
    <s v="RM 302"/>
    <s v="Purchase Withinstate - Raw Material"/>
    <s v="PIL2/D/383"/>
    <d v="2026-07-13T00:00:00"/>
    <s v="SF"/>
    <s v="Webbing"/>
    <s v="PP Webbing"/>
    <s v="PP WEBBING"/>
    <s v="Webbing MF"/>
    <n v="44.1"/>
    <n v="5583.06"/>
    <s v="Webbing MF"/>
    <n v="923132.8"/>
    <n v="9"/>
    <n v="502.48"/>
    <n v="9"/>
    <n v="502.48"/>
    <n v="0"/>
    <n v="0"/>
    <n v="0"/>
    <n v="1004.96"/>
    <n v="0"/>
    <s v="24AAACO3087C1ZT"/>
    <s v="Kgs"/>
    <n v="39269080"/>
    <s v="Rs."/>
    <n v="1"/>
    <n v="44.1"/>
    <s v="India"/>
    <x v="6"/>
  </r>
  <r>
    <d v="2026-07-17T00:00:00"/>
    <s v="Plastene India ltd - Unit 2-Purchase"/>
    <s v="R.M.P."/>
    <s v="RM 302"/>
    <s v="Purchase Withinstate - Raw Material"/>
    <s v="PIL2/D/383"/>
    <d v="2026-07-13T00:00:00"/>
    <s v="SF"/>
    <s v="Webbing"/>
    <s v="PP Webbing"/>
    <s v="PP WEBBING"/>
    <s v="Webbing MF"/>
    <n v="2049.1"/>
    <n v="265563.36"/>
    <s v="Webbing MF"/>
    <n v="0"/>
    <n v="9"/>
    <n v="23900.7"/>
    <n v="9"/>
    <n v="23900.7"/>
    <n v="0"/>
    <n v="0"/>
    <n v="0"/>
    <n v="47801.4"/>
    <n v="0"/>
    <s v="24AAACO3087C1ZT"/>
    <s v="Kgs"/>
    <n v="39269080"/>
    <s v="Rs."/>
    <n v="1"/>
    <n v="2049.1"/>
    <s v="India"/>
    <x v="6"/>
  </r>
  <r>
    <d v="2026-07-17T00:00:00"/>
    <s v="Plastene India ltd - Unit 2-Purchase"/>
    <s v="R.M.P."/>
    <s v="RM 302"/>
    <s v="Purchase Withinstate - Raw Material"/>
    <s v="PIL2/D/383"/>
    <d v="2026-07-13T00:00:00"/>
    <s v="SF"/>
    <s v="Webbing"/>
    <s v="PP Webbing"/>
    <s v="PP WEBBING"/>
    <s v="Webbing MF"/>
    <n v="220.9"/>
    <n v="29291.34"/>
    <s v="Webbing MF"/>
    <n v="0"/>
    <n v="9"/>
    <n v="2636.22"/>
    <n v="9"/>
    <n v="2636.22"/>
    <n v="0"/>
    <n v="0"/>
    <n v="0"/>
    <n v="5272.44"/>
    <n v="0"/>
    <s v="24AAACO3087C1ZT"/>
    <s v="Kgs"/>
    <n v="39269080"/>
    <s v="Rs."/>
    <n v="1"/>
    <n v="220.9"/>
    <s v="India"/>
    <x v="6"/>
  </r>
  <r>
    <d v="2026-07-17T00:00:00"/>
    <s v="Plastene India ltd - Unit 2-Purchase"/>
    <s v="R.M.P."/>
    <s v="RM 302"/>
    <s v="Purchase Withinstate - Raw Material"/>
    <s v="PIL2/D/383"/>
    <d v="2026-07-13T00:00:00"/>
    <s v="SF"/>
    <s v="PP/PE Fabric"/>
    <s v="PP UL Fabric"/>
    <s v="PP WOVEN FABRIC"/>
    <s v="PP UL Fabric With UV"/>
    <n v="4339"/>
    <n v="462537.4"/>
    <s v="PP UL Fabric With UV"/>
    <n v="0"/>
    <n v="9"/>
    <n v="41628.370000000003"/>
    <n v="9"/>
    <n v="41628.370000000003"/>
    <n v="0"/>
    <n v="0"/>
    <n v="0"/>
    <n v="83256.740000000005"/>
    <n v="0"/>
    <s v="24AAACO3087C1ZT"/>
    <s v="Kgs"/>
    <n v="39269080"/>
    <s v="Rs."/>
    <n v="1"/>
    <n v="4339"/>
    <s v="India"/>
    <x v="1"/>
  </r>
  <r>
    <d v="2026-07-17T00:00:00"/>
    <s v="Plastene India ltd - Unit 2-Purchase"/>
    <s v="R.M.P."/>
    <s v="RM 302"/>
    <s v="Purchase Withinstate - Raw Material"/>
    <s v="PIL2/D/383"/>
    <d v="2026-07-13T00:00:00"/>
    <s v="SF"/>
    <s v="Liners"/>
    <s v="LDPE/LLDPE Bags"/>
    <s v="LLDPE Film"/>
    <s v="PE Labels (Pcs)"/>
    <n v="21510"/>
    <n v="20004.3"/>
    <s v="PE Labels (Pcs)"/>
    <n v="0"/>
    <n v="9"/>
    <n v="1800.39"/>
    <n v="9"/>
    <n v="1800.39"/>
    <n v="0"/>
    <n v="0"/>
    <n v="0"/>
    <n v="3600.78"/>
    <n v="0"/>
    <s v="24AAACO3087C1ZT"/>
    <s v="Kgs"/>
    <n v="392300"/>
    <s v="Rs."/>
    <n v="1"/>
    <n v="21510"/>
    <s v="India"/>
    <x v="0"/>
  </r>
  <r>
    <d v="2026-07-17T00:00:00"/>
    <s v="Satyam Stationery Mart"/>
    <s v="General Purchase"/>
    <s v="GNMS 16"/>
    <s v="Purchase Withinstate- Stores, Spares &amp; Consumable"/>
    <s v="SSM02306"/>
    <d v="2026-07-17T00:00:00"/>
    <s v="Printing &amp; Stationery"/>
    <s v="Stationery Items"/>
    <s v="Stores &amp; Spares"/>
    <s v="stores &amp;  spares"/>
    <s v="Ball Pen"/>
    <n v="100"/>
    <n v="280"/>
    <s v="Ball Pen"/>
    <n v="1554"/>
    <n v="9"/>
    <n v="25.2"/>
    <n v="9"/>
    <n v="25.2"/>
    <n v="0"/>
    <n v="0"/>
    <n v="0"/>
    <n v="50.4"/>
    <n v="0"/>
    <s v="24AGUPL9792N1Z6"/>
    <s v="Pcs"/>
    <n v="960810"/>
    <s v="Rs."/>
    <n v="1"/>
    <n v="0"/>
    <s v="India"/>
    <x v="0"/>
  </r>
  <r>
    <d v="2026-07-17T00:00:00"/>
    <s v="Satyam Stationery Mart"/>
    <s v="General Purchase"/>
    <s v="GNMS 16"/>
    <s v="Purchase Withinstate- Stores, Spares &amp; Consumable"/>
    <s v="SSM02306"/>
    <d v="2026-07-17T00:00:00"/>
    <s v="Printing &amp; Stationery"/>
    <s v="Stationery Items"/>
    <s v="Stores &amp; Spares"/>
    <s v="stores &amp;  spares"/>
    <s v="Stamp Pad Ink - Blue Colour ( 100 Ml. )"/>
    <n v="3"/>
    <n v="141"/>
    <s v="Stamp Pad Ink - Blue Colour ( 100 Ml. )"/>
    <n v="0"/>
    <n v="9"/>
    <n v="12.69"/>
    <n v="9"/>
    <n v="12.69"/>
    <n v="0"/>
    <n v="0"/>
    <n v="0"/>
    <n v="25.38"/>
    <n v="0"/>
    <s v="24AGUPL9792N1Z6"/>
    <s v="Pcs"/>
    <n v="321590"/>
    <s v="Rs."/>
    <n v="1"/>
    <n v="0"/>
    <s v="India"/>
    <x v="0"/>
  </r>
  <r>
    <d v="2026-07-17T00:00:00"/>
    <s v="Satyam Stationery Mart"/>
    <s v="General Purchase"/>
    <s v="GNMS 16"/>
    <s v="Purchase Withinstate- Stores, Spares &amp; Consumable"/>
    <s v="SSM02306"/>
    <d v="2026-07-17T00:00:00"/>
    <s v="Printing &amp; Stationery"/>
    <s v="Stationery Items"/>
    <s v="Stores &amp; Spares"/>
    <s v="stores &amp;  spares"/>
    <s v="Marker Pen White Colour"/>
    <n v="20"/>
    <n v="560"/>
    <s v="Marker Pen White Colour"/>
    <n v="0"/>
    <n v="9"/>
    <n v="50.4"/>
    <n v="9"/>
    <n v="50.4"/>
    <n v="0"/>
    <n v="0"/>
    <n v="0"/>
    <n v="100.8"/>
    <n v="0"/>
    <s v="24AGUPL9792N1Z6"/>
    <s v="Pcs"/>
    <n v="960342"/>
    <s v="Rs."/>
    <n v="1"/>
    <n v="0"/>
    <s v="India"/>
    <x v="0"/>
  </r>
  <r>
    <d v="2026-07-17T00:00:00"/>
    <s v="Satyam Stationery Mart"/>
    <s v="General Purchase"/>
    <s v="GNMS 16"/>
    <s v="Purchase Withinstate- Stores, Spares &amp; Consumable"/>
    <s v="SSM02306"/>
    <d v="2026-07-17T00:00:00"/>
    <s v="Consumables"/>
    <s v="Consumables-Electrical"/>
    <s v="Stores &amp; Spares"/>
    <s v="stores &amp;  spares"/>
    <s v="Pencil Cell 1.5 V ( R03 Aaa  Um4  Er03X )"/>
    <n v="10"/>
    <n v="100"/>
    <s v="Pencil Cell 1.5 V ( R03 Aaa  Um4  Er03X )"/>
    <n v="0"/>
    <n v="9"/>
    <n v="9"/>
    <n v="9"/>
    <n v="9"/>
    <n v="0"/>
    <n v="0"/>
    <n v="0"/>
    <n v="18"/>
    <n v="0"/>
    <s v="24AGUPL9792N1Z6"/>
    <s v="Pcs"/>
    <n v="850680"/>
    <s v="Rs."/>
    <n v="1"/>
    <n v="0"/>
    <s v="India"/>
    <x v="0"/>
  </r>
  <r>
    <d v="2026-07-17T00:00:00"/>
    <s v="Satyam Stationery Mart"/>
    <s v="General Purchase"/>
    <s v="GNMS 16"/>
    <s v="Purchase Withinstate- Stores, Spares &amp; Consumable"/>
    <s v="SSM02306"/>
    <d v="2026-07-17T00:00:00"/>
    <s v="Printing &amp; Stationery"/>
    <s v="Stationery Items"/>
    <s v="Stores &amp; Spares"/>
    <s v="stores &amp;  spares"/>
    <s v="Pencil"/>
    <n v="50"/>
    <n v="160"/>
    <s v="Pencil"/>
    <n v="0"/>
    <n v="0"/>
    <n v="0"/>
    <n v="0"/>
    <n v="0"/>
    <n v="0"/>
    <n v="0"/>
    <n v="0"/>
    <n v="0"/>
    <n v="0"/>
    <s v="24AGUPL9792N1Z6"/>
    <s v="Pcs"/>
    <n v="84522100"/>
    <s v="Rs."/>
    <n v="1"/>
    <n v="0"/>
    <s v="India"/>
    <x v="0"/>
  </r>
  <r>
    <d v="2026-07-17T00:00:00"/>
    <s v="Satyam Stationery Mart"/>
    <s v="General Purchase"/>
    <s v="GNMS 16"/>
    <s v="Purchase Withinstate- Stores, Spares &amp; Consumable"/>
    <s v="SSM02306"/>
    <d v="2026-07-17T00:00:00"/>
    <s v="Consumables"/>
    <s v="Consumables-Electrical"/>
    <s v="Stores &amp; Spares"/>
    <s v="stores &amp;  spares"/>
    <s v="Pencil Cell Aa"/>
    <n v="10"/>
    <n v="100"/>
    <s v="Pencil Cell Aa"/>
    <n v="0"/>
    <n v="9"/>
    <n v="9"/>
    <n v="9"/>
    <n v="9"/>
    <n v="0"/>
    <n v="0"/>
    <n v="0"/>
    <n v="18"/>
    <n v="0"/>
    <s v="24AGUPL9792N1Z6"/>
    <s v="Pcs"/>
    <n v="850722"/>
    <s v="Rs."/>
    <n v="1"/>
    <n v="0"/>
    <s v="India"/>
    <x v="0"/>
  </r>
  <r>
    <d v="2026-07-17T00:00:00"/>
    <s v="Soltex Petro Products Limited - Silvassa"/>
    <s v="R.M.P."/>
    <s v="RM 303"/>
    <s v="Purchase Interstate - Raw Material"/>
    <s v="S/963/26-27"/>
    <d v="2026-07-15T00:00:00"/>
    <s v="RM"/>
    <s v="Granules"/>
    <s v="Filler"/>
    <s v="Filler"/>
    <s v="Filler Soltex PTUFF23"/>
    <n v="30000"/>
    <n v="1140000"/>
    <s v="Filler Soltex PTUFF23"/>
    <n v="1345200"/>
    <n v="0"/>
    <n v="0"/>
    <n v="0"/>
    <n v="0"/>
    <n v="18"/>
    <n v="205200"/>
    <n v="0"/>
    <n v="205200"/>
    <n v="0"/>
    <s v="26AAECS2424D2ZR"/>
    <s v="Kgs"/>
    <n v="32041990"/>
    <s v="Rs."/>
    <n v="1"/>
    <n v="30000"/>
    <s v="India"/>
    <x v="14"/>
  </r>
  <r>
    <d v="2026-07-17T00:00:00"/>
    <s v="Susmatex Machinery"/>
    <s v="General Purchase"/>
    <s v="GNSP 402"/>
    <s v="Purchase Withinstate- Stores, Spares &amp; Consumable"/>
    <s v="T/26-27/464"/>
    <d v="2026-07-15T00:00:00"/>
    <s v="Stores/Spares"/>
    <s v="Needle Loom Spares"/>
    <s v="Stores &amp; Spares"/>
    <s v="stores &amp;  spares"/>
    <s v="Intermediate Pinion 770728"/>
    <n v="10"/>
    <n v="15162"/>
    <s v="Intermediate Pinion 770728"/>
    <n v="18068"/>
    <n v="9"/>
    <n v="1364.58"/>
    <n v="9"/>
    <n v="1364.58"/>
    <n v="0"/>
    <n v="0"/>
    <n v="27"/>
    <n v="2756.16"/>
    <n v="0"/>
    <s v="24AFGPB1596P1Z6"/>
    <s v="Pcs"/>
    <n v="844649"/>
    <s v="Rs."/>
    <n v="1"/>
    <n v="0"/>
    <s v="India"/>
    <x v="0"/>
  </r>
  <r>
    <d v="2026-07-18T00:00:00"/>
    <s v="Plastene India ltd - Unit 1-Purchase"/>
    <s v="Purchase"/>
    <s v="GNPK 150"/>
    <s v="Purchase Withinstate- Packing Material"/>
    <s v="PIL1/D/1087"/>
    <d v="2026-07-17T00:00:00"/>
    <s v="Stores/Spares"/>
    <s v="MS Structure Items"/>
    <s v="Packing Materials"/>
    <s v="Packing Materials"/>
    <s v="MS Pipe 4  C Class"/>
    <n v="206"/>
    <n v="9888"/>
    <s v="MS Pipe 4  C Class"/>
    <n v="11657.95"/>
    <n v="9"/>
    <n v="889.92"/>
    <n v="9"/>
    <n v="889.92"/>
    <n v="0"/>
    <n v="0"/>
    <n v="0"/>
    <n v="1779.84"/>
    <n v="0"/>
    <s v="24AAACO3087C1ZT"/>
    <s v="Kgs"/>
    <n v="73063090"/>
    <s v="Rs."/>
    <n v="1"/>
    <n v="206"/>
    <s v="India"/>
    <x v="0"/>
  </r>
  <r>
    <d v="2026-07-18T00:00:00"/>
    <s v="Plastene India ltd - Unit 1-Purchase"/>
    <s v="R.M.P."/>
    <s v="RM 306"/>
    <s v="Purchase Withinstate - Raw Material"/>
    <s v="PIL1/ME/17"/>
    <d v="2026-07-18T00:00:00"/>
    <s v="FG"/>
    <s v="FIBC Bags"/>
    <s v="FIBC Bags"/>
    <s v="PP WOVEN BIG BAGS / SACKS"/>
    <s v="FIBC Bags With UV Without Liner"/>
    <n v="19060"/>
    <n v="4397523.2"/>
    <s v="FIBC Bags With UV Without Liner"/>
    <n v="4397523.2"/>
    <n v="0.05"/>
    <n v="2198.7600000000002"/>
    <n v="0.05"/>
    <n v="2198.7600000000002"/>
    <n v="0"/>
    <n v="0"/>
    <n v="0"/>
    <n v="4397.5200000000004"/>
    <n v="0"/>
    <s v="24AAACO3087C1ZT"/>
    <s v="Kgs"/>
    <n v="63053200"/>
    <s v="Rs."/>
    <n v="1"/>
    <n v="19060"/>
    <s v="India"/>
    <x v="9"/>
  </r>
  <r>
    <d v="2026-07-18T00:00:00"/>
    <s v="Plastene India ltd - Unit 1-Purchase"/>
    <s v="R.M.P."/>
    <s v="RM 307"/>
    <s v="Purchase Withinstate - Raw Material"/>
    <s v="PIL1/D/1093"/>
    <d v="2026-07-17T00:00:00"/>
    <s v="SF"/>
    <s v="Liners"/>
    <s v="LDPE/LLDPE Bags"/>
    <s v="LLDPE BAGS"/>
    <s v="LDPE/LLDPE Bags/Liner"/>
    <n v="897.8"/>
    <n v="185647.084"/>
    <s v="LDPE/LLDPE Bags/Liner"/>
    <n v="218877.91"/>
    <n v="9"/>
    <n v="16708.240000000002"/>
    <n v="9"/>
    <n v="16708.240000000002"/>
    <n v="0"/>
    <n v="0"/>
    <n v="0"/>
    <n v="33416.480000000003"/>
    <n v="0"/>
    <s v="24AAACO3087C1ZT"/>
    <s v="Kgs"/>
    <n v="39200000"/>
    <s v="Rs."/>
    <n v="1"/>
    <n v="897.8"/>
    <s v="India"/>
    <x v="4"/>
  </r>
  <r>
    <d v="2026-07-18T00:00:00"/>
    <s v="Plastene India ltd - Unit 1-Purchase"/>
    <s v="R.M.P."/>
    <s v="RM 308"/>
    <s v="Purchase Withinstate - Raw Material"/>
    <s v="PIL1/DE/23"/>
    <d v="2026-07-17T00:00:00"/>
    <s v="SF"/>
    <s v="PP/PE Fabric"/>
    <s v="PP UL Fabric"/>
    <s v="PP WOVEN FABRIC"/>
    <s v="PP UL Fabric With UV"/>
    <n v="235"/>
    <n v="92825"/>
    <s v="PP UL Fabric With UV"/>
    <n v="109441.18"/>
    <n v="9"/>
    <n v="8354.25"/>
    <n v="9"/>
    <n v="8354.25"/>
    <n v="0"/>
    <n v="0"/>
    <n v="0"/>
    <n v="16708.5"/>
    <n v="0"/>
    <s v="24AAACO3087C1ZT"/>
    <s v="Kgs"/>
    <n v="39269080"/>
    <s v="Rs."/>
    <n v="1"/>
    <n v="235"/>
    <s v="India"/>
    <x v="1"/>
  </r>
  <r>
    <d v="2026-07-18T00:00:00"/>
    <s v="Plastene India ltd - Unit 1-Purchase"/>
    <s v="R.M.P."/>
    <s v="RM 309"/>
    <s v="Purchase Withinstate - Raw Material"/>
    <s v="PIL1/D/1089"/>
    <d v="2026-07-17T00:00:00"/>
    <s v="SF"/>
    <s v="PP/PE Fabric"/>
    <s v="PP Lam Fabric"/>
    <s v="PP LAMINETED FABRIC"/>
    <s v="PP Lam Fabric With UV"/>
    <n v="2645"/>
    <n v="400691.05"/>
    <s v="PP Lam Fabric With UV"/>
    <n v="1041364.72"/>
    <n v="9"/>
    <n v="36062.19"/>
    <n v="9"/>
    <n v="36062.19"/>
    <n v="0"/>
    <n v="0"/>
    <n v="0"/>
    <n v="72124.38"/>
    <n v="0"/>
    <s v="24AAACO3087C1ZT"/>
    <s v="Kgs"/>
    <n v="63053300"/>
    <s v="Rs."/>
    <n v="1"/>
    <n v="2645"/>
    <s v="India"/>
    <x v="2"/>
  </r>
  <r>
    <d v="2026-07-18T00:00:00"/>
    <s v="Plastene India ltd - Unit 1-Purchase"/>
    <s v="R.M.P."/>
    <s v="RM 309"/>
    <s v="Purchase Withinstate - Raw Material"/>
    <s v="PIL1/D/1089"/>
    <d v="2026-07-17T00:00:00"/>
    <s v="SF"/>
    <s v="PP/PE Fabric"/>
    <s v="PP UL Fabric"/>
    <s v="PP WOVEN FABRIC"/>
    <s v="PP UL Fabric With UV"/>
    <n v="804"/>
    <n v="116169.96"/>
    <s v="PP UL Fabric With UV"/>
    <n v="0"/>
    <n v="9"/>
    <n v="10455.299999999999"/>
    <n v="9"/>
    <n v="10455.299999999999"/>
    <n v="0"/>
    <n v="0"/>
    <n v="0"/>
    <n v="20910.599999999999"/>
    <n v="0"/>
    <s v="24AAACO3087C1ZT"/>
    <s v="Kgs"/>
    <n v="39269080"/>
    <s v="Rs."/>
    <n v="1"/>
    <n v="804"/>
    <s v="India"/>
    <x v="1"/>
  </r>
  <r>
    <d v="2026-07-18T00:00:00"/>
    <s v="Plastene India ltd - Unit 1-Purchase"/>
    <s v="R.M.P."/>
    <s v="RM 309"/>
    <s v="Purchase Withinstate - Raw Material"/>
    <s v="PIL1/D/1089"/>
    <d v="2026-07-17T00:00:00"/>
    <s v="SF"/>
    <s v="PP/PE Fabric"/>
    <s v="PP UL Fabric"/>
    <s v="PP WOVEN FABRIC"/>
    <s v="PP UL Fabric With UV"/>
    <n v="2451"/>
    <n v="366399.99"/>
    <s v="PP UL Fabric With UV"/>
    <n v="0"/>
    <n v="9"/>
    <n v="32976"/>
    <n v="9"/>
    <n v="32976"/>
    <n v="0"/>
    <n v="0"/>
    <n v="0"/>
    <n v="65952"/>
    <n v="0"/>
    <s v="24AAACO3087C1ZT"/>
    <s v="Kgs"/>
    <n v="39269080"/>
    <s v="Rs."/>
    <n v="1"/>
    <n v="2451"/>
    <s v="India"/>
    <x v="1"/>
  </r>
  <r>
    <d v="2026-07-18T00:00:00"/>
    <s v="Plastene India ltd - Unit 2-Purchase"/>
    <s v="General Purchase"/>
    <s v="GNCN 238"/>
    <s v="Purchase Withinstate- Stores, Spares &amp; Consumable"/>
    <s v="PIL2/D/388"/>
    <d v="2026-07-18T00:00:00"/>
    <s v="SF"/>
    <s v="Liners"/>
    <s v="LDPE/LLDPE Bags"/>
    <s v="Consumables"/>
    <s v="PE Labels (Pcs)"/>
    <n v="21.6"/>
    <n v="6175"/>
    <s v="PE Labels (Pcs)"/>
    <n v="7280.33"/>
    <n v="9"/>
    <n v="555.75"/>
    <n v="9"/>
    <n v="555.75"/>
    <n v="0"/>
    <n v="0"/>
    <n v="0"/>
    <n v="1111.5"/>
    <n v="0"/>
    <s v="24AAACO3087C1ZT"/>
    <s v="Kgs"/>
    <n v="392300"/>
    <s v="Rs."/>
    <n v="1"/>
    <n v="21.6"/>
    <s v="India"/>
    <x v="0"/>
  </r>
  <r>
    <d v="2026-07-18T00:00:00"/>
    <s v="Promatech Mfg&amp; Trading Co. Pvt Ltd"/>
    <s v="General Purchase"/>
    <s v="GNSP 406"/>
    <s v="Purchase Interstate- Stores, Spares &amp; Consumable"/>
    <s v="PH/27/0421"/>
    <d v="2026-07-13T00:00:00"/>
    <s v="Stores/Spares"/>
    <s v="Sulzer Machine Spares"/>
    <s v="Stores &amp; Spares"/>
    <s v="stores &amp;  spares"/>
    <s v="Feeder Jaw MS ( Knurling)"/>
    <n v="30"/>
    <n v="9480"/>
    <s v="Feeder Jaw MS ( Knurling)"/>
    <n v="11304"/>
    <n v="0"/>
    <n v="0"/>
    <n v="0"/>
    <n v="0"/>
    <n v="18"/>
    <n v="1706.4"/>
    <n v="18"/>
    <n v="1724.4"/>
    <n v="0"/>
    <s v="08AADCP5755D1ZE"/>
    <s v="Pcs"/>
    <n v="844810"/>
    <s v="Rs."/>
    <n v="1"/>
    <n v="0"/>
    <s v="India"/>
    <x v="0"/>
  </r>
  <r>
    <d v="2026-07-18T00:00:00"/>
    <s v="Saroj Textiles "/>
    <s v="General Purchase"/>
    <s v="GNSP 407"/>
    <s v="Purchase Interstate- Stores, Spares &amp; Consumable"/>
    <n v="67"/>
    <d v="2026-07-14T00:00:00"/>
    <s v="Stores/Spares"/>
    <s v="Sulzer Machine Spares"/>
    <s v="Stores &amp; Spares"/>
    <s v="stores &amp;  spares"/>
    <s v="Scissor D1 (For Hard Fibre)"/>
    <n v="30"/>
    <n v="6600"/>
    <s v="Scissor D1 (For Hard Fibre)"/>
    <n v="7788"/>
    <n v="0"/>
    <n v="0"/>
    <n v="0"/>
    <n v="0"/>
    <n v="18"/>
    <n v="1188"/>
    <n v="0"/>
    <n v="1188"/>
    <n v="0"/>
    <s v="08AHEPN1326P1Z2"/>
    <s v="Pcs"/>
    <n v="844849"/>
    <s v="Rs."/>
    <n v="1"/>
    <n v="0"/>
    <s v="India"/>
    <x v="0"/>
  </r>
  <r>
    <d v="2026-07-19T00:00:00"/>
    <s v="Bhavani International"/>
    <s v="General Purchase"/>
    <s v="GNSP 410"/>
    <s v="Purchase Withinstate- Stores, Spares &amp; Consumable"/>
    <n v="6890"/>
    <d v="2026-07-17T00:00:00"/>
    <s v="Stores/Spares"/>
    <s v="Needle Loom Spares"/>
    <s v="Stores &amp; Spares"/>
    <s v="stores &amp;  spares"/>
    <s v="Latch Needle 5821 Code 254512 Needle Deha 7.9 . 121 . G 01 &quot;Groz Beckert&quot; Make"/>
    <n v="2000"/>
    <n v="9200"/>
    <s v="Latch Needle 5821 Code 254512 Needle Deha 7.9 . 121 . G 01 &quot;Groz Beckert&quot; Make"/>
    <n v="10997"/>
    <n v="9"/>
    <n v="838.8"/>
    <n v="9"/>
    <n v="838.8"/>
    <n v="0"/>
    <n v="0"/>
    <n v="0"/>
    <n v="1677.6"/>
    <n v="0"/>
    <s v="24ADYPA4306Q1Z5"/>
    <s v="Pcs"/>
    <n v="8452900"/>
    <s v="Rs."/>
    <n v="1"/>
    <n v="0"/>
    <s v="India"/>
    <x v="0"/>
  </r>
  <r>
    <d v="2026-07-19T00:00:00"/>
    <s v="HCP Plastene Bulkpack Limited - Purchase"/>
    <s v="R.M.P."/>
    <s v="RM 310"/>
    <s v="Purchase Withinstate - Raw Material"/>
    <s v="HPBL/D/394"/>
    <d v="2026-06-18T00:00:00"/>
    <s v="SF"/>
    <s v="PP/PE Fabric"/>
    <s v="PP UL Fabric"/>
    <s v="PP WOVEN FABRIC"/>
    <s v="PP UL Fabric With UV"/>
    <n v="210"/>
    <n v="45462.9"/>
    <s v="PP UL Fabric With UV"/>
    <n v="925549.4"/>
    <n v="9"/>
    <n v="4091.66"/>
    <n v="9"/>
    <n v="4091.66"/>
    <n v="0"/>
    <n v="0"/>
    <n v="0"/>
    <n v="8183.32"/>
    <n v="0"/>
    <s v="24AABCG1282C2Z6"/>
    <s v="Kgs"/>
    <n v="39269080"/>
    <s v="Rs."/>
    <n v="1"/>
    <n v="210"/>
    <s v="India"/>
    <x v="1"/>
  </r>
  <r>
    <d v="2026-07-19T00:00:00"/>
    <s v="HCP Plastene Bulkpack Limited - Purchase"/>
    <s v="R.M.P."/>
    <s v="RM 310"/>
    <s v="Purchase Withinstate - Raw Material"/>
    <s v="HPBL/D/394"/>
    <d v="2026-06-18T00:00:00"/>
    <s v="SF"/>
    <s v="PP/PE Fabric"/>
    <s v="PP UL Fabric"/>
    <s v="PP WOVEN FABRIC"/>
    <s v="PP UL Fabric With UV"/>
    <n v="4462"/>
    <n v="698258.38"/>
    <s v="PP UL Fabric With UV"/>
    <n v="0"/>
    <n v="9"/>
    <n v="62843.25"/>
    <n v="9"/>
    <n v="62843.25"/>
    <n v="0"/>
    <n v="0"/>
    <n v="0"/>
    <n v="125686.5"/>
    <n v="0"/>
    <s v="24AABCG1282C2Z6"/>
    <s v="Kgs"/>
    <n v="39269080"/>
    <s v="Rs."/>
    <n v="1"/>
    <n v="4462"/>
    <s v="India"/>
    <x v="1"/>
  </r>
  <r>
    <d v="2026-07-19T00:00:00"/>
    <s v="HCP Plastene Bulkpack Limited - Purchase"/>
    <s v="R.M.P."/>
    <s v="RM 310"/>
    <s v="Purchase Withinstate - Raw Material"/>
    <s v="HPBL/D/394"/>
    <d v="2026-06-18T00:00:00"/>
    <s v="SF"/>
    <s v="PP/PE Fabric"/>
    <s v="PP UL Fabric"/>
    <s v="PP WOVEN FABRIC"/>
    <s v="PP UL Fabric With UV"/>
    <n v="259"/>
    <n v="41307.910000000003"/>
    <s v="PP UL Fabric With UV"/>
    <n v="0"/>
    <n v="9"/>
    <n v="3717.71"/>
    <n v="9"/>
    <n v="3717.71"/>
    <n v="0"/>
    <n v="0"/>
    <n v="0"/>
    <n v="7435.42"/>
    <n v="0"/>
    <s v="24AABCG1282C2Z6"/>
    <s v="Kgs"/>
    <n v="39269080"/>
    <s v="Rs."/>
    <n v="1"/>
    <n v="259"/>
    <s v="India"/>
    <x v="1"/>
  </r>
  <r>
    <d v="2026-07-19T00:00:00"/>
    <s v="Jay Ambe Tex Spare"/>
    <s v="General Purchase"/>
    <s v="GNSP 408"/>
    <s v="Purchase Withinstate- Stores, Spares &amp; Consumable"/>
    <n v="278"/>
    <d v="2026-07-16T00:00:00"/>
    <s v="Stores/Spares"/>
    <s v="Sulzer Machine Spares"/>
    <s v="Stores &amp; Spares"/>
    <s v="stores &amp;  spares"/>
    <s v="Picking Unit Su Cam P7100, LT 130/SL 110 /LL/SU, 911.359.271"/>
    <n v="1"/>
    <n v="18000"/>
    <s v="Picking Unit Su Cam P7100, LT 130/SL 110 /LL/SU, 911.359.271"/>
    <n v="21240"/>
    <n v="9"/>
    <n v="1620"/>
    <n v="9"/>
    <n v="1620"/>
    <n v="0"/>
    <n v="0"/>
    <n v="0"/>
    <n v="3240"/>
    <n v="0"/>
    <s v="24BLEPP3881L1ZO"/>
    <s v="Pcs"/>
    <n v="84484990"/>
    <s v="Rs."/>
    <n v="1"/>
    <n v="0"/>
    <s v="India"/>
    <x v="0"/>
  </r>
  <r>
    <d v="2026-07-19T00:00:00"/>
    <s v="Jay Ambe Tex Spare"/>
    <s v="General Purchase"/>
    <s v="GNSP 409"/>
    <s v="Purchase Withinstate- Stores, Spares &amp; Consumable"/>
    <n v="277"/>
    <d v="2026-07-16T00:00:00"/>
    <s v="Stores/Spares"/>
    <s v="Sulzer Machine Spares"/>
    <s v="Stores &amp; Spares"/>
    <s v="stores &amp;  spares"/>
    <s v="Intermediate Gear Wheel Incl. Pos 23 (912.510.129)"/>
    <n v="2"/>
    <n v="3400"/>
    <s v="Intermediate Gear Wheel Incl. Pos 23 (912.510.129)"/>
    <n v="4012"/>
    <n v="9"/>
    <n v="306"/>
    <n v="9"/>
    <n v="306"/>
    <n v="0"/>
    <n v="0"/>
    <n v="0"/>
    <n v="612"/>
    <n v="0"/>
    <s v="24BLEPP3881L1ZO"/>
    <s v="Pcs"/>
    <n v="844849"/>
    <s v="Rs."/>
    <n v="1"/>
    <n v="0"/>
    <s v="India"/>
    <x v="0"/>
  </r>
  <r>
    <d v="2026-07-19T00:00:00"/>
    <s v="Nishith Enterprise"/>
    <s v="General Purchase"/>
    <s v="GNSP 411"/>
    <s v="Purchase Withinstate- Stores, Spares &amp; Consumable"/>
    <s v="G/340/26-27"/>
    <d v="2026-07-17T00:00:00"/>
    <s v="Stores/Spares"/>
    <s v="Sulzer Machine Spares"/>
    <s v="Stores &amp; Spares"/>
    <s v="stores &amp;  spares"/>
    <s v="Neddle Bearing 4520"/>
    <n v="50"/>
    <n v="11250"/>
    <s v="Neddle Bearing 4520"/>
    <n v="13275"/>
    <n v="9"/>
    <n v="1012.5"/>
    <n v="9"/>
    <n v="1012.5"/>
    <n v="0"/>
    <n v="0"/>
    <n v="0"/>
    <n v="2025"/>
    <n v="0"/>
    <s v="24APKPS0815A1ZB"/>
    <s v="Pcs"/>
    <n v="84821011"/>
    <s v="Rs."/>
    <n v="1"/>
    <n v="0"/>
    <s v="India"/>
    <x v="0"/>
  </r>
  <r>
    <d v="2026-07-19T00:00:00"/>
    <s v="Plastene India ltd - Unit 1-Purchase"/>
    <s v="Purchase"/>
    <s v="GNPK 151"/>
    <s v="Purchase Withinstate- Packing Material"/>
    <s v="PIL1/D/1102"/>
    <d v="2026-07-18T00:00:00"/>
    <s v="Stores/Spares"/>
    <s v="MS Structure Items"/>
    <s v="Packing Materials"/>
    <s v="Packing Materials"/>
    <s v="MS Pipe 4  C Class"/>
    <n v="201"/>
    <n v="9648"/>
    <s v="MS Pipe 4  C Class"/>
    <n v="11374.99"/>
    <n v="9"/>
    <n v="868.32"/>
    <n v="9"/>
    <n v="868.32"/>
    <n v="0"/>
    <n v="0"/>
    <n v="0"/>
    <n v="1736.64"/>
    <n v="0"/>
    <s v="24AAACO3087C1ZT"/>
    <s v="Kgs"/>
    <n v="73063090"/>
    <s v="Rs."/>
    <n v="1"/>
    <n v="0"/>
    <s v="India"/>
    <x v="0"/>
  </r>
  <r>
    <d v="2026-07-19T00:00:00"/>
    <s v="Plastene India ltd - Unit 1-Purchase"/>
    <s v="R.M.P."/>
    <s v="RM 312"/>
    <s v="Purchase Withinstate - Raw Material"/>
    <s v="PIL1/D/1103"/>
    <d v="2026-07-18T00:00:00"/>
    <s v="SF"/>
    <s v="PP/PE Fabric"/>
    <s v="PP UL Fabric"/>
    <s v="PP WOVEN FABRIC"/>
    <s v="PP UL Fabric With UV"/>
    <n v="1349"/>
    <n v="194917.01"/>
    <s v="PP UL Fabric With UV"/>
    <n v="1436795.28"/>
    <n v="9"/>
    <n v="17542.53"/>
    <n v="9"/>
    <n v="17542.53"/>
    <n v="0"/>
    <n v="0"/>
    <n v="0"/>
    <n v="35085.06"/>
    <n v="0"/>
    <s v="24AAACO3087C1ZT"/>
    <s v="Kgs"/>
    <n v="39269080"/>
    <s v="Rs."/>
    <n v="1"/>
    <n v="1349"/>
    <s v="India"/>
    <x v="1"/>
  </r>
  <r>
    <d v="2026-07-19T00:00:00"/>
    <s v="Plastene India ltd - Unit 1-Purchase"/>
    <s v="R.M.P."/>
    <s v="RM 312"/>
    <s v="Purchase Withinstate - Raw Material"/>
    <s v="PIL1/D/1103"/>
    <d v="2026-07-18T00:00:00"/>
    <s v="SF"/>
    <s v="PP/PE Fabric"/>
    <s v="PP UL Fabric"/>
    <s v="PP WOVEN FABRIC"/>
    <s v="PP UL Fabric With UV"/>
    <n v="452"/>
    <n v="66665.48"/>
    <s v="PP UL Fabric With UV"/>
    <n v="0"/>
    <n v="9"/>
    <n v="5999.89"/>
    <n v="9"/>
    <n v="5999.89"/>
    <n v="0"/>
    <n v="0"/>
    <n v="0"/>
    <n v="11999.78"/>
    <n v="0"/>
    <s v="24AAACO3087C1ZT"/>
    <s v="Kgs"/>
    <n v="39269080"/>
    <s v="Rs."/>
    <n v="1"/>
    <n v="452"/>
    <s v="India"/>
    <x v="1"/>
  </r>
  <r>
    <d v="2026-07-19T00:00:00"/>
    <s v="Plastene India ltd - Unit 1-Purchase"/>
    <s v="R.M.P."/>
    <s v="RM 312"/>
    <s v="Purchase Withinstate - Raw Material"/>
    <s v="PIL1/D/1103"/>
    <d v="2026-07-18T00:00:00"/>
    <s v="SF"/>
    <s v="PP/PE Fabric"/>
    <s v="PP UL Fabric"/>
    <s v="PP WOVEN FABRIC"/>
    <s v="PP UL Fabric With UV"/>
    <n v="1348"/>
    <n v="201512.52"/>
    <s v="PP UL Fabric With UV"/>
    <n v="0"/>
    <n v="9"/>
    <n v="18136.13"/>
    <n v="9"/>
    <n v="18136.13"/>
    <n v="0"/>
    <n v="0"/>
    <n v="0"/>
    <n v="36272.26"/>
    <n v="0"/>
    <s v="24AAACO3087C1ZT"/>
    <s v="Kgs"/>
    <n v="39269080"/>
    <s v="Rs."/>
    <n v="1"/>
    <n v="1348"/>
    <s v="India"/>
    <x v="1"/>
  </r>
  <r>
    <d v="2026-07-19T00:00:00"/>
    <s v="Plastene India ltd - Unit 1-Purchase"/>
    <s v="R.M.P."/>
    <s v="RM 312"/>
    <s v="Purchase Withinstate - Raw Material"/>
    <s v="PIL1/D/1103"/>
    <d v="2026-07-18T00:00:00"/>
    <s v="SF"/>
    <s v="PP/PE Fabric"/>
    <s v="PP Lam Fabric"/>
    <s v="PP LAMINETED FABRIC"/>
    <s v="PP Lam Fabric With UV"/>
    <n v="1992"/>
    <n v="301768.08"/>
    <s v="PP Lam Fabric With UV"/>
    <n v="0"/>
    <n v="9"/>
    <n v="27159.13"/>
    <n v="9"/>
    <n v="27159.13"/>
    <n v="0"/>
    <n v="0"/>
    <n v="0"/>
    <n v="54318.26"/>
    <n v="0"/>
    <s v="24AAACO3087C1ZT"/>
    <s v="Kgs"/>
    <n v="63053300"/>
    <s v="Rs."/>
    <n v="1"/>
    <n v="1992"/>
    <s v="India"/>
    <x v="2"/>
  </r>
  <r>
    <d v="2026-07-19T00:00:00"/>
    <s v="Plastene India ltd - Unit 1-Purchase"/>
    <s v="R.M.P."/>
    <s v="RM 312"/>
    <s v="Purchase Withinstate - Raw Material"/>
    <s v="PIL1/D/1103"/>
    <d v="2026-07-18T00:00:00"/>
    <s v="SF"/>
    <s v="PP/PE Fabric"/>
    <s v="PP Lam Fabric"/>
    <s v="PP LAMINETED FABRIC"/>
    <s v="PP Lam Fabric With UV"/>
    <n v="762"/>
    <n v="117721.38"/>
    <s v="PP Lam Fabric With UV"/>
    <n v="0"/>
    <n v="9"/>
    <n v="10594.92"/>
    <n v="9"/>
    <n v="10594.92"/>
    <n v="0"/>
    <n v="0"/>
    <n v="0"/>
    <n v="21189.84"/>
    <n v="0"/>
    <s v="24AAACO3087C1ZT"/>
    <s v="Kgs"/>
    <n v="63053300"/>
    <s v="Rs."/>
    <n v="1"/>
    <n v="762"/>
    <s v="India"/>
    <x v="2"/>
  </r>
  <r>
    <d v="2026-07-19T00:00:00"/>
    <s v="Plastene India ltd - Unit 1-Purchase"/>
    <s v="R.M.P."/>
    <s v="RM 312"/>
    <s v="Purchase Withinstate - Raw Material"/>
    <s v="PIL1/D/1103"/>
    <d v="2026-07-18T00:00:00"/>
    <s v="SF"/>
    <s v="Yarn All"/>
    <s v="PP Yarn"/>
    <s v="PP MF Yarn"/>
    <s v="PP MF Yarn Twisted 1000 UV NW"/>
    <n v="2413.6999999999998"/>
    <n v="377719.913"/>
    <s v="PP MF Yarn Twisted 1000 UV NW"/>
    <n v="0"/>
    <n v="2.5"/>
    <n v="9443"/>
    <n v="2.5"/>
    <n v="9443"/>
    <n v="0"/>
    <n v="0"/>
    <n v="0"/>
    <n v="18886"/>
    <n v="0"/>
    <s v="24AAACO3087C1ZT"/>
    <s v="Kgs"/>
    <n v="54026930"/>
    <s v="Rs."/>
    <n v="1"/>
    <n v="2413.6999999999998"/>
    <s v="India"/>
    <x v="3"/>
  </r>
  <r>
    <d v="2026-07-19T00:00:00"/>
    <s v="Plastene India ltd - Unit 1-Purchase"/>
    <s v="R.M.P."/>
    <s v="RM 313"/>
    <s v="Purchase Withinstate - Raw Material"/>
    <s v="PIL1/D/1104"/>
    <d v="2026-07-18T00:00:00"/>
    <s v="SF"/>
    <s v="Liners"/>
    <s v="LDPE/LLDPE Bags"/>
    <s v="LLDPE BAGS"/>
    <s v="LDPE/LLDPE Bags/Liner"/>
    <n v="2313.5"/>
    <n v="478385.53"/>
    <s v="LDPE/LLDPE Bags/Liner"/>
    <n v="656749.47"/>
    <n v="9"/>
    <n v="43054.7"/>
    <n v="9"/>
    <n v="43054.7"/>
    <n v="0"/>
    <n v="0"/>
    <n v="0"/>
    <n v="86109.4"/>
    <n v="0"/>
    <s v="24AAACO3087C1ZT"/>
    <s v="Kgs"/>
    <n v="39200000"/>
    <s v="Rs."/>
    <n v="1"/>
    <n v="2313.5"/>
    <s v="India"/>
    <x v="4"/>
  </r>
  <r>
    <d v="2026-07-19T00:00:00"/>
    <s v="Plastene India ltd - Unit 1-Purchase"/>
    <s v="R.M.P."/>
    <s v="RM 313"/>
    <s v="Purchase Withinstate - Raw Material"/>
    <s v="PIL1/D/1104"/>
    <d v="2026-07-18T00:00:00"/>
    <s v="SF"/>
    <s v="Liners"/>
    <s v="LDPE/LLDPE Bags"/>
    <s v="LLDPE BAGS"/>
    <s v="LDPE/LLDPE Bags/Liner"/>
    <n v="329.3"/>
    <n v="78037.513999999996"/>
    <s v="LDPE/LLDPE Bags/Liner"/>
    <n v="0"/>
    <n v="9"/>
    <n v="7023.38"/>
    <n v="9"/>
    <n v="7023.38"/>
    <n v="0"/>
    <n v="0"/>
    <n v="0"/>
    <n v="14046.76"/>
    <n v="0"/>
    <s v="24AAACO3087C1ZT"/>
    <s v="Kgs"/>
    <n v="39200000"/>
    <s v="Rs."/>
    <n v="1"/>
    <n v="329.3"/>
    <s v="India"/>
    <x v="4"/>
  </r>
  <r>
    <d v="2026-07-19T00:00:00"/>
    <s v="Plastene India ltd - Unit 1-Purchase"/>
    <s v="R.M.P."/>
    <s v="RM 313"/>
    <s v="Purchase Withinstate - Raw Material"/>
    <s v="PIL1/D/1104"/>
    <d v="2026-07-18T00:00:00"/>
    <s v="SF"/>
    <s v="Liners"/>
    <s v="LDPE/LLDPE Bags"/>
    <s v="LLDPE BAGS"/>
    <s v="LDPE/LLDPE Bags/Liner"/>
    <n v="3.3"/>
    <n v="616.37400000000002"/>
    <s v="LDPE/LLDPE Bags/Liner"/>
    <n v="0"/>
    <n v="9"/>
    <n v="55.47"/>
    <n v="9"/>
    <n v="55.47"/>
    <n v="0"/>
    <n v="0"/>
    <n v="0"/>
    <n v="110.94"/>
    <n v="0"/>
    <s v="24AAACO3087C1ZT"/>
    <s v="Kgs"/>
    <n v="39200000"/>
    <s v="Rs."/>
    <n v="1"/>
    <n v="3.3"/>
    <s v="India"/>
    <x v="4"/>
  </r>
  <r>
    <d v="2026-07-19T00:00:00"/>
    <s v="Plastene India ltd - Unit 2-Purchase"/>
    <s v="R.M.P."/>
    <s v="RM 311"/>
    <s v="Purchase Withinstate - Raw Material"/>
    <s v="PIL2/D/389"/>
    <d v="2026-07-18T00:00:00"/>
    <s v="SF"/>
    <s v="Yarn All"/>
    <s v="PP Yarn"/>
    <s v="Filler code"/>
    <s v="Filler Cord"/>
    <n v="3448.96"/>
    <n v="414220.09600000002"/>
    <s v="Filler Cord"/>
    <n v="434516.88"/>
    <n v="2.5"/>
    <n v="10355.5"/>
    <n v="2.5"/>
    <n v="10355.5"/>
    <n v="0"/>
    <n v="0"/>
    <n v="0"/>
    <n v="20711"/>
    <n v="0"/>
    <s v="24AAACO3087C1ZT"/>
    <s v="Kgs"/>
    <n v="540263"/>
    <s v="Rs."/>
    <n v="1"/>
    <n v="3448.96"/>
    <s v="India"/>
    <x v="3"/>
  </r>
  <r>
    <d v="2026-07-19T00:00:00"/>
    <s v="Shubh Engineering"/>
    <s v="General Purchase"/>
    <s v="GNSP 412"/>
    <s v="Purchase Withinstate- Stores, Spares &amp; Consumable"/>
    <s v="SE/26-27/102"/>
    <d v="2026-07-17T00:00:00"/>
    <s v="Stores/Spares"/>
    <s v="Needle Loom Spares"/>
    <s v="Stores &amp; Spares"/>
    <s v="stores &amp;  spares"/>
    <s v="Latch Needle 3160108"/>
    <n v="2000"/>
    <n v="15000"/>
    <s v="Latch Needle 3160108"/>
    <n v="17877"/>
    <n v="9"/>
    <n v="1350"/>
    <n v="9"/>
    <n v="1350"/>
    <n v="0"/>
    <n v="0"/>
    <n v="27"/>
    <n v="2727"/>
    <n v="0"/>
    <s v="24FDSPR6048R1ZC"/>
    <s v="Pcs"/>
    <n v="844649"/>
    <s v="Rs."/>
    <n v="1"/>
    <n v="0"/>
    <s v="India"/>
    <x v="0"/>
  </r>
  <r>
    <d v="2026-07-20T00:00:00"/>
    <s v="CTM Technical Textiles Limited"/>
    <s v="R.M.P."/>
    <s v="RM 314"/>
    <s v="Purchase Withinstate - Raw Material"/>
    <s v="CTM/26-27/0472"/>
    <d v="2026-07-19T00:00:00"/>
    <s v="SF"/>
    <s v="PP/PE Fabric"/>
    <s v="HD UL Fabric"/>
    <s v="PP WOVEN FABRIC"/>
    <s v="HD UL Fabric With UV (Raschel Fabric)"/>
    <n v="374.7"/>
    <n v="77908.748099999997"/>
    <s v="HD UL Fabric With UV (Raschel Fabric)"/>
    <n v="185069"/>
    <n v="2.5"/>
    <n v="1947.72"/>
    <n v="2.5"/>
    <n v="1947.72"/>
    <n v="0"/>
    <n v="0"/>
    <n v="0"/>
    <n v="3895.44"/>
    <n v="0"/>
    <s v="24AACCC9379D1ZM"/>
    <s v="Kgs"/>
    <n v="60059000"/>
    <s v="Rs."/>
    <n v="1"/>
    <n v="374.7"/>
    <s v="India"/>
    <x v="15"/>
  </r>
  <r>
    <d v="2026-07-20T00:00:00"/>
    <s v="CTM Technical Textiles Limited"/>
    <s v="R.M.P."/>
    <s v="RM 314"/>
    <s v="Purchase Withinstate - Raw Material"/>
    <s v="CTM/26-27/0472"/>
    <d v="2026-07-19T00:00:00"/>
    <s v="SF"/>
    <s v="PP/PE Fabric"/>
    <s v="HD UL Fabric"/>
    <s v="PP WOVEN FABRIC"/>
    <s v="HD UL Fabric With UV (Raschel Fabric)"/>
    <n v="363"/>
    <n v="75476.048999999999"/>
    <s v="HD UL Fabric With UV (Raschel Fabric)"/>
    <n v="0"/>
    <n v="2.5"/>
    <n v="1886.9"/>
    <n v="2.5"/>
    <n v="1886.9"/>
    <n v="0"/>
    <n v="0"/>
    <n v="0"/>
    <n v="3773.8"/>
    <n v="0"/>
    <s v="24AACCC9379D1ZM"/>
    <s v="Kgs"/>
    <n v="60059000"/>
    <s v="Rs."/>
    <n v="1"/>
    <n v="363"/>
    <s v="India"/>
    <x v="15"/>
  </r>
  <r>
    <d v="2026-07-20T00:00:00"/>
    <s v="CTM Technical Textiles Limited"/>
    <s v="R.M.P."/>
    <s v="RM 314"/>
    <s v="Purchase Withinstate - Raw Material"/>
    <s v="CTM/26-27/0472"/>
    <d v="2026-07-19T00:00:00"/>
    <s v="SF"/>
    <s v="PP/PE Fabric"/>
    <s v="HD UL Fabric"/>
    <s v="PP WOVEN FABRIC"/>
    <s v="HD UL Fabric With UV (Raschel Fabric)"/>
    <n v="110"/>
    <n v="22871.53"/>
    <s v="HD UL Fabric With UV (Raschel Fabric)"/>
    <n v="0"/>
    <n v="2.5"/>
    <n v="571.79"/>
    <n v="2.5"/>
    <n v="571.79"/>
    <n v="0"/>
    <n v="0"/>
    <n v="0"/>
    <n v="1143.58"/>
    <n v="0"/>
    <s v="24AACCC9379D1ZM"/>
    <s v="Kgs"/>
    <n v="60059000"/>
    <s v="Rs."/>
    <n v="1"/>
    <n v="110"/>
    <s v="India"/>
    <x v="15"/>
  </r>
  <r>
    <d v="2026-07-20T00:00:00"/>
    <s v="HCP Enterprise Ltd-Purchase"/>
    <s v="R.M.P."/>
    <s v="RM 318"/>
    <s v="Purchase Withinstate - Raw Material"/>
    <s v="HCP/D/64"/>
    <d v="2026-07-20T00:00:00"/>
    <s v="RM"/>
    <s v="Granules"/>
    <s v="PP Granules"/>
    <s v="PP Granuals"/>
    <s v="PP NSRP NSY114G"/>
    <n v="27000"/>
    <n v="3372300"/>
    <s v="PP NSRP NSY114G"/>
    <n v="3975941.7"/>
    <n v="9"/>
    <n v="303507"/>
    <n v="9"/>
    <n v="303507"/>
    <n v="0"/>
    <n v="0"/>
    <n v="0"/>
    <n v="607014"/>
    <n v="0"/>
    <s v="24AAACC7815N1ZI"/>
    <s v="Kgs"/>
    <n v="39021000"/>
    <s v="Rs."/>
    <n v="1"/>
    <n v="27000"/>
    <s v="India"/>
    <x v="8"/>
  </r>
  <r>
    <d v="2026-07-20T00:00:00"/>
    <s v="HCP Plastene Bulkpack Limited - Purchase"/>
    <s v="R.M.P."/>
    <s v="RM 317"/>
    <s v="Purchase Withinstate - Raw Material"/>
    <s v="hpbl/d/398"/>
    <d v="2026-07-20T00:00:00"/>
    <s v="RM Consumables"/>
    <s v="FIBC Accessories"/>
    <s v="FIBC Accessories"/>
    <s v="LLDPE BAGS"/>
    <s v="Tyvek Labels (Pcs)"/>
    <n v="138"/>
    <n v="30565.62"/>
    <s v="Tyvek Labels (Pcs)"/>
    <n v="1116294.3999999999"/>
    <n v="9"/>
    <n v="2750.91"/>
    <n v="9"/>
    <n v="2750.91"/>
    <n v="0"/>
    <n v="0"/>
    <n v="0"/>
    <n v="5501.82"/>
    <n v="0"/>
    <s v="24AABCG1282C2Z6"/>
    <s v="Pcs"/>
    <n v="58079010"/>
    <s v="Rs."/>
    <n v="1"/>
    <n v="138"/>
    <s v="India"/>
    <x v="0"/>
  </r>
  <r>
    <d v="2026-07-20T00:00:00"/>
    <s v="HCP Plastene Bulkpack Limited - Purchase"/>
    <s v="R.M.P."/>
    <s v="RM 317"/>
    <s v="Purchase Withinstate - Raw Material"/>
    <s v="hpbl/d/398"/>
    <d v="2026-07-20T00:00:00"/>
    <s v="RM Consumables"/>
    <s v="FIBC Accessories"/>
    <s v="FIBC Accessories"/>
    <s v="LLDPE BAGS"/>
    <s v="Tyvek Labels (Pcs)"/>
    <n v="5855"/>
    <n v="916248.95"/>
    <s v="Tyvek Labels (Pcs)"/>
    <n v="0"/>
    <n v="9"/>
    <n v="82462.41"/>
    <n v="9"/>
    <n v="82462.41"/>
    <n v="0"/>
    <n v="0"/>
    <n v="0"/>
    <n v="164924.82"/>
    <n v="0"/>
    <s v="24AABCG1282C2Z6"/>
    <s v="Pcs"/>
    <n v="58079010"/>
    <s v="Rs."/>
    <n v="1"/>
    <n v="5855"/>
    <s v="India"/>
    <x v="0"/>
  </r>
  <r>
    <d v="2026-07-20T00:00:00"/>
    <s v="Plastene India ltd - Unit 1-Purchase"/>
    <s v="Purchase"/>
    <s v="GNPK 152"/>
    <s v="Purchase Withinstate- Packing Material"/>
    <s v="PIL1/D/1116"/>
    <d v="2026-07-19T00:00:00"/>
    <s v="Stores/Spares"/>
    <s v="MS Structure Items"/>
    <s v="Packing Materials"/>
    <s v="Packing Materials"/>
    <s v="MS Pipe 4  C Class"/>
    <n v="341"/>
    <n v="16368"/>
    <s v="MS Pipe 4  C Class"/>
    <n v="19297.87"/>
    <n v="9"/>
    <n v="1473.12"/>
    <n v="9"/>
    <n v="1473.12"/>
    <n v="0"/>
    <n v="0"/>
    <n v="0"/>
    <n v="2946.24"/>
    <n v="0"/>
    <s v="24AAACO3087C1ZT"/>
    <s v="Kgs"/>
    <n v="73063090"/>
    <s v="Rs."/>
    <n v="1"/>
    <n v="341"/>
    <s v="India"/>
    <x v="0"/>
  </r>
  <r>
    <d v="2026-07-20T00:00:00"/>
    <s v="Plastene India ltd - Unit 1-Purchase"/>
    <s v="R.M.P."/>
    <s v="RM 315"/>
    <s v="Purchase Withinstate - Raw Material"/>
    <s v="pil1/d/1117"/>
    <d v="2026-07-20T00:00:00"/>
    <s v="SF"/>
    <s v="PP/PE Fabric"/>
    <s v="PP UL Fabric"/>
    <s v="PP WOVEN FABRIC"/>
    <s v="PP UL Fabric With UV"/>
    <n v="1030"/>
    <n v="151914.70000000001"/>
    <s v="PP UL Fabric With UV"/>
    <n v="1803439.84"/>
    <n v="9"/>
    <n v="13672.32"/>
    <n v="9"/>
    <n v="13672.32"/>
    <n v="0"/>
    <n v="0"/>
    <n v="0"/>
    <n v="27344.639999999999"/>
    <n v="0"/>
    <s v="24AAACO3087C1ZT"/>
    <s v="Kgs"/>
    <n v="39269080"/>
    <s v="Rs."/>
    <n v="1"/>
    <n v="1030"/>
    <s v="India"/>
    <x v="1"/>
  </r>
  <r>
    <d v="2026-07-20T00:00:00"/>
    <s v="Plastene India ltd - Unit 1-Purchase"/>
    <s v="R.M.P."/>
    <s v="RM 315"/>
    <s v="Purchase Withinstate - Raw Material"/>
    <s v="pil1/d/1117"/>
    <d v="2026-07-20T00:00:00"/>
    <s v="SF"/>
    <s v="PP/PE Fabric"/>
    <s v="PP UL Fabric"/>
    <s v="PP WOVEN FABRIC"/>
    <s v="PP UL Fabric With UV"/>
    <n v="2845"/>
    <n v="411074.05"/>
    <s v="PP UL Fabric With UV"/>
    <n v="0"/>
    <n v="9"/>
    <n v="36996.660000000003"/>
    <n v="9"/>
    <n v="36996.660000000003"/>
    <n v="0"/>
    <n v="0"/>
    <n v="0"/>
    <n v="73993.320000000007"/>
    <n v="0"/>
    <s v="24AAACO3087C1ZT"/>
    <s v="Kgs"/>
    <n v="39269080"/>
    <s v="Rs."/>
    <n v="1"/>
    <n v="2845"/>
    <s v="India"/>
    <x v="1"/>
  </r>
  <r>
    <d v="2026-07-20T00:00:00"/>
    <s v="Plastene India ltd - Unit 1-Purchase"/>
    <s v="R.M.P."/>
    <s v="RM 315"/>
    <s v="Purchase Withinstate - Raw Material"/>
    <s v="pil1/d/1117"/>
    <d v="2026-07-20T00:00:00"/>
    <s v="SF"/>
    <s v="PP/PE Fabric"/>
    <s v="PP UL Fabric"/>
    <s v="PP WOVEN FABRIC"/>
    <s v="PP UL Fabric With UV"/>
    <n v="1919"/>
    <n v="292628.31"/>
    <s v="PP UL Fabric With UV"/>
    <n v="0"/>
    <n v="9"/>
    <n v="26336.55"/>
    <n v="9"/>
    <n v="26336.55"/>
    <n v="0"/>
    <n v="0"/>
    <n v="0"/>
    <n v="52673.1"/>
    <n v="0"/>
    <s v="24AAACO3087C1ZT"/>
    <s v="Kgs"/>
    <n v="39269080"/>
    <s v="Rs."/>
    <n v="1"/>
    <n v="1919"/>
    <s v="India"/>
    <x v="1"/>
  </r>
  <r>
    <d v="2026-07-20T00:00:00"/>
    <s v="Plastene India ltd - Unit 1-Purchase"/>
    <s v="R.M.P."/>
    <s v="RM 315"/>
    <s v="Purchase Withinstate - Raw Material"/>
    <s v="pil1/d/1117"/>
    <d v="2026-07-20T00:00:00"/>
    <s v="SF"/>
    <s v="PP/PE Fabric"/>
    <s v="PP UL Fabric"/>
    <s v="PP WOVEN FABRIC"/>
    <s v="PP UL Fabric With UV"/>
    <n v="3086"/>
    <n v="461326.14"/>
    <s v="PP UL Fabric With UV"/>
    <n v="0"/>
    <n v="9"/>
    <n v="41519.35"/>
    <n v="9"/>
    <n v="41519.35"/>
    <n v="0"/>
    <n v="0"/>
    <n v="0"/>
    <n v="83038.7"/>
    <n v="0"/>
    <s v="24AAACO3087C1ZT"/>
    <s v="Kgs"/>
    <n v="39269080"/>
    <s v="Rs."/>
    <n v="1"/>
    <n v="3086"/>
    <s v="India"/>
    <x v="1"/>
  </r>
  <r>
    <d v="2026-07-20T00:00:00"/>
    <s v="Plastene India ltd - Unit 1-Purchase"/>
    <s v="R.M.P."/>
    <s v="RM 315"/>
    <s v="Purchase Withinstate - Raw Material"/>
    <s v="pil1/d/1117"/>
    <d v="2026-07-20T00:00:00"/>
    <s v="SF"/>
    <s v="PP/PE Fabric"/>
    <s v="PP Lam Fabric"/>
    <s v="PP LAMINETED FABRIC"/>
    <s v="PP Lam Fabric With UV"/>
    <n v="1404"/>
    <n v="212691.96"/>
    <s v="PP Lam Fabric With UV"/>
    <n v="0"/>
    <n v="9"/>
    <n v="19142.28"/>
    <n v="9"/>
    <n v="19142.28"/>
    <n v="0"/>
    <n v="0"/>
    <n v="0"/>
    <n v="38284.559999999998"/>
    <n v="0"/>
    <s v="24AAACO3087C1ZT"/>
    <s v="Kgs"/>
    <n v="63053300"/>
    <s v="Rs."/>
    <n v="1"/>
    <n v="1404"/>
    <s v="India"/>
    <x v="2"/>
  </r>
  <r>
    <d v="2026-07-20T00:00:00"/>
    <s v="Plastene India ltd - Unit 1-Purchase"/>
    <s v="R.M.P."/>
    <s v="RM 316"/>
    <s v="Purchase Withinstate - Raw Material"/>
    <s v="pil1/de/24"/>
    <d v="2026-07-20T00:00:00"/>
    <s v="SF"/>
    <s v="PP/PE Fabric"/>
    <s v="PP UL Fabric"/>
    <s v="PP WOVEN FABRIC"/>
    <s v="PP UL Fabric With UV"/>
    <n v="311"/>
    <n v="122845"/>
    <s v="PP UL Fabric With UV"/>
    <n v="144834.16"/>
    <n v="9"/>
    <n v="11056.05"/>
    <n v="9"/>
    <n v="11056.05"/>
    <n v="0"/>
    <n v="0"/>
    <n v="0"/>
    <n v="22112.1"/>
    <n v="0"/>
    <s v="24AAACO3087C1ZT"/>
    <s v="Kgs"/>
    <n v="39269080"/>
    <s v="Rs."/>
    <n v="1"/>
    <n v="311"/>
    <s v="India"/>
    <x v="1"/>
  </r>
  <r>
    <d v="2026-07-21T00:00:00"/>
    <s v="Ahmedabad Cotton Waste Co."/>
    <s v="General Purchase"/>
    <s v="GNCN 243"/>
    <s v="Purchase Withinstate- Stores, Spares &amp; Consumable"/>
    <n v="829"/>
    <d v="2026-07-21T00:00:00"/>
    <s v="Consumables"/>
    <s v="Housekeeping Material"/>
    <s v="Waste"/>
    <s v="Waste"/>
    <s v="Cotton Waste"/>
    <n v="1000"/>
    <n v="16500"/>
    <s v="Cotton Waste"/>
    <n v="18585"/>
    <n v="2.5"/>
    <n v="412.5"/>
    <n v="2.5"/>
    <n v="412.5"/>
    <n v="0"/>
    <n v="0"/>
    <n v="60"/>
    <n v="885"/>
    <n v="0"/>
    <s v="24AMGPP5900Q1ZN"/>
    <s v="Kgs"/>
    <n v="631090"/>
    <s v="Rs."/>
    <n v="1"/>
    <n v="0"/>
    <s v="India"/>
    <x v="0"/>
  </r>
  <r>
    <d v="2026-07-21T00:00:00"/>
    <s v="AJ Technovations Private Limited"/>
    <s v="General Purchase"/>
    <s v="GNSP 416"/>
    <s v="Purchase Withinstate- Stores, Spares &amp; Consumable"/>
    <s v="TI-202627-451"/>
    <d v="2026-07-21T00:00:00"/>
    <s v="Stores/Spares"/>
    <s v="Compressor Spares"/>
    <s v="Stores &amp; Spares"/>
    <s v="stores &amp;  spares"/>
    <s v="Air Filter Cartridge Kit Part No 4E0301.0"/>
    <n v="1"/>
    <n v="13748"/>
    <s v="Air Filter Cartridge Kit Part No 4E0301.0"/>
    <n v="43284"/>
    <n v="9"/>
    <n v="1237.32"/>
    <n v="9"/>
    <n v="1237.32"/>
    <n v="0"/>
    <n v="0"/>
    <n v="0"/>
    <n v="2474.64"/>
    <n v="0"/>
    <s v="24AAOCA3012D1ZA"/>
    <s v="Pcs"/>
    <n v="39269099"/>
    <s v="Rs."/>
    <n v="1"/>
    <n v="0"/>
    <s v="India"/>
    <x v="0"/>
  </r>
  <r>
    <d v="2026-07-21T00:00:00"/>
    <s v="AJ Technovations Private Limited"/>
    <s v="General Purchase"/>
    <s v="GNSP 416"/>
    <s v="Purchase Withinstate- Stores, Spares &amp; Consumable"/>
    <s v="TI-202627-451"/>
    <d v="2026-07-21T00:00:00"/>
    <s v="Stores/Spares"/>
    <s v="Valves"/>
    <s v="Stores &amp; Spares"/>
    <s v="stores &amp;  spares"/>
    <s v="Maintenance Kit - VC Valve PN-400905.0"/>
    <n v="1"/>
    <n v="2448"/>
    <s v="Maintenance Kit - VC Valve PN-400905.0"/>
    <n v="0"/>
    <n v="9"/>
    <n v="220.32"/>
    <n v="9"/>
    <n v="220.32"/>
    <n v="0"/>
    <n v="0"/>
    <n v="0"/>
    <n v="440.64"/>
    <n v="0"/>
    <s v="24AAOCA3012D1ZA"/>
    <s v="Pcs"/>
    <n v="90309010"/>
    <s v="Rs."/>
    <n v="1"/>
    <n v="0"/>
    <s v="India"/>
    <x v="0"/>
  </r>
  <r>
    <d v="2026-07-21T00:00:00"/>
    <s v="AJ Technovations Private Limited"/>
    <s v="General Purchase"/>
    <s v="GNSP 416"/>
    <s v="Purchase Withinstate- Stores, Spares &amp; Consumable"/>
    <s v="TI-202627-451"/>
    <d v="2026-07-21T00:00:00"/>
    <s v="Consumables"/>
    <s v="Oil Filter"/>
    <s v="Stores &amp; Spares"/>
    <s v="stores &amp;  spares"/>
    <s v="Oil Filter Part No. 6.4493.0 (Csd 85)"/>
    <n v="1"/>
    <n v="9952"/>
    <s v="Oil Filter Part No. 6.4493.0 (Csd 85)"/>
    <n v="0"/>
    <n v="9"/>
    <n v="895.68"/>
    <n v="9"/>
    <n v="895.68"/>
    <n v="0"/>
    <n v="0"/>
    <n v="0"/>
    <n v="1791.36"/>
    <n v="0"/>
    <s v="24AAOCA3012D1ZA"/>
    <s v="Pcs"/>
    <n v="39269099"/>
    <s v="Rs."/>
    <n v="1"/>
    <n v="0"/>
    <s v="India"/>
    <x v="0"/>
  </r>
  <r>
    <d v="2026-07-21T00:00:00"/>
    <s v="AJ Technovations Private Limited"/>
    <s v="General Purchase"/>
    <s v="GNSP 416"/>
    <s v="Purchase Withinstate- Stores, Spares &amp; Consumable"/>
    <s v="TI-202627-451"/>
    <d v="2026-07-21T00:00:00"/>
    <s v="Stores/Spares"/>
    <s v="utility"/>
    <s v="Stores &amp; Spares"/>
    <s v="stores &amp;  spares"/>
    <s v="Filter Mat Part No.- 7.4519.0  For,Asd 50"/>
    <n v="2"/>
    <n v="1172"/>
    <s v="Filter Mat Part No.- 7.4519.0  For,Asd 50"/>
    <n v="0"/>
    <n v="9"/>
    <n v="105.48"/>
    <n v="9"/>
    <n v="105.48"/>
    <n v="0"/>
    <n v="0"/>
    <n v="0"/>
    <n v="210.96"/>
    <n v="0"/>
    <s v="24AAOCA3012D1ZA"/>
    <s v="Pcs"/>
    <n v="39269099"/>
    <s v="Rs."/>
    <n v="1"/>
    <n v="0"/>
    <s v="India"/>
    <x v="0"/>
  </r>
  <r>
    <d v="2026-07-21T00:00:00"/>
    <s v="AJ Technovations Private Limited"/>
    <s v="General Purchase"/>
    <s v="GNSP 416"/>
    <s v="Purchase Withinstate- Stores, Spares &amp; Consumable"/>
    <s v="TI-202627-451"/>
    <d v="2026-07-21T00:00:00"/>
    <s v="Stores/Spares"/>
    <s v="Compressor Spares"/>
    <s v="Stores &amp; Spares"/>
    <s v="stores &amp;  spares"/>
    <s v="Hose Line Of Air Compressor Ask 27  , Part No. 8.2372.1"/>
    <n v="1"/>
    <n v="6351"/>
    <s v="Hose Line Of Air Compressor Ask 27  , Part No. 8.2372.1"/>
    <n v="0"/>
    <n v="9"/>
    <n v="842.49"/>
    <n v="9"/>
    <n v="842.49"/>
    <n v="0"/>
    <n v="0"/>
    <n v="0"/>
    <n v="1684.98"/>
    <n v="0"/>
    <s v="24AAOCA3012D1ZA"/>
    <s v="Pcs"/>
    <n v="40094200"/>
    <s v="Rs."/>
    <n v="1"/>
    <n v="0"/>
    <s v="India"/>
    <x v="0"/>
  </r>
  <r>
    <d v="2026-07-21T00:00:00"/>
    <s v="Ajanta Chemicals"/>
    <s v="General Purchase"/>
    <s v="GNCN 241"/>
    <s v="Purchase Withinstate- Stores, Spares &amp; Consumable"/>
    <s v="2026-27/3117"/>
    <d v="2026-07-17T00:00:00"/>
    <s v="Consumables"/>
    <s v="Consumables"/>
    <s v="Stores &amp; Spares"/>
    <s v="Consumables"/>
    <s v="Benzene (B16) Liquid Chemical For Berrel Cleaning For Mfi Tester"/>
    <n v="1"/>
    <n v="200"/>
    <s v="Benzene (B16) Liquid Chemical For Berrel Cleaning For Mfi Tester"/>
    <n v="472"/>
    <n v="9"/>
    <n v="18"/>
    <n v="9"/>
    <n v="18"/>
    <n v="0"/>
    <n v="0"/>
    <n v="0"/>
    <n v="36"/>
    <n v="0"/>
    <s v="24AAWPD8861A1ZN"/>
    <s v="Pcs"/>
    <n v="29022000"/>
    <s v="Rs."/>
    <n v="1"/>
    <n v="0"/>
    <s v="India"/>
    <x v="0"/>
  </r>
  <r>
    <d v="2026-07-21T00:00:00"/>
    <s v="Ajanta Chemicals"/>
    <s v="General Purchase"/>
    <s v="GNCN 241"/>
    <s v="Purchase Withinstate- Stores, Spares &amp; Consumable"/>
    <s v="2026-27/3117"/>
    <d v="2026-07-17T00:00:00"/>
    <s v="Consumables"/>
    <s v="Consumables"/>
    <s v="Stores &amp; Spares"/>
    <s v="Consumables"/>
    <s v="Benzene (B16) Liquid Chemical For Berrel Cleaning For Mfi Tester"/>
    <n v="1"/>
    <n v="200"/>
    <s v="Benzene (B16) Liquid Chemical For Berrel Cleaning For Mfi Tester"/>
    <n v="0"/>
    <n v="9"/>
    <n v="18"/>
    <n v="9"/>
    <n v="18"/>
    <n v="0"/>
    <n v="0"/>
    <n v="0"/>
    <n v="36"/>
    <n v="0"/>
    <s v="24AAWPD8861A1ZN"/>
    <s v="Pcs"/>
    <n v="29022000"/>
    <s v="Rs."/>
    <n v="1"/>
    <n v="0"/>
    <s v="India"/>
    <x v="0"/>
  </r>
  <r>
    <d v="2026-07-21T00:00:00"/>
    <s v="Akshara Graphics - Purchase"/>
    <s v="General Purchase"/>
    <s v="GNCN 240"/>
    <s v="Purchase Interstate- Stores, Spares &amp; Consumable"/>
    <s v="26-27/AG/100"/>
    <d v="2026-07-14T00:00:00"/>
    <s v="RM Consumables"/>
    <s v="FIBC Accessories"/>
    <s v="FIBC Accessories"/>
    <s v="Consumables"/>
    <s v="Tyvek Labels (Pcs)"/>
    <n v="1310"/>
    <n v="2096"/>
    <s v="Tyvek Labels (Pcs)"/>
    <n v="92446"/>
    <n v="9"/>
    <n v="0"/>
    <n v="9"/>
    <n v="0"/>
    <n v="0"/>
    <n v="377.28"/>
    <n v="0"/>
    <n v="377.28"/>
    <n v="0"/>
    <s v="23BTLPS7416R1ZT"/>
    <s v="Pcs"/>
    <n v="58079010"/>
    <s v="Rs."/>
    <n v="1"/>
    <n v="1.9"/>
    <s v="India"/>
    <x v="0"/>
  </r>
  <r>
    <d v="2026-07-21T00:00:00"/>
    <s v="Akshara Graphics - Purchase"/>
    <s v="General Purchase"/>
    <s v="GNCN 240"/>
    <s v="Purchase Interstate- Stores, Spares &amp; Consumable"/>
    <s v="26-27/AG/100"/>
    <d v="2026-07-14T00:00:00"/>
    <s v="RM Consumables"/>
    <s v="FIBC Accessories"/>
    <s v="FIBC Accessories"/>
    <s v="Consumables"/>
    <s v="Tyvek Labels (Pcs)"/>
    <n v="1310"/>
    <n v="3406"/>
    <s v="Tyvek Labels (Pcs)"/>
    <n v="0"/>
    <n v="9"/>
    <n v="0"/>
    <n v="9"/>
    <n v="0"/>
    <n v="0"/>
    <n v="613.08000000000004"/>
    <n v="0"/>
    <n v="613.08000000000004"/>
    <n v="0"/>
    <s v="23BTLPS7416R1ZT"/>
    <s v="Pcs"/>
    <n v="58079010"/>
    <s v="Rs."/>
    <n v="1"/>
    <n v="1.9"/>
    <s v="India"/>
    <x v="0"/>
  </r>
  <r>
    <d v="2026-07-21T00:00:00"/>
    <s v="Akshara Graphics - Purchase"/>
    <s v="General Purchase"/>
    <s v="GNCN 240"/>
    <s v="Purchase Interstate- Stores, Spares &amp; Consumable"/>
    <s v="26-27/AG/100"/>
    <d v="2026-07-14T00:00:00"/>
    <s v="RM Consumables"/>
    <s v="FIBC Accessories"/>
    <s v="FIBC Accessories"/>
    <s v="Consumables"/>
    <s v="Tyvek Labels (Pcs)"/>
    <n v="12600"/>
    <n v="54180"/>
    <s v="Tyvek Labels (Pcs)"/>
    <n v="0"/>
    <n v="9"/>
    <n v="0"/>
    <n v="9"/>
    <n v="0"/>
    <n v="0"/>
    <n v="9752.4"/>
    <n v="0"/>
    <n v="9752.4"/>
    <n v="0"/>
    <s v="23BTLPS7416R1ZT"/>
    <s v="Pcs"/>
    <n v="58079010"/>
    <s v="Rs."/>
    <n v="1"/>
    <n v="18.899999999999999"/>
    <s v="India"/>
    <x v="0"/>
  </r>
  <r>
    <d v="2026-07-21T00:00:00"/>
    <s v="Akshara Graphics - Purchase"/>
    <s v="General Purchase"/>
    <s v="GNCN 240"/>
    <s v="Purchase Interstate- Stores, Spares &amp; Consumable"/>
    <s v="26-27/AG/100"/>
    <d v="2026-07-14T00:00:00"/>
    <s v="RM Consumables"/>
    <s v="FIBC Accessories"/>
    <s v="FIBC Accessories"/>
    <s v="Consumables"/>
    <s v="Tyvek Labels (Pcs)"/>
    <n v="2370"/>
    <n v="10191"/>
    <s v="Tyvek Labels (Pcs)"/>
    <n v="0"/>
    <n v="9"/>
    <n v="0"/>
    <n v="9"/>
    <n v="0"/>
    <n v="0"/>
    <n v="1834.38"/>
    <n v="0"/>
    <n v="1834.38"/>
    <n v="0"/>
    <s v="23BTLPS7416R1ZT"/>
    <s v="Pcs"/>
    <n v="58079010"/>
    <s v="Rs."/>
    <n v="1"/>
    <n v="3.5"/>
    <s v="India"/>
    <x v="0"/>
  </r>
  <r>
    <d v="2026-07-21T00:00:00"/>
    <s v="Akshara Graphics - Purchase"/>
    <s v="General Purchase"/>
    <s v="GNCN 240"/>
    <s v="Purchase Interstate- Stores, Spares &amp; Consumable"/>
    <s v="26-27/AG/100"/>
    <d v="2026-07-14T00:00:00"/>
    <s v="RM Consumables"/>
    <s v="FIBC Accessories"/>
    <s v="FIBC Accessories"/>
    <s v="Consumables"/>
    <s v="Tyvek Labels (Pcs)"/>
    <n v="1970"/>
    <n v="8471"/>
    <s v="Tyvek Labels (Pcs)"/>
    <n v="0"/>
    <n v="9"/>
    <n v="0"/>
    <n v="9"/>
    <n v="0"/>
    <n v="0"/>
    <n v="1524.78"/>
    <n v="0"/>
    <n v="1524.78"/>
    <n v="0"/>
    <s v="23BTLPS7416R1ZT"/>
    <s v="Pcs"/>
    <n v="58079010"/>
    <s v="Rs."/>
    <n v="1"/>
    <n v="2.9"/>
    <s v="India"/>
    <x v="0"/>
  </r>
  <r>
    <d v="2026-07-21T00:00:00"/>
    <s v="Bhumi Hardware &amp; Electricals"/>
    <s v="General Purchase"/>
    <s v="GNSP 414"/>
    <s v="Purchase Withinstate- Stores, Spares &amp; Consumable"/>
    <n v="2663"/>
    <d v="2026-07-19T00:00:00"/>
    <s v="Printing &amp; Stationery"/>
    <s v="Stationery Items"/>
    <s v="Stores &amp; Spares"/>
    <s v="stores &amp;  spares"/>
    <s v="Clip Steel"/>
    <n v="5"/>
    <n v="125"/>
    <s v="Clip Steel"/>
    <n v="1108"/>
    <n v="9"/>
    <n v="11.25"/>
    <n v="9"/>
    <n v="11.25"/>
    <n v="0"/>
    <n v="0"/>
    <n v="0"/>
    <n v="22.5"/>
    <n v="0"/>
    <s v="24ASGPC4647K1ZQ"/>
    <s v="Pcs"/>
    <n v="96039000"/>
    <s v="Rs."/>
    <n v="1"/>
    <n v="0"/>
    <s v="India"/>
    <x v="0"/>
  </r>
  <r>
    <d v="2026-07-21T00:00:00"/>
    <s v="Bhumi Hardware &amp; Electricals"/>
    <s v="General Purchase"/>
    <s v="GNSP 414"/>
    <s v="Purchase Withinstate- Stores, Spares &amp; Consumable"/>
    <n v="2663"/>
    <d v="2026-07-19T00:00:00"/>
    <s v="Stores/Spares"/>
    <s v="Hardware Items"/>
    <s v="Stores &amp; Spares"/>
    <s v="stores &amp;  spares"/>
    <s v="Lock 60mm"/>
    <n v="1"/>
    <n v="114"/>
    <s v="Lock 60mm"/>
    <n v="0"/>
    <n v="9"/>
    <n v="10.26"/>
    <n v="9"/>
    <n v="10.26"/>
    <n v="0"/>
    <n v="0"/>
    <n v="0"/>
    <n v="20.52"/>
    <n v="0"/>
    <s v="24ASGPC4647K1ZQ"/>
    <s v="Pcs"/>
    <n v="8302411"/>
    <s v="Rs."/>
    <n v="1"/>
    <n v="0"/>
    <s v="India"/>
    <x v="0"/>
  </r>
  <r>
    <d v="2026-07-21T00:00:00"/>
    <s v="Bhumi Hardware &amp; Electricals"/>
    <s v="General Purchase"/>
    <s v="GNSP 414"/>
    <s v="Purchase Withinstate- Stores, Spares &amp; Consumable"/>
    <n v="2663"/>
    <d v="2026-07-19T00:00:00"/>
    <s v="Stores/Spares"/>
    <s v="Hardware Items"/>
    <s v="Stores &amp; Spares"/>
    <s v="stores &amp;  spares"/>
    <s v="Pvc Single Nail Clamp 25 MM"/>
    <n v="5"/>
    <n v="700"/>
    <s v="Pvc Single Nail Clamp 25 MM"/>
    <n v="0"/>
    <n v="9"/>
    <n v="63"/>
    <n v="9"/>
    <n v="63"/>
    <n v="0"/>
    <n v="0"/>
    <n v="0"/>
    <n v="126"/>
    <n v="0"/>
    <s v="24ASGPC4647K1ZQ"/>
    <s v="Pcs"/>
    <n v="391740"/>
    <s v="Rs."/>
    <n v="1"/>
    <n v="0"/>
    <s v="India"/>
    <x v="0"/>
  </r>
  <r>
    <d v="2026-07-21T00:00:00"/>
    <s v="Bhumi Hardware &amp; Electricals"/>
    <s v="General Purchase"/>
    <s v="GNSP 415"/>
    <s v="Purchase Withinstate- Stores, Spares &amp; Consumable"/>
    <n v="2666"/>
    <d v="2026-07-19T00:00:00"/>
    <s v="Stores/Spares"/>
    <s v="Hardware Items"/>
    <s v="Stores &amp; Spares"/>
    <s v="stores &amp;  spares"/>
    <s v="Lock 60mm"/>
    <n v="5"/>
    <n v="400"/>
    <s v="Lock 60mm"/>
    <n v="699"/>
    <n v="9"/>
    <n v="36"/>
    <n v="9"/>
    <n v="36"/>
    <n v="0"/>
    <n v="0"/>
    <n v="0"/>
    <n v="72"/>
    <n v="0"/>
    <s v="24ASGPC4647K1ZQ"/>
    <s v="Pcs"/>
    <n v="8302411"/>
    <s v="Rs."/>
    <n v="1"/>
    <n v="0"/>
    <s v="India"/>
    <x v="0"/>
  </r>
  <r>
    <d v="2026-07-21T00:00:00"/>
    <s v="Bhumi Hardware &amp; Electricals"/>
    <s v="General Purchase"/>
    <s v="GNSP 415"/>
    <s v="Purchase Withinstate- Stores, Spares &amp; Consumable"/>
    <n v="2666"/>
    <d v="2026-07-19T00:00:00"/>
    <s v="Stores/Spares"/>
    <s v="Hardware Items"/>
    <s v="Stores &amp; Spares"/>
    <s v="stores &amp;  spares"/>
    <s v="Gi Wire 14 Gauge"/>
    <n v="1.6"/>
    <n v="192"/>
    <s v="Gi Wire 14 Gauge"/>
    <n v="0"/>
    <n v="9"/>
    <n v="17.28"/>
    <n v="9"/>
    <n v="17.28"/>
    <n v="0"/>
    <n v="0"/>
    <n v="0"/>
    <n v="34.56"/>
    <n v="0"/>
    <s v="24ASGPC4647K1ZQ"/>
    <s v="Kgs"/>
    <n v="731210"/>
    <s v="Rs."/>
    <n v="1"/>
    <n v="0"/>
    <s v="India"/>
    <x v="0"/>
  </r>
  <r>
    <d v="2026-07-21T00:00:00"/>
    <s v="Excel Office Solution"/>
    <s v="General Purchase"/>
    <s v="GNMS 17"/>
    <s v="Purchase Withinstate- Stores, Spares &amp; Consumable"/>
    <s v="26-27/0311"/>
    <d v="2026-07-16T00:00:00"/>
    <s v="Stores/Spares"/>
    <s v="Cutter Blades"/>
    <s v="Stores &amp; Spares"/>
    <s v="Consumables"/>
    <s v="Cutter Lifter"/>
    <n v="100"/>
    <n v="3000"/>
    <s v="Cutter Lifter"/>
    <n v="33643"/>
    <n v="9"/>
    <n v="270"/>
    <n v="9"/>
    <n v="270"/>
    <n v="0"/>
    <n v="0"/>
    <n v="0"/>
    <n v="540"/>
    <n v="0"/>
    <s v="24AMFPC3014K1ZK"/>
    <s v="Pcs"/>
    <n v="820770"/>
    <s v="Rs."/>
    <n v="1"/>
    <n v="0"/>
    <s v="India"/>
    <x v="0"/>
  </r>
  <r>
    <d v="2026-07-21T00:00:00"/>
    <s v="Excel Office Solution"/>
    <s v="General Purchase"/>
    <s v="GNMS 17"/>
    <s v="Purchase Withinstate- Stores, Spares &amp; Consumable"/>
    <s v="26-27/0311"/>
    <d v="2026-07-16T00:00:00"/>
    <s v="Printing &amp; Stationery"/>
    <s v="Stationery Items"/>
    <s v="Stores &amp; Spares"/>
    <s v="Consumables"/>
    <s v="Pencil"/>
    <n v="100"/>
    <n v="320"/>
    <s v="Pencil"/>
    <n v="0"/>
    <n v="0"/>
    <n v="4.5"/>
    <n v="0"/>
    <n v="4.5"/>
    <n v="0"/>
    <n v="0"/>
    <n v="0"/>
    <n v="9"/>
    <n v="0"/>
    <s v="24AMFPC3014K1ZK"/>
    <s v="Pcs"/>
    <n v="84522100"/>
    <s v="Rs."/>
    <n v="1"/>
    <n v="0"/>
    <s v="India"/>
    <x v="0"/>
  </r>
  <r>
    <d v="2026-07-21T00:00:00"/>
    <s v="Excel Office Solution"/>
    <s v="General Purchase"/>
    <s v="GNMS 17"/>
    <s v="Purchase Withinstate- Stores, Spares &amp; Consumable"/>
    <s v="26-27/0311"/>
    <d v="2026-07-16T00:00:00"/>
    <s v="Stores/Spares"/>
    <s v="other Spares"/>
    <s v="Stores &amp; Spares"/>
    <s v="Consumables"/>
    <s v="Plastic Folder (U Type)"/>
    <n v="100"/>
    <n v="250"/>
    <s v="Plastic Folder (U Type)"/>
    <n v="0"/>
    <n v="9"/>
    <n v="22.5"/>
    <n v="9"/>
    <n v="22.5"/>
    <n v="0"/>
    <n v="0"/>
    <n v="0"/>
    <n v="45"/>
    <n v="0"/>
    <s v="24AMFPC3014K1ZK"/>
    <s v="Pcs"/>
    <n v="392610"/>
    <s v="Rs."/>
    <n v="1"/>
    <n v="0"/>
    <s v="India"/>
    <x v="0"/>
  </r>
  <r>
    <d v="2026-07-21T00:00:00"/>
    <s v="Excel Office Solution"/>
    <s v="General Purchase"/>
    <s v="GNMS 17"/>
    <s v="Purchase Withinstate- Stores, Spares &amp; Consumable"/>
    <s v="26-27/0311"/>
    <d v="2026-07-16T00:00:00"/>
    <s v="Printing &amp; Stationery"/>
    <s v="Stationery Items"/>
    <s v="Stores &amp; Spares"/>
    <s v="Consumables"/>
    <s v="Whitener Pen"/>
    <n v="20"/>
    <n v="300"/>
    <s v="Whitener Pen"/>
    <n v="0"/>
    <n v="9"/>
    <n v="27"/>
    <n v="9"/>
    <n v="27"/>
    <n v="0"/>
    <n v="0"/>
    <n v="0"/>
    <n v="54"/>
    <n v="0"/>
    <s v="24AMFPC3014K1ZK"/>
    <s v="Pcs"/>
    <n v="96089990"/>
    <s v="Rs."/>
    <n v="1"/>
    <n v="0"/>
    <s v="India"/>
    <x v="0"/>
  </r>
  <r>
    <d v="2026-07-21T00:00:00"/>
    <s v="Excel Office Solution"/>
    <s v="General Purchase"/>
    <s v="GNMS 17"/>
    <s v="Purchase Withinstate- Stores, Spares &amp; Consumable"/>
    <s v="26-27/0311"/>
    <d v="2026-07-16T00:00:00"/>
    <s v="Consumables"/>
    <s v="Consumables"/>
    <s v="Stores &amp; Spares"/>
    <s v="Consumables"/>
    <s v="Marker Pen CD/DVD/OHP"/>
    <n v="200"/>
    <n v="1300"/>
    <s v="Marker Pen CD/DVD/OHP"/>
    <n v="0"/>
    <n v="9"/>
    <n v="117"/>
    <n v="9"/>
    <n v="117"/>
    <n v="0"/>
    <n v="0"/>
    <n v="0"/>
    <n v="234"/>
    <n v="0"/>
    <s v="24AMFPC3014K1ZK"/>
    <s v="Pcs"/>
    <n v="96082000"/>
    <s v="Rs."/>
    <n v="1"/>
    <n v="0"/>
    <s v="India"/>
    <x v="0"/>
  </r>
  <r>
    <d v="2026-07-21T00:00:00"/>
    <s v="Excel Office Solution"/>
    <s v="General Purchase"/>
    <s v="GNMS 17"/>
    <s v="Purchase Withinstate- Stores, Spares &amp; Consumable"/>
    <s v="26-27/0311"/>
    <d v="2026-07-16T00:00:00"/>
    <s v="Stores/Spares"/>
    <s v="Cutter Blades"/>
    <s v="Stores &amp; Spares"/>
    <s v="Consumables"/>
    <s v="Alfa Blade"/>
    <n v="500"/>
    <n v="1200"/>
    <s v="Alfa Blade"/>
    <n v="0"/>
    <n v="9"/>
    <n v="108"/>
    <n v="9"/>
    <n v="108"/>
    <n v="0"/>
    <n v="0"/>
    <n v="0"/>
    <n v="216"/>
    <n v="0"/>
    <s v="24AMFPC3014K1ZK"/>
    <s v="Pcs"/>
    <n v="82121010"/>
    <s v="Rs."/>
    <n v="1"/>
    <n v="0"/>
    <s v="India"/>
    <x v="0"/>
  </r>
  <r>
    <d v="2026-07-21T00:00:00"/>
    <s v="Excel Office Solution"/>
    <s v="General Purchase"/>
    <s v="GNMS 17"/>
    <s v="Purchase Withinstate- Stores, Spares &amp; Consumable"/>
    <s v="26-27/0311"/>
    <d v="2026-07-16T00:00:00"/>
    <s v="Printing &amp; Stationery"/>
    <s v="Stationery Items"/>
    <s v="Stores &amp; Spares"/>
    <s v="Consumables"/>
    <s v="Box File Big"/>
    <n v="80"/>
    <n v="3600"/>
    <s v="Box File Big"/>
    <n v="0"/>
    <n v="9"/>
    <n v="324"/>
    <n v="9"/>
    <n v="324"/>
    <n v="0"/>
    <n v="0"/>
    <n v="0"/>
    <n v="648"/>
    <n v="0"/>
    <s v="24AMFPC3014K1ZK"/>
    <s v="Pcs"/>
    <n v="48196000"/>
    <s v="Rs."/>
    <n v="1"/>
    <n v="0"/>
    <s v="India"/>
    <x v="0"/>
  </r>
  <r>
    <d v="2026-07-21T00:00:00"/>
    <s v="Excel Office Solution"/>
    <s v="General Purchase"/>
    <s v="GNMS 17"/>
    <s v="Purchase Withinstate- Stores, Spares &amp; Consumable"/>
    <s v="26-27/0311"/>
    <d v="2026-07-16T00:00:00"/>
    <s v="Printing &amp; Stationery"/>
    <s v="Stationery Items"/>
    <s v="Stores &amp; Spares"/>
    <s v="Consumables"/>
    <s v="Permanent Marker Ink 500mls"/>
    <n v="20"/>
    <n v="5500"/>
    <s v="Permanent Marker Ink 500mls"/>
    <n v="0"/>
    <n v="9"/>
    <n v="495"/>
    <n v="9"/>
    <n v="495"/>
    <n v="0"/>
    <n v="0"/>
    <n v="0"/>
    <n v="990"/>
    <n v="0"/>
    <s v="24AMFPC3014K1ZK"/>
    <s v="Pcs"/>
    <n v="32151110"/>
    <s v="Rs."/>
    <n v="1"/>
    <n v="0"/>
    <s v="India"/>
    <x v="0"/>
  </r>
  <r>
    <d v="2026-07-21T00:00:00"/>
    <s v="Excel Office Solution"/>
    <s v="General Purchase"/>
    <s v="GNMS 17"/>
    <s v="Purchase Withinstate- Stores, Spares &amp; Consumable"/>
    <s v="26-27/0311"/>
    <d v="2026-07-16T00:00:00"/>
    <s v="Printing &amp; Stationery"/>
    <s v="Stationery Items"/>
    <s v="Stores &amp; Spares"/>
    <s v="Consumables"/>
    <s v="Spring File"/>
    <n v="80"/>
    <n v="880"/>
    <s v="Spring File"/>
    <n v="0"/>
    <n v="9"/>
    <n v="79.2"/>
    <n v="9"/>
    <n v="79.2"/>
    <n v="0"/>
    <n v="0"/>
    <n v="0"/>
    <n v="158.4"/>
    <n v="0"/>
    <s v="24AMFPC3014K1ZK"/>
    <s v="Pcs"/>
    <n v="48203000"/>
    <s v="Rs."/>
    <n v="1"/>
    <n v="0"/>
    <s v="India"/>
    <x v="0"/>
  </r>
  <r>
    <d v="2026-07-21T00:00:00"/>
    <s v="Excel Office Solution"/>
    <s v="General Purchase"/>
    <s v="GNMS 17"/>
    <s v="Purchase Withinstate- Stores, Spares &amp; Consumable"/>
    <s v="26-27/0311"/>
    <d v="2026-07-16T00:00:00"/>
    <s v="Printing &amp; Stationery"/>
    <s v="Stationery Items"/>
    <s v="Stores &amp; Spares"/>
    <s v="Consumables"/>
    <s v="Xerox Paper A/4"/>
    <n v="50"/>
    <n v="8750"/>
    <s v="Xerox Paper A/4"/>
    <n v="0"/>
    <n v="9"/>
    <n v="787.5"/>
    <n v="9"/>
    <n v="787.5"/>
    <n v="0"/>
    <n v="0"/>
    <n v="0"/>
    <n v="1575"/>
    <n v="0"/>
    <s v="24AMFPC3014K1ZK"/>
    <s v="Pkt"/>
    <n v="480256"/>
    <s v="Rs."/>
    <n v="1"/>
    <n v="0"/>
    <s v="India"/>
    <x v="0"/>
  </r>
  <r>
    <d v="2026-07-21T00:00:00"/>
    <s v="Excel Office Solution"/>
    <s v="General Purchase"/>
    <s v="GNMS 17"/>
    <s v="Purchase Withinstate- Stores, Spares &amp; Consumable"/>
    <s v="26-27/0311"/>
    <d v="2026-07-16T00:00:00"/>
    <s v="Printing &amp; Stationery"/>
    <s v="Stationery Items"/>
    <s v="Stores &amp; Spares"/>
    <s v="Consumables"/>
    <s v="High Lighter Yellow"/>
    <n v="20"/>
    <n v="310"/>
    <s v="High Lighter Yellow"/>
    <n v="0"/>
    <n v="9"/>
    <n v="27.9"/>
    <n v="9"/>
    <n v="27.9"/>
    <n v="0"/>
    <n v="0"/>
    <n v="0"/>
    <n v="55.8"/>
    <n v="0"/>
    <s v="24AMFPC3014K1ZK"/>
    <s v="Pcs"/>
    <n v="96089990"/>
    <s v="Rs."/>
    <n v="1"/>
    <n v="0"/>
    <s v="India"/>
    <x v="0"/>
  </r>
  <r>
    <d v="2026-07-21T00:00:00"/>
    <s v="Excel Office Solution"/>
    <s v="General Purchase"/>
    <s v="GNMS 17"/>
    <s v="Purchase Withinstate- Stores, Spares &amp; Consumable"/>
    <s v="26-27/0311"/>
    <d v="2026-07-16T00:00:00"/>
    <s v="Printing &amp; Stationery"/>
    <s v="Stationery Items"/>
    <s v="Stores &amp; Spares"/>
    <s v="Consumables"/>
    <s v="Ball Pen"/>
    <n v="500"/>
    <n v="1400"/>
    <s v="Ball Pen"/>
    <n v="0"/>
    <n v="9"/>
    <n v="126"/>
    <n v="9"/>
    <n v="126"/>
    <n v="0"/>
    <n v="0"/>
    <n v="0"/>
    <n v="252"/>
    <n v="0"/>
    <s v="24AMFPC3014K1ZK"/>
    <s v="Pcs"/>
    <n v="960810"/>
    <s v="Rs."/>
    <n v="1"/>
    <n v="0"/>
    <s v="India"/>
    <x v="0"/>
  </r>
  <r>
    <d v="2026-07-21T00:00:00"/>
    <s v="Excel Office Solution"/>
    <s v="General Purchase"/>
    <s v="GNMS 17"/>
    <s v="Purchase Withinstate- Stores, Spares &amp; Consumable"/>
    <s v="26-27/0311"/>
    <d v="2026-07-16T00:00:00"/>
    <s v="Printing &amp; Stationery"/>
    <s v="Stationery Items"/>
    <s v="Stores &amp; Spares"/>
    <s v="Consumables"/>
    <s v="Permanent Marker Pen"/>
    <n v="200"/>
    <n v="1700"/>
    <s v="Permanent Marker Pen"/>
    <n v="0"/>
    <n v="9"/>
    <n v="153"/>
    <n v="9"/>
    <n v="153"/>
    <n v="0"/>
    <n v="0"/>
    <n v="0"/>
    <n v="306"/>
    <n v="0"/>
    <s v="24AMFPC3014K1ZK"/>
    <s v="Pcs"/>
    <n v="96082000"/>
    <s v="Rs."/>
    <n v="1"/>
    <n v="0"/>
    <s v="India"/>
    <x v="0"/>
  </r>
  <r>
    <d v="2026-07-21T00:00:00"/>
    <s v="Galaxy Enterprise"/>
    <s v="General Purchase"/>
    <s v="GNCN 244"/>
    <s v="Purchase Withinstate- Stores, Spares &amp; Consumable"/>
    <s v="GE-179"/>
    <d v="2026-07-07T00:00:00"/>
    <s v="RM Consumables"/>
    <s v="FIBC Accessories"/>
    <s v="Stores &amp; Spares"/>
    <s v="Consumables"/>
    <s v="Ear B-Lock Natural Colour"/>
    <n v="8000"/>
    <n v="21600"/>
    <s v="Ear B-Lock Natural Colour"/>
    <n v="27199"/>
    <n v="9"/>
    <n v="1944"/>
    <n v="9"/>
    <n v="1944"/>
    <n v="0"/>
    <n v="0"/>
    <n v="261"/>
    <n v="4149"/>
    <n v="0"/>
    <s v="24AAVFG3033A1ZS"/>
    <s v="Pcs"/>
    <n v="39235090"/>
    <s v="Rs."/>
    <n v="1"/>
    <n v="120"/>
    <s v="India"/>
    <x v="0"/>
  </r>
  <r>
    <d v="2026-07-21T00:00:00"/>
    <s v="Pavan Electricals And Hardware"/>
    <s v="General Purchase"/>
    <s v="GNSP 413"/>
    <s v="Purchase Withinstate- Stores, Spares &amp; Consumable"/>
    <s v="GI/1341"/>
    <d v="2026-07-18T00:00:00"/>
    <s v="Capex"/>
    <s v="building Material"/>
    <s v="PEB Material"/>
    <s v="stores &amp;  spares"/>
    <s v="Corner Flashing"/>
    <n v="2"/>
    <n v="1900"/>
    <s v="Corner Flashing"/>
    <n v="2585"/>
    <n v="9"/>
    <n v="171"/>
    <n v="9"/>
    <n v="171"/>
    <n v="0"/>
    <n v="0"/>
    <n v="0"/>
    <n v="342"/>
    <n v="0"/>
    <s v="24BTTPR5056A1ZJ"/>
    <s v="RMT"/>
    <n v="73089090"/>
    <s v="Rs."/>
    <n v="1"/>
    <n v="0"/>
    <s v="India"/>
    <x v="0"/>
  </r>
  <r>
    <d v="2026-07-21T00:00:00"/>
    <s v="Pavan Electricals And Hardware"/>
    <s v="General Purchase"/>
    <s v="GNSP 413"/>
    <s v="Purchase Withinstate- Stores, Spares &amp; Consumable"/>
    <s v="GI/1341"/>
    <d v="2026-07-18T00:00:00"/>
    <s v="Stores/Spares"/>
    <s v="Hardware Items"/>
    <s v="Stores &amp; Spares"/>
    <s v="stores &amp;  spares"/>
    <s v="Hex Bolt 12X60 mm Full Thread"/>
    <n v="12"/>
    <n v="240.9"/>
    <s v="Hex Bolt 12X60 mm Full Thread"/>
    <n v="0"/>
    <n v="9"/>
    <n v="21.68"/>
    <n v="9"/>
    <n v="21.68"/>
    <n v="0"/>
    <n v="0"/>
    <n v="0"/>
    <n v="43.36"/>
    <n v="0"/>
    <s v="24BTTPR5056A1ZJ"/>
    <s v="Pcs"/>
    <n v="84821011"/>
    <s v="Rs."/>
    <n v="1"/>
    <n v="0"/>
    <s v="India"/>
    <x v="0"/>
  </r>
  <r>
    <d v="2026-07-21T00:00:00"/>
    <s v="Pavan Electricals And Hardware"/>
    <s v="General Purchase"/>
    <s v="GNSP 413"/>
    <s v="Purchase Withinstate- Stores, Spares &amp; Consumable"/>
    <s v="GI/1341"/>
    <d v="2026-07-18T00:00:00"/>
    <s v="Stores/Spares"/>
    <s v="Hardware Items"/>
    <s v="Stores &amp; Spares"/>
    <s v="stores &amp;  spares"/>
    <s v="Hex Nut 12 mm"/>
    <n v="12"/>
    <n v="49.68"/>
    <s v="Hex Nut 12 mm"/>
    <n v="0"/>
    <n v="9"/>
    <n v="4.47"/>
    <n v="9"/>
    <n v="4.47"/>
    <n v="0"/>
    <n v="0"/>
    <n v="0"/>
    <n v="8.94"/>
    <n v="0"/>
    <s v="24BTTPR5056A1ZJ"/>
    <s v="Pcs"/>
    <n v="73181500"/>
    <s v="Rs."/>
    <n v="1"/>
    <n v="0"/>
    <s v="India"/>
    <x v="0"/>
  </r>
  <r>
    <d v="2026-07-21T00:00:00"/>
    <s v="Plastene India ltd - Unit 1-Purchase"/>
    <s v="Purchase"/>
    <s v="GNPK 154"/>
    <s v="Purchase Withinstate- Packing Material"/>
    <s v="PIL1/D/1127"/>
    <d v="2026-07-20T00:00:00"/>
    <s v="Stores/Spares"/>
    <s v="MS Structure Items"/>
    <s v="Packing Materials"/>
    <s v="Packing Materials"/>
    <s v="MS Pipe 4  C Class"/>
    <n v="168"/>
    <n v="8064"/>
    <s v="MS Pipe 4  C Class"/>
    <n v="9507.4599999999991"/>
    <n v="9"/>
    <n v="725.76"/>
    <n v="9"/>
    <n v="725.76"/>
    <n v="0"/>
    <n v="0"/>
    <n v="0"/>
    <n v="1451.52"/>
    <n v="0"/>
    <s v="24AAACO3087C1ZT"/>
    <s v="Kgs"/>
    <n v="73063090"/>
    <s v="Rs."/>
    <n v="1"/>
    <n v="168"/>
    <s v="India"/>
    <x v="0"/>
  </r>
  <r>
    <d v="2026-07-21T00:00:00"/>
    <s v="Plastene India ltd - Unit 1-Purchase"/>
    <s v="R.M.P."/>
    <s v="RM 319"/>
    <s v="Purchase Withinstate - Raw Material"/>
    <s v="PIL1/D/1128"/>
    <d v="2026-07-20T00:00:00"/>
    <s v="SF"/>
    <s v="Liners"/>
    <s v="LDPE/LLDPE Bags"/>
    <s v="LLDPE BAGS"/>
    <s v="LDPE/LLDPE Bags/Liner"/>
    <n v="771.1"/>
    <n v="159448.05799999999"/>
    <s v="LDPE/LLDPE Bags/Liner"/>
    <n v="1608325.93"/>
    <n v="9"/>
    <n v="14350.33"/>
    <n v="9"/>
    <n v="14350.33"/>
    <n v="0"/>
    <n v="0"/>
    <n v="0"/>
    <n v="28700.66"/>
    <n v="0"/>
    <s v="24AAACO3087C1ZT"/>
    <s v="Kgs"/>
    <n v="39200000"/>
    <s v="Rs."/>
    <n v="1"/>
    <n v="771.1"/>
    <s v="India"/>
    <x v="4"/>
  </r>
  <r>
    <d v="2026-07-21T00:00:00"/>
    <s v="Plastene India ltd - Unit 1-Purchase"/>
    <s v="R.M.P."/>
    <s v="RM 319"/>
    <s v="Purchase Withinstate - Raw Material"/>
    <s v="PIL1/D/1128"/>
    <d v="2026-07-20T00:00:00"/>
    <s v="SF"/>
    <s v="Liners"/>
    <s v="LDPE/LLDPE Bags"/>
    <s v="LLDPE BAGS"/>
    <s v="LDPE/LLDPE Bags/Liner"/>
    <n v="364"/>
    <n v="86260.72"/>
    <s v="LDPE/LLDPE Bags/Liner"/>
    <n v="0"/>
    <n v="9"/>
    <n v="7763.46"/>
    <n v="9"/>
    <n v="7763.46"/>
    <n v="0"/>
    <n v="0"/>
    <n v="0"/>
    <n v="15526.92"/>
    <n v="0"/>
    <s v="24AAACO3087C1ZT"/>
    <s v="Kgs"/>
    <n v="39200000"/>
    <s v="Rs."/>
    <n v="1"/>
    <n v="364"/>
    <s v="India"/>
    <x v="4"/>
  </r>
  <r>
    <d v="2026-07-21T00:00:00"/>
    <s v="Plastene India ltd - Unit 1-Purchase"/>
    <s v="R.M.P."/>
    <s v="RM 319"/>
    <s v="Purchase Withinstate - Raw Material"/>
    <s v="PIL1/D/1128"/>
    <d v="2026-07-20T00:00:00"/>
    <s v="SF"/>
    <s v="Liners"/>
    <s v="LDPE/LLDPE Bags"/>
    <s v="LLDPE BAGS"/>
    <s v="LDPE/LLDPE Bags/Liner"/>
    <n v="12.5"/>
    <n v="2334.75"/>
    <s v="LDPE/LLDPE Bags/Liner"/>
    <n v="0"/>
    <n v="9"/>
    <n v="210.13"/>
    <n v="9"/>
    <n v="210.13"/>
    <n v="0"/>
    <n v="0"/>
    <n v="0"/>
    <n v="420.26"/>
    <n v="0"/>
    <s v="24AAACO3087C1ZT"/>
    <s v="Kgs"/>
    <n v="39200000"/>
    <s v="Rs."/>
    <n v="1"/>
    <n v="12.5"/>
    <s v="India"/>
    <x v="4"/>
  </r>
  <r>
    <d v="2026-07-21T00:00:00"/>
    <s v="Plastene India ltd - Unit 1-Purchase"/>
    <s v="R.M.P."/>
    <s v="RM 319"/>
    <s v="Purchase Withinstate - Raw Material"/>
    <s v="PIL1/D/1128"/>
    <d v="2026-07-20T00:00:00"/>
    <s v="SF"/>
    <s v="Liners"/>
    <s v="LDPE/LLDPE Bags"/>
    <s v="LLDPE BAGS"/>
    <s v="LDPE/LLDPE Bags/Liner"/>
    <n v="535"/>
    <n v="137484.29999999999"/>
    <s v="LDPE/LLDPE Bags/Liner"/>
    <n v="0"/>
    <n v="9"/>
    <n v="12373.59"/>
    <n v="9"/>
    <n v="12373.59"/>
    <n v="0"/>
    <n v="0"/>
    <n v="0"/>
    <n v="24747.18"/>
    <n v="0"/>
    <s v="24AAACO3087C1ZT"/>
    <s v="Kgs"/>
    <n v="39200000"/>
    <s v="Rs."/>
    <n v="1"/>
    <n v="535"/>
    <s v="India"/>
    <x v="4"/>
  </r>
  <r>
    <d v="2026-07-21T00:00:00"/>
    <s v="Plastene India ltd - Unit 1-Purchase"/>
    <s v="R.M.P."/>
    <s v="RM 319"/>
    <s v="Purchase Withinstate - Raw Material"/>
    <s v="PIL1/D/1128"/>
    <d v="2026-07-20T00:00:00"/>
    <s v="SF"/>
    <s v="Yarn All"/>
    <s v="PP Yarn"/>
    <s v="PP MF Yarn"/>
    <s v="PP MF Yarn Twisted 2500 Denier UV NW"/>
    <n v="852.1"/>
    <n v="135901.429"/>
    <s v="PP MF Yarn Twisted 2500 Denier UV NW"/>
    <n v="0"/>
    <n v="2.5"/>
    <n v="3397.54"/>
    <n v="2.5"/>
    <n v="3397.54"/>
    <n v="0"/>
    <n v="0"/>
    <n v="0"/>
    <n v="6795.08"/>
    <n v="0"/>
    <s v="24AAACO3087C1ZT"/>
    <s v="Kgs"/>
    <n v="54026300"/>
    <s v="Rs."/>
    <n v="1"/>
    <n v="852.1"/>
    <s v="India"/>
    <x v="3"/>
  </r>
  <r>
    <d v="2026-07-21T00:00:00"/>
    <s v="Plastene India ltd - Unit 1-Purchase"/>
    <s v="R.M.P."/>
    <s v="RM 319"/>
    <s v="Purchase Withinstate - Raw Material"/>
    <s v="PIL1/D/1128"/>
    <d v="2026-07-20T00:00:00"/>
    <s v="SF"/>
    <s v="PP/PE Fabric"/>
    <s v="PP UL Fabric"/>
    <s v="PP WOVEN FABRIC"/>
    <s v="PP UL Fabric With UV"/>
    <n v="2321"/>
    <n v="335361.28999999998"/>
    <s v="PP UL Fabric With UV"/>
    <n v="0"/>
    <n v="9"/>
    <n v="30182.52"/>
    <n v="9"/>
    <n v="30182.52"/>
    <n v="0"/>
    <n v="0"/>
    <n v="0"/>
    <n v="60365.04"/>
    <n v="0"/>
    <s v="24AAACO3087C1ZT"/>
    <s v="Kgs"/>
    <n v="39269080"/>
    <s v="Rs."/>
    <n v="1"/>
    <n v="2321"/>
    <s v="India"/>
    <x v="1"/>
  </r>
  <r>
    <d v="2026-07-21T00:00:00"/>
    <s v="Plastene India ltd - Unit 1-Purchase"/>
    <s v="R.M.P."/>
    <s v="RM 319"/>
    <s v="Purchase Withinstate - Raw Material"/>
    <s v="PIL1/D/1128"/>
    <d v="2026-07-20T00:00:00"/>
    <s v="SF"/>
    <s v="PP/PE Fabric"/>
    <s v="PP UL Fabric"/>
    <s v="PP WOVEN FABRIC"/>
    <s v="PP UL Fabric With UV"/>
    <n v="812"/>
    <n v="119761.88"/>
    <s v="PP UL Fabric With UV"/>
    <n v="0"/>
    <n v="9"/>
    <n v="10778.57"/>
    <n v="9"/>
    <n v="10778.57"/>
    <n v="0"/>
    <n v="0"/>
    <n v="0"/>
    <n v="21557.14"/>
    <n v="0"/>
    <s v="24AAACO3087C1ZT"/>
    <s v="Kgs"/>
    <n v="39269080"/>
    <s v="Rs."/>
    <n v="1"/>
    <n v="812"/>
    <s v="India"/>
    <x v="1"/>
  </r>
  <r>
    <d v="2026-07-21T00:00:00"/>
    <s v="Plastene India ltd - Unit 1-Purchase"/>
    <s v="R.M.P."/>
    <s v="RM 319"/>
    <s v="Purchase Withinstate - Raw Material"/>
    <s v="PIL1/D/1128"/>
    <d v="2026-07-20T00:00:00"/>
    <s v="SF"/>
    <s v="PP/PE Fabric"/>
    <s v="PP UL Fabric"/>
    <s v="PP WOVEN FABRIC"/>
    <s v="PP UL Fabric With UV"/>
    <n v="2693"/>
    <n v="402576.57"/>
    <s v="PP UL Fabric With UV"/>
    <n v="0"/>
    <n v="9"/>
    <n v="36231.89"/>
    <n v="9"/>
    <n v="36231.89"/>
    <n v="0"/>
    <n v="0"/>
    <n v="0"/>
    <n v="72463.78"/>
    <n v="0"/>
    <s v="24AAACO3087C1ZT"/>
    <s v="Kgs"/>
    <n v="39269080"/>
    <s v="Rs."/>
    <n v="1"/>
    <n v="2693"/>
    <s v="India"/>
    <x v="1"/>
  </r>
  <r>
    <d v="2026-07-21T00:00:00"/>
    <s v="Satyam Stationery Mart"/>
    <s v="Purchase"/>
    <s v="GNPK 153"/>
    <s v="Purchase Withinstate- Packing Material"/>
    <s v="SSM02324"/>
    <d v="2026-07-18T00:00:00"/>
    <s v="Consumables"/>
    <s v="Adhesive Tapes"/>
    <s v="Packing Materials"/>
    <s v="Packing Materials"/>
    <s v="Cello Tape W-2&quot; Natural X L-65 Mtr"/>
    <n v="72"/>
    <n v="1836"/>
    <s v="Cello Tape W-2&quot; Natural X L-65 Mtr"/>
    <n v="2166"/>
    <n v="9"/>
    <n v="165.24"/>
    <n v="9"/>
    <n v="165.24"/>
    <n v="0"/>
    <n v="0"/>
    <n v="0"/>
    <n v="330.48"/>
    <n v="0"/>
    <s v="24AGUPL9792N1Z6"/>
    <s v="Pcs"/>
    <n v="3919909"/>
    <s v="Rs."/>
    <n v="1"/>
    <n v="0"/>
    <s v="India"/>
    <x v="0"/>
  </r>
  <r>
    <d v="2026-07-21T00:00:00"/>
    <s v="Shree Ganesh Stereo"/>
    <s v="General Purchase"/>
    <s v="GNCN 242"/>
    <s v="Purchase Withinstate- Stores, Spares &amp; Consumable"/>
    <n v="1475"/>
    <d v="2026-07-15T00:00:00"/>
    <s v="Consumables"/>
    <s v="Rubber/Polymer Stereo"/>
    <s v="Stores &amp; Spares"/>
    <s v="Consumables"/>
    <s v="Rubber Stereo"/>
    <n v="1"/>
    <n v="537.6"/>
    <s v="Rubber Stereo"/>
    <n v="814"/>
    <n v="9"/>
    <n v="48.38"/>
    <n v="9"/>
    <n v="48.38"/>
    <n v="0"/>
    <n v="0"/>
    <n v="0"/>
    <n v="96.76"/>
    <n v="0"/>
    <s v="24AHDPC2510M1ZU"/>
    <s v="Pcs"/>
    <n v="400200"/>
    <s v="Rs."/>
    <n v="1"/>
    <n v="0"/>
    <s v="India"/>
    <x v="0"/>
  </r>
  <r>
    <d v="2026-07-21T00:00:00"/>
    <s v="Shree Ganesh Stereo"/>
    <s v="General Purchase"/>
    <s v="GNCN 242"/>
    <s v="Purchase Withinstate- Stores, Spares &amp; Consumable"/>
    <n v="1475"/>
    <d v="2026-07-15T00:00:00"/>
    <s v="Consumables"/>
    <s v="Rubber/Polymer Stereo"/>
    <s v="Stores &amp; Spares"/>
    <s v="Consumables"/>
    <s v="Rubber Stereo"/>
    <n v="1"/>
    <n v="151.9"/>
    <s v="Rubber Stereo"/>
    <n v="0"/>
    <n v="9"/>
    <n v="13.67"/>
    <n v="9"/>
    <n v="13.67"/>
    <n v="0"/>
    <n v="0"/>
    <n v="0"/>
    <n v="27.34"/>
    <n v="0"/>
    <s v="24AHDPC2510M1ZU"/>
    <s v="Pcs"/>
    <n v="400200"/>
    <s v="Rs."/>
    <n v="1"/>
    <n v="0"/>
    <s v="India"/>
    <x v="0"/>
  </r>
  <r>
    <d v="2026-07-21T00:00:00"/>
    <s v="Shyam Apparels"/>
    <s v="General Purchase"/>
    <s v="GNCN 239"/>
    <s v="Purchase Withinstate- Stores, Spares &amp; Consumable"/>
    <s v="43/26-27"/>
    <d v="2026-07-20T00:00:00"/>
    <s v="Consumables"/>
    <s v="Uniform/protective Item"/>
    <s v="Stores &amp; Spares"/>
    <s v="Consumables"/>
    <s v="Apron Colour Sky Blue Short Sleeves Labcoat"/>
    <n v="288"/>
    <n v="56160"/>
    <s v="Apron Colour Sky Blue Short Sleeves Labcoat"/>
    <n v="59598"/>
    <n v="2.5"/>
    <n v="1404"/>
    <n v="2.5"/>
    <n v="1404"/>
    <n v="0"/>
    <n v="0"/>
    <n v="30"/>
    <n v="2838"/>
    <n v="0"/>
    <s v="24AFEPK6929B1ZP"/>
    <s v="Pcs"/>
    <n v="320414"/>
    <s v="Rs."/>
    <n v="1"/>
    <n v="0"/>
    <s v="India"/>
    <x v="0"/>
  </r>
  <r>
    <d v="2026-07-21T00:00:00"/>
    <s v="Svan Texcon Pvt Ltd"/>
    <s v="General Purchase"/>
    <s v="GNSP 417"/>
    <s v="Purchase Withinstate- Stores, Spares &amp; Consumable"/>
    <s v="RI-0479/2026-27"/>
    <d v="2026-07-18T00:00:00"/>
    <s v="Stores/Spares"/>
    <s v="Sulzer Machine Spares"/>
    <s v="Stores &amp; Spares"/>
    <s v="stores &amp;  spares"/>
    <s v="Yarn Sensor X3, 54R00439"/>
    <n v="4"/>
    <n v="42020"/>
    <s v="Yarn Sensor X3, 54R00439"/>
    <n v="49584"/>
    <n v="9"/>
    <n v="3781.8"/>
    <n v="9"/>
    <n v="3781.8"/>
    <n v="0"/>
    <n v="0"/>
    <n v="0"/>
    <n v="7563.6"/>
    <n v="0"/>
    <s v="24AABCS6490E1ZF"/>
    <s v="NOS"/>
    <n v="84484990"/>
    <s v="Rs."/>
    <n v="1"/>
    <n v="0"/>
    <s v="India"/>
    <x v="0"/>
  </r>
  <r>
    <d v="2026-07-21T00:00:00"/>
    <s v="Uni-Tex"/>
    <s v="General Purchase"/>
    <s v="GNSP 418"/>
    <s v="Purchase Interstate- Stores, Spares &amp; Consumable"/>
    <n v="360"/>
    <d v="2026-07-18T00:00:00"/>
    <s v="Stores/Spares"/>
    <s v="Sulzer Machine Spares"/>
    <s v="Stores &amp; Spares"/>
    <s v="stores &amp;  spares"/>
    <s v="Pfr Sensor Part No:-911.802.664"/>
    <n v="5"/>
    <n v="4250"/>
    <s v="Pfr Sensor Part No:-911.802.664"/>
    <n v="5015"/>
    <n v="0"/>
    <n v="0"/>
    <n v="0"/>
    <n v="0"/>
    <n v="18"/>
    <n v="765"/>
    <n v="0"/>
    <n v="765"/>
    <n v="0"/>
    <s v="08AHGPB9007M1Z8"/>
    <s v="Pcs"/>
    <n v="844819"/>
    <s v="Rs."/>
    <n v="1"/>
    <n v="0"/>
    <s v="India"/>
    <x v="0"/>
  </r>
  <r>
    <d v="2026-07-22T00:00:00"/>
    <s v="Chemline India Ltd"/>
    <s v="General Purchase"/>
    <s v="GNCN 246"/>
    <s v="Purchase Interstate- Stores, Spares &amp; Consumable"/>
    <s v="2627CIL2867"/>
    <d v="2026-07-15T00:00:00"/>
    <s v="Consumables"/>
    <s v="Consumables"/>
    <s v="Consumables"/>
    <s v="Consumables"/>
    <s v="Hotmelt  ( Glue )"/>
    <n v="700"/>
    <n v="171500"/>
    <s v="Hotmelt  ( Glue )"/>
    <n v="202370"/>
    <n v="0"/>
    <n v="0"/>
    <n v="0"/>
    <n v="0"/>
    <n v="18"/>
    <n v="30870"/>
    <n v="0"/>
    <n v="30870"/>
    <n v="0"/>
    <s v="06AAACC0504G1ZF"/>
    <s v="Kgs"/>
    <n v="35052000"/>
    <s v="Rs."/>
    <n v="1"/>
    <n v="0"/>
    <s v="India"/>
    <x v="0"/>
  </r>
  <r>
    <d v="2026-07-22T00:00:00"/>
    <s v="HCP Plastene Bulkpack Limited - Purchase"/>
    <s v="R.M.P."/>
    <s v="RM 320"/>
    <s v="Purchase Withinstate - Raw Material"/>
    <s v="HPBL/D/402"/>
    <d v="2026-07-21T00:00:00"/>
    <s v="SF"/>
    <s v="PP/PE Fabric"/>
    <s v="PP UL Fabric"/>
    <s v="PP WOVEN FABRIC"/>
    <s v="PP UL Fabric With UV"/>
    <n v="4302"/>
    <n v="673219.98"/>
    <s v="PP UL Fabric With UV"/>
    <n v="859163.84"/>
    <n v="9"/>
    <n v="60589.8"/>
    <n v="9"/>
    <n v="60589.8"/>
    <n v="0"/>
    <n v="0"/>
    <n v="0"/>
    <n v="121179.6"/>
    <n v="0"/>
    <s v="24AABCG1282C2Z6"/>
    <s v="Kgs"/>
    <n v="39269080"/>
    <s v="Rs."/>
    <n v="1"/>
    <n v="4302"/>
    <s v="India"/>
    <x v="1"/>
  </r>
  <r>
    <d v="2026-07-22T00:00:00"/>
    <s v="HCP Plastene Bulkpack Limited - Purchase"/>
    <s v="R.M.P."/>
    <s v="RM 320"/>
    <s v="Purchase Withinstate - Raw Material"/>
    <s v="HPBL/D/402"/>
    <d v="2026-07-21T00:00:00"/>
    <s v="SF"/>
    <s v="PP/PE Fabric"/>
    <s v="PP UL Fabric"/>
    <s v="PP WOVEN FABRIC"/>
    <s v="PP UL Fabric With UV"/>
    <n v="348"/>
    <n v="55502.52"/>
    <s v="PP UL Fabric With UV"/>
    <n v="0"/>
    <n v="9"/>
    <n v="4995.2299999999996"/>
    <n v="9"/>
    <n v="4995.2299999999996"/>
    <n v="0"/>
    <n v="0"/>
    <n v="0"/>
    <n v="9990.4599999999991"/>
    <n v="0"/>
    <s v="24AABCG1282C2Z6"/>
    <s v="Kgs"/>
    <n v="39269080"/>
    <s v="Rs."/>
    <n v="1"/>
    <n v="348"/>
    <s v="India"/>
    <x v="1"/>
  </r>
  <r>
    <d v="2026-07-22T00:00:00"/>
    <s v="Plastene India ltd - Unit 1-Purchase"/>
    <s v="Purchase"/>
    <s v="GNPK 157"/>
    <s v="Purchase Withinstate- Packing Material"/>
    <s v="PIL1/D/1142"/>
    <d v="2026-07-21T00:00:00"/>
    <s v="Stores/Spares"/>
    <s v="MS Structure Items"/>
    <s v="Packing Materials"/>
    <s v="Packing Materials"/>
    <s v="MS Pipe 4  C Class"/>
    <n v="1143"/>
    <n v="54864"/>
    <s v="MS Pipe 4  C Class"/>
    <n v="101865.60000000001"/>
    <n v="9"/>
    <n v="4937.76"/>
    <n v="9"/>
    <n v="4937.76"/>
    <n v="0"/>
    <n v="0"/>
    <n v="0"/>
    <n v="9875.52"/>
    <n v="0"/>
    <s v="24AAACO3087C1ZT"/>
    <s v="Kgs"/>
    <n v="73063090"/>
    <s v="Rs."/>
    <n v="1"/>
    <n v="0"/>
    <s v="India"/>
    <x v="0"/>
  </r>
  <r>
    <d v="2026-07-22T00:00:00"/>
    <s v="Plastene India ltd - Unit 1-Purchase"/>
    <s v="Purchase"/>
    <s v="GNPK 157"/>
    <s v="Purchase Withinstate- Packing Material"/>
    <s v="PIL1/D/1142"/>
    <d v="2026-07-21T00:00:00"/>
    <s v="Stores/Spares"/>
    <s v="MS Structure Items"/>
    <s v="Packing Materials"/>
    <s v="Packing Materials"/>
    <s v="MS Pipe 4  C Class"/>
    <n v="657"/>
    <n v="31536"/>
    <s v="MS Pipe 4  C Class"/>
    <n v="0"/>
    <n v="9"/>
    <n v="2838.24"/>
    <n v="9"/>
    <n v="2838.24"/>
    <n v="0"/>
    <n v="0"/>
    <n v="0"/>
    <n v="5676.48"/>
    <n v="0"/>
    <s v="24AAACO3087C1ZT"/>
    <s v="Kgs"/>
    <n v="73063090"/>
    <s v="Rs."/>
    <n v="1"/>
    <n v="0"/>
    <s v="India"/>
    <x v="0"/>
  </r>
  <r>
    <d v="2026-07-22T00:00:00"/>
    <s v="Plastene India ltd - Unit 1-Purchase"/>
    <s v="Purchase"/>
    <s v="GNPK 158"/>
    <s v="Purchase Withinstate- Packing Material"/>
    <s v="PIL1/D/1144"/>
    <d v="2026-07-21T00:00:00"/>
    <s v="Stores/Spares"/>
    <s v="MS Structure Items"/>
    <s v="Packing Materials"/>
    <s v="Packing Materials"/>
    <s v="MS Pipe 4  C Class"/>
    <n v="178"/>
    <n v="8544"/>
    <s v="MS Pipe 4  C Class"/>
    <n v="10073.379999999999"/>
    <n v="9"/>
    <n v="768.96"/>
    <n v="9"/>
    <n v="768.96"/>
    <n v="0"/>
    <n v="0"/>
    <n v="0"/>
    <n v="1537.92"/>
    <n v="0"/>
    <s v="24AAACO3087C1ZT"/>
    <s v="Kgs"/>
    <n v="73063090"/>
    <s v="Rs."/>
    <n v="1"/>
    <n v="0"/>
    <s v="India"/>
    <x v="0"/>
  </r>
  <r>
    <d v="2026-07-22T00:00:00"/>
    <s v="Plastene India ltd - Unit 1-Purchase"/>
    <s v="R.M.P."/>
    <s v="RM 321"/>
    <s v="Purchase Withinstate - Raw Material"/>
    <s v="PIL1/D/1145"/>
    <d v="2026-07-21T00:00:00"/>
    <s v="SF"/>
    <s v="PP/PE Fabric"/>
    <s v="PP UL Fabric"/>
    <s v="PP WOVEN FABRIC"/>
    <s v="PP UL Fabric With UV"/>
    <n v="3314"/>
    <n v="495409.86"/>
    <s v="PP UL Fabric With UV"/>
    <n v="1162800.1000000001"/>
    <n v="9"/>
    <n v="44586.89"/>
    <n v="9"/>
    <n v="44586.89"/>
    <n v="0"/>
    <n v="0"/>
    <n v="0"/>
    <n v="89173.78"/>
    <n v="0"/>
    <s v="24AAACO3087C1ZT"/>
    <s v="Kgs"/>
    <n v="39269080"/>
    <s v="Rs."/>
    <n v="1"/>
    <n v="3314"/>
    <s v="India"/>
    <x v="1"/>
  </r>
  <r>
    <d v="2026-07-22T00:00:00"/>
    <s v="Plastene India ltd - Unit 1-Purchase"/>
    <s v="R.M.P."/>
    <s v="RM 321"/>
    <s v="Purchase Withinstate - Raw Material"/>
    <s v="PIL1/D/1145"/>
    <d v="2026-07-21T00:00:00"/>
    <s v="SF"/>
    <s v="Yarn All"/>
    <s v="PP Yarn"/>
    <s v="PP MF Yarn"/>
    <s v="PP MF Yarn Twisted 1000 UV NW"/>
    <n v="964.7"/>
    <n v="150965.90299999999"/>
    <s v="PP MF Yarn Twisted 1000 UV NW"/>
    <n v="0"/>
    <n v="2.5"/>
    <n v="3774.15"/>
    <n v="2.5"/>
    <n v="3774.15"/>
    <n v="0"/>
    <n v="0"/>
    <n v="0"/>
    <n v="7548.3"/>
    <n v="0"/>
    <s v="24AAACO3087C1ZT"/>
    <s v="Kgs"/>
    <n v="54026930"/>
    <s v="Rs."/>
    <n v="1"/>
    <n v="964.7"/>
    <s v="India"/>
    <x v="3"/>
  </r>
  <r>
    <d v="2026-07-22T00:00:00"/>
    <s v="Plastene India ltd - Unit 1-Purchase"/>
    <s v="R.M.P."/>
    <s v="RM 321"/>
    <s v="Purchase Withinstate - Raw Material"/>
    <s v="PIL1/D/1145"/>
    <d v="2026-07-21T00:00:00"/>
    <s v="SF"/>
    <s v="Liners"/>
    <s v="LDPE/LLDPE Bags"/>
    <s v="LLDPE BAGS"/>
    <s v="LDPE/LLDPE Bags/Liner"/>
    <n v="1215.5"/>
    <n v="251341.09"/>
    <s v="LDPE/LLDPE Bags/Liner"/>
    <n v="0"/>
    <n v="9"/>
    <n v="22620.7"/>
    <n v="9"/>
    <n v="22620.7"/>
    <n v="0"/>
    <n v="0"/>
    <n v="0"/>
    <n v="45241.4"/>
    <n v="0"/>
    <s v="24AAACO3087C1ZT"/>
    <s v="Kgs"/>
    <n v="39200000"/>
    <s v="Rs."/>
    <n v="1"/>
    <n v="1215.5"/>
    <s v="India"/>
    <x v="4"/>
  </r>
  <r>
    <d v="2026-07-22T00:00:00"/>
    <s v="Plastene India ltd - Unit 1-Purchase"/>
    <s v="R.M.P."/>
    <s v="RM 321"/>
    <s v="Purchase Withinstate - Raw Material"/>
    <s v="PIL1/D/1145"/>
    <d v="2026-07-21T00:00:00"/>
    <s v="SF"/>
    <s v="PP/PE Fabric"/>
    <s v="PP UL Fabric"/>
    <s v="PP WOVEN FABRIC"/>
    <s v="PP UL Fabric With UV"/>
    <n v="728"/>
    <n v="105188.72"/>
    <s v="PP UL Fabric With UV"/>
    <n v="0"/>
    <n v="9"/>
    <n v="9466.98"/>
    <n v="9"/>
    <n v="9466.98"/>
    <n v="0"/>
    <n v="0"/>
    <n v="0"/>
    <n v="18933.96"/>
    <n v="0"/>
    <s v="24AAACO3087C1ZT"/>
    <s v="Kgs"/>
    <n v="39269080"/>
    <s v="Rs."/>
    <n v="1"/>
    <n v="728"/>
    <s v="India"/>
    <x v="1"/>
  </r>
  <r>
    <d v="2026-07-22T00:00:00"/>
    <s v="Plastene India ltd - Unit 1-Purchase"/>
    <s v="R.M.P."/>
    <s v="RM 322"/>
    <s v="Purchase Withinstate - Raw Material"/>
    <s v="PIL1/DE/25"/>
    <d v="2026-07-21T00:00:00"/>
    <s v="SF"/>
    <s v="PP/PE Fabric"/>
    <s v="PP UL Fabric"/>
    <s v="PP WOVEN FABRIC"/>
    <s v="PP UL Fabric With UV"/>
    <n v="263"/>
    <n v="103885"/>
    <s v="PP UL Fabric With UV"/>
    <n v="122480.12"/>
    <n v="9"/>
    <n v="9349.65"/>
    <n v="9"/>
    <n v="9349.65"/>
    <n v="0"/>
    <n v="0"/>
    <n v="0"/>
    <n v="18699.3"/>
    <n v="0"/>
    <s v="24AAACO3087C1ZT"/>
    <s v="Kgs"/>
    <n v="39269080"/>
    <s v="Rs."/>
    <n v="1"/>
    <n v="263"/>
    <s v="India"/>
    <x v="1"/>
  </r>
  <r>
    <d v="2026-07-22T00:00:00"/>
    <s v="Plastene India ltd - Unit 2-Purchase"/>
    <s v="Purchase"/>
    <s v="GNPK 159"/>
    <s v="Purchase Withinstate- Packing Material"/>
    <s v="PIL2/D/399"/>
    <d v="2026-07-21T00:00:00"/>
    <s v="Stores/Spares"/>
    <s v="MS Structure Items"/>
    <s v="Packing Materials"/>
    <s v="Packing Materials"/>
    <s v="MS Pipe"/>
    <n v="548"/>
    <n v="26304"/>
    <s v="MS Pipe"/>
    <n v="31012.42"/>
    <n v="9"/>
    <n v="2367.36"/>
    <n v="9"/>
    <n v="2367.36"/>
    <n v="0"/>
    <n v="0"/>
    <n v="0"/>
    <n v="4734.72"/>
    <n v="0"/>
    <s v="24AAACO3087C1ZT"/>
    <s v="Kgs"/>
    <n v="7306309"/>
    <s v="Rs."/>
    <n v="1"/>
    <n v="548"/>
    <s v="India"/>
    <x v="0"/>
  </r>
  <r>
    <d v="2026-07-22T00:00:00"/>
    <s v="Plastene India ltd - Unit 2-Purchase"/>
    <s v="R.M.P."/>
    <s v="RM 323"/>
    <s v="Purchase Withinstate - Raw Material"/>
    <s v="PIL2/D/398"/>
    <d v="2026-07-21T00:00:00"/>
    <s v="SF"/>
    <s v="Liners"/>
    <s v="LDPE/LLDPE Bags"/>
    <s v="LLDPE Film"/>
    <s v="PE Labels (Pcs)"/>
    <n v="12930"/>
    <n v="12154.2"/>
    <s v="PE Labels (Pcs)"/>
    <n v="586164.94999999995"/>
    <n v="9"/>
    <n v="1093.8800000000001"/>
    <n v="9"/>
    <n v="1093.8800000000001"/>
    <n v="0"/>
    <n v="0"/>
    <n v="0"/>
    <n v="2187.7600000000002"/>
    <n v="0"/>
    <s v="24AAACO3087C1ZT"/>
    <s v="Kgs"/>
    <n v="392300"/>
    <s v="Rs."/>
    <n v="1"/>
    <n v="12930"/>
    <s v="India"/>
    <x v="0"/>
  </r>
  <r>
    <d v="2026-07-22T00:00:00"/>
    <s v="Plastene India ltd - Unit 2-Purchase"/>
    <s v="R.M.P."/>
    <s v="RM 323"/>
    <s v="Purchase Withinstate - Raw Material"/>
    <s v="PIL2/D/398"/>
    <d v="2026-07-21T00:00:00"/>
    <s v="SF"/>
    <s v="PP/PE Fabric"/>
    <s v="PP UL Fabric"/>
    <s v="PP WOVEN FABRIC"/>
    <s v="PP UL Fabric With UV"/>
    <n v="3507"/>
    <n v="373846.2"/>
    <s v="PP UL Fabric With UV"/>
    <n v="0"/>
    <n v="9"/>
    <n v="33646.160000000003"/>
    <n v="9"/>
    <n v="33646.160000000003"/>
    <n v="0"/>
    <n v="0"/>
    <n v="0"/>
    <n v="67292.320000000007"/>
    <n v="0"/>
    <s v="24AAACO3087C1ZT"/>
    <s v="Kgs"/>
    <n v="39269080"/>
    <s v="Rs."/>
    <n v="1"/>
    <n v="3507"/>
    <s v="India"/>
    <x v="1"/>
  </r>
  <r>
    <d v="2026-07-22T00:00:00"/>
    <s v="Plastene India ltd - Unit 2-Purchase"/>
    <s v="R.M.P."/>
    <s v="RM 323"/>
    <s v="Purchase Withinstate - Raw Material"/>
    <s v="PIL2/D/398"/>
    <d v="2026-07-21T00:00:00"/>
    <s v="SF"/>
    <s v="Webbing"/>
    <s v="PP Webbing"/>
    <s v="PP WEBBING"/>
    <s v="Webbing MF"/>
    <n v="857.8"/>
    <n v="111170.88"/>
    <s v="Webbing MF"/>
    <n v="0"/>
    <n v="9"/>
    <n v="10005.379999999999"/>
    <n v="9"/>
    <n v="10005.379999999999"/>
    <n v="0"/>
    <n v="0"/>
    <n v="0"/>
    <n v="20010.759999999998"/>
    <n v="0"/>
    <s v="24AAACO3087C1ZT"/>
    <s v="Kgs"/>
    <n v="39269080"/>
    <s v="Rs."/>
    <n v="1"/>
    <n v="857.8"/>
    <s v="India"/>
    <x v="6"/>
  </r>
  <r>
    <d v="2026-07-22T00:00:00"/>
    <s v="R G Enterprise"/>
    <s v="Purchase"/>
    <s v="GNPK 156"/>
    <s v="Purchase Withinstate- Packing Material"/>
    <s v="TX/RGE/2026/014"/>
    <d v="2026-07-07T00:00:00"/>
    <s v="Packing Material"/>
    <s v="Paper Cores"/>
    <s v="Packing Materials"/>
    <s v="Packing Materials"/>
    <s v="Paper Core 55 mm x 65 mm x 290 mm"/>
    <n v="30654.400000000001"/>
    <n v="113789.13280000001"/>
    <s v="Paper Core 55 mm x 65 mm x 290 mm"/>
    <n v="134271"/>
    <n v="9"/>
    <n v="10241.01"/>
    <n v="9"/>
    <n v="10241.01"/>
    <n v="0"/>
    <n v="0"/>
    <n v="0"/>
    <n v="20482.02"/>
    <n v="0"/>
    <s v="24AYAPP0172C1Z0"/>
    <s v="Pcs"/>
    <n v="48229010"/>
    <s v="Rs."/>
    <n v="1"/>
    <n v="0"/>
    <s v="India"/>
    <x v="0"/>
  </r>
  <r>
    <d v="2026-07-22T00:00:00"/>
    <s v="Shiv Shakti Enterprise"/>
    <s v="Purchase"/>
    <s v="GNPK 155"/>
    <s v="Purchase Withinstate- Packing Material"/>
    <s v="SSE/2026-27/0919"/>
    <d v="2026-07-20T00:00:00"/>
    <s v="Packing Material"/>
    <s v="Pallets"/>
    <s v="Pallets"/>
    <s v="Packing Materials"/>
    <s v="Pine Wooden Pallet Design Code STD90110"/>
    <n v="210"/>
    <n v="169050"/>
    <s v="Pine Wooden Pallet Design Code STD90110"/>
    <n v="193433"/>
    <n v="2.5"/>
    <n v="5441.25"/>
    <n v="2.5"/>
    <n v="5441.25"/>
    <n v="0"/>
    <n v="0"/>
    <n v="0"/>
    <n v="10882.5"/>
    <n v="0"/>
    <s v="24AIEPG9602Q1ZZ"/>
    <s v="Pcs"/>
    <n v="44152000"/>
    <s v="Rs."/>
    <n v="1"/>
    <n v="2730"/>
    <s v="India"/>
    <x v="0"/>
  </r>
  <r>
    <d v="2026-07-22T00:00:00"/>
    <s v="Shree Salareshwar Wood Packers Private Limited."/>
    <s v="General Purchase"/>
    <s v="GNCN 245"/>
    <s v="Purchase Withinstate- Stores, Spares &amp; Consumable"/>
    <s v="SS/SL/26-27/83"/>
    <d v="2026-07-18T00:00:00"/>
    <s v="Stores/Spares"/>
    <s v="Hardware Items"/>
    <s v="Stores &amp; Spares"/>
    <s v="Consumables"/>
    <s v="Wooden Board"/>
    <n v="1"/>
    <n v="728"/>
    <s v="Wooden Board"/>
    <n v="764.4"/>
    <n v="2.5"/>
    <n v="18.2"/>
    <n v="2.5"/>
    <n v="18.2"/>
    <n v="0"/>
    <n v="0"/>
    <n v="0"/>
    <n v="36.4"/>
    <n v="0"/>
    <s v="24ABLCS6579H1ZR"/>
    <s v="Pcs"/>
    <n v="441231"/>
    <s v="Rs."/>
    <n v="1"/>
    <n v="0"/>
    <s v="India"/>
    <x v="0"/>
  </r>
  <r>
    <d v="2026-07-23T00:00:00"/>
    <s v="Arham Cams Pvt Ltd"/>
    <s v="General Purchase"/>
    <s v="GNSP 421"/>
    <s v="Purchase Withinstate- Stores, Spares &amp; Consumable"/>
    <s v="GST/164"/>
    <d v="2026-07-18T00:00:00"/>
    <s v="Stores/Spares"/>
    <s v="Sulzer Machine Spares"/>
    <s v="Stores &amp; Spares"/>
    <s v="stores &amp;  spares"/>
    <s v="Leno Device 330"/>
    <n v="200"/>
    <n v="5950"/>
    <s v="Leno Device 330"/>
    <n v="7198"/>
    <n v="9"/>
    <n v="549"/>
    <n v="9"/>
    <n v="549"/>
    <n v="0"/>
    <n v="0"/>
    <n v="0"/>
    <n v="1098"/>
    <n v="0"/>
    <s v="24AAICA0799H1ZK"/>
    <s v="Pcs"/>
    <n v="844849"/>
    <s v="Rs."/>
    <n v="1"/>
    <n v="0"/>
    <s v="India"/>
    <x v="0"/>
  </r>
  <r>
    <d v="2026-07-23T00:00:00"/>
    <s v="Arham Cams Pvt Ltd"/>
    <s v="General Purchase"/>
    <s v="GNSP 422"/>
    <s v="Purchase Withinstate- Stores, Spares &amp; Consumable"/>
    <s v="GST/174"/>
    <d v="2026-07-21T00:00:00"/>
    <s v="Stores/Spares"/>
    <s v="Sulzer Machine Spares"/>
    <s v="Stores &amp; Spares"/>
    <s v="stores &amp;  spares"/>
    <s v="Leno Device 330"/>
    <n v="800"/>
    <n v="23800"/>
    <s v="Leno Device 330"/>
    <n v="28792"/>
    <n v="9"/>
    <n v="2196"/>
    <n v="9"/>
    <n v="2196"/>
    <n v="0"/>
    <n v="0"/>
    <n v="0"/>
    <n v="4392"/>
    <n v="0"/>
    <s v="24AAICA0799H1ZK"/>
    <s v="Pcs"/>
    <n v="844849"/>
    <s v="Rs."/>
    <n v="1"/>
    <n v="0"/>
    <s v="India"/>
    <x v="0"/>
  </r>
  <r>
    <d v="2026-07-23T00:00:00"/>
    <s v="Arham Cams Pvt Ltd"/>
    <s v="General Purchase"/>
    <s v="GNSP 423"/>
    <s v="Purchase Withinstate- Stores, Spares &amp; Consumable"/>
    <s v="GST/163"/>
    <d v="2026-07-18T00:00:00"/>
    <s v="Stores/Spares"/>
    <s v="Sulzer Machine Spares"/>
    <s v="Stores &amp; Spares"/>
    <s v="stores &amp;  spares"/>
    <s v="Leno Doups"/>
    <n v="1000"/>
    <n v="15000"/>
    <s v="Leno Doups"/>
    <n v="17877"/>
    <n v="9"/>
    <n v="1363.5"/>
    <n v="9"/>
    <n v="1363.5"/>
    <n v="0"/>
    <n v="0"/>
    <n v="0"/>
    <n v="2727"/>
    <n v="0"/>
    <s v="24AAICA0799H1ZK"/>
    <s v="Pcs"/>
    <n v="84463090"/>
    <s v="Rs."/>
    <n v="1"/>
    <n v="0"/>
    <s v="India"/>
    <x v="0"/>
  </r>
  <r>
    <d v="2026-07-23T00:00:00"/>
    <s v="Arham Cams Pvt Ltd"/>
    <s v="General Purchase"/>
    <s v="GNSP 424"/>
    <s v="Purchase Withinstate- Stores, Spares &amp; Consumable"/>
    <s v="GST/165"/>
    <d v="2026-07-18T00:00:00"/>
    <s v="Stores/Spares"/>
    <s v="Sulzer Machine Spares"/>
    <s v="Stores &amp; Spares"/>
    <s v="stores &amp;  spares"/>
    <s v="Slay Wedge Piece 911.323.724"/>
    <n v="30"/>
    <n v="4350"/>
    <s v="Slay Wedge Piece 911.323.724"/>
    <n v="5369"/>
    <n v="9"/>
    <n v="409.5"/>
    <n v="9"/>
    <n v="409.5"/>
    <n v="0"/>
    <n v="0"/>
    <n v="0"/>
    <n v="819"/>
    <n v="0"/>
    <s v="24AAICA0799H1ZK"/>
    <s v="Pcs"/>
    <n v="84484990"/>
    <s v="Rs."/>
    <n v="1"/>
    <n v="0"/>
    <s v="India"/>
    <x v="0"/>
  </r>
  <r>
    <d v="2026-07-23T00:00:00"/>
    <s v="Ashirwad Infocom"/>
    <s v="General Purchase"/>
    <s v="GNMS 18"/>
    <s v="Purchase Withinstate- Stores, Spares &amp; Consumable"/>
    <s v="2026-27/376"/>
    <d v="2026-06-25T00:00:00"/>
    <s v="Capex"/>
    <s v="Office Equipments"/>
    <s v="Stores &amp; Spares"/>
    <s v="stores &amp;  spares"/>
    <s v="Printer - Epson"/>
    <n v="2"/>
    <n v="1271.18"/>
    <s v="Printer - Epson"/>
    <n v="1500"/>
    <n v="9"/>
    <n v="114.41"/>
    <n v="9"/>
    <n v="114.41"/>
    <n v="0"/>
    <n v="0"/>
    <n v="0"/>
    <n v="228.82"/>
    <n v="0"/>
    <s v="24APTPM2228L1ZI"/>
    <s v="Pcs"/>
    <n v="844311"/>
    <s v="Rs."/>
    <n v="1"/>
    <n v="0"/>
    <s v="India"/>
    <x v="0"/>
  </r>
  <r>
    <d v="2026-07-23T00:00:00"/>
    <s v="Axle Steel &amp; Fasteners"/>
    <s v="General Purchase"/>
    <s v="GNSP 419"/>
    <s v="Purchase Withinstate- Stores, Spares &amp; Consumable"/>
    <s v="0391/26-27"/>
    <d v="2026-06-12T00:00:00"/>
    <s v="Consumables"/>
    <s v="Consumables"/>
    <s v="Stores &amp; Spares"/>
    <s v="Consumables"/>
    <s v="Spray Wd 40 - 400 Ml"/>
    <n v="5"/>
    <n v="1350"/>
    <s v="Spray Wd 40 - 400 Ml"/>
    <n v="2749"/>
    <n v="9"/>
    <n v="121.5"/>
    <n v="9"/>
    <n v="121.5"/>
    <n v="0"/>
    <n v="0"/>
    <n v="14.4"/>
    <n v="257.39999999999998"/>
    <n v="0"/>
    <s v="24AAYFA5084G1Z4"/>
    <s v="Pcs"/>
    <n v="84836010"/>
    <s v="Rs."/>
    <n v="1"/>
    <n v="0"/>
    <s v="India"/>
    <x v="0"/>
  </r>
  <r>
    <d v="2026-07-23T00:00:00"/>
    <s v="Axle Steel &amp; Fasteners"/>
    <s v="General Purchase"/>
    <s v="GNSP 419"/>
    <s v="Purchase Withinstate- Stores, Spares &amp; Consumable"/>
    <s v="0391/26-27"/>
    <d v="2026-06-12T00:00:00"/>
    <s v="Consumables"/>
    <s v="Chemicals"/>
    <s v="Stores &amp; Spares"/>
    <s v="stores &amp;  spares"/>
    <s v="Anabond 666- U"/>
    <n v="5"/>
    <n v="900"/>
    <s v="Anabond 666- U"/>
    <n v="0"/>
    <n v="9"/>
    <n v="81"/>
    <n v="9"/>
    <n v="81"/>
    <n v="0"/>
    <n v="0"/>
    <n v="14.4"/>
    <n v="176.4"/>
    <n v="0"/>
    <s v="24AAYFA5084G1Z4"/>
    <s v="Pcs"/>
    <n v="73181500"/>
    <s v="Rs."/>
    <n v="1"/>
    <n v="0"/>
    <s v="India"/>
    <x v="0"/>
  </r>
  <r>
    <d v="2026-07-23T00:00:00"/>
    <s v="Bright Rubber"/>
    <s v="General Purchase"/>
    <s v="GNSP 425"/>
    <s v="Purchase Withinstate- Stores, Spares &amp; Consumable"/>
    <s v="G24221"/>
    <d v="2026-07-21T00:00:00"/>
    <s v="Consumables"/>
    <s v="Oil Seal"/>
    <s v="Stores &amp; Spares"/>
    <s v="stores &amp;  spares"/>
    <s v="Oil Seal (As Per Sample)"/>
    <n v="2"/>
    <n v="3500"/>
    <s v="Oil Seal (As Per Sample)"/>
    <n v="4224"/>
    <n v="9"/>
    <n v="315"/>
    <n v="9"/>
    <n v="315"/>
    <n v="0"/>
    <n v="0"/>
    <n v="14.4"/>
    <n v="644.4"/>
    <n v="0"/>
    <s v="24AACFB1249A1ZA"/>
    <s v="Pcs"/>
    <n v="40169330"/>
    <s v="Rs."/>
    <n v="1"/>
    <n v="0"/>
    <s v="India"/>
    <x v="0"/>
  </r>
  <r>
    <d v="2026-07-23T00:00:00"/>
    <s v="Bright Rubber"/>
    <s v="General Purchase"/>
    <s v="GNSP 427"/>
    <s v="Purchase Withinstate- Stores, Spares &amp; Consumable"/>
    <s v="G24147"/>
    <d v="2026-07-13T00:00:00"/>
    <s v="Stores/Spares"/>
    <s v="Stitching Spares"/>
    <s v="Stores &amp; Spares"/>
    <s v="stores &amp;  spares"/>
    <s v="Frpfs ( Rubber Ped For Stand)"/>
    <n v="100"/>
    <n v="18000"/>
    <s v="Frpfs ( Rubber Ped For Stand)"/>
    <n v="21240"/>
    <n v="9"/>
    <n v="1620"/>
    <n v="9"/>
    <n v="1620"/>
    <n v="0"/>
    <n v="0"/>
    <n v="0"/>
    <n v="3240"/>
    <n v="0"/>
    <s v="24AACFB1249A1ZA"/>
    <s v="Pcs"/>
    <n v="84529099"/>
    <s v="Rs."/>
    <n v="1"/>
    <n v="0"/>
    <s v="India"/>
    <x v="0"/>
  </r>
  <r>
    <d v="2026-07-23T00:00:00"/>
    <s v="Lube Adhesive &amp; Engineering Co"/>
    <s v="General Purchase"/>
    <s v="GNCN 248"/>
    <s v="Purchase Withinstate- Stores, Spares &amp; Consumable"/>
    <n v="1277"/>
    <d v="2026-07-15T00:00:00"/>
    <s v="Stores/Spares"/>
    <s v="Circular Loom Spares"/>
    <s v="Stores &amp; Spares"/>
    <s v="Consumables"/>
    <s v="Speb - 7 Dunl0P"/>
    <n v="15"/>
    <n v="3885"/>
    <s v="Speb - 7 Dunl0P"/>
    <n v="4584"/>
    <n v="9"/>
    <n v="349.65"/>
    <n v="9"/>
    <n v="349.65"/>
    <n v="0"/>
    <n v="0"/>
    <n v="0"/>
    <n v="699.3"/>
    <n v="0"/>
    <s v="24AQYPM1863D1ZL"/>
    <s v="Ltr"/>
    <n v="82090090"/>
    <s v="Rs."/>
    <n v="1"/>
    <n v="0"/>
    <s v="India"/>
    <x v="0"/>
  </r>
  <r>
    <d v="2026-07-23T00:00:00"/>
    <s v="New Raj Fashion"/>
    <s v="General Purchase"/>
    <s v="GNCN 249"/>
    <s v="Purchase Withinstate- Stores, Spares &amp; Consumable"/>
    <n v="1972"/>
    <d v="2026-07-21T00:00:00"/>
    <s v="Consumables"/>
    <s v="Uniform/protective Item"/>
    <s v="Stores &amp; Spares"/>
    <s v="Consumables"/>
    <s v="Apron Navy Blue Color"/>
    <n v="426"/>
    <n v="80940"/>
    <s v="Apron Navy Blue Color"/>
    <n v="84987"/>
    <n v="2.5"/>
    <n v="2023.5"/>
    <n v="2.5"/>
    <n v="2023.5"/>
    <n v="0"/>
    <n v="0"/>
    <n v="0"/>
    <n v="4047"/>
    <n v="0"/>
    <s v="24ANNPS7434A1ZZ"/>
    <s v="Pcs"/>
    <n v="40159010"/>
    <s v="Rs."/>
    <n v="1"/>
    <n v="0"/>
    <s v="India"/>
    <x v="0"/>
  </r>
  <r>
    <d v="2026-07-23T00:00:00"/>
    <s v="Rajratan Electricals Pvt Ltd"/>
    <s v="General Purchase"/>
    <s v="GNSP 430"/>
    <s v="Purchase Withinstate- Stores, Spares &amp; Consumable"/>
    <s v="KH-1418-2627"/>
    <d v="2026-07-22T00:00:00"/>
    <s v="Stores/Spares"/>
    <s v="Lights/Fans"/>
    <s v="Stores &amp; Spares"/>
    <s v="stores &amp;  spares"/>
    <s v="Led Tube Light , 20 Watt , 3000 Lumens , Corvi Make"/>
    <n v="50"/>
    <n v="4500"/>
    <s v="Led Tube Light , 20 Watt , 3000 Lumens , Corvi Make"/>
    <n v="5310"/>
    <n v="9"/>
    <n v="405"/>
    <n v="9"/>
    <n v="405"/>
    <n v="0"/>
    <n v="0"/>
    <n v="0"/>
    <n v="810"/>
    <n v="0"/>
    <s v="24AAACV3059P1ZZ"/>
    <s v="Pcs"/>
    <n v="940540"/>
    <s v="Rs."/>
    <n v="1"/>
    <n v="0"/>
    <s v="India"/>
    <x v="0"/>
  </r>
  <r>
    <d v="2026-07-23T00:00:00"/>
    <s v="Rajratan Electricals Pvt Ltd"/>
    <s v="General Purchase"/>
    <s v="GNSP 431"/>
    <s v="Purchase Withinstate- Stores, Spares &amp; Consumable"/>
    <s v="KH-1417-2627"/>
    <d v="2026-07-22T00:00:00"/>
    <s v="Stores/Spares"/>
    <s v="Electrical Items/Spares"/>
    <s v="Stores &amp; Spares"/>
    <s v="stores &amp;  spares"/>
    <s v="Led Panel Light 2X2  36 Watt.   As 45"/>
    <n v="40"/>
    <n v="36000"/>
    <s v="Led Panel Light 2X2  36 Watt.   As 45"/>
    <n v="42480"/>
    <n v="9"/>
    <n v="3240"/>
    <n v="9"/>
    <n v="3240"/>
    <n v="0"/>
    <n v="0"/>
    <n v="0"/>
    <n v="6480"/>
    <n v="0"/>
    <s v="24AAACV3059P1ZZ"/>
    <s v="SET"/>
    <n v="94054090"/>
    <s v="Rs."/>
    <n v="1"/>
    <n v="0"/>
    <s v="India"/>
    <x v="0"/>
  </r>
  <r>
    <d v="2026-07-23T00:00:00"/>
    <s v="S.R.Sewing Tech"/>
    <s v="General Purchase"/>
    <s v="GNSP 426"/>
    <s v="Purchase Interstate- Stores, Spares &amp; Consumable"/>
    <s v="SR/587/26-27"/>
    <d v="2026-07-20T00:00:00"/>
    <s v="Stores/Spares"/>
    <s v="Stitching Spares"/>
    <s v="Stores &amp; Spares"/>
    <s v="stores &amp;  spares"/>
    <s v="Thread Hook 81310"/>
    <n v="10"/>
    <n v="2500"/>
    <s v="Thread Hook 81310"/>
    <n v="2625"/>
    <n v="0"/>
    <n v="0"/>
    <n v="0"/>
    <n v="0"/>
    <n v="5"/>
    <n v="125"/>
    <n v="0"/>
    <n v="125"/>
    <n v="0"/>
    <s v="19AORPR0945L1Z4"/>
    <s v="Pcs"/>
    <n v="84529099"/>
    <s v="Rs."/>
    <n v="1"/>
    <n v="0"/>
    <s v="India"/>
    <x v="0"/>
  </r>
  <r>
    <d v="2026-07-23T00:00:00"/>
    <s v="Saroj Textiles "/>
    <s v="General Purchase"/>
    <s v="GNSP 429"/>
    <s v="Purchase Interstate- Stores, Spares &amp; Consumable"/>
    <n v="72"/>
    <d v="2026-07-20T00:00:00"/>
    <s v="Stores/Spares"/>
    <s v="Sulzer Machine Spares"/>
    <s v="Stores &amp; Spares"/>
    <s v="stores &amp;  spares"/>
    <s v="Analog Oscillator Connecting Cable Part NO 911802267"/>
    <n v="2"/>
    <n v="5700"/>
    <s v="Analog Oscillator Connecting Cable Part NO 911802267"/>
    <n v="13806"/>
    <n v="0"/>
    <n v="0"/>
    <n v="0"/>
    <n v="0"/>
    <n v="18"/>
    <n v="1026"/>
    <n v="0"/>
    <n v="1026"/>
    <n v="0"/>
    <s v="08AHEPN1326P1Z2"/>
    <s v="Pcs"/>
    <n v="844810"/>
    <s v="Rs."/>
    <n v="1"/>
    <n v="0"/>
    <s v="India"/>
    <x v="0"/>
  </r>
  <r>
    <d v="2026-07-23T00:00:00"/>
    <s v="Saroj Textiles "/>
    <s v="General Purchase"/>
    <s v="GNSP 429"/>
    <s v="Purchase Interstate- Stores, Spares &amp; Consumable"/>
    <n v="72"/>
    <d v="2026-07-20T00:00:00"/>
    <s v="Stores/Spares"/>
    <s v="Sulzer Machine Spares"/>
    <s v="Stores &amp; Spares"/>
    <s v="stores &amp;  spares"/>
    <s v="Angle Sensor For Sulzer Loom P7100 Part No.911.302.508"/>
    <n v="2"/>
    <n v="6000"/>
    <s v="Angle Sensor For Sulzer Loom P7100 Part No.911.302.508"/>
    <n v="0"/>
    <n v="0"/>
    <n v="0"/>
    <n v="0"/>
    <n v="0"/>
    <n v="18"/>
    <n v="1080"/>
    <n v="0"/>
    <n v="1080"/>
    <n v="0"/>
    <s v="08AHEPN1326P1Z2"/>
    <s v="Pcs"/>
    <n v="844810"/>
    <s v="Rs."/>
    <n v="1"/>
    <n v="0"/>
    <s v="India"/>
    <x v="0"/>
  </r>
  <r>
    <d v="2026-07-23T00:00:00"/>
    <s v="Shree Maruti Spring And Engineers"/>
    <s v="General Purchase"/>
    <s v="GNSP 420"/>
    <s v="Purchase Withinstate- Stores, Spares &amp; Consumable"/>
    <s v="GST-26-27/286"/>
    <d v="2026-07-01T00:00:00"/>
    <s v="Stores/Spares"/>
    <s v="Hardware Items"/>
    <s v="Stores &amp; Spares"/>
    <s v="stores &amp;  spares"/>
    <s v="Spring"/>
    <n v="5"/>
    <n v="1000"/>
    <s v="Spring"/>
    <n v="1180"/>
    <n v="9"/>
    <n v="90"/>
    <n v="9"/>
    <n v="90"/>
    <n v="0"/>
    <n v="0"/>
    <n v="0"/>
    <n v="180"/>
    <n v="0"/>
    <s v="24CIRPP5007P1ZM"/>
    <s v="Pcs"/>
    <n v="73201011"/>
    <s v="Rs."/>
    <n v="1"/>
    <n v="0"/>
    <s v="India"/>
    <x v="0"/>
  </r>
  <r>
    <d v="2026-07-23T00:00:00"/>
    <s v="Swastik Marketing"/>
    <s v="General Purchase"/>
    <s v="GNCN 247"/>
    <s v="Purchase Withinstate- Stores, Spares &amp; Consumable"/>
    <s v="542/2026-27"/>
    <d v="2026-07-20T00:00:00"/>
    <s v="Stores/Spares"/>
    <s v="Circular Loom Spares"/>
    <s v="Stores &amp; Spares"/>
    <s v="stores &amp;  spares"/>
    <s v="Speb - 7 Dunl0P"/>
    <n v="30"/>
    <n v="6930"/>
    <s v="Speb - 7 Dunl0P"/>
    <n v="8177"/>
    <n v="9"/>
    <n v="623.70000000000005"/>
    <n v="9"/>
    <n v="623.70000000000005"/>
    <n v="0"/>
    <n v="0"/>
    <n v="0"/>
    <n v="1247.4000000000001"/>
    <n v="0"/>
    <s v="24AAWPR4477Q1ZG"/>
    <s v="Ltr"/>
    <n v="82090090"/>
    <s v="Rs."/>
    <n v="1"/>
    <n v="0"/>
    <s v="India"/>
    <x v="0"/>
  </r>
  <r>
    <d v="2026-07-23T00:00:00"/>
    <s v="Uni-Tex"/>
    <s v="General Purchase"/>
    <s v="GNSP 428"/>
    <s v="Purchase Interstate- Stores, Spares &amp; Consumable"/>
    <n v="364"/>
    <d v="2026-07-20T00:00:00"/>
    <s v="Stores/Spares"/>
    <s v="Sulzer Loom Spares"/>
    <n v="0"/>
    <s v="stores &amp;  spares"/>
    <s v="Counter Sunk Rivet (Harness Rivet Original Itema Weaving ) Part No.911-209-163"/>
    <n v="1000"/>
    <n v="22000"/>
    <s v="Counter Sunk Rivet (Harness Rivet Original Itema Weaving ) Part No.911-209-163"/>
    <n v="25960"/>
    <n v="0"/>
    <n v="0"/>
    <n v="0"/>
    <n v="0"/>
    <n v="18"/>
    <n v="3960"/>
    <n v="0"/>
    <n v="3960"/>
    <n v="0"/>
    <s v="08AHGPB9007M1Z8"/>
    <s v="Pcs"/>
    <n v="84463090"/>
    <s v="Rs."/>
    <n v="1"/>
    <n v="0"/>
    <s v="India"/>
    <x v="0"/>
  </r>
  <r>
    <d v="2026-07-24T00:00:00"/>
    <s v="Plastene Polyfilms Ltd-Purchase"/>
    <s v="R.M.P."/>
    <s v="RM 324"/>
    <s v="Purchase Withinstate - Raw Material"/>
    <s v="PPL/D/404"/>
    <d v="2026-07-24T00:00:00"/>
    <s v="FG"/>
    <s v="FIBC Bags"/>
    <s v="FIBC Bags"/>
    <s v="PP WOVEN BIG BAGS / SACKS"/>
    <s v="FIBC Bags With UV Without Liner"/>
    <n v="11190"/>
    <n v="2572581"/>
    <s v="FIBC Bags With UV Without Liner"/>
    <n v="5216030.29"/>
    <n v="9"/>
    <n v="231532.29"/>
    <n v="9"/>
    <n v="231532.29"/>
    <n v="0"/>
    <n v="0"/>
    <n v="0"/>
    <n v="463064.58"/>
    <n v="0"/>
    <s v="24AAFCP2956A1ZR"/>
    <s v="Kgs"/>
    <n v="63053200"/>
    <s v="Rs."/>
    <n v="1"/>
    <n v="11190"/>
    <s v="India"/>
    <x v="9"/>
  </r>
  <r>
    <d v="2026-07-24T00:00:00"/>
    <s v="Plastene Polyfilms Ltd-Purchase"/>
    <s v="R.M.P."/>
    <s v="RM 324"/>
    <s v="Purchase Withinstate - Raw Material"/>
    <s v="PPL/D/404"/>
    <d v="2026-07-24T00:00:00"/>
    <s v="FG"/>
    <s v="FIBC Bags"/>
    <s v="FIBC Bags"/>
    <s v="PP WOVEN BIG BAGS / SACKS"/>
    <s v="FIBC Bags With UV Without Liner"/>
    <n v="8189"/>
    <n v="1851532.9"/>
    <s v="FIBC Bags With UV Without Liner"/>
    <n v="0"/>
    <n v="9"/>
    <n v="166637.96"/>
    <n v="9"/>
    <n v="166637.96"/>
    <n v="0"/>
    <n v="0"/>
    <n v="0"/>
    <n v="333275.92"/>
    <n v="0"/>
    <s v="24AAFCP2956A1ZR"/>
    <s v="Kgs"/>
    <n v="63053200"/>
    <s v="Rs."/>
    <n v="1"/>
    <n v="8189"/>
    <s v="India"/>
    <x v="9"/>
  </r>
  <r>
    <d v="2026-07-26T00:00:00"/>
    <s v="HCP Plastene Bulkpack Limited - Purchase"/>
    <s v="R.M.P."/>
    <s v="RM 325"/>
    <s v="Purchase Withinstate - Raw Material"/>
    <s v="HPBL/D/410"/>
    <d v="2026-07-23T00:00:00"/>
    <s v="RM"/>
    <s v="Granules"/>
    <s v="PP Granules"/>
    <s v="PP Granuals"/>
    <s v="PP RIL H350FG"/>
    <n v="1250"/>
    <n v="169687.5"/>
    <s v="PP RIL H350FG"/>
    <n v="1046207.79"/>
    <n v="9"/>
    <n v="15271.88"/>
    <n v="9"/>
    <n v="15271.88"/>
    <n v="0"/>
    <n v="0"/>
    <n v="0"/>
    <n v="30543.759999999998"/>
    <n v="0"/>
    <s v="24AABCG1282C2Z6"/>
    <s v="Kgs"/>
    <n v="39021000"/>
    <s v="Rs."/>
    <n v="1"/>
    <n v="1250"/>
    <s v="India"/>
    <x v="8"/>
  </r>
  <r>
    <d v="2026-07-26T00:00:00"/>
    <s v="HCP Plastene Bulkpack Limited - Purchase"/>
    <s v="R.M.P."/>
    <s v="RM 325"/>
    <s v="Purchase Withinstate - Raw Material"/>
    <s v="HPBL/D/410"/>
    <d v="2026-07-23T00:00:00"/>
    <s v="SF"/>
    <s v="PP/PE Fabric"/>
    <s v="PP UL Fabric"/>
    <s v="PP WOVEN FABRIC"/>
    <s v="PP UL Fabric With UV"/>
    <n v="364"/>
    <n v="58054.36"/>
    <s v="PP UL Fabric With UV"/>
    <n v="0"/>
    <n v="9"/>
    <n v="5224.8900000000003"/>
    <n v="9"/>
    <n v="5224.8900000000003"/>
    <n v="0"/>
    <n v="0"/>
    <n v="0"/>
    <n v="10449.780000000001"/>
    <n v="0"/>
    <s v="24AABCG1282C2Z6"/>
    <s v="Kgs"/>
    <n v="39269080"/>
    <s v="Rs."/>
    <n v="1"/>
    <n v="364"/>
    <s v="India"/>
    <x v="1"/>
  </r>
  <r>
    <d v="2026-07-26T00:00:00"/>
    <s v="HCP Plastene Bulkpack Limited - Purchase"/>
    <s v="R.M.P."/>
    <s v="RM 325"/>
    <s v="Purchase Withinstate - Raw Material"/>
    <s v="HPBL/D/410"/>
    <d v="2026-07-23T00:00:00"/>
    <s v="SF"/>
    <s v="PP/PE Fabric"/>
    <s v="PP UL Fabric"/>
    <s v="PP WOVEN FABRIC"/>
    <s v="PP UL Fabric With UV"/>
    <n v="197"/>
    <n v="30434.53"/>
    <s v="PP UL Fabric With UV"/>
    <n v="0"/>
    <n v="9"/>
    <n v="2739.11"/>
    <n v="9"/>
    <n v="2739.11"/>
    <n v="0"/>
    <n v="0"/>
    <n v="0"/>
    <n v="5478.22"/>
    <n v="0"/>
    <s v="24AABCG1282C2Z6"/>
    <s v="Kgs"/>
    <n v="39269080"/>
    <s v="Rs."/>
    <n v="1"/>
    <n v="197"/>
    <s v="India"/>
    <x v="1"/>
  </r>
  <r>
    <d v="2026-07-26T00:00:00"/>
    <s v="HCP Plastene Bulkpack Limited - Purchase"/>
    <s v="R.M.P."/>
    <s v="RM 325"/>
    <s v="Purchase Withinstate - Raw Material"/>
    <s v="HPBL/D/410"/>
    <d v="2026-07-23T00:00:00"/>
    <s v="SF"/>
    <s v="PP/PE Fabric"/>
    <s v="PP UL Fabric"/>
    <s v="PP WOVEN FABRIC"/>
    <s v="PP UL Fabric With UV"/>
    <n v="286"/>
    <n v="61916.14"/>
    <s v="PP UL Fabric With UV"/>
    <n v="0"/>
    <n v="9"/>
    <n v="5572.45"/>
    <n v="9"/>
    <n v="5572.45"/>
    <n v="0"/>
    <n v="0"/>
    <n v="0"/>
    <n v="11144.9"/>
    <n v="0"/>
    <s v="24AABCG1282C2Z6"/>
    <s v="Kgs"/>
    <n v="39269080"/>
    <s v="Rs."/>
    <n v="1"/>
    <n v="286"/>
    <s v="India"/>
    <x v="1"/>
  </r>
  <r>
    <d v="2026-07-26T00:00:00"/>
    <s v="HCP Plastene Bulkpack Limited - Purchase"/>
    <s v="R.M.P."/>
    <s v="RM 325"/>
    <s v="Purchase Withinstate - Raw Material"/>
    <s v="HPBL/D/410"/>
    <d v="2026-07-23T00:00:00"/>
    <s v="SF"/>
    <s v="PP/PE Fabric"/>
    <s v="PP UL Fabric"/>
    <s v="PP WOVEN FABRIC"/>
    <s v="PP UL Fabric With UV"/>
    <n v="3625"/>
    <n v="567276.25"/>
    <s v="PP UL Fabric With UV"/>
    <n v="0"/>
    <n v="9"/>
    <n v="51054.86"/>
    <n v="9"/>
    <n v="51054.86"/>
    <n v="0"/>
    <n v="0"/>
    <n v="0"/>
    <n v="102109.72"/>
    <n v="0"/>
    <s v="24AABCG1282C2Z6"/>
    <s v="Kgs"/>
    <n v="39269080"/>
    <s v="Rs."/>
    <n v="1"/>
    <n v="3625"/>
    <s v="India"/>
    <x v="1"/>
  </r>
  <r>
    <d v="2026-07-26T00:00:00"/>
    <s v="HCP Plastene Bulkpack Limited - Purchase"/>
    <s v="R.M.P."/>
    <s v="RM 326"/>
    <s v="Purchase Withinstate - Raw Material"/>
    <s v="HPBL/D/412"/>
    <d v="2026-07-23T00:00:00"/>
    <s v="SF"/>
    <s v="PP/PE Fabric"/>
    <s v="PP UL Fabric"/>
    <s v="PP WOVEN FABRIC"/>
    <s v="PP UL Fabric With UV"/>
    <n v="63"/>
    <n v="10047.870000000001"/>
    <s v="PP UL Fabric With UV"/>
    <n v="11846.44"/>
    <n v="9"/>
    <n v="904.31"/>
    <n v="9"/>
    <n v="904.31"/>
    <n v="0"/>
    <n v="0"/>
    <n v="0"/>
    <n v="1808.62"/>
    <n v="0"/>
    <s v="24AABCG1282C2Z6"/>
    <s v="Kgs"/>
    <n v="39269080"/>
    <s v="Rs."/>
    <n v="1"/>
    <n v="63"/>
    <s v="India"/>
    <x v="1"/>
  </r>
  <r>
    <d v="2026-07-26T00:00:00"/>
    <s v="Plastene India ltd - Unit 1-Purchase"/>
    <s v="Purchase"/>
    <s v="GNPK 160"/>
    <s v="Purchase Withinstate- Packing Material"/>
    <s v="PIL1/D/1161"/>
    <d v="2026-07-23T00:00:00"/>
    <s v="Stores/Spares"/>
    <s v="MS Structure Items"/>
    <s v="Packing Materials"/>
    <s v="Packing Materials"/>
    <s v="MS Pipe 4  C Class"/>
    <n v="304"/>
    <n v="14592"/>
    <s v="MS Pipe 4  C Class"/>
    <n v="17203.97"/>
    <n v="9"/>
    <n v="1313.28"/>
    <n v="9"/>
    <n v="1313.28"/>
    <n v="0"/>
    <n v="0"/>
    <n v="0"/>
    <n v="2626.56"/>
    <n v="0"/>
    <s v="24AAACO3087C1ZT"/>
    <s v="Kgs"/>
    <n v="73063090"/>
    <s v="Rs."/>
    <n v="1"/>
    <n v="304"/>
    <s v="India"/>
    <x v="0"/>
  </r>
  <r>
    <d v="2026-07-26T00:00:00"/>
    <s v="Plastene India ltd - Unit 1-Purchase"/>
    <s v="Purchase"/>
    <s v="GNPK 161"/>
    <s v="Purchase Withinstate- Packing Material"/>
    <s v="PIL1/D/1171"/>
    <d v="2026-07-24T00:00:00"/>
    <s v="Stores/Spares"/>
    <s v="MS Structure Items"/>
    <s v="Packing Materials"/>
    <s v="Packing Materials"/>
    <s v="MS Pipe 4  C Class"/>
    <n v="206"/>
    <n v="9888"/>
    <s v="MS Pipe 4  C Class"/>
    <n v="11657.95"/>
    <n v="9"/>
    <n v="889.92"/>
    <n v="9"/>
    <n v="889.92"/>
    <n v="0"/>
    <n v="0"/>
    <n v="0"/>
    <n v="1779.84"/>
    <n v="0"/>
    <s v="24AAACO3087C1ZT"/>
    <s v="Kgs"/>
    <n v="73063090"/>
    <s v="Rs."/>
    <n v="1"/>
    <n v="0"/>
    <s v="India"/>
    <x v="0"/>
  </r>
  <r>
    <d v="2026-07-26T00:00:00"/>
    <s v="Plastene India ltd - Unit 1-Purchase"/>
    <s v="R.M.P."/>
    <s v="RM 328"/>
    <s v="Purchase Withinstate - Raw Material"/>
    <s v="PIL1/D/1162"/>
    <d v="2026-07-23T00:00:00"/>
    <s v="SF"/>
    <s v="PP/PE Fabric"/>
    <s v="PP UL Fabric"/>
    <s v="PP WOVEN FABRIC"/>
    <s v="PP UL Fabric With UV"/>
    <n v="512"/>
    <n v="75514.880000000005"/>
    <s v="PP UL Fabric With UV"/>
    <n v="1768798.43"/>
    <n v="9"/>
    <n v="6796.34"/>
    <n v="9"/>
    <n v="6796.34"/>
    <n v="0"/>
    <n v="0"/>
    <n v="0"/>
    <n v="13592.68"/>
    <n v="0"/>
    <s v="24AAACO3087C1ZT"/>
    <s v="Kgs"/>
    <n v="39269080"/>
    <s v="Rs."/>
    <n v="1"/>
    <n v="512"/>
    <s v="India"/>
    <x v="1"/>
  </r>
  <r>
    <d v="2026-07-26T00:00:00"/>
    <s v="Plastene India ltd - Unit 1-Purchase"/>
    <s v="R.M.P."/>
    <s v="RM 328"/>
    <s v="Purchase Withinstate - Raw Material"/>
    <s v="PIL1/D/1162"/>
    <d v="2026-07-23T00:00:00"/>
    <s v="SF"/>
    <s v="PP/PE Fabric"/>
    <s v="PP UL Fabric"/>
    <s v="PP WOVEN FABRIC"/>
    <s v="PP UL Fabric With UV"/>
    <n v="437"/>
    <n v="74941.13"/>
    <s v="PP UL Fabric With UV"/>
    <n v="0"/>
    <n v="9"/>
    <n v="6744.7"/>
    <n v="9"/>
    <n v="6744.7"/>
    <n v="0"/>
    <n v="0"/>
    <n v="0"/>
    <n v="13489.4"/>
    <n v="0"/>
    <s v="24AAACO3087C1ZT"/>
    <s v="Kgs"/>
    <n v="39269080"/>
    <s v="Rs."/>
    <n v="1"/>
    <n v="437"/>
    <s v="India"/>
    <x v="1"/>
  </r>
  <r>
    <d v="2026-07-26T00:00:00"/>
    <s v="Plastene India ltd - Unit 1-Purchase"/>
    <s v="R.M.P."/>
    <s v="RM 328"/>
    <s v="Purchase Withinstate - Raw Material"/>
    <s v="PIL1/D/1162"/>
    <d v="2026-07-23T00:00:00"/>
    <s v="SF"/>
    <s v="PP/PE Fabric"/>
    <s v="PP UL Fabric"/>
    <s v="PP WOVEN FABRIC"/>
    <s v="PP UL Fabric With UV"/>
    <n v="324"/>
    <n v="57182.76"/>
    <s v="PP UL Fabric With UV"/>
    <n v="0"/>
    <n v="9"/>
    <n v="5146.45"/>
    <n v="9"/>
    <n v="5146.45"/>
    <n v="0"/>
    <n v="0"/>
    <n v="0"/>
    <n v="10292.9"/>
    <n v="0"/>
    <s v="24AAACO3087C1ZT"/>
    <s v="Kgs"/>
    <n v="39269080"/>
    <s v="Rs."/>
    <n v="1"/>
    <n v="324"/>
    <s v="India"/>
    <x v="1"/>
  </r>
  <r>
    <d v="2026-07-26T00:00:00"/>
    <s v="Plastene India ltd - Unit 1-Purchase"/>
    <s v="R.M.P."/>
    <s v="RM 328"/>
    <s v="Purchase Withinstate - Raw Material"/>
    <s v="PIL1/D/1162"/>
    <d v="2026-07-23T00:00:00"/>
    <s v="SF"/>
    <s v="PP/PE Fabric"/>
    <s v="PP UL Fabric"/>
    <s v="PP WOVEN FABRIC"/>
    <s v="PP UL Fabric With UV"/>
    <n v="3363"/>
    <n v="502734.87"/>
    <s v="PP UL Fabric With UV"/>
    <n v="0"/>
    <n v="9"/>
    <n v="45246.14"/>
    <n v="9"/>
    <n v="45246.14"/>
    <n v="0"/>
    <n v="0"/>
    <n v="0"/>
    <n v="90492.28"/>
    <n v="0"/>
    <s v="24AAACO3087C1ZT"/>
    <s v="Kgs"/>
    <n v="39269080"/>
    <s v="Rs."/>
    <n v="1"/>
    <n v="3363"/>
    <s v="India"/>
    <x v="1"/>
  </r>
  <r>
    <d v="2026-07-26T00:00:00"/>
    <s v="Plastene India ltd - Unit 1-Purchase"/>
    <s v="R.M.P."/>
    <s v="RM 328"/>
    <s v="Purchase Withinstate - Raw Material"/>
    <s v="PIL1/D/1162"/>
    <d v="2026-07-23T00:00:00"/>
    <s v="SF"/>
    <s v="Yarn All"/>
    <s v="PP Yarn"/>
    <s v="PP MF Yarn"/>
    <s v="PP MF Yarn Twisted 1000 UV NW"/>
    <n v="415.2"/>
    <n v="64974.648000000001"/>
    <s v="PP MF Yarn Twisted 1000 UV NW"/>
    <n v="0"/>
    <n v="2.5"/>
    <n v="1624.37"/>
    <n v="2.5"/>
    <n v="1624.37"/>
    <n v="0"/>
    <n v="0"/>
    <n v="0"/>
    <n v="3248.74"/>
    <n v="0"/>
    <s v="24AAACO3087C1ZT"/>
    <s v="Kgs"/>
    <n v="54026930"/>
    <s v="Rs."/>
    <n v="1"/>
    <n v="415.2"/>
    <s v="India"/>
    <x v="3"/>
  </r>
  <r>
    <d v="2026-07-26T00:00:00"/>
    <s v="Plastene India ltd - Unit 1-Purchase"/>
    <s v="R.M.P."/>
    <s v="RM 328"/>
    <s v="Purchase Withinstate - Raw Material"/>
    <s v="PIL1/D/1162"/>
    <d v="2026-07-23T00:00:00"/>
    <s v="SF"/>
    <s v="Yarn All"/>
    <s v="PP Yarn"/>
    <s v="PP MF Yarn"/>
    <s v="PP MF Yarn Twisted 2500 Denier UV NW"/>
    <n v="337"/>
    <n v="53748.13"/>
    <s v="PP MF Yarn Twisted 2500 Denier UV NW"/>
    <n v="0"/>
    <n v="2.5"/>
    <n v="1343.7"/>
    <n v="2.5"/>
    <n v="1343.7"/>
    <n v="0"/>
    <n v="0"/>
    <n v="0"/>
    <n v="2687.4"/>
    <n v="0"/>
    <s v="24AAACO3087C1ZT"/>
    <s v="Kgs"/>
    <n v="54026300"/>
    <s v="Rs."/>
    <n v="1"/>
    <n v="337"/>
    <s v="India"/>
    <x v="3"/>
  </r>
  <r>
    <d v="2026-07-26T00:00:00"/>
    <s v="Plastene India ltd - Unit 1-Purchase"/>
    <s v="R.M.P."/>
    <s v="RM 328"/>
    <s v="Purchase Withinstate - Raw Material"/>
    <s v="PIL1/D/1162"/>
    <d v="2026-07-23T00:00:00"/>
    <s v="SF"/>
    <s v="PP/PE Fabric"/>
    <s v="PP Lam Fabric"/>
    <s v="PP LAMINETED FABRIC"/>
    <s v="PP Lam Fabric With UV"/>
    <n v="696"/>
    <n v="105437.04"/>
    <s v="PP Lam Fabric With UV"/>
    <n v="0"/>
    <n v="9"/>
    <n v="9489.33"/>
    <n v="9"/>
    <n v="9489.33"/>
    <n v="0"/>
    <n v="0"/>
    <n v="0"/>
    <n v="18978.66"/>
    <n v="0"/>
    <s v="24AAACO3087C1ZT"/>
    <s v="Kgs"/>
    <n v="63053300"/>
    <s v="Rs."/>
    <n v="1"/>
    <n v="696"/>
    <s v="India"/>
    <x v="2"/>
  </r>
  <r>
    <d v="2026-07-26T00:00:00"/>
    <s v="Plastene India ltd - Unit 1-Purchase"/>
    <s v="R.M.P."/>
    <s v="RM 328"/>
    <s v="Purchase Withinstate - Raw Material"/>
    <s v="PIL1/D/1162"/>
    <d v="2026-07-23T00:00:00"/>
    <s v="SF"/>
    <s v="PP/PE Fabric"/>
    <s v="PP Lam Fabric"/>
    <s v="PP LAMINETED FABRIC"/>
    <s v="PP Lam Fabric With UV"/>
    <n v="1371"/>
    <n v="211805.79"/>
    <s v="PP Lam Fabric With UV"/>
    <n v="0"/>
    <n v="9"/>
    <n v="19062.52"/>
    <n v="9"/>
    <n v="19062.52"/>
    <n v="0"/>
    <n v="0"/>
    <n v="0"/>
    <n v="38125.040000000001"/>
    <n v="0"/>
    <s v="24AAACO3087C1ZT"/>
    <s v="Kgs"/>
    <n v="63053300"/>
    <s v="Rs."/>
    <n v="1"/>
    <n v="1371"/>
    <s v="India"/>
    <x v="2"/>
  </r>
  <r>
    <d v="2026-07-26T00:00:00"/>
    <s v="Plastene India ltd - Unit 1-Purchase"/>
    <s v="R.M.P."/>
    <s v="RM 328"/>
    <s v="Purchase Withinstate - Raw Material"/>
    <s v="PIL1/D/1162"/>
    <d v="2026-07-23T00:00:00"/>
    <s v="SF"/>
    <s v="PP/PE Fabric"/>
    <s v="PP UL Fabric"/>
    <s v="PP WOVEN FABRIC"/>
    <s v="PP UL Fabric With UV"/>
    <n v="2540"/>
    <n v="367004.6"/>
    <s v="PP UL Fabric With UV"/>
    <n v="0"/>
    <n v="9"/>
    <n v="33030.410000000003"/>
    <n v="9"/>
    <n v="33030.410000000003"/>
    <n v="0"/>
    <n v="0"/>
    <n v="0"/>
    <n v="66060.820000000007"/>
    <n v="0"/>
    <s v="24AAACO3087C1ZT"/>
    <s v="Kgs"/>
    <n v="39269080"/>
    <s v="Rs."/>
    <n v="1"/>
    <n v="2540"/>
    <s v="India"/>
    <x v="1"/>
  </r>
  <r>
    <d v="2026-07-26T00:00:00"/>
    <s v="Plastene India ltd - Unit 1-Purchase"/>
    <s v="R.M.P."/>
    <s v="RM 330"/>
    <s v="Purchase Withinstate - Raw Material"/>
    <s v="PIL1/DE/26"/>
    <d v="2026-07-24T00:00:00"/>
    <s v="SF"/>
    <s v="PP/PE Fabric"/>
    <s v="PP UL Fabric"/>
    <s v="PP WOVEN FABRIC"/>
    <s v="PP UL Fabric With UV"/>
    <n v="181"/>
    <n v="71495"/>
    <s v="PP UL Fabric With UV"/>
    <n v="84292.5"/>
    <n v="9"/>
    <n v="6434.55"/>
    <n v="9"/>
    <n v="6434.55"/>
    <n v="0"/>
    <n v="0"/>
    <n v="0"/>
    <n v="12869.1"/>
    <n v="0"/>
    <s v="24AAACO3087C1ZT"/>
    <s v="Kgs"/>
    <n v="39269080"/>
    <s v="Rs."/>
    <n v="1"/>
    <n v="181"/>
    <s v="India"/>
    <x v="1"/>
  </r>
  <r>
    <d v="2026-07-26T00:00:00"/>
    <s v="Plastene India ltd - Unit 2-Purchase"/>
    <s v="R.M.P."/>
    <s v="RM 327"/>
    <s v="Purchase Withinstate - Raw Material"/>
    <s v="PIL2/D/402"/>
    <d v="2026-07-23T00:00:00"/>
    <s v="FG"/>
    <s v="Small Bags"/>
    <s v="PP Bags"/>
    <s v="PP WOVEN FABRIC"/>
    <s v="PP UL Bags Without UV"/>
    <n v="4.5999999999999996"/>
    <n v="490.36"/>
    <s v="PP UL Bags Without UV"/>
    <n v="12259.08"/>
    <n v="9"/>
    <n v="44.13"/>
    <n v="9"/>
    <n v="44.13"/>
    <n v="0"/>
    <n v="0"/>
    <n v="0"/>
    <n v="88.26"/>
    <n v="0"/>
    <s v="24AAACO3087C1ZT"/>
    <s v="Kgs"/>
    <n v="39232990"/>
    <s v="Rs."/>
    <n v="1"/>
    <n v="4.5999999999999996"/>
    <s v="India"/>
    <x v="16"/>
  </r>
  <r>
    <d v="2026-07-26T00:00:00"/>
    <s v="Plastene India ltd - Unit 2-Purchase"/>
    <s v="R.M.P."/>
    <s v="RM 327"/>
    <s v="Purchase Withinstate - Raw Material"/>
    <s v="PIL2/D/402"/>
    <d v="2026-07-23T00:00:00"/>
    <s v="SF"/>
    <s v="Liners"/>
    <s v="LDPE/LLDPE Bags"/>
    <s v="LLDPE Film"/>
    <s v="PE Labels (Pcs)"/>
    <n v="38.200000000000003"/>
    <n v="6500"/>
    <s v="PE Labels (Pcs)"/>
    <n v="0"/>
    <n v="9"/>
    <n v="585"/>
    <n v="9"/>
    <n v="585"/>
    <n v="0"/>
    <n v="0"/>
    <n v="0"/>
    <n v="1170"/>
    <n v="0"/>
    <s v="24AAACO3087C1ZT"/>
    <s v="Kgs"/>
    <n v="392300"/>
    <s v="Rs."/>
    <n v="1"/>
    <n v="38.200000000000003"/>
    <s v="India"/>
    <x v="0"/>
  </r>
  <r>
    <d v="2026-07-26T00:00:00"/>
    <s v="Plastene India ltd - Unit 2-Purchase"/>
    <s v="R.M.P."/>
    <s v="RM 327"/>
    <s v="Purchase Withinstate - Raw Material"/>
    <s v="PIL2/D/402"/>
    <d v="2026-07-23T00:00:00"/>
    <s v="SF"/>
    <s v="Liners"/>
    <s v="LDPE/LLDPE Bags"/>
    <s v="LLDPE Film"/>
    <s v="PE Labels (Pcs)"/>
    <n v="4.5999999999999996"/>
    <n v="3407.5"/>
    <s v="PE Labels (Pcs)"/>
    <n v="0"/>
    <n v="9"/>
    <n v="306.68"/>
    <n v="9"/>
    <n v="306.68"/>
    <n v="0"/>
    <n v="0"/>
    <n v="0"/>
    <n v="613.36"/>
    <n v="0"/>
    <s v="24AAACO3087C1ZT"/>
    <s v="Kgs"/>
    <n v="392300"/>
    <s v="Rs."/>
    <n v="1"/>
    <n v="4.5999999999999996"/>
    <s v="India"/>
    <x v="0"/>
  </r>
  <r>
    <d v="2026-07-28T00:00:00"/>
    <s v="Abhinandan Plastopack"/>
    <s v="Purchase"/>
    <s v="GNPK 165"/>
    <s v="Purchase Withinstate- Packing Material"/>
    <s v="A1341/26-27"/>
    <d v="2026-07-27T00:00:00"/>
    <s v="Packing Material"/>
    <s v="Packaging Material"/>
    <s v="Packing Materials"/>
    <s v="Packing Materials"/>
    <s v="Plastic Pallet"/>
    <n v="30"/>
    <n v="25440"/>
    <s v="Plastic Pallet"/>
    <n v="30019"/>
    <n v="9"/>
    <n v="2289.6"/>
    <n v="9"/>
    <n v="2289.6"/>
    <n v="0"/>
    <n v="0"/>
    <n v="0"/>
    <n v="4579.2"/>
    <n v="0"/>
    <s v="24AAWFA6103E1ZO"/>
    <s v="Pcs"/>
    <n v="39239090"/>
    <s v="Rs."/>
    <n v="1"/>
    <n v="0"/>
    <s v="India"/>
    <x v="0"/>
  </r>
  <r>
    <d v="2026-07-28T00:00:00"/>
    <s v="Arham Cams Pvt Ltd"/>
    <s v="General Purchase"/>
    <s v="GNSP 447"/>
    <s v="Purchase Withinstate- Stores, Spares &amp; Consumable"/>
    <s v="GST/183"/>
    <d v="2026-07-25T00:00:00"/>
    <s v="Stores/Spares"/>
    <s v="Sulzer Machine Spares"/>
    <s v="Stores &amp; Spares"/>
    <s v="stores &amp;  spares"/>
    <s v="Gripper Foot Su"/>
    <n v="25"/>
    <n v="1625"/>
    <s v="Gripper Foot Su"/>
    <n v="13482"/>
    <n v="9"/>
    <n v="150.75"/>
    <n v="9"/>
    <n v="150.75"/>
    <n v="0"/>
    <n v="0"/>
    <n v="0"/>
    <n v="301.5"/>
    <n v="0"/>
    <s v="24AAICA0799H1ZK"/>
    <s v="Pcs"/>
    <n v="84484990"/>
    <s v="Rs."/>
    <n v="1"/>
    <n v="0"/>
    <s v="India"/>
    <x v="0"/>
  </r>
  <r>
    <d v="2026-07-28T00:00:00"/>
    <s v="Arham Cams Pvt Ltd"/>
    <s v="General Purchase"/>
    <s v="GNSP 447"/>
    <s v="Purchase Withinstate- Stores, Spares &amp; Consumable"/>
    <s v="GST/183"/>
    <d v="2026-07-25T00:00:00"/>
    <s v="Stores/Spares"/>
    <s v="Sulzer Machine Spares"/>
    <s v="Stores &amp; Spares"/>
    <s v="stores &amp;  spares"/>
    <s v="Gripper Foot F A"/>
    <n v="150"/>
    <n v="9750"/>
    <s v="Gripper Foot F A"/>
    <n v="0"/>
    <n v="9"/>
    <n v="877.5"/>
    <n v="9"/>
    <n v="877.5"/>
    <n v="0"/>
    <n v="0"/>
    <n v="0"/>
    <n v="1755"/>
    <n v="0"/>
    <s v="24AAICA0799H1ZK"/>
    <s v="Pcs"/>
    <n v="844810"/>
    <s v="Rs."/>
    <n v="1"/>
    <n v="0"/>
    <s v="India"/>
    <x v="0"/>
  </r>
  <r>
    <d v="2026-07-28T00:00:00"/>
    <s v="Arham Cams Pvt Ltd"/>
    <s v="General Purchase"/>
    <s v="GNSP 448"/>
    <s v="Purchase Withinstate- Stores, Spares &amp; Consumable"/>
    <s v="GST-181"/>
    <d v="2026-07-25T00:00:00"/>
    <s v="Stores/Spares"/>
    <s v="Sulzer Machine Spares"/>
    <s v="Stores &amp; Spares"/>
    <s v="stores &amp;  spares"/>
    <s v="Main shaft Bush 50/62x38, 911.715.007"/>
    <n v="2"/>
    <n v="2900"/>
    <s v="Main shaft Bush 50/62x38, 911.715.007"/>
    <n v="3540"/>
    <n v="9"/>
    <n v="270"/>
    <n v="9"/>
    <n v="270"/>
    <n v="0"/>
    <n v="0"/>
    <n v="0"/>
    <n v="540"/>
    <n v="0"/>
    <s v="24AAICA0799H1ZK"/>
    <s v="Pcs"/>
    <n v="84484990"/>
    <s v="Rs."/>
    <n v="1"/>
    <n v="0"/>
    <s v="India"/>
    <x v="0"/>
  </r>
  <r>
    <d v="2026-07-28T00:00:00"/>
    <s v="Arham Cams Pvt Ltd"/>
    <s v="General Purchase"/>
    <s v="GNSP 449"/>
    <s v="Purchase Withinstate- Stores, Spares &amp; Consumable"/>
    <s v="GST-182"/>
    <d v="2026-07-25T00:00:00"/>
    <s v="Stores/Spares"/>
    <s v="Sulzer Machine Spares"/>
    <s v="Stores &amp; Spares"/>
    <s v="stores &amp;  spares"/>
    <s v="Bush For Picking Shaft :912122205"/>
    <n v="2"/>
    <n v="2400"/>
    <s v="Bush For Picking Shaft :912122205"/>
    <n v="2832"/>
    <n v="9"/>
    <n v="216"/>
    <n v="9"/>
    <n v="216"/>
    <n v="0"/>
    <n v="0"/>
    <n v="0"/>
    <n v="432"/>
    <n v="0"/>
    <s v="24AAICA0799H1ZK"/>
    <s v="Pcs"/>
    <n v="844810"/>
    <s v="Rs."/>
    <n v="1"/>
    <n v="0"/>
    <s v="India"/>
    <x v="0"/>
  </r>
  <r>
    <d v="2026-07-28T00:00:00"/>
    <s v="Aum Polypack"/>
    <s v="Purchase"/>
    <s v="GNPK 164"/>
    <s v="Purchase Withinstate- Packing Material"/>
    <s v="GST/980/26-27"/>
    <d v="2026-07-27T00:00:00"/>
    <s v="Packing Material"/>
    <s v="Stretch Film"/>
    <s v="Packing Materials"/>
    <s v="Packing Materials"/>
    <s v="Pre Stretched Film of 9-12 micron"/>
    <n v="1503.38"/>
    <n v="210473.2"/>
    <s v="Pre Stretched Film of 9-12 micron"/>
    <n v="248358"/>
    <n v="9"/>
    <n v="18942.59"/>
    <n v="9"/>
    <n v="18942.59"/>
    <n v="0"/>
    <n v="0"/>
    <n v="0"/>
    <n v="37885.18"/>
    <n v="0"/>
    <s v="24CGYPP7498D1ZI"/>
    <s v="Kgs"/>
    <n v="84778090"/>
    <s v="Rs."/>
    <n v="1"/>
    <n v="0"/>
    <s v="India"/>
    <x v="0"/>
  </r>
  <r>
    <d v="2026-07-28T00:00:00"/>
    <s v="Axle Steel &amp; Fasteners"/>
    <s v="General Purchase"/>
    <s v="GNSP 436"/>
    <s v="Purchase Withinstate- Stores, Spares &amp; Consumable"/>
    <s v="0607/26-27"/>
    <d v="2026-07-21T00:00:00"/>
    <s v="Consumables"/>
    <s v="Uniform/protective Item"/>
    <s v="Stores &amp; Spares"/>
    <s v="stores &amp;  spares"/>
    <s v="Surgical Hand Gloves"/>
    <n v="100"/>
    <n v="450"/>
    <s v="Surgical Hand Gloves"/>
    <n v="578"/>
    <n v="9"/>
    <n v="13.75"/>
    <n v="9"/>
    <n v="13.75"/>
    <n v="0"/>
    <n v="0"/>
    <n v="0"/>
    <n v="27.5"/>
    <n v="0"/>
    <s v="24AAYFA5084G1Z4"/>
    <s v="PAIR"/>
    <n v="4015110"/>
    <s v="Rs."/>
    <n v="1"/>
    <n v="0"/>
    <s v="India"/>
    <x v="0"/>
  </r>
  <r>
    <d v="2026-07-28T00:00:00"/>
    <s v="CTM Technical Textiles Limited"/>
    <s v="R.M.P."/>
    <s v="RM 337"/>
    <s v="Purchase Withinstate - Raw Material"/>
    <s v="CTM/26-27/0490"/>
    <d v="2026-07-27T00:00:00"/>
    <s v="SF"/>
    <s v="PP/PE Fabric"/>
    <s v="HD UL Fabric"/>
    <s v="PP WOVEN FABRIC"/>
    <s v="HD UL Fabric With UV (Raschel Fabric)"/>
    <n v="1421"/>
    <n v="295458.58299999998"/>
    <s v="HD UL Fabric With UV (Raschel Fabric)"/>
    <n v="310232"/>
    <n v="2.5"/>
    <n v="7386.46"/>
    <n v="2.5"/>
    <n v="7386.46"/>
    <n v="0"/>
    <n v="0"/>
    <n v="0"/>
    <n v="14772.92"/>
    <n v="0"/>
    <s v="24AACCC9379D1ZM"/>
    <s v="Kgs"/>
    <n v="60059000"/>
    <s v="Rs."/>
    <n v="1"/>
    <n v="1421"/>
    <s v="India"/>
    <x v="15"/>
  </r>
  <r>
    <d v="2026-07-28T00:00:00"/>
    <s v="Fourwents Engineering Company"/>
    <s v="General Purchase"/>
    <s v="GNSP 440"/>
    <s v="Purchase Withinstate- Stores, Spares &amp; Consumable"/>
    <s v="G/2627/47"/>
    <d v="2026-07-23T00:00:00"/>
    <s v="Stores/Spares"/>
    <s v="Tape Plant Spares"/>
    <s v="Stores &amp; Spares"/>
    <s v="stores &amp;  spares"/>
    <s v="Seal Kit/Repairing Kit For 'Fourwents' Rotary Union"/>
    <n v="2"/>
    <n v="31800"/>
    <s v="Seal Kit/Repairing Kit For ''Fourwents'' Rotary Union"/>
    <n v="37524"/>
    <n v="9"/>
    <n v="2862"/>
    <n v="9"/>
    <n v="2862"/>
    <n v="0"/>
    <n v="0"/>
    <n v="0"/>
    <n v="5724"/>
    <n v="0"/>
    <s v="24AAAFF2180N1ZH"/>
    <s v="Pcs"/>
    <n v="845290"/>
    <s v="Rs."/>
    <n v="1"/>
    <n v="0"/>
    <s v="Ireland"/>
    <x v="0"/>
  </r>
  <r>
    <d v="2026-07-28T00:00:00"/>
    <s v="Global Industries"/>
    <s v="General Purchase"/>
    <s v="GNSP 438"/>
    <s v="Purchase Withinstate- Stores, Spares &amp; Consumable"/>
    <s v="GIGST4282627"/>
    <d v="2026-07-22T00:00:00"/>
    <s v="Stores/Spares"/>
    <s v="Needle Loom Spares"/>
    <s v="Stores &amp; Spares"/>
    <s v="stores &amp;  spares"/>
    <s v="Latch Needle Clamp  5820"/>
    <n v="20"/>
    <n v="1606"/>
    <s v="Latch Needle Clamp  5820"/>
    <n v="26955.34"/>
    <n v="9"/>
    <n v="144.54"/>
    <n v="9"/>
    <n v="144.54"/>
    <n v="0"/>
    <n v="0"/>
    <n v="0"/>
    <n v="289.08"/>
    <n v="0"/>
    <s v="24AADFG7242B1ZX"/>
    <s v="Pcs"/>
    <n v="844649"/>
    <s v="Rs."/>
    <n v="1"/>
    <n v="0"/>
    <s v="India"/>
    <x v="0"/>
  </r>
  <r>
    <d v="2026-07-28T00:00:00"/>
    <s v="Global Industries"/>
    <s v="General Purchase"/>
    <s v="GNSP 438"/>
    <s v="Purchase Withinstate- Stores, Spares &amp; Consumable"/>
    <s v="GIGST4282627"/>
    <d v="2026-07-22T00:00:00"/>
    <s v="Stores/Spares"/>
    <s v="Needle Loom Spares"/>
    <s v="Stores &amp; Spares"/>
    <s v="stores &amp;  spares"/>
    <s v="Latch Needle Holder 5824"/>
    <n v="10"/>
    <n v="1642.5"/>
    <s v="Latch Needle Holder 5824"/>
    <n v="0"/>
    <n v="9"/>
    <n v="147.82"/>
    <n v="9"/>
    <n v="147.82"/>
    <n v="0"/>
    <n v="0"/>
    <n v="0"/>
    <n v="295.64"/>
    <n v="0"/>
    <s v="24AADFG7242B1ZX"/>
    <s v="Pcs"/>
    <n v="844649"/>
    <s v="Rs."/>
    <n v="1"/>
    <n v="0"/>
    <s v="India"/>
    <x v="0"/>
  </r>
  <r>
    <d v="2026-07-28T00:00:00"/>
    <s v="Global Industries"/>
    <s v="General Purchase"/>
    <s v="GNSP 438"/>
    <s v="Purchase Withinstate- Stores, Spares &amp; Consumable"/>
    <s v="GIGST4282627"/>
    <d v="2026-07-22T00:00:00"/>
    <s v="Stores/Spares"/>
    <s v="Needle Loom Spares"/>
    <s v="Stores &amp; Spares"/>
    <s v="stores &amp;  spares"/>
    <s v="Front Reed 4/75"/>
    <n v="30"/>
    <n v="10950"/>
    <s v="Front Reed 4/75"/>
    <n v="0"/>
    <n v="9"/>
    <n v="985.5"/>
    <n v="9"/>
    <n v="985.5"/>
    <n v="0"/>
    <n v="0"/>
    <n v="0"/>
    <n v="1971"/>
    <n v="0"/>
    <s v="24AADFG7242B1ZX"/>
    <s v="Pcs"/>
    <n v="844610"/>
    <s v="Rs."/>
    <n v="1"/>
    <n v="0"/>
    <s v="India"/>
    <x v="0"/>
  </r>
  <r>
    <d v="2026-07-28T00:00:00"/>
    <s v="Global Industries"/>
    <s v="General Purchase"/>
    <s v="GNSP 438"/>
    <s v="Purchase Withinstate- Stores, Spares &amp; Consumable"/>
    <s v="GIGST4282627"/>
    <d v="2026-07-22T00:00:00"/>
    <s v="Stores/Spares"/>
    <s v="Hardware Items"/>
    <s v="Stores &amp; Spares"/>
    <s v="stores &amp;  spares"/>
    <s v="Bolt 8230"/>
    <n v="20"/>
    <n v="3285"/>
    <s v="Bolt 8230"/>
    <n v="0"/>
    <n v="9"/>
    <n v="318.14999999999998"/>
    <n v="9"/>
    <n v="318.14999999999998"/>
    <n v="0"/>
    <n v="0"/>
    <n v="0"/>
    <n v="636.29999999999995"/>
    <n v="0"/>
    <s v="24AADFG7242B1ZX"/>
    <s v="Pcs"/>
    <n v="844621"/>
    <s v="Rs."/>
    <n v="1"/>
    <n v="0"/>
    <s v="India"/>
    <x v="0"/>
  </r>
  <r>
    <d v="2026-07-28T00:00:00"/>
    <s v="Global Industries"/>
    <s v="General Purchase"/>
    <s v="GNSP 438"/>
    <s v="Purchase Withinstate- Stores, Spares &amp; Consumable"/>
    <s v="GIGST4282627"/>
    <d v="2026-07-22T00:00:00"/>
    <s v="Stores/Spares"/>
    <s v="Needle Loom Spares"/>
    <s v="Stores &amp; Spares"/>
    <s v="stores &amp;  spares"/>
    <s v="Pinion Intermediate  8234"/>
    <n v="10"/>
    <n v="5110"/>
    <s v="Pinion Intermediate  8234"/>
    <n v="0"/>
    <n v="9"/>
    <n v="459.9"/>
    <n v="9"/>
    <n v="459.9"/>
    <n v="0"/>
    <n v="0"/>
    <n v="0"/>
    <n v="919.8"/>
    <n v="0"/>
    <s v="24AADFG7242B1ZX"/>
    <s v="Pcs"/>
    <n v="844649"/>
    <s v="Rs."/>
    <n v="1"/>
    <n v="0"/>
    <s v="India"/>
    <x v="0"/>
  </r>
  <r>
    <d v="2026-07-28T00:00:00"/>
    <s v="HCP Plastene Bulkpack Limited - Purchase"/>
    <s v="R.M.P."/>
    <s v="RM 334"/>
    <s v="Purchase Withinstate - Raw Material"/>
    <s v="HPBL/D/422"/>
    <d v="2026-07-26T00:00:00"/>
    <s v="SF"/>
    <s v="PP/PE Fabric"/>
    <s v="PP Lam Fabric"/>
    <s v="PP LAMINETED FABRIC"/>
    <s v="PP Lam Fabric With UV"/>
    <n v="3383"/>
    <n v="536171.67000000004"/>
    <s v="PP Lam Fabric With UV"/>
    <n v="1035323.14"/>
    <n v="9"/>
    <n v="48255.45"/>
    <n v="9"/>
    <n v="48255.45"/>
    <n v="0"/>
    <n v="0"/>
    <n v="0"/>
    <n v="96510.9"/>
    <n v="0"/>
    <s v="24AABCG1282C2Z6"/>
    <s v="Kgs"/>
    <n v="63053300"/>
    <s v="Rs."/>
    <n v="1"/>
    <n v="3383"/>
    <s v="India"/>
    <x v="2"/>
  </r>
  <r>
    <d v="2026-07-28T00:00:00"/>
    <s v="HCP Plastene Bulkpack Limited - Purchase"/>
    <s v="R.M.P."/>
    <s v="RM 334"/>
    <s v="Purchase Withinstate - Raw Material"/>
    <s v="HPBL/D/422"/>
    <d v="2026-07-26T00:00:00"/>
    <s v="SF"/>
    <s v="PP/PE Fabric"/>
    <s v="PP UL Fabric"/>
    <s v="PP WOVEN FABRIC"/>
    <s v="PP UL Fabric With UV"/>
    <n v="601"/>
    <n v="130110.49"/>
    <s v="PP UL Fabric With UV"/>
    <n v="0"/>
    <n v="9"/>
    <n v="11709.94"/>
    <n v="9"/>
    <n v="11709.94"/>
    <n v="0"/>
    <n v="0"/>
    <n v="0"/>
    <n v="23419.88"/>
    <n v="0"/>
    <s v="24AABCG1282C2Z6"/>
    <s v="Kgs"/>
    <n v="39269080"/>
    <s v="Rs."/>
    <n v="1"/>
    <n v="601"/>
    <s v="India"/>
    <x v="1"/>
  </r>
  <r>
    <d v="2026-07-28T00:00:00"/>
    <s v="HCP Plastene Bulkpack Limited - Purchase"/>
    <s v="R.M.P."/>
    <s v="RM 334"/>
    <s v="Purchase Withinstate - Raw Material"/>
    <s v="HPBL/D/422"/>
    <d v="2026-07-26T00:00:00"/>
    <s v="SF"/>
    <s v="PP/PE Fabric"/>
    <s v="PP UL Fabric"/>
    <s v="PP WOVEN FABRIC"/>
    <s v="PP UL Fabric With UV"/>
    <n v="302"/>
    <n v="48165.98"/>
    <s v="PP UL Fabric With UV"/>
    <n v="0"/>
    <n v="9"/>
    <n v="4334.9399999999996"/>
    <n v="9"/>
    <n v="4334.9399999999996"/>
    <n v="0"/>
    <n v="0"/>
    <n v="0"/>
    <n v="8669.8799999999992"/>
    <n v="0"/>
    <s v="24AABCG1282C2Z6"/>
    <s v="Kgs"/>
    <n v="39269080"/>
    <s v="Rs."/>
    <n v="1"/>
    <n v="302"/>
    <s v="India"/>
    <x v="1"/>
  </r>
  <r>
    <d v="2026-07-28T00:00:00"/>
    <s v="HCP Plastene Bulkpack Limited - Purchase"/>
    <s v="R.M.P."/>
    <s v="RM 334"/>
    <s v="Purchase Withinstate - Raw Material"/>
    <s v="HPBL/D/422"/>
    <d v="2026-07-26T00:00:00"/>
    <s v="SF"/>
    <s v="PP/PE Fabric"/>
    <s v="PP UL Fabric"/>
    <s v="PP WOVEN FABRIC"/>
    <s v="PP UL Fabric With UV"/>
    <n v="1046"/>
    <n v="163688.54"/>
    <s v="PP UL Fabric With UV"/>
    <n v="0"/>
    <n v="9"/>
    <n v="14731.97"/>
    <n v="9"/>
    <n v="14731.97"/>
    <n v="0"/>
    <n v="0"/>
    <n v="0"/>
    <n v="29463.94"/>
    <n v="0"/>
    <s v="24AABCG1282C2Z6"/>
    <s v="Kgs"/>
    <n v="39269080"/>
    <s v="Rs."/>
    <n v="1"/>
    <n v="1046"/>
    <s v="India"/>
    <x v="1"/>
  </r>
  <r>
    <d v="2026-07-28T00:00:00"/>
    <s v="HCP Plastene Bulkpack Limited - Purchase"/>
    <s v="R.M.P."/>
    <s v="RM 341"/>
    <s v="Purchase Withinstate - Raw Material"/>
    <s v="HPBL/D/430"/>
    <d v="2026-07-28T00:00:00"/>
    <s v="SF"/>
    <s v="PP/PE Fabric"/>
    <s v="PP UL Fabric"/>
    <s v="PP WOVEN FABRIC"/>
    <s v="PP UL Fabric With UV"/>
    <n v="5599"/>
    <n v="876187.51"/>
    <s v="PP UL Fabric With UV"/>
    <n v="1289822.76"/>
    <n v="9"/>
    <n v="78856.88"/>
    <n v="9"/>
    <n v="78856.88"/>
    <n v="0"/>
    <n v="0"/>
    <n v="0"/>
    <n v="157713.76"/>
    <n v="0"/>
    <s v="24AABCG1282C2Z6"/>
    <s v="Kgs"/>
    <n v="39269080"/>
    <s v="Rs."/>
    <n v="1"/>
    <n v="5599"/>
    <s v="India"/>
    <x v="1"/>
  </r>
  <r>
    <d v="2026-07-28T00:00:00"/>
    <s v="HCP Plastene Bulkpack Limited - Purchase"/>
    <s v="R.M.P."/>
    <s v="RM 341"/>
    <s v="Purchase Withinstate - Raw Material"/>
    <s v="HPBL/D/430"/>
    <d v="2026-07-28T00:00:00"/>
    <s v="SF"/>
    <s v="PP/PE Fabric"/>
    <s v="PP UL Fabric"/>
    <s v="PP WOVEN FABRIC"/>
    <s v="PP UL Fabric With UV"/>
    <n v="65"/>
    <n v="10366.85"/>
    <s v="PP UL Fabric With UV"/>
    <n v="0"/>
    <n v="9"/>
    <n v="933.02"/>
    <n v="9"/>
    <n v="933.02"/>
    <n v="0"/>
    <n v="0"/>
    <n v="0"/>
    <n v="1866.04"/>
    <n v="0"/>
    <s v="24AABCG1282C2Z6"/>
    <s v="Kgs"/>
    <n v="39269080"/>
    <s v="Rs."/>
    <n v="1"/>
    <n v="65"/>
    <s v="India"/>
    <x v="1"/>
  </r>
  <r>
    <d v="2026-07-28T00:00:00"/>
    <s v="HCP Plastene Bulkpack Limited - Purchase"/>
    <s v="R.M.P."/>
    <s v="RM 341"/>
    <s v="Purchase Withinstate - Raw Material"/>
    <s v="HPBL/D/430"/>
    <d v="2026-07-28T00:00:00"/>
    <s v="SF"/>
    <s v="PP/PE Fabric"/>
    <s v="PP UL Fabric"/>
    <s v="PP WOVEN FABRIC"/>
    <s v="PP UL Fabric With UV"/>
    <n v="575"/>
    <n v="124481.75"/>
    <s v="PP UL Fabric With UV"/>
    <n v="0"/>
    <n v="9"/>
    <n v="11203.36"/>
    <n v="9"/>
    <n v="11203.36"/>
    <n v="0"/>
    <n v="0"/>
    <n v="0"/>
    <n v="22406.720000000001"/>
    <n v="0"/>
    <s v="24AABCG1282C2Z6"/>
    <s v="Kgs"/>
    <n v="39269080"/>
    <s v="Rs."/>
    <n v="1"/>
    <n v="575"/>
    <s v="India"/>
    <x v="1"/>
  </r>
  <r>
    <d v="2026-07-28T00:00:00"/>
    <s v="HCP Plastene Bulkpack Limited - Purchase"/>
    <s v="R.M.P."/>
    <s v="RM 341"/>
    <s v="Purchase Withinstate - Raw Material"/>
    <s v="HPBL/D/430"/>
    <d v="2026-07-28T00:00:00"/>
    <s v="SF"/>
    <s v="PP/PE Fabric"/>
    <s v="PP UL Fabric"/>
    <s v="PP WOVEN FABRIC"/>
    <s v="PP UL Fabric With UV"/>
    <n v="537"/>
    <n v="82961.13"/>
    <s v="PP UL Fabric With UV"/>
    <n v="0"/>
    <n v="9"/>
    <n v="7466.5"/>
    <n v="9"/>
    <n v="7466.5"/>
    <n v="0"/>
    <n v="0"/>
    <n v="0"/>
    <n v="14933"/>
    <n v="0"/>
    <s v="24AABCG1282C2Z6"/>
    <s v="Kgs"/>
    <n v="39269080"/>
    <s v="Rs."/>
    <n v="1"/>
    <n v="537"/>
    <s v="India"/>
    <x v="1"/>
  </r>
  <r>
    <d v="2026-07-28T00:00:00"/>
    <s v="Hcp Plastene Bulkpack Ltd (Unit-Iv) - Purchase"/>
    <s v="R.M.P."/>
    <s v="RM 332"/>
    <s v="Purchase Withinstate - Raw Material"/>
    <s v="HPBL4/ME/9"/>
    <d v="2026-07-28T00:00:00"/>
    <s v="FG"/>
    <s v="FIBC Bags"/>
    <s v="FIBC Bags"/>
    <s v="PP WOVEN BIG BAGS / SACKS"/>
    <s v="FIBC Bags With UV Without Liner"/>
    <n v="4720"/>
    <n v="956366.4"/>
    <s v="FIBC Bags With UV Without Liner"/>
    <n v="3818755.66"/>
    <n v="0.05"/>
    <n v="478.18"/>
    <n v="0.05"/>
    <n v="478.18"/>
    <n v="0"/>
    <n v="0"/>
    <n v="0"/>
    <n v="956.36"/>
    <n v="0"/>
    <s v="24AABCG1282C2Z6"/>
    <s v="Kgs"/>
    <n v="63053200"/>
    <s v="Rs."/>
    <n v="1"/>
    <n v="4720"/>
    <s v="India"/>
    <x v="9"/>
  </r>
  <r>
    <d v="2026-07-28T00:00:00"/>
    <s v="Hcp Plastene Bulkpack Ltd (Unit-Iv) - Purchase"/>
    <s v="R.M.P."/>
    <s v="RM 332"/>
    <s v="Purchase Withinstate - Raw Material"/>
    <s v="HPBL4/ME/9"/>
    <d v="2026-07-28T00:00:00"/>
    <s v="FG"/>
    <s v="FIBC Bags"/>
    <s v="FIBC Bags"/>
    <s v="PP WOVEN BIG BAGS / SACKS"/>
    <s v="FIBC Bags With UV Without Liner"/>
    <n v="4420"/>
    <n v="890055.4"/>
    <s v="FIBC Bags With UV Without Liner"/>
    <n v="0"/>
    <n v="0.05"/>
    <n v="445.03"/>
    <n v="0.05"/>
    <n v="445.03"/>
    <n v="0"/>
    <n v="0"/>
    <n v="0"/>
    <n v="890.06"/>
    <n v="0"/>
    <s v="24AABCG1282C2Z6"/>
    <s v="Kgs"/>
    <n v="63053200"/>
    <s v="Rs."/>
    <n v="1"/>
    <n v="4420"/>
    <s v="India"/>
    <x v="9"/>
  </r>
  <r>
    <d v="2026-07-28T00:00:00"/>
    <s v="Hcp Plastene Bulkpack Ltd (Unit-Iv) - Purchase"/>
    <s v="R.M.P."/>
    <s v="RM 332"/>
    <s v="Purchase Withinstate - Raw Material"/>
    <s v="HPBL4/ME/9"/>
    <d v="2026-07-28T00:00:00"/>
    <s v="FG"/>
    <s v="FIBC Bags"/>
    <s v="FIBC Bags"/>
    <s v="PP WOVEN BIG BAGS / SACKS"/>
    <s v="FIBC Bags With UV Without Liner"/>
    <n v="1169"/>
    <n v="244963.95"/>
    <s v="FIBC Bags With UV Without Liner"/>
    <n v="0"/>
    <n v="0.05"/>
    <n v="122.48"/>
    <n v="0.05"/>
    <n v="122.48"/>
    <n v="0"/>
    <n v="0"/>
    <n v="0"/>
    <n v="244.96"/>
    <n v="0"/>
    <s v="24AABCG1282C2Z6"/>
    <s v="Kgs"/>
    <n v="63053200"/>
    <s v="Rs."/>
    <n v="1"/>
    <n v="1169"/>
    <s v="India"/>
    <x v="9"/>
  </r>
  <r>
    <d v="2026-07-28T00:00:00"/>
    <s v="Hcp Plastene Bulkpack Ltd (Unit-Iv) - Purchase"/>
    <s v="R.M.P."/>
    <s v="RM 332"/>
    <s v="Purchase Withinstate - Raw Material"/>
    <s v="HPBL4/ME/9"/>
    <d v="2026-07-28T00:00:00"/>
    <s v="FG"/>
    <s v="FIBC Bags"/>
    <s v="FIBC Bags"/>
    <s v="PP WOVEN BIG BAGS / SACKS"/>
    <s v="FIBC Bags With UV Without Liner"/>
    <n v="1168"/>
    <n v="297454.56"/>
    <s v="FIBC Bags With UV Without Liner"/>
    <n v="0"/>
    <n v="0.05"/>
    <n v="148.72999999999999"/>
    <n v="0.05"/>
    <n v="148.72999999999999"/>
    <n v="0"/>
    <n v="0"/>
    <n v="0"/>
    <n v="297.45999999999998"/>
    <n v="0"/>
    <s v="24AABCG1282C2Z6"/>
    <s v="Kgs"/>
    <n v="63053200"/>
    <s v="Rs."/>
    <n v="1"/>
    <n v="1168"/>
    <s v="India"/>
    <x v="9"/>
  </r>
  <r>
    <d v="2026-07-28T00:00:00"/>
    <s v="Hcp Plastene Bulkpack Ltd (Unit-Iv) - Purchase"/>
    <s v="R.M.P."/>
    <s v="RM 332"/>
    <s v="Purchase Withinstate - Raw Material"/>
    <s v="HPBL4/ME/9"/>
    <d v="2026-07-28T00:00:00"/>
    <s v="FG"/>
    <s v="FIBC Bags"/>
    <s v="FIBC Bags"/>
    <s v="PP WOVEN BIG BAGS / SACKS"/>
    <s v="FIBC Bags With UV Without Liner"/>
    <n v="2157"/>
    <n v="426029.07"/>
    <s v="FIBC Bags With UV Without Liner"/>
    <n v="0"/>
    <n v="0.05"/>
    <n v="213.01"/>
    <n v="0.05"/>
    <n v="213.01"/>
    <n v="0"/>
    <n v="0"/>
    <n v="0"/>
    <n v="426.02"/>
    <n v="0"/>
    <s v="24AABCG1282C2Z6"/>
    <s v="Kgs"/>
    <n v="63053200"/>
    <s v="Rs."/>
    <n v="1"/>
    <n v="2157"/>
    <s v="India"/>
    <x v="9"/>
  </r>
  <r>
    <d v="2026-07-28T00:00:00"/>
    <s v="Hcp Plastene Bulkpack Ltd (Unit-Iv) - Purchase"/>
    <s v="R.M.P."/>
    <s v="RM 332"/>
    <s v="Purchase Withinstate - Raw Material"/>
    <s v="HPBL4/ME/9"/>
    <d v="2026-07-28T00:00:00"/>
    <s v="FG"/>
    <s v="FIBC Bags"/>
    <s v="FIBC Bags"/>
    <s v="PP WOVEN BIG BAGS / SACKS"/>
    <s v="FIBC Bags With UV Without Liner"/>
    <n v="4226"/>
    <n v="1003886.3"/>
    <s v="FIBC Bags With UV Without Liner"/>
    <n v="0"/>
    <n v="0.05"/>
    <n v="501.94"/>
    <n v="0.05"/>
    <n v="501.94"/>
    <n v="0"/>
    <n v="0"/>
    <n v="0"/>
    <n v="1003.88"/>
    <n v="0"/>
    <s v="24AABCG1282C2Z6"/>
    <s v="Kgs"/>
    <n v="63053200"/>
    <s v="Rs."/>
    <n v="1"/>
    <n v="4226"/>
    <s v="India"/>
    <x v="9"/>
  </r>
  <r>
    <d v="2026-07-28T00:00:00"/>
    <s v="Hcp Plastene Bulkpack Ltd (Unit-Iv) - Purchase"/>
    <s v="R.M.P."/>
    <s v="RM 338"/>
    <s v="Purchase Withinstate - Raw Material"/>
    <s v="HPBL4/ME/10"/>
    <d v="2026-07-28T00:00:00"/>
    <s v="FG"/>
    <s v="FIBC Bags"/>
    <s v="FIBC Bags"/>
    <s v="PP WOVEN BIG BAGS / SACKS"/>
    <s v="FIBC Bags With UV Without Liner"/>
    <n v="3280"/>
    <n v="811668.8"/>
    <s v="FIBC Bags With UV Without Liner"/>
    <n v="4138427.27"/>
    <n v="0.05"/>
    <n v="405.83"/>
    <n v="0.05"/>
    <n v="405.83"/>
    <n v="0"/>
    <n v="0"/>
    <n v="0"/>
    <n v="811.66"/>
    <n v="0"/>
    <s v="24AABCG1282C2Z6"/>
    <s v="Kgs"/>
    <n v="63053200"/>
    <s v="Rs."/>
    <n v="1"/>
    <n v="3280"/>
    <s v="India"/>
    <x v="9"/>
  </r>
  <r>
    <d v="2026-07-28T00:00:00"/>
    <s v="Hcp Plastene Bulkpack Ltd (Unit-Iv) - Purchase"/>
    <s v="R.M.P."/>
    <s v="RM 338"/>
    <s v="Purchase Withinstate - Raw Material"/>
    <s v="HPBL4/ME/10"/>
    <d v="2026-07-28T00:00:00"/>
    <s v="FG"/>
    <s v="FIBC Bags"/>
    <s v="FIBC Bags"/>
    <s v="PP WOVEN BIG BAGS / SACKS"/>
    <s v="FIBC Bags With UV Without Liner"/>
    <n v="1752"/>
    <n v="409144.56"/>
    <s v="FIBC Bags With UV Without Liner"/>
    <n v="0"/>
    <n v="0.05"/>
    <n v="204.57"/>
    <n v="0.05"/>
    <n v="204.57"/>
    <n v="0"/>
    <n v="0"/>
    <n v="0"/>
    <n v="409.14"/>
    <n v="0"/>
    <s v="24AABCG1282C2Z6"/>
    <s v="Kgs"/>
    <n v="63053200"/>
    <s v="Rs."/>
    <n v="1"/>
    <n v="1752"/>
    <s v="India"/>
    <x v="9"/>
  </r>
  <r>
    <d v="2026-07-28T00:00:00"/>
    <s v="Hcp Plastene Bulkpack Ltd (Unit-Iv) - Purchase"/>
    <s v="R.M.P."/>
    <s v="RM 338"/>
    <s v="Purchase Withinstate - Raw Material"/>
    <s v="HPBL4/ME/10"/>
    <d v="2026-07-28T00:00:00"/>
    <s v="FG"/>
    <s v="FIBC Bags"/>
    <s v="FIBC Bags"/>
    <s v="PP WOVEN BIG BAGS / SACKS"/>
    <s v="FIBC Bags With UV Without Liner"/>
    <n v="3909"/>
    <n v="787507.14"/>
    <s v="FIBC Bags With UV Without Liner"/>
    <n v="0"/>
    <n v="0.05"/>
    <n v="393.75"/>
    <n v="0.05"/>
    <n v="393.75"/>
    <n v="0"/>
    <n v="0"/>
    <n v="0"/>
    <n v="787.5"/>
    <n v="0"/>
    <s v="24AABCG1282C2Z6"/>
    <s v="Kgs"/>
    <n v="63053200"/>
    <s v="Rs."/>
    <n v="1"/>
    <n v="3909"/>
    <s v="India"/>
    <x v="9"/>
  </r>
  <r>
    <d v="2026-07-28T00:00:00"/>
    <s v="Hcp Plastene Bulkpack Ltd (Unit-Iv) - Purchase"/>
    <s v="R.M.P."/>
    <s v="RM 338"/>
    <s v="Purchase Withinstate - Raw Material"/>
    <s v="HPBL4/ME/10"/>
    <d v="2026-07-28T00:00:00"/>
    <s v="FG"/>
    <s v="FIBC Bags"/>
    <s v="FIBC Bags"/>
    <s v="PP WOVEN BIG BAGS / SACKS"/>
    <s v="FIBC Bags With UV Without Liner"/>
    <n v="1774"/>
    <n v="334647.36"/>
    <s v="FIBC Bags With UV Without Liner"/>
    <n v="0"/>
    <n v="0.05"/>
    <n v="167.32"/>
    <n v="0.05"/>
    <n v="167.32"/>
    <n v="0"/>
    <n v="0"/>
    <n v="0"/>
    <n v="334.64"/>
    <n v="0"/>
    <s v="24AABCG1282C2Z6"/>
    <s v="Kgs"/>
    <n v="63053200"/>
    <s v="Rs."/>
    <n v="1"/>
    <n v="1774"/>
    <s v="India"/>
    <x v="9"/>
  </r>
  <r>
    <d v="2026-07-28T00:00:00"/>
    <s v="Hcp Plastene Bulkpack Ltd (Unit-Iv) - Purchase"/>
    <s v="R.M.P."/>
    <s v="RM 338"/>
    <s v="Purchase Withinstate - Raw Material"/>
    <s v="HPBL4/ME/10"/>
    <d v="2026-07-28T00:00:00"/>
    <s v="FG"/>
    <s v="FIBC Bags"/>
    <s v="FIBC Bags"/>
    <s v="PP WOVEN BIG BAGS / SACKS"/>
    <s v="FIBC Bags With UV Without Liner"/>
    <n v="2940"/>
    <n v="581884.80000000005"/>
    <s v="FIBC Bags With UV Without Liner"/>
    <n v="0"/>
    <n v="0.05"/>
    <n v="290.94"/>
    <n v="0.05"/>
    <n v="290.94"/>
    <n v="0"/>
    <n v="0"/>
    <n v="0"/>
    <n v="581.88"/>
    <n v="0"/>
    <s v="24AABCG1282C2Z6"/>
    <s v="Kgs"/>
    <n v="63053200"/>
    <s v="Rs."/>
    <n v="1"/>
    <n v="2940"/>
    <s v="India"/>
    <x v="9"/>
  </r>
  <r>
    <d v="2026-07-28T00:00:00"/>
    <s v="Hcp Plastene Bulkpack Ltd (Unit-Iv) - Purchase"/>
    <s v="R.M.P."/>
    <s v="RM 338"/>
    <s v="Purchase Withinstate - Raw Material"/>
    <s v="HPBL4/ME/10"/>
    <d v="2026-07-28T00:00:00"/>
    <s v="FG"/>
    <s v="FIBC Bags"/>
    <s v="FIBC Bags"/>
    <s v="PP WOVEN BIG BAGS / SACKS"/>
    <s v="FIBC Bags With UV Without Liner"/>
    <n v="399"/>
    <n v="76939.17"/>
    <s v="FIBC Bags With UV Without Liner"/>
    <n v="0"/>
    <n v="0.05"/>
    <n v="38.47"/>
    <n v="0.05"/>
    <n v="38.47"/>
    <n v="0"/>
    <n v="0"/>
    <n v="0"/>
    <n v="76.94"/>
    <n v="0"/>
    <s v="24AABCG1282C2Z6"/>
    <s v="Kgs"/>
    <n v="63053200"/>
    <s v="Rs."/>
    <n v="1"/>
    <n v="399"/>
    <s v="India"/>
    <x v="9"/>
  </r>
  <r>
    <d v="2026-07-28T00:00:00"/>
    <s v="Hcp Plastene Bulkpack Ltd (Unit-Iv) - Purchase"/>
    <s v="R.M.P."/>
    <s v="RM 338"/>
    <s v="Purchase Withinstate - Raw Material"/>
    <s v="HPBL4/ME/10"/>
    <d v="2026-07-28T00:00:00"/>
    <s v="FG"/>
    <s v="FIBC Bags"/>
    <s v="FIBC Bags"/>
    <s v="PP WOVEN BIG BAGS / SACKS"/>
    <s v="FIBC Bags With UV Without Liner"/>
    <n v="396"/>
    <n v="86941.8"/>
    <s v="FIBC Bags With UV Without Liner"/>
    <n v="0"/>
    <n v="0.05"/>
    <n v="43.47"/>
    <n v="0.05"/>
    <n v="43.47"/>
    <n v="0"/>
    <n v="0"/>
    <n v="0"/>
    <n v="86.94"/>
    <n v="0"/>
    <s v="24AABCG1282C2Z6"/>
    <s v="Kgs"/>
    <n v="63053200"/>
    <s v="Rs."/>
    <n v="1"/>
    <n v="396"/>
    <s v="India"/>
    <x v="9"/>
  </r>
  <r>
    <d v="2026-07-28T00:00:00"/>
    <s v="Hcp Plastene Bulkpack Ltd (Unit-Iv) - Purchase"/>
    <s v="R.M.P."/>
    <s v="RM 338"/>
    <s v="Purchase Withinstate - Raw Material"/>
    <s v="HPBL4/ME/10"/>
    <d v="2026-07-28T00:00:00"/>
    <s v="FG"/>
    <s v="FIBC Bags"/>
    <s v="FIBC Bags"/>
    <s v="PP WOVEN BIG BAGS / SACKS"/>
    <s v="FIBC Bags With UV Without Liner"/>
    <n v="3407"/>
    <n v="673938.67"/>
    <s v="FIBC Bags With UV Without Liner"/>
    <n v="0"/>
    <n v="0.05"/>
    <n v="336.97"/>
    <n v="0.05"/>
    <n v="336.97"/>
    <n v="0"/>
    <n v="0"/>
    <n v="0"/>
    <n v="673.94"/>
    <n v="0"/>
    <s v="24AABCG1282C2Z6"/>
    <s v="Kgs"/>
    <n v="63053200"/>
    <s v="Rs."/>
    <n v="1"/>
    <n v="3407"/>
    <s v="India"/>
    <x v="9"/>
  </r>
  <r>
    <d v="2026-07-28T00:00:00"/>
    <s v="Hcp Plastene Bulkpack Ltd (Unit-Iv) - Purchase"/>
    <s v="R.M.P."/>
    <s v="RM 338"/>
    <s v="Purchase Withinstate - Raw Material"/>
    <s v="HPBL4/ME/10"/>
    <d v="2026-07-28T00:00:00"/>
    <s v="FG"/>
    <s v="FIBC Bags"/>
    <s v="FIBC Bags"/>
    <s v="PP WOVEN BIG BAGS / SACKS"/>
    <s v="FIBC Bags With UV Without Liner"/>
    <n v="1685"/>
    <n v="375755"/>
    <s v="FIBC Bags With UV Without Liner"/>
    <n v="0"/>
    <n v="0.05"/>
    <n v="187.88"/>
    <n v="0.05"/>
    <n v="187.88"/>
    <n v="0"/>
    <n v="0"/>
    <n v="0"/>
    <n v="375.76"/>
    <n v="0"/>
    <s v="24AABCG1282C2Z6"/>
    <s v="Kgs"/>
    <n v="63053200"/>
    <s v="Rs."/>
    <n v="1"/>
    <n v="1685"/>
    <s v="India"/>
    <x v="9"/>
  </r>
  <r>
    <d v="2026-07-28T00:00:00"/>
    <s v="Jay Jagannath Industries- 24GKEPP9703F1Z1"/>
    <s v="General Purchase"/>
    <s v="GNSP 444"/>
    <s v="Purchase Withinstate- Stores, Spares &amp; Consumable"/>
    <s v="GST-156"/>
    <d v="2026-07-25T00:00:00"/>
    <s v="Stores/Spares"/>
    <s v="Sulzer Machine Spares"/>
    <s v="Stores &amp; Spares"/>
    <s v="stores &amp;  spares"/>
    <s v="Bevel Gear For Wrapping machine T=30 Hardening teeth."/>
    <n v="2"/>
    <n v="2300"/>
    <s v="Bevel Gear For Wrapping machine T=30 Hardening teeth."/>
    <n v="2864"/>
    <n v="9"/>
    <n v="207"/>
    <n v="9"/>
    <n v="207"/>
    <n v="0"/>
    <n v="0"/>
    <n v="0"/>
    <n v="414"/>
    <n v="0"/>
    <s v="24GKEPP9703F1Z1"/>
    <s v="NOS"/>
    <n v="84834023"/>
    <s v="Rs."/>
    <n v="1"/>
    <n v="0"/>
    <s v="India"/>
    <x v="0"/>
  </r>
  <r>
    <d v="2026-07-28T00:00:00"/>
    <s v="K Patel Drives Systems"/>
    <s v="General Purchase"/>
    <s v="GNSP 434"/>
    <s v="Purchase Withinstate- Stores, Spares &amp; Consumable"/>
    <s v="KLPR/26-27/2909"/>
    <d v="2026-07-23T00:00:00"/>
    <s v="Stores/Spares"/>
    <s v="Hardware Items"/>
    <s v="Stores &amp; Spares"/>
    <s v="stores &amp;  spares"/>
    <s v="Rubber Star Spider F-95 &quot;Fenner&quot; Make"/>
    <n v="10"/>
    <n v="693"/>
    <s v="Rubber Star Spider F-95 &quot;Fenner&quot; Make"/>
    <n v="853"/>
    <n v="9"/>
    <n v="65.069999999999993"/>
    <n v="9"/>
    <n v="65.069999999999993"/>
    <n v="0"/>
    <n v="0"/>
    <n v="0"/>
    <n v="130.13999999999999"/>
    <n v="0"/>
    <s v="24AAVFK8829L1ZF"/>
    <s v="Pcs"/>
    <n v="401699"/>
    <s v="Rs."/>
    <n v="1"/>
    <n v="0"/>
    <s v="India"/>
    <x v="0"/>
  </r>
  <r>
    <d v="2026-07-28T00:00:00"/>
    <s v="Lohia Corp Limited - 24AAKCK2932Q1Z2 - Guj"/>
    <s v="General Purchase"/>
    <s v="GNSP 432"/>
    <s v="Purchase Withinstate- Stores, Spares &amp; Consumable"/>
    <s v="TG2426104923"/>
    <d v="2026-07-24T00:00:00"/>
    <s v="Stores/Spares"/>
    <s v="Cutting Machine Spares"/>
    <s v="Stores &amp; Spares"/>
    <s v="stores &amp;  spares"/>
    <s v="Pu Cover Stape Roller Part No.11169159100"/>
    <n v="16"/>
    <n v="23328"/>
    <s v="Pu Cover Stape Roller Part No.11169159100"/>
    <n v="27328.240000000002"/>
    <n v="9"/>
    <n v="2084.36"/>
    <n v="9"/>
    <n v="2084.36"/>
    <n v="0"/>
    <n v="0"/>
    <n v="0"/>
    <n v="4168.72"/>
    <n v="0"/>
    <s v="24AAKCK2932Q1Z2"/>
    <s v="Pcs"/>
    <n v="84123100"/>
    <s v="Rs."/>
    <n v="1"/>
    <n v="0"/>
    <s v="India"/>
    <x v="0"/>
  </r>
  <r>
    <d v="2026-07-28T00:00:00"/>
    <s v="Lohia Global Solutions - Gujarat - (A Div of Lohia Corp Ltd)"/>
    <s v="General Purchase"/>
    <s v="GNSP 437"/>
    <s v="Purchase Withinstate- Stores, Spares &amp; Consumable"/>
    <s v="TG2426104782"/>
    <d v="2026-07-22T00:00:00"/>
    <s v="Stores/Spares"/>
    <s v="Cutting Machine Spares"/>
    <s v="Stores &amp; Spares"/>
    <s v="stores &amp;  spares"/>
    <s v="Pu Cover Stape Roller Part No.11169159100"/>
    <n v="2"/>
    <n v="2916"/>
    <s v="Pu Cover Stape Roller Part No.11169159100"/>
    <n v="3416.02"/>
    <n v="9"/>
    <n v="260.54000000000002"/>
    <n v="9"/>
    <n v="260.54000000000002"/>
    <n v="0"/>
    <n v="0"/>
    <n v="0"/>
    <n v="521.08000000000004"/>
    <n v="0"/>
    <s v="24AAACL2470J1ZO"/>
    <s v="Pcs"/>
    <n v="84123100"/>
    <s v="Rs."/>
    <n v="1"/>
    <n v="0"/>
    <s v="India"/>
    <x v="0"/>
  </r>
  <r>
    <d v="2026-07-28T00:00:00"/>
    <s v="Mahalaxmi Sulz Spare"/>
    <s v="General Purchase"/>
    <s v="GNSP 450"/>
    <s v="Purchase Interstate- Stores, Spares &amp; Consumable"/>
    <s v="MSS25/515"/>
    <d v="2026-07-22T00:00:00"/>
    <s v="Stores/Spares"/>
    <s v="Sulzer Machine Spares"/>
    <s v="Stores &amp; Spares"/>
    <s v="stores &amp;  spares"/>
    <s v="Flight Trigger For Weft Brake"/>
    <n v="5"/>
    <n v="1750"/>
    <s v="Flight Trigger For Weft Brake"/>
    <n v="2065"/>
    <n v="0"/>
    <n v="0"/>
    <n v="0"/>
    <n v="0"/>
    <n v="18"/>
    <n v="315"/>
    <n v="0"/>
    <n v="315"/>
    <n v="0"/>
    <s v="08BABPB3225J1Z4"/>
    <s v="Pcs"/>
    <n v="844810"/>
    <s v="Rs."/>
    <n v="1"/>
    <n v="0"/>
    <s v="India"/>
    <x v="0"/>
  </r>
  <r>
    <d v="2026-07-28T00:00:00"/>
    <s v="Mahalaxmi Sulz Spare"/>
    <s v="General Purchase"/>
    <s v="GNSP 451"/>
    <s v="Purchase Interstate- Stores, Spares &amp; Consumable"/>
    <s v="MSS25/517"/>
    <d v="2026-07-22T00:00:00"/>
    <s v="Stores/Spares"/>
    <s v="Sulzer Machine Spares"/>
    <s v="Stores &amp; Spares"/>
    <s v="stores &amp;  spares"/>
    <s v="Pinion Shaft 10Teeth (For Sulzer Teckup) - 911110341"/>
    <n v="2"/>
    <n v="7000"/>
    <s v="Pinion Shaft 10Teeth (For Sulzer Teckup) - 911110341"/>
    <n v="17936"/>
    <n v="0"/>
    <n v="0"/>
    <n v="0"/>
    <n v="0"/>
    <n v="18"/>
    <n v="1260"/>
    <n v="108"/>
    <n v="1368"/>
    <n v="0"/>
    <s v="08BABPB3225J1Z4"/>
    <s v="Pcs"/>
    <n v="844810"/>
    <s v="Rs."/>
    <n v="1"/>
    <n v="0"/>
    <s v="India"/>
    <x v="0"/>
  </r>
  <r>
    <d v="2026-07-28T00:00:00"/>
    <s v="Mahalaxmi Sulz Spare"/>
    <s v="General Purchase"/>
    <s v="GNSP 451"/>
    <s v="Purchase Interstate- Stores, Spares &amp; Consumable"/>
    <s v="MSS25/517"/>
    <d v="2026-07-22T00:00:00"/>
    <s v="Stores/Spares"/>
    <s v="Sulzer Machine Spares"/>
    <s v="Stores &amp; Spares"/>
    <s v="stores &amp;  spares"/>
    <s v="Teckup Pinion Shaft 13Th -912510003 (Sulzer)"/>
    <n v="2"/>
    <n v="7600"/>
    <s v="Teckup Pinion Shaft 13Th -912510003 (Sulzer)"/>
    <n v="0"/>
    <n v="0"/>
    <n v="0"/>
    <n v="0"/>
    <n v="0"/>
    <n v="18"/>
    <n v="1368"/>
    <n v="108"/>
    <n v="1476"/>
    <n v="0"/>
    <s v="08BABPB3225J1Z4"/>
    <s v="Pcs"/>
    <n v="844810"/>
    <s v="Rs."/>
    <n v="1"/>
    <n v="0"/>
    <s v="India"/>
    <x v="0"/>
  </r>
  <r>
    <d v="2026-07-28T00:00:00"/>
    <s v="Mahalaxmi Sulz Spare"/>
    <s v="General Purchase"/>
    <s v="GNSP 452"/>
    <s v="Purchase Interstate- Stores, Spares &amp; Consumable"/>
    <s v="MSS25/514"/>
    <d v="2026-07-22T00:00:00"/>
    <s v="Stores/Spares"/>
    <s v="Sulzer Machine Spares"/>
    <s v="Stores &amp; Spares"/>
    <s v="stores &amp;  spares"/>
    <s v="Picking Block For P7100 LD Make"/>
    <n v="2"/>
    <n v="3200"/>
    <s v="Picking Block For P7100 LD Make"/>
    <n v="3870"/>
    <n v="0"/>
    <n v="0"/>
    <n v="0"/>
    <n v="0"/>
    <n v="18"/>
    <n v="576"/>
    <n v="14.4"/>
    <n v="590.4"/>
    <n v="0"/>
    <s v="08BABPB3225J1Z4"/>
    <s v="Pcs"/>
    <n v="844810"/>
    <s v="Rs."/>
    <n v="1"/>
    <n v="0"/>
    <s v="India"/>
    <x v="0"/>
  </r>
  <r>
    <d v="2026-07-28T00:00:00"/>
    <s v="Mahalaxmi Sulz Spare"/>
    <s v="General Purchase"/>
    <s v="GNSP 453"/>
    <s v="Purchase Interstate- Stores, Spares &amp; Consumable"/>
    <s v="MSS25/518"/>
    <d v="2026-07-22T00:00:00"/>
    <s v="Stores/Spares"/>
    <s v="Sulzer Machine Spares"/>
    <s v="Stores &amp; Spares"/>
    <s v="stores &amp;  spares"/>
    <s v="Returner D2"/>
    <n v="2"/>
    <n v="1300"/>
    <s v="Returner D2"/>
    <n v="1534"/>
    <n v="0"/>
    <n v="0"/>
    <n v="0"/>
    <n v="0"/>
    <n v="18"/>
    <n v="234"/>
    <n v="0"/>
    <n v="234"/>
    <n v="0"/>
    <s v="08BABPB3225J1Z4"/>
    <s v="Pcs"/>
    <n v="844810"/>
    <s v="Rs."/>
    <n v="1"/>
    <n v="0"/>
    <s v="India"/>
    <x v="0"/>
  </r>
  <r>
    <d v="2026-07-28T00:00:00"/>
    <s v="Mahalaxmi Sulz Spare"/>
    <s v="General Purchase"/>
    <s v="GNSP 454"/>
    <s v="Purchase Interstate- Stores, Spares &amp; Consumable"/>
    <s v="MSS25/516"/>
    <d v="2026-07-22T00:00:00"/>
    <s v="Stores/Spares"/>
    <s v="Hardware Items"/>
    <s v="Stores &amp; Spares"/>
    <s v="stores &amp;  spares"/>
    <s v="Guide Tooth Bolt"/>
    <n v="1000"/>
    <n v="3000"/>
    <s v="Guide Tooth Bolt"/>
    <n v="3540"/>
    <n v="0"/>
    <n v="0"/>
    <n v="0"/>
    <n v="0"/>
    <n v="18"/>
    <n v="540"/>
    <n v="0"/>
    <n v="540"/>
    <n v="0"/>
    <s v="08BABPB3225J1Z4"/>
    <s v="Pcs"/>
    <n v="844849"/>
    <s v="Rs."/>
    <n v="1"/>
    <n v="0"/>
    <s v="India"/>
    <x v="0"/>
  </r>
  <r>
    <d v="2026-07-28T00:00:00"/>
    <s v="Mahalaxmi Sulz Spare"/>
    <s v="General Purchase"/>
    <s v="GNSP 455"/>
    <s v="Purchase Interstate- Stores, Spares &amp; Consumable"/>
    <s v="MSS25/513"/>
    <d v="2026-07-22T00:00:00"/>
    <s v="Stores/Spares"/>
    <s v="Sulzer Machine Spares"/>
    <s v="Stores &amp; Spares"/>
    <s v="stores &amp;  spares"/>
    <s v="Sl Guide Rail D2 PU 911316153"/>
    <n v="2"/>
    <n v="2500"/>
    <s v="Sl Guide Rail D2 PU 911316153"/>
    <n v="3068"/>
    <n v="0"/>
    <n v="0"/>
    <n v="0"/>
    <n v="0"/>
    <n v="18"/>
    <n v="450"/>
    <n v="18"/>
    <n v="468"/>
    <n v="0"/>
    <s v="08BABPB3225J1Z4"/>
    <s v="Pcs"/>
    <n v="84463090"/>
    <s v="Rs."/>
    <n v="1"/>
    <n v="0"/>
    <s v="India"/>
    <x v="0"/>
  </r>
  <r>
    <d v="2026-07-28T00:00:00"/>
    <s v="Mahalaxmi Sulz Spare"/>
    <s v="General Purchase"/>
    <s v="GNSP 456"/>
    <s v="Purchase Interstate- Stores, Spares &amp; Consumable"/>
    <s v="MSS25/512"/>
    <d v="2026-07-22T00:00:00"/>
    <s v="Stores/Spares"/>
    <s v="Sulzer Machine Spares"/>
    <s v="Stores &amp; Spares"/>
    <s v="stores &amp;  spares"/>
    <s v="Projectile Gripper Revet"/>
    <n v="500"/>
    <n v="1000"/>
    <s v="Projectile Gripper Revet"/>
    <n v="1239"/>
    <n v="0"/>
    <n v="0"/>
    <n v="0"/>
    <n v="0"/>
    <n v="18"/>
    <n v="180"/>
    <n v="9"/>
    <n v="189"/>
    <n v="0"/>
    <s v="08BABPB3225J1Z4"/>
    <s v="Pcs"/>
    <n v="844849"/>
    <s v="Rs."/>
    <n v="1"/>
    <n v="0"/>
    <s v="India"/>
    <x v="0"/>
  </r>
  <r>
    <d v="2026-07-28T00:00:00"/>
    <s v="Panchvati Tools Co."/>
    <s v="General Purchase"/>
    <s v="GNSP 446"/>
    <s v="Purchase Withinstate- Stores, Spares &amp; Consumable"/>
    <n v="1195"/>
    <d v="2026-07-24T00:00:00"/>
    <s v="Stores/Spares"/>
    <s v="Hardware Items"/>
    <s v="Stores &amp; Spares"/>
    <s v="stores &amp;  spares"/>
    <s v="Screw Driver 12&quot;"/>
    <n v="2"/>
    <n v="280.32"/>
    <s v="Screw Driver 12&quot;"/>
    <n v="943"/>
    <n v="9"/>
    <n v="25.23"/>
    <n v="9"/>
    <n v="25.23"/>
    <n v="0"/>
    <n v="0"/>
    <n v="0"/>
    <n v="50.46"/>
    <n v="0"/>
    <s v="24ABVPP9097Q1Z7"/>
    <s v="Pcs"/>
    <n v="82079090"/>
    <s v="Rs."/>
    <n v="1"/>
    <n v="0"/>
    <s v="India"/>
    <x v="0"/>
  </r>
  <r>
    <d v="2026-07-28T00:00:00"/>
    <s v="Panchvati Tools Co."/>
    <s v="General Purchase"/>
    <s v="GNSP 446"/>
    <s v="Purchase Withinstate- Stores, Spares &amp; Consumable"/>
    <n v="1195"/>
    <d v="2026-07-24T00:00:00"/>
    <s v="Stores/Spares"/>
    <s v="Hardware Items"/>
    <s v="Stores &amp; Spares"/>
    <s v="stores &amp;  spares"/>
    <s v="Hex Bolt 08X35 mm"/>
    <n v="100"/>
    <n v="366.24"/>
    <s v="Hex Bolt 08X35 mm"/>
    <n v="0"/>
    <n v="9"/>
    <n v="32.96"/>
    <n v="9"/>
    <n v="32.96"/>
    <n v="0"/>
    <n v="0"/>
    <n v="0"/>
    <n v="65.92"/>
    <n v="0"/>
    <s v="24ABVPP9097Q1Z7"/>
    <s v="Pcs"/>
    <n v="731810"/>
    <s v="Rs."/>
    <n v="1"/>
    <n v="0"/>
    <s v="India"/>
    <x v="0"/>
  </r>
  <r>
    <d v="2026-07-28T00:00:00"/>
    <s v="Panchvati Tools Co."/>
    <s v="General Purchase"/>
    <s v="GNSP 446"/>
    <s v="Purchase Withinstate- Stores, Spares &amp; Consumable"/>
    <n v="1195"/>
    <d v="2026-07-24T00:00:00"/>
    <s v="Stores/Spares"/>
    <s v="Hardware Items"/>
    <s v="Stores &amp; Spares"/>
    <s v="stores &amp;  spares"/>
    <s v="GI Nut 8 mm"/>
    <n v="100"/>
    <n v="100"/>
    <s v="GI Nut 8 mm"/>
    <n v="0"/>
    <n v="9"/>
    <n v="9"/>
    <n v="9"/>
    <n v="9"/>
    <n v="0"/>
    <n v="0"/>
    <n v="0"/>
    <n v="18"/>
    <n v="0"/>
    <s v="24ABVPP9097Q1Z7"/>
    <s v="Kgs"/>
    <n v="73181600"/>
    <s v="Rs."/>
    <n v="1"/>
    <n v="0"/>
    <s v="India"/>
    <x v="0"/>
  </r>
  <r>
    <d v="2026-07-28T00:00:00"/>
    <s v="Panchvati Tools Co."/>
    <s v="General Purchase"/>
    <s v="GNSP 446"/>
    <s v="Purchase Withinstate- Stores, Spares &amp; Consumable"/>
    <n v="1195"/>
    <d v="2026-07-24T00:00:00"/>
    <s v="Stores/Spares"/>
    <s v="Hardware Items"/>
    <s v="Stores &amp; Spares"/>
    <s v="stores &amp;  spares"/>
    <s v="Gi Washer 8 mm"/>
    <n v="100"/>
    <n v="53"/>
    <s v="Gi Washer 8 mm"/>
    <n v="0"/>
    <n v="9"/>
    <n v="4.7699999999999996"/>
    <n v="9"/>
    <n v="4.7699999999999996"/>
    <n v="0"/>
    <n v="0"/>
    <n v="0"/>
    <n v="9.5399999999999991"/>
    <n v="0"/>
    <s v="24ABVPP9097Q1Z7"/>
    <s v="Kgs"/>
    <n v="84529000"/>
    <s v="Rs."/>
    <n v="1"/>
    <n v="0"/>
    <s v="India"/>
    <x v="0"/>
  </r>
  <r>
    <d v="2026-07-28T00:00:00"/>
    <s v="Parth Poly Coat Yarn Pvt Ltd"/>
    <s v="R.M.P."/>
    <s v="RM 336"/>
    <s v="Purchase Withinstate - Raw Material"/>
    <s v="PPCYPL/2627/118"/>
    <d v="2026-07-27T00:00:00"/>
    <s v="SF"/>
    <s v="Yarn All"/>
    <s v="PP Yarn"/>
    <s v="Filler code"/>
    <s v="Filler Cord"/>
    <n v="1676.08"/>
    <n v="296666.15999999997"/>
    <s v="Filler Cord"/>
    <n v="311499.46000000002"/>
    <n v="2.5"/>
    <n v="7416.65"/>
    <n v="2.5"/>
    <n v="7416.65"/>
    <n v="0"/>
    <n v="0"/>
    <n v="0"/>
    <n v="14833.3"/>
    <n v="0"/>
    <s v="24AAGCP6363E1ZH"/>
    <s v="Kgs"/>
    <n v="540263"/>
    <s v="Rs."/>
    <n v="1"/>
    <n v="1676.08"/>
    <s v="India"/>
    <x v="3"/>
  </r>
  <r>
    <d v="2026-07-28T00:00:00"/>
    <s v="Perfect Belts Private Limited (Gujarat)"/>
    <s v="General Purchase"/>
    <s v="GNSP 435"/>
    <s v="Purchase Withinstate- Stores, Spares &amp; Consumable"/>
    <s v="A-3333/26-27"/>
    <d v="2026-07-23T00:00:00"/>
    <s v="Stores/Spares"/>
    <s v="Bearings"/>
    <s v="Stores &amp; Spares"/>
    <s v="stores &amp;  spares"/>
    <s v="Bearing 6304 Zz Skf"/>
    <n v="40"/>
    <n v="5253.6"/>
    <s v="Bearing 6304 Zz Skf"/>
    <n v="9113"/>
    <n v="9"/>
    <n v="472.82"/>
    <n v="9"/>
    <n v="472.82"/>
    <n v="0"/>
    <n v="0"/>
    <n v="0"/>
    <n v="945.64"/>
    <n v="0"/>
    <s v="24AABCP1066F1ZU"/>
    <s v="Pcs"/>
    <n v="84822090"/>
    <s v="Rs."/>
    <n v="1"/>
    <n v="0"/>
    <s v="India"/>
    <x v="0"/>
  </r>
  <r>
    <d v="2026-07-28T00:00:00"/>
    <s v="Perfect Belts Private Limited (Gujarat)"/>
    <s v="General Purchase"/>
    <s v="GNSP 435"/>
    <s v="Purchase Withinstate- Stores, Spares &amp; Consumable"/>
    <s v="A-3333/26-27"/>
    <d v="2026-07-23T00:00:00"/>
    <s v="Stores/Spares"/>
    <s v="Bearings"/>
    <s v="Stores &amp; Spares"/>
    <s v="stores &amp;  spares"/>
    <s v="Bearing 6208 Zz"/>
    <n v="8"/>
    <n v="2278.88"/>
    <s v="Bearing 6208 Zz"/>
    <n v="0"/>
    <n v="9"/>
    <n v="222.2"/>
    <n v="9"/>
    <n v="222.2"/>
    <n v="0"/>
    <n v="0"/>
    <n v="0"/>
    <n v="444.4"/>
    <n v="0"/>
    <s v="24AABCP1066F1ZU"/>
    <s v="Pcs"/>
    <n v="84821011"/>
    <s v="Rs."/>
    <n v="1"/>
    <n v="0"/>
    <s v="India"/>
    <x v="0"/>
  </r>
  <r>
    <d v="2026-07-28T00:00:00"/>
    <s v="Plastene India ltd - Unit 1-Purchase"/>
    <s v="Purchase"/>
    <s v="GNPK 163"/>
    <s v="Purchase Withinstate- Packing Material"/>
    <s v="PIL1/D/1187"/>
    <d v="2026-07-26T00:00:00"/>
    <s v="Stores/Spares"/>
    <s v="MS Structure Items"/>
    <s v="Packing Materials"/>
    <s v="Packing Materials"/>
    <s v="MS Pipe 4  C Class"/>
    <n v="197"/>
    <n v="9456"/>
    <s v="MS Pipe 4  C Class"/>
    <n v="11148.62"/>
    <n v="9"/>
    <n v="851.04"/>
    <n v="9"/>
    <n v="851.04"/>
    <n v="0"/>
    <n v="0"/>
    <n v="0"/>
    <n v="1702.08"/>
    <n v="0"/>
    <s v="24AAACO3087C1ZT"/>
    <s v="Kgs"/>
    <n v="73063090"/>
    <s v="Rs."/>
    <n v="1"/>
    <n v="197"/>
    <s v="India"/>
    <x v="0"/>
  </r>
  <r>
    <d v="2026-07-28T00:00:00"/>
    <s v="Plastene India ltd - Unit 1-Purchase"/>
    <s v="Purchase"/>
    <s v="GNPK 167"/>
    <s v="Purchase Withinstate- Packing Material"/>
    <s v="PIL1/D/1196"/>
    <d v="2026-07-27T00:00:00"/>
    <s v="Stores/Spares"/>
    <s v="MS Structure Items"/>
    <s v="Packing Materials"/>
    <s v="Packing Materials"/>
    <s v="MS Pipe 4  C Class"/>
    <n v="157"/>
    <n v="7536"/>
    <s v="MS Pipe 4  C Class"/>
    <n v="8884.94"/>
    <n v="9"/>
    <n v="678.24"/>
    <n v="9"/>
    <n v="678.24"/>
    <n v="0"/>
    <n v="0"/>
    <n v="0"/>
    <n v="1356.48"/>
    <n v="0"/>
    <s v="24AAACO3087C1ZT"/>
    <s v="Kgs"/>
    <n v="73063090"/>
    <s v="Rs."/>
    <n v="1"/>
    <n v="0"/>
    <s v="India"/>
    <x v="0"/>
  </r>
  <r>
    <d v="2026-07-28T00:00:00"/>
    <s v="Plastene India ltd - Unit 1-Purchase"/>
    <s v="R.M.P."/>
    <s v="RM 331"/>
    <s v="Purchase Withinstate - Raw Material"/>
    <s v="PIL1/ME/19"/>
    <d v="2026-07-28T00:00:00"/>
    <s v="FG"/>
    <s v="FIBC Bags"/>
    <s v="FIBC Bags"/>
    <s v="PP WOVEN BIG BAGS / SACKS"/>
    <s v="FIBC Bags With UV With Liner"/>
    <n v="21689"/>
    <n v="4590476.8499999996"/>
    <s v="FIBC Bags With UV With Liner"/>
    <n v="4590476.8499999996"/>
    <n v="0.05"/>
    <n v="2295.2399999999998"/>
    <n v="0.05"/>
    <n v="2295.2399999999998"/>
    <n v="0"/>
    <n v="0"/>
    <n v="0"/>
    <n v="4590.4799999999996"/>
    <n v="0"/>
    <s v="24AAACO3087C1ZT"/>
    <s v="Kgs"/>
    <n v="63053200"/>
    <s v="Rs."/>
    <n v="1"/>
    <n v="21689"/>
    <s v="India"/>
    <x v="9"/>
  </r>
  <r>
    <d v="2026-07-28T00:00:00"/>
    <s v="Plastene India ltd - Unit 1-Purchase"/>
    <s v="R.M.P."/>
    <s v="RM 335"/>
    <s v="Purchase Withinstate - Raw Material"/>
    <s v="PIL1/D/1188"/>
    <d v="2026-07-26T00:00:00"/>
    <s v="SF"/>
    <s v="PP/PE Fabric"/>
    <s v="PP Lam Fabric"/>
    <s v="PP LAMINETED FABRIC"/>
    <s v="PP Lam Fabric With UV"/>
    <n v="1389"/>
    <n v="210419.61"/>
    <s v="PP Lam Fabric With UV"/>
    <n v="1787150.77"/>
    <n v="9"/>
    <n v="18937.759999999998"/>
    <n v="9"/>
    <n v="18937.759999999998"/>
    <n v="0"/>
    <n v="0"/>
    <n v="0"/>
    <n v="37875.519999999997"/>
    <n v="0"/>
    <s v="24AAACO3087C1ZT"/>
    <s v="Kgs"/>
    <n v="63053300"/>
    <s v="Rs."/>
    <n v="1"/>
    <n v="1389"/>
    <s v="India"/>
    <x v="2"/>
  </r>
  <r>
    <d v="2026-07-28T00:00:00"/>
    <s v="Plastene India ltd - Unit 1-Purchase"/>
    <s v="R.M.P."/>
    <s v="RM 335"/>
    <s v="Purchase Withinstate - Raw Material"/>
    <s v="PIL1/D/1188"/>
    <d v="2026-07-26T00:00:00"/>
    <s v="SF"/>
    <s v="PP/PE Fabric"/>
    <s v="PP Lam Fabric"/>
    <s v="PP LAMINETED FABRIC"/>
    <s v="PP Lam Fabric With UV"/>
    <n v="1967"/>
    <n v="303881.83"/>
    <s v="PP Lam Fabric With UV"/>
    <n v="0"/>
    <n v="9"/>
    <n v="27349.360000000001"/>
    <n v="9"/>
    <n v="27349.360000000001"/>
    <n v="0"/>
    <n v="0"/>
    <n v="0"/>
    <n v="54698.720000000001"/>
    <n v="0"/>
    <s v="24AAACO3087C1ZT"/>
    <s v="Kgs"/>
    <n v="63053300"/>
    <s v="Rs."/>
    <n v="1"/>
    <n v="1967"/>
    <s v="India"/>
    <x v="2"/>
  </r>
  <r>
    <d v="2026-07-28T00:00:00"/>
    <s v="Plastene India ltd - Unit 1-Purchase"/>
    <s v="R.M.P."/>
    <s v="RM 335"/>
    <s v="Purchase Withinstate - Raw Material"/>
    <s v="PIL1/D/1188"/>
    <d v="2026-07-26T00:00:00"/>
    <s v="SF"/>
    <s v="PP/PE Fabric"/>
    <s v="PP Lam Fabric"/>
    <s v="PP LAMINETED FABRIC"/>
    <s v="PP Lam Fabric With UV"/>
    <n v="914"/>
    <n v="135719.85999999999"/>
    <s v="PP Lam Fabric With UV"/>
    <n v="0"/>
    <n v="9"/>
    <n v="12214.79"/>
    <n v="9"/>
    <n v="12214.79"/>
    <n v="0"/>
    <n v="0"/>
    <n v="0"/>
    <n v="24429.58"/>
    <n v="0"/>
    <s v="24AAACO3087C1ZT"/>
    <s v="Kgs"/>
    <n v="63053300"/>
    <s v="Rs."/>
    <n v="1"/>
    <n v="914"/>
    <s v="India"/>
    <x v="2"/>
  </r>
  <r>
    <d v="2026-07-28T00:00:00"/>
    <s v="Plastene India ltd - Unit 1-Purchase"/>
    <s v="R.M.P."/>
    <s v="RM 335"/>
    <s v="Purchase Withinstate - Raw Material"/>
    <s v="PIL1/D/1188"/>
    <d v="2026-07-26T00:00:00"/>
    <s v="SF"/>
    <s v="Yarn All"/>
    <s v="PP Yarn"/>
    <s v="PP MF Yarn"/>
    <s v="PP MF Yarn Twisted 1000 UV NW"/>
    <n v="1828.15"/>
    <n v="286087.19349999999"/>
    <s v="PP MF Yarn Twisted 1000 UV NW"/>
    <n v="0"/>
    <n v="2.5"/>
    <n v="7152.18"/>
    <n v="2.5"/>
    <n v="7152.18"/>
    <n v="0"/>
    <n v="0"/>
    <n v="0"/>
    <n v="14304.36"/>
    <n v="0"/>
    <s v="24AAACO3087C1ZT"/>
    <s v="Kgs"/>
    <n v="54026930"/>
    <s v="Rs."/>
    <n v="1"/>
    <n v="1828.15"/>
    <s v="India"/>
    <x v="3"/>
  </r>
  <r>
    <d v="2026-07-28T00:00:00"/>
    <s v="Plastene India ltd - Unit 1-Purchase"/>
    <s v="R.M.P."/>
    <s v="RM 335"/>
    <s v="Purchase Withinstate - Raw Material"/>
    <s v="PIL1/D/1188"/>
    <d v="2026-07-26T00:00:00"/>
    <s v="SF"/>
    <s v="Liners"/>
    <s v="LDPE/LLDPE Bags"/>
    <s v="LLDPE BAGS"/>
    <s v="LDPE/LLDPE Bags/Liner"/>
    <n v="571"/>
    <n v="135315.57999999999"/>
    <s v="LDPE/LLDPE Bags/Liner"/>
    <n v="0"/>
    <n v="9"/>
    <n v="12178.4"/>
    <n v="9"/>
    <n v="12178.4"/>
    <n v="0"/>
    <n v="0"/>
    <n v="0"/>
    <n v="24356.799999999999"/>
    <n v="0"/>
    <s v="24AAACO3087C1ZT"/>
    <s v="Kgs"/>
    <n v="39200000"/>
    <s v="Rs."/>
    <n v="1"/>
    <n v="571"/>
    <s v="India"/>
    <x v="4"/>
  </r>
  <r>
    <d v="2026-07-28T00:00:00"/>
    <s v="Plastene India ltd - Unit 1-Purchase"/>
    <s v="R.M.P."/>
    <s v="RM 335"/>
    <s v="Purchase Withinstate - Raw Material"/>
    <s v="PIL1/D/1188"/>
    <d v="2026-07-26T00:00:00"/>
    <s v="SF"/>
    <s v="Liners"/>
    <s v="LDPE/LLDPE Bags"/>
    <s v="LLDPE BAGS"/>
    <s v="LDPE/LLDPE Bags/Liner"/>
    <n v="5"/>
    <n v="933.9"/>
    <s v="LDPE/LLDPE Bags/Liner"/>
    <n v="0"/>
    <n v="9"/>
    <n v="84.05"/>
    <n v="9"/>
    <n v="84.05"/>
    <n v="0"/>
    <n v="0"/>
    <n v="0"/>
    <n v="168.1"/>
    <n v="0"/>
    <s v="24AAACO3087C1ZT"/>
    <s v="Kgs"/>
    <n v="39200000"/>
    <s v="Rs."/>
    <n v="1"/>
    <n v="5"/>
    <s v="India"/>
    <x v="4"/>
  </r>
  <r>
    <d v="2026-07-28T00:00:00"/>
    <s v="Plastene India ltd - Unit 1-Purchase"/>
    <s v="R.M.P."/>
    <s v="RM 335"/>
    <s v="Purchase Withinstate - Raw Material"/>
    <s v="PIL1/D/1188"/>
    <d v="2026-07-26T00:00:00"/>
    <s v="SF"/>
    <s v="Liners"/>
    <s v="LDPE/LLDPE Bags"/>
    <s v="LLDPE BAGS"/>
    <s v="LDPE/LLDPE Bags/Liner"/>
    <n v="1198"/>
    <n v="247722.44"/>
    <s v="LDPE/LLDPE Bags/Liner"/>
    <n v="0"/>
    <n v="9"/>
    <n v="22295.02"/>
    <n v="9"/>
    <n v="22295.02"/>
    <n v="0"/>
    <n v="0"/>
    <n v="0"/>
    <n v="44590.04"/>
    <n v="0"/>
    <s v="24AAACO3087C1ZT"/>
    <s v="Kgs"/>
    <n v="39200000"/>
    <s v="Rs."/>
    <n v="1"/>
    <n v="1198"/>
    <s v="India"/>
    <x v="4"/>
  </r>
  <r>
    <d v="2026-07-28T00:00:00"/>
    <s v="Plastene India ltd - Unit 1-Purchase"/>
    <s v="R.M.P."/>
    <s v="RM 335"/>
    <s v="Purchase Withinstate - Raw Material"/>
    <s v="PIL1/D/1188"/>
    <d v="2026-07-26T00:00:00"/>
    <s v="SF"/>
    <s v="PP/PE Fabric"/>
    <s v="PP UL Fabric"/>
    <s v="PP WOVEN FABRIC"/>
    <s v="PP UL Fabric With UV"/>
    <n v="362"/>
    <n v="53391.38"/>
    <s v="PP UL Fabric With UV"/>
    <n v="0"/>
    <n v="9"/>
    <n v="4805.22"/>
    <n v="9"/>
    <n v="4805.22"/>
    <n v="0"/>
    <n v="0"/>
    <n v="0"/>
    <n v="9610.44"/>
    <n v="0"/>
    <s v="24AAACO3087C1ZT"/>
    <s v="Kgs"/>
    <n v="39269080"/>
    <s v="Rs."/>
    <n v="1"/>
    <n v="362"/>
    <s v="India"/>
    <x v="1"/>
  </r>
  <r>
    <d v="2026-07-28T00:00:00"/>
    <s v="Plastene India ltd - Unit 1-Purchase"/>
    <s v="R.M.P."/>
    <s v="RM 335"/>
    <s v="Purchase Withinstate - Raw Material"/>
    <s v="PIL1/D/1188"/>
    <d v="2026-07-26T00:00:00"/>
    <s v="SF"/>
    <s v="PP/PE Fabric"/>
    <s v="PP UL Fabric"/>
    <s v="PP WOVEN FABRIC"/>
    <s v="PP UL Fabric With UV"/>
    <n v="561"/>
    <n v="81058.89"/>
    <s v="PP UL Fabric With UV"/>
    <n v="0"/>
    <n v="9"/>
    <n v="7295.3"/>
    <n v="9"/>
    <n v="7295.3"/>
    <n v="0"/>
    <n v="0"/>
    <n v="0"/>
    <n v="14590.6"/>
    <n v="0"/>
    <s v="24AAACO3087C1ZT"/>
    <s v="Kgs"/>
    <n v="39269080"/>
    <s v="Rs."/>
    <n v="1"/>
    <n v="561"/>
    <s v="India"/>
    <x v="1"/>
  </r>
  <r>
    <d v="2026-07-28T00:00:00"/>
    <s v="Plastene India ltd - Unit 1-Purchase"/>
    <s v="R.M.P."/>
    <s v="RM 335"/>
    <s v="Purchase Withinstate - Raw Material"/>
    <s v="PIL1/D/1188"/>
    <d v="2026-07-26T00:00:00"/>
    <s v="SF"/>
    <s v="PP/PE Fabric"/>
    <s v="PP UL Fabric"/>
    <s v="PP WOVEN FABRIC"/>
    <s v="PP UL Fabric With UV"/>
    <n v="621"/>
    <n v="92833.29"/>
    <s v="PP UL Fabric With UV"/>
    <n v="0"/>
    <n v="9"/>
    <n v="8355"/>
    <n v="9"/>
    <n v="8355"/>
    <n v="0"/>
    <n v="0"/>
    <n v="0"/>
    <n v="16710"/>
    <n v="0"/>
    <s v="24AAACO3087C1ZT"/>
    <s v="Kgs"/>
    <n v="39269080"/>
    <s v="Rs."/>
    <n v="1"/>
    <n v="621"/>
    <s v="India"/>
    <x v="1"/>
  </r>
  <r>
    <d v="2026-07-28T00:00:00"/>
    <s v="Plastene India ltd - Unit 1-Purchase"/>
    <s v="R.M.P."/>
    <s v="RM 339"/>
    <s v="Purchase Withinstate - Raw Material"/>
    <s v="PIL1/D/1172"/>
    <d v="2026-07-24T00:00:00"/>
    <s v="SF"/>
    <s v="Liners"/>
    <s v="LDPE/LLDPE Bags"/>
    <s v="LLDPE BAGS"/>
    <s v="LDPE/LLDPE Bags/Liner"/>
    <n v="3477"/>
    <n v="718974.06"/>
    <s v="LDPE/LLDPE Bags/Liner"/>
    <n v="1797067.18"/>
    <n v="9"/>
    <n v="64707.67"/>
    <n v="9"/>
    <n v="64707.67"/>
    <n v="0"/>
    <n v="0"/>
    <n v="0"/>
    <n v="129415.34"/>
    <n v="0"/>
    <s v="24AAACO3087C1ZT"/>
    <s v="Kgs"/>
    <n v="39200000"/>
    <s v="Rs."/>
    <n v="1"/>
    <n v="3477"/>
    <s v="India"/>
    <x v="4"/>
  </r>
  <r>
    <d v="2026-07-28T00:00:00"/>
    <s v="Plastene India ltd - Unit 1-Purchase"/>
    <s v="R.M.P."/>
    <s v="RM 339"/>
    <s v="Purchase Withinstate - Raw Material"/>
    <s v="PIL1/D/1172"/>
    <d v="2026-07-24T00:00:00"/>
    <s v="SF"/>
    <s v="PP/PE Fabric"/>
    <s v="PP UL Fabric"/>
    <s v="PP WOVEN FABRIC"/>
    <s v="PP UL Fabric With UV"/>
    <n v="1052"/>
    <n v="185667.48"/>
    <s v="PP UL Fabric With UV"/>
    <n v="0"/>
    <n v="9"/>
    <n v="16710.07"/>
    <n v="9"/>
    <n v="16710.07"/>
    <n v="0"/>
    <n v="0"/>
    <n v="0"/>
    <n v="33420.14"/>
    <n v="0"/>
    <s v="24AAACO3087C1ZT"/>
    <s v="Kgs"/>
    <n v="39269080"/>
    <s v="Rs."/>
    <n v="1"/>
    <n v="1052"/>
    <s v="India"/>
    <x v="1"/>
  </r>
  <r>
    <d v="2026-07-28T00:00:00"/>
    <s v="Plastene India ltd - Unit 1-Purchase"/>
    <s v="R.M.P."/>
    <s v="RM 339"/>
    <s v="Purchase Withinstate - Raw Material"/>
    <s v="PIL1/D/1172"/>
    <d v="2026-07-24T00:00:00"/>
    <s v="SF"/>
    <s v="PP/PE Fabric"/>
    <s v="PP UL Fabric"/>
    <s v="PP WOVEN FABRIC"/>
    <s v="PP UL Fabric With UV"/>
    <n v="2926"/>
    <n v="422777.74"/>
    <s v="PP UL Fabric With UV"/>
    <n v="0"/>
    <n v="9"/>
    <n v="38050"/>
    <n v="9"/>
    <n v="38050"/>
    <n v="0"/>
    <n v="0"/>
    <n v="0"/>
    <n v="76100"/>
    <n v="0"/>
    <s v="24AAACO3087C1ZT"/>
    <s v="Kgs"/>
    <n v="39269080"/>
    <s v="Rs."/>
    <n v="1"/>
    <n v="2926"/>
    <s v="India"/>
    <x v="1"/>
  </r>
  <r>
    <d v="2026-07-28T00:00:00"/>
    <s v="Plastene India ltd - Unit 1-Purchase"/>
    <s v="R.M.P."/>
    <s v="RM 339"/>
    <s v="Purchase Withinstate - Raw Material"/>
    <s v="PIL1/D/1172"/>
    <d v="2026-07-24T00:00:00"/>
    <s v="SF"/>
    <s v="PP/PE Fabric"/>
    <s v="PP UL Fabric"/>
    <s v="PP WOVEN FABRIC"/>
    <s v="PP UL Fabric With UV"/>
    <n v="300"/>
    <n v="44247"/>
    <s v="PP UL Fabric With UV"/>
    <n v="0"/>
    <n v="9"/>
    <n v="3982.23"/>
    <n v="9"/>
    <n v="3982.23"/>
    <n v="0"/>
    <n v="0"/>
    <n v="0"/>
    <n v="7964.46"/>
    <n v="0"/>
    <s v="24AAACO3087C1ZT"/>
    <s v="Kgs"/>
    <n v="39269080"/>
    <s v="Rs."/>
    <n v="1"/>
    <n v="300"/>
    <s v="India"/>
    <x v="1"/>
  </r>
  <r>
    <d v="2026-07-28T00:00:00"/>
    <s v="Plastene India ltd - Unit 1-Purchase"/>
    <s v="R.M.P."/>
    <s v="RM 339"/>
    <s v="Purchase Withinstate - Raw Material"/>
    <s v="PIL1/D/1172"/>
    <d v="2026-07-24T00:00:00"/>
    <s v="SF"/>
    <s v="PP/PE Fabric"/>
    <s v="PP UL Fabric"/>
    <s v="PP WOVEN FABRIC"/>
    <s v="PP UL Fabric With UV"/>
    <n v="296"/>
    <n v="50761.04"/>
    <s v="PP UL Fabric With UV"/>
    <n v="0"/>
    <n v="9"/>
    <n v="4568.49"/>
    <n v="9"/>
    <n v="4568.49"/>
    <n v="0"/>
    <n v="0"/>
    <n v="0"/>
    <n v="9136.98"/>
    <n v="0"/>
    <s v="24AAACO3087C1ZT"/>
    <s v="Kgs"/>
    <n v="39269080"/>
    <s v="Rs."/>
    <n v="1"/>
    <n v="296"/>
    <s v="India"/>
    <x v="1"/>
  </r>
  <r>
    <d v="2026-07-28T00:00:00"/>
    <s v="Plastene India ltd - Unit 1-Purchase"/>
    <s v="R.M.P."/>
    <s v="RM 339"/>
    <s v="Purchase Withinstate - Raw Material"/>
    <s v="PIL1/D/1172"/>
    <d v="2026-07-24T00:00:00"/>
    <s v="SF"/>
    <s v="PP/PE Fabric"/>
    <s v="PP UL Fabric"/>
    <s v="PP WOVEN FABRIC"/>
    <s v="PP UL Fabric With UV"/>
    <n v="681"/>
    <n v="101802.69"/>
    <s v="PP UL Fabric With UV"/>
    <n v="0"/>
    <n v="9"/>
    <n v="9162.24"/>
    <n v="9"/>
    <n v="9162.24"/>
    <n v="0"/>
    <n v="0"/>
    <n v="0"/>
    <n v="18324.48"/>
    <n v="0"/>
    <s v="24AAACO3087C1ZT"/>
    <s v="Kgs"/>
    <n v="39269080"/>
    <s v="Rs."/>
    <n v="1"/>
    <n v="681"/>
    <s v="India"/>
    <x v="1"/>
  </r>
  <r>
    <d v="2026-07-28T00:00:00"/>
    <s v="Plastene India ltd - Unit 1-Purchase"/>
    <s v="R.M.P."/>
    <s v="RM 340"/>
    <s v="Purchase Withinstate - Raw Material"/>
    <s v="PIL1/ME/21"/>
    <d v="2026-07-28T00:00:00"/>
    <s v="FG"/>
    <s v="FIBC Bags"/>
    <s v="FIBC Bags"/>
    <s v="PP WOVEN BIG BAGS / SACKS"/>
    <s v="FIBC Bags With UV Without Liner"/>
    <n v="788"/>
    <n v="177300"/>
    <s v="FIBC Bags With UV Without Liner"/>
    <n v="4087915.21"/>
    <n v="0.05"/>
    <n v="88.65"/>
    <n v="0.05"/>
    <n v="88.65"/>
    <n v="0"/>
    <n v="0"/>
    <n v="0"/>
    <n v="177.3"/>
    <n v="0"/>
    <s v="24AAACO3087C1ZT"/>
    <s v="Kgs"/>
    <n v="63053200"/>
    <s v="Rs."/>
    <n v="1"/>
    <n v="788"/>
    <s v="India"/>
    <x v="9"/>
  </r>
  <r>
    <d v="2026-07-28T00:00:00"/>
    <s v="Plastene India ltd - Unit 1-Purchase"/>
    <s v="R.M.P."/>
    <s v="RM 340"/>
    <s v="Purchase Withinstate - Raw Material"/>
    <s v="PIL1/ME/21"/>
    <d v="2026-07-28T00:00:00"/>
    <s v="FG"/>
    <s v="FIBC Bags"/>
    <s v="FIBC Bags"/>
    <s v="PP WOVEN BIG BAGS / SACKS"/>
    <s v="FIBC Bags With UV Without Liner"/>
    <n v="778"/>
    <n v="157194.9"/>
    <s v="FIBC Bags With UV Without Liner"/>
    <n v="0"/>
    <n v="0.05"/>
    <n v="78.599999999999994"/>
    <n v="0.05"/>
    <n v="78.599999999999994"/>
    <n v="0"/>
    <n v="0"/>
    <n v="0"/>
    <n v="157.19999999999999"/>
    <n v="0"/>
    <s v="24AAACO3087C1ZT"/>
    <s v="Kgs"/>
    <n v="63053200"/>
    <s v="Rs."/>
    <n v="1"/>
    <n v="778"/>
    <s v="India"/>
    <x v="9"/>
  </r>
  <r>
    <d v="2026-07-28T00:00:00"/>
    <s v="Plastene India ltd - Unit 1-Purchase"/>
    <s v="R.M.P."/>
    <s v="RM 340"/>
    <s v="Purchase Withinstate - Raw Material"/>
    <s v="PIL1/ME/21"/>
    <d v="2026-07-28T00:00:00"/>
    <s v="FG"/>
    <s v="FIBC Bags"/>
    <s v="FIBC Bags"/>
    <s v="PP WOVEN BIG BAGS / SACKS"/>
    <s v="FIBC Bags With UV Without Liner"/>
    <n v="2228"/>
    <n v="448585.52"/>
    <s v="FIBC Bags With UV Without Liner"/>
    <n v="0"/>
    <n v="0.05"/>
    <n v="224.29"/>
    <n v="0.05"/>
    <n v="224.29"/>
    <n v="0"/>
    <n v="0"/>
    <n v="0"/>
    <n v="448.58"/>
    <n v="0"/>
    <s v="24AAACO3087C1ZT"/>
    <s v="Kgs"/>
    <n v="63053200"/>
    <s v="Rs."/>
    <n v="1"/>
    <n v="2228"/>
    <s v="India"/>
    <x v="9"/>
  </r>
  <r>
    <d v="2026-07-28T00:00:00"/>
    <s v="Plastene India ltd - Unit 1-Purchase"/>
    <s v="R.M.P."/>
    <s v="RM 340"/>
    <s v="Purchase Withinstate - Raw Material"/>
    <s v="PIL1/ME/21"/>
    <d v="2026-07-28T00:00:00"/>
    <s v="FG"/>
    <s v="FIBC Bags"/>
    <s v="FIBC Bags"/>
    <s v="PP WOVEN BIG BAGS / SACKS"/>
    <s v="FIBC Bags With UV Without Liner"/>
    <n v="1031"/>
    <n v="201117.17"/>
    <s v="FIBC Bags With UV Without Liner"/>
    <n v="0"/>
    <n v="0.05"/>
    <n v="100.56"/>
    <n v="0.05"/>
    <n v="100.56"/>
    <n v="0"/>
    <n v="0"/>
    <n v="0"/>
    <n v="201.12"/>
    <n v="0"/>
    <s v="24AAACO3087C1ZT"/>
    <s v="Kgs"/>
    <n v="63053200"/>
    <s v="Rs."/>
    <n v="1"/>
    <n v="1031"/>
    <s v="India"/>
    <x v="9"/>
  </r>
  <r>
    <d v="2026-07-28T00:00:00"/>
    <s v="Plastene India ltd - Unit 1-Purchase"/>
    <s v="R.M.P."/>
    <s v="RM 340"/>
    <s v="Purchase Withinstate - Raw Material"/>
    <s v="PIL1/ME/21"/>
    <d v="2026-07-28T00:00:00"/>
    <s v="FG"/>
    <s v="FIBC Bags"/>
    <s v="FIBC Bags"/>
    <s v="PP WOVEN BIG BAGS / SACKS"/>
    <s v="FIBC Bags With UV Without Liner"/>
    <n v="14538"/>
    <n v="3103717.62"/>
    <s v="FIBC Bags With UV Without Liner"/>
    <n v="0"/>
    <n v="0.05"/>
    <n v="1551.86"/>
    <n v="0.05"/>
    <n v="1551.86"/>
    <n v="0"/>
    <n v="0"/>
    <n v="0"/>
    <n v="3103.72"/>
    <n v="0"/>
    <s v="24AAACO3087C1ZT"/>
    <s v="Kgs"/>
    <n v="63053200"/>
    <s v="Rs."/>
    <n v="1"/>
    <n v="14538"/>
    <s v="India"/>
    <x v="9"/>
  </r>
  <r>
    <d v="2026-07-28T00:00:00"/>
    <s v="Plastene India ltd - Unit 1-Purchase"/>
    <s v="R.M.P."/>
    <s v="RM 342"/>
    <s v="Purchase Withinstate - Raw Material"/>
    <s v="PIL1/D/1197"/>
    <d v="2026-07-27T00:00:00"/>
    <s v="SF"/>
    <s v="Liners"/>
    <s v="LDPE/LLDPE Bags"/>
    <s v="LLDPE BAGS"/>
    <s v="LDPE/LLDPE Bags/Liner"/>
    <n v="3511"/>
    <n v="726004.58"/>
    <s v="LDPE/LLDPE Bags/Liner"/>
    <n v="1984781.64"/>
    <n v="9"/>
    <n v="65340.41"/>
    <n v="9"/>
    <n v="65340.41"/>
    <n v="0"/>
    <n v="0"/>
    <n v="0"/>
    <n v="130680.82"/>
    <n v="0"/>
    <s v="24AAACO3087C1ZT"/>
    <s v="Kgs"/>
    <n v="39200000"/>
    <s v="Rs."/>
    <n v="1"/>
    <n v="3511"/>
    <s v="India"/>
    <x v="4"/>
  </r>
  <r>
    <d v="2026-07-28T00:00:00"/>
    <s v="Plastene India ltd - Unit 1-Purchase"/>
    <s v="R.M.P."/>
    <s v="RM 342"/>
    <s v="Purchase Withinstate - Raw Material"/>
    <s v="PIL1/D/1197"/>
    <d v="2026-07-27T00:00:00"/>
    <s v="SF"/>
    <s v="Liners"/>
    <s v="LDPE/LLDPE Bags"/>
    <s v="LLDPE BAGS"/>
    <s v="LDPE/LLDPE Bags/Liner"/>
    <n v="528"/>
    <n v="125125.44"/>
    <s v="LDPE/LLDPE Bags/Liner"/>
    <n v="0"/>
    <n v="9"/>
    <n v="11261.29"/>
    <n v="9"/>
    <n v="11261.29"/>
    <n v="0"/>
    <n v="0"/>
    <n v="0"/>
    <n v="22522.58"/>
    <n v="0"/>
    <s v="24AAACO3087C1ZT"/>
    <s v="Kgs"/>
    <n v="39200000"/>
    <s v="Rs."/>
    <n v="1"/>
    <n v="528"/>
    <s v="India"/>
    <x v="4"/>
  </r>
  <r>
    <d v="2026-07-28T00:00:00"/>
    <s v="Plastene India ltd - Unit 1-Purchase"/>
    <s v="R.M.P."/>
    <s v="RM 342"/>
    <s v="Purchase Withinstate - Raw Material"/>
    <s v="PIL1/D/1197"/>
    <d v="2026-07-27T00:00:00"/>
    <s v="SF"/>
    <s v="Liners"/>
    <s v="LDPE/LLDPE Bags"/>
    <s v="LLDPE BAGS"/>
    <s v="LDPE/LLDPE Bags/Liner"/>
    <n v="471"/>
    <n v="87973.38"/>
    <s v="LDPE/LLDPE Bags/Liner"/>
    <n v="0"/>
    <n v="9"/>
    <n v="7917.6"/>
    <n v="9"/>
    <n v="7917.6"/>
    <n v="0"/>
    <n v="0"/>
    <n v="0"/>
    <n v="15835.2"/>
    <n v="0"/>
    <s v="24AAACO3087C1ZT"/>
    <s v="Kgs"/>
    <n v="39200000"/>
    <s v="Rs."/>
    <n v="1"/>
    <n v="471"/>
    <s v="India"/>
    <x v="4"/>
  </r>
  <r>
    <d v="2026-07-28T00:00:00"/>
    <s v="Plastene India ltd - Unit 1-Purchase"/>
    <s v="R.M.P."/>
    <s v="RM 342"/>
    <s v="Purchase Withinstate - Raw Material"/>
    <s v="PIL1/D/1197"/>
    <d v="2026-07-27T00:00:00"/>
    <s v="SF"/>
    <s v="PP/PE Fabric"/>
    <s v="PP UL Fabric"/>
    <s v="PP WOVEN FABRIC"/>
    <s v="PP UL Fabric With UV"/>
    <n v="398"/>
    <n v="57507.02"/>
    <s v="PP UL Fabric With UV"/>
    <n v="0"/>
    <n v="9"/>
    <n v="5175.63"/>
    <n v="9"/>
    <n v="5175.63"/>
    <n v="0"/>
    <n v="0"/>
    <n v="0"/>
    <n v="10351.26"/>
    <n v="0"/>
    <s v="24AAACO3087C1ZT"/>
    <s v="Kgs"/>
    <n v="39269080"/>
    <s v="Rs."/>
    <n v="1"/>
    <n v="398"/>
    <s v="India"/>
    <x v="1"/>
  </r>
  <r>
    <d v="2026-07-28T00:00:00"/>
    <s v="Plastene India ltd - Unit 1-Purchase"/>
    <s v="R.M.P."/>
    <s v="RM 342"/>
    <s v="Purchase Withinstate - Raw Material"/>
    <s v="PIL1/D/1197"/>
    <d v="2026-07-27T00:00:00"/>
    <s v="SF"/>
    <s v="PP/PE Fabric"/>
    <s v="PP UL Fabric"/>
    <s v="PP WOVEN FABRIC"/>
    <s v="PP UL Fabric With UV"/>
    <n v="3624"/>
    <n v="541751.76"/>
    <s v="PP UL Fabric With UV"/>
    <n v="0"/>
    <n v="9"/>
    <n v="48757.66"/>
    <n v="9"/>
    <n v="48757.66"/>
    <n v="0"/>
    <n v="0"/>
    <n v="0"/>
    <n v="97515.32"/>
    <n v="0"/>
    <s v="24AAACO3087C1ZT"/>
    <s v="Kgs"/>
    <n v="39269080"/>
    <s v="Rs."/>
    <n v="1"/>
    <n v="3624"/>
    <s v="India"/>
    <x v="1"/>
  </r>
  <r>
    <d v="2026-07-28T00:00:00"/>
    <s v="Plastene India ltd - Unit 1-Purchase"/>
    <s v="R.M.P."/>
    <s v="RM 342"/>
    <s v="Purchase Withinstate - Raw Material"/>
    <s v="PIL1/D/1197"/>
    <d v="2026-07-27T00:00:00"/>
    <s v="SF"/>
    <s v="Yarn All"/>
    <s v="PP Yarn"/>
    <s v="PP MF Yarn"/>
    <s v="PP MF Yarn Twisted 1000 UV NW"/>
    <n v="1042"/>
    <n v="163062.57999999999"/>
    <s v="PP MF Yarn Twisted 1000 UV NW"/>
    <n v="0"/>
    <n v="2.5"/>
    <n v="4076.56"/>
    <n v="2.5"/>
    <n v="4076.56"/>
    <n v="0"/>
    <n v="0"/>
    <n v="0"/>
    <n v="8153.12"/>
    <n v="0"/>
    <s v="24AAACO3087C1ZT"/>
    <s v="Kgs"/>
    <n v="54026930"/>
    <s v="Rs."/>
    <n v="1"/>
    <n v="1042"/>
    <s v="India"/>
    <x v="3"/>
  </r>
  <r>
    <d v="2026-07-28T00:00:00"/>
    <s v="Plastene India ltd - Unit 2-Purchase"/>
    <s v="General Purchase"/>
    <s v="GNPK 162"/>
    <s v="Purchase Withinstate- Packing Material"/>
    <s v="PIL2/D/408"/>
    <d v="2026-07-26T00:00:00"/>
    <s v="Stores/Spares"/>
    <s v="MS Structure Items"/>
    <s v="Packing Materials"/>
    <s v="Packing Materials"/>
    <s v="MS Pipe"/>
    <n v="32"/>
    <n v="1536"/>
    <s v="MS Pipe"/>
    <n v="1810.94"/>
    <n v="9"/>
    <n v="138.24"/>
    <n v="9"/>
    <n v="138.24"/>
    <n v="0"/>
    <n v="0"/>
    <n v="0"/>
    <n v="276.48"/>
    <n v="0"/>
    <s v="24AAACO3087C1ZT"/>
    <s v="Kgs"/>
    <n v="7306309"/>
    <s v="Rs."/>
    <n v="1"/>
    <n v="0"/>
    <s v="India"/>
    <x v="0"/>
  </r>
  <r>
    <d v="2026-07-28T00:00:00"/>
    <s v="Plastene India ltd - Unit 2-Purchase"/>
    <s v="R.M.P."/>
    <s v="RM 333"/>
    <s v="Purchase Withinstate - Raw Material"/>
    <s v="PIL2/D/407"/>
    <d v="2026-07-26T00:00:00"/>
    <s v="SF"/>
    <s v="PP/PE Fabric"/>
    <s v="PP UL Fabric"/>
    <s v="PP WOVEN FABRIC"/>
    <s v="PP UL Fabric With UV"/>
    <n v="636"/>
    <n v="78126.240000000005"/>
    <s v="PP UL Fabric With UV"/>
    <n v="200074.69"/>
    <n v="9"/>
    <n v="7031.36"/>
    <n v="9"/>
    <n v="7031.36"/>
    <n v="0"/>
    <n v="0"/>
    <n v="0"/>
    <n v="14062.72"/>
    <n v="0"/>
    <s v="24AAACO3087C1ZT"/>
    <s v="Kgs"/>
    <n v="39269080"/>
    <s v="Rs."/>
    <n v="1"/>
    <n v="636"/>
    <s v="India"/>
    <x v="1"/>
  </r>
  <r>
    <d v="2026-07-28T00:00:00"/>
    <s v="Plastene India ltd - Unit 2-Purchase"/>
    <s v="R.M.P."/>
    <s v="RM 333"/>
    <s v="Purchase Withinstate - Raw Material"/>
    <s v="PIL2/D/407"/>
    <d v="2026-07-26T00:00:00"/>
    <s v="SF"/>
    <s v="PP/PE Fabric"/>
    <s v="PP Lam Fabric"/>
    <s v="PP LAMINETED FABRIC"/>
    <s v="PP Lam Fabric With UV"/>
    <n v="420"/>
    <n v="53272.800000000003"/>
    <s v="PP Lam Fabric With UV"/>
    <n v="0"/>
    <n v="9"/>
    <n v="4794.55"/>
    <n v="9"/>
    <n v="4794.55"/>
    <n v="0"/>
    <n v="0"/>
    <n v="0"/>
    <n v="9589.1"/>
    <n v="0"/>
    <s v="24AAACO3087C1ZT"/>
    <s v="Kgs"/>
    <n v="63053300"/>
    <s v="Rs."/>
    <n v="1"/>
    <n v="420"/>
    <s v="India"/>
    <x v="2"/>
  </r>
  <r>
    <d v="2026-07-28T00:00:00"/>
    <s v="Plastene India ltd - Unit 2-Purchase"/>
    <s v="R.M.P."/>
    <s v="RM 333"/>
    <s v="Purchase Withinstate - Raw Material"/>
    <s v="PIL2/D/407"/>
    <d v="2026-07-26T00:00:00"/>
    <s v="SF"/>
    <s v="Yarn All"/>
    <s v="PP Yarn"/>
    <s v="PP MF Yarn"/>
    <s v="PP MF Yarn Twisted 2500 Green"/>
    <n v="200.6"/>
    <n v="37490.133999999998"/>
    <s v="PP MF Yarn Twisted 2500 Green"/>
    <n v="0"/>
    <n v="2.5"/>
    <n v="937.25"/>
    <n v="2.5"/>
    <n v="937.25"/>
    <n v="0"/>
    <n v="0"/>
    <n v="0"/>
    <n v="1874.5"/>
    <n v="0"/>
    <s v="24AAACO3087C1ZT"/>
    <s v="Kgs"/>
    <n v="540263"/>
    <s v="Rs."/>
    <n v="1"/>
    <n v="200.6"/>
    <s v="India"/>
    <x v="3"/>
  </r>
  <r>
    <d v="2026-07-28T00:00:00"/>
    <s v="Plastene India ltd - Unit 2-Purchase"/>
    <s v="R.M.P."/>
    <s v="RM 333"/>
    <s v="Purchase Withinstate - Raw Material"/>
    <s v="PIL2/D/407"/>
    <d v="2026-07-26T00:00:00"/>
    <s v="SF"/>
    <s v="Liners"/>
    <s v="LDPE/LLDPE Bags"/>
    <s v="LLDPE Film"/>
    <s v="PE Labels (Pcs)"/>
    <n v="19"/>
    <n v="4943.25"/>
    <s v="PE Labels (Pcs)"/>
    <n v="0"/>
    <n v="9"/>
    <n v="444.89"/>
    <n v="9"/>
    <n v="444.89"/>
    <n v="0"/>
    <n v="0"/>
    <n v="0"/>
    <n v="889.78"/>
    <n v="0"/>
    <s v="24AAACO3087C1ZT"/>
    <s v="Kgs"/>
    <n v="392300"/>
    <s v="Rs."/>
    <n v="1"/>
    <n v="19"/>
    <s v="India"/>
    <x v="0"/>
  </r>
  <r>
    <d v="2026-07-28T00:00:00"/>
    <s v="Plastene India ltd - Unit 2-Purchase"/>
    <s v="R.M.P."/>
    <s v="RM 343"/>
    <s v="Purchase Withinstate - Raw Material"/>
    <s v="PIL2/D/415"/>
    <d v="2026-07-28T00:00:00"/>
    <s v="RM"/>
    <s v="Granules"/>
    <s v="UV MB"/>
    <s v="Master batch"/>
    <s v="UV PIL NFG Natural MFY PP 20%"/>
    <n v="3000"/>
    <n v="720000"/>
    <s v="UV PIL NFG Natural MFY PP 20%"/>
    <n v="899859.58"/>
    <n v="9"/>
    <n v="64800"/>
    <n v="9"/>
    <n v="64800"/>
    <n v="0"/>
    <n v="0"/>
    <n v="0"/>
    <n v="129600"/>
    <n v="0"/>
    <s v="24AAACO3087C1ZT"/>
    <s v="Kgs"/>
    <n v="32061190"/>
    <s v="Rs."/>
    <n v="1"/>
    <n v="3000"/>
    <s v="India"/>
    <x v="13"/>
  </r>
  <r>
    <d v="2026-07-28T00:00:00"/>
    <s v="Plastene India ltd - Unit 2-Purchase"/>
    <s v="R.M.P."/>
    <s v="RM 343"/>
    <s v="Purchase Withinstate - Raw Material"/>
    <s v="PIL2/D/415"/>
    <d v="2026-07-28T00:00:00"/>
    <s v="SF"/>
    <s v="PP/PE Fabric"/>
    <s v="PP UL Fabric"/>
    <s v="PP WOVEN FABRIC"/>
    <s v="PP UL Fabric With UV"/>
    <n v="352"/>
    <n v="43239.68"/>
    <s v="PP UL Fabric With UV"/>
    <n v="0"/>
    <n v="9"/>
    <n v="3891.57"/>
    <n v="9"/>
    <n v="3891.57"/>
    <n v="0"/>
    <n v="0"/>
    <n v="0"/>
    <n v="7783.14"/>
    <n v="0"/>
    <s v="24AAACO3087C1ZT"/>
    <s v="Kgs"/>
    <n v="39269080"/>
    <s v="Rs."/>
    <n v="1"/>
    <n v="352"/>
    <s v="India"/>
    <x v="1"/>
  </r>
  <r>
    <d v="2026-07-28T00:00:00"/>
    <s v="Plastene India ltd - Unit 2-Purchase"/>
    <s v="R.M.P."/>
    <s v="RM 344"/>
    <s v="Purchase Withinstate - Raw Material"/>
    <s v="PIL2/D/413"/>
    <d v="2026-07-27T00:00:00"/>
    <s v="SF"/>
    <s v="Yarn All"/>
    <s v="PP Yarn"/>
    <s v="Filler code"/>
    <s v="Filler Cord"/>
    <n v="3209.29"/>
    <n v="437554.59860000003"/>
    <s v="Filler Cord"/>
    <n v="458994.77"/>
    <n v="2.5"/>
    <n v="10938.86"/>
    <n v="2.5"/>
    <n v="10938.86"/>
    <n v="0"/>
    <n v="0"/>
    <n v="0"/>
    <n v="21877.72"/>
    <n v="0"/>
    <s v="24AAACO3087C1ZT"/>
    <s v="Kgs"/>
    <n v="540263"/>
    <s v="Rs."/>
    <n v="1"/>
    <n v="3209.29"/>
    <s v="India"/>
    <x v="3"/>
  </r>
  <r>
    <d v="2026-07-28T00:00:00"/>
    <s v="Plastene Polyfilms Ltd-Purchase"/>
    <s v="General Purchase"/>
    <s v="GNSP 439"/>
    <s v="Purchase Withinstate- Stores, Spares &amp; Consumable"/>
    <s v="PPL/D/391"/>
    <d v="2026-07-22T00:00:00"/>
    <s v="Stores/Spares"/>
    <s v="Needles"/>
    <s v="Stores &amp; Spares"/>
    <s v="stores &amp;  spares"/>
    <s v="Needle No 29 UY 9848 GS 300"/>
    <n v="150"/>
    <n v="19950"/>
    <s v="Needle No 29 UY 9848 GS 300"/>
    <n v="106118.42"/>
    <n v="2.5"/>
    <n v="498.75"/>
    <n v="2.5"/>
    <n v="498.75"/>
    <n v="0"/>
    <n v="0"/>
    <n v="0"/>
    <n v="997.5"/>
    <n v="0"/>
    <s v="24AAFCP2956A1ZR"/>
    <s v="Pcs"/>
    <n v="84529099"/>
    <s v="Rs."/>
    <n v="1"/>
    <n v="0"/>
    <s v="India"/>
    <x v="0"/>
  </r>
  <r>
    <d v="2026-07-28T00:00:00"/>
    <s v="Plastene Polyfilms Ltd-Purchase"/>
    <s v="General Purchase"/>
    <s v="GNSP 439"/>
    <s v="Purchase Withinstate- Stores, Spares &amp; Consumable"/>
    <s v="PPL/D/391"/>
    <d v="2026-07-22T00:00:00"/>
    <s v="Stores/Spares"/>
    <s v="Needles"/>
    <s v="Stores &amp; Spares"/>
    <s v="stores &amp;  spares"/>
    <s v="Needle No 34 UY 9853 GA 430/172"/>
    <n v="450"/>
    <n v="81211.5"/>
    <s v="Needle No 34 UY 9853 GA 430/172"/>
    <n v="0"/>
    <n v="2.5"/>
    <n v="2030.29"/>
    <n v="2.5"/>
    <n v="2030.29"/>
    <n v="0"/>
    <n v="0"/>
    <n v="0"/>
    <n v="4060.58"/>
    <n v="0"/>
    <s v="24AAFCP2956A1ZR"/>
    <s v="Pcs"/>
    <n v="84529099"/>
    <s v="Rs."/>
    <n v="1"/>
    <n v="0"/>
    <s v="India"/>
    <x v="0"/>
  </r>
  <r>
    <d v="2026-07-28T00:00:00"/>
    <s v="S.R.Sewing Tech"/>
    <s v="General Purchase"/>
    <s v="GNSP 443"/>
    <s v="Purchase Interstate- Stores, Spares &amp; Consumable"/>
    <s v="SR/624/26-27"/>
    <d v="2026-07-25T00:00:00"/>
    <s v="Stores/Spares"/>
    <s v="Stitching Spares"/>
    <s v="Stores &amp; Spares"/>
    <s v="stores &amp;  spares"/>
    <s v="Thread Hook 81310"/>
    <n v="15"/>
    <n v="3750"/>
    <s v="Thread Hook 81310"/>
    <n v="3990"/>
    <n v="0"/>
    <n v="0"/>
    <n v="0"/>
    <n v="0"/>
    <n v="5"/>
    <n v="187.5"/>
    <n v="2.5"/>
    <n v="190"/>
    <n v="0"/>
    <s v="19AORPR0945L1Z4"/>
    <s v="Pcs"/>
    <n v="84529099"/>
    <s v="Rs."/>
    <n v="1"/>
    <n v="0"/>
    <s v="India"/>
    <x v="0"/>
  </r>
  <r>
    <d v="2026-07-28T00:00:00"/>
    <s v="Saroj Textiles "/>
    <s v="General Purchase"/>
    <s v="GNSP 442"/>
    <s v="Purchase Interstate- Stores, Spares &amp; Consumable"/>
    <n v="75"/>
    <d v="2026-07-22T00:00:00"/>
    <s v="Stores/Spares"/>
    <s v="Sulzer Machine Spares"/>
    <s v="Stores &amp; Spares"/>
    <s v="stores &amp;  spares"/>
    <s v="Projectile Gripper D1 2.2 X 4mm, 3000 GMS Dimond Knurled, (911.312.403)"/>
    <n v="120"/>
    <n v="38400"/>
    <s v="Projectile Gripper D1 2.2 X 4mm, 3000 GMS Dimond Knurled, (911.312.403)"/>
    <n v="45312"/>
    <n v="0"/>
    <n v="0"/>
    <n v="0"/>
    <n v="0"/>
    <n v="18"/>
    <n v="6912"/>
    <n v="0"/>
    <n v="6912"/>
    <n v="0"/>
    <s v="08AHEPN1326P1Z2"/>
    <s v="Pcs"/>
    <n v="844810"/>
    <s v="Rs."/>
    <n v="1"/>
    <n v="0"/>
    <s v="India"/>
    <x v="0"/>
  </r>
  <r>
    <d v="2026-07-28T00:00:00"/>
    <s v="Shree Salareshwar Wood Packers Private Limited."/>
    <s v="Purchase"/>
    <s v="GNPK 166"/>
    <s v="Purchase Withinstate- Packing Material"/>
    <s v="SS/SL/26-27/120"/>
    <d v="2026-07-01T00:00:00"/>
    <s v="Packing Material"/>
    <s v="Pallets"/>
    <s v="Packing Materials"/>
    <s v="Packing Materials"/>
    <s v="Wooden Pallet Size 90X115X7Cm Gutka ( Nnz Bv Order Only)"/>
    <n v="90"/>
    <n v="83070"/>
    <s v="Wooden Pallet Size 90X115X7Cm Gutka ( Nnz Bv Order Only)"/>
    <n v="146244"/>
    <n v="2.5"/>
    <n v="2076.75"/>
    <n v="2.5"/>
    <n v="2076.75"/>
    <n v="0"/>
    <n v="0"/>
    <n v="0"/>
    <n v="4153.5"/>
    <n v="0"/>
    <s v="24ABLCS6579H1ZR"/>
    <s v="Pcs"/>
    <n v="4415200"/>
    <s v="Rs."/>
    <n v="1"/>
    <n v="0"/>
    <s v="India"/>
    <x v="0"/>
  </r>
  <r>
    <d v="2026-07-28T00:00:00"/>
    <s v="Shree Salareshwar Wood Packers Private Limited."/>
    <s v="Purchase"/>
    <s v="GNPK 166"/>
    <s v="Purchase Withinstate- Packing Material"/>
    <s v="SS/SL/26-27/120"/>
    <d v="2026-07-01T00:00:00"/>
    <s v="Packing Material"/>
    <s v="Pallets"/>
    <s v="Pallets"/>
    <s v="Packing Materials"/>
    <s v="Pine Wooden Pallet Design Code STD90110"/>
    <n v="70"/>
    <n v="56210"/>
    <s v="Pine Wooden Pallet Design Code STD90110"/>
    <n v="0"/>
    <n v="2.5"/>
    <n v="1405.25"/>
    <n v="2.5"/>
    <n v="1405.25"/>
    <n v="0"/>
    <n v="0"/>
    <n v="0"/>
    <n v="2810.5"/>
    <n v="0"/>
    <s v="24ABLCS6579H1ZR"/>
    <s v="Pcs"/>
    <n v="44152000"/>
    <s v="Rs."/>
    <n v="1"/>
    <n v="0"/>
    <s v="India"/>
    <x v="0"/>
  </r>
  <r>
    <d v="2026-07-28T00:00:00"/>
    <s v="Shree Salareshwar Wood Packers Private Limited."/>
    <s v="Purchase"/>
    <s v="GNPK 168"/>
    <s v="Purchase Withinstate- Packing Material"/>
    <s v="SS/SL/26-27/177"/>
    <d v="2026-07-24T00:00:00"/>
    <s v="Packing Material"/>
    <s v="Pallets"/>
    <s v="Pallets"/>
    <s v="Packing Materials"/>
    <s v="Pine Wooden Pallet Design Code STD90110"/>
    <n v="55"/>
    <n v="44165"/>
    <s v="Pine Wooden Pallet Design Code STD90110"/>
    <n v="112129.5"/>
    <n v="2.5"/>
    <n v="1104.1199999999999"/>
    <n v="2.5"/>
    <n v="1104.1199999999999"/>
    <n v="0"/>
    <n v="0"/>
    <n v="0"/>
    <n v="2208.2399999999998"/>
    <n v="0"/>
    <s v="24ABLCS6579H1ZR"/>
    <s v="Pcs"/>
    <n v="44152000"/>
    <s v="Rs."/>
    <n v="1"/>
    <n v="0"/>
    <s v="India"/>
    <x v="0"/>
  </r>
  <r>
    <d v="2026-07-28T00:00:00"/>
    <s v="Shree Salareshwar Wood Packers Private Limited."/>
    <s v="Purchase"/>
    <s v="GNPK 168"/>
    <s v="Purchase Withinstate- Packing Material"/>
    <s v="SS/SL/26-27/177"/>
    <d v="2026-07-24T00:00:00"/>
    <s v="Packing Material"/>
    <s v="Pallets"/>
    <s v="Pallets"/>
    <s v="Packing Materials"/>
    <s v="Pine Wooden Pallet Design Code STD90110"/>
    <n v="45"/>
    <n v="32625"/>
    <s v="Pine Wooden Pallet Design Code STD90110"/>
    <n v="0"/>
    <n v="2.5"/>
    <n v="815.62"/>
    <n v="2.5"/>
    <n v="815.62"/>
    <n v="0"/>
    <n v="0"/>
    <n v="0"/>
    <n v="1631.24"/>
    <n v="0"/>
    <s v="24ABLCS6579H1ZR"/>
    <s v="Pcs"/>
    <n v="44152000"/>
    <s v="Rs."/>
    <n v="1"/>
    <n v="0"/>
    <s v="India"/>
    <x v="0"/>
  </r>
  <r>
    <d v="2026-07-28T00:00:00"/>
    <s v="Shree Salareshwar Wood Packers Private Limited."/>
    <s v="Purchase"/>
    <s v="GNPK 168"/>
    <s v="Purchase Withinstate- Packing Material"/>
    <s v="SS/SL/26-27/177"/>
    <d v="2026-07-24T00:00:00"/>
    <s v="Packing Material"/>
    <s v="Packaging Material"/>
    <s v="Packing Materials"/>
    <s v="Packing Materials"/>
    <s v="Pine Wooden Pallet Design Code PC90110"/>
    <n v="50"/>
    <n v="30000"/>
    <s v="Pine Wooden Pallet Design Code PC90110"/>
    <n v="0"/>
    <n v="2.5"/>
    <n v="750"/>
    <n v="2.5"/>
    <n v="750"/>
    <n v="0"/>
    <n v="0"/>
    <n v="0"/>
    <n v="1500"/>
    <n v="0"/>
    <s v="24ABLCS6579H1ZR"/>
    <s v="Pcs"/>
    <n v="44152000"/>
    <s v="Rs."/>
    <n v="1"/>
    <n v="0"/>
    <s v="India"/>
    <x v="0"/>
  </r>
  <r>
    <d v="2026-07-28T00:00:00"/>
    <s v="Shri Nakoda Transmission &amp; Electric Co."/>
    <s v="General Purchase"/>
    <s v="GNSP 433"/>
    <s v="Purchase Withinstate- Stores, Spares &amp; Consumable"/>
    <s v="VTV/26-27/2126"/>
    <d v="2026-07-22T00:00:00"/>
    <s v="Stores/Spares"/>
    <s v="Electrical Fittings"/>
    <s v="Stores &amp; Spares"/>
    <s v="stores &amp;  spares"/>
    <s v="Lugs  95 Sqmm Copper Ring Type"/>
    <n v="20"/>
    <n v="1263.9000000000001"/>
    <s v="Lugs  95 Sqmm Copper Ring Type"/>
    <n v="31293"/>
    <n v="9"/>
    <n v="113.75"/>
    <n v="9"/>
    <n v="113.75"/>
    <n v="0"/>
    <n v="0"/>
    <n v="0"/>
    <n v="227.5"/>
    <n v="0"/>
    <s v="24AFGFS2586E1ZX"/>
    <s v="Pcs"/>
    <n v="85366990"/>
    <s v="Rs."/>
    <n v="1"/>
    <n v="0"/>
    <s v="India"/>
    <x v="0"/>
  </r>
  <r>
    <d v="2026-07-28T00:00:00"/>
    <s v="Shri Nakoda Transmission &amp; Electric Co."/>
    <s v="General Purchase"/>
    <s v="GNSP 433"/>
    <s v="Purchase Withinstate- Stores, Spares &amp; Consumable"/>
    <s v="VTV/26-27/2126"/>
    <d v="2026-07-22T00:00:00"/>
    <s v="Stores/Spares"/>
    <s v="Electrical Fittings"/>
    <s v="Stores &amp; Spares"/>
    <s v="stores &amp;  spares"/>
    <s v="Copper Lugs 10Sq mm Ring Type"/>
    <n v="200"/>
    <n v="1258"/>
    <s v="Copper Lugs 10Sq mm Ring Type"/>
    <n v="0"/>
    <n v="9"/>
    <n v="113.22"/>
    <n v="9"/>
    <n v="113.22"/>
    <n v="0"/>
    <n v="0"/>
    <n v="0"/>
    <n v="226.44"/>
    <n v="0"/>
    <s v="24AFGFS2586E1ZX"/>
    <s v="Pcs"/>
    <n v="853690"/>
    <s v="Rs."/>
    <n v="1"/>
    <n v="0"/>
    <s v="India"/>
    <x v="0"/>
  </r>
  <r>
    <d v="2026-07-28T00:00:00"/>
    <s v="Shri Nakoda Transmission &amp; Electric Co."/>
    <s v="General Purchase"/>
    <s v="GNSP 433"/>
    <s v="Purchase Withinstate- Stores, Spares &amp; Consumable"/>
    <s v="VTV/26-27/2126"/>
    <d v="2026-07-22T00:00:00"/>
    <s v="Stores/Spares"/>
    <s v="Electrical Fittings"/>
    <s v="Stores &amp; Spares"/>
    <s v="stores &amp;  spares"/>
    <s v="Copper Lugs Ring Type 4 Sq mm Hole Size 6 mm"/>
    <n v="100"/>
    <n v="357.5"/>
    <s v="Copper Lugs Ring Type 4 Sq mm Hole Size 6 mm"/>
    <n v="0"/>
    <n v="9"/>
    <n v="32.17"/>
    <n v="9"/>
    <n v="32.17"/>
    <n v="0"/>
    <n v="0"/>
    <n v="0"/>
    <n v="64.34"/>
    <n v="0"/>
    <s v="24AFGFS2586E1ZX"/>
    <s v="Pcs"/>
    <n v="853690"/>
    <s v="Rs."/>
    <n v="1"/>
    <n v="0"/>
    <s v="India"/>
    <x v="0"/>
  </r>
  <r>
    <d v="2026-07-28T00:00:00"/>
    <s v="Shri Nakoda Transmission &amp; Electric Co."/>
    <s v="General Purchase"/>
    <s v="GNSP 433"/>
    <s v="Purchase Withinstate- Stores, Spares &amp; Consumable"/>
    <s v="VTV/26-27/2126"/>
    <d v="2026-07-22T00:00:00"/>
    <s v="Stores/Spares"/>
    <s v="Cables/Wires"/>
    <s v="Stores &amp; Spares"/>
    <s v="stores &amp;  spares"/>
    <s v="Copper Flexible 0.75 Sq mm X 2 Core"/>
    <n v="200"/>
    <n v="5526.8"/>
    <s v="Copper Flexible 0.75 Sq mm X 2 Core"/>
    <n v="0"/>
    <n v="9"/>
    <n v="497.41"/>
    <n v="9"/>
    <n v="497.41"/>
    <n v="0"/>
    <n v="0"/>
    <n v="0"/>
    <n v="994.82"/>
    <n v="0"/>
    <s v="24AFGFS2586E1ZX"/>
    <s v="MTR"/>
    <n v="854460"/>
    <s v="Rs."/>
    <n v="1"/>
    <n v="0"/>
    <s v="India"/>
    <x v="0"/>
  </r>
  <r>
    <d v="2026-07-28T00:00:00"/>
    <s v="Shri Nakoda Transmission &amp; Electric Co."/>
    <s v="General Purchase"/>
    <s v="GNSP 433"/>
    <s v="Purchase Withinstate- Stores, Spares &amp; Consumable"/>
    <s v="VTV/26-27/2126"/>
    <d v="2026-07-22T00:00:00"/>
    <s v="Stores/Spares"/>
    <s v="Cables/Wires"/>
    <s v="Stores &amp; Spares"/>
    <s v="stores &amp;  spares"/>
    <s v="Cable 4 Core"/>
    <n v="200"/>
    <n v="18113.8"/>
    <s v="Cable 4 Core"/>
    <n v="0"/>
    <n v="9"/>
    <n v="1630.24"/>
    <n v="9"/>
    <n v="1630.24"/>
    <n v="0"/>
    <n v="0"/>
    <n v="0"/>
    <n v="3260.48"/>
    <n v="0"/>
    <s v="24AFGFS2586E1ZX"/>
    <s v="MTR"/>
    <n v="854460"/>
    <s v="Rs."/>
    <n v="1"/>
    <n v="0"/>
    <s v="India"/>
    <x v="0"/>
  </r>
  <r>
    <d v="2026-07-28T00:00:00"/>
    <s v="Shyam Apparels"/>
    <s v="General Purchase"/>
    <s v="GNCN 250"/>
    <s v="Purchase Withinstate- Stores, Spares &amp; Consumable"/>
    <s v="51/26-27"/>
    <d v="2026-07-24T00:00:00"/>
    <s v="Consumables"/>
    <s v="Uniform/protective Item"/>
    <s v="Stores &amp; Spares"/>
    <s v="stores &amp;  spares"/>
    <s v="Apron Colour Sky Blue Short Sleeves Labcoat"/>
    <n v="318"/>
    <n v="62010"/>
    <s v="Apron Colour Sky Blue Short Sleeves Labcoat"/>
    <n v="66371"/>
    <n v="2.5"/>
    <n v="1550.25"/>
    <n v="2.5"/>
    <n v="1550.25"/>
    <n v="0"/>
    <n v="0"/>
    <n v="60"/>
    <n v="3160.5"/>
    <n v="0"/>
    <s v="24AFEPK6929B1ZP"/>
    <s v="Pcs"/>
    <n v="320414"/>
    <s v="Rs."/>
    <n v="1"/>
    <n v="0"/>
    <s v="India"/>
    <x v="0"/>
  </r>
  <r>
    <d v="2026-07-28T00:00:00"/>
    <s v="Spectrum Lubricants Private Limited"/>
    <s v="General Purchase"/>
    <s v="GNCN 251"/>
    <s v="Purchase Withinstate- Stores, Spares &amp; Consumable"/>
    <s v="0389/26-27"/>
    <d v="2026-07-27T00:00:00"/>
    <s v="Consumables"/>
    <s v="Oil &amp; Greases"/>
    <s v="Stores &amp; Spares"/>
    <s v="Consumables"/>
    <s v="Oil 68 Hydraulic"/>
    <n v="420"/>
    <n v="52500"/>
    <s v="Oil 68 Hydraulic"/>
    <n v="63720"/>
    <n v="9"/>
    <n v="4725"/>
    <n v="9"/>
    <n v="4725"/>
    <n v="0"/>
    <n v="0"/>
    <n v="270"/>
    <n v="9720"/>
    <n v="0"/>
    <s v="24AAPCS9776D1ZS"/>
    <s v="Ltr"/>
    <n v="27109900"/>
    <s v="Rs."/>
    <n v="1"/>
    <n v="0"/>
    <s v="India"/>
    <x v="0"/>
  </r>
  <r>
    <d v="2026-07-28T00:00:00"/>
    <s v="Tanmay Engitech"/>
    <s v="General Purchase"/>
    <s v="GNSP 441"/>
    <s v="Purchase Withinstate- Stores, Spares &amp; Consumable"/>
    <s v="TE/1137/26-27"/>
    <d v="2026-07-25T00:00:00"/>
    <s v="Stores/Spares"/>
    <s v="Pneumatic Cylinders &amp; Spares"/>
    <s v="Stores &amp; Spares"/>
    <s v="stores &amp;  spares"/>
    <s v="Pneumatic Cylinder, Make -Janatics, Model No. A51025160O"/>
    <n v="8"/>
    <n v="8278.7199999999993"/>
    <s v="Pneumatic Cylinder, Make -Janatics, Model No. A51025160O"/>
    <n v="14317"/>
    <n v="9"/>
    <n v="745.08"/>
    <n v="9"/>
    <n v="745.08"/>
    <n v="0"/>
    <n v="0"/>
    <n v="0"/>
    <n v="1490.16"/>
    <n v="0"/>
    <s v="24ARIPK4378C1ZV"/>
    <s v="Pcs"/>
    <n v="84123100"/>
    <s v="Rs."/>
    <n v="1"/>
    <n v="0"/>
    <s v="India"/>
    <x v="0"/>
  </r>
  <r>
    <d v="2026-07-28T00:00:00"/>
    <s v="Tanmay Engitech"/>
    <s v="General Purchase"/>
    <s v="GNSP 441"/>
    <s v="Purchase Withinstate- Stores, Spares &amp; Consumable"/>
    <s v="TE/1137/26-27"/>
    <d v="2026-07-25T00:00:00"/>
    <s v="Stores/Spares"/>
    <s v="Cutting Machine Spares"/>
    <s v="Stores &amp; Spares"/>
    <s v="stores &amp;  spares"/>
    <s v="Air Silencer Brass Bronze For Cutting Machine Size ¼”"/>
    <n v="50"/>
    <n v="3854"/>
    <s v="Air Silencer Brass Bronze For Cutting Machine Size ¼”"/>
    <n v="0"/>
    <n v="9"/>
    <n v="346.86"/>
    <n v="9"/>
    <n v="346.86"/>
    <n v="0"/>
    <n v="0"/>
    <n v="0"/>
    <n v="693.72"/>
    <n v="0"/>
    <s v="24ARIPK4378C1ZV"/>
    <s v="Pcs"/>
    <n v="391713"/>
    <s v="Rs."/>
    <n v="1"/>
    <n v="0"/>
    <s v="India"/>
    <x v="0"/>
  </r>
  <r>
    <d v="2026-07-28T00:00:00"/>
    <s v="Uma Steel Traders"/>
    <s v="General Purchase"/>
    <s v="GNCN 252"/>
    <s v="Purchase Withinstate- Stores, Spares &amp; Consumable"/>
    <s v="IOC-255"/>
    <d v="2026-07-23T00:00:00"/>
    <s v="Consumables"/>
    <s v="Oil Seal"/>
    <s v="Stores &amp; Spares"/>
    <s v="Consumables"/>
    <s v="Oil Sea 30 No."/>
    <n v="420"/>
    <n v="102900"/>
    <s v="Oil Sea 30 No."/>
    <n v="121422"/>
    <n v="9"/>
    <n v="9261"/>
    <n v="9"/>
    <n v="9261"/>
    <n v="0"/>
    <n v="0"/>
    <n v="0"/>
    <n v="18522"/>
    <n v="0"/>
    <s v="24ALSPP1946R1Z5"/>
    <s v="Ltr"/>
    <n v="27101979"/>
    <s v="Rs."/>
    <n v="1"/>
    <n v="0"/>
    <s v="India"/>
    <x v="0"/>
  </r>
  <r>
    <d v="2026-07-28T00:00:00"/>
    <s v="Uni-Tex"/>
    <s v="General Purchase"/>
    <s v="GNSP 445"/>
    <s v="Purchase Interstate- Stores, Spares &amp; Consumable"/>
    <n v="378"/>
    <d v="2026-07-22T00:00:00"/>
    <s v="Stores/Spares"/>
    <s v="Sulzer Machine Spares"/>
    <s v="Stores &amp; Spares"/>
    <s v="stores &amp;  spares"/>
    <s v="Projectile Body(6.5mm)"/>
    <n v="60"/>
    <n v="16500"/>
    <s v="Projectile Body(6.5mm)"/>
    <n v="19470"/>
    <n v="0"/>
    <n v="0"/>
    <n v="0"/>
    <n v="0"/>
    <n v="18"/>
    <n v="2970"/>
    <n v="0"/>
    <n v="2970"/>
    <n v="0"/>
    <s v="08AHGPB9007M1Z8"/>
    <s v="Pcs"/>
    <n v="844810"/>
    <s v="Rs."/>
    <n v="1"/>
    <n v="0"/>
    <s v="India"/>
    <x v="0"/>
  </r>
  <r>
    <d v="2026-07-29T00:00:00"/>
    <s v="Lohia Corp Limited - 24AAKCK2932Q1Z2 - Guj"/>
    <s v="General Purchase"/>
    <s v="GNSP 458"/>
    <s v="Purchase Withinstate- Stores, Spares &amp; Consumable"/>
    <s v="TG2426104987"/>
    <d v="2026-07-27T00:00:00"/>
    <s v="Stores/Spares"/>
    <s v="Cutting Machine Spares"/>
    <s v="Stores &amp; Spares"/>
    <s v="stores &amp;  spares"/>
    <s v="Sleeve Part No.11150001300"/>
    <n v="4"/>
    <n v="90"/>
    <s v="Sleeve Part No.11150001300"/>
    <n v="113.81"/>
    <n v="9"/>
    <n v="8.68"/>
    <n v="9"/>
    <n v="8.68"/>
    <n v="0"/>
    <n v="0"/>
    <n v="0"/>
    <n v="17.36"/>
    <n v="0"/>
    <s v="24AAKCK2932Q1Z2"/>
    <s v="Pcs"/>
    <n v="84798999"/>
    <s v="Rs."/>
    <n v="1"/>
    <n v="0"/>
    <s v="India"/>
    <x v="0"/>
  </r>
  <r>
    <d v="2026-07-29T00:00:00"/>
    <s v="Lohia Corp Limited - 24AAKCK2932Q1Z2 - Guj"/>
    <s v="General Purchase"/>
    <s v="GNSP 459"/>
    <s v="Purchase Withinstate- Stores, Spares &amp; Consumable"/>
    <s v="TG2426104986"/>
    <d v="2026-07-27T00:00:00"/>
    <s v="Stores/Spares"/>
    <s v="Tape Plant Spares"/>
    <s v="Stores &amp; Spares"/>
    <s v="stores &amp;  spares"/>
    <s v="Brake Part No. 11130860430"/>
    <n v="94"/>
    <n v="5076"/>
    <s v="Brake Part No. 11130860430"/>
    <n v="5946.42"/>
    <n v="9"/>
    <n v="453.54"/>
    <n v="9"/>
    <n v="453.54"/>
    <n v="0"/>
    <n v="0"/>
    <n v="0"/>
    <n v="907.08"/>
    <n v="0"/>
    <s v="24AAKCK2932Q1Z2"/>
    <s v="Pcs"/>
    <n v="844820"/>
    <s v="Rs."/>
    <n v="1"/>
    <n v="0"/>
    <s v="India"/>
    <x v="0"/>
  </r>
  <r>
    <d v="2026-07-29T00:00:00"/>
    <s v="Panchvati Tools Co."/>
    <s v="General Purchase"/>
    <s v="GNSP 460"/>
    <s v="Purchase Withinstate- Stores, Spares &amp; Consumable"/>
    <n v="1030"/>
    <d v="2026-07-07T00:00:00"/>
    <s v="Stores/Spares"/>
    <s v="Circular Loom Spares"/>
    <s v="Stores &amp; Spares"/>
    <s v="stores &amp;  spares"/>
    <s v="Cut Off Wheel 4&quot;X1&quot; Thik"/>
    <n v="200"/>
    <n v="2000"/>
    <s v="Cut Off Wheel 4&quot;X1&quot; Thik"/>
    <n v="5343"/>
    <n v="9"/>
    <n v="180"/>
    <n v="9"/>
    <n v="180"/>
    <n v="0"/>
    <n v="0"/>
    <n v="0"/>
    <n v="360"/>
    <n v="0"/>
    <s v="24ABVPP9097Q1Z7"/>
    <s v="Pcs"/>
    <n v="83113090"/>
    <s v="Rs."/>
    <n v="1"/>
    <n v="0"/>
    <s v="India"/>
    <x v="0"/>
  </r>
  <r>
    <d v="2026-07-29T00:00:00"/>
    <s v="Panchvati Tools Co."/>
    <s v="General Purchase"/>
    <s v="GNSP 460"/>
    <s v="Purchase Withinstate- Stores, Spares &amp; Consumable"/>
    <n v="1030"/>
    <d v="2026-07-07T00:00:00"/>
    <s v="Stores/Spares"/>
    <s v="Hardware Items"/>
    <s v="Stores &amp; Spares"/>
    <s v="stores &amp;  spares"/>
    <s v="Allen Bolt 10X25 mm"/>
    <n v="50"/>
    <n v="305.33999999999997"/>
    <s v="Allen Bolt 10X25 mm"/>
    <n v="0"/>
    <n v="9"/>
    <n v="27.48"/>
    <n v="9"/>
    <n v="27.48"/>
    <n v="0"/>
    <n v="0"/>
    <n v="0"/>
    <n v="54.96"/>
    <n v="0"/>
    <s v="24ABVPP9097Q1Z7"/>
    <s v="Pcs"/>
    <n v="73181500"/>
    <s v="Rs."/>
    <n v="1"/>
    <n v="0"/>
    <s v="India"/>
    <x v="0"/>
  </r>
  <r>
    <d v="2026-07-29T00:00:00"/>
    <s v="Panchvati Tools Co."/>
    <s v="General Purchase"/>
    <s v="GNSP 460"/>
    <s v="Purchase Withinstate- Stores, Spares &amp; Consumable"/>
    <n v="1030"/>
    <d v="2026-07-07T00:00:00"/>
    <s v="Stores/Spares"/>
    <s v="Hardware Items"/>
    <s v="Stores &amp; Spares"/>
    <s v="stores &amp;  spares"/>
    <s v="Allen Bolt 08X25 mm"/>
    <n v="50"/>
    <n v="198.03"/>
    <s v="Allen Bolt 08X25 mm"/>
    <n v="0"/>
    <n v="9"/>
    <n v="17.82"/>
    <n v="9"/>
    <n v="17.82"/>
    <n v="0"/>
    <n v="0"/>
    <n v="0"/>
    <n v="35.64"/>
    <n v="0"/>
    <s v="24ABVPP9097Q1Z7"/>
    <s v="Pcs"/>
    <n v="84821011"/>
    <s v="Rs."/>
    <n v="1"/>
    <n v="0"/>
    <s v="India"/>
    <x v="0"/>
  </r>
  <r>
    <d v="2026-07-29T00:00:00"/>
    <s v="Panchvati Tools Co."/>
    <s v="General Purchase"/>
    <s v="GNSP 460"/>
    <s v="Purchase Withinstate- Stores, Spares &amp; Consumable"/>
    <n v="1030"/>
    <d v="2026-07-07T00:00:00"/>
    <s v="Stores/Spares"/>
    <s v="Tools"/>
    <s v="Stores &amp; Spares"/>
    <s v="stores &amp;  spares"/>
    <s v="Hand Grinder&quot; Bosch&quot; Make- 4&quot;"/>
    <n v="1"/>
    <n v="2025"/>
    <s v="Hand Grinder&quot; Bosch&quot; Make- 4&quot;"/>
    <n v="0"/>
    <n v="9"/>
    <n v="182.25"/>
    <n v="9"/>
    <n v="182.25"/>
    <n v="0"/>
    <n v="0"/>
    <n v="0"/>
    <n v="364.5"/>
    <n v="0"/>
    <s v="24ABVPP9097Q1Z7"/>
    <s v="Pcs"/>
    <n v="84603910"/>
    <s v="Rs."/>
    <n v="1"/>
    <n v="0"/>
    <s v="India"/>
    <x v="0"/>
  </r>
  <r>
    <d v="2026-07-29T00:00:00"/>
    <s v="Plastene India ltd - Unit 1-Purchase"/>
    <s v="R.M.P."/>
    <s v="RM 345"/>
    <s v="Purchase Withinstate - Raw Material"/>
    <s v="PIL1/ME/22"/>
    <d v="2026-07-29T00:00:00"/>
    <s v="FG"/>
    <s v="FIBC Bags"/>
    <s v="FIBC Bags"/>
    <s v="PP WOVEN BIG BAGS / SACKS"/>
    <s v="FIBC Bags With UV Without Liner"/>
    <n v="3310.3"/>
    <n v="639152.72400000005"/>
    <s v="FIBC Bags With UV Without Liner"/>
    <n v="3765717.86"/>
    <n v="0.05"/>
    <n v="319.58"/>
    <n v="0.05"/>
    <n v="319.58"/>
    <n v="0"/>
    <n v="0"/>
    <n v="0"/>
    <n v="639.16"/>
    <n v="0"/>
    <s v="24AAACO3087C1ZT"/>
    <s v="Kgs"/>
    <n v="63053200"/>
    <s v="Rs."/>
    <n v="1"/>
    <n v="3310.3"/>
    <s v="India"/>
    <x v="9"/>
  </r>
  <r>
    <d v="2026-07-29T00:00:00"/>
    <s v="Plastene India ltd - Unit 1-Purchase"/>
    <s v="R.M.P."/>
    <s v="RM 345"/>
    <s v="Purchase Withinstate - Raw Material"/>
    <s v="PIL1/ME/22"/>
    <d v="2026-07-29T00:00:00"/>
    <s v="FG"/>
    <s v="FIBC Bags"/>
    <s v="FIBC Bags"/>
    <s v="PP WOVEN BIG BAGS / SACKS"/>
    <s v="FIBC Bags With UV Without Liner"/>
    <n v="835.3"/>
    <n v="164804.69"/>
    <s v="FIBC Bags With UV Without Liner"/>
    <n v="0"/>
    <n v="0.05"/>
    <n v="82.4"/>
    <n v="0.05"/>
    <n v="82.4"/>
    <n v="0"/>
    <n v="0"/>
    <n v="0"/>
    <n v="164.8"/>
    <n v="0"/>
    <s v="24AAACO3087C1ZT"/>
    <s v="Kgs"/>
    <n v="63053200"/>
    <s v="Rs."/>
    <n v="1"/>
    <n v="835.3"/>
    <s v="India"/>
    <x v="9"/>
  </r>
  <r>
    <d v="2026-07-29T00:00:00"/>
    <s v="Plastene India ltd - Unit 1-Purchase"/>
    <s v="R.M.P."/>
    <s v="RM 345"/>
    <s v="Purchase Withinstate - Raw Material"/>
    <s v="PIL1/ME/22"/>
    <d v="2026-07-29T00:00:00"/>
    <s v="FG"/>
    <s v="FIBC Bags"/>
    <s v="FIBC Bags"/>
    <s v="PP WOVEN BIG BAGS / SACKS"/>
    <s v="FIBC Bags With UV Without Liner"/>
    <n v="1647"/>
    <n v="335790.36"/>
    <s v="FIBC Bags With UV Without Liner"/>
    <n v="0"/>
    <n v="0.05"/>
    <n v="167.9"/>
    <n v="0.05"/>
    <n v="167.9"/>
    <n v="0"/>
    <n v="0"/>
    <n v="0"/>
    <n v="335.8"/>
    <n v="0"/>
    <s v="24AAACO3087C1ZT"/>
    <s v="Kgs"/>
    <n v="63053200"/>
    <s v="Rs."/>
    <n v="1"/>
    <n v="1647"/>
    <s v="India"/>
    <x v="9"/>
  </r>
  <r>
    <d v="2026-07-29T00:00:00"/>
    <s v="Plastene India ltd - Unit 1-Purchase"/>
    <s v="R.M.P."/>
    <s v="RM 345"/>
    <s v="Purchase Withinstate - Raw Material"/>
    <s v="PIL1/ME/22"/>
    <d v="2026-07-29T00:00:00"/>
    <s v="FG"/>
    <s v="FIBC Bags"/>
    <s v="FIBC Bags"/>
    <s v="PP WOVEN BIG BAGS / SACKS"/>
    <s v="FIBC Bags With UV Without Liner"/>
    <n v="1941"/>
    <n v="384356.82"/>
    <s v="FIBC Bags With UV Without Liner"/>
    <n v="0"/>
    <n v="0.05"/>
    <n v="192.18"/>
    <n v="0.05"/>
    <n v="192.18"/>
    <n v="0"/>
    <n v="0"/>
    <n v="0"/>
    <n v="384.36"/>
    <n v="0"/>
    <s v="24AAACO3087C1ZT"/>
    <s v="Kgs"/>
    <n v="63053200"/>
    <s v="Rs."/>
    <n v="1"/>
    <n v="1941"/>
    <s v="India"/>
    <x v="9"/>
  </r>
  <r>
    <d v="2026-07-29T00:00:00"/>
    <s v="Plastene India ltd - Unit 1-Purchase"/>
    <s v="R.M.P."/>
    <s v="RM 345"/>
    <s v="Purchase Withinstate - Raw Material"/>
    <s v="PIL1/ME/22"/>
    <d v="2026-07-29T00:00:00"/>
    <s v="FG"/>
    <s v="FIBC Bags"/>
    <s v="FIBC Bags"/>
    <s v="PP WOVEN BIG BAGS / SACKS"/>
    <s v="FIBC Bags With UV Without Liner"/>
    <n v="2738"/>
    <n v="561290"/>
    <s v="FIBC Bags With UV Without Liner"/>
    <n v="0"/>
    <n v="0.05"/>
    <n v="280.64"/>
    <n v="0.05"/>
    <n v="280.64"/>
    <n v="0"/>
    <n v="0"/>
    <n v="0"/>
    <n v="561.28"/>
    <n v="0"/>
    <s v="24AAACO3087C1ZT"/>
    <s v="Kgs"/>
    <n v="63053200"/>
    <s v="Rs."/>
    <n v="1"/>
    <n v="2738"/>
    <s v="India"/>
    <x v="9"/>
  </r>
  <r>
    <d v="2026-07-29T00:00:00"/>
    <s v="Plastene India ltd - Unit 1-Purchase"/>
    <s v="R.M.P."/>
    <s v="RM 345"/>
    <s v="Purchase Withinstate - Raw Material"/>
    <s v="PIL1/ME/22"/>
    <d v="2026-07-29T00:00:00"/>
    <s v="FG"/>
    <s v="FIBC Bags"/>
    <s v="FIBC Bags"/>
    <s v="PP WOVEN BIG BAGS / SACKS"/>
    <s v="FIBC Bags With UV Without Liner"/>
    <n v="2281"/>
    <n v="460944.48"/>
    <s v="FIBC Bags With UV Without Liner"/>
    <n v="0"/>
    <n v="0.05"/>
    <n v="230.47"/>
    <n v="0.05"/>
    <n v="230.47"/>
    <n v="0"/>
    <n v="0"/>
    <n v="0"/>
    <n v="460.94"/>
    <n v="0"/>
    <s v="24AAACO3087C1ZT"/>
    <s v="Kgs"/>
    <n v="63053200"/>
    <s v="Rs."/>
    <n v="1"/>
    <n v="2281"/>
    <s v="India"/>
    <x v="9"/>
  </r>
  <r>
    <d v="2026-07-29T00:00:00"/>
    <s v="Plastene India ltd - Unit 1-Purchase"/>
    <s v="R.M.P."/>
    <s v="RM 345"/>
    <s v="Purchase Withinstate - Raw Material"/>
    <s v="PIL1/ME/22"/>
    <d v="2026-07-29T00:00:00"/>
    <s v="FG"/>
    <s v="FIBC Bags"/>
    <s v="FIBC Bags"/>
    <s v="PP WOVEN BIG BAGS / SACKS"/>
    <s v="FIBC Bags With UV Without Liner"/>
    <n v="3941"/>
    <n v="801559.99"/>
    <s v="FIBC Bags With UV Without Liner"/>
    <n v="0"/>
    <n v="0.05"/>
    <n v="400.78"/>
    <n v="0.05"/>
    <n v="400.78"/>
    <n v="0"/>
    <n v="0"/>
    <n v="0"/>
    <n v="801.56"/>
    <n v="0"/>
    <s v="24AAACO3087C1ZT"/>
    <s v="Kgs"/>
    <n v="63053200"/>
    <s v="Rs."/>
    <n v="1"/>
    <n v="3941"/>
    <s v="India"/>
    <x v="9"/>
  </r>
  <r>
    <d v="2026-07-29T00:00:00"/>
    <s v="Plastene India ltd - Unit 1-Purchase"/>
    <s v="R.M.P."/>
    <s v="RM 345"/>
    <s v="Purchase Withinstate - Raw Material"/>
    <s v="PIL1/ME/22"/>
    <d v="2026-07-29T00:00:00"/>
    <s v="FG"/>
    <s v="FIBC Bags"/>
    <s v="FIBC Bags"/>
    <s v="PP WOVEN BIG BAGS / SACKS"/>
    <s v="FIBC Bags With UV Without Liner"/>
    <n v="2072"/>
    <n v="417818.8"/>
    <s v="FIBC Bags With UV Without Liner"/>
    <n v="0"/>
    <n v="0.05"/>
    <n v="208.91"/>
    <n v="0.05"/>
    <n v="208.91"/>
    <n v="0"/>
    <n v="0"/>
    <n v="0"/>
    <n v="417.82"/>
    <n v="0"/>
    <s v="24AAACO3087C1ZT"/>
    <s v="Kgs"/>
    <n v="63053200"/>
    <s v="Rs."/>
    <n v="1"/>
    <n v="2072"/>
    <s v="India"/>
    <x v="9"/>
  </r>
  <r>
    <d v="2026-07-29T00:00:00"/>
    <s v="Plastene India ltd - Unit 1-Purchase"/>
    <s v="R.M.P."/>
    <s v="RM 347"/>
    <s v="Purchase Withinstate - Raw Material"/>
    <s v="PIL1/ME/23"/>
    <d v="2026-07-29T00:00:00"/>
    <s v="FG"/>
    <s v="FIBC Bags"/>
    <s v="FIBC Bags"/>
    <s v="PP WOVEN BIG BAGS / SACKS"/>
    <s v="FIBC Bags With UV Without Liner"/>
    <n v="9685"/>
    <n v="1890512"/>
    <s v="FIBC Bags With UV Without Liner"/>
    <n v="3804899.75"/>
    <n v="0.05"/>
    <n v="945.26"/>
    <n v="0.05"/>
    <n v="945.26"/>
    <n v="0"/>
    <n v="0"/>
    <n v="0"/>
    <n v="1890.52"/>
    <n v="0"/>
    <s v="24AAACO3087C1ZT"/>
    <s v="Kgs"/>
    <n v="63053200"/>
    <s v="Rs."/>
    <n v="1"/>
    <n v="9685"/>
    <s v="India"/>
    <x v="9"/>
  </r>
  <r>
    <d v="2026-07-29T00:00:00"/>
    <s v="Plastene India ltd - Unit 1-Purchase"/>
    <s v="R.M.P."/>
    <s v="RM 347"/>
    <s v="Purchase Withinstate - Raw Material"/>
    <s v="PIL1/ME/23"/>
    <d v="2026-07-29T00:00:00"/>
    <s v="FG"/>
    <s v="FIBC Bags"/>
    <s v="FIBC Bags"/>
    <s v="PP WOVEN BIG BAGS / SACKS"/>
    <s v="FIBC Bags With UV Without Liner"/>
    <n v="9735"/>
    <n v="1914387.75"/>
    <s v="FIBC Bags With UV Without Liner"/>
    <n v="0"/>
    <n v="0.05"/>
    <n v="957.19"/>
    <n v="0.05"/>
    <n v="957.19"/>
    <n v="0"/>
    <n v="0"/>
    <n v="0"/>
    <n v="1914.38"/>
    <n v="0"/>
    <s v="24AAACO3087C1ZT"/>
    <s v="Kgs"/>
    <n v="63053200"/>
    <s v="Rs."/>
    <n v="1"/>
    <n v="9735"/>
    <s v="India"/>
    <x v="9"/>
  </r>
  <r>
    <d v="2026-07-29T00:00:00"/>
    <s v="Plastene India ltd - Unit 2-Purchase"/>
    <s v="R.M.P."/>
    <s v="RM 346"/>
    <s v="Purchase Withinstate - Raw Material"/>
    <s v="PIL2/D/418"/>
    <d v="2026-07-29T00:00:00"/>
    <s v="FG"/>
    <s v="FIBC Bags"/>
    <s v="FIBC Bags"/>
    <s v="PP WOVEN BIG BAGS / SACKS"/>
    <s v="FIBC Bags With UV Without Liner"/>
    <n v="19647"/>
    <n v="4300335.3600000003"/>
    <s v="FIBC Bags With UV Without Liner"/>
    <n v="5070095.38"/>
    <n v="9"/>
    <n v="387030.18"/>
    <n v="9"/>
    <n v="387030.18"/>
    <n v="0"/>
    <n v="0"/>
    <n v="0"/>
    <n v="774060.36"/>
    <n v="0"/>
    <s v="24AAACO3087C1ZT"/>
    <s v="Kgs"/>
    <n v="63053200"/>
    <s v="Rs."/>
    <n v="1"/>
    <n v="19647"/>
    <s v="India"/>
    <x v="9"/>
  </r>
  <r>
    <d v="2026-07-29T00:00:00"/>
    <s v="Promatech Mfg&amp; Trading Co. Pvt Ltd"/>
    <s v="General Purchase"/>
    <s v="GNSP 457"/>
    <s v="Purchase Interstate- Stores, Spares &amp; Consumable"/>
    <s v="PH/27/0464"/>
    <d v="2026-07-22T00:00:00"/>
    <s v="Stores/Spares"/>
    <s v="Sulzer Machine Spares"/>
    <s v="Stores &amp; Spares"/>
    <s v="stores &amp;  spares"/>
    <s v="Project Feeder Gripper Es D1"/>
    <n v="5"/>
    <n v="2030"/>
    <s v="Project Feeder Gripper Es D1"/>
    <n v="2478"/>
    <n v="0"/>
    <n v="0"/>
    <n v="0"/>
    <n v="0"/>
    <n v="18"/>
    <n v="365.4"/>
    <n v="12.6"/>
    <n v="378"/>
    <n v="0"/>
    <s v="08AADCP5755D1ZE"/>
    <s v="Pcs"/>
    <n v="844849"/>
    <s v="Rs."/>
    <n v="1"/>
    <n v="0"/>
    <s v="India"/>
    <x v="0"/>
  </r>
  <r>
    <d v="2026-07-29T00:00:00"/>
    <s v="Shree Salareshwar Wood Packers Private Limited."/>
    <s v="Purchase"/>
    <s v="GNPK 169"/>
    <s v="Purchase Withinstate- Packing Material"/>
    <s v="SS/SL/26-27/229"/>
    <d v="2026-07-21T00:00:00"/>
    <s v="Packing Material"/>
    <s v="Pallets"/>
    <s v="Pallets"/>
    <s v="Packing Materials"/>
    <s v="Pine Wooden Pallet Design Code STD90110"/>
    <n v="95"/>
    <n v="68875"/>
    <s v="Pine Wooden Pallet Design Code STD90110"/>
    <n v="121800"/>
    <n v="2.5"/>
    <n v="1721.88"/>
    <n v="2.5"/>
    <n v="1721.88"/>
    <n v="0"/>
    <n v="0"/>
    <n v="0"/>
    <n v="3443.76"/>
    <n v="0"/>
    <s v="24ABLCS6579H1ZR"/>
    <s v="Pcs"/>
    <n v="44152000"/>
    <s v="Rs."/>
    <n v="1"/>
    <n v="0"/>
    <s v="India"/>
    <x v="0"/>
  </r>
  <r>
    <d v="2026-07-29T00:00:00"/>
    <s v="Shree Salareshwar Wood Packers Private Limited."/>
    <s v="Purchase"/>
    <s v="GNPK 169"/>
    <s v="Purchase Withinstate- Packing Material"/>
    <s v="SS/SL/26-27/229"/>
    <d v="2026-07-21T00:00:00"/>
    <s v="Packing Material"/>
    <s v="Pallets"/>
    <s v="Pallets"/>
    <s v="Packing Materials"/>
    <s v="Pine Wooden Pallet Design Code STD90110"/>
    <n v="60"/>
    <n v="43500"/>
    <s v="Pine Wooden Pallet Design Code STD90110"/>
    <n v="0"/>
    <n v="2.5"/>
    <n v="1087.5"/>
    <n v="2.5"/>
    <n v="1087.5"/>
    <n v="0"/>
    <n v="0"/>
    <n v="0"/>
    <n v="2175"/>
    <n v="0"/>
    <s v="24ABLCS6579H1ZR"/>
    <s v="Pcs"/>
    <n v="44152000"/>
    <s v="Rs."/>
    <n v="1"/>
    <n v="0"/>
    <s v="India"/>
    <x v="0"/>
  </r>
  <r>
    <d v="2026-07-29T00:00:00"/>
    <s v="Shree Salareshwar Wood Packers Private Limited."/>
    <s v="Purchase"/>
    <s v="GNPK 169"/>
    <s v="Purchase Withinstate- Packing Material"/>
    <s v="SS/SL/26-27/229"/>
    <d v="2026-07-21T00:00:00"/>
    <s v="Packing Material"/>
    <s v="Pallets"/>
    <s v="Pallets"/>
    <s v="Packing Materials"/>
    <s v="Pine Wooden Pallet Design Code STD90110"/>
    <n v="5"/>
    <n v="3625"/>
    <s v="Pine Wooden Pallet Design Code STD90110"/>
    <n v="0"/>
    <n v="2.5"/>
    <n v="90.62"/>
    <n v="2.5"/>
    <n v="90.62"/>
    <n v="0"/>
    <n v="0"/>
    <n v="0"/>
    <n v="181.24"/>
    <n v="0"/>
    <s v="24ABLCS6579H1ZR"/>
    <s v="Pcs"/>
    <n v="44152000"/>
    <s v="Rs."/>
    <n v="1"/>
    <n v="0"/>
    <s v="India"/>
    <x v="0"/>
  </r>
  <r>
    <d v="2026-07-30T00:00:00"/>
    <s v="Bhagwati  Impex"/>
    <s v="Purchase"/>
    <s v="GNPK 172"/>
    <s v="Purchase Withinstate- Packing Material"/>
    <s v="BI/26-27/071"/>
    <d v="2026-07-29T00:00:00"/>
    <s v="Packing Material"/>
    <s v="Pallets"/>
    <s v="Pallets"/>
    <s v="Packing Materials"/>
    <s v="Pine Wooden Pallet Design Code STD90110"/>
    <n v="400"/>
    <n v="324000"/>
    <s v="Pine Wooden Pallet Design Code STD90110"/>
    <n v="340200"/>
    <n v="2.5"/>
    <n v="8100"/>
    <n v="2.5"/>
    <n v="8100"/>
    <n v="0"/>
    <n v="0"/>
    <n v="0"/>
    <n v="16200"/>
    <n v="0"/>
    <s v="24AXVPT0296P1ZD"/>
    <s v="Pcs"/>
    <n v="44152000"/>
    <s v="Rs."/>
    <n v="1"/>
    <n v="0"/>
    <s v="India"/>
    <x v="0"/>
  </r>
  <r>
    <d v="2026-07-30T00:00:00"/>
    <s v="Dhirubhai And Sons"/>
    <s v="General Purchase"/>
    <s v="GNCN 254"/>
    <s v="Purchase Withinstate- Stores, Spares &amp; Consumable"/>
    <n v="2532"/>
    <d v="2026-06-15T00:00:00"/>
    <s v="Printing &amp; Stationery"/>
    <s v="Stationery Items"/>
    <s v="Stores &amp; Spares"/>
    <s v="stores &amp;  spares"/>
    <s v="C00090 - COLOP Printer Q12 - Customized"/>
    <n v="100"/>
    <n v="15000"/>
    <s v="C00090 - COLOP Printer Q12 - Customized"/>
    <n v="17700"/>
    <n v="9"/>
    <n v="1350"/>
    <n v="9"/>
    <n v="1350"/>
    <n v="0"/>
    <n v="0"/>
    <n v="0"/>
    <n v="2700"/>
    <n v="0"/>
    <s v="24AIWPD7380E1Z2"/>
    <s v="Pcs"/>
    <n v="96110000"/>
    <s v="Rs."/>
    <n v="1"/>
    <n v="0"/>
    <s v="India"/>
    <x v="0"/>
  </r>
  <r>
    <d v="2026-07-30T00:00:00"/>
    <s v="Murlidhar Paper Tube"/>
    <s v="Purchase"/>
    <s v="GNPK 170"/>
    <s v="Purchase Withinstate- Packing Material"/>
    <n v="135"/>
    <d v="2026-07-28T00:00:00"/>
    <s v="Packing Material"/>
    <s v="Paper Cores"/>
    <s v="Packing Materials"/>
    <s v="Packing Materials"/>
    <s v="Paper Core"/>
    <n v="265.60000000000002"/>
    <n v="9827.2000000000007"/>
    <s v="Paper Core"/>
    <n v="43660"/>
    <n v="9"/>
    <n v="884.45"/>
    <n v="9"/>
    <n v="884.45"/>
    <n v="0"/>
    <n v="0"/>
    <n v="0"/>
    <n v="1768.9"/>
    <n v="0"/>
    <s v="24ARHPP9327M1Z7"/>
    <s v="Kgs"/>
    <n v="482290"/>
    <s v="Rs."/>
    <n v="1"/>
    <n v="0"/>
    <s v="India"/>
    <x v="0"/>
  </r>
  <r>
    <d v="2026-07-30T00:00:00"/>
    <s v="Murlidhar Paper Tube"/>
    <s v="Purchase"/>
    <s v="GNPK 170"/>
    <s v="Purchase Withinstate- Packing Material"/>
    <n v="135"/>
    <d v="2026-07-28T00:00:00"/>
    <s v="Packing Material"/>
    <s v="Paper Cores"/>
    <s v="Packing Materials"/>
    <s v="Packing Materials"/>
    <s v="Paper Core"/>
    <n v="330.91"/>
    <n v="12243.67"/>
    <s v="Paper Core"/>
    <n v="0"/>
    <n v="9"/>
    <n v="1101.93"/>
    <n v="9"/>
    <n v="1101.93"/>
    <n v="0"/>
    <n v="0"/>
    <n v="0"/>
    <n v="2203.86"/>
    <n v="0"/>
    <s v="24ARHPP9327M1Z7"/>
    <s v="Kgs"/>
    <n v="482290"/>
    <s v="Rs."/>
    <n v="1"/>
    <n v="0"/>
    <s v="India"/>
    <x v="0"/>
  </r>
  <r>
    <d v="2026-07-30T00:00:00"/>
    <s v="Murlidhar Paper Tube"/>
    <s v="Purchase"/>
    <s v="GNPK 170"/>
    <s v="Purchase Withinstate- Packing Material"/>
    <n v="135"/>
    <d v="2026-07-28T00:00:00"/>
    <s v="Packing Material"/>
    <s v="Paper Cores"/>
    <s v="Packing Materials"/>
    <s v="Packing Materials"/>
    <s v="Paper Core"/>
    <n v="283.41000000000003"/>
    <n v="10486.17"/>
    <s v="Paper Core"/>
    <n v="0"/>
    <n v="9"/>
    <n v="943.76"/>
    <n v="9"/>
    <n v="943.76"/>
    <n v="0"/>
    <n v="0"/>
    <n v="0"/>
    <n v="1887.52"/>
    <n v="0"/>
    <s v="24ARHPP9327M1Z7"/>
    <s v="Kgs"/>
    <n v="482290"/>
    <s v="Rs."/>
    <n v="1"/>
    <n v="0"/>
    <s v="India"/>
    <x v="0"/>
  </r>
  <r>
    <d v="2026-07-30T00:00:00"/>
    <s v="Murlidhar Paper Tube"/>
    <s v="Purchase"/>
    <s v="GNPK 170"/>
    <s v="Purchase Withinstate- Packing Material"/>
    <n v="135"/>
    <d v="2026-07-28T00:00:00"/>
    <s v="Packing Material"/>
    <s v="Paper Cores"/>
    <s v="Packing Materials"/>
    <s v="Packing Materials"/>
    <s v="Paper Core"/>
    <n v="71.94"/>
    <n v="2661.78"/>
    <s v="Paper Core"/>
    <n v="0"/>
    <n v="9"/>
    <n v="239.56"/>
    <n v="9"/>
    <n v="239.56"/>
    <n v="0"/>
    <n v="0"/>
    <n v="0"/>
    <n v="479.12"/>
    <n v="0"/>
    <s v="24ARHPP9327M1Z7"/>
    <s v="Kgs"/>
    <n v="482290"/>
    <s v="Rs."/>
    <n v="1"/>
    <n v="0"/>
    <s v="India"/>
    <x v="0"/>
  </r>
  <r>
    <d v="2026-07-30T00:00:00"/>
    <s v="Murlidhar Paper Tube"/>
    <s v="Purchase"/>
    <s v="GNPK 170"/>
    <s v="Purchase Withinstate- Packing Material"/>
    <n v="135"/>
    <d v="2026-07-28T00:00:00"/>
    <s v="Packing Material"/>
    <s v="Paper Cores"/>
    <s v="Packing Materials"/>
    <s v="Packing Materials"/>
    <s v="Paper Core"/>
    <n v="48.14"/>
    <n v="1781.18"/>
    <s v="Paper Core"/>
    <n v="0"/>
    <n v="9"/>
    <n v="160.31"/>
    <n v="9"/>
    <n v="160.31"/>
    <n v="0"/>
    <n v="0"/>
    <n v="0"/>
    <n v="320.62"/>
    <n v="0"/>
    <s v="24ARHPP9327M1Z7"/>
    <s v="Kgs"/>
    <n v="482290"/>
    <s v="Rs."/>
    <n v="1"/>
    <n v="0"/>
    <s v="India"/>
    <x v="0"/>
  </r>
  <r>
    <d v="2026-07-30T00:00:00"/>
    <s v="Olive Industries"/>
    <s v="R.M.P."/>
    <s v="RM 350"/>
    <s v="Purchase Withinstate - Raw Material"/>
    <s v="TI/444"/>
    <d v="2026-07-11T00:00:00"/>
    <s v="SF"/>
    <s v="Yarn All"/>
    <s v="PP Yarn"/>
    <s v="PP MF Yarn"/>
    <s v="Monofilament Yarn 400 Denier"/>
    <n v="1438.87"/>
    <n v="280568.13903999998"/>
    <s v="Monofilament Yarn 400 Denier"/>
    <n v="1056651.71"/>
    <n v="2.5"/>
    <n v="7014.2"/>
    <n v="2.5"/>
    <n v="7014.2"/>
    <n v="0"/>
    <n v="0"/>
    <n v="0"/>
    <n v="14028.4"/>
    <n v="0"/>
    <s v="24AAEFO9994M1ZE"/>
    <s v="Kgs"/>
    <n v="54041200"/>
    <s v="Rs."/>
    <n v="1"/>
    <n v="1438.87"/>
    <s v="India"/>
    <x v="3"/>
  </r>
  <r>
    <d v="2026-07-30T00:00:00"/>
    <s v="Olive Industries"/>
    <s v="R.M.P."/>
    <s v="RM 350"/>
    <s v="Purchase Withinstate - Raw Material"/>
    <s v="TI/444"/>
    <d v="2026-07-11T00:00:00"/>
    <s v="SF"/>
    <s v="Yarn All"/>
    <s v="PP Yarn"/>
    <s v="PP MF Yarn"/>
    <s v="Monofilament Yarn 840 Denier"/>
    <n v="586.62"/>
    <n v="120254.1669"/>
    <s v="Monofilament Yarn 840 Denier"/>
    <n v="0"/>
    <n v="2.5"/>
    <n v="3006.35"/>
    <n v="2.5"/>
    <n v="3006.35"/>
    <n v="0"/>
    <n v="0"/>
    <n v="0"/>
    <n v="6012.7"/>
    <n v="0"/>
    <s v="24AAEFO9994M1ZE"/>
    <s v="Kgs"/>
    <n v="12345678"/>
    <s v="Rs."/>
    <n v="1"/>
    <n v="586.62"/>
    <s v="India"/>
    <x v="3"/>
  </r>
  <r>
    <d v="2026-07-30T00:00:00"/>
    <s v="Olive Industries"/>
    <s v="R.M.P."/>
    <s v="RM 350"/>
    <s v="Purchase Withinstate - Raw Material"/>
    <s v="TI/444"/>
    <d v="2026-07-11T00:00:00"/>
    <s v="SF"/>
    <s v="Yarn All"/>
    <s v="PP Yarn"/>
    <s v="PP MF Yarn"/>
    <s v="Monofilament Yarn"/>
    <n v="2958.47"/>
    <n v="606471.55764999997"/>
    <s v="Monofilament Yarn"/>
    <n v="0"/>
    <n v="2.5"/>
    <n v="15161.79"/>
    <n v="2.5"/>
    <n v="15161.79"/>
    <n v="0"/>
    <n v="0"/>
    <n v="0"/>
    <n v="30323.58"/>
    <n v="0"/>
    <s v="24AAEFO9994M1ZE"/>
    <s v="Kgs"/>
    <n v="63416381"/>
    <s v="Rs."/>
    <n v="1"/>
    <n v="2958.47"/>
    <s v="India"/>
    <x v="3"/>
  </r>
  <r>
    <d v="2026-07-30T00:00:00"/>
    <s v="Olive Industries"/>
    <s v="R.M.P."/>
    <s v="RM 351"/>
    <s v="Purchase Withinstate - Raw Material"/>
    <s v="TI/485"/>
    <d v="2026-07-22T00:00:00"/>
    <s v="SF"/>
    <s v="Yarn All"/>
    <s v="PP Yarn"/>
    <s v="PP MF Yarn"/>
    <s v="Monofilament Yarn 840 Denier"/>
    <n v="713.84"/>
    <n v="132768.52927999999"/>
    <s v="Monofilament Yarn 840 Denier"/>
    <n v="139274.23000000001"/>
    <n v="2.5"/>
    <n v="3319.21"/>
    <n v="2.5"/>
    <n v="3319.21"/>
    <n v="0"/>
    <n v="0"/>
    <n v="0"/>
    <n v="6638.42"/>
    <n v="0"/>
    <s v="24AAEFO9994M1ZE"/>
    <s v="Kgs"/>
    <n v="12345678"/>
    <s v="Rs."/>
    <n v="1"/>
    <n v="713.84"/>
    <s v="India"/>
    <x v="3"/>
  </r>
  <r>
    <d v="2026-07-30T00:00:00"/>
    <s v="Plastene India ltd - Unit 1-Purchase"/>
    <s v="Purchase"/>
    <s v="GNPK 171"/>
    <s v="Purchase Withinstate- Packing Material"/>
    <s v="PIL1/D/1215"/>
    <d v="2026-07-29T00:00:00"/>
    <s v="Stores/Spares"/>
    <s v="MS Structure Items"/>
    <s v="Packing Materials"/>
    <s v="Packing Materials"/>
    <s v="MS Pipe 4  C Class"/>
    <n v="317"/>
    <n v="15216"/>
    <s v="MS Pipe 4  C Class"/>
    <n v="17939.66"/>
    <n v="9"/>
    <n v="1369.44"/>
    <n v="9"/>
    <n v="1369.44"/>
    <n v="0"/>
    <n v="0"/>
    <n v="0"/>
    <n v="2738.88"/>
    <n v="0"/>
    <s v="24AAACO3087C1ZT"/>
    <s v="Kgs"/>
    <n v="73063090"/>
    <s v="Rs."/>
    <n v="1"/>
    <n v="0"/>
    <s v="India"/>
    <x v="0"/>
  </r>
  <r>
    <d v="2026-07-30T00:00:00"/>
    <s v="Plastene India ltd - Unit 1-Purchase"/>
    <s v="R.M.P."/>
    <s v="RM 348"/>
    <s v="Purchase Withinstate - Raw Material"/>
    <s v="PIL1/DE/27"/>
    <d v="2026-07-29T00:00:00"/>
    <s v="SF"/>
    <s v="PP/PE Fabric"/>
    <s v="PP UL Fabric"/>
    <s v="PP WOVEN FABRIC"/>
    <s v="PP UL Fabric With UV"/>
    <n v="617"/>
    <n v="243715"/>
    <s v="PP UL Fabric With UV"/>
    <n v="287340.28999999998"/>
    <n v="9"/>
    <n v="21934.35"/>
    <n v="9"/>
    <n v="21934.35"/>
    <n v="0"/>
    <n v="0"/>
    <n v="0"/>
    <n v="43868.7"/>
    <n v="0"/>
    <s v="24AAACO3087C1ZT"/>
    <s v="Kgs"/>
    <n v="39269080"/>
    <s v="Rs."/>
    <n v="1"/>
    <n v="617"/>
    <s v="India"/>
    <x v="1"/>
  </r>
  <r>
    <d v="2026-07-30T00:00:00"/>
    <s v="Plastene India ltd - Unit 1-Purchase"/>
    <s v="R.M.P."/>
    <s v="RM 349"/>
    <s v="Purchase Withinstate - Raw Material"/>
    <s v="PIL1/D/1216"/>
    <d v="2026-07-29T00:00:00"/>
    <s v="SF"/>
    <s v="PP/PE Fabric"/>
    <s v="PP UL Fabric"/>
    <s v="PP WOVEN FABRIC"/>
    <s v="PP UL Fabric With UV"/>
    <n v="1677"/>
    <n v="242309.73"/>
    <s v="PP UL Fabric With UV"/>
    <n v="1479117.66"/>
    <n v="9"/>
    <n v="21807.88"/>
    <n v="9"/>
    <n v="21807.88"/>
    <n v="0"/>
    <n v="0"/>
    <n v="0"/>
    <n v="43615.76"/>
    <n v="0"/>
    <s v="24AAACO3087C1ZT"/>
    <s v="Kgs"/>
    <n v="39269080"/>
    <s v="Rs."/>
    <n v="1"/>
    <n v="1677"/>
    <s v="India"/>
    <x v="1"/>
  </r>
  <r>
    <d v="2026-07-30T00:00:00"/>
    <s v="Plastene India ltd - Unit 1-Purchase"/>
    <s v="R.M.P."/>
    <s v="RM 349"/>
    <s v="Purchase Withinstate - Raw Material"/>
    <s v="PIL1/D/1216"/>
    <d v="2026-07-29T00:00:00"/>
    <s v="SF"/>
    <s v="PP/PE Fabric"/>
    <s v="PP UL Fabric"/>
    <s v="PP WOVEN FABRIC"/>
    <s v="PP UL Fabric With UV"/>
    <n v="2970"/>
    <n v="438045.3"/>
    <s v="PP UL Fabric With UV"/>
    <n v="0"/>
    <n v="9"/>
    <n v="39424.080000000002"/>
    <n v="9"/>
    <n v="39424.080000000002"/>
    <n v="0"/>
    <n v="0"/>
    <n v="0"/>
    <n v="78848.160000000003"/>
    <n v="0"/>
    <s v="24AAACO3087C1ZT"/>
    <s v="Kgs"/>
    <n v="39269080"/>
    <s v="Rs."/>
    <n v="1"/>
    <n v="2970"/>
    <s v="India"/>
    <x v="1"/>
  </r>
  <r>
    <d v="2026-07-30T00:00:00"/>
    <s v="Plastene India ltd - Unit 1-Purchase"/>
    <s v="R.M.P."/>
    <s v="RM 349"/>
    <s v="Purchase Withinstate - Raw Material"/>
    <s v="PIL1/D/1216"/>
    <d v="2026-07-29T00:00:00"/>
    <s v="SF"/>
    <s v="PP/PE Fabric"/>
    <s v="PP UL Fabric"/>
    <s v="PP WOVEN FABRIC"/>
    <s v="PP UL Fabric With UV"/>
    <n v="3156"/>
    <n v="471790.44"/>
    <s v="PP UL Fabric With UV"/>
    <n v="0"/>
    <n v="9"/>
    <n v="42461.14"/>
    <n v="9"/>
    <n v="42461.14"/>
    <n v="0"/>
    <n v="0"/>
    <n v="0"/>
    <n v="84922.28"/>
    <n v="0"/>
    <s v="24AAACO3087C1ZT"/>
    <s v="Kgs"/>
    <n v="39269080"/>
    <s v="Rs."/>
    <n v="1"/>
    <n v="3156"/>
    <s v="India"/>
    <x v="1"/>
  </r>
  <r>
    <d v="2026-07-30T00:00:00"/>
    <s v="Plastene India ltd - Unit 1-Purchase"/>
    <s v="R.M.P."/>
    <s v="RM 349"/>
    <s v="Purchase Withinstate - Raw Material"/>
    <s v="PIL1/D/1216"/>
    <d v="2026-07-29T00:00:00"/>
    <s v="SF"/>
    <s v="PP/PE Fabric"/>
    <s v="PP Lam Fabric"/>
    <s v="PP LAMINETED FABRIC"/>
    <s v="PP Lam Fabric With UV"/>
    <n v="676"/>
    <n v="102407.24"/>
    <s v="PP Lam Fabric With UV"/>
    <n v="0"/>
    <n v="9"/>
    <n v="9216.65"/>
    <n v="9"/>
    <n v="9216.65"/>
    <n v="0"/>
    <n v="0"/>
    <n v="0"/>
    <n v="18433.3"/>
    <n v="0"/>
    <s v="24AAACO3087C1ZT"/>
    <s v="Kgs"/>
    <n v="63053300"/>
    <s v="Rs."/>
    <n v="1"/>
    <n v="676"/>
    <s v="India"/>
    <x v="2"/>
  </r>
  <r>
    <d v="2026-07-30T00:00:00"/>
    <s v="Plastene India ltd - Unit 2-Purchase"/>
    <s v="General Purchase"/>
    <s v="GNCN 255"/>
    <s v="Purchase Withinstate- Stores, Spares &amp; Consumable"/>
    <s v="PIL2/D/422"/>
    <d v="2026-07-30T00:00:00"/>
    <s v="SF"/>
    <s v="Liners"/>
    <s v="LDPE/LLDPE Bags"/>
    <s v="Consumables"/>
    <s v="PE Labels (Pcs)"/>
    <n v="14.8"/>
    <n v="4185"/>
    <s v="PE Labels (Pcs)"/>
    <n v="12243.92"/>
    <n v="9"/>
    <n v="376.65"/>
    <n v="9"/>
    <n v="376.65"/>
    <n v="0"/>
    <n v="0"/>
    <n v="0"/>
    <n v="753.3"/>
    <n v="0"/>
    <s v="24AAACO3087C1ZT"/>
    <s v="Kgs"/>
    <n v="392300"/>
    <s v="Rs."/>
    <n v="1"/>
    <n v="14.8"/>
    <s v="India"/>
    <x v="0"/>
  </r>
  <r>
    <d v="2026-07-30T00:00:00"/>
    <s v="Plastene India ltd - Unit 2-Purchase"/>
    <s v="General Purchase"/>
    <s v="GNCN 255"/>
    <s v="Purchase Withinstate- Stores, Spares &amp; Consumable"/>
    <s v="PIL2/D/422"/>
    <d v="2026-07-30T00:00:00"/>
    <s v="SF"/>
    <s v="Liners"/>
    <s v="LDPE/LLDPE Bags"/>
    <s v="Consumables"/>
    <s v="PE Labels (Pcs)"/>
    <n v="20.399999999999999"/>
    <n v="6200"/>
    <s v="PE Labels (Pcs)"/>
    <n v="0"/>
    <n v="9"/>
    <n v="558"/>
    <n v="9"/>
    <n v="558"/>
    <n v="0"/>
    <n v="0"/>
    <n v="0"/>
    <n v="1116"/>
    <n v="0"/>
    <s v="24AAACO3087C1ZT"/>
    <s v="Kgs"/>
    <n v="392300"/>
    <s v="Rs."/>
    <n v="1"/>
    <n v="20.399999999999999"/>
    <s v="India"/>
    <x v="0"/>
  </r>
  <r>
    <d v="2026-07-30T00:00:00"/>
    <s v="Plastene India ltd - Unit 2-Purchase"/>
    <s v="R.M.P."/>
    <s v="RM 352"/>
    <s v="Purchase Withinstate - Raw Material"/>
    <s v="PIL2/D/420"/>
    <d v="2026-07-30T00:00:00"/>
    <s v="SF"/>
    <s v="Yarn All"/>
    <s v="Polyester Yarn"/>
    <s v="PP MF Yarn"/>
    <s v="Polyester Yarn Twisted"/>
    <n v="1550.3"/>
    <n v="282154.59999999998"/>
    <s v="Polyester Yarn Twisted"/>
    <n v="295980.17"/>
    <n v="2.5"/>
    <n v="7053.86"/>
    <n v="2.5"/>
    <n v="7053.86"/>
    <n v="0"/>
    <n v="0"/>
    <n v="0"/>
    <n v="14107.72"/>
    <n v="0"/>
    <s v="24AAACO3087C1ZT"/>
    <s v="Kgs"/>
    <n v="54026990"/>
    <s v="Rs."/>
    <n v="1"/>
    <n v="1550.3"/>
    <s v="India"/>
    <x v="17"/>
  </r>
  <r>
    <d v="2026-07-30T00:00:00"/>
    <s v="Satyam Stationery Mart"/>
    <s v="General Purchase"/>
    <s v="GNCN 253"/>
    <s v="Purchase Withinstate- Stores, Spares &amp; Consumable"/>
    <s v="SSM02409"/>
    <d v="2026-07-22T00:00:00"/>
    <s v="Stores/Spares"/>
    <s v="Cutter Blades"/>
    <s v="Stores &amp; Spares"/>
    <s v="Consumables"/>
    <s v="Alfa Blade For Sdi Cutter Knife. Size;-18mm No.1404H"/>
    <n v="100"/>
    <n v="715"/>
    <s v="Alfa Blade For Sdi Cutter Knife. Size;-18mm No.1404H"/>
    <n v="1025"/>
    <n v="9"/>
    <n v="64.349999999999994"/>
    <n v="9"/>
    <n v="64.349999999999994"/>
    <n v="0"/>
    <n v="0"/>
    <n v="0"/>
    <n v="128.69999999999999"/>
    <n v="0"/>
    <s v="24AGUPL9792N1Z6"/>
    <s v="Pcs"/>
    <n v="82089090"/>
    <s v="Rs."/>
    <n v="1"/>
    <n v="0"/>
    <s v="India"/>
    <x v="0"/>
  </r>
  <r>
    <d v="2026-07-30T00:00:00"/>
    <s v="Satyam Stationery Mart"/>
    <s v="General Purchase"/>
    <s v="GNCN 253"/>
    <s v="Purchase Withinstate- Stores, Spares &amp; Consumable"/>
    <s v="SSM02409"/>
    <d v="2026-07-22T00:00:00"/>
    <s v="Stores/Spares"/>
    <s v="Cutter Blades"/>
    <s v="Stores &amp; Spares"/>
    <s v="Consumables"/>
    <s v="Cutter Lifter"/>
    <n v="2"/>
    <n v="60"/>
    <s v="Cutter Lifter"/>
    <n v="0"/>
    <n v="9"/>
    <n v="5.4"/>
    <n v="9"/>
    <n v="5.4"/>
    <n v="0"/>
    <n v="0"/>
    <n v="0"/>
    <n v="10.8"/>
    <n v="0"/>
    <s v="24AGUPL9792N1Z6"/>
    <s v="Pcs"/>
    <n v="820770"/>
    <s v="Rs."/>
    <n v="1"/>
    <n v="0"/>
    <s v="India"/>
    <x v="0"/>
  </r>
  <r>
    <d v="2026-07-30T00:00:00"/>
    <s v="Satyam Stationery Mart"/>
    <s v="General Purchase"/>
    <s v="GNCN 253"/>
    <s v="Purchase Withinstate- Stores, Spares &amp; Consumable"/>
    <s v="SSM02409"/>
    <d v="2026-07-22T00:00:00"/>
    <s v="Printing &amp; Stationery"/>
    <s v="Stationery Items"/>
    <s v="Stores &amp; Spares"/>
    <s v="Consumables"/>
    <s v="Stamp Ped Ink"/>
    <n v="2"/>
    <n v="94"/>
    <s v="Stamp Ped Ink"/>
    <n v="0"/>
    <n v="9"/>
    <n v="8.4600000000000009"/>
    <n v="9"/>
    <n v="8.4600000000000009"/>
    <n v="0"/>
    <n v="0"/>
    <n v="0"/>
    <n v="16.920000000000002"/>
    <n v="0"/>
    <s v="24AGUPL9792N1Z6"/>
    <s v="Pcs"/>
    <n v="321590"/>
    <s v="Rs."/>
    <n v="1"/>
    <n v="0"/>
    <s v="India"/>
    <x v="0"/>
  </r>
  <r>
    <d v="2026-07-30T00:00:00"/>
    <s v="Susmatex Machinery"/>
    <s v="General Purchase"/>
    <s v="GNSP 461"/>
    <s v="Purchase Withinstate- Stores, Spares &amp; Consumable"/>
    <s v="T/26-27/433"/>
    <d v="2026-07-10T00:00:00"/>
    <s v="Stores/Spares"/>
    <s v="Needle Loom Spares"/>
    <s v="Stores &amp; Spares"/>
    <s v="stores &amp;  spares"/>
    <s v="Front Reed  6x50, 770322"/>
    <n v="10"/>
    <n v="4436.5"/>
    <s v="Front Reed  6x50, 770322"/>
    <n v="52243"/>
    <n v="9"/>
    <n v="399.28"/>
    <n v="9"/>
    <n v="399.28"/>
    <n v="0"/>
    <n v="0"/>
    <n v="0"/>
    <n v="798.56"/>
    <n v="0"/>
    <s v="24AFGPB1596P1Z6"/>
    <s v="Pcs"/>
    <n v="844819"/>
    <s v="Rs."/>
    <n v="1"/>
    <n v="0"/>
    <s v="India"/>
    <x v="0"/>
  </r>
  <r>
    <d v="2026-07-30T00:00:00"/>
    <s v="Susmatex Machinery"/>
    <s v="General Purchase"/>
    <s v="GNSP 461"/>
    <s v="Purchase Withinstate- Stores, Spares &amp; Consumable"/>
    <s v="T/26-27/433"/>
    <d v="2026-07-10T00:00:00"/>
    <s v="Stores/Spares"/>
    <s v="Needle Loom Spares"/>
    <s v="Stores &amp; Spares"/>
    <s v="stores &amp;  spares"/>
    <s v="Vertical Shoft 22001"/>
    <n v="2"/>
    <n v="250.8"/>
    <s v="Vertical Shoft 22001"/>
    <n v="0"/>
    <n v="9"/>
    <n v="22.57"/>
    <n v="9"/>
    <n v="22.57"/>
    <n v="0"/>
    <n v="0"/>
    <n v="0"/>
    <n v="45.14"/>
    <n v="0"/>
    <s v="24AFGPB1596P1Z6"/>
    <s v="Pcs"/>
    <n v="844849"/>
    <s v="Rs."/>
    <n v="1"/>
    <n v="0"/>
    <s v="India"/>
    <x v="0"/>
  </r>
  <r>
    <d v="2026-07-30T00:00:00"/>
    <s v="Susmatex Machinery"/>
    <s v="General Purchase"/>
    <s v="GNSP 461"/>
    <s v="Purchase Withinstate- Stores, Spares &amp; Consumable"/>
    <s v="T/26-27/433"/>
    <d v="2026-07-10T00:00:00"/>
    <s v="Stores/Spares"/>
    <s v="Needle Loom Spares"/>
    <s v="Stores &amp; Spares"/>
    <s v="stores &amp;  spares"/>
    <s v="Driven Helical Gear 32T  Nylon+Steel Part. No. 22002 (Susmatex Machinery)"/>
    <n v="2"/>
    <n v="3040"/>
    <s v="Driven Helical Gear 32T  Nylon+Steel Part. No. 22002 (Susmatex Machinery)"/>
    <n v="0"/>
    <n v="9"/>
    <n v="273.60000000000002"/>
    <n v="9"/>
    <n v="273.60000000000002"/>
    <n v="0"/>
    <n v="0"/>
    <n v="0"/>
    <n v="547.20000000000005"/>
    <n v="0"/>
    <s v="24AFGPB1596P1Z6"/>
    <s v="Pcs"/>
    <n v="844849"/>
    <s v="Rs."/>
    <n v="1"/>
    <n v="0"/>
    <s v="India"/>
    <x v="0"/>
  </r>
  <r>
    <d v="2026-07-30T00:00:00"/>
    <s v="Susmatex Machinery"/>
    <s v="General Purchase"/>
    <s v="GNSP 461"/>
    <s v="Purchase Withinstate- Stores, Spares &amp; Consumable"/>
    <s v="T/26-27/433"/>
    <d v="2026-07-10T00:00:00"/>
    <s v="Stores/Spares"/>
    <s v="Needle Loom Spares"/>
    <s v="Stores &amp; Spares"/>
    <s v="stores &amp;  spares"/>
    <s v="Idler Gear 770754"/>
    <n v="10"/>
    <n v="24662"/>
    <s v="Idler Gear 770754"/>
    <n v="0"/>
    <n v="9"/>
    <n v="2219.58"/>
    <n v="9"/>
    <n v="2219.58"/>
    <n v="0"/>
    <n v="0"/>
    <n v="0"/>
    <n v="4439.16"/>
    <n v="0"/>
    <s v="24AFGPB1596P1Z6"/>
    <s v="Pcs"/>
    <n v="844649"/>
    <s v="Rs."/>
    <n v="1"/>
    <n v="0"/>
    <s v="India"/>
    <x v="0"/>
  </r>
  <r>
    <d v="2026-07-30T00:00:00"/>
    <s v="Susmatex Machinery"/>
    <s v="General Purchase"/>
    <s v="GNSP 461"/>
    <s v="Purchase Withinstate- Stores, Spares &amp; Consumable"/>
    <s v="T/26-27/433"/>
    <d v="2026-07-10T00:00:00"/>
    <s v="Stores/Spares"/>
    <s v="Needle Loom Spares"/>
    <s v="Stores &amp; Spares"/>
    <s v="stores &amp;  spares"/>
    <s v="Connecting Rod (770915)"/>
    <n v="10"/>
    <n v="4921"/>
    <s v="Connecting Rod (770915)"/>
    <n v="0"/>
    <n v="9"/>
    <n v="442.89"/>
    <n v="9"/>
    <n v="442.89"/>
    <n v="0"/>
    <n v="0"/>
    <n v="0"/>
    <n v="885.78"/>
    <n v="0"/>
    <s v="24AFGPB1596P1Z6"/>
    <s v="Pcs"/>
    <n v="844630"/>
    <s v="Rs."/>
    <n v="1"/>
    <n v="0"/>
    <s v="India"/>
    <x v="0"/>
  </r>
  <r>
    <d v="2026-07-30T00:00:00"/>
    <s v="Susmatex Machinery"/>
    <s v="General Purchase"/>
    <s v="GNSP 461"/>
    <s v="Purchase Withinstate- Stores, Spares &amp; Consumable"/>
    <s v="T/26-27/433"/>
    <d v="2026-07-10T00:00:00"/>
    <s v="Stores/Spares"/>
    <s v="Needle Loom Spares"/>
    <s v="Stores &amp; Spares"/>
    <s v="stores &amp;  spares"/>
    <s v="Shedding Lever 771201"/>
    <n v="10"/>
    <n v="6963.5"/>
    <s v="Shedding Lever 771201"/>
    <n v="0"/>
    <n v="9"/>
    <n v="626.72"/>
    <n v="9"/>
    <n v="626.72"/>
    <n v="0"/>
    <n v="0"/>
    <n v="0"/>
    <n v="1253.44"/>
    <n v="0"/>
    <s v="24AFGPB1596P1Z6"/>
    <s v="Pcs"/>
    <n v="844649"/>
    <s v="Rs."/>
    <n v="1"/>
    <n v="0"/>
    <s v="India"/>
    <x v="0"/>
  </r>
  <r>
    <d v="2026-07-31T00:00:00"/>
    <s v="Akshara Graphics - Purchase"/>
    <s v="General Purchase"/>
    <s v="GNCN 260"/>
    <s v="Purchase Interstate- Stores, Spares &amp; Consumable"/>
    <s v="26-27/AG/112"/>
    <d v="2026-07-23T00:00:00"/>
    <s v="RM Consumables"/>
    <s v="FIBC Accessories"/>
    <s v="FIBC Accessories"/>
    <s v="Consumables"/>
    <s v="Tyvek Labels (Pcs)"/>
    <n v="9570"/>
    <n v="40194"/>
    <s v="Tyvek Labels (Pcs)"/>
    <n v="80167"/>
    <n v="0"/>
    <n v="0"/>
    <n v="0"/>
    <n v="0"/>
    <n v="18"/>
    <n v="7234.92"/>
    <n v="0"/>
    <n v="7234.92"/>
    <n v="0"/>
    <s v="23BTLPS7416R1ZT"/>
    <s v="Pcs"/>
    <n v="58079010"/>
    <s v="Rs."/>
    <n v="1"/>
    <n v="31.5"/>
    <s v="India"/>
    <x v="0"/>
  </r>
  <r>
    <d v="2026-07-31T00:00:00"/>
    <s v="Akshara Graphics - Purchase"/>
    <s v="General Purchase"/>
    <s v="GNCN 260"/>
    <s v="Purchase Interstate- Stores, Spares &amp; Consumable"/>
    <s v="26-27/AG/112"/>
    <d v="2026-07-23T00:00:00"/>
    <s v="RM Consumables"/>
    <s v="FIBC Accessories"/>
    <s v="FIBC Accessories"/>
    <s v="Consumables"/>
    <s v="Tyvek Labels (Pcs)"/>
    <n v="1720"/>
    <n v="7224"/>
    <s v="Tyvek Labels (Pcs)"/>
    <n v="0"/>
    <n v="0"/>
    <n v="0"/>
    <n v="0"/>
    <n v="0"/>
    <n v="18"/>
    <n v="1300.32"/>
    <n v="0"/>
    <n v="1300.32"/>
    <n v="0"/>
    <s v="23BTLPS7416R1ZT"/>
    <s v="Pcs"/>
    <n v="58079010"/>
    <s v="Rs."/>
    <n v="1"/>
    <n v="5.6"/>
    <s v="India"/>
    <x v="0"/>
  </r>
  <r>
    <d v="2026-07-31T00:00:00"/>
    <s v="Akshara Graphics - Purchase"/>
    <s v="General Purchase"/>
    <s v="GNCN 260"/>
    <s v="Purchase Interstate- Stores, Spares &amp; Consumable"/>
    <s v="26-27/AG/112"/>
    <d v="2026-07-23T00:00:00"/>
    <s v="RM Consumables"/>
    <s v="FIBC Accessories"/>
    <s v="FIBC Accessories"/>
    <s v="Consumables"/>
    <s v="Tyvek Labels (Pcs)"/>
    <n v="11400"/>
    <n v="20520"/>
    <s v="Tyvek Labels (Pcs)"/>
    <n v="0"/>
    <n v="0"/>
    <n v="0"/>
    <n v="0"/>
    <n v="0"/>
    <n v="18"/>
    <n v="3693.6"/>
    <n v="0"/>
    <n v="3693.6"/>
    <n v="0"/>
    <s v="23BTLPS7416R1ZT"/>
    <s v="Pcs"/>
    <n v="58079010"/>
    <s v="Rs."/>
    <n v="1"/>
    <n v="37.6"/>
    <s v="India"/>
    <x v="0"/>
  </r>
  <r>
    <d v="2026-07-31T00:00:00"/>
    <s v="Akshara Graphics - Purchase"/>
    <s v="General Purchase"/>
    <s v="GNCN 261"/>
    <s v="Purchase Interstate- Stores, Spares &amp; Consumable"/>
    <s v="26-27/AG/108"/>
    <d v="2026-07-23T00:00:00"/>
    <s v="RM Consumables"/>
    <s v="FIBC Accessories"/>
    <s v="FIBC Accessories"/>
    <s v="Consumables"/>
    <s v="Tyvek Labels (Pcs)"/>
    <n v="11000"/>
    <n v="26400"/>
    <s v="Tyvek Labels (Pcs)"/>
    <n v="171079"/>
    <n v="0"/>
    <n v="0"/>
    <n v="0"/>
    <n v="0"/>
    <n v="18"/>
    <n v="4752"/>
    <n v="0"/>
    <n v="4752"/>
    <n v="0"/>
    <s v="23BTLPS7416R1ZT"/>
    <s v="Pcs"/>
    <n v="58079010"/>
    <s v="Rs."/>
    <n v="1"/>
    <n v="36.299999999999997"/>
    <s v="India"/>
    <x v="0"/>
  </r>
  <r>
    <d v="2026-07-31T00:00:00"/>
    <s v="Akshara Graphics - Purchase"/>
    <s v="General Purchase"/>
    <s v="GNCN 261"/>
    <s v="Purchase Interstate- Stores, Spares &amp; Consumable"/>
    <s v="26-27/AG/108"/>
    <d v="2026-07-23T00:00:00"/>
    <s v="RM Consumables"/>
    <s v="FIBC Accessories"/>
    <s v="FIBC Accessories"/>
    <s v="Consumables"/>
    <s v="Tyvek Labels (Pcs)"/>
    <n v="435"/>
    <n v="1870.5"/>
    <s v="Tyvek Labels (Pcs)"/>
    <n v="0"/>
    <n v="0"/>
    <n v="0"/>
    <n v="0"/>
    <n v="0"/>
    <n v="18"/>
    <n v="336.69"/>
    <n v="0"/>
    <n v="336.69"/>
    <n v="0"/>
    <s v="23BTLPS7416R1ZT"/>
    <s v="Pcs"/>
    <n v="58079010"/>
    <s v="Rs."/>
    <n v="1"/>
    <n v="1.4"/>
    <s v="India"/>
    <x v="0"/>
  </r>
  <r>
    <d v="2026-07-31T00:00:00"/>
    <s v="Akshara Graphics - Purchase"/>
    <s v="General Purchase"/>
    <s v="GNCN 261"/>
    <s v="Purchase Interstate- Stores, Spares &amp; Consumable"/>
    <s v="26-27/AG/108"/>
    <d v="2026-07-23T00:00:00"/>
    <s v="RM Consumables"/>
    <s v="FIBC Accessories"/>
    <s v="FIBC Accessories"/>
    <s v="Consumables"/>
    <s v="Tyvek Labels (Pcs)"/>
    <n v="570"/>
    <n v="2451"/>
    <s v="Tyvek Labels (Pcs)"/>
    <n v="0"/>
    <n v="0"/>
    <n v="0"/>
    <n v="0"/>
    <n v="0"/>
    <n v="18"/>
    <n v="441.18"/>
    <n v="0"/>
    <n v="441.18"/>
    <n v="0"/>
    <s v="23BTLPS7416R1ZT"/>
    <s v="Pcs"/>
    <n v="58079010"/>
    <s v="Rs."/>
    <n v="1"/>
    <n v="1.8"/>
    <s v="India"/>
    <x v="0"/>
  </r>
  <r>
    <d v="2026-07-31T00:00:00"/>
    <s v="Akshara Graphics - Purchase"/>
    <s v="General Purchase"/>
    <s v="GNCN 261"/>
    <s v="Purchase Interstate- Stores, Spares &amp; Consumable"/>
    <s v="26-27/AG/108"/>
    <d v="2026-07-23T00:00:00"/>
    <s v="RM Consumables"/>
    <s v="FIBC Accessories"/>
    <s v="FIBC Accessories"/>
    <s v="Consumables"/>
    <s v="Tyvek Labels (Pcs)"/>
    <n v="5570"/>
    <n v="23951"/>
    <s v="Tyvek Labels (Pcs)"/>
    <n v="0"/>
    <n v="0"/>
    <n v="0"/>
    <n v="0"/>
    <n v="0"/>
    <n v="18"/>
    <n v="4311.18"/>
    <n v="0"/>
    <n v="4311.18"/>
    <n v="0"/>
    <s v="23BTLPS7416R1ZT"/>
    <s v="Pcs"/>
    <n v="58079010"/>
    <s v="Rs."/>
    <n v="1"/>
    <n v="18.3"/>
    <s v="India"/>
    <x v="0"/>
  </r>
  <r>
    <d v="2026-07-31T00:00:00"/>
    <s v="Akshara Graphics - Purchase"/>
    <s v="General Purchase"/>
    <s v="GNCN 261"/>
    <s v="Purchase Interstate- Stores, Spares &amp; Consumable"/>
    <s v="26-27/AG/108"/>
    <d v="2026-07-23T00:00:00"/>
    <s v="RM Consumables"/>
    <s v="FIBC Accessories"/>
    <s v="FIBC Accessories"/>
    <s v="Consumables"/>
    <s v="Tyvek Labels (Pcs)"/>
    <n v="5570"/>
    <n v="23951"/>
    <s v="Tyvek Labels (Pcs)"/>
    <n v="0"/>
    <n v="0"/>
    <n v="0"/>
    <n v="0"/>
    <n v="0"/>
    <n v="18"/>
    <n v="4311.18"/>
    <n v="0"/>
    <n v="4311.18"/>
    <n v="0"/>
    <s v="23BTLPS7416R1ZT"/>
    <s v="Pcs"/>
    <n v="58079010"/>
    <s v="Rs."/>
    <n v="1"/>
    <n v="18.3"/>
    <s v="India"/>
    <x v="0"/>
  </r>
  <r>
    <d v="2026-07-31T00:00:00"/>
    <s v="Akshara Graphics - Purchase"/>
    <s v="General Purchase"/>
    <s v="GNCN 261"/>
    <s v="Purchase Interstate- Stores, Spares &amp; Consumable"/>
    <s v="26-27/AG/108"/>
    <d v="2026-07-23T00:00:00"/>
    <s v="RM Consumables"/>
    <s v="FIBC Accessories"/>
    <s v="FIBC Accessories"/>
    <s v="Consumables"/>
    <s v="Tyvek Labels (Pcs)"/>
    <n v="3190"/>
    <n v="13717"/>
    <s v="Tyvek Labels (Pcs)"/>
    <n v="0"/>
    <n v="0"/>
    <n v="0"/>
    <n v="0"/>
    <n v="0"/>
    <n v="18"/>
    <n v="2469.06"/>
    <n v="0"/>
    <n v="2469.06"/>
    <n v="0"/>
    <s v="23BTLPS7416R1ZT"/>
    <s v="Pcs"/>
    <n v="58079010"/>
    <s v="Rs."/>
    <n v="1"/>
    <n v="10.5"/>
    <s v="India"/>
    <x v="0"/>
  </r>
  <r>
    <d v="2026-07-31T00:00:00"/>
    <s v="Akshara Graphics - Purchase"/>
    <s v="General Purchase"/>
    <s v="GNCN 261"/>
    <s v="Purchase Interstate- Stores, Spares &amp; Consumable"/>
    <s v="26-27/AG/108"/>
    <d v="2026-07-23T00:00:00"/>
    <s v="RM Consumables"/>
    <s v="FIBC Accessories"/>
    <s v="FIBC Accessories"/>
    <s v="Consumables"/>
    <s v="Tyvek Labels (Pcs)"/>
    <n v="2280"/>
    <n v="9804"/>
    <s v="Tyvek Labels (Pcs)"/>
    <n v="0"/>
    <n v="0"/>
    <n v="0"/>
    <n v="0"/>
    <n v="0"/>
    <n v="18"/>
    <n v="1764.72"/>
    <n v="0"/>
    <n v="1764.72"/>
    <n v="0"/>
    <s v="23BTLPS7416R1ZT"/>
    <s v="Pcs"/>
    <n v="58079010"/>
    <s v="Rs."/>
    <n v="1"/>
    <n v="7.5"/>
    <s v="India"/>
    <x v="0"/>
  </r>
  <r>
    <d v="2026-07-31T00:00:00"/>
    <s v="Akshara Graphics - Purchase"/>
    <s v="General Purchase"/>
    <s v="GNCN 261"/>
    <s v="Purchase Interstate- Stores, Spares &amp; Consumable"/>
    <s v="26-27/AG/108"/>
    <d v="2026-07-23T00:00:00"/>
    <s v="RM Consumables"/>
    <s v="FIBC Accessories"/>
    <s v="FIBC Accessories"/>
    <s v="Consumables"/>
    <s v="Tyvek Labels (Pcs)"/>
    <n v="2541"/>
    <n v="10926.3"/>
    <s v="Tyvek Labels (Pcs)"/>
    <n v="0"/>
    <n v="0"/>
    <n v="0"/>
    <n v="0"/>
    <n v="0"/>
    <n v="18"/>
    <n v="1966.73"/>
    <n v="0"/>
    <n v="1966.73"/>
    <n v="0"/>
    <s v="23BTLPS7416R1ZT"/>
    <s v="Pcs"/>
    <n v="58079010"/>
    <s v="Rs."/>
    <n v="1"/>
    <n v="8.3000000000000007"/>
    <s v="India"/>
    <x v="0"/>
  </r>
  <r>
    <d v="2026-07-31T00:00:00"/>
    <s v="Akshara Graphics - Purchase"/>
    <s v="General Purchase"/>
    <s v="GNCN 261"/>
    <s v="Purchase Interstate- Stores, Spares &amp; Consumable"/>
    <s v="26-27/AG/108"/>
    <d v="2026-07-23T00:00:00"/>
    <s v="RM Consumables"/>
    <s v="FIBC Accessories"/>
    <s v="FIBC Accessories"/>
    <s v="Consumables"/>
    <s v="Tyvek Labels (Pcs)"/>
    <n v="840"/>
    <n v="3612"/>
    <s v="Tyvek Labels (Pcs)"/>
    <n v="0"/>
    <n v="0"/>
    <n v="0"/>
    <n v="0"/>
    <n v="0"/>
    <n v="18"/>
    <n v="650.16"/>
    <n v="0"/>
    <n v="650.16"/>
    <n v="0"/>
    <s v="23BTLPS7416R1ZT"/>
    <s v="Pcs"/>
    <n v="58079010"/>
    <s v="Rs."/>
    <n v="1"/>
    <n v="2.7"/>
    <s v="India"/>
    <x v="0"/>
  </r>
  <r>
    <d v="2026-07-31T00:00:00"/>
    <s v="Akshara Graphics - Purchase"/>
    <s v="General Purchase"/>
    <s v="GNCN 261"/>
    <s v="Purchase Interstate- Stores, Spares &amp; Consumable"/>
    <s v="26-27/AG/108"/>
    <d v="2026-07-23T00:00:00"/>
    <s v="RM Consumables"/>
    <s v="FIBC Accessories"/>
    <s v="FIBC Accessories"/>
    <s v="Consumables"/>
    <s v="Tyvek Labels (Pcs)"/>
    <n v="14150"/>
    <n v="28300"/>
    <s v="Tyvek Labels (Pcs)"/>
    <n v="0"/>
    <n v="0"/>
    <n v="0"/>
    <n v="0"/>
    <n v="0"/>
    <n v="18"/>
    <n v="5094"/>
    <n v="0"/>
    <n v="5094"/>
    <n v="0"/>
    <s v="23BTLPS7416R1ZT"/>
    <s v="Pcs"/>
    <n v="58079010"/>
    <s v="Rs."/>
    <n v="1"/>
    <n v="46.6"/>
    <s v="India"/>
    <x v="0"/>
  </r>
  <r>
    <d v="2026-07-31T00:00:00"/>
    <s v="Armstrong"/>
    <s v="General Purchase"/>
    <s v="GNSP 467"/>
    <s v="Purchase Withinstate- Stores, Spares &amp; Consumable"/>
    <s v="GST/26-27/3706"/>
    <d v="2026-07-27T00:00:00"/>
    <s v="Stores/Spares"/>
    <s v="Stitching Spares"/>
    <s v="Stores &amp; Spares"/>
    <s v="stores &amp;  spares"/>
    <s v="Spreader, Upper For Overedge Stitching  (81507)"/>
    <n v="10"/>
    <n v="42000"/>
    <s v="Spreader, Upper For Overedge Stitching  (81507)"/>
    <n v="100281"/>
    <n v="2.5"/>
    <n v="1050"/>
    <n v="2.5"/>
    <n v="1050"/>
    <n v="0"/>
    <n v="0"/>
    <n v="0"/>
    <n v="2100"/>
    <n v="0"/>
    <s v="24ABAFA4683N1Z8"/>
    <s v="Pcs"/>
    <n v="84529099"/>
    <s v="Rs."/>
    <n v="1"/>
    <n v="0"/>
    <s v="India"/>
    <x v="0"/>
  </r>
  <r>
    <d v="2026-07-31T00:00:00"/>
    <s v="Armstrong"/>
    <s v="General Purchase"/>
    <s v="GNSP 467"/>
    <s v="Purchase Withinstate- Stores, Spares &amp; Consumable"/>
    <s v="GST/26-27/3706"/>
    <d v="2026-07-27T00:00:00"/>
    <s v="Stores/Spares"/>
    <s v="Stitching Spares"/>
    <s v="Stores &amp; Spares"/>
    <s v="stores &amp;  spares"/>
    <s v="Lift Lever For Tapper Pin # 80770"/>
    <n v="5"/>
    <n v="12200"/>
    <s v="Lift Lever For Tapper Pin # 80770"/>
    <n v="0"/>
    <n v="2.5"/>
    <n v="305"/>
    <n v="2.5"/>
    <n v="305"/>
    <n v="0"/>
    <n v="0"/>
    <n v="0"/>
    <n v="610"/>
    <n v="0"/>
    <s v="24ABAFA4683N1Z8"/>
    <s v="Pcs"/>
    <n v="84529099"/>
    <s v="Rs."/>
    <n v="1"/>
    <n v="0"/>
    <s v="India"/>
    <x v="0"/>
  </r>
  <r>
    <d v="2026-07-31T00:00:00"/>
    <s v="Armstrong"/>
    <s v="General Purchase"/>
    <s v="GNSP 467"/>
    <s v="Purchase Withinstate- Stores, Spares &amp; Consumable"/>
    <s v="GST/26-27/3706"/>
    <d v="2026-07-27T00:00:00"/>
    <s v="Stores/Spares"/>
    <s v="Hardware Items"/>
    <s v="Stores &amp; Spares"/>
    <s v="stores &amp;  spares"/>
    <s v="Screw 22567"/>
    <n v="20"/>
    <n v="1600"/>
    <s v="Screw 22567"/>
    <n v="0"/>
    <n v="9"/>
    <n v="144"/>
    <n v="9"/>
    <n v="144"/>
    <n v="0"/>
    <n v="0"/>
    <n v="0"/>
    <n v="288"/>
    <n v="0"/>
    <s v="24ABAFA4683N1Z8"/>
    <s v="Pcs"/>
    <n v="73181500"/>
    <s v="Rs."/>
    <n v="1"/>
    <n v="0"/>
    <s v="India"/>
    <x v="0"/>
  </r>
  <r>
    <d v="2026-07-31T00:00:00"/>
    <s v="Armstrong"/>
    <s v="General Purchase"/>
    <s v="GNSP 467"/>
    <s v="Purchase Withinstate- Stores, Spares &amp; Consumable"/>
    <s v="GST/26-27/3706"/>
    <d v="2026-07-27T00:00:00"/>
    <s v="Stores/Spares"/>
    <s v="Hardware Items"/>
    <s v="Stores &amp; Spares"/>
    <s v="stores &amp;  spares"/>
    <s v="Screw 22574"/>
    <n v="25"/>
    <n v="6500"/>
    <s v="Screw 22574"/>
    <n v="0"/>
    <n v="9"/>
    <n v="585"/>
    <n v="9"/>
    <n v="585"/>
    <n v="0"/>
    <n v="0"/>
    <n v="0"/>
    <n v="1170"/>
    <n v="0"/>
    <s v="24ABAFA4683N1Z8"/>
    <s v="Pcs"/>
    <n v="73181500"/>
    <s v="Rs."/>
    <n v="1"/>
    <n v="0"/>
    <s v="India"/>
    <x v="0"/>
  </r>
  <r>
    <d v="2026-07-31T00:00:00"/>
    <s v="Armstrong"/>
    <s v="General Purchase"/>
    <s v="GNSP 467"/>
    <s v="Purchase Withinstate- Stores, Spares &amp; Consumable"/>
    <s v="GST/26-27/3706"/>
    <d v="2026-07-27T00:00:00"/>
    <s v="Stores/Spares"/>
    <s v="Stitching Spares"/>
    <s v="Stores &amp; Spares"/>
    <s v="stores &amp;  spares"/>
    <s v="Cross Looper Lever 81313B"/>
    <n v="10"/>
    <n v="17760"/>
    <s v="Cross Looper Lever 81313B"/>
    <n v="0"/>
    <n v="2.5"/>
    <n v="444"/>
    <n v="2.5"/>
    <n v="444"/>
    <n v="0"/>
    <n v="0"/>
    <n v="0"/>
    <n v="888"/>
    <n v="0"/>
    <s v="24ABAFA4683N1Z8"/>
    <s v="Pcs"/>
    <n v="84522900"/>
    <s v="Rs."/>
    <n v="1"/>
    <n v="0"/>
    <s v="India"/>
    <x v="0"/>
  </r>
  <r>
    <d v="2026-07-31T00:00:00"/>
    <s v="Armstrong"/>
    <s v="General Purchase"/>
    <s v="GNSP 467"/>
    <s v="Purchase Withinstate- Stores, Spares &amp; Consumable"/>
    <s v="GST/26-27/3706"/>
    <d v="2026-07-27T00:00:00"/>
    <s v="Stores/Spares"/>
    <s v="Stitching Spares"/>
    <s v="Stores &amp; Spares"/>
    <s v="stores &amp;  spares"/>
    <s v="Nut 11/64-40,P6110420-Sp"/>
    <n v="4"/>
    <n v="71.760000000000005"/>
    <s v="Nut 11/64-40,P6110420-Sp"/>
    <n v="0"/>
    <n v="9"/>
    <n v="6.46"/>
    <n v="9"/>
    <n v="6.46"/>
    <n v="0"/>
    <n v="0"/>
    <n v="0"/>
    <n v="12.92"/>
    <n v="0"/>
    <s v="24ABAFA4683N1Z8"/>
    <s v="Pcs"/>
    <n v="84529099"/>
    <s v="Rs."/>
    <n v="1"/>
    <n v="0"/>
    <s v="India"/>
    <x v="0"/>
  </r>
  <r>
    <d v="2026-07-31T00:00:00"/>
    <s v="Armstrong"/>
    <s v="General Purchase"/>
    <s v="GNSP 467"/>
    <s v="Purchase Withinstate- Stores, Spares &amp; Consumable"/>
    <s v="GST/26-27/3706"/>
    <d v="2026-07-27T00:00:00"/>
    <s v="Stores/Spares"/>
    <s v="Hardware Items"/>
    <s v="Stores &amp; Spares"/>
    <s v="stores &amp;  spares"/>
    <s v="Screw 22894L"/>
    <n v="20"/>
    <n v="3360"/>
    <s v="Screw 22894L"/>
    <n v="0"/>
    <n v="9"/>
    <n v="302.39999999999998"/>
    <n v="9"/>
    <n v="302.39999999999998"/>
    <n v="0"/>
    <n v="0"/>
    <n v="0"/>
    <n v="604.79999999999995"/>
    <n v="0"/>
    <s v="24ABAFA4683N1Z8"/>
    <s v="Pcs"/>
    <n v="73181500"/>
    <s v="Rs."/>
    <n v="1"/>
    <n v="0"/>
    <s v="India"/>
    <x v="0"/>
  </r>
  <r>
    <d v="2026-07-31T00:00:00"/>
    <s v="Armstrong"/>
    <s v="General Purchase"/>
    <s v="GNSP 467"/>
    <s v="Purchase Withinstate- Stores, Spares &amp; Consumable"/>
    <s v="GST/26-27/3706"/>
    <d v="2026-07-27T00:00:00"/>
    <s v="Stores/Spares"/>
    <s v="Stitching Spares"/>
    <s v="Stores &amp; Spares"/>
    <s v="stores &amp;  spares"/>
    <s v="Bushing For Crank Shaft 80694Da"/>
    <n v="5"/>
    <n v="4840"/>
    <s v="Bushing For Crank Shaft 80694Da"/>
    <n v="0"/>
    <n v="2.5"/>
    <n v="121"/>
    <n v="2.5"/>
    <n v="121"/>
    <n v="0"/>
    <n v="0"/>
    <n v="0"/>
    <n v="242"/>
    <n v="0"/>
    <s v="24ABAFA4683N1Z8"/>
    <s v="Pcs"/>
    <n v="84529099"/>
    <s v="Rs."/>
    <n v="1"/>
    <n v="0"/>
    <s v="India"/>
    <x v="0"/>
  </r>
  <r>
    <d v="2026-07-31T00:00:00"/>
    <s v="Armstrong"/>
    <s v="General Purchase"/>
    <s v="GNSP 467"/>
    <s v="Purchase Withinstate- Stores, Spares &amp; Consumable"/>
    <s v="GST/26-27/3706"/>
    <d v="2026-07-27T00:00:00"/>
    <s v="Stores/Spares"/>
    <s v="Stitching Spares"/>
    <s v="Stores &amp; Spares"/>
    <s v="stores &amp;  spares"/>
    <s v="Screw 74 A"/>
    <n v="25"/>
    <n v="2200"/>
    <s v="Screw 74 A"/>
    <n v="0"/>
    <n v="9"/>
    <n v="211.5"/>
    <n v="9"/>
    <n v="211.5"/>
    <n v="0"/>
    <n v="0"/>
    <n v="0"/>
    <n v="423"/>
    <n v="0"/>
    <s v="24ABAFA4683N1Z8"/>
    <s v="Pcs"/>
    <n v="84821011"/>
    <s v="Rs."/>
    <n v="1"/>
    <n v="0"/>
    <s v="India"/>
    <x v="0"/>
  </r>
  <r>
    <d v="2026-07-31T00:00:00"/>
    <s v="Armstrong"/>
    <s v="General Purchase"/>
    <s v="GNSP 467"/>
    <s v="Purchase Withinstate- Stores, Spares &amp; Consumable"/>
    <s v="GST/26-27/3706"/>
    <d v="2026-07-27T00:00:00"/>
    <s v="Stores/Spares"/>
    <s v="Stitching Spares"/>
    <s v="Stores &amp; Spares"/>
    <s v="stores &amp;  spares"/>
    <s v="Pressure Foot Assy.Right 606418A"/>
    <n v="5"/>
    <n v="3105"/>
    <s v="Pressure Foot Assy.Right 606418A"/>
    <n v="0"/>
    <n v="2.5"/>
    <n v="77.62"/>
    <n v="2.5"/>
    <n v="77.62"/>
    <n v="0"/>
    <n v="0"/>
    <n v="0"/>
    <n v="155.24"/>
    <n v="0"/>
    <s v="24ABAFA4683N1Z8"/>
    <s v="Pcs"/>
    <n v="84522900"/>
    <s v="Rs."/>
    <n v="1"/>
    <n v="0"/>
    <s v="India"/>
    <x v="0"/>
  </r>
  <r>
    <d v="2026-07-31T00:00:00"/>
    <s v="Bhavna Trading Company"/>
    <s v="Purchase"/>
    <s v="GNPK 173"/>
    <s v="Purchase Withinstate- Packing Material"/>
    <s v="A000102"/>
    <d v="2026-07-22T00:00:00"/>
    <s v="Packing Material"/>
    <s v="Stretch Film"/>
    <s v="Packing Materials"/>
    <s v="Packing Materials"/>
    <s v="Stretch Film 400mmx29Mic"/>
    <n v="494.1"/>
    <n v="71644.5"/>
    <s v="Stretch Film 400mmx29Mic"/>
    <n v="84541"/>
    <n v="9"/>
    <n v="6448"/>
    <n v="9"/>
    <n v="6448"/>
    <n v="0"/>
    <n v="0"/>
    <n v="0"/>
    <n v="12896"/>
    <n v="0"/>
    <s v="24THBPS3555R1Z8"/>
    <s v="Kgs"/>
    <n v="39201099"/>
    <s v="Rs."/>
    <n v="1"/>
    <n v="0"/>
    <s v="India"/>
    <x v="0"/>
  </r>
  <r>
    <d v="2026-07-31T00:00:00"/>
    <s v="Bhumi Hardware &amp; Electricals"/>
    <s v="General Purchase"/>
    <s v="GNSP 466"/>
    <s v="Purchase Withinstate- Stores, Spares &amp; Consumable"/>
    <n v="2870"/>
    <d v="2026-07-29T00:00:00"/>
    <s v="Capex"/>
    <s v="Building Material"/>
    <s v="Stores &amp; Spares"/>
    <s v="stores &amp;  spares"/>
    <s v="Dammer Roll ( Tarpentine )"/>
    <n v="2"/>
    <n v="1400"/>
    <s v="Dammer Roll ( Tarpentine )"/>
    <n v="3422"/>
    <n v="9"/>
    <n v="126"/>
    <n v="9"/>
    <n v="126"/>
    <n v="0"/>
    <n v="0"/>
    <n v="0"/>
    <n v="252"/>
    <n v="0"/>
    <s v="24ASGPC4647K1ZQ"/>
    <s v="ROLLS"/>
    <n v="139020"/>
    <s v="Rs."/>
    <n v="1"/>
    <n v="0"/>
    <s v="India"/>
    <x v="0"/>
  </r>
  <r>
    <d v="2026-07-31T00:00:00"/>
    <s v="Bhumi Hardware &amp; Electricals"/>
    <s v="General Purchase"/>
    <s v="GNSP 466"/>
    <s v="Purchase Withinstate- Stores, Spares &amp; Consumable"/>
    <n v="2870"/>
    <d v="2026-07-29T00:00:00"/>
    <s v="Capex"/>
    <s v="Building Material"/>
    <s v="Stores &amp; Spares"/>
    <s v="stores &amp;  spares"/>
    <s v="Dammer Roll ( Tarpentine )"/>
    <n v="3"/>
    <n v="1500"/>
    <s v="Dammer Roll ( Tarpentine )"/>
    <n v="0"/>
    <n v="9"/>
    <n v="135"/>
    <n v="9"/>
    <n v="135"/>
    <n v="0"/>
    <n v="0"/>
    <n v="0"/>
    <n v="270"/>
    <n v="0"/>
    <s v="24ASGPC4647K1ZQ"/>
    <s v="ROLLS"/>
    <n v="139020"/>
    <s v="Rs."/>
    <n v="1"/>
    <n v="0"/>
    <s v="India"/>
    <x v="0"/>
  </r>
  <r>
    <d v="2026-07-31T00:00:00"/>
    <s v="Brahmani Labels"/>
    <s v="General Purchase"/>
    <s v="GNCN 262"/>
    <s v="Purchase Withinstate- Stores, Spares &amp; Consumable"/>
    <n v="367"/>
    <d v="2026-07-23T00:00:00"/>
    <s v="SF"/>
    <s v="Liners"/>
    <s v="LDPE/LLDPE Bags"/>
    <s v="Consumables"/>
    <s v="PE Labels (Pcs)"/>
    <n v="3.9"/>
    <n v="1200"/>
    <s v="PE Labels (Pcs)"/>
    <n v="2832"/>
    <n v="9"/>
    <n v="108"/>
    <n v="9"/>
    <n v="108"/>
    <n v="0"/>
    <n v="0"/>
    <n v="216"/>
    <n v="432"/>
    <n v="0"/>
    <s v="24CIAPP4681A1ZK"/>
    <s v="Kgs"/>
    <n v="392300"/>
    <s v="Rs."/>
    <n v="1"/>
    <n v="3.9"/>
    <m/>
    <x v="0"/>
  </r>
  <r>
    <d v="2026-07-31T00:00:00"/>
    <s v="Brahmani Labels"/>
    <s v="General Purchase"/>
    <s v="GNCN 263"/>
    <s v="Purchase Withinstate- Stores, Spares &amp; Consumable"/>
    <n v="364"/>
    <d v="2026-07-20T00:00:00"/>
    <s v="SF"/>
    <s v="Liners"/>
    <s v="LDPE/LLDPE Bags"/>
    <s v="Consumables"/>
    <s v="PE Labels (Pcs)"/>
    <n v="17.100000000000001"/>
    <n v="5200"/>
    <s v="PE Labels (Pcs)"/>
    <n v="22918"/>
    <n v="9"/>
    <n v="468"/>
    <n v="9"/>
    <n v="468"/>
    <n v="0"/>
    <n v="0"/>
    <n v="90"/>
    <n v="1026"/>
    <n v="0"/>
    <s v="24CIAPP4681A1ZK"/>
    <s v="Kgs"/>
    <n v="392300"/>
    <s v="Rs."/>
    <n v="1"/>
    <n v="17.100000000000001"/>
    <m/>
    <x v="0"/>
  </r>
  <r>
    <d v="2026-07-31T00:00:00"/>
    <s v="Brahmani Labels"/>
    <s v="General Purchase"/>
    <s v="GNCN 263"/>
    <s v="Purchase Withinstate- Stores, Spares &amp; Consumable"/>
    <n v="364"/>
    <d v="2026-07-20T00:00:00"/>
    <s v="SF"/>
    <s v="Liners"/>
    <s v="LDPE/LLDPE Bags"/>
    <s v="Consumables"/>
    <s v="PE Labels (Pcs)"/>
    <n v="7.6"/>
    <n v="2824"/>
    <s v="PE Labels (Pcs)"/>
    <n v="0"/>
    <n v="9"/>
    <n v="254.16"/>
    <n v="9"/>
    <n v="254.16"/>
    <n v="0"/>
    <n v="0"/>
    <n v="90"/>
    <n v="598.31999999999994"/>
    <n v="0"/>
    <s v="24CIAPP4681A1ZK"/>
    <s v="Kgs"/>
    <n v="392300"/>
    <s v="Rs."/>
    <n v="1"/>
    <n v="7.6"/>
    <m/>
    <x v="0"/>
  </r>
  <r>
    <d v="2026-07-31T00:00:00"/>
    <s v="Brahmani Labels"/>
    <s v="General Purchase"/>
    <s v="GNCN 263"/>
    <s v="Purchase Withinstate- Stores, Spares &amp; Consumable"/>
    <n v="364"/>
    <d v="2026-07-20T00:00:00"/>
    <s v="SF"/>
    <s v="Liners"/>
    <s v="LDPE/LLDPE Bags"/>
    <s v="Consumables"/>
    <s v="PE Labels (Pcs)"/>
    <n v="5.2"/>
    <n v="2938"/>
    <s v="PE Labels (Pcs)"/>
    <n v="0"/>
    <n v="9"/>
    <n v="264.42"/>
    <n v="9"/>
    <n v="264.42"/>
    <n v="0"/>
    <n v="0"/>
    <n v="90"/>
    <n v="618.84"/>
    <n v="0"/>
    <s v="24CIAPP4681A1ZK"/>
    <s v="Kgs"/>
    <n v="392300"/>
    <s v="Rs."/>
    <n v="1"/>
    <n v="5.2"/>
    <m/>
    <x v="0"/>
  </r>
  <r>
    <d v="2026-07-31T00:00:00"/>
    <s v="Brahmani Labels"/>
    <s v="General Purchase"/>
    <s v="GNCN 263"/>
    <s v="Purchase Withinstate- Stores, Spares &amp; Consumable"/>
    <n v="364"/>
    <d v="2026-07-20T00:00:00"/>
    <s v="SF"/>
    <s v="Liners"/>
    <s v="LDPE/LLDPE Bags"/>
    <s v="Consumables"/>
    <s v="PE Labels (Pcs)"/>
    <n v="1.6"/>
    <n v="1710"/>
    <s v="PE Labels (Pcs)"/>
    <n v="0"/>
    <n v="9"/>
    <n v="153.9"/>
    <n v="9"/>
    <n v="153.9"/>
    <n v="0"/>
    <n v="0"/>
    <n v="90"/>
    <n v="397.8"/>
    <n v="0"/>
    <s v="24CIAPP4681A1ZK"/>
    <s v="Kgs"/>
    <n v="392300"/>
    <s v="Rs."/>
    <n v="1"/>
    <n v="1.6"/>
    <m/>
    <x v="0"/>
  </r>
  <r>
    <d v="2026-07-31T00:00:00"/>
    <s v="Brahmani Labels"/>
    <s v="General Purchase"/>
    <s v="GNCN 263"/>
    <s v="Purchase Withinstate- Stores, Spares &amp; Consumable"/>
    <n v="364"/>
    <d v="2026-07-20T00:00:00"/>
    <s v="SF"/>
    <s v="Liners"/>
    <s v="LDPE/LLDPE Bags"/>
    <s v="Consumables"/>
    <s v="PE Labels (Pcs)"/>
    <n v="20.6"/>
    <n v="6250"/>
    <s v="PE Labels (Pcs)"/>
    <n v="0"/>
    <n v="9"/>
    <n v="562.5"/>
    <n v="9"/>
    <n v="562.5"/>
    <n v="0"/>
    <n v="0"/>
    <n v="90"/>
    <n v="1215"/>
    <n v="0"/>
    <s v="24CIAPP4681A1ZK"/>
    <s v="Kgs"/>
    <n v="392300"/>
    <s v="Rs."/>
    <n v="1"/>
    <n v="20.6"/>
    <m/>
    <x v="0"/>
  </r>
  <r>
    <d v="2026-07-31T00:00:00"/>
    <s v="Bright Rubber"/>
    <s v="General Purchase"/>
    <s v="GNSP 465"/>
    <s v="Purchase Withinstate- Stores, Spares &amp; Consumable"/>
    <s v="G24269"/>
    <d v="2026-07-28T00:00:00"/>
    <s v="Consumables"/>
    <s v="Oil Seal"/>
    <s v="Stores &amp; Spares"/>
    <s v="stores &amp;  spares"/>
    <s v="Seal Kit  ( As Per Sample) For R.P. Plant Bell Press M/C)"/>
    <n v="2"/>
    <n v="5900"/>
    <s v="Seal Kit  ( As Per Sample) For R.P. Plant Bell Press M/C)"/>
    <n v="7080"/>
    <n v="9"/>
    <n v="531"/>
    <n v="9"/>
    <n v="531"/>
    <n v="0"/>
    <n v="0"/>
    <n v="18"/>
    <n v="1080"/>
    <n v="0"/>
    <s v="24AACFB1249A1ZA"/>
    <s v="SET"/>
    <n v="392610"/>
    <s v="Rs."/>
    <n v="1"/>
    <n v="0"/>
    <s v="India"/>
    <x v="0"/>
  </r>
  <r>
    <d v="2026-07-31T00:00:00"/>
    <s v="Ganesh Poly Graph"/>
    <s v="General Purchase"/>
    <s v="GNCN 257"/>
    <s v="Purchase Withinstate- Stores, Spares &amp; Consumable"/>
    <n v="1224"/>
    <d v="2026-07-27T00:00:00"/>
    <s v="Consumables"/>
    <s v="Rubber/Polymer Stereo"/>
    <s v="Stores &amp; Spares"/>
    <s v="Consumables"/>
    <s v="Rubber Stereo"/>
    <n v="1"/>
    <n v="593.4"/>
    <s v="Rubber Stereo"/>
    <n v="1751"/>
    <n v="9"/>
    <n v="53.41"/>
    <n v="9"/>
    <n v="53.41"/>
    <n v="0"/>
    <n v="0"/>
    <n v="0"/>
    <n v="106.82"/>
    <n v="0"/>
    <s v="24ALEPC4203C1Z3"/>
    <s v="Pcs"/>
    <n v="400200"/>
    <s v="Rs."/>
    <n v="1"/>
    <n v="0"/>
    <s v="India"/>
    <x v="0"/>
  </r>
  <r>
    <d v="2026-07-31T00:00:00"/>
    <s v="Ganesh Poly Graph"/>
    <s v="General Purchase"/>
    <s v="GNCN 257"/>
    <s v="Purchase Withinstate- Stores, Spares &amp; Consumable"/>
    <n v="1224"/>
    <d v="2026-07-27T00:00:00"/>
    <s v="Consumables"/>
    <s v="Rubber/Polymer Stereo"/>
    <s v="Stores &amp; Spares"/>
    <s v="Consumables"/>
    <s v="Rubber Stereo"/>
    <n v="1"/>
    <n v="890.1"/>
    <s v="Rubber Stereo"/>
    <n v="0"/>
    <n v="9"/>
    <n v="80.11"/>
    <n v="9"/>
    <n v="80.11"/>
    <n v="0"/>
    <n v="0"/>
    <n v="0"/>
    <n v="160.22"/>
    <n v="0"/>
    <s v="24ALEPC4203C1Z3"/>
    <s v="Pcs"/>
    <n v="400200"/>
    <s v="Rs."/>
    <n v="1"/>
    <n v="0"/>
    <s v="India"/>
    <x v="0"/>
  </r>
  <r>
    <d v="2026-07-31T00:00:00"/>
    <s v="HCP Plastene Bulkpack Limited - Purchase"/>
    <s v="R.M.P."/>
    <s v="RM 353"/>
    <s v="Purchase Withinstate - Raw Material"/>
    <s v="HPBL/D/436"/>
    <d v="2026-07-30T00:00:00"/>
    <s v="SF"/>
    <s v="PP/PE Fabric"/>
    <s v="PP UL Fabric"/>
    <s v="PP WOVEN FABRIC"/>
    <s v="PP UL Fabric With UV"/>
    <n v="335"/>
    <n v="53429.15"/>
    <s v="PP UL Fabric With UV"/>
    <n v="1018025.62"/>
    <n v="9"/>
    <n v="4808.62"/>
    <n v="9"/>
    <n v="4808.62"/>
    <n v="0"/>
    <n v="0"/>
    <n v="0"/>
    <n v="9617.24"/>
    <n v="0"/>
    <s v="24AABCG1282C2Z6"/>
    <s v="Kgs"/>
    <n v="39269080"/>
    <s v="Rs."/>
    <n v="1"/>
    <n v="335"/>
    <s v="India"/>
    <x v="1"/>
  </r>
  <r>
    <d v="2026-07-31T00:00:00"/>
    <s v="HCP Plastene Bulkpack Limited - Purchase"/>
    <s v="R.M.P."/>
    <s v="RM 353"/>
    <s v="Purchase Withinstate - Raw Material"/>
    <s v="HPBL/D/436"/>
    <d v="2026-07-30T00:00:00"/>
    <s v="SF"/>
    <s v="PP/PE Fabric"/>
    <s v="PP UL Fabric"/>
    <s v="PP WOVEN FABRIC"/>
    <s v="PP UL Fabric With UV"/>
    <n v="291"/>
    <n v="44956.59"/>
    <s v="PP UL Fabric With UV"/>
    <n v="0"/>
    <n v="9"/>
    <n v="4046.09"/>
    <n v="9"/>
    <n v="4046.09"/>
    <n v="0"/>
    <n v="0"/>
    <n v="0"/>
    <n v="8092.18"/>
    <n v="0"/>
    <s v="24AABCG1282C2Z6"/>
    <s v="Kgs"/>
    <n v="39269080"/>
    <s v="Rs."/>
    <n v="1"/>
    <n v="291"/>
    <s v="India"/>
    <x v="1"/>
  </r>
  <r>
    <d v="2026-07-31T00:00:00"/>
    <s v="HCP Plastene Bulkpack Limited - Purchase"/>
    <s v="R.M.P."/>
    <s v="RM 353"/>
    <s v="Purchase Withinstate - Raw Material"/>
    <s v="HPBL/D/436"/>
    <d v="2026-07-30T00:00:00"/>
    <s v="SF"/>
    <s v="PP/PE Fabric"/>
    <s v="PP UL Fabric"/>
    <s v="PP WOVEN FABRIC"/>
    <s v="PP UL Fabric With UV"/>
    <n v="4889"/>
    <n v="765079.61"/>
    <s v="PP UL Fabric With UV"/>
    <n v="0"/>
    <n v="9"/>
    <n v="68857.16"/>
    <n v="9"/>
    <n v="68857.16"/>
    <n v="0"/>
    <n v="0"/>
    <n v="0"/>
    <n v="137714.32"/>
    <n v="0"/>
    <s v="24AABCG1282C2Z6"/>
    <s v="Kgs"/>
    <n v="39269080"/>
    <s v="Rs."/>
    <n v="1"/>
    <n v="4889"/>
    <s v="India"/>
    <x v="1"/>
  </r>
  <r>
    <d v="2026-07-31T00:00:00"/>
    <s v="HCP Plastene Bulkpack Limited - Purchase"/>
    <s v="R.M.P."/>
    <s v="RM 358"/>
    <s v="Purchase Withinstate - Raw Material"/>
    <s v="HPBL/D/439"/>
    <d v="2026-07-31T00:00:00"/>
    <s v="SF"/>
    <s v="Liners"/>
    <s v="LDPE/LLDPE Bags"/>
    <s v="LLDPE BAGS"/>
    <s v="DOC Pouch"/>
    <n v="1131"/>
    <n v="183697.02"/>
    <s v="DOC Pouch"/>
    <n v="1150546.17"/>
    <n v="9"/>
    <n v="16532.73"/>
    <n v="9"/>
    <n v="16532.73"/>
    <n v="0"/>
    <n v="0"/>
    <n v="0"/>
    <n v="33065.46"/>
    <n v="0"/>
    <s v="24AABCG1282C2Z6"/>
    <s v="Kgs"/>
    <n v="39232100"/>
    <s v="Rs."/>
    <n v="1"/>
    <n v="1131"/>
    <s v="India"/>
    <x v="4"/>
  </r>
  <r>
    <d v="2026-07-31T00:00:00"/>
    <s v="HCP Plastene Bulkpack Limited - Purchase"/>
    <s v="R.M.P."/>
    <s v="RM 358"/>
    <s v="Purchase Withinstate - Raw Material"/>
    <s v="HPBL/D/439"/>
    <d v="2026-07-31T00:00:00"/>
    <s v="SF"/>
    <s v="Films All (SF)"/>
    <s v="PE Film"/>
    <s v="LLDPE Film"/>
    <s v="LDPE/LLDPE Film – Conductive"/>
    <n v="145"/>
    <n v="22825.9"/>
    <s v="LDPE/LLDPE Film – Conductive"/>
    <n v="0"/>
    <n v="9"/>
    <n v="2054.33"/>
    <n v="9"/>
    <n v="2054.33"/>
    <n v="0"/>
    <n v="0"/>
    <n v="0"/>
    <n v="4108.66"/>
    <n v="0"/>
    <s v="24AABCG1282C2Z6"/>
    <s v="Kgs"/>
    <n v="39201019"/>
    <s v="Rs."/>
    <n v="1"/>
    <n v="145"/>
    <s v="India"/>
    <x v="10"/>
  </r>
  <r>
    <d v="2026-07-31T00:00:00"/>
    <s v="HCP Plastene Bulkpack Limited - Purchase"/>
    <s v="R.M.P."/>
    <s v="RM 358"/>
    <s v="Purchase Withinstate - Raw Material"/>
    <s v="HPBL/D/439"/>
    <d v="2026-07-31T00:00:00"/>
    <s v="SF"/>
    <s v="PP/PE Fabric"/>
    <s v="PP UL Fabric"/>
    <s v="PP WOVEN FABRIC"/>
    <s v="PP UL Fabric With UV"/>
    <n v="335"/>
    <n v="53429.15"/>
    <s v="PP UL Fabric With UV"/>
    <n v="0"/>
    <n v="9"/>
    <n v="4808.62"/>
    <n v="9"/>
    <n v="4808.62"/>
    <n v="0"/>
    <n v="0"/>
    <n v="0"/>
    <n v="9617.24"/>
    <n v="0"/>
    <s v="24AABCG1282C2Z6"/>
    <s v="Kgs"/>
    <n v="39269080"/>
    <s v="Rs."/>
    <n v="1"/>
    <n v="335"/>
    <s v="India"/>
    <x v="1"/>
  </r>
  <r>
    <d v="2026-07-31T00:00:00"/>
    <s v="HCP Plastene Bulkpack Limited - Purchase"/>
    <s v="R.M.P."/>
    <s v="RM 358"/>
    <s v="Purchase Withinstate - Raw Material"/>
    <s v="HPBL/D/439"/>
    <d v="2026-07-31T00:00:00"/>
    <s v="SF"/>
    <s v="PP/PE Fabric"/>
    <s v="PP UL Fabric"/>
    <s v="PP WOVEN FABRIC"/>
    <s v="PP UL Fabric With UV"/>
    <n v="83"/>
    <n v="17968.669999999998"/>
    <s v="PP UL Fabric With UV"/>
    <n v="0"/>
    <n v="9"/>
    <n v="1617.18"/>
    <n v="9"/>
    <n v="1617.18"/>
    <n v="0"/>
    <n v="0"/>
    <n v="0"/>
    <n v="3234.36"/>
    <n v="0"/>
    <s v="24AABCG1282C2Z6"/>
    <s v="Kgs"/>
    <n v="39269080"/>
    <s v="Rs."/>
    <n v="1"/>
    <n v="83"/>
    <s v="India"/>
    <x v="1"/>
  </r>
  <r>
    <d v="2026-07-31T00:00:00"/>
    <s v="HCP Plastene Bulkpack Limited - Purchase"/>
    <s v="R.M.P."/>
    <s v="RM 358"/>
    <s v="Purchase Withinstate - Raw Material"/>
    <s v="HPBL/D/439"/>
    <d v="2026-07-31T00:00:00"/>
    <s v="SF"/>
    <s v="PP/PE Fabric"/>
    <s v="PP UL Fabric"/>
    <s v="PP WOVEN FABRIC"/>
    <s v="PP UL Fabric With UV"/>
    <n v="4460"/>
    <n v="697945.4"/>
    <s v="PP UL Fabric With UV"/>
    <n v="0"/>
    <n v="9"/>
    <n v="62815.09"/>
    <n v="9"/>
    <n v="62815.09"/>
    <n v="0"/>
    <n v="0"/>
    <n v="0"/>
    <n v="125630.18"/>
    <n v="0"/>
    <s v="24AABCG1282C2Z6"/>
    <s v="Kgs"/>
    <n v="39269080"/>
    <s v="Rs."/>
    <n v="1"/>
    <n v="4460"/>
    <s v="India"/>
    <x v="1"/>
  </r>
  <r>
    <d v="2026-07-31T00:00:00"/>
    <s v="Hcp Plastene Bulkpack Ltd (Unit-Iv) - Purchase"/>
    <s v="R.M.P."/>
    <s v="RM 355"/>
    <s v="Purchase Withinstate - Raw Material"/>
    <s v="HPBL4/ME/11"/>
    <d v="2026-07-31T00:00:00"/>
    <s v="FG"/>
    <s v="FIBC Bags"/>
    <s v="FIBC Bags"/>
    <s v="LLDPE BAGS"/>
    <s v="FIBC Bags With UV Without Liner"/>
    <n v="2433"/>
    <n v="585598.77"/>
    <s v="FIBC Bags With UV Without Liner"/>
    <n v="4086330.26"/>
    <n v="0.05"/>
    <n v="292.8"/>
    <n v="0.05"/>
    <n v="292.8"/>
    <n v="0"/>
    <n v="0"/>
    <n v="0"/>
    <n v="585.6"/>
    <n v="0"/>
    <s v="24AABCG1282C2Z6"/>
    <s v="Kgs"/>
    <n v="63053200"/>
    <s v="Rs."/>
    <n v="1"/>
    <n v="2433"/>
    <s v="India"/>
    <x v="9"/>
  </r>
  <r>
    <d v="2026-07-31T00:00:00"/>
    <s v="Hcp Plastene Bulkpack Ltd (Unit-Iv) - Purchase"/>
    <s v="R.M.P."/>
    <s v="RM 355"/>
    <s v="Purchase Withinstate - Raw Material"/>
    <s v="HPBL4/ME/11"/>
    <d v="2026-07-31T00:00:00"/>
    <s v="FG"/>
    <s v="FIBC Bags"/>
    <s v="FIBC Bags"/>
    <s v="LLDPE BAGS"/>
    <s v="FIBC Bags With UV Without Liner"/>
    <n v="10325"/>
    <n v="2000159"/>
    <s v="FIBC Bags With UV Without Liner"/>
    <n v="0"/>
    <n v="0.05"/>
    <n v="1000.08"/>
    <n v="0.05"/>
    <n v="1000.08"/>
    <n v="0"/>
    <n v="0"/>
    <n v="0"/>
    <n v="2000.16"/>
    <n v="0"/>
    <s v="24AABCG1282C2Z6"/>
    <s v="Kgs"/>
    <n v="63053200"/>
    <s v="Rs."/>
    <n v="1"/>
    <n v="10325"/>
    <s v="India"/>
    <x v="9"/>
  </r>
  <r>
    <d v="2026-07-31T00:00:00"/>
    <s v="Hcp Plastene Bulkpack Ltd (Unit-Iv) - Purchase"/>
    <s v="R.M.P."/>
    <s v="RM 355"/>
    <s v="Purchase Withinstate - Raw Material"/>
    <s v="HPBL4/ME/11"/>
    <d v="2026-07-31T00:00:00"/>
    <s v="FG"/>
    <s v="FIBC Bags"/>
    <s v="FIBC Bags"/>
    <s v="LLDPE BAGS"/>
    <s v="FIBC Bags With UV Without Liner"/>
    <n v="7822"/>
    <n v="1500572.48"/>
    <s v="FIBC Bags With UV Without Liner"/>
    <n v="0"/>
    <n v="0.05"/>
    <n v="750.29"/>
    <n v="0.05"/>
    <n v="750.29"/>
    <n v="0"/>
    <n v="0"/>
    <n v="0"/>
    <n v="1500.58"/>
    <n v="0"/>
    <s v="24AABCG1282C2Z6"/>
    <s v="Kgs"/>
    <n v="63053200"/>
    <s v="Rs."/>
    <n v="1"/>
    <n v="7822"/>
    <s v="India"/>
    <x v="9"/>
  </r>
  <r>
    <d v="2026-07-31T00:00:00"/>
    <s v="Hcp Plastene Bulkpack Ltd Vadodara Purchase"/>
    <s v="R.M.P."/>
    <s v="RM 357"/>
    <s v="Purchase Withinstate - Raw Material"/>
    <s v="HPBLV/D/42"/>
    <d v="2026-07-30T00:00:00"/>
    <s v="FG"/>
    <s v="FIBC Bags"/>
    <s v="FIBC Bags"/>
    <s v="LLDPE BAGS"/>
    <s v="FIBC Bags With UV With Liner"/>
    <n v="561.4"/>
    <n v="183516.046"/>
    <s v="FIBC Bags With UV With Liner"/>
    <n v="283600.67"/>
    <n v="9"/>
    <n v="16516.439999999999"/>
    <n v="9"/>
    <n v="16516.439999999999"/>
    <n v="0"/>
    <n v="0"/>
    <n v="0"/>
    <n v="33032.879999999997"/>
    <n v="0"/>
    <s v="24AABCG1282C2Z6"/>
    <s v="Kgs"/>
    <n v="63053200"/>
    <s v="Rs."/>
    <n v="1"/>
    <n v="561.4"/>
    <s v="India"/>
    <x v="9"/>
  </r>
  <r>
    <d v="2026-07-31T00:00:00"/>
    <s v="Hcp Plastene Bulkpack Ltd Vadodara Purchase"/>
    <s v="R.M.P."/>
    <s v="RM 357"/>
    <s v="Purchase Withinstate - Raw Material"/>
    <s v="HPBLV/D/42"/>
    <d v="2026-07-30T00:00:00"/>
    <s v="SF"/>
    <s v="Liners"/>
    <s v="LDPE/LLDPE Bags"/>
    <s v="LLDPE BAGS"/>
    <s v="LDPE/LLDPE Bags/Liner"/>
    <n v="312"/>
    <n v="57027.360000000001"/>
    <s v="LDPE/LLDPE Bags/Liner"/>
    <n v="0"/>
    <n v="9"/>
    <n v="5132.46"/>
    <n v="9"/>
    <n v="5132.46"/>
    <n v="0"/>
    <n v="0"/>
    <n v="0"/>
    <n v="10264.92"/>
    <n v="0"/>
    <s v="24AABCG1282C2Z6"/>
    <s v="Kgs"/>
    <n v="39200000"/>
    <s v="Rs."/>
    <n v="1"/>
    <n v="312"/>
    <s v="India"/>
    <x v="4"/>
  </r>
  <r>
    <d v="2026-07-31T00:00:00"/>
    <s v="Murlidhar Paper Tube"/>
    <s v="Purchase Return"/>
    <s v="KPV/PR/5"/>
    <s v="Purchase Return - Stores, Spares &amp; Consumable"/>
    <s v="KPV/PR/5"/>
    <d v="2026-07-31T00:00:00"/>
    <s v="Packing Material"/>
    <s v="Paper Cores"/>
    <s v="Packing Materials"/>
    <s v="Packing Materials"/>
    <s v="Paper Core"/>
    <n v="-410"/>
    <n v="-15170"/>
    <s v="."/>
    <n v="-17900.599999999999"/>
    <n v="9"/>
    <n v="1365.3"/>
    <n v="9"/>
    <n v="1365.3"/>
    <n v="0"/>
    <n v="0"/>
    <n v="0"/>
    <n v="2730.6"/>
    <n v="0"/>
    <s v="24ARHPP9327M1Z7"/>
    <s v="Kgs"/>
    <n v="4822000"/>
    <s v="Rs."/>
    <n v="1"/>
    <n v="0"/>
    <s v="India"/>
    <x v="0"/>
  </r>
  <r>
    <d v="2026-07-31T00:00:00"/>
    <s v="Parth Poly Coat Yarn Pvt Ltd"/>
    <s v="R.M.P."/>
    <s v="RM 360"/>
    <s v="Purchase Withinstate - Raw Material"/>
    <s v="PPCYPL/2627/122"/>
    <d v="2026-07-31T00:00:00"/>
    <s v="SF"/>
    <s v="Yarn All"/>
    <s v="PP Yarn"/>
    <s v="Filler code"/>
    <s v="Filler Cord"/>
    <n v="2145.54"/>
    <n v="379760.58"/>
    <s v="Filler Cord"/>
    <n v="398749"/>
    <n v="2.5"/>
    <n v="9494.01"/>
    <n v="2.5"/>
    <n v="9494.01"/>
    <n v="0"/>
    <n v="0"/>
    <n v="0"/>
    <n v="18988.02"/>
    <n v="0"/>
    <s v="24AAGCP6363E1ZH"/>
    <s v="Kgs"/>
    <n v="540263"/>
    <s v="Rs."/>
    <n v="1"/>
    <n v="2145.54"/>
    <s v="India"/>
    <x v="3"/>
  </r>
  <r>
    <d v="2026-07-31T00:00:00"/>
    <s v="Pavan Electricals And Hardware"/>
    <s v="General Purchase"/>
    <s v="GNSP 462"/>
    <s v="Purchase Withinstate- Stores, Spares &amp; Consumable"/>
    <s v="GI/1446"/>
    <d v="2026-07-29T00:00:00"/>
    <s v="Capex"/>
    <s v="Building Material"/>
    <s v="Stores &amp; Spares"/>
    <s v="stores &amp;  spares"/>
    <s v="Dammer Roll ( Tarpentine )"/>
    <n v="2"/>
    <n v="1900"/>
    <s v="Dammer Roll ( Tarpentine )"/>
    <n v="2242"/>
    <n v="9"/>
    <n v="171"/>
    <n v="9"/>
    <n v="171"/>
    <n v="0"/>
    <n v="0"/>
    <n v="0"/>
    <n v="342"/>
    <n v="0"/>
    <s v="24BTTPR5056A1ZJ"/>
    <s v="ROLLS"/>
    <n v="139020"/>
    <s v="Rs."/>
    <n v="1"/>
    <n v="0"/>
    <s v="India"/>
    <x v="0"/>
  </r>
  <r>
    <d v="2026-07-31T00:00:00"/>
    <s v="Perfect Belts Private Limited (Gujarat)"/>
    <s v="General Purchase"/>
    <s v="GNSP 464"/>
    <s v="Purchase Withinstate- Stores, Spares &amp; Consumable"/>
    <s v="A-3501/26-27"/>
    <d v="2026-07-28T00:00:00"/>
    <s v="Stores/Spares"/>
    <s v="Bearings"/>
    <s v="Stores &amp; Spares"/>
    <s v="stores &amp;  spares"/>
    <s v="Bearing 6204 Zz Skf"/>
    <n v="40"/>
    <n v="3338.8"/>
    <s v="Bearing 6204 Zz Skf"/>
    <n v="4117"/>
    <n v="9"/>
    <n v="300.49200000000002"/>
    <n v="9"/>
    <n v="300.49200000000002"/>
    <n v="0"/>
    <n v="0"/>
    <n v="27"/>
    <n v="627.98400000000004"/>
    <n v="0"/>
    <s v="24AABCP1066F1ZU"/>
    <s v="Pcs"/>
    <n v="84821011"/>
    <s v="Rs."/>
    <n v="1"/>
    <n v="0"/>
    <s v="India"/>
    <x v="0"/>
  </r>
  <r>
    <d v="2026-07-31T00:00:00"/>
    <s v="Plastene India ltd - Unit 1-Purchase"/>
    <s v="Purchase"/>
    <s v="GNPK 175"/>
    <s v="Purchase Withinstate- Packing Material"/>
    <s v="PIL1/D/1228"/>
    <d v="2026-07-30T00:00:00"/>
    <s v="Stores/Spares"/>
    <s v="MS Structure Items"/>
    <s v="Packing Materials"/>
    <s v="Packing Materials"/>
    <s v="MS Pipe 4  C Class"/>
    <n v="172"/>
    <n v="8256"/>
    <s v="MS Pipe 4  C Class"/>
    <n v="9733.82"/>
    <n v="9"/>
    <n v="743.04"/>
    <n v="9"/>
    <n v="743.04"/>
    <n v="0"/>
    <n v="0"/>
    <n v="0"/>
    <n v="1486.08"/>
    <n v="0"/>
    <s v="24AAACO3087C1ZT"/>
    <s v="Kgs"/>
    <n v="73063090"/>
    <s v="Rs."/>
    <n v="1"/>
    <n v="0"/>
    <s v="India"/>
    <x v="0"/>
  </r>
  <r>
    <d v="2026-07-31T00:00:00"/>
    <s v="Plastene India ltd - Unit 1-Purchase"/>
    <s v="R.M.P."/>
    <s v="RM 356"/>
    <s v="Purchase Withinstate - Raw Material"/>
    <s v="PIL1/DE/28"/>
    <d v="2026-07-30T00:00:00"/>
    <s v="SF"/>
    <s v="PP/PE Fabric"/>
    <s v="PP UL Fabric"/>
    <s v="PP WOVEN FABRIC"/>
    <s v="PP UL Fabric With UV"/>
    <n v="342"/>
    <n v="135090"/>
    <s v="PP UL Fabric With UV"/>
    <n v="159270.91"/>
    <n v="9"/>
    <n v="12158.1"/>
    <n v="9"/>
    <n v="12158.1"/>
    <n v="0"/>
    <n v="0"/>
    <n v="0"/>
    <n v="24316.2"/>
    <n v="0"/>
    <s v="24AAACO3087C1ZT"/>
    <s v="Kgs"/>
    <n v="39269080"/>
    <s v="Rs."/>
    <n v="1"/>
    <n v="342"/>
    <s v="India"/>
    <x v="1"/>
  </r>
  <r>
    <d v="2026-07-31T00:00:00"/>
    <s v="Plastene India ltd - Unit 1-Purchase"/>
    <s v="R.M.P."/>
    <s v="RM 359"/>
    <s v="Purchase Withinstate - Raw Material"/>
    <s v="PIL1/D/1229"/>
    <d v="2026-07-30T00:00:00"/>
    <s v="SF"/>
    <s v="Liners"/>
    <s v="LDPE/LLDPE Bags"/>
    <s v="LLDPE BAGS"/>
    <s v="LDPE/LLDPE Bags/Liner"/>
    <n v="1299"/>
    <n v="333817.02"/>
    <s v="LDPE/LLDPE Bags/Liner"/>
    <n v="1769038.04"/>
    <n v="9"/>
    <n v="30043.53"/>
    <n v="9"/>
    <n v="30043.53"/>
    <n v="0"/>
    <n v="0"/>
    <n v="0"/>
    <n v="60087.06"/>
    <n v="0"/>
    <s v="24AAACO3087C1ZT"/>
    <s v="Kgs"/>
    <n v="39200000"/>
    <s v="Rs."/>
    <n v="1"/>
    <n v="1299"/>
    <s v="India"/>
    <x v="4"/>
  </r>
  <r>
    <d v="2026-07-31T00:00:00"/>
    <s v="Plastene India ltd - Unit 1-Purchase"/>
    <s v="R.M.P."/>
    <s v="RM 359"/>
    <s v="Purchase Withinstate - Raw Material"/>
    <s v="PIL1/D/1229"/>
    <d v="2026-07-30T00:00:00"/>
    <s v="SF"/>
    <s v="Liners"/>
    <s v="LDPE/LLDPE Bags"/>
    <s v="LLDPE BAGS"/>
    <s v="LDPE/LLDPE Bags/Liner"/>
    <n v="7"/>
    <n v="1307.46"/>
    <s v="LDPE/LLDPE Bags/Liner"/>
    <n v="0"/>
    <n v="9"/>
    <n v="117.67"/>
    <n v="9"/>
    <n v="117.67"/>
    <n v="0"/>
    <n v="0"/>
    <n v="0"/>
    <n v="235.34"/>
    <n v="0"/>
    <s v="24AAACO3087C1ZT"/>
    <s v="Kgs"/>
    <n v="39200000"/>
    <s v="Rs."/>
    <n v="1"/>
    <n v="7"/>
    <s v="India"/>
    <x v="4"/>
  </r>
  <r>
    <d v="2026-07-31T00:00:00"/>
    <s v="Plastene India ltd - Unit 1-Purchase"/>
    <s v="R.M.P."/>
    <s v="RM 359"/>
    <s v="Purchase Withinstate - Raw Material"/>
    <s v="PIL1/D/1229"/>
    <d v="2026-07-30T00:00:00"/>
    <s v="SF"/>
    <s v="PP/PE Fabric"/>
    <s v="PP UL Fabric"/>
    <s v="PP WOVEN FABRIC"/>
    <s v="PP UL Fabric With UV"/>
    <n v="3321"/>
    <n v="496456.29"/>
    <s v="PP UL Fabric With UV"/>
    <n v="0"/>
    <n v="9"/>
    <n v="44681.07"/>
    <n v="9"/>
    <n v="44681.07"/>
    <n v="0"/>
    <n v="0"/>
    <n v="0"/>
    <n v="89362.14"/>
    <n v="0"/>
    <s v="24AAACO3087C1ZT"/>
    <s v="Kgs"/>
    <n v="39269080"/>
    <s v="Rs."/>
    <n v="1"/>
    <n v="3321"/>
    <s v="India"/>
    <x v="1"/>
  </r>
  <r>
    <d v="2026-07-31T00:00:00"/>
    <s v="Plastene India ltd - Unit 1-Purchase"/>
    <s v="R.M.P."/>
    <s v="RM 359"/>
    <s v="Purchase Withinstate - Raw Material"/>
    <s v="PIL1/D/1229"/>
    <d v="2026-07-30T00:00:00"/>
    <s v="SF"/>
    <s v="PP/PE Fabric"/>
    <s v="PP UL Fabric"/>
    <s v="PP WOVEN FABRIC"/>
    <s v="PP UL Fabric With UV"/>
    <n v="64"/>
    <n v="9439.36"/>
    <s v="PP UL Fabric With UV"/>
    <n v="0"/>
    <n v="9"/>
    <n v="849.54"/>
    <n v="9"/>
    <n v="849.54"/>
    <n v="0"/>
    <n v="0"/>
    <n v="0"/>
    <n v="1699.08"/>
    <n v="0"/>
    <s v="24AAACO3087C1ZT"/>
    <s v="Kgs"/>
    <n v="39269080"/>
    <s v="Rs."/>
    <n v="1"/>
    <n v="64"/>
    <s v="India"/>
    <x v="1"/>
  </r>
  <r>
    <d v="2026-07-31T00:00:00"/>
    <s v="Plastene India ltd - Unit 1-Purchase"/>
    <s v="R.M.P."/>
    <s v="RM 359"/>
    <s v="Purchase Withinstate - Raw Material"/>
    <s v="PIL1/D/1229"/>
    <d v="2026-07-30T00:00:00"/>
    <s v="SF"/>
    <s v="PP/PE Fabric"/>
    <s v="PP UL Fabric"/>
    <s v="PP WOVEN FABRIC"/>
    <s v="PP UL Fabric With UV"/>
    <n v="1381"/>
    <n v="199540.69"/>
    <s v="PP UL Fabric With UV"/>
    <n v="0"/>
    <n v="9"/>
    <n v="17958.66"/>
    <n v="9"/>
    <n v="17958.66"/>
    <n v="0"/>
    <n v="0"/>
    <n v="0"/>
    <n v="35917.32"/>
    <n v="0"/>
    <s v="24AAACO3087C1ZT"/>
    <s v="Kgs"/>
    <n v="39269080"/>
    <s v="Rs."/>
    <n v="1"/>
    <n v="1381"/>
    <s v="India"/>
    <x v="1"/>
  </r>
  <r>
    <d v="2026-07-31T00:00:00"/>
    <s v="Plastene India ltd - Unit 1-Purchase"/>
    <s v="R.M.P."/>
    <s v="RM 359"/>
    <s v="Purchase Withinstate - Raw Material"/>
    <s v="PIL1/D/1229"/>
    <d v="2026-07-30T00:00:00"/>
    <s v="SF"/>
    <s v="Yarn All"/>
    <s v="PP Yarn"/>
    <s v="PP MF Yarn"/>
    <s v="PP MF Yarn Twisted 1000 UV NW"/>
    <n v="1978.3"/>
    <n v="309584.16700000002"/>
    <s v="PP MF Yarn Twisted 1000 UV NW"/>
    <n v="0"/>
    <n v="2.5"/>
    <n v="7739.6"/>
    <n v="2.5"/>
    <n v="7739.6"/>
    <n v="0"/>
    <n v="0"/>
    <n v="0"/>
    <n v="15479.2"/>
    <n v="0"/>
    <s v="24AAACO3087C1ZT"/>
    <s v="Kgs"/>
    <n v="54026930"/>
    <s v="Rs."/>
    <n v="1"/>
    <n v="1978.3"/>
    <s v="India"/>
    <x v="3"/>
  </r>
  <r>
    <d v="2026-07-31T00:00:00"/>
    <s v="Plastene India ltd - Unit 1-Purchase"/>
    <s v="R.M.P."/>
    <s v="RM 359"/>
    <s v="Purchase Withinstate - Raw Material"/>
    <s v="PIL1/D/1229"/>
    <d v="2026-07-30T00:00:00"/>
    <s v="SF"/>
    <s v="Yarn All"/>
    <s v="PP Yarn"/>
    <s v="PP MF Yarn"/>
    <s v="PP MF Yarn Twisted 2500 Denier UV NW"/>
    <n v="1299.8"/>
    <n v="207305.10200000001"/>
    <s v="PP MF Yarn Twisted 2500 Denier UV NW"/>
    <n v="0"/>
    <n v="2.5"/>
    <n v="5182.63"/>
    <n v="2.5"/>
    <n v="5182.63"/>
    <n v="0"/>
    <n v="0"/>
    <n v="0"/>
    <n v="10365.26"/>
    <n v="0"/>
    <s v="24AAACO3087C1ZT"/>
    <s v="Kgs"/>
    <n v="54026300"/>
    <s v="Rs."/>
    <n v="1"/>
    <n v="1299.8"/>
    <s v="India"/>
    <x v="3"/>
  </r>
  <r>
    <d v="2026-07-31T00:00:00"/>
    <s v="Plastene India ltd - Unit 2-Purchase"/>
    <s v="Purchase"/>
    <s v="GNPK 174"/>
    <s v="Purchase Withinstate- Packing Material"/>
    <s v="PIL2/D/424"/>
    <d v="2026-07-30T00:00:00"/>
    <s v="Stores/Spares"/>
    <s v="MS Structure Items"/>
    <s v="Packing Materials"/>
    <s v="Packing Materials"/>
    <s v="MS Pipe"/>
    <n v="193"/>
    <n v="9264"/>
    <s v="MS Pipe"/>
    <n v="10922.26"/>
    <n v="9"/>
    <n v="833.76"/>
    <n v="9"/>
    <n v="833.76"/>
    <n v="0"/>
    <n v="0"/>
    <n v="0"/>
    <n v="1667.52"/>
    <n v="0"/>
    <s v="24AAACO3087C1ZT"/>
    <s v="Kgs"/>
    <n v="7306309"/>
    <s v="Rs."/>
    <n v="1"/>
    <n v="0"/>
    <s v="India"/>
    <x v="0"/>
  </r>
  <r>
    <d v="2026-07-31T00:00:00"/>
    <s v="Plastene India ltd - Unit 2-Purchase"/>
    <s v="R.M.P."/>
    <s v="RM 354"/>
    <s v="Purchase Withinstate - Raw Material"/>
    <s v="PIL2/D/423"/>
    <d v="2026-07-30T00:00:00"/>
    <s v="SF"/>
    <s v="PP/PE Fabric"/>
    <s v="PP UL Fabric"/>
    <s v="PP WOVEN FABRIC"/>
    <s v="PP UL Fabric With UV"/>
    <n v="4987"/>
    <n v="612603.07999999996"/>
    <s v="PP UL Fabric With UV"/>
    <n v="896033.35"/>
    <n v="9"/>
    <n v="55134.28"/>
    <n v="9"/>
    <n v="55134.28"/>
    <n v="0"/>
    <n v="0"/>
    <n v="0"/>
    <n v="110268.56"/>
    <n v="0"/>
    <s v="24AAACO3087C1ZT"/>
    <s v="Kgs"/>
    <n v="39269080"/>
    <s v="Rs."/>
    <n v="1"/>
    <n v="4987"/>
    <s v="India"/>
    <x v="1"/>
  </r>
  <r>
    <d v="2026-07-31T00:00:00"/>
    <s v="Plastene India ltd - Unit 2-Purchase"/>
    <s v="R.M.P."/>
    <s v="RM 354"/>
    <s v="Purchase Withinstate - Raw Material"/>
    <s v="PIL2/D/423"/>
    <d v="2026-07-30T00:00:00"/>
    <s v="SF"/>
    <s v="Webbing"/>
    <s v="PP Webbing"/>
    <s v="PP WEBBING"/>
    <s v="Webbing MF"/>
    <n v="716.4"/>
    <n v="106628.976"/>
    <s v="Webbing MF"/>
    <n v="0"/>
    <n v="9"/>
    <n v="9596.61"/>
    <n v="9"/>
    <n v="9596.61"/>
    <n v="0"/>
    <n v="0"/>
    <n v="0"/>
    <n v="19193.22"/>
    <n v="0"/>
    <s v="24AAACO3087C1ZT"/>
    <s v="Kgs"/>
    <n v="39269080"/>
    <s v="Rs."/>
    <n v="1"/>
    <n v="716.4"/>
    <s v="India"/>
    <x v="6"/>
  </r>
  <r>
    <d v="2026-07-31T00:00:00"/>
    <s v="Plastene India ltd - Unit 2-Purchase"/>
    <s v="R.M.P."/>
    <s v="RM 354"/>
    <s v="Purchase Withinstate - Raw Material"/>
    <s v="PIL2/D/423"/>
    <d v="2026-07-30T00:00:00"/>
    <s v="SF"/>
    <s v="Webbing"/>
    <s v="PP Webbing"/>
    <s v="PP WEBBING"/>
    <s v="Webbing MF"/>
    <n v="279.5"/>
    <n v="40762.28"/>
    <s v="Webbing MF"/>
    <n v="0"/>
    <n v="9"/>
    <n v="3668.61"/>
    <n v="9"/>
    <n v="3668.61"/>
    <n v="0"/>
    <n v="0"/>
    <n v="0"/>
    <n v="7337.22"/>
    <n v="0"/>
    <s v="24AAACO3087C1ZT"/>
    <s v="Kgs"/>
    <n v="39269080"/>
    <s v="Rs."/>
    <n v="1"/>
    <n v="279.5"/>
    <s v="India"/>
    <x v="6"/>
  </r>
  <r>
    <d v="2026-07-31T00:00:00"/>
    <s v="Shree Ganesh Stereo"/>
    <s v="General Purchase"/>
    <s v="GNCN 256"/>
    <s v="Purchase Withinstate- Stores, Spares &amp; Consumable"/>
    <n v="1631"/>
    <d v="2026-07-27T00:00:00"/>
    <s v="Consumables"/>
    <s v="Rubber/Polymer Stereo"/>
    <s v="Stores &amp; Spares"/>
    <s v="Consumables"/>
    <s v="Rubber Stereo"/>
    <n v="1"/>
    <n v="539"/>
    <s v="Rubber Stereo"/>
    <n v="636"/>
    <n v="9"/>
    <n v="48.51"/>
    <n v="9"/>
    <n v="48.51"/>
    <n v="0"/>
    <n v="0"/>
    <n v="0"/>
    <n v="97.02"/>
    <n v="0"/>
    <s v="24AHDPC2510M1ZU"/>
    <s v="Pcs"/>
    <n v="400200"/>
    <s v="Rs."/>
    <n v="1"/>
    <n v="0"/>
    <s v="India"/>
    <x v="0"/>
  </r>
  <r>
    <d v="2026-07-31T00:00:00"/>
    <s v="Shree Ganesh Stereo"/>
    <s v="General Purchase"/>
    <s v="GNCN 258"/>
    <s v="Purchase Withinstate- Stores, Spares &amp; Consumable"/>
    <n v="1602"/>
    <d v="2026-07-27T00:00:00"/>
    <s v="Consumables"/>
    <s v="Rubber/Polymer Stereo"/>
    <s v="Stores &amp; Spares"/>
    <s v="stores &amp;  spares"/>
    <s v="Rubber Stereo"/>
    <n v="1"/>
    <n v="1933.75"/>
    <s v="Rubber Stereo"/>
    <n v="2282"/>
    <n v="9"/>
    <n v="174.04"/>
    <n v="9"/>
    <n v="174.04"/>
    <n v="0"/>
    <n v="0"/>
    <n v="0"/>
    <n v="348.08"/>
    <n v="0"/>
    <s v="24AHDPC2510M1ZU"/>
    <s v="Pcs"/>
    <n v="400200"/>
    <s v="Rs."/>
    <n v="1"/>
    <n v="0"/>
    <s v="India"/>
    <x v="0"/>
  </r>
  <r>
    <d v="2026-07-31T00:00:00"/>
    <s v="Shree Ganesh Stereo"/>
    <s v="General Purchase"/>
    <s v="GNCN 259"/>
    <s v="Purchase Withinstate- Stores, Spares &amp; Consumable"/>
    <n v="1625"/>
    <d v="2026-07-25T00:00:00"/>
    <s v="Consumables"/>
    <s v="Rubber/Polymer Stereo"/>
    <s v="Stores &amp; Spares"/>
    <s v="Consumables"/>
    <s v="Rubber Stereo"/>
    <n v="1"/>
    <n v="766.5"/>
    <s v="Rubber Stereo"/>
    <n v="2443"/>
    <n v="9"/>
    <n v="68.98"/>
    <n v="9"/>
    <n v="68.98"/>
    <n v="0"/>
    <n v="0"/>
    <n v="0"/>
    <n v="137.96"/>
    <n v="0"/>
    <s v="24AHDPC2510M1ZU"/>
    <s v="Pcs"/>
    <n v="400200"/>
    <s v="Rs."/>
    <n v="1"/>
    <n v="0"/>
    <s v="India"/>
    <x v="0"/>
  </r>
  <r>
    <d v="2026-07-31T00:00:00"/>
    <s v="Shree Ganesh Stereo"/>
    <s v="General Purchase"/>
    <s v="GNCN 259"/>
    <s v="Purchase Withinstate- Stores, Spares &amp; Consumable"/>
    <n v="1625"/>
    <d v="2026-07-25T00:00:00"/>
    <s v="Consumables"/>
    <s v="Rubber/Polymer Stereo"/>
    <s v="Stores &amp; Spares"/>
    <s v="Consumables"/>
    <s v="Rubber Stereo"/>
    <n v="1"/>
    <n v="319.2"/>
    <s v="Rubber Stereo"/>
    <n v="0"/>
    <n v="9"/>
    <n v="28.73"/>
    <n v="9"/>
    <n v="28.73"/>
    <n v="0"/>
    <n v="0"/>
    <n v="0"/>
    <n v="57.46"/>
    <n v="0"/>
    <s v="24AHDPC2510M1ZU"/>
    <s v="Pcs"/>
    <n v="400200"/>
    <s v="Rs."/>
    <n v="1"/>
    <n v="0"/>
    <s v="India"/>
    <x v="0"/>
  </r>
  <r>
    <d v="2026-07-31T00:00:00"/>
    <s v="Shree Ganesh Stereo"/>
    <s v="General Purchase"/>
    <s v="GNCN 259"/>
    <s v="Purchase Withinstate- Stores, Spares &amp; Consumable"/>
    <n v="1625"/>
    <d v="2026-07-25T00:00:00"/>
    <s v="Consumables"/>
    <s v="Rubber/Polymer Stereo"/>
    <s v="Stores &amp; Spares"/>
    <s v="Consumables"/>
    <s v="Rubber Stereo"/>
    <n v="1"/>
    <n v="984.2"/>
    <s v="Rubber Stereo"/>
    <n v="0"/>
    <n v="9"/>
    <n v="88.58"/>
    <n v="9"/>
    <n v="88.58"/>
    <n v="0"/>
    <n v="0"/>
    <n v="0"/>
    <n v="177.16"/>
    <n v="0"/>
    <s v="24AHDPC2510M1ZU"/>
    <s v="Pcs"/>
    <n v="400200"/>
    <s v="Rs."/>
    <n v="1"/>
    <n v="0"/>
    <s v="India"/>
    <x v="0"/>
  </r>
  <r>
    <d v="2026-07-31T00:00:00"/>
    <s v="Yen Traders"/>
    <s v="General Purchase"/>
    <s v="GNSP 463"/>
    <s v="Purchase Withinstate- Stores, Spares &amp; Consumable"/>
    <s v="T-0315"/>
    <d v="2026-07-28T00:00:00"/>
    <s v="Stores/Spares"/>
    <s v="Hardware Items"/>
    <s v="Stores &amp; Spares"/>
    <s v="stores &amp;  spares"/>
    <s v="Drill Bit Hss Size :- 16 mm"/>
    <n v="3"/>
    <n v="3030"/>
    <s v="Drill Bit Hss Size :- 16 mm"/>
    <n v="3575"/>
    <n v="9"/>
    <n v="272.7"/>
    <n v="9"/>
    <n v="272.7"/>
    <n v="0"/>
    <n v="0"/>
    <n v="0"/>
    <n v="545.4"/>
    <n v="0"/>
    <s v="24AVIPP3294L1Z2"/>
    <s v="Pcs"/>
    <n v="82078090"/>
    <s v="Rs."/>
    <n v="1"/>
    <n v="0"/>
    <s v="India"/>
    <x v="0"/>
  </r>
  <r>
    <m/>
    <m/>
    <m/>
    <m/>
    <m/>
    <m/>
    <m/>
    <m/>
    <m/>
    <m/>
    <m/>
    <m/>
    <n v="1848099.62"/>
    <n v="198365253.87"/>
    <m/>
    <n v="216648796.53999999"/>
    <m/>
    <n v="8955452.9199999999"/>
    <m/>
    <n v="8955452.9199999999"/>
    <m/>
    <n v="460186.48"/>
    <n v="5816.93"/>
    <n v="18376909.260000002"/>
    <n v="0"/>
    <m/>
    <m/>
    <m/>
    <m/>
    <m/>
    <m/>
    <m/>
    <x v="18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3">
  <r>
    <d v="2026-07-01T00:00:00"/>
    <s v="Plastene India ltd - Unit 1-Sales"/>
    <s v="Sales"/>
    <n v="380"/>
    <s v="Sales - Within State  Manufactured Goods"/>
    <s v="KPV/D/380"/>
    <d v="2026-07-01T00:00:00"/>
    <s v="SF"/>
    <s v="Yarn All"/>
    <s v="PP Yarn"/>
    <s v="PP Tape"/>
    <s v="PP Fibrillated Tape Twisted 3200 MW"/>
    <n v="1210"/>
    <n v="182891.5"/>
    <s v="MW"/>
    <n v="215629.09"/>
    <n v="9"/>
    <n v="16460.240000000002"/>
    <n v="9"/>
    <n v="16460.240000000002"/>
    <n v="0"/>
    <n v="0"/>
    <n v="0"/>
    <n v="32920.480000000003"/>
    <n v="0"/>
    <s v="24AAACO3087C1ZT"/>
    <s v="KGS"/>
    <n v="39199090"/>
    <s v="Rs."/>
    <n v="1"/>
    <n v="1210"/>
    <s v="India"/>
    <x v="0"/>
  </r>
  <r>
    <d v="2026-07-01T00:00:00"/>
    <s v="Plastene India ltd - Unit 1-Sales"/>
    <s v="Sales"/>
    <n v="382"/>
    <s v="Sales - Within State  Manufactured Goods"/>
    <s v="KPV/D/382"/>
    <d v="2026-07-01T00:00:00"/>
    <s v="FG"/>
    <s v="FIBC Bags"/>
    <s v="FIBC Bags"/>
    <s v="PP WOVEN BIG BAGS / SACKS"/>
    <s v="FIBC Bags With UV With Liner"/>
    <n v="1241"/>
    <n v="411019.2"/>
    <s v="26.19378/67004952-UN"/>
    <n v="1588073.07"/>
    <n v="9"/>
    <n v="36991.730000000003"/>
    <n v="9"/>
    <n v="36991.730000000003"/>
    <n v="0"/>
    <n v="0"/>
    <n v="0"/>
    <n v="73983.460000000006"/>
    <n v="0"/>
    <s v="24AAACO3087C1ZT"/>
    <s v="KGS"/>
    <n v="63053200"/>
    <s v="Rs."/>
    <n v="1"/>
    <n v="1241"/>
    <s v="India"/>
    <x v="1"/>
  </r>
  <r>
    <d v="2026-07-01T00:00:00"/>
    <s v="Plastene India ltd - Unit 1-Sales"/>
    <s v="Sales"/>
    <n v="382"/>
    <s v="Sales - Within State  Manufactured Goods"/>
    <s v="KPV/D/382"/>
    <d v="2026-07-01T00:00:00"/>
    <s v="FG"/>
    <s v="FIBC Bags"/>
    <s v="FIBC Bags"/>
    <s v="PP WOVEN BIG BAGS / SACKS"/>
    <s v="FIBC Bags With UV Without Liner"/>
    <n v="2700.6"/>
    <n v="935946.94"/>
    <s v="26/80122/26131/15.1657-18"/>
    <n v="0"/>
    <n v="9"/>
    <n v="84235.22"/>
    <n v="9"/>
    <n v="84235.22"/>
    <n v="0"/>
    <n v="0"/>
    <n v="0"/>
    <n v="168470.44"/>
    <n v="0"/>
    <s v="24AAACO3087C1ZT"/>
    <s v="KGS"/>
    <n v="63053200"/>
    <s v="Rs."/>
    <n v="1"/>
    <n v="2700.6"/>
    <s v="India"/>
    <x v="1"/>
  </r>
  <r>
    <d v="2026-07-01T00:00:00"/>
    <s v="Plastene India ltd - Unit 1-Sales"/>
    <s v="Sales"/>
    <n v="383"/>
    <s v="Sales - Within State  Manufactured Goods"/>
    <s v="KPV/D/383"/>
    <d v="2026-07-01T00:00:00"/>
    <s v="FG"/>
    <s v="FIBC Bags"/>
    <s v="FIBC Bags"/>
    <s v="PP WOVEN BIG BAGS / SACKS"/>
    <s v="FIBC Bags With UV Without Liner"/>
    <n v="410"/>
    <n v="98748.5"/>
    <s v="PIR-260149/4IBC-085-O010"/>
    <n v="116424.47"/>
    <n v="9"/>
    <n v="8887.36"/>
    <n v="9"/>
    <n v="8887.36"/>
    <n v="0"/>
    <n v="0"/>
    <n v="0"/>
    <n v="17774.72"/>
    <n v="0"/>
    <s v="24AAACO3087C1ZT"/>
    <s v="KGS"/>
    <n v="63053200"/>
    <s v="Rs."/>
    <n v="1"/>
    <n v="410"/>
    <s v="India"/>
    <x v="1"/>
  </r>
  <r>
    <d v="2026-07-01T00:00:00"/>
    <s v="Rudra Trading Co."/>
    <s v="Sales"/>
    <n v="381"/>
    <s v="Sales - Interstate - Manufactured Goods"/>
    <s v="KPV/D/381"/>
    <d v="2026-07-01T00:00:00"/>
    <s v="SF"/>
    <s v="RP Granules"/>
    <s v="RP Granules"/>
    <s v="PP Granuals"/>
    <s v="RP Granules"/>
    <n v="19000"/>
    <n v="1280600"/>
    <s v="RP Granules GRAY"/>
    <n v="1509827.4"/>
    <n v="0"/>
    <n v="0"/>
    <n v="0"/>
    <n v="0"/>
    <n v="18"/>
    <n v="230508"/>
    <n v="0"/>
    <n v="230508"/>
    <n v="0"/>
    <s v="27BCGPD5673M1Z7"/>
    <s v="KGS"/>
    <n v="39029000"/>
    <s v="Rs."/>
    <n v="1"/>
    <n v="19000"/>
    <s v="India"/>
    <x v="2"/>
  </r>
  <r>
    <d v="2026-07-01T00:00:00"/>
    <s v="Yuan Da Plastic Fabric Corporation"/>
    <s v="Export Sales"/>
    <s v="KPW/E/88/26-27"/>
    <s v="Sales - Direct Export - Mfg - U/R"/>
    <s v="KPW/E/88/26-27"/>
    <d v="2026-07-01T00:00:00"/>
    <s v="FG"/>
    <s v="FIBC Bags"/>
    <s v="FIBC Bags"/>
    <s v="PP WOVEN BIG BAGS / SACKS"/>
    <s v="FIBC Bags With UV Without Liner"/>
    <n v="19021.400000000001"/>
    <n v="4308595.2"/>
    <s v="PP WOVEN BIG BAG"/>
    <n v="4308595.2"/>
    <n v="0"/>
    <n v="0"/>
    <n v="0"/>
    <n v="0"/>
    <n v="18"/>
    <n v="775547.13600000006"/>
    <n v="0.17"/>
    <n v="775547.30599999998"/>
    <n v="0"/>
    <s v="N.A."/>
    <s v="KGS"/>
    <n v="63053200"/>
    <s v="$"/>
    <n v="93.6"/>
    <n v="19021.400000000001"/>
    <s v="USA"/>
    <x v="1"/>
  </r>
  <r>
    <d v="2026-07-02T00:00:00"/>
    <s v="Conrop S.R.O."/>
    <s v="Export Sales"/>
    <s v="KPW/E/89/26-27"/>
    <s v="Sales - Direct Export - Mfg - U/R"/>
    <s v="KPW/E/89/26-27"/>
    <d v="2026-07-02T00:00:00"/>
    <s v="SF"/>
    <s v="PP/PE Fabric"/>
    <s v="PP UL Fabric"/>
    <s v="PP WOVEN FABRIC"/>
    <s v="PP UL Fabric With UV"/>
    <n v="20346.2"/>
    <n v="3798377.2140000002"/>
    <s v="P WOVEN FABRIC"/>
    <n v="4098074.57"/>
    <n v="0"/>
    <n v="0"/>
    <n v="0"/>
    <n v="0"/>
    <n v="18"/>
    <n v="683707.91989999998"/>
    <n v="53576.66"/>
    <n v="737284.57990000001"/>
    <n v="0"/>
    <s v="N.A."/>
    <s v="KGS"/>
    <n v="39269080"/>
    <s v="€"/>
    <n v="106.9"/>
    <n v="20346.2"/>
    <s v="Czech Republic"/>
    <x v="3"/>
  </r>
  <r>
    <d v="2026-07-02T00:00:00"/>
    <s v="HCP Plastene Bulkpack Limited - Sales"/>
    <s v="Sales"/>
    <n v="385"/>
    <s v="Sales - Within State - Traded Goods"/>
    <s v="KPV/D/385"/>
    <d v="2026-07-02T00:00:00"/>
    <s v="Consumables"/>
    <s v="Oil &amp; Greases"/>
    <s v="Stores &amp; Spares"/>
    <s v="Consumables"/>
    <s v="White Oil:- 12 No"/>
    <n v="420"/>
    <n v="54600"/>
    <s v="White Oil:- 12 No"/>
    <n v="64373.4"/>
    <n v="9"/>
    <n v="4914"/>
    <n v="9"/>
    <n v="4914"/>
    <n v="0"/>
    <n v="0"/>
    <n v="0"/>
    <n v="9828"/>
    <n v="0"/>
    <s v="24AABCG1282C2Z6"/>
    <s v="KGS"/>
    <n v="271019"/>
    <s v="Rs."/>
    <n v="1"/>
    <n v="420"/>
    <s v="India"/>
    <x v="4"/>
  </r>
  <r>
    <d v="2026-07-02T00:00:00"/>
    <s v="HCP Plastene Bulkpack Limited - Sales"/>
    <s v="Job Invoice"/>
    <s v="KPV/D/388"/>
    <s v="Job Work Income"/>
    <s v="KPV/D/388"/>
    <d v="2026-07-02T00:00:00"/>
    <s v="FG"/>
    <s v="FIBC Bags"/>
    <s v="FIBC Bags"/>
    <s v="PP WOVEN BIG BAGS / SACKS"/>
    <s v="FIBC Bags With UV Without Liner"/>
    <n v="2377.3000000000002"/>
    <n v="461695.43300000002"/>
    <s v="26.19398/BH-C573EXP-1 (PP BIG BAGS)"/>
    <n v="4585006.13"/>
    <n v="9"/>
    <n v="41552.589999999997"/>
    <n v="9"/>
    <n v="41552.589999999997"/>
    <n v="0"/>
    <n v="0"/>
    <n v="0"/>
    <n v="83105.179999999993"/>
    <n v="0"/>
    <s v="24AABCG1282C2Z6"/>
    <s v="KGS"/>
    <n v="998852"/>
    <s v="Rs."/>
    <n v="1"/>
    <n v="2377.3000000000002"/>
    <s v="India"/>
    <x v="1"/>
  </r>
  <r>
    <d v="2026-07-02T00:00:00"/>
    <s v="HCP Plastene Bulkpack Limited - Sales"/>
    <s v="Job Invoice"/>
    <s v="KPV/D/388"/>
    <s v="Job Work Income"/>
    <s v="KPV/D/388"/>
    <d v="2026-07-02T00:00:00"/>
    <s v="FG"/>
    <s v="FIBC Bags"/>
    <s v="FIBC Bags"/>
    <s v="PP WOVEN BIG BAGS / SACKS"/>
    <s v="FIBC Bags With UV Without Liner"/>
    <n v="5064"/>
    <n v="1004191.2"/>
    <s v="26.19397/BH-C573H (PP BIG BAGS)"/>
    <n v="0"/>
    <n v="9"/>
    <n v="90377.21"/>
    <n v="9"/>
    <n v="90377.21"/>
    <n v="0"/>
    <n v="0"/>
    <n v="0"/>
    <n v="180754.42"/>
    <n v="0"/>
    <s v="24AABCG1282C2Z6"/>
    <s v="KGS"/>
    <n v="998852"/>
    <s v="Rs."/>
    <n v="1"/>
    <n v="5064"/>
    <s v="India"/>
    <x v="1"/>
  </r>
  <r>
    <d v="2026-07-02T00:00:00"/>
    <s v="HCP Plastene Bulkpack Limited - Sales"/>
    <s v="Job Invoice"/>
    <s v="KPV/D/388"/>
    <s v="Job Work Income"/>
    <s v="KPV/D/388"/>
    <d v="2026-07-02T00:00:00"/>
    <s v="FG"/>
    <s v="FIBC Bags"/>
    <s v="FIBC Bags"/>
    <s v="PP WOVEN BIG BAGS / SACKS"/>
    <s v="FIBC Bags With UV Without Liner"/>
    <n v="10334.299999999999"/>
    <n v="2004027.456"/>
    <s v="26.19399/BH-C573SL (PP BIG BAGS)"/>
    <n v="0"/>
    <n v="9"/>
    <n v="180362.47"/>
    <n v="9"/>
    <n v="180362.47"/>
    <n v="0"/>
    <n v="0"/>
    <n v="0"/>
    <n v="360724.94"/>
    <n v="0"/>
    <s v="24AABCG1282C2Z6"/>
    <s v="KGS"/>
    <n v="998852"/>
    <s v="Rs."/>
    <n v="1"/>
    <n v="10334.299999999999"/>
    <s v="India"/>
    <x v="1"/>
  </r>
  <r>
    <d v="2026-07-02T00:00:00"/>
    <s v="HCP Plastene Bulkpack Limited - Sales"/>
    <s v="Job Invoice"/>
    <s v="KPV/D/388"/>
    <s v="Job Work Income"/>
    <s v="KPV/D/388"/>
    <d v="2026-07-02T00:00:00"/>
    <s v="FG"/>
    <s v="FIBC Bags"/>
    <s v="FIBC Bags"/>
    <s v="PP WOVEN BIG BAGS / SACKS"/>
    <s v="FIBC Bags With UV Without Liner"/>
    <n v="835.2"/>
    <n v="165620.16"/>
    <s v="26.19397/BH-C573H (PP BIG BAGS)"/>
    <n v="0"/>
    <n v="9"/>
    <n v="14905.81"/>
    <n v="9"/>
    <n v="14905.81"/>
    <n v="0"/>
    <n v="0"/>
    <n v="0"/>
    <n v="29811.62"/>
    <n v="0"/>
    <s v="24AABCG1282C2Z6"/>
    <s v="KGS"/>
    <n v="998852"/>
    <s v="Rs."/>
    <n v="1"/>
    <n v="835.2"/>
    <s v="India"/>
    <x v="1"/>
  </r>
  <r>
    <d v="2026-07-02T00:00:00"/>
    <s v="HCP Plastene Bulkpack Limited - Sales"/>
    <s v="Job Invoice"/>
    <s v="KPV/D/388"/>
    <s v="Job Work Income"/>
    <s v="KPV/D/388"/>
    <d v="2026-07-02T00:00:00"/>
    <s v="FG"/>
    <s v="FIBC Bags"/>
    <s v="FIBC Bags"/>
    <s v="PP WOVEN BIG BAGS / SACKS"/>
    <s v="FIBC Bags With UV Without Liner"/>
    <n v="421.2"/>
    <n v="82765.8"/>
    <s v="26.19396/BH-C573FL (PP BIG BAGS)"/>
    <n v="0"/>
    <n v="9"/>
    <n v="7448.92"/>
    <n v="9"/>
    <n v="7448.92"/>
    <n v="0"/>
    <n v="0"/>
    <n v="0"/>
    <n v="14897.84"/>
    <n v="0"/>
    <s v="24AABCG1282C2Z6"/>
    <s v="KGS"/>
    <n v="998852"/>
    <s v="Rs."/>
    <n v="1"/>
    <n v="421.2"/>
    <s v="India"/>
    <x v="1"/>
  </r>
  <r>
    <d v="2026-07-02T00:00:00"/>
    <s v="HCP Plastene Bulkpack Limited - Sales"/>
    <s v="Job Invoice"/>
    <s v="KPV/D/388"/>
    <s v="Job Work Income"/>
    <s v="KPV/D/388"/>
    <d v="2026-07-02T00:00:00"/>
    <s v="FG"/>
    <s v="FIBC Bags"/>
    <s v="FIBC Bags"/>
    <s v="PP WOVEN BIG BAGS / SACKS"/>
    <s v="FIBC Bags With UV Without Liner"/>
    <n v="1181.5"/>
    <n v="234291.45"/>
    <s v="26.19397/BH-C573H (PP BIG BAGS)"/>
    <n v="0"/>
    <n v="9"/>
    <n v="21086.23"/>
    <n v="9"/>
    <n v="21086.23"/>
    <n v="0"/>
    <n v="0"/>
    <n v="0"/>
    <n v="42172.46"/>
    <n v="0"/>
    <s v="24AABCG1282C2Z6"/>
    <s v="KGS"/>
    <n v="998852"/>
    <s v="Rs."/>
    <n v="1"/>
    <n v="1181.5"/>
    <s v="India"/>
    <x v="1"/>
  </r>
  <r>
    <d v="2026-07-02T00:00:00"/>
    <s v="Plastene India ltd - Unit 2-Sales"/>
    <s v="Sales"/>
    <n v="386"/>
    <s v="Sales - Within State  Manufactured Goods"/>
    <s v="KPV/D/386"/>
    <d v="2026-07-02T00:00:00"/>
    <s v="SF"/>
    <s v="Yarn All"/>
    <s v="PP Yarn"/>
    <s v="PP FABRILLATED YARN"/>
    <s v="PP Fibrillated Tape Twisted 3200 MW"/>
    <n v="800"/>
    <n v="123520"/>
    <s v="MW"/>
    <n v="1038954.56"/>
    <n v="2.5"/>
    <n v="3088"/>
    <n v="2.5"/>
    <n v="3088"/>
    <n v="0"/>
    <n v="0"/>
    <n v="0"/>
    <n v="6176"/>
    <n v="0"/>
    <s v="24AAACO3087C1ZT"/>
    <s v="KGS"/>
    <n v="54026930"/>
    <s v="Rs."/>
    <n v="1"/>
    <n v="800"/>
    <s v="India"/>
    <x v="0"/>
  </r>
  <r>
    <d v="2026-07-02T00:00:00"/>
    <s v="Plastene India ltd - Unit 2-Sales"/>
    <s v="Sales"/>
    <n v="386"/>
    <s v="Sales - Within State  Manufactured Goods"/>
    <s v="KPV/D/386"/>
    <d v="2026-07-02T00:00:00"/>
    <s v="SF"/>
    <s v="PP/PE Fabric"/>
    <s v="PP UL Fabric"/>
    <s v="PP WOVEN FABRIC"/>
    <s v="PP UL Fabric With UV"/>
    <n v="3493.4"/>
    <n v="574314.96"/>
    <s v="."/>
    <n v="0"/>
    <n v="9"/>
    <n v="51688.35"/>
    <n v="9"/>
    <n v="51688.35"/>
    <n v="0"/>
    <n v="0"/>
    <n v="0"/>
    <n v="103376.7"/>
    <n v="0"/>
    <s v="24AAACO3087C1ZT"/>
    <s v="KGS"/>
    <n v="39269080"/>
    <s v="Rs."/>
    <n v="1"/>
    <n v="3493.4"/>
    <s v="India"/>
    <x v="3"/>
  </r>
  <r>
    <d v="2026-07-02T00:00:00"/>
    <s v="Plastene India ltd - Unit 2-Sales"/>
    <s v="Sales"/>
    <n v="386"/>
    <s v="Sales - Within State  Manufactured Goods"/>
    <s v="KPV/D/386"/>
    <d v="2026-07-02T00:00:00"/>
    <s v="SF"/>
    <s v="PP/PE Fabric"/>
    <s v="PP UL Fabric"/>
    <s v="PP WOVEN FABRIC"/>
    <s v="PP UL Fabric With UV"/>
    <n v="1142.7"/>
    <n v="197001.48"/>
    <s v="VENT"/>
    <n v="0"/>
    <n v="9"/>
    <n v="17730.13"/>
    <n v="9"/>
    <n v="17730.13"/>
    <n v="0"/>
    <n v="0"/>
    <n v="0"/>
    <n v="35460.26"/>
    <n v="0"/>
    <s v="24AAACO3087C1ZT"/>
    <s v="KGS"/>
    <n v="39269080"/>
    <s v="Rs."/>
    <n v="1"/>
    <n v="1142.7"/>
    <s v="India"/>
    <x v="3"/>
  </r>
  <r>
    <d v="2026-07-02T00:00:00"/>
    <s v="Plastene India ltd - Unit 2-Sales"/>
    <s v="Sales"/>
    <n v="387"/>
    <s v="Sales - Within State - Traded Goods"/>
    <s v="KPV/D/387"/>
    <d v="2026-07-02T00:00:00"/>
    <s v="Stores/Spares"/>
    <s v="MS Structure Items"/>
    <s v="Capital Work in Progress"/>
    <s v="MS PIPE"/>
    <s v="MS Pipe"/>
    <n v="195"/>
    <n v="9360"/>
    <s v="."/>
    <n v="11035.44"/>
    <n v="9"/>
    <n v="842.4"/>
    <n v="9"/>
    <n v="842.4"/>
    <n v="0"/>
    <n v="0"/>
    <n v="0"/>
    <n v="1684.8"/>
    <n v="0"/>
    <s v="24AAACO3087C1ZT"/>
    <s v="KGS"/>
    <n v="73063090"/>
    <s v="Rs."/>
    <n v="1"/>
    <n v="195"/>
    <s v="India"/>
    <x v="4"/>
  </r>
  <r>
    <d v="2026-07-02T00:00:00"/>
    <s v="Umasree Texplast Pvt Ltd - Sales"/>
    <s v="Job Invoice"/>
    <s v="KPV/D/384"/>
    <s v="Job Work Income"/>
    <s v="KPV/D/384"/>
    <d v="2026-07-02T00:00:00"/>
    <s v="SF"/>
    <s v="PP/PE Fabric"/>
    <s v="PP UL Fabric"/>
    <s v="PP WOVEN FABRIC"/>
    <s v="PP UL Fabric With UV"/>
    <n v="652.79999999999995"/>
    <n v="31334.400000000001"/>
    <s v="PP UL Fabric Ventilated"/>
    <n v="36347.910000000003"/>
    <n v="9"/>
    <n v="2820.1"/>
    <n v="9"/>
    <n v="2820.1"/>
    <n v="0"/>
    <n v="0"/>
    <n v="0"/>
    <n v="5640.2"/>
    <n v="0"/>
    <s v="24AAACU6665Q1ZO"/>
    <s v="KGS"/>
    <n v="998852"/>
    <s v="Rs."/>
    <n v="1"/>
    <n v="652.79999999999995"/>
    <s v="India"/>
    <x v="3"/>
  </r>
  <r>
    <d v="2026-07-02T00:00:00"/>
    <s v="Umasree Texplast Pvt Ltd - Sales"/>
    <s v="Job Invoice"/>
    <s v="KPV/D/389"/>
    <s v="Job Work Income"/>
    <s v="KPV/D/389"/>
    <d v="2026-07-02T00:00:00"/>
    <s v="SF"/>
    <s v="PP/PE Fabric"/>
    <s v="PP UL Fabric"/>
    <s v="PP WOVEN FABRIC"/>
    <s v="PP UL Fabric With UV"/>
    <n v="1564"/>
    <n v="75072"/>
    <s v="PP UL Fabric Ventilated"/>
    <n v="87083.520000000004"/>
    <n v="9"/>
    <n v="6756.48"/>
    <n v="9"/>
    <n v="6756.48"/>
    <n v="0"/>
    <n v="0"/>
    <n v="0"/>
    <n v="13512.96"/>
    <n v="0"/>
    <s v="24AAACU6665Q1ZO"/>
    <s v="KGS"/>
    <n v="998852"/>
    <s v="Rs."/>
    <n v="1"/>
    <n v="1564"/>
    <s v="India"/>
    <x v="3"/>
  </r>
  <r>
    <d v="2026-07-03T00:00:00"/>
    <s v="HCP Plastene Bulkpack Limited - Sales"/>
    <s v="Sales"/>
    <n v="391"/>
    <s v="Sales - Within State  Manufactured Goods"/>
    <s v="KPV/D/391"/>
    <d v="2026-07-03T00:00:00"/>
    <s v="FG"/>
    <s v="FIBC Bags"/>
    <s v="FIBC Bags"/>
    <s v="PP WOVEN BIG BAGS / SACKS"/>
    <s v="FIBC Bags With UV Without Liner"/>
    <n v="7738.2"/>
    <n v="1752160.63"/>
    <s v="20-5658/4057-A"/>
    <n v="2065797.39"/>
    <n v="9"/>
    <n v="157694.46"/>
    <n v="9"/>
    <n v="157694.46"/>
    <n v="0"/>
    <n v="0"/>
    <n v="0"/>
    <n v="315388.92"/>
    <n v="0"/>
    <s v="24AABCG1282C2Z6"/>
    <s v="KGS"/>
    <n v="63053200"/>
    <s v="Rs."/>
    <n v="1"/>
    <n v="7738.2"/>
    <s v="India"/>
    <x v="1"/>
  </r>
  <r>
    <d v="2026-07-03T00:00:00"/>
    <s v="HCP Plastene Bulkpack Limited - Sales"/>
    <s v="Sales"/>
    <n v="394"/>
    <s v="Sales - Within State  Manufactured Goods"/>
    <s v="KPV/D/394"/>
    <d v="2026-07-03T00:00:00"/>
    <s v="SF"/>
    <s v="PP/PE Fabric"/>
    <s v="PP Lam Fabric"/>
    <s v="PP WOVEN FABRIC"/>
    <s v="PP Lam Fabric With UV"/>
    <n v="463"/>
    <n v="72760.45"/>
    <s v="FIBC Fabric Coated (Less Then 90+20 GSM)_x000d__x000a_"/>
    <n v="92369.76"/>
    <n v="9"/>
    <n v="6548.44"/>
    <n v="9"/>
    <n v="6548.44"/>
    <n v="0"/>
    <n v="0"/>
    <n v="0"/>
    <n v="13096.88"/>
    <n v="0"/>
    <s v="24AABCG1282C2Z6"/>
    <s v="KGS"/>
    <n v="39269080"/>
    <s v="Rs."/>
    <n v="1"/>
    <n v="463"/>
    <s v="India"/>
    <x v="5"/>
  </r>
  <r>
    <d v="2026-07-03T00:00:00"/>
    <s v="HCP Plastene Bulkpack Limited - Sales"/>
    <s v="Sales"/>
    <n v="394"/>
    <s v="Sales - Within State  Manufactured Goods"/>
    <s v="KPV/D/394"/>
    <d v="2026-07-03T00:00:00"/>
    <s v="SF"/>
    <s v="Webbing"/>
    <s v="PP Webbing"/>
    <s v="PP WEBBING"/>
    <s v="Webbing"/>
    <n v="36"/>
    <n v="5585.4"/>
    <s v="Webbing Tie MW"/>
    <n v="0"/>
    <n v="9"/>
    <n v="502.69"/>
    <n v="9"/>
    <n v="502.69"/>
    <n v="0"/>
    <n v="0"/>
    <n v="0"/>
    <n v="1005.38"/>
    <n v="0"/>
    <s v="24AABCG1282C2Z6"/>
    <s v="KGS"/>
    <n v="39269080"/>
    <s v="Rs."/>
    <n v="1"/>
    <n v="36"/>
    <s v="India"/>
    <x v="6"/>
  </r>
  <r>
    <d v="2026-07-03T00:00:00"/>
    <s v="HCP Plastene Bulkpack Limited - Sales"/>
    <s v="Sales"/>
    <n v="395"/>
    <s v="Sales - Within State - Traded Goods"/>
    <s v="KPV/D/395"/>
    <d v="2026-07-03T00:00:00"/>
    <s v="Stores/Spares"/>
    <s v="MS Structure Items"/>
    <s v="Capital Work in Progress"/>
    <s v="MS PIPE"/>
    <s v="MS Pipe"/>
    <n v="8"/>
    <n v="384"/>
    <s v="."/>
    <n v="452.74"/>
    <n v="9"/>
    <n v="34.56"/>
    <n v="9"/>
    <n v="34.56"/>
    <n v="0"/>
    <n v="0"/>
    <n v="0"/>
    <n v="69.12"/>
    <n v="0"/>
    <s v="24AABCG1282C2Z6"/>
    <s v="KGS"/>
    <n v="73063090"/>
    <s v="Rs."/>
    <n v="1"/>
    <n v="8"/>
    <s v="India"/>
    <x v="4"/>
  </r>
  <r>
    <d v="2026-07-03T00:00:00"/>
    <s v="HCP Plastene Bulkpack Limited - Sales"/>
    <s v="Sales"/>
    <n v="396"/>
    <s v="Sales - Within State  Manufactured Goods"/>
    <s v="KPV/D/396"/>
    <d v="2026-07-03T00:00:00"/>
    <s v="SF"/>
    <s v="Webbing"/>
    <s v="PP Webbing"/>
    <s v="PP WEBBING"/>
    <s v="Webbing"/>
    <n v="780"/>
    <n v="123357"/>
    <s v="Webbing BLUE / COLOR"/>
    <n v="483032.58"/>
    <n v="9"/>
    <n v="11102.13"/>
    <n v="9"/>
    <n v="11102.13"/>
    <n v="0"/>
    <n v="0"/>
    <n v="0"/>
    <n v="22204.26"/>
    <n v="0"/>
    <s v="24AABCG1282C2Z6"/>
    <s v="KGS"/>
    <n v="39269080"/>
    <s v="Rs."/>
    <n v="1"/>
    <n v="780"/>
    <s v="India"/>
    <x v="6"/>
  </r>
  <r>
    <d v="2026-07-03T00:00:00"/>
    <s v="HCP Plastene Bulkpack Limited - Sales"/>
    <s v="Sales"/>
    <n v="396"/>
    <s v="Sales - Within State  Manufactured Goods"/>
    <s v="KPV/D/396"/>
    <d v="2026-07-03T00:00:00"/>
    <s v="SF"/>
    <s v="Webbing"/>
    <s v="PP Webbing"/>
    <s v="PP WEBBING"/>
    <s v="Webbing"/>
    <n v="685"/>
    <n v="106277.75"/>
    <s v="Webbing MW"/>
    <n v="0"/>
    <n v="9"/>
    <n v="9565"/>
    <n v="9"/>
    <n v="9565"/>
    <n v="0"/>
    <n v="0"/>
    <n v="0"/>
    <n v="19130"/>
    <n v="0"/>
    <s v="24AABCG1282C2Z6"/>
    <s v="KGS"/>
    <n v="39269080"/>
    <s v="Rs."/>
    <n v="1"/>
    <n v="685"/>
    <s v="India"/>
    <x v="6"/>
  </r>
  <r>
    <d v="2026-07-03T00:00:00"/>
    <s v="HCP Plastene Bulkpack Limited - Sales"/>
    <s v="Sales"/>
    <n v="396"/>
    <s v="Sales - Within State  Manufactured Goods"/>
    <s v="KPV/D/396"/>
    <d v="2026-07-03T00:00:00"/>
    <s v="SF"/>
    <s v="PP/PE Fabric"/>
    <s v="PP UL Fabric"/>
    <s v="PP WOVEN FABRIC"/>
    <s v="PP UL Fabric With UV"/>
    <n v="836.3"/>
    <n v="153168.34"/>
    <s v="Sulzer Conductive Fabric_x000d__x000a_"/>
    <n v="0"/>
    <n v="9"/>
    <n v="13785.15"/>
    <n v="9"/>
    <n v="13785.15"/>
    <n v="0"/>
    <n v="0"/>
    <n v="0"/>
    <n v="27570.3"/>
    <n v="0"/>
    <s v="24AABCG1282C2Z6"/>
    <s v="KGS"/>
    <n v="39269080"/>
    <s v="Rs."/>
    <n v="1"/>
    <n v="836.3"/>
    <s v="India"/>
    <x v="3"/>
  </r>
  <r>
    <d v="2026-07-03T00:00:00"/>
    <s v="HCP Plastene Bulkpack Limited - Sales"/>
    <s v="Sales"/>
    <n v="396"/>
    <s v="Sales - Within State  Manufactured Goods"/>
    <s v="KPV/D/396"/>
    <d v="2026-07-03T00:00:00"/>
    <s v="SF"/>
    <s v="PP/PE Fabric"/>
    <s v="PP UL Fabric"/>
    <s v="PP WOVEN FABRIC"/>
    <s v="PP UL Fabric With UV"/>
    <n v="125"/>
    <n v="26893.75"/>
    <s v="Conductive Fabric-Spout (Coated/Uncoated) Till 90 GSM Total_x000d__x000a_"/>
    <n v="0"/>
    <n v="9"/>
    <n v="2420.44"/>
    <n v="9"/>
    <n v="2420.44"/>
    <n v="0"/>
    <n v="0"/>
    <n v="0"/>
    <n v="4840.88"/>
    <n v="0"/>
    <s v="24AABCG1282C2Z6"/>
    <s v="KGS"/>
    <n v="39269080"/>
    <s v="Rs."/>
    <n v="1"/>
    <n v="125"/>
    <s v="India"/>
    <x v="3"/>
  </r>
  <r>
    <d v="2026-07-03T00:00:00"/>
    <s v="HCP Plastene Bulkpack Limited - Sales"/>
    <s v="Sales"/>
    <n v="397"/>
    <s v="Sales - Within State - Traded Goods"/>
    <s v="KPV/D/397"/>
    <d v="2026-07-03T00:00:00"/>
    <s v="Stores/Spares"/>
    <s v="MS Structure Items"/>
    <s v="Capital Work in Progress"/>
    <s v="MS PIPE"/>
    <s v="MS Pipe"/>
    <n v="28"/>
    <n v="1344"/>
    <s v="."/>
    <n v="1584.58"/>
    <n v="9"/>
    <n v="120.96"/>
    <n v="9"/>
    <n v="120.96"/>
    <n v="0"/>
    <n v="0"/>
    <n v="0"/>
    <n v="241.92"/>
    <n v="0"/>
    <s v="24AABCG1282C2Z6"/>
    <s v="KGS"/>
    <n v="73063090"/>
    <s v="Rs."/>
    <n v="1"/>
    <n v="28"/>
    <s v="India"/>
    <x v="4"/>
  </r>
  <r>
    <d v="2026-07-03T00:00:00"/>
    <s v="HCP Plastene Bulkpack Limited - Sales"/>
    <s v="Job Invoice"/>
    <s v="KPV/D/390"/>
    <s v="Job Work Income"/>
    <s v="KPV/D/390"/>
    <d v="2026-07-03T00:00:00"/>
    <s v="FG"/>
    <s v="FIBC Bags"/>
    <s v="FIBC Bags"/>
    <s v="PP WOVEN BIG BAGS / SACKS"/>
    <s v="FIBC Bags With UV Without Liner"/>
    <n v="1342.6"/>
    <n v="299238.68800000002"/>
    <s v="PP WOVEN BIG BAG (26.19244/67291111-1)"/>
    <n v="5126424.53"/>
    <n v="9"/>
    <n v="26931.48"/>
    <n v="9"/>
    <n v="26931.48"/>
    <n v="0"/>
    <n v="0"/>
    <n v="0"/>
    <n v="53862.96"/>
    <n v="0"/>
    <s v="24AABCG1282C2Z6"/>
    <s v="KGS"/>
    <n v="998852"/>
    <s v="Rs."/>
    <n v="1"/>
    <n v="1342.6"/>
    <s v="India"/>
    <x v="1"/>
  </r>
  <r>
    <d v="2026-07-03T00:00:00"/>
    <s v="HCP Plastene Bulkpack Limited - Sales"/>
    <s v="Job Invoice"/>
    <s v="KPV/D/390"/>
    <s v="Job Work Income"/>
    <s v="KPV/D/390"/>
    <d v="2026-07-03T00:00:00"/>
    <s v="FG"/>
    <s v="FIBC Bags"/>
    <s v="FIBC Bags"/>
    <s v="PP WOVEN BIG BAGS / SACKS"/>
    <s v="FIBC Bags With UV Without Liner"/>
    <n v="18485.7"/>
    <n v="4120092.8160000001"/>
    <s v="PP WOVEN BIG BAG (26.19244/67291111-1)"/>
    <n v="0"/>
    <n v="9"/>
    <n v="370808.35"/>
    <n v="9"/>
    <n v="370808.35"/>
    <n v="0"/>
    <n v="0"/>
    <n v="0"/>
    <n v="741616.7"/>
    <n v="0"/>
    <s v="24AABCG1282C2Z6"/>
    <s v="KGS"/>
    <n v="998852"/>
    <s v="Rs."/>
    <n v="1"/>
    <n v="18485.7"/>
    <s v="India"/>
    <x v="1"/>
  </r>
  <r>
    <d v="2026-07-03T00:00:00"/>
    <s v="Plastene India ltd - Unit 1-Sales"/>
    <s v="Sales"/>
    <n v="393"/>
    <s v="Sales - Within State  Manufactured Goods"/>
    <s v="KPV/D/393"/>
    <d v="2026-07-03T00:00:00"/>
    <s v="SF"/>
    <s v="Yarn All"/>
    <s v="PP Yarn"/>
    <s v="PP Tape"/>
    <s v="PP Fibrillated Tape Twisted 3200 MW"/>
    <n v="1480"/>
    <n v="223702"/>
    <s v="MW"/>
    <n v="829327.65"/>
    <n v="9"/>
    <n v="20133.18"/>
    <n v="9"/>
    <n v="20133.18"/>
    <n v="0"/>
    <n v="0"/>
    <n v="0"/>
    <n v="40266.36"/>
    <n v="0"/>
    <s v="24AAACO3087C1ZT"/>
    <s v="KGS"/>
    <n v="39199090"/>
    <s v="Rs."/>
    <n v="1"/>
    <n v="1480"/>
    <s v="India"/>
    <x v="0"/>
  </r>
  <r>
    <d v="2026-07-03T00:00:00"/>
    <s v="Plastene India ltd - Unit 1-Sales"/>
    <s v="Sales"/>
    <n v="393"/>
    <s v="Sales - Within State  Manufactured Goods"/>
    <s v="KPV/D/393"/>
    <d v="2026-07-03T00:00:00"/>
    <s v="SF"/>
    <s v="PP/PE Fabric"/>
    <s v="PP UL Fabric"/>
    <s v="PP WOVEN FABRIC"/>
    <s v="PP UL Fabric With UV"/>
    <n v="2210.6"/>
    <n v="365080.59"/>
    <s v="PP UL Fabric FG"/>
    <n v="0"/>
    <n v="9"/>
    <n v="32857.25"/>
    <n v="9"/>
    <n v="32857.25"/>
    <n v="0"/>
    <n v="0"/>
    <n v="0"/>
    <n v="65714.5"/>
    <n v="0"/>
    <s v="24AAACO3087C1ZT"/>
    <s v="KGS"/>
    <n v="39269080"/>
    <s v="Rs."/>
    <n v="1"/>
    <n v="2210.6"/>
    <s v="India"/>
    <x v="3"/>
  </r>
  <r>
    <d v="2026-07-03T00:00:00"/>
    <s v="Plastene India ltd - Unit 1-Sales"/>
    <s v="Sales"/>
    <n v="393"/>
    <s v="Sales - Within State  Manufactured Goods"/>
    <s v="KPV/D/393"/>
    <d v="2026-07-03T00:00:00"/>
    <s v="SF"/>
    <s v="PP/PE Fabric"/>
    <s v="PP UL Fabric"/>
    <s v="PP WOVEN FABRIC"/>
    <s v="PP UL Fabric With UV"/>
    <n v="625.9"/>
    <n v="114633.58"/>
    <s v="Sulzer Conductive Fabric_x000d__x000a_"/>
    <n v="0"/>
    <n v="9"/>
    <n v="10317.02"/>
    <n v="9"/>
    <n v="10317.02"/>
    <n v="0"/>
    <n v="0"/>
    <n v="0"/>
    <n v="20634.04"/>
    <n v="0"/>
    <s v="24AAACO3087C1ZT"/>
    <s v="KGS"/>
    <n v="39269080"/>
    <s v="Rs."/>
    <n v="1"/>
    <n v="625.9"/>
    <s v="India"/>
    <x v="3"/>
  </r>
  <r>
    <d v="2026-07-03T00:00:00"/>
    <s v="Plastene India ltd - Unit 1-Sales"/>
    <s v="Sales"/>
    <n v="398"/>
    <s v="Sales - Within State  Manufactured Goods"/>
    <s v="KPV/D/398"/>
    <d v="2026-07-03T00:00:00"/>
    <s v="FG"/>
    <s v="FIBC Bags"/>
    <s v="FIBC Bags"/>
    <s v="PP WOVEN BIG BAGS / SACKS"/>
    <s v="FIBC Bags With UV With Liner"/>
    <n v="835"/>
    <n v="272953.15000000002"/>
    <s v="26.19378/67004952-UN"/>
    <n v="321811.76"/>
    <n v="9"/>
    <n v="24565.78"/>
    <n v="9"/>
    <n v="24565.78"/>
    <n v="0"/>
    <n v="0"/>
    <n v="0"/>
    <n v="49131.56"/>
    <n v="0"/>
    <s v="24AAACO3087C1ZT"/>
    <s v="KGS"/>
    <n v="63053200"/>
    <s v="Rs."/>
    <n v="1"/>
    <n v="835"/>
    <s v="India"/>
    <x v="1"/>
  </r>
  <r>
    <d v="2026-07-03T00:00:00"/>
    <s v="Plastene Polyfilms Ltd-Sales"/>
    <s v="Sales"/>
    <n v="392"/>
    <s v="Sales - Within State  Manufactured Goods"/>
    <s v="KPV/D/392"/>
    <d v="2026-07-03T00:00:00"/>
    <s v="RM"/>
    <s v="Granules"/>
    <s v="PP Granules"/>
    <s v="PP Granuals"/>
    <s v="PP Advanced H312"/>
    <n v="49500"/>
    <n v="3821053.5"/>
    <s v="PP Advanced H312"/>
    <n v="4505022.09"/>
    <n v="9"/>
    <n v="343894.82"/>
    <n v="9"/>
    <n v="343894.82"/>
    <n v="0"/>
    <n v="0"/>
    <n v="0"/>
    <n v="687789.64"/>
    <n v="0"/>
    <s v="24AAFCP2956A1ZR"/>
    <s v="KGS"/>
    <n v="39021000"/>
    <s v="Rs."/>
    <n v="1"/>
    <n v="49500"/>
    <s v="India"/>
    <x v="7"/>
  </r>
  <r>
    <d v="2026-07-04T00:00:00"/>
    <s v="Flexochem Ventures Private Limited"/>
    <s v="Sales"/>
    <n v="402"/>
    <s v="Sales - Within State  Manufactured Goods"/>
    <s v="KPV/D/402"/>
    <d v="2026-07-04T00:00:00"/>
    <s v="FG"/>
    <s v="FIBC Bags"/>
    <s v="FIBC Bags"/>
    <s v="PP WOVEN BIG BAGS / SACKS"/>
    <s v="FIBC Bags With UV Without Liner"/>
    <n v="279.5"/>
    <n v="67800"/>
    <s v="90X90X70"/>
    <n v="80004"/>
    <n v="9"/>
    <n v="6102"/>
    <n v="9"/>
    <n v="6102"/>
    <n v="0"/>
    <n v="0"/>
    <n v="0"/>
    <n v="12204"/>
    <n v="0"/>
    <s v="24AAFCF0504J1Z2"/>
    <s v="KGS"/>
    <n v="63053200"/>
    <s v="Rs."/>
    <n v="1"/>
    <n v="279.5"/>
    <s v="India"/>
    <x v="1"/>
  </r>
  <r>
    <d v="2026-07-04T00:00:00"/>
    <s v="Hcp Plastene Bulkpack Ltd (Unit Iv) - Sales"/>
    <s v="Sales"/>
    <n v="404"/>
    <s v="Sales - Within State  Manufactured Goods"/>
    <s v="KPV/D/404"/>
    <d v="2026-07-04T00:00:00"/>
    <s v="SF"/>
    <s v="Yarn All"/>
    <s v="PP Yarn"/>
    <s v="PP FABRILLATED YARN"/>
    <s v="PP Fibrillated Tape Twisted 3200 Blue"/>
    <n v="1340"/>
    <n v="206561"/>
    <s v="BLUE"/>
    <n v="297546.21000000002"/>
    <n v="2.5"/>
    <n v="5164.0200000000004"/>
    <n v="2.5"/>
    <n v="5164.0200000000004"/>
    <n v="0"/>
    <n v="0"/>
    <n v="0"/>
    <n v="10328.040000000001"/>
    <n v="0"/>
    <s v="24AABCG1282C2Z6"/>
    <s v="KGS"/>
    <n v="54026930"/>
    <s v="Rs."/>
    <n v="1"/>
    <n v="1340"/>
    <s v="India"/>
    <x v="0"/>
  </r>
  <r>
    <d v="2026-07-04T00:00:00"/>
    <s v="Hcp Plastene Bulkpack Ltd (Unit Iv) - Sales"/>
    <s v="Sales"/>
    <n v="404"/>
    <s v="Sales - Within State  Manufactured Goods"/>
    <s v="KPV/D/404"/>
    <d v="2026-07-04T00:00:00"/>
    <s v="SF"/>
    <s v="Yarn All"/>
    <s v="PP Yarn"/>
    <s v="PP FABRILLATED YARN"/>
    <s v="PP Fibrillated Tape Twisted 3200 MW"/>
    <n v="510"/>
    <n v="77086.5"/>
    <s v="MW"/>
    <n v="0"/>
    <n v="2.5"/>
    <n v="1927.16"/>
    <n v="2.5"/>
    <n v="1927.16"/>
    <n v="0"/>
    <n v="0"/>
    <n v="0"/>
    <n v="3854.32"/>
    <n v="0"/>
    <s v="24AABCG1282C2Z6"/>
    <s v="KGS"/>
    <n v="54026930"/>
    <s v="Rs."/>
    <n v="1"/>
    <n v="510"/>
    <s v="India"/>
    <x v="0"/>
  </r>
  <r>
    <d v="2026-07-04T00:00:00"/>
    <s v="Plastene India ltd - Unit 1-Sales"/>
    <s v="Sales"/>
    <n v="399"/>
    <s v="Sales - Within State  Manufactured Goods"/>
    <s v="KPV/D/399"/>
    <d v="2026-07-04T00:00:00"/>
    <s v="RM"/>
    <s v="Granules"/>
    <s v="PP Granules"/>
    <s v="PP Granuals"/>
    <s v="PP Advanced H312"/>
    <n v="90750"/>
    <n v="7005264.75"/>
    <s v="PP Advanced H312"/>
    <n v="8259207.1500000004"/>
    <n v="9"/>
    <n v="630473.82999999996"/>
    <n v="9"/>
    <n v="630473.82999999996"/>
    <n v="0"/>
    <n v="0"/>
    <n v="0"/>
    <n v="1260947.6599999999"/>
    <n v="0"/>
    <s v="24AAACO3087C1ZT"/>
    <s v="KGS"/>
    <n v="39021000"/>
    <s v="Rs."/>
    <n v="1"/>
    <n v="90750"/>
    <s v="India"/>
    <x v="7"/>
  </r>
  <r>
    <d v="2026-07-04T00:00:00"/>
    <s v="Plastene India ltd - Unit 2-Sales"/>
    <s v="Sales"/>
    <n v="400"/>
    <s v="Sales - Within State  Manufactured Goods"/>
    <s v="KPV/D/400"/>
    <d v="2026-07-04T00:00:00"/>
    <s v="SF"/>
    <s v="Yarn All"/>
    <s v="PP Yarn"/>
    <s v="PP FABRILLATED YARN"/>
    <s v="PP Fibrillated Tape Twisted 3200 MW"/>
    <n v="1520"/>
    <n v="229748"/>
    <s v="MW"/>
    <n v="897775.77"/>
    <n v="2.5"/>
    <n v="5743.7"/>
    <n v="2.5"/>
    <n v="5743.7"/>
    <n v="0"/>
    <n v="0"/>
    <n v="0"/>
    <n v="11487.4"/>
    <n v="0"/>
    <s v="24AAACO3087C1ZT"/>
    <s v="KGS"/>
    <n v="54026930"/>
    <s v="Rs."/>
    <n v="1"/>
    <n v="1520"/>
    <s v="India"/>
    <x v="0"/>
  </r>
  <r>
    <d v="2026-07-04T00:00:00"/>
    <s v="Plastene India ltd - Unit 2-Sales"/>
    <s v="Sales"/>
    <n v="400"/>
    <s v="Sales - Within State  Manufactured Goods"/>
    <s v="KPV/D/400"/>
    <d v="2026-07-04T00:00:00"/>
    <s v="SF"/>
    <s v="Yarn All"/>
    <s v="PP Yarn"/>
    <s v="PP FABRILLATED YARN"/>
    <s v="PP Fibrillated Tape Twisted 3200 Blue"/>
    <n v="460"/>
    <n v="70909"/>
    <s v="BLUE"/>
    <n v="0"/>
    <n v="2.5"/>
    <n v="1772.72"/>
    <n v="2.5"/>
    <n v="1772.72"/>
    <n v="0"/>
    <n v="0"/>
    <n v="0"/>
    <n v="3545.44"/>
    <n v="0"/>
    <s v="24AAACO3087C1ZT"/>
    <s v="KGS"/>
    <n v="54026930"/>
    <s v="Rs."/>
    <n v="1"/>
    <n v="460"/>
    <s v="India"/>
    <x v="0"/>
  </r>
  <r>
    <d v="2026-07-04T00:00:00"/>
    <s v="Plastene India ltd - Unit 2-Sales"/>
    <s v="Sales"/>
    <n v="400"/>
    <s v="Sales - Within State  Manufactured Goods"/>
    <s v="KPV/D/400"/>
    <d v="2026-07-04T00:00:00"/>
    <s v="SF"/>
    <s v="Webbing"/>
    <s v="PP Webbing"/>
    <s v="PP WEBBING"/>
    <s v="Webbing"/>
    <n v="3183.8"/>
    <n v="493966.57"/>
    <s v="Webbing MW"/>
    <n v="0"/>
    <n v="9"/>
    <n v="44456.99"/>
    <n v="9"/>
    <n v="44456.99"/>
    <n v="0"/>
    <n v="0"/>
    <n v="0"/>
    <n v="88913.98"/>
    <n v="0"/>
    <s v="24AAACO3087C1ZT"/>
    <s v="KGS"/>
    <n v="39269080"/>
    <s v="Rs."/>
    <n v="1"/>
    <n v="3183.8"/>
    <s v="India"/>
    <x v="6"/>
  </r>
  <r>
    <d v="2026-07-04T00:00:00"/>
    <s v="Plastene India ltd - Unit 2-Sales"/>
    <s v="Sales"/>
    <n v="401"/>
    <s v="Sales - Within State  Manufactured Goods"/>
    <s v="KPV/D/401"/>
    <d v="2026-07-04T00:00:00"/>
    <s v="RM"/>
    <s v="Granules"/>
    <s v="Masterbatch"/>
    <s v="Master batch"/>
    <s v="MB Karnavati Varana Brown"/>
    <n v="25"/>
    <n v="4400"/>
    <s v="MB Karnavati Varana Brown"/>
    <n v="5187.6000000000004"/>
    <n v="9"/>
    <n v="396"/>
    <n v="9"/>
    <n v="396"/>
    <n v="0"/>
    <n v="0"/>
    <n v="0"/>
    <n v="792"/>
    <n v="0"/>
    <s v="24AAACO3087C1ZT"/>
    <s v="KGS"/>
    <n v="32064990"/>
    <s v="Rs."/>
    <n v="1"/>
    <n v="25"/>
    <s v="India"/>
    <x v="8"/>
  </r>
  <r>
    <d v="2026-07-04T00:00:00"/>
    <s v="Plastene Polyfilms Ltd-Sales"/>
    <s v="Sales"/>
    <n v="403"/>
    <s v="Sales - Within State  Manufactured Goods"/>
    <s v="KPV/D/403"/>
    <d v="2026-07-04T00:00:00"/>
    <s v="SF"/>
    <s v="Yarn All"/>
    <s v="PP Yarn"/>
    <s v="PP FABRILLATED YARN"/>
    <s v="PP Fibrillated Tape Twisted 3200 MW"/>
    <n v="3250"/>
    <n v="491237.5"/>
    <s v="MW"/>
    <n v="515308.14"/>
    <n v="2.5"/>
    <n v="12280.94"/>
    <n v="2.5"/>
    <n v="12280.94"/>
    <n v="0"/>
    <n v="0"/>
    <n v="0"/>
    <n v="24561.88"/>
    <n v="0"/>
    <s v="24AAFCP2956A1ZR"/>
    <s v="KGS"/>
    <n v="54026930"/>
    <s v="Rs."/>
    <n v="1"/>
    <n v="3250"/>
    <s v="India"/>
    <x v="0"/>
  </r>
  <r>
    <d v="2026-07-04T00:00:00"/>
    <s v="Tecnopacking"/>
    <s v="Export Sales"/>
    <s v="KPW/E/90/26-27"/>
    <s v="Sales - Direct Export - Mfg - U/R"/>
    <s v="KPW/E/90/26-27"/>
    <d v="2026-07-04T00:00:00"/>
    <s v="FG"/>
    <s v="FIBC Bags"/>
    <s v="FIBC Bags"/>
    <s v="PP WOVEN BIG BAGS / SACKS"/>
    <s v="FIBC Bags With UV Without Liner"/>
    <n v="19817.400000000001"/>
    <n v="3751968"/>
    <s v="PP WOVEN BIG BAG"/>
    <n v="3751968"/>
    <n v="0"/>
    <n v="0"/>
    <n v="0"/>
    <n v="0"/>
    <n v="18"/>
    <n v="675354.24"/>
    <n v="0.17"/>
    <n v="675354.41"/>
    <n v="0"/>
    <s v="N.A."/>
    <s v="KGS"/>
    <n v="63053200"/>
    <s v="$"/>
    <n v="93.5"/>
    <n v="19817.400000000001"/>
    <s v="Spain"/>
    <x v="1"/>
  </r>
  <r>
    <d v="2026-07-05T00:00:00"/>
    <s v="HCP Plastene Bulkpack Limited - Sales"/>
    <s v="Sales"/>
    <n v="405"/>
    <s v="Sales - Within State  Manufactured Goods"/>
    <s v="KPV/D/405"/>
    <d v="2026-07-05T00:00:00"/>
    <s v="SF"/>
    <s v="Webbing"/>
    <s v="PP Webbing"/>
    <s v="PP WEBBING"/>
    <s v="Webbing"/>
    <n v="261"/>
    <n v="41277.15"/>
    <s v="Webbing BLUE"/>
    <n v="496051.52"/>
    <n v="9"/>
    <n v="3714.94"/>
    <n v="9"/>
    <n v="3714.94"/>
    <n v="0"/>
    <n v="0"/>
    <n v="0"/>
    <n v="7429.88"/>
    <n v="0"/>
    <s v="24AABCG1282C2Z6"/>
    <s v="KGS"/>
    <n v="39269080"/>
    <s v="Rs."/>
    <n v="1"/>
    <n v="261"/>
    <s v="India"/>
    <x v="6"/>
  </r>
  <r>
    <d v="2026-07-05T00:00:00"/>
    <s v="HCP Plastene Bulkpack Limited - Sales"/>
    <s v="Sales"/>
    <n v="405"/>
    <s v="Sales - Within State  Manufactured Goods"/>
    <s v="KPV/D/405"/>
    <d v="2026-07-05T00:00:00"/>
    <s v="SF"/>
    <s v="Webbing"/>
    <s v="PP Webbing"/>
    <s v="PP WEBBING"/>
    <s v="Webbing"/>
    <n v="971"/>
    <n v="153563.65"/>
    <s v="Webbing BLACK"/>
    <n v="0"/>
    <n v="9"/>
    <n v="13820.73"/>
    <n v="9"/>
    <n v="13820.73"/>
    <n v="0"/>
    <n v="0"/>
    <n v="0"/>
    <n v="27641.46"/>
    <n v="0"/>
    <s v="24AABCG1282C2Z6"/>
    <s v="KGS"/>
    <n v="39269080"/>
    <s v="Rs."/>
    <n v="1"/>
    <n v="971"/>
    <s v="India"/>
    <x v="6"/>
  </r>
  <r>
    <d v="2026-07-05T00:00:00"/>
    <s v="HCP Plastene Bulkpack Limited - Sales"/>
    <s v="Sales"/>
    <n v="405"/>
    <s v="Sales - Within State  Manufactured Goods"/>
    <s v="KPV/D/405"/>
    <d v="2026-07-05T00:00:00"/>
    <s v="SF"/>
    <s v="Webbing"/>
    <s v="PP Webbing"/>
    <s v="PP WEBBING"/>
    <s v="Webbing"/>
    <n v="1456"/>
    <n v="225898.4"/>
    <s v="Webbing MW"/>
    <n v="0"/>
    <n v="9"/>
    <n v="20330.86"/>
    <n v="9"/>
    <n v="20330.86"/>
    <n v="0"/>
    <n v="0"/>
    <n v="0"/>
    <n v="40661.72"/>
    <n v="0"/>
    <s v="24AABCG1282C2Z6"/>
    <s v="KGS"/>
    <n v="39269080"/>
    <s v="Rs."/>
    <n v="1"/>
    <n v="1456"/>
    <s v="India"/>
    <x v="6"/>
  </r>
  <r>
    <d v="2026-07-05T00:00:00"/>
    <s v="HCP Plastene Bulkpack Limited - Sales"/>
    <s v="Sales"/>
    <n v="406"/>
    <s v="Sales - Within State - Traded Goods"/>
    <s v="KPV/D/406"/>
    <d v="2026-07-05T00:00:00"/>
    <s v="Stores/Spares"/>
    <s v="MS Structure Items"/>
    <s v="Capital Work in Progress"/>
    <s v="MS PIPE"/>
    <s v="MS Pipe 4  C Class"/>
    <n v="1022"/>
    <n v="49056"/>
    <s v="."/>
    <n v="57837.02"/>
    <n v="9"/>
    <n v="4415.04"/>
    <n v="9"/>
    <n v="4415.04"/>
    <n v="0"/>
    <n v="0"/>
    <n v="0"/>
    <n v="8830.08"/>
    <n v="0"/>
    <s v="24AABCG1282C2Z6"/>
    <s v="KGS"/>
    <n v="73063090"/>
    <s v="Rs."/>
    <n v="1"/>
    <n v="1022"/>
    <s v="India"/>
    <x v="4"/>
  </r>
  <r>
    <d v="2026-07-05T00:00:00"/>
    <s v="Plastene India ltd - Unit 1-Sales"/>
    <s v="Sales"/>
    <n v="407"/>
    <s v="Sales - Within State  Manufactured Goods"/>
    <s v="KPV/D/407"/>
    <d v="2026-07-05T00:00:00"/>
    <s v="FG"/>
    <s v="FIBC Bags"/>
    <s v="FIBC Bags"/>
    <s v="PP WOVEN BIG BAGS / SACKS"/>
    <s v="FIBC Bags With UV With Liner"/>
    <n v="1923"/>
    <n v="828178.41"/>
    <s v="25/80334/25687/15.4719-18"/>
    <n v="2759451.33"/>
    <n v="9"/>
    <n v="74536.06"/>
    <n v="9"/>
    <n v="74536.06"/>
    <n v="0"/>
    <n v="0"/>
    <n v="0"/>
    <n v="149072.12"/>
    <n v="0"/>
    <s v="24AAACO3087C1ZT"/>
    <s v="KGS"/>
    <n v="63053200"/>
    <s v="Rs."/>
    <n v="1"/>
    <n v="1923"/>
    <s v="India"/>
    <x v="1"/>
  </r>
  <r>
    <d v="2026-07-05T00:00:00"/>
    <s v="Plastene India ltd - Unit 1-Sales"/>
    <s v="Sales"/>
    <n v="407"/>
    <s v="Sales - Within State  Manufactured Goods"/>
    <s v="KPV/D/407"/>
    <d v="2026-07-05T00:00:00"/>
    <s v="FG"/>
    <s v="FIBC Bags"/>
    <s v="FIBC Bags"/>
    <s v="PP WOVEN BIG BAGS / SACKS"/>
    <s v="FIBC Bags With UV Without Liner"/>
    <n v="817"/>
    <n v="124666.03"/>
    <s v="25/80122/25618/15.2622-18"/>
    <n v="0"/>
    <n v="9"/>
    <n v="11219.94"/>
    <n v="9"/>
    <n v="11219.94"/>
    <n v="0"/>
    <n v="0"/>
    <n v="0"/>
    <n v="22439.88"/>
    <n v="0"/>
    <s v="24AAACO3087C1ZT"/>
    <s v="KGS"/>
    <n v="63053200"/>
    <s v="Rs."/>
    <n v="1"/>
    <n v="817"/>
    <s v="India"/>
    <x v="1"/>
  </r>
  <r>
    <d v="2026-07-05T00:00:00"/>
    <s v="Plastene India ltd - Unit 1-Sales"/>
    <s v="Sales"/>
    <n v="407"/>
    <s v="Sales - Within State  Manufactured Goods"/>
    <s v="KPV/D/407"/>
    <d v="2026-07-05T00:00:00"/>
    <s v="FG"/>
    <s v="FIBC Bags"/>
    <s v="FIBC Bags"/>
    <s v="PP WOVEN BIG BAGS / SACKS"/>
    <s v="FIBC Bags With UV Without Liner"/>
    <n v="4582.6000000000004"/>
    <n v="1387657.11"/>
    <s v="26/80122/26131/15.1657-18"/>
    <n v="0"/>
    <n v="9"/>
    <n v="124889.14"/>
    <n v="9"/>
    <n v="124889.14"/>
    <n v="0"/>
    <n v="0"/>
    <n v="0"/>
    <n v="249778.28"/>
    <n v="0"/>
    <s v="24AAACO3087C1ZT"/>
    <s v="KGS"/>
    <n v="63053200"/>
    <s v="Rs."/>
    <n v="1"/>
    <n v="4582.6000000000004"/>
    <s v="India"/>
    <x v="1"/>
  </r>
  <r>
    <d v="2026-07-06T00:00:00"/>
    <s v="HCP Plastene Bulkpack Limited - Sales"/>
    <s v="Sales"/>
    <n v="409"/>
    <s v="Sales - Within State  Manufactured Goods"/>
    <s v="KPV/D/409"/>
    <d v="2026-07-06T00:00:00"/>
    <s v="FG"/>
    <s v="FIBC Bags"/>
    <s v="FIBC Bags"/>
    <s v="PP WOVEN BIG BAGS / SACKS"/>
    <s v="FIBC Bags With UV Without Liner"/>
    <n v="5172.5"/>
    <n v="1462576.1"/>
    <s v="202600223/006789"/>
    <n v="6186574.75"/>
    <n v="9"/>
    <n v="131631.85"/>
    <n v="9"/>
    <n v="131631.85"/>
    <n v="0"/>
    <n v="0"/>
    <n v="0"/>
    <n v="263263.7"/>
    <n v="0"/>
    <s v="24AABCG1282C2Z6"/>
    <s v="KGS"/>
    <n v="63053200"/>
    <s v="Rs."/>
    <n v="1"/>
    <n v="5172.5"/>
    <s v="India"/>
    <x v="1"/>
  </r>
  <r>
    <d v="2026-07-06T00:00:00"/>
    <s v="HCP Plastene Bulkpack Limited - Sales"/>
    <s v="Sales"/>
    <n v="409"/>
    <s v="Sales - Within State  Manufactured Goods"/>
    <s v="KPV/D/409"/>
    <d v="2026-07-06T00:00:00"/>
    <s v="FG"/>
    <s v="FIBC Bags"/>
    <s v="FIBC Bags"/>
    <s v="PP WOVEN BIG BAGS / SACKS"/>
    <s v="FIBC Bags With UV Without Liner"/>
    <n v="889"/>
    <n v="238865.41"/>
    <s v="202600237/010144"/>
    <n v="0"/>
    <n v="9"/>
    <n v="21497.89"/>
    <n v="9"/>
    <n v="21497.89"/>
    <n v="0"/>
    <n v="0"/>
    <n v="0"/>
    <n v="42995.78"/>
    <n v="0"/>
    <s v="24AABCG1282C2Z6"/>
    <s v="KGS"/>
    <n v="63053200"/>
    <s v="Rs."/>
    <n v="1"/>
    <n v="889"/>
    <s v="India"/>
    <x v="1"/>
  </r>
  <r>
    <d v="2026-07-06T00:00:00"/>
    <s v="HCP Plastene Bulkpack Limited - Sales"/>
    <s v="Sales"/>
    <n v="409"/>
    <s v="Sales - Within State  Manufactured Goods"/>
    <s v="KPV/D/409"/>
    <d v="2026-07-06T00:00:00"/>
    <s v="FG"/>
    <s v="FIBC Bags"/>
    <s v="FIBC Bags"/>
    <s v="PP WOVEN BIG BAGS / SACKS"/>
    <s v="FIBC Bags With UV Without Liner"/>
    <n v="2236.8000000000002"/>
    <n v="597270.34"/>
    <s v="202600237/010145"/>
    <n v="0"/>
    <n v="9"/>
    <n v="53754.33"/>
    <n v="9"/>
    <n v="53754.33"/>
    <n v="0"/>
    <n v="0"/>
    <n v="0"/>
    <n v="107508.66"/>
    <n v="0"/>
    <s v="24AABCG1282C2Z6"/>
    <s v="KGS"/>
    <n v="63053200"/>
    <s v="Rs."/>
    <n v="1"/>
    <n v="2236.8000000000002"/>
    <s v="India"/>
    <x v="1"/>
  </r>
  <r>
    <d v="2026-07-06T00:00:00"/>
    <s v="HCP Plastene Bulkpack Limited - Sales"/>
    <s v="Sales"/>
    <n v="409"/>
    <s v="Sales - Within State  Manufactured Goods"/>
    <s v="KPV/D/409"/>
    <d v="2026-07-06T00:00:00"/>
    <s v="FG"/>
    <s v="FIBC Bags"/>
    <s v="FIBC Bags"/>
    <s v="PP WOVEN BIG BAGS / SACKS"/>
    <s v="FIBC Bags With UV Without Liner"/>
    <n v="2164.6999999999998"/>
    <n v="565138.23"/>
    <s v="202600237/010146"/>
    <n v="0"/>
    <n v="9"/>
    <n v="50862.44"/>
    <n v="9"/>
    <n v="50862.44"/>
    <n v="0"/>
    <n v="0"/>
    <n v="0"/>
    <n v="101724.88"/>
    <n v="0"/>
    <s v="24AABCG1282C2Z6"/>
    <s v="KGS"/>
    <n v="63053200"/>
    <s v="Rs."/>
    <n v="1"/>
    <n v="2164.6999999999998"/>
    <s v="India"/>
    <x v="1"/>
  </r>
  <r>
    <d v="2026-07-06T00:00:00"/>
    <s v="HCP Plastene Bulkpack Limited - Sales"/>
    <s v="Sales"/>
    <n v="409"/>
    <s v="Sales - Within State  Manufactured Goods"/>
    <s v="KPV/D/409"/>
    <d v="2026-07-06T00:00:00"/>
    <s v="FG"/>
    <s v="FIBC Bags"/>
    <s v="FIBC Bags"/>
    <s v="PP WOVEN BIG BAGS / SACKS"/>
    <s v="FIBC Bags With UV Without Liner"/>
    <n v="4235.3"/>
    <n v="1074665.02"/>
    <s v="202600237/010147"/>
    <n v="0"/>
    <n v="9"/>
    <n v="96719.85"/>
    <n v="9"/>
    <n v="96719.85"/>
    <n v="0"/>
    <n v="0"/>
    <n v="0"/>
    <n v="193439.7"/>
    <n v="0"/>
    <s v="24AABCG1282C2Z6"/>
    <s v="KGS"/>
    <n v="63053200"/>
    <s v="Rs."/>
    <n v="1"/>
    <n v="4235.3"/>
    <s v="India"/>
    <x v="1"/>
  </r>
  <r>
    <d v="2026-07-06T00:00:00"/>
    <s v="HCP Plastene Bulkpack Limited - Sales"/>
    <s v="Sales"/>
    <n v="409"/>
    <s v="Sales - Within State  Manufactured Goods"/>
    <s v="KPV/D/409"/>
    <d v="2026-07-06T00:00:00"/>
    <s v="FG"/>
    <s v="FIBC Bags"/>
    <s v="FIBC Bags"/>
    <s v="PP WOVEN BIG BAGS / SACKS"/>
    <s v="FIBC Bags With UV Without Liner"/>
    <n v="2451"/>
    <n v="462283.11"/>
    <s v="202600253/008267"/>
    <n v="0"/>
    <n v="9"/>
    <n v="41605.480000000003"/>
    <n v="9"/>
    <n v="41605.480000000003"/>
    <n v="0"/>
    <n v="0"/>
    <n v="0"/>
    <n v="83210.960000000006"/>
    <n v="0"/>
    <s v="24AABCG1282C2Z6"/>
    <s v="KGS"/>
    <n v="63053200"/>
    <s v="Rs."/>
    <n v="1"/>
    <n v="2451"/>
    <s v="India"/>
    <x v="1"/>
  </r>
  <r>
    <d v="2026-07-06T00:00:00"/>
    <s v="HCP Plastene Bulkpack Limited - Sales"/>
    <s v="Sales"/>
    <n v="409"/>
    <s v="Sales - Within State  Manufactured Goods"/>
    <s v="KPV/D/409"/>
    <d v="2026-07-06T00:00:00"/>
    <s v="FG"/>
    <s v="FIBC Bags"/>
    <s v="FIBC Bags"/>
    <s v="PP WOVEN BIG BAGS / SACKS"/>
    <s v="FIBC Bags With UV Without Liner"/>
    <n v="433.6"/>
    <n v="84578.02"/>
    <s v="202600262/011117"/>
    <n v="0"/>
    <n v="9"/>
    <n v="7612.02"/>
    <n v="9"/>
    <n v="7612.02"/>
    <n v="0"/>
    <n v="0"/>
    <n v="0"/>
    <n v="15224.04"/>
    <n v="0"/>
    <s v="24AABCG1282C2Z6"/>
    <s v="KGS"/>
    <n v="63053200"/>
    <s v="Rs."/>
    <n v="1"/>
    <n v="433.6"/>
    <s v="India"/>
    <x v="1"/>
  </r>
  <r>
    <d v="2026-07-06T00:00:00"/>
    <s v="HCP Plastene Bulkpack Limited - Sales"/>
    <s v="Sales"/>
    <n v="409"/>
    <s v="Sales - Within State  Manufactured Goods"/>
    <s v="KPV/D/409"/>
    <d v="2026-07-06T00:00:00"/>
    <s v="FG"/>
    <s v="FIBC Bags"/>
    <s v="FIBC Bags"/>
    <s v="PP WOVEN BIG BAGS / SACKS"/>
    <s v="FIBC Bags With UV Without Liner"/>
    <n v="2899.5"/>
    <n v="761930.61"/>
    <s v="202600311/010174"/>
    <n v="0"/>
    <n v="9"/>
    <n v="68573.75"/>
    <n v="9"/>
    <n v="68573.75"/>
    <n v="0"/>
    <n v="0"/>
    <n v="0"/>
    <n v="137147.5"/>
    <n v="0"/>
    <s v="24AABCG1282C2Z6"/>
    <s v="KGS"/>
    <n v="63053200"/>
    <s v="Rs."/>
    <n v="1"/>
    <n v="2899.5"/>
    <s v="India"/>
    <x v="1"/>
  </r>
  <r>
    <d v="2026-07-06T00:00:00"/>
    <s v="Plastene India ltd - Unit 2-Sales"/>
    <s v="Sales"/>
    <n v="408"/>
    <s v="Sales - Within State  Manufactured Goods"/>
    <s v="KPV/D/408"/>
    <d v="2026-07-06T00:00:00"/>
    <s v="RM"/>
    <s v="Granules"/>
    <s v="PP Granules"/>
    <s v="PP Granuals"/>
    <s v="PP Advanced H312"/>
    <n v="99000"/>
    <n v="7642107"/>
    <s v="PP Advanced H312"/>
    <n v="9010044.1500000004"/>
    <n v="9"/>
    <n v="687789.63"/>
    <n v="9"/>
    <n v="687789.63"/>
    <n v="0"/>
    <n v="0"/>
    <n v="0"/>
    <n v="1375579.26"/>
    <n v="0"/>
    <s v="24AAACO3087C1ZT"/>
    <s v="KGS"/>
    <n v="39021000"/>
    <s v="Rs."/>
    <n v="1"/>
    <n v="99000"/>
    <s v="India"/>
    <x v="7"/>
  </r>
  <r>
    <d v="2026-07-06T00:00:00"/>
    <s v="Plastene India ltd - Unit 2-Sales"/>
    <s v="Sales"/>
    <n v="410"/>
    <s v="Sales - Within State  Manufactured Goods"/>
    <s v="KPV/D/410"/>
    <d v="2026-07-06T00:00:00"/>
    <s v="SF"/>
    <s v="PP/PE Fabric"/>
    <s v="PP UL Fabric"/>
    <s v="PP WOVEN FABRIC"/>
    <s v="PP UL Fabric With UV"/>
    <n v="3269.8"/>
    <n v="526928.27"/>
    <s v="PP UL Fabric MW"/>
    <n v="898424.19"/>
    <n v="9"/>
    <n v="47423.54"/>
    <n v="9"/>
    <n v="47423.54"/>
    <n v="0"/>
    <n v="0"/>
    <n v="0"/>
    <n v="94847.08"/>
    <n v="0"/>
    <s v="24AAACO3087C1ZT"/>
    <s v="KGS"/>
    <n v="39269080"/>
    <s v="Rs."/>
    <n v="1"/>
    <n v="3269.8"/>
    <s v="India"/>
    <x v="3"/>
  </r>
  <r>
    <d v="2026-07-06T00:00:00"/>
    <s v="Plastene India ltd - Unit 2-Sales"/>
    <s v="Sales"/>
    <n v="410"/>
    <s v="Sales - Within State  Manufactured Goods"/>
    <s v="KPV/D/410"/>
    <d v="2026-07-06T00:00:00"/>
    <s v="SF"/>
    <s v="PP/PE Fabric"/>
    <s v="PP UL Fabric"/>
    <s v="PP WOVEN FABRIC"/>
    <s v="PP UL Fabric With UV"/>
    <n v="520.70000000000005"/>
    <n v="88076.41"/>
    <s v="Sulzer Ventilated_x000d__x000a_"/>
    <n v="0"/>
    <n v="9"/>
    <n v="7926.88"/>
    <n v="9"/>
    <n v="7926.88"/>
    <n v="0"/>
    <n v="0"/>
    <n v="0"/>
    <n v="15853.76"/>
    <n v="0"/>
    <s v="24AAACO3087C1ZT"/>
    <s v="KGS"/>
    <n v="39269080"/>
    <s v="Rs."/>
    <n v="1"/>
    <n v="520.70000000000005"/>
    <s v="India"/>
    <x v="3"/>
  </r>
  <r>
    <d v="2026-07-06T00:00:00"/>
    <s v="Plastene India ltd - Unit 2-Sales"/>
    <s v="Sales"/>
    <n v="410"/>
    <s v="Sales - Within State  Manufactured Goods"/>
    <s v="KPV/D/410"/>
    <d v="2026-07-06T00:00:00"/>
    <s v="SF"/>
    <s v="Yarn All"/>
    <s v="PP Yarn"/>
    <s v="PP MF Yarn"/>
    <s v="PP MF Yarn Flat 1000 Denier UV NW"/>
    <n v="360"/>
    <n v="69256.800000000003"/>
    <s v="PP MF Yarn Flat 1000 Denier UV NW"/>
    <n v="0"/>
    <n v="2.5"/>
    <n v="1731.42"/>
    <n v="2.5"/>
    <n v="1731.42"/>
    <n v="0"/>
    <n v="0"/>
    <n v="0"/>
    <n v="3462.84"/>
    <n v="0"/>
    <s v="24AAACO3087C1ZT"/>
    <s v="KGS"/>
    <n v="54026930"/>
    <s v="Rs."/>
    <n v="1"/>
    <n v="360"/>
    <s v="India"/>
    <x v="0"/>
  </r>
  <r>
    <d v="2026-07-06T00:00:00"/>
    <s v="Plastene India ltd - Unit 2-Sales"/>
    <s v="Sales"/>
    <n v="410"/>
    <s v="Sales - Within State  Manufactured Goods"/>
    <s v="KPV/D/410"/>
    <d v="2026-07-06T00:00:00"/>
    <s v="SF"/>
    <s v="Yarn All"/>
    <s v="PP Yarn"/>
    <s v="PP FABRILLATED YARN"/>
    <s v="PP Fibrillated Tape Twisted 3200 MW"/>
    <n v="635"/>
    <n v="95980.25"/>
    <s v="MW"/>
    <n v="0"/>
    <n v="2.5"/>
    <n v="2399.5100000000002"/>
    <n v="2.5"/>
    <n v="2399.5100000000002"/>
    <n v="0"/>
    <n v="0"/>
    <n v="0"/>
    <n v="4799.0200000000004"/>
    <n v="0"/>
    <s v="24AAACO3087C1ZT"/>
    <s v="KGS"/>
    <n v="54026930"/>
    <s v="Rs."/>
    <n v="1"/>
    <n v="635"/>
    <s v="India"/>
    <x v="0"/>
  </r>
  <r>
    <d v="2026-07-06T00:00:00"/>
    <s v="Plastene India ltd - Unit 2-Sales"/>
    <s v="Sales"/>
    <n v="411"/>
    <s v="Sales - Within State - Traded Goods"/>
    <s v="KPV/D/411"/>
    <d v="2026-07-06T00:00:00"/>
    <s v="Stores/Spares"/>
    <s v="MS Structure Items"/>
    <s v="Capital Work in Progress"/>
    <s v="MS PIPE"/>
    <s v="MS Pipe"/>
    <n v="153"/>
    <n v="7344"/>
    <s v="."/>
    <n v="8658.58"/>
    <n v="9"/>
    <n v="660.96"/>
    <n v="9"/>
    <n v="660.96"/>
    <n v="0"/>
    <n v="0"/>
    <n v="0"/>
    <n v="1321.92"/>
    <n v="0"/>
    <s v="24AAACO3087C1ZT"/>
    <s v="KGS"/>
    <n v="73063090"/>
    <s v="Rs."/>
    <n v="1"/>
    <n v="153"/>
    <s v="India"/>
    <x v="4"/>
  </r>
  <r>
    <d v="2026-07-06T00:00:00"/>
    <s v="Plastene India ltd - Unit 2-Sales"/>
    <s v="Sales"/>
    <n v="412"/>
    <s v="Sales - Within State  Manufactured Goods"/>
    <s v="KPV/D/412"/>
    <d v="2026-07-06T00:00:00"/>
    <s v="RM"/>
    <s v="Granules"/>
    <s v="Masterbatch"/>
    <s v="Master batch"/>
    <s v="MB Karnavati Varana Brown"/>
    <n v="25"/>
    <n v="3831.5"/>
    <s v="MB Karnavati Varana Brown"/>
    <n v="4517.3500000000004"/>
    <n v="9"/>
    <n v="344.84"/>
    <n v="9"/>
    <n v="344.84"/>
    <n v="0"/>
    <n v="0"/>
    <n v="0"/>
    <n v="689.68"/>
    <n v="0"/>
    <s v="24AAACO3087C1ZT"/>
    <s v="KGS"/>
    <n v="32064990"/>
    <s v="Rs."/>
    <n v="1"/>
    <n v="25"/>
    <s v="India"/>
    <x v="8"/>
  </r>
  <r>
    <d v="2026-07-06T00:00:00"/>
    <s v="Plastene India ltd - Unit 2-Sales"/>
    <s v="Sales"/>
    <n v="413"/>
    <s v="Sales - Within State - Traded Goods"/>
    <s v="KPV/D/413"/>
    <d v="2026-07-06T00:00:00"/>
    <s v="RM Consumables"/>
    <s v="Ink"/>
    <s v="Ink"/>
    <s v="Ink "/>
    <s v="Ink Vyankatesh Blue 072 C 505"/>
    <n v="25"/>
    <n v="7725"/>
    <s v="Ink Vyankatesh Blue 072 C 505"/>
    <n v="9107.7800000000007"/>
    <n v="9"/>
    <n v="695.25"/>
    <n v="9"/>
    <n v="695.25"/>
    <n v="0"/>
    <n v="0"/>
    <n v="0"/>
    <n v="1390.5"/>
    <n v="0"/>
    <s v="24AAACO3087C1ZT"/>
    <s v="KGS"/>
    <n v="32151990"/>
    <s v="Rs."/>
    <n v="1"/>
    <n v="25"/>
    <s v="India"/>
    <x v="4"/>
  </r>
  <r>
    <d v="2026-07-06T00:00:00"/>
    <s v="Plastene Polyfilms Ltd-Sales"/>
    <s v="Sales"/>
    <n v="414"/>
    <s v="Sales - Within State  Manufactured Goods"/>
    <s v="KPV/D/414"/>
    <d v="2026-07-06T00:00:00"/>
    <s v="FG"/>
    <s v="FIBC Bags"/>
    <s v="FIBC Bags"/>
    <s v="PP WOVEN BIG BAGS / SACKS"/>
    <s v="FIBC Bags With UV Without Liner"/>
    <n v="19278.400000000001"/>
    <n v="4570715.8600000003"/>
    <s v="PO-9211/MFGCL404856DSFOOD"/>
    <n v="5388874"/>
    <n v="9"/>
    <n v="411364.43"/>
    <n v="9"/>
    <n v="411364.43"/>
    <n v="0"/>
    <n v="0"/>
    <n v="0"/>
    <n v="822728.86"/>
    <n v="0"/>
    <s v="24AAFCP2956A1ZR"/>
    <s v="KGS"/>
    <n v="63053200"/>
    <s v="Rs."/>
    <n v="1"/>
    <n v="19278.400000000001"/>
    <s v="India"/>
    <x v="1"/>
  </r>
  <r>
    <d v="2026-07-07T00:00:00"/>
    <s v="Ameriglobe LLC"/>
    <s v="Export Sales"/>
    <s v="KPW/E/91/26-27"/>
    <s v="Sales - Direct Export - Mfg - U/R"/>
    <s v="KPW/E/91/26-27"/>
    <d v="2026-07-07T00:00:00"/>
    <s v="FG"/>
    <s v="FIBC Bags"/>
    <s v="FIBC Bags"/>
    <s v="PP WOVEN BIG BAGS / SACKS"/>
    <s v="FIBC Bags With UV With Liner"/>
    <n v="17484.7"/>
    <n v="4957444.8"/>
    <s v="PP WOVEN BIG BAG"/>
    <n v="4957444.8"/>
    <n v="0"/>
    <n v="0"/>
    <n v="0"/>
    <n v="0"/>
    <n v="18"/>
    <n v="892340.06400000001"/>
    <n v="0.17"/>
    <n v="892340.23400000005"/>
    <n v="0"/>
    <s v="N.A."/>
    <s v="KGS"/>
    <n v="63053200"/>
    <s v="$"/>
    <n v="93.5"/>
    <n v="17484.7"/>
    <s v="USA"/>
    <x v="1"/>
  </r>
  <r>
    <d v="2026-07-07T00:00:00"/>
    <s v="Bulk Lift International LLC"/>
    <s v="Export Sales"/>
    <s v="KPW/E/92/26-27"/>
    <s v="Sales - Direct Export - Mfg - U/R"/>
    <s v="KPW/E/92/26-27"/>
    <d v="2026-07-07T00:00:00"/>
    <s v="FG"/>
    <s v="FIBC Bags"/>
    <s v="FIBC Bags"/>
    <s v="PP WOVEN BIG BAGS / SACKS"/>
    <s v="FIBC Bags With UV With Liner"/>
    <n v="4320.7"/>
    <n v="1246658.875"/>
    <s v="PP WOVEN BIG BAG"/>
    <n v="4825974.45"/>
    <n v="0"/>
    <n v="0"/>
    <n v="0"/>
    <n v="0"/>
    <n v="18"/>
    <n v="224398.13"/>
    <n v="0.17"/>
    <n v="224398.30000000002"/>
    <n v="0"/>
    <s v="N.A."/>
    <s v="KGS"/>
    <n v="63053200"/>
    <s v="$"/>
    <n v="93.5"/>
    <n v="4320.7"/>
    <s v="USA"/>
    <x v="1"/>
  </r>
  <r>
    <d v="2026-07-07T00:00:00"/>
    <s v="Bulk Lift International LLC"/>
    <s v="Export Sales"/>
    <s v="KPW/E/92/26-27"/>
    <s v="Sales - Direct Export - Mfg - U/R"/>
    <s v="KPW/E/92/26-27"/>
    <d v="2026-07-07T00:00:00"/>
    <s v="FG"/>
    <s v="FIBC Bags"/>
    <s v="FIBC Bags"/>
    <s v="PP WOVEN BIG BAGS / SACKS"/>
    <s v="FIBC Bags With UV Without Liner"/>
    <n v="12732.8"/>
    <n v="3579315.5749999997"/>
    <s v="PP WOVEN BIG BAG"/>
    <n v="0"/>
    <n v="0"/>
    <n v="0"/>
    <n v="0"/>
    <n v="0"/>
    <n v="18"/>
    <n v="644276.71"/>
    <n v="0.17"/>
    <n v="644276.88"/>
    <n v="0"/>
    <s v="N.A."/>
    <s v="KGS"/>
    <n v="63053200"/>
    <s v="$"/>
    <n v="93.5"/>
    <n v="12732.8"/>
    <s v="USA"/>
    <x v="1"/>
  </r>
  <r>
    <d v="2026-07-07T00:00:00"/>
    <s v="HCP Plastene Bulkpack Limited - Sales"/>
    <s v="Sales"/>
    <n v="415"/>
    <s v="Sales - Within State - Traded Goods"/>
    <s v="KPV/D/415"/>
    <d v="2026-07-07T00:00:00"/>
    <s v="Consumables"/>
    <s v="Consumables"/>
    <s v="Consumables"/>
    <s v="PP WOVEN FABRIC"/>
    <s v="Hotmelt  ( Glue )"/>
    <n v="200"/>
    <n v="64000"/>
    <s v="Hotmelt  ( Glue )"/>
    <n v="75456"/>
    <n v="9"/>
    <n v="5760"/>
    <n v="9"/>
    <n v="5760"/>
    <n v="0"/>
    <n v="0"/>
    <n v="0"/>
    <n v="11520"/>
    <n v="0"/>
    <s v="24AABCG1282C2Z6"/>
    <s v="KGS"/>
    <n v="350610"/>
    <s v="Rs."/>
    <n v="1"/>
    <n v="200"/>
    <s v="India"/>
    <x v="4"/>
  </r>
  <r>
    <d v="2026-07-08T00:00:00"/>
    <s v="HCP Plastene Bulkpack Limited - Sales"/>
    <s v="Job Invoice"/>
    <s v="KPV/D/416"/>
    <s v="Job Work Income"/>
    <s v="KPV/D/416"/>
    <d v="2026-07-08T00:00:00"/>
    <s v="FG"/>
    <s v="FIBC Bags"/>
    <s v="FIBC Bags"/>
    <s v="PP WOVEN BIG BAGS / SACKS"/>
    <s v="FIBC Bags With UV Without Liner"/>
    <n v="20260.7"/>
    <n v="4441550.6540000001"/>
    <s v="PO26045/0015-15CS(4)-REV08 (PP BIG BAGS)"/>
    <n v="5152198.76"/>
    <n v="9"/>
    <n v="399739.56"/>
    <n v="9"/>
    <n v="399739.56"/>
    <n v="0"/>
    <n v="0"/>
    <n v="0"/>
    <n v="799479.12"/>
    <n v="0"/>
    <s v="24AABCG1282C2Z6"/>
    <s v="KGS"/>
    <n v="998852"/>
    <s v="Rs."/>
    <n v="1"/>
    <n v="20260.7"/>
    <s v="India"/>
    <x v="1"/>
  </r>
  <r>
    <d v="2026-07-08T00:00:00"/>
    <s v="Plastene India ltd - Unit 1-Sales"/>
    <s v="Sales"/>
    <n v="418"/>
    <s v="Sales - Within State  Manufactured Goods"/>
    <s v="KPV/D/418"/>
    <d v="2026-07-08T00:00:00"/>
    <s v="SF"/>
    <s v="Yarn All"/>
    <s v="PP Yarn"/>
    <s v="PP FABRILLATED YARN"/>
    <s v="PP Fibrillated Tape Twisted 3200 Blue"/>
    <n v="1063.2"/>
    <n v="163892.28"/>
    <s v="BLUE"/>
    <n v="334252.99"/>
    <n v="2.5"/>
    <n v="4097.3100000000004"/>
    <n v="2.5"/>
    <n v="4097.3100000000004"/>
    <n v="0"/>
    <n v="0"/>
    <n v="0"/>
    <n v="8194.6200000000008"/>
    <n v="0"/>
    <s v="24AAACO3087C1ZT"/>
    <s v="KGS"/>
    <n v="54026930"/>
    <s v="Rs."/>
    <n v="1"/>
    <n v="1063.2"/>
    <s v="India"/>
    <x v="0"/>
  </r>
  <r>
    <d v="2026-07-08T00:00:00"/>
    <s v="Plastene India ltd - Unit 1-Sales"/>
    <s v="Sales"/>
    <n v="418"/>
    <s v="Sales - Within State  Manufactured Goods"/>
    <s v="KPV/D/418"/>
    <d v="2026-07-08T00:00:00"/>
    <s v="SF"/>
    <s v="Yarn All"/>
    <s v="PP Yarn"/>
    <s v="PP FABRILLATED YARN"/>
    <s v="PP Fibrillated Tape Twisted 3200 MW"/>
    <n v="1023.8"/>
    <n v="154747.37"/>
    <s v="MW"/>
    <n v="0"/>
    <n v="2.5"/>
    <n v="3868.68"/>
    <n v="2.5"/>
    <n v="3868.68"/>
    <n v="0"/>
    <n v="0"/>
    <n v="0"/>
    <n v="7737.36"/>
    <n v="0"/>
    <s v="24AAACO3087C1ZT"/>
    <s v="KGS"/>
    <n v="54026930"/>
    <s v="Rs."/>
    <n v="1"/>
    <n v="1023.8"/>
    <s v="India"/>
    <x v="0"/>
  </r>
  <r>
    <d v="2026-07-08T00:00:00"/>
    <s v="Plastene India ltd - Unit 1-Sales"/>
    <s v="Sales"/>
    <n v="419"/>
    <s v="Sales - Within State - Traded Goods"/>
    <s v="KPV/D/419"/>
    <d v="2026-07-08T00:00:00"/>
    <s v="Stores/Spares"/>
    <s v="MS Structure Items"/>
    <s v="Capital Work in Progress"/>
    <s v="MS PIPE"/>
    <s v="MS Pipe 4  C Class"/>
    <n v="1068"/>
    <n v="51264"/>
    <s v="."/>
    <n v="60440.26"/>
    <n v="9"/>
    <n v="4613.76"/>
    <n v="9"/>
    <n v="4613.76"/>
    <n v="0"/>
    <n v="0"/>
    <n v="0"/>
    <n v="9227.52"/>
    <n v="0"/>
    <s v="24AAACO3087C1ZT"/>
    <s v="KGS"/>
    <n v="73063090"/>
    <s v="Rs."/>
    <n v="1"/>
    <n v="1068"/>
    <s v="India"/>
    <x v="4"/>
  </r>
  <r>
    <d v="2026-07-08T00:00:00"/>
    <s v="Plastene India ltd - Unit 1-Sales"/>
    <s v="Sales"/>
    <n v="420"/>
    <s v="Sales - Within State  Manufactured Goods"/>
    <s v="KPV/D/420"/>
    <d v="2026-07-08T00:00:00"/>
    <s v="SF"/>
    <s v="Yarn All"/>
    <s v="PP Yarn"/>
    <s v="PP FABRILLATED YARN"/>
    <s v="PP Fibrillated Tape Twisted 3200 Blue"/>
    <n v="727.1"/>
    <n v="112082.47"/>
    <s v="BLUE"/>
    <n v="474535.58"/>
    <n v="9"/>
    <n v="10087.42"/>
    <n v="9"/>
    <n v="10087.42"/>
    <n v="0"/>
    <n v="0"/>
    <n v="0"/>
    <n v="20174.84"/>
    <n v="0"/>
    <s v="24AAACO3087C1ZT"/>
    <s v="KGS"/>
    <n v="39199090"/>
    <s v="Rs."/>
    <n v="1"/>
    <n v="727.1"/>
    <s v="India"/>
    <x v="0"/>
  </r>
  <r>
    <d v="2026-07-08T00:00:00"/>
    <s v="Plastene India ltd - Unit 1-Sales"/>
    <s v="Sales"/>
    <n v="420"/>
    <s v="Sales - Within State  Manufactured Goods"/>
    <s v="KPV/D/420"/>
    <d v="2026-07-08T00:00:00"/>
    <s v="SF"/>
    <s v="Yarn All"/>
    <s v="PP Yarn"/>
    <s v="PP FABRILLATED YARN"/>
    <s v="PP Fibrillated Tape Twisted 3200 MW"/>
    <n v="1034"/>
    <n v="156289.1"/>
    <s v="MW"/>
    <n v="0"/>
    <n v="9"/>
    <n v="14066.02"/>
    <n v="9"/>
    <n v="14066.02"/>
    <n v="0"/>
    <n v="0"/>
    <n v="0"/>
    <n v="28132.04"/>
    <n v="0"/>
    <s v="24AAACO3087C1ZT"/>
    <s v="KGS"/>
    <n v="39199090"/>
    <s v="Rs."/>
    <n v="1"/>
    <n v="1034"/>
    <s v="India"/>
    <x v="0"/>
  </r>
  <r>
    <d v="2026-07-08T00:00:00"/>
    <s v="Plastene India ltd - Unit 1-Sales"/>
    <s v="Sales"/>
    <n v="420"/>
    <s v="Sales - Within State  Manufactured Goods"/>
    <s v="KPV/D/420"/>
    <d v="2026-07-08T00:00:00"/>
    <s v="SF"/>
    <s v="PP/PE Fabric"/>
    <s v="PP UL Fabric"/>
    <s v="PP WOVEN FABRIC"/>
    <s v="PP UL Fabric With UV"/>
    <n v="812.1"/>
    <n v="134118.32"/>
    <s v="F.G"/>
    <n v="0"/>
    <n v="9"/>
    <n v="12070.65"/>
    <n v="9"/>
    <n v="12070.65"/>
    <n v="0"/>
    <n v="0"/>
    <n v="0"/>
    <n v="24141.3"/>
    <n v="0"/>
    <s v="24AAACO3087C1ZT"/>
    <s v="KGS"/>
    <n v="39269080"/>
    <s v="Rs."/>
    <n v="1"/>
    <n v="812.1"/>
    <s v="India"/>
    <x v="3"/>
  </r>
  <r>
    <d v="2026-07-08T00:00:00"/>
    <s v="Sacos Durcal S.A"/>
    <s v="Export Sales"/>
    <s v="KPW/E/93/26-27"/>
    <s v="Sales - Direct Export - Mfg - U/R"/>
    <s v="KPW/E/93/26-27"/>
    <d v="2026-07-08T00:00:00"/>
    <s v="FG"/>
    <s v="FIBC Bags"/>
    <s v="FIBC Bags"/>
    <s v="PP WOVEN BIG BAGS / SACKS"/>
    <s v="FIBC Bags With UV Without Liner"/>
    <n v="22144.85"/>
    <n v="4679354.21"/>
    <s v="PP WOVEN BIG BAG"/>
    <n v="4999754.4000000004"/>
    <n v="0"/>
    <n v="0"/>
    <n v="0"/>
    <n v="0"/>
    <n v="18"/>
    <n v="842283.75780000002"/>
    <n v="57222.02"/>
    <n v="899505.77780000004"/>
    <n v="0"/>
    <s v="N.A."/>
    <s v="KGS"/>
    <n v="63053200"/>
    <s v="€"/>
    <n v="105.4"/>
    <n v="22144.85"/>
    <s v="Spain"/>
    <x v="1"/>
  </r>
  <r>
    <d v="2026-07-09T00:00:00"/>
    <s v="HCP Plastene Bulkpack Limited - Sales"/>
    <s v="Sales"/>
    <n v="426"/>
    <s v="Sales - Within State  Manufactured Goods"/>
    <s v="KPV/D/426"/>
    <d v="2026-07-09T00:00:00"/>
    <s v="SF"/>
    <s v="Webbing"/>
    <s v="PP Webbing"/>
    <s v="PP WEBBING"/>
    <s v="Webbing"/>
    <n v="243"/>
    <n v="38430.449999999997"/>
    <s v="BLUE"/>
    <n v="506821.7"/>
    <n v="9"/>
    <n v="3458.74"/>
    <n v="9"/>
    <n v="3458.74"/>
    <n v="0"/>
    <n v="0"/>
    <n v="0"/>
    <n v="6917.48"/>
    <n v="0"/>
    <s v="24AABCG1282C2Z6"/>
    <s v="KGS"/>
    <n v="39269080"/>
    <s v="Rs."/>
    <n v="1"/>
    <n v="243"/>
    <s v="India"/>
    <x v="6"/>
  </r>
  <r>
    <d v="2026-07-09T00:00:00"/>
    <s v="HCP Plastene Bulkpack Limited - Sales"/>
    <s v="Sales"/>
    <n v="426"/>
    <s v="Sales - Within State  Manufactured Goods"/>
    <s v="KPV/D/426"/>
    <d v="2026-07-09T00:00:00"/>
    <s v="SF"/>
    <s v="Webbing"/>
    <s v="PP Webbing"/>
    <s v="PP WEBBING"/>
    <s v="Webbing"/>
    <n v="662"/>
    <n v="102709.3"/>
    <s v="MW"/>
    <n v="0"/>
    <n v="9"/>
    <n v="9243.84"/>
    <n v="9"/>
    <n v="9243.84"/>
    <n v="0"/>
    <n v="0"/>
    <n v="0"/>
    <n v="18487.68"/>
    <n v="0"/>
    <s v="24AABCG1282C2Z6"/>
    <s v="KGS"/>
    <n v="39269080"/>
    <s v="Rs."/>
    <n v="1"/>
    <n v="662"/>
    <s v="India"/>
    <x v="6"/>
  </r>
  <r>
    <d v="2026-07-09T00:00:00"/>
    <s v="HCP Plastene Bulkpack Limited - Sales"/>
    <s v="Sales"/>
    <n v="426"/>
    <s v="Sales - Within State  Manufactured Goods"/>
    <s v="KPV/D/426"/>
    <d v="2026-07-09T00:00:00"/>
    <s v="SF"/>
    <s v="Webbing"/>
    <s v="PP Webbing"/>
    <s v="PP WEBBING"/>
    <s v="Webbing"/>
    <n v="1825.7"/>
    <n v="288734.46000000002"/>
    <s v="BLACK"/>
    <n v="0"/>
    <n v="9"/>
    <n v="25986.1"/>
    <n v="9"/>
    <n v="25986.1"/>
    <n v="0"/>
    <n v="0"/>
    <n v="0"/>
    <n v="51972.2"/>
    <n v="0"/>
    <s v="24AABCG1282C2Z6"/>
    <s v="KGS"/>
    <n v="39269080"/>
    <s v="Rs."/>
    <n v="1"/>
    <n v="1825.7"/>
    <s v="India"/>
    <x v="6"/>
  </r>
  <r>
    <d v="2026-07-09T00:00:00"/>
    <s v="Hcp Plastene Bulkpack Ltd Vadodara-Sales"/>
    <s v="Sales"/>
    <n v="430"/>
    <s v="Sales - Within State  Manufactured Goods"/>
    <s v="KPV/D/430"/>
    <d v="2026-07-09T00:00:00"/>
    <s v="SF"/>
    <s v="Yarn All"/>
    <s v="PP Yarn"/>
    <s v="PP FABRILLATED YARN"/>
    <s v="PP Fibrillated Tape Twisted 3200 Blue"/>
    <n v="630"/>
    <n v="97114.5"/>
    <s v="BLUE"/>
    <n v="635227.49"/>
    <n v="2.5"/>
    <n v="2427.86"/>
    <n v="2.5"/>
    <n v="2427.86"/>
    <n v="0"/>
    <n v="0"/>
    <n v="0"/>
    <n v="4855.72"/>
    <n v="0"/>
    <s v="24AABCG1282C2Z6"/>
    <s v="KGS"/>
    <n v="54026930"/>
    <s v="Rs."/>
    <n v="1"/>
    <n v="630"/>
    <s v="India"/>
    <x v="0"/>
  </r>
  <r>
    <d v="2026-07-09T00:00:00"/>
    <s v="Hcp Plastene Bulkpack Ltd Vadodara-Sales"/>
    <s v="Sales"/>
    <n v="430"/>
    <s v="Sales - Within State  Manufactured Goods"/>
    <s v="KPV/D/430"/>
    <d v="2026-07-09T00:00:00"/>
    <s v="SF"/>
    <s v="Yarn All"/>
    <s v="PP Yarn"/>
    <s v="PP FABRILLATED YARN"/>
    <s v="PP Fibrillated Tape Twisted 3200 MW"/>
    <n v="530"/>
    <n v="80109.5"/>
    <s v="MW"/>
    <n v="0"/>
    <n v="2.5"/>
    <n v="2002.74"/>
    <n v="2.5"/>
    <n v="2002.74"/>
    <n v="0"/>
    <n v="0"/>
    <n v="0"/>
    <n v="4005.48"/>
    <n v="0"/>
    <s v="24AABCG1282C2Z6"/>
    <s v="KGS"/>
    <n v="54026930"/>
    <s v="Rs."/>
    <n v="1"/>
    <n v="530"/>
    <s v="India"/>
    <x v="0"/>
  </r>
  <r>
    <d v="2026-07-09T00:00:00"/>
    <s v="Hcp Plastene Bulkpack Ltd Vadodara-Sales"/>
    <s v="Sales"/>
    <n v="430"/>
    <s v="Sales - Within State  Manufactured Goods"/>
    <s v="KPV/D/430"/>
    <d v="2026-07-09T00:00:00"/>
    <s v="SF"/>
    <s v="Yarn All"/>
    <s v="Polyester Yarn"/>
    <s v="PP MF Yarn"/>
    <s v="Polyester Yarn Twisted"/>
    <n v="80"/>
    <n v="10640"/>
    <s v="Polyester Yarn Twisted"/>
    <n v="0"/>
    <n v="2.5"/>
    <n v="266"/>
    <n v="2.5"/>
    <n v="266"/>
    <n v="0"/>
    <n v="0"/>
    <n v="0"/>
    <n v="532"/>
    <n v="0"/>
    <s v="24AABCG1282C2Z6"/>
    <s v="KGS"/>
    <n v="54026990"/>
    <s v="Rs."/>
    <n v="1"/>
    <n v="80"/>
    <s v="India"/>
    <x v="9"/>
  </r>
  <r>
    <d v="2026-07-09T00:00:00"/>
    <s v="Hcp Plastene Bulkpack Ltd Vadodara-Sales"/>
    <s v="Sales"/>
    <n v="430"/>
    <s v="Sales - Within State  Manufactured Goods"/>
    <s v="KPV/D/430"/>
    <d v="2026-07-09T00:00:00"/>
    <s v="SF"/>
    <s v="Yarn All"/>
    <s v="PP Yarn"/>
    <s v="Filler code"/>
    <s v="Filler Cord"/>
    <n v="307"/>
    <n v="51161.55"/>
    <s v="Filler Cord"/>
    <n v="0"/>
    <n v="2.5"/>
    <n v="1279.04"/>
    <n v="2.5"/>
    <n v="1279.04"/>
    <n v="0"/>
    <n v="0"/>
    <n v="0"/>
    <n v="2558.08"/>
    <n v="0"/>
    <s v="24AABCG1282C2Z6"/>
    <s v="KGS"/>
    <n v="54026930"/>
    <s v="Rs."/>
    <n v="1"/>
    <n v="307"/>
    <s v="India"/>
    <x v="0"/>
  </r>
  <r>
    <d v="2026-07-09T00:00:00"/>
    <s v="Hcp Plastene Bulkpack Ltd Vadodara-Sales"/>
    <s v="Sales"/>
    <n v="430"/>
    <s v="Sales - Within State  Manufactured Goods"/>
    <s v="KPV/D/430"/>
    <d v="2026-07-09T00:00:00"/>
    <s v="SF"/>
    <s v="PP/PE Fabric"/>
    <s v="PP Lam Fabric"/>
    <s v="PP LAMINETED FABRIC"/>
    <s v="PP Lam Fabric With UV"/>
    <n v="817"/>
    <n v="147182.54999999999"/>
    <s v="Conductive Fabric-FIBC Heavy GSM (More then 90 GSM Total)_x000d__x000a_"/>
    <n v="0"/>
    <n v="9"/>
    <n v="13246.43"/>
    <n v="9"/>
    <n v="13246.43"/>
    <n v="0"/>
    <n v="0"/>
    <n v="0"/>
    <n v="26492.86"/>
    <n v="0"/>
    <s v="24AABCG1282C2Z6"/>
    <s v="KGS"/>
    <n v="39269080"/>
    <s v="Rs."/>
    <n v="1"/>
    <n v="817"/>
    <s v="India"/>
    <x v="5"/>
  </r>
  <r>
    <d v="2026-07-09T00:00:00"/>
    <s v="Hcp Plastene Bulkpack Ltd Vadodara-Sales"/>
    <s v="Sales"/>
    <n v="430"/>
    <s v="Sales - Within State  Manufactured Goods"/>
    <s v="KPV/D/430"/>
    <d v="2026-07-09T00:00:00"/>
    <s v="SF"/>
    <s v="PP/PE Fabric"/>
    <s v="PP Lam Fabric"/>
    <s v="PP LAMINETED FABRIC"/>
    <s v="PP Lam Fabric With UV"/>
    <n v="241"/>
    <n v="38114.15"/>
    <s v="PP Lam Fabric BLUE"/>
    <n v="0"/>
    <n v="9"/>
    <n v="3430.27"/>
    <n v="9"/>
    <n v="3430.27"/>
    <n v="0"/>
    <n v="0"/>
    <n v="0"/>
    <n v="6860.54"/>
    <n v="0"/>
    <s v="24AABCG1282C2Z6"/>
    <s v="KGS"/>
    <n v="39269080"/>
    <s v="Rs."/>
    <n v="1"/>
    <n v="241"/>
    <s v="India"/>
    <x v="5"/>
  </r>
  <r>
    <d v="2026-07-09T00:00:00"/>
    <s v="Hcp Plastene Bulkpack Ltd Vadodara-Sales"/>
    <s v="Sales"/>
    <n v="430"/>
    <s v="Sales - Within State  Manufactured Goods"/>
    <s v="KPV/D/430"/>
    <d v="2026-07-09T00:00:00"/>
    <s v="SF"/>
    <s v="PP/PE Fabric"/>
    <s v="PP Lam Fabric"/>
    <s v="PP LAMINETED FABRIC"/>
    <s v="PP Lam Fabric With UV"/>
    <n v="164"/>
    <n v="25772.6"/>
    <s v="FIBC Fabric Coated (Less Then 90+20 GSM)_x000d__x000a_"/>
    <n v="0"/>
    <n v="9"/>
    <n v="2319.5300000000002"/>
    <n v="9"/>
    <n v="2319.5300000000002"/>
    <n v="0"/>
    <n v="0"/>
    <n v="0"/>
    <n v="4639.0600000000004"/>
    <n v="0"/>
    <s v="24AABCG1282C2Z6"/>
    <s v="KGS"/>
    <n v="39269080"/>
    <s v="Rs."/>
    <n v="1"/>
    <n v="164"/>
    <s v="India"/>
    <x v="5"/>
  </r>
  <r>
    <d v="2026-07-09T00:00:00"/>
    <s v="Hcp Plastene Bulkpack Ltd Vadodara-Sales"/>
    <s v="Sales"/>
    <n v="430"/>
    <s v="Sales - Within State  Manufactured Goods"/>
    <s v="KPV/D/430"/>
    <d v="2026-07-09T00:00:00"/>
    <s v="SF"/>
    <s v="Webbing"/>
    <s v="PP Webbing"/>
    <s v="PP WEBBING"/>
    <s v="Webbing"/>
    <n v="492"/>
    <n v="77809.8"/>
    <s v="Webbing GREEN"/>
    <n v="0"/>
    <n v="9"/>
    <n v="7002.88"/>
    <n v="9"/>
    <n v="7002.88"/>
    <n v="0"/>
    <n v="0"/>
    <n v="0"/>
    <n v="14005.76"/>
    <n v="0"/>
    <s v="24AABCG1282C2Z6"/>
    <s v="KGS"/>
    <n v="39269080"/>
    <s v="Rs."/>
    <n v="1"/>
    <n v="492"/>
    <s v="India"/>
    <x v="6"/>
  </r>
  <r>
    <d v="2026-07-09T00:00:00"/>
    <s v="Hcp Plastene Bulkpack Ltd Vadodara-Sales"/>
    <s v="Sales"/>
    <n v="430"/>
    <s v="Sales - Within State  Manufactured Goods"/>
    <s v="KPV/D/430"/>
    <d v="2026-07-09T00:00:00"/>
    <s v="SF"/>
    <s v="Webbing"/>
    <s v="PP Webbing"/>
    <s v="PP WEBBING"/>
    <s v="Webbing"/>
    <n v="240"/>
    <n v="37236"/>
    <s v="Webbing MW TIE"/>
    <n v="0"/>
    <n v="9"/>
    <n v="3351.24"/>
    <n v="9"/>
    <n v="3351.24"/>
    <n v="0"/>
    <n v="0"/>
    <n v="0"/>
    <n v="6702.48"/>
    <n v="0"/>
    <s v="24AABCG1282C2Z6"/>
    <s v="KGS"/>
    <n v="39269080"/>
    <s v="Rs."/>
    <n v="1"/>
    <n v="240"/>
    <s v="India"/>
    <x v="6"/>
  </r>
  <r>
    <d v="2026-07-09T00:00:00"/>
    <s v="Hcp Plastene Bulkpack Ltd Vadodara-Sales"/>
    <s v="Sales"/>
    <n v="431"/>
    <s v="Sales - Within State - Traded Goods"/>
    <s v="KPV/D/431"/>
    <d v="2026-07-09T00:00:00"/>
    <s v="Stores/Spares"/>
    <s v="MS Structure Items"/>
    <s v="Capital Work in Progress"/>
    <s v="MS PIPE"/>
    <s v="MS Pipe"/>
    <n v="25"/>
    <n v="1200"/>
    <s v="."/>
    <n v="1414.8"/>
    <n v="9"/>
    <n v="108"/>
    <n v="9"/>
    <n v="108"/>
    <n v="0"/>
    <n v="0"/>
    <n v="0"/>
    <n v="216"/>
    <n v="0"/>
    <s v="24AABCG1282C2Z6"/>
    <s v="KGS"/>
    <n v="73063090"/>
    <s v="Rs."/>
    <n v="1"/>
    <n v="25"/>
    <s v="India"/>
    <x v="4"/>
  </r>
  <r>
    <d v="2026-07-09T00:00:00"/>
    <s v="Plastene India ltd - Unit 1-Sales"/>
    <s v="Sales"/>
    <n v="425"/>
    <s v="Sales - Within State  Manufactured Goods"/>
    <s v="KPV/D/425"/>
    <d v="2026-07-09T00:00:00"/>
    <s v="FG"/>
    <s v="FIBC Bags"/>
    <s v="FIBC Bags"/>
    <s v="PP WOVEN BIG BAGS / SACKS"/>
    <s v="FIBC Bags With UV Without Liner"/>
    <n v="226"/>
    <n v="70319.899999999994"/>
    <s v="1500020866/01"/>
    <n v="2383766.86"/>
    <n v="9"/>
    <n v="6328.79"/>
    <n v="9"/>
    <n v="6328.79"/>
    <n v="0"/>
    <n v="0"/>
    <n v="0"/>
    <n v="12657.58"/>
    <n v="0"/>
    <s v="24AAACO3087C1ZT"/>
    <s v="KGS"/>
    <n v="63053200"/>
    <s v="Rs."/>
    <n v="1"/>
    <n v="226"/>
    <s v="India"/>
    <x v="1"/>
  </r>
  <r>
    <d v="2026-07-09T00:00:00"/>
    <s v="Plastene India ltd - Unit 1-Sales"/>
    <s v="Sales"/>
    <n v="425"/>
    <s v="Sales - Within State  Manufactured Goods"/>
    <s v="KPV/D/425"/>
    <d v="2026-07-09T00:00:00"/>
    <s v="FG"/>
    <s v="FIBC Bags"/>
    <s v="FIBC Bags"/>
    <s v="PP WOVEN BIG BAGS / SACKS"/>
    <s v="FIBC Bags With UV Without Liner"/>
    <n v="1224"/>
    <n v="318754.08"/>
    <s v="26.19390/MERCER-15"/>
    <n v="0"/>
    <n v="9"/>
    <n v="28687.87"/>
    <n v="9"/>
    <n v="28687.87"/>
    <n v="0"/>
    <n v="0"/>
    <n v="0"/>
    <n v="57375.74"/>
    <n v="0"/>
    <s v="24AAACO3087C1ZT"/>
    <s v="KGS"/>
    <n v="63053200"/>
    <s v="Rs."/>
    <n v="1"/>
    <n v="1224"/>
    <s v="India"/>
    <x v="1"/>
  </r>
  <r>
    <d v="2026-07-09T00:00:00"/>
    <s v="Plastene India ltd - Unit 1-Sales"/>
    <s v="Sales"/>
    <n v="425"/>
    <s v="Sales - Within State  Manufactured Goods"/>
    <s v="KPV/D/425"/>
    <d v="2026-07-09T00:00:00"/>
    <s v="FG"/>
    <s v="FIBC Bags"/>
    <s v="FIBC Bags"/>
    <s v="PP WOVEN BIG BAGS / SACKS"/>
    <s v="FIBC Bags With UV Without Liner"/>
    <n v="4037.7"/>
    <n v="1153045.99"/>
    <s v="POUS-5182/IMPQ06145"/>
    <n v="0"/>
    <n v="9"/>
    <n v="103774.14"/>
    <n v="9"/>
    <n v="103774.14"/>
    <n v="0"/>
    <n v="0"/>
    <n v="0"/>
    <n v="207548.28"/>
    <n v="0"/>
    <s v="24AAACO3087C1ZT"/>
    <s v="KGS"/>
    <n v="63053200"/>
    <s v="Rs."/>
    <n v="1"/>
    <n v="4037.7"/>
    <s v="India"/>
    <x v="1"/>
  </r>
  <r>
    <d v="2026-07-09T00:00:00"/>
    <s v="Plastene India ltd - Unit 1-Sales"/>
    <s v="Sales"/>
    <n v="425"/>
    <s v="Sales - Within State  Manufactured Goods"/>
    <s v="KPV/D/425"/>
    <d v="2026-07-09T00:00:00"/>
    <s v="FG"/>
    <s v="FIBC Bags"/>
    <s v="FIBC Bags"/>
    <s v="PP WOVEN BIG BAGS / SACKS"/>
    <s v="FIBC Bags With UV Without Liner"/>
    <n v="375"/>
    <n v="93048.75"/>
    <s v="POUS-5182/IMPQ06235"/>
    <n v="0"/>
    <n v="9"/>
    <n v="8374.39"/>
    <n v="9"/>
    <n v="8374.39"/>
    <n v="0"/>
    <n v="0"/>
    <n v="0"/>
    <n v="16748.78"/>
    <n v="0"/>
    <s v="24AAACO3087C1ZT"/>
    <s v="KGS"/>
    <n v="63053200"/>
    <s v="Rs."/>
    <n v="1"/>
    <n v="375"/>
    <s v="India"/>
    <x v="1"/>
  </r>
  <r>
    <d v="2026-07-09T00:00:00"/>
    <s v="Plastene India ltd - Unit 1-Sales"/>
    <s v="Sales"/>
    <n v="425"/>
    <s v="Sales - Within State  Manufactured Goods"/>
    <s v="KPV/D/425"/>
    <d v="2026-07-09T00:00:00"/>
    <s v="FG"/>
    <s v="FIBC Bags"/>
    <s v="FIBC Bags"/>
    <s v="PP WOVEN BIG BAGS / SACKS"/>
    <s v="FIBC Bags With UV Without Liner"/>
    <n v="1367.3"/>
    <n v="386686.11"/>
    <s v="POUS-5182/IMPQ06310"/>
    <n v="0"/>
    <n v="9"/>
    <n v="34801.75"/>
    <n v="9"/>
    <n v="34801.75"/>
    <n v="0"/>
    <n v="0"/>
    <n v="0"/>
    <n v="69603.5"/>
    <n v="0"/>
    <s v="24AAACO3087C1ZT"/>
    <s v="KGS"/>
    <n v="63053200"/>
    <s v="Rs."/>
    <n v="1"/>
    <n v="1367.3"/>
    <s v="India"/>
    <x v="1"/>
  </r>
  <r>
    <d v="2026-07-09T00:00:00"/>
    <s v="Plastene India ltd - Unit 1-Sales"/>
    <s v="Sales"/>
    <n v="427"/>
    <s v="Sales - Within State  Manufactured Goods"/>
    <s v="KPV/D/427"/>
    <d v="2026-07-09T00:00:00"/>
    <s v="SF"/>
    <s v="PP/PE Fabric"/>
    <s v="PP UL Fabric"/>
    <s v="PP WOVEN FABRIC"/>
    <s v="PP UL Fabric With UV"/>
    <n v="4228"/>
    <n v="647518.19999999995"/>
    <s v="TUBE"/>
    <n v="763423.96"/>
    <n v="9"/>
    <n v="58276.639999999999"/>
    <n v="9"/>
    <n v="58276.639999999999"/>
    <n v="0"/>
    <n v="0"/>
    <n v="0"/>
    <n v="116553.28"/>
    <n v="0"/>
    <s v="24AAACO3087C1ZT"/>
    <s v="KGS"/>
    <n v="39269080"/>
    <s v="Rs."/>
    <n v="1"/>
    <n v="4228"/>
    <s v="India"/>
    <x v="3"/>
  </r>
  <r>
    <d v="2026-07-09T00:00:00"/>
    <s v="Plastene India ltd - Unit 1-Sales"/>
    <s v="Sales"/>
    <n v="428"/>
    <s v="Sales - Within State - Traded Goods"/>
    <s v="KPV/D/428"/>
    <d v="2026-07-09T00:00:00"/>
    <s v="Stores/Spares"/>
    <s v="MS Structure Items"/>
    <s v="Capital Work in Progress"/>
    <s v="MS PIPE"/>
    <s v="MS Pipe 4  C Class"/>
    <n v="163"/>
    <n v="7824"/>
    <s v="."/>
    <n v="9224.5"/>
    <n v="9"/>
    <n v="704.16"/>
    <n v="9"/>
    <n v="704.16"/>
    <n v="0"/>
    <n v="0"/>
    <n v="0"/>
    <n v="1408.32"/>
    <n v="0"/>
    <s v="24AAACO3087C1ZT"/>
    <s v="KGS"/>
    <n v="73063090"/>
    <s v="Rs."/>
    <n v="1"/>
    <n v="163"/>
    <s v="India"/>
    <x v="4"/>
  </r>
  <r>
    <d v="2026-07-09T00:00:00"/>
    <s v="Plastene India ltd - Unit 2-Sales"/>
    <s v="Sales"/>
    <n v="423"/>
    <s v="Sales - Within State  Manufactured Goods"/>
    <s v="KPV/D/423"/>
    <d v="2026-07-09T00:00:00"/>
    <s v="SF"/>
    <s v="PP/PE Fabric"/>
    <s v="PP UL Fabric"/>
    <s v="PP WOVEN FABRIC"/>
    <s v="PP UL Fabric With UV"/>
    <n v="1363"/>
    <n v="219647.45"/>
    <s v="PP UL Fabric MW"/>
    <n v="299767.28000000003"/>
    <n v="9"/>
    <n v="19768.27"/>
    <n v="9"/>
    <n v="19768.27"/>
    <n v="0"/>
    <n v="0"/>
    <n v="0"/>
    <n v="39536.54"/>
    <n v="0"/>
    <s v="24AAACO3087C1ZT"/>
    <s v="KGS"/>
    <n v="39269080"/>
    <s v="Rs."/>
    <n v="1"/>
    <n v="1363"/>
    <s v="India"/>
    <x v="3"/>
  </r>
  <r>
    <d v="2026-07-09T00:00:00"/>
    <s v="Plastene India ltd - Unit 2-Sales"/>
    <s v="Sales"/>
    <n v="423"/>
    <s v="Sales - Within State  Manufactured Goods"/>
    <s v="KPV/D/423"/>
    <d v="2026-07-09T00:00:00"/>
    <s v="SF"/>
    <s v="PP/PE Fabric"/>
    <s v="PP UL Fabric"/>
    <s v="PP WOVEN FABRIC"/>
    <s v="PP UL Fabric With UV"/>
    <n v="204.6"/>
    <n v="34608.089999999997"/>
    <s v="Sulzer Ventilated_x000d__x000a_"/>
    <n v="0"/>
    <n v="9"/>
    <n v="3114.73"/>
    <n v="9"/>
    <n v="3114.73"/>
    <n v="0"/>
    <n v="0"/>
    <n v="0"/>
    <n v="6229.46"/>
    <n v="0"/>
    <s v="24AAACO3087C1ZT"/>
    <s v="KGS"/>
    <n v="39269080"/>
    <s v="Rs."/>
    <n v="1"/>
    <n v="204.6"/>
    <s v="India"/>
    <x v="3"/>
  </r>
  <r>
    <d v="2026-07-09T00:00:00"/>
    <s v="Plastene India ltd - Unit 2-Sales"/>
    <s v="Sales"/>
    <n v="424"/>
    <s v="Sales - Within State - Traded Goods"/>
    <s v="KPV/D/424"/>
    <d v="2026-07-09T00:00:00"/>
    <s v="Stores/Spares"/>
    <s v="MS Structure Items"/>
    <s v="Capital Work in Progress"/>
    <s v="MS PIPE"/>
    <s v="MS Pipe"/>
    <n v="66"/>
    <n v="3168"/>
    <s v="."/>
    <n v="3735.07"/>
    <n v="9"/>
    <n v="285.12"/>
    <n v="9"/>
    <n v="285.12"/>
    <n v="0"/>
    <n v="0"/>
    <n v="0"/>
    <n v="570.24"/>
    <n v="0"/>
    <s v="24AAACO3087C1ZT"/>
    <s v="KGS"/>
    <n v="73063090"/>
    <s v="Rs."/>
    <n v="1"/>
    <n v="66"/>
    <s v="India"/>
    <x v="4"/>
  </r>
  <r>
    <d v="2026-07-09T00:00:00"/>
    <s v="Plastene India ltd - Unit 2-Sales"/>
    <s v="Job Invoice"/>
    <s v="KPV/D/422"/>
    <s v="Job Work Income"/>
    <s v="KPV/D/422"/>
    <d v="2026-07-09T00:00:00"/>
    <s v="FG"/>
    <s v="FIBC Bags"/>
    <s v="FIBC Bags"/>
    <s v="PP WOVEN BIG BAGS / SACKS"/>
    <s v="FIBC Bags With UV Without Liner"/>
    <n v="1924.4"/>
    <n v="419711.64"/>
    <s v="6125/JS-14502C (PP WOVEN BIG BAGS)"/>
    <n v="876466.74"/>
    <n v="9"/>
    <n v="37774.050000000003"/>
    <n v="9"/>
    <n v="37774.050000000003"/>
    <n v="0"/>
    <n v="0"/>
    <n v="0"/>
    <n v="75548.100000000006"/>
    <n v="0"/>
    <s v="24AAACO3087C1ZT"/>
    <s v="KGS"/>
    <n v="998852"/>
    <s v="Rs."/>
    <n v="1"/>
    <n v="1924.4"/>
    <s v="India"/>
    <x v="1"/>
  </r>
  <r>
    <d v="2026-07-09T00:00:00"/>
    <s v="Plastene India ltd - Unit 2-Sales"/>
    <s v="Job Invoice"/>
    <s v="KPV/D/422"/>
    <s v="Job Work Income"/>
    <s v="KPV/D/422"/>
    <d v="2026-07-09T00:00:00"/>
    <s v="FG"/>
    <s v="FIBC Bags"/>
    <s v="FIBC Bags"/>
    <s v="PP WOVEN BIG BAGS / SACKS"/>
    <s v="FIBC Bags With UV Without Liner"/>
    <n v="676.6"/>
    <n v="150232.264"/>
    <s v="6126/JS-14504 (PP WOVEN BIG BAGS)"/>
    <n v="0"/>
    <n v="9"/>
    <n v="13520.9"/>
    <n v="9"/>
    <n v="13520.9"/>
    <n v="0"/>
    <n v="0"/>
    <n v="0"/>
    <n v="27041.8"/>
    <n v="0"/>
    <s v="24AAACO3087C1ZT"/>
    <s v="KGS"/>
    <n v="998852"/>
    <s v="Rs."/>
    <n v="1"/>
    <n v="676.6"/>
    <s v="India"/>
    <x v="1"/>
  </r>
  <r>
    <d v="2026-07-09T00:00:00"/>
    <s v="Plastene India ltd - Unit 2-Sales"/>
    <s v="Job Invoice"/>
    <s v="KPV/D/422"/>
    <s v="Job Work Income"/>
    <s v="KPV/D/422"/>
    <d v="2026-07-09T00:00:00"/>
    <s v="FG"/>
    <s v="FIBC Bags"/>
    <s v="FIBC Bags"/>
    <s v="PP WOVEN BIG BAGS / SACKS"/>
    <s v="FIBC Bags With UV Without Liner"/>
    <n v="781.9"/>
    <n v="185630.87899999999"/>
    <s v="6138/JS-15030 (PP WOVEN BIG BAGS)"/>
    <n v="0"/>
    <n v="9"/>
    <n v="16706.78"/>
    <n v="9"/>
    <n v="16706.78"/>
    <n v="0"/>
    <n v="0"/>
    <n v="0"/>
    <n v="33413.56"/>
    <n v="0"/>
    <s v="24AAACO3087C1ZT"/>
    <s v="KGS"/>
    <n v="998852"/>
    <s v="Rs."/>
    <n v="1"/>
    <n v="781.9"/>
    <s v="India"/>
    <x v="1"/>
  </r>
  <r>
    <d v="2026-07-09T00:00:00"/>
    <s v="Plastene Polyfilms Ltd-Sales"/>
    <s v="Sales"/>
    <n v="429"/>
    <s v="Sales - Within State  Manufactured Goods"/>
    <s v="KPV/D/429"/>
    <d v="2026-07-09T00:00:00"/>
    <s v="SF"/>
    <s v="Yarn All"/>
    <s v="PP Yarn"/>
    <s v="PP FABRILLATED YARN"/>
    <s v="PP Fibrillated Tape Twisted 3200 MW"/>
    <n v="980"/>
    <n v="148127"/>
    <s v="MW"/>
    <n v="313854.53000000003"/>
    <n v="2.5"/>
    <n v="3703.18"/>
    <n v="2.5"/>
    <n v="3703.18"/>
    <n v="0"/>
    <n v="0"/>
    <n v="0"/>
    <n v="7406.36"/>
    <n v="0"/>
    <s v="24AAFCP2956A1ZR"/>
    <s v="KGS"/>
    <n v="54026930"/>
    <s v="Rs."/>
    <n v="1"/>
    <n v="980"/>
    <s v="India"/>
    <x v="0"/>
  </r>
  <r>
    <d v="2026-07-09T00:00:00"/>
    <s v="Plastene Polyfilms Ltd-Sales"/>
    <s v="Sales"/>
    <n v="429"/>
    <s v="Sales - Within State  Manufactured Goods"/>
    <s v="KPV/D/429"/>
    <d v="2026-07-09T00:00:00"/>
    <s v="SF"/>
    <s v="Yarn All"/>
    <s v="PP Yarn"/>
    <s v="PP FABRILLATED YARN"/>
    <s v="PP Fibrillated Tape Twisted 3200 Blue"/>
    <n v="980"/>
    <n v="151067"/>
    <s v="BLUE"/>
    <n v="0"/>
    <n v="2.5"/>
    <n v="3776.68"/>
    <n v="2.5"/>
    <n v="3776.68"/>
    <n v="0"/>
    <n v="0"/>
    <n v="0"/>
    <n v="7553.36"/>
    <n v="0"/>
    <s v="24AAFCP2956A1ZR"/>
    <s v="KGS"/>
    <n v="54026930"/>
    <s v="Rs."/>
    <n v="1"/>
    <n v="980"/>
    <s v="India"/>
    <x v="0"/>
  </r>
  <r>
    <d v="2026-07-09T00:00:00"/>
    <s v="Southern Packaging Lp"/>
    <s v="Export Sales"/>
    <s v="KPW/E/94/26-27"/>
    <s v="Sales - Direct Export - Mfg - U/R"/>
    <s v="KPW/E/94/26-27"/>
    <d v="2026-07-09T00:00:00"/>
    <s v="FG"/>
    <s v="FIBC Bags"/>
    <s v="FIBC Bags"/>
    <s v="PP WOVEN BIG BAGS / SACKS"/>
    <s v="FIBC Bags With UV Without Liner"/>
    <n v="20435.3"/>
    <n v="4578208.8"/>
    <s v="PP WOVEN BIG BAG"/>
    <n v="4578208.8"/>
    <n v="0"/>
    <n v="0"/>
    <n v="0"/>
    <n v="0"/>
    <n v="18"/>
    <n v="824077.58400000003"/>
    <n v="0.17"/>
    <n v="824077.75400000007"/>
    <n v="0"/>
    <s v="N.A."/>
    <s v="KGS"/>
    <n v="63053200"/>
    <s v="$"/>
    <n v="93.5"/>
    <n v="20435.3"/>
    <s v="USA"/>
    <x v="1"/>
  </r>
  <r>
    <d v="2026-07-10T00:00:00"/>
    <s v="Ameriglobe LLC"/>
    <s v="Export Sales"/>
    <s v="KPW/E/95/26-27"/>
    <s v="Sales - Direct Export - Mfg - U/R"/>
    <s v="KPW/E/95/26-27"/>
    <d v="2026-07-10T00:00:00"/>
    <s v="FG"/>
    <s v="FIBC Bags"/>
    <s v="FIBC Bags"/>
    <s v="PP WOVEN BIG BAGS / SACKS"/>
    <s v="FIBC Bags With UV With Liner"/>
    <n v="17564.8"/>
    <n v="4812931.2"/>
    <s v="PP WOVEN BIG BAG"/>
    <n v="4812931.2"/>
    <n v="0"/>
    <n v="0"/>
    <n v="0"/>
    <n v="0"/>
    <n v="18"/>
    <n v="866327.61600000004"/>
    <n v="0.17"/>
    <n v="866327.78600000008"/>
    <n v="0"/>
    <s v="N.A."/>
    <s v="KGS"/>
    <n v="63053200"/>
    <s v="$"/>
    <n v="93.5"/>
    <n v="17564.8"/>
    <s v="USA"/>
    <x v="1"/>
  </r>
  <r>
    <d v="2026-07-10T00:00:00"/>
    <s v="Hcp Plastene Bulkpack Ltd Vadodara-Sales"/>
    <s v="Sales"/>
    <n v="434"/>
    <s v="Sales - Within State  Manufactured Goods"/>
    <s v="KPV/D/434"/>
    <d v="2026-07-10T00:00:00"/>
    <s v="RM"/>
    <s v="FIBC Accessories"/>
    <s v="FIBC Accessories"/>
    <s v="PP LAMINETED FABRIC"/>
    <s v="Non Woven Fabric (Felt)"/>
    <n v="203.5"/>
    <n v="26862"/>
    <s v="."/>
    <n v="28178.240000000002"/>
    <n v="2.5"/>
    <n v="671.55"/>
    <n v="2.5"/>
    <n v="671.55"/>
    <n v="0"/>
    <n v="0"/>
    <n v="0"/>
    <n v="1343.1"/>
    <n v="0"/>
    <s v="24AABCG1282C2Z6"/>
    <s v="KGS"/>
    <n v="58079010"/>
    <s v="Rs."/>
    <n v="1"/>
    <n v="203.5"/>
    <s v="India"/>
    <x v="10"/>
  </r>
  <r>
    <d v="2026-07-10T00:00:00"/>
    <s v="Oswal Extrusion Ltd- KASEZ-Sales"/>
    <s v="SALES (FOREX)"/>
    <s v="KPW/E/97/26-27"/>
    <s v="Sales - Kasez - Trading - U/B"/>
    <s v="KPW/E/97/26-27"/>
    <d v="2026-07-10T00:00:00"/>
    <s v="Consumables"/>
    <s v="Consumables"/>
    <s v="Consumables"/>
    <s v="Consumables"/>
    <s v="Hotmelt  ( Glue )"/>
    <n v="90"/>
    <n v="28800"/>
    <s v="Hotmelt  ( Glue )"/>
    <n v="28800"/>
    <n v="0"/>
    <n v="0"/>
    <n v="0"/>
    <n v="0"/>
    <n v="0"/>
    <n v="0"/>
    <n v="0"/>
    <n v="0"/>
    <n v="0"/>
    <s v="24AAACO7290H4ZB"/>
    <s v="KGS"/>
    <n v="350610"/>
    <s v="Rs."/>
    <n v="1"/>
    <n v="90"/>
    <s v="India"/>
    <x v="4"/>
  </r>
  <r>
    <d v="2026-07-10T00:00:00"/>
    <s v="Plastene India ltd - Unit 1-Sales"/>
    <s v="Sales"/>
    <n v="435"/>
    <s v="Sales - Waste &amp; Scrape"/>
    <s v="KPV/D/435"/>
    <d v="2026-07-10T00:00:00"/>
    <s v="SF"/>
    <s v="Wastage/Scrap"/>
    <s v="Wastage/Scrap"/>
    <s v="Waste"/>
    <s v="PP/HD Wastage/Scrap"/>
    <n v="7410"/>
    <n v="629850"/>
    <s v="PP/HD Wastage/Scrap"/>
    <n v="758087.46"/>
    <n v="9"/>
    <n v="56686.5"/>
    <n v="9"/>
    <n v="56686.5"/>
    <n v="0"/>
    <n v="0"/>
    <n v="0"/>
    <n v="113373"/>
    <n v="14864.46"/>
    <s v="24AAACO3087C1ZT"/>
    <s v="KGS"/>
    <n v="39159029"/>
    <s v="Rs."/>
    <n v="1"/>
    <n v="7410"/>
    <s v="India"/>
    <x v="11"/>
  </r>
  <r>
    <d v="2026-07-10T00:00:00"/>
    <s v="Plastene India ltd - Unit 1-Sales"/>
    <s v="Sales"/>
    <n v="436"/>
    <s v="Sales - Within State  Manufactured Goods"/>
    <s v="KPV/D/436"/>
    <d v="2026-07-10T00:00:00"/>
    <s v="FG"/>
    <s v="FIBC Bags"/>
    <s v="FIBC Bags"/>
    <s v="PP WOVEN BIG BAGS / SACKS"/>
    <s v="FIBC Bags With UV Without Liner"/>
    <n v="229"/>
    <n v="70335.06"/>
    <s v="1500020866/01"/>
    <n v="2055166.3"/>
    <n v="9"/>
    <n v="6330.16"/>
    <n v="9"/>
    <n v="6330.16"/>
    <n v="0"/>
    <n v="0"/>
    <n v="0"/>
    <n v="12660.32"/>
    <n v="0"/>
    <s v="24AAACO3087C1ZT"/>
    <s v="KGS"/>
    <n v="63053200"/>
    <s v="Rs."/>
    <n v="1"/>
    <n v="229"/>
    <s v="India"/>
    <x v="1"/>
  </r>
  <r>
    <d v="2026-07-10T00:00:00"/>
    <s v="Plastene India ltd - Unit 1-Sales"/>
    <s v="Sales"/>
    <n v="436"/>
    <s v="Sales - Within State  Manufactured Goods"/>
    <s v="KPV/D/436"/>
    <d v="2026-07-10T00:00:00"/>
    <s v="FG"/>
    <s v="FIBC Bags"/>
    <s v="FIBC Bags"/>
    <s v="PP WOVEN BIG BAGS / SACKS"/>
    <s v="FIBC Bags With UV Without Liner"/>
    <n v="1234.2"/>
    <n v="325544.93"/>
    <s v="26.19389/MERCER-16"/>
    <n v="0"/>
    <n v="9"/>
    <n v="29299.040000000001"/>
    <n v="9"/>
    <n v="29299.040000000001"/>
    <n v="0"/>
    <n v="0"/>
    <n v="0"/>
    <n v="58598.080000000002"/>
    <n v="0"/>
    <s v="24AAACO3087C1ZT"/>
    <s v="KGS"/>
    <n v="63053200"/>
    <s v="Rs."/>
    <n v="1"/>
    <n v="1234.2"/>
    <s v="India"/>
    <x v="1"/>
  </r>
  <r>
    <d v="2026-07-10T00:00:00"/>
    <s v="Plastene India ltd - Unit 1-Sales"/>
    <s v="Sales"/>
    <n v="436"/>
    <s v="Sales - Within State  Manufactured Goods"/>
    <s v="KPV/D/436"/>
    <d v="2026-07-10T00:00:00"/>
    <s v="FG"/>
    <s v="FIBC Bags"/>
    <s v="FIBC Bags"/>
    <s v="PP WOVEN BIG BAGS / SACKS"/>
    <s v="FIBC Bags With UV Without Liner"/>
    <n v="1236"/>
    <n v="325537.68"/>
    <s v="26.19390/MERCER-15"/>
    <n v="0"/>
    <n v="9"/>
    <n v="29298.39"/>
    <n v="9"/>
    <n v="29298.39"/>
    <n v="0"/>
    <n v="0"/>
    <n v="0"/>
    <n v="58596.78"/>
    <n v="0"/>
    <s v="24AAACO3087C1ZT"/>
    <s v="KGS"/>
    <n v="63053200"/>
    <s v="Rs."/>
    <n v="1"/>
    <n v="1236"/>
    <s v="India"/>
    <x v="1"/>
  </r>
  <r>
    <d v="2026-07-10T00:00:00"/>
    <s v="Plastene India ltd - Unit 1-Sales"/>
    <s v="Sales"/>
    <n v="436"/>
    <s v="Sales - Within State  Manufactured Goods"/>
    <s v="KPV/D/436"/>
    <d v="2026-07-10T00:00:00"/>
    <s v="FG"/>
    <s v="FIBC Bags"/>
    <s v="FIBC Bags"/>
    <s v="PP WOVEN BIG BAGS / SACKS"/>
    <s v="FIBC Bags With UV Without Liner"/>
    <n v="906.1"/>
    <n v="240841.38"/>
    <s v="26/80334/26167/15.4716-18"/>
    <n v="0"/>
    <n v="9"/>
    <n v="21675.72"/>
    <n v="9"/>
    <n v="21675.72"/>
    <n v="0"/>
    <n v="0"/>
    <n v="0"/>
    <n v="43351.44"/>
    <n v="0"/>
    <s v="24AAACO3087C1ZT"/>
    <s v="KGS"/>
    <n v="63053200"/>
    <s v="Rs."/>
    <n v="1"/>
    <n v="906.1"/>
    <s v="India"/>
    <x v="1"/>
  </r>
  <r>
    <d v="2026-07-10T00:00:00"/>
    <s v="Plastene India ltd - Unit 1-Sales"/>
    <s v="Sales"/>
    <n v="436"/>
    <s v="Sales - Within State  Manufactured Goods"/>
    <s v="KPV/D/436"/>
    <d v="2026-07-10T00:00:00"/>
    <s v="FG"/>
    <s v="FIBC Bags"/>
    <s v="FIBC Bags"/>
    <s v="PP WOVEN BIG BAGS / SACKS"/>
    <s v="FIBC Bags With UV Without Liner"/>
    <n v="1631.2"/>
    <n v="464467.89"/>
    <s v="8500591215/A-157775"/>
    <n v="0"/>
    <n v="9"/>
    <n v="41802.11"/>
    <n v="9"/>
    <n v="41802.11"/>
    <n v="0"/>
    <n v="0"/>
    <n v="0"/>
    <n v="83604.22"/>
    <n v="0"/>
    <s v="24AAACO3087C1ZT"/>
    <s v="KGS"/>
    <n v="63053200"/>
    <s v="Rs."/>
    <n v="1"/>
    <n v="1631.2"/>
    <s v="India"/>
    <x v="1"/>
  </r>
  <r>
    <d v="2026-07-10T00:00:00"/>
    <s v="Plastene India ltd - Unit 1-Sales"/>
    <s v="Sales"/>
    <n v="436"/>
    <s v="Sales - Within State  Manufactured Goods"/>
    <s v="KPV/D/436"/>
    <d v="2026-07-10T00:00:00"/>
    <s v="FG"/>
    <s v="FIBC Bags"/>
    <s v="FIBC Bags"/>
    <s v="PP WOVEN BIG BAGS / SACKS"/>
    <s v="FIBC Bags With UV Without Liner"/>
    <n v="1321.1"/>
    <n v="316416.65999999997"/>
    <s v="8500595084/A-136599"/>
    <n v="0"/>
    <n v="9"/>
    <n v="28477.5"/>
    <n v="9"/>
    <n v="28477.5"/>
    <n v="0"/>
    <n v="0"/>
    <n v="0"/>
    <n v="56955"/>
    <n v="0"/>
    <s v="24AAACO3087C1ZT"/>
    <s v="KGS"/>
    <n v="63053200"/>
    <s v="Rs."/>
    <n v="1"/>
    <n v="1321.1"/>
    <s v="India"/>
    <x v="1"/>
  </r>
  <r>
    <d v="2026-07-10T00:00:00"/>
    <s v="Plastene India ltd - Unit 2-Sales"/>
    <s v="Sales"/>
    <n v="432"/>
    <s v="Sales - Within State  Manufactured Goods"/>
    <s v="KPV/D/432"/>
    <d v="2026-07-10T00:00:00"/>
    <s v="SF"/>
    <s v="PP/PE Fabric"/>
    <s v="PP Lam Fabric"/>
    <s v="PP LAMINETED FABRIC"/>
    <s v="PP Lam Fabric With UV"/>
    <n v="550.4"/>
    <n v="85394.559999999998"/>
    <s v="LESS THAN 90 GSM"/>
    <n v="448314.07"/>
    <n v="9"/>
    <n v="7685.51"/>
    <n v="9"/>
    <n v="7685.51"/>
    <n v="0"/>
    <n v="0"/>
    <n v="0"/>
    <n v="15371.02"/>
    <n v="0"/>
    <s v="24AAACO3087C1ZT"/>
    <s v="KGS"/>
    <n v="39269080"/>
    <s v="Rs."/>
    <n v="1"/>
    <n v="550.4"/>
    <s v="India"/>
    <x v="5"/>
  </r>
  <r>
    <d v="2026-07-10T00:00:00"/>
    <s v="Plastene India ltd - Unit 2-Sales"/>
    <s v="Sales"/>
    <n v="432"/>
    <s v="Sales - Within State  Manufactured Goods"/>
    <s v="KPV/D/432"/>
    <d v="2026-07-10T00:00:00"/>
    <s v="SF"/>
    <s v="Webbing"/>
    <s v="PP Webbing"/>
    <s v="PP WEBBING"/>
    <s v="Webbing"/>
    <n v="1864.4"/>
    <n v="294854.86"/>
    <s v="BLUE"/>
    <n v="0"/>
    <n v="9"/>
    <n v="26536.94"/>
    <n v="9"/>
    <n v="26536.94"/>
    <n v="0"/>
    <n v="0"/>
    <n v="0"/>
    <n v="53073.88"/>
    <n v="0"/>
    <s v="24AAACO3087C1ZT"/>
    <s v="KGS"/>
    <n v="39269080"/>
    <s v="Rs."/>
    <n v="1"/>
    <n v="1864.4"/>
    <s v="India"/>
    <x v="6"/>
  </r>
  <r>
    <d v="2026-07-10T00:00:00"/>
    <s v="Plastene India ltd - Unit 2-Sales"/>
    <s v="Sales"/>
    <n v="433"/>
    <s v="Sales - Within State - Traded Goods"/>
    <s v="KPV/D/433"/>
    <d v="2026-07-10T00:00:00"/>
    <s v="Stores/Spares"/>
    <s v="MS Structure Items"/>
    <s v="Capital Work in Progress"/>
    <s v="MS PIPE"/>
    <s v="MS Pipe"/>
    <n v="11"/>
    <n v="528"/>
    <s v="."/>
    <n v="622.51"/>
    <n v="9"/>
    <n v="47.52"/>
    <n v="9"/>
    <n v="47.52"/>
    <n v="0"/>
    <n v="0"/>
    <n v="0"/>
    <n v="95.04"/>
    <n v="0"/>
    <s v="24AAACO3087C1ZT"/>
    <s v="KGS"/>
    <n v="73063090"/>
    <s v="Rs."/>
    <n v="1"/>
    <n v="11"/>
    <s v="India"/>
    <x v="4"/>
  </r>
  <r>
    <d v="2026-07-10T00:00:00"/>
    <s v="Tecnopacking"/>
    <s v="Export Sales"/>
    <s v="KPW/E/96/26-27"/>
    <s v="Sales - Direct Export - Mfg - U/R"/>
    <s v="KPW/E/96/26-27"/>
    <d v="2026-07-10T00:00:00"/>
    <s v="FG"/>
    <s v="FIBC Bags"/>
    <s v="FIBC Bags"/>
    <s v="PP WOVEN BIG BAGS / SACKS"/>
    <s v="FIBC Bags With UV Without Liner"/>
    <n v="3074"/>
    <n v="590920"/>
    <s v="PP WOVEN BIG BAGS"/>
    <n v="590920"/>
    <n v="0"/>
    <n v="0"/>
    <n v="0"/>
    <n v="0"/>
    <n v="18"/>
    <n v="106365.6"/>
    <n v="0.17"/>
    <n v="106365.76999999999"/>
    <n v="0"/>
    <s v="N.A."/>
    <s v="KGS"/>
    <n v="63053200"/>
    <s v="$"/>
    <n v="93.5"/>
    <n v="3074"/>
    <s v="Spain"/>
    <x v="1"/>
  </r>
  <r>
    <d v="2026-07-10T00:00:00"/>
    <s v="Umasree Texplast Pvt Ltd - Sales"/>
    <s v="Job Invoice"/>
    <s v="KPV/D/437"/>
    <s v="Job Work Income"/>
    <s v="KPV/D/437"/>
    <d v="2026-07-10T00:00:00"/>
    <s v="SF"/>
    <s v="PP/PE Fabric"/>
    <s v="PP UL Fabric"/>
    <s v="PP WOVEN FABRIC"/>
    <s v="PP UL Fabric With UV"/>
    <n v="68"/>
    <n v="3264"/>
    <s v="PP WOVEN FABRIC"/>
    <n v="14922.24"/>
    <n v="9"/>
    <n v="293.76"/>
    <n v="9"/>
    <n v="293.76"/>
    <n v="0"/>
    <n v="0"/>
    <n v="0"/>
    <n v="587.52"/>
    <n v="0"/>
    <s v="24AAACU6665Q1ZO"/>
    <s v="KGS"/>
    <n v="998852"/>
    <s v="Rs."/>
    <n v="1"/>
    <n v="68"/>
    <s v="India"/>
    <x v="3"/>
  </r>
  <r>
    <d v="2026-07-10T00:00:00"/>
    <s v="Umasree Texplast Pvt Ltd - Sales"/>
    <s v="Job Invoice"/>
    <s v="KPV/D/437"/>
    <s v="Job Work Income"/>
    <s v="KPV/D/437"/>
    <d v="2026-07-10T00:00:00"/>
    <s v="SF"/>
    <s v="PP/PE Fabric"/>
    <s v="PP UL Fabric"/>
    <s v="PP WOVEN FABRIC"/>
    <s v="PP UL Fabric With UV"/>
    <n v="1"/>
    <n v="48"/>
    <s v="PP WOVEN FABRIC"/>
    <n v="0"/>
    <n v="9"/>
    <n v="4.32"/>
    <n v="9"/>
    <n v="4.32"/>
    <n v="0"/>
    <n v="0"/>
    <n v="0"/>
    <n v="8.64"/>
    <n v="0"/>
    <s v="24AAACU6665Q1ZO"/>
    <s v="KGS"/>
    <n v="998852"/>
    <s v="Rs."/>
    <n v="1"/>
    <n v="1"/>
    <s v="India"/>
    <x v="3"/>
  </r>
  <r>
    <d v="2026-07-10T00:00:00"/>
    <s v="Umasree Texplast Pvt Ltd - Sales"/>
    <s v="Job Invoice"/>
    <s v="KPV/D/437"/>
    <s v="Job Work Income"/>
    <s v="KPV/D/437"/>
    <d v="2026-07-10T00:00:00"/>
    <s v="SF"/>
    <s v="PP/PE Fabric"/>
    <s v="PP UL Fabric"/>
    <s v="PP WOVEN FABRIC"/>
    <s v="PP UL Fabric With UV"/>
    <n v="199"/>
    <n v="9552"/>
    <s v="PP WOVEN FABRIC"/>
    <n v="0"/>
    <n v="9"/>
    <n v="859.68"/>
    <n v="9"/>
    <n v="859.68"/>
    <n v="0"/>
    <n v="0"/>
    <n v="0"/>
    <n v="1719.36"/>
    <n v="0"/>
    <s v="24AAACU6665Q1ZO"/>
    <s v="KGS"/>
    <n v="998852"/>
    <s v="Rs."/>
    <n v="1"/>
    <n v="199"/>
    <s v="India"/>
    <x v="3"/>
  </r>
  <r>
    <d v="2026-07-11T00:00:00"/>
    <s v="Ameriglobe LLC"/>
    <s v="Export Sales"/>
    <s v="KPW/E/98/26-27"/>
    <s v="Sales - Direct Export - Mfg - U/B"/>
    <s v="KPW/E/98/26-27"/>
    <d v="2026-07-11T00:00:00"/>
    <s v="FG"/>
    <s v="FIBC Bags"/>
    <s v="FIBC Bags"/>
    <s v="PP WOVEN BIG BAGS / SACKS"/>
    <s v="FIBC Bags With UV Without Liner"/>
    <n v="8683.4"/>
    <n v="2945250"/>
    <s v="PP WOVEN BIG BAG"/>
    <n v="2945250"/>
    <n v="0"/>
    <n v="0"/>
    <n v="0"/>
    <n v="0"/>
    <n v="0"/>
    <n v="0"/>
    <n v="0"/>
    <n v="0"/>
    <n v="0"/>
    <s v="N.A."/>
    <s v="KGS"/>
    <n v="63053200"/>
    <s v="$"/>
    <n v="93.5"/>
    <n v="8683.4"/>
    <s v="USA"/>
    <x v="1"/>
  </r>
  <r>
    <d v="2026-07-11T00:00:00"/>
    <s v="Exim Handelsonderneming Rotterdam Bv"/>
    <s v="Export Sales"/>
    <s v="KPW/E/99/26-27"/>
    <s v="Sales - Direct Export - Mfg - U/R"/>
    <s v="KPW/E/99/26-27"/>
    <d v="2026-07-11T00:00:00"/>
    <s v="FG"/>
    <s v="FIBC Bags"/>
    <s v="FIBC Bags"/>
    <s v="PP WOVEN BIG BAGS / SACKS"/>
    <s v="FIBC Bags With UV Without Liner"/>
    <n v="20053"/>
    <n v="3929692.8000000003"/>
    <s v="PP WOVEN BIG BAG"/>
    <n v="3929692.8"/>
    <n v="0"/>
    <n v="0"/>
    <n v="0"/>
    <n v="0"/>
    <n v="18"/>
    <n v="707344.70400000003"/>
    <n v="0.17"/>
    <n v="707344.87400000007"/>
    <n v="0"/>
    <s v="N.A."/>
    <s v="KGS"/>
    <n v="63053200"/>
    <s v="$"/>
    <n v="93.5"/>
    <n v="20053"/>
    <s v="Netherlands"/>
    <x v="1"/>
  </r>
  <r>
    <d v="2026-07-11T00:00:00"/>
    <s v="Plastene India ltd - Unit 2-Sales"/>
    <s v="Sales"/>
    <n v="438"/>
    <s v="Sales - Within State  Manufactured Goods"/>
    <s v="KPV/D/438"/>
    <d v="2026-07-11T00:00:00"/>
    <s v="SF"/>
    <s v="PP/PE Fabric"/>
    <s v="PP UL Fabric"/>
    <s v="PP WOVEN FABRIC"/>
    <s v="PP UL Fabric With UV"/>
    <n v="604.9"/>
    <n v="99294.34"/>
    <s v="PP UL Fabric YELLOW"/>
    <n v="617222.56000000006"/>
    <n v="9"/>
    <n v="8936.49"/>
    <n v="9"/>
    <n v="8936.49"/>
    <n v="0"/>
    <n v="0"/>
    <n v="0"/>
    <n v="17872.98"/>
    <n v="0"/>
    <s v="24AAACO3087C1ZT"/>
    <s v="KGS"/>
    <n v="39269080"/>
    <s v="Rs."/>
    <n v="1"/>
    <n v="604.9"/>
    <s v="India"/>
    <x v="3"/>
  </r>
  <r>
    <d v="2026-07-11T00:00:00"/>
    <s v="Plastene India ltd - Unit 2-Sales"/>
    <s v="Sales"/>
    <n v="438"/>
    <s v="Sales - Within State  Manufactured Goods"/>
    <s v="KPV/D/438"/>
    <d v="2026-07-11T00:00:00"/>
    <s v="SF"/>
    <s v="Yarn All"/>
    <s v="PP Yarn"/>
    <s v="PP FABRILLATED YARN"/>
    <s v="PP Fibrillated Tape Twisted 3200 Blue"/>
    <n v="475"/>
    <n v="73221.25"/>
    <s v="BLUE"/>
    <n v="0"/>
    <n v="2.5"/>
    <n v="1830.53"/>
    <n v="2.5"/>
    <n v="1830.53"/>
    <n v="0"/>
    <n v="0"/>
    <n v="0"/>
    <n v="3661.06"/>
    <n v="0"/>
    <s v="24AAACO3087C1ZT"/>
    <s v="KGS"/>
    <n v="54026930"/>
    <s v="Rs."/>
    <n v="1"/>
    <n v="475"/>
    <s v="India"/>
    <x v="0"/>
  </r>
  <r>
    <d v="2026-07-11T00:00:00"/>
    <s v="Plastene India ltd - Unit 2-Sales"/>
    <s v="Sales"/>
    <n v="438"/>
    <s v="Sales - Within State  Manufactured Goods"/>
    <s v="KPV/D/438"/>
    <d v="2026-07-11T00:00:00"/>
    <s v="SF"/>
    <s v="Yarn All"/>
    <s v="PP Yarn"/>
    <s v="PP FABRILLATED YARN"/>
    <s v="PP Fibrillated Tape Twisted 3200 MW"/>
    <n v="2670"/>
    <n v="403570.5"/>
    <s v="MW"/>
    <n v="0"/>
    <n v="2.5"/>
    <n v="10089.26"/>
    <n v="2.5"/>
    <n v="10089.26"/>
    <n v="0"/>
    <n v="0"/>
    <n v="0"/>
    <n v="20178.52"/>
    <n v="0"/>
    <s v="24AAACO3087C1ZT"/>
    <s v="KGS"/>
    <n v="54026930"/>
    <s v="Rs."/>
    <n v="1"/>
    <n v="2670"/>
    <s v="India"/>
    <x v="0"/>
  </r>
  <r>
    <d v="2026-07-11T00:00:00"/>
    <s v="Plastene India ltd - Unit 2-Sales"/>
    <s v="Sales"/>
    <n v="439"/>
    <s v="Sales - Within State - Traded Goods"/>
    <s v="KPV/D/439"/>
    <d v="2026-07-11T00:00:00"/>
    <s v="Stores/Spares"/>
    <s v="MS Structure Items"/>
    <s v="Capital Work in Progress"/>
    <s v="MS PIPE"/>
    <s v="MS Pipe"/>
    <n v="60"/>
    <n v="2880"/>
    <s v="."/>
    <n v="3395.52"/>
    <n v="9"/>
    <n v="259.2"/>
    <n v="9"/>
    <n v="259.2"/>
    <n v="0"/>
    <n v="0"/>
    <n v="0"/>
    <n v="518.4"/>
    <n v="0"/>
    <s v="24AAACO3087C1ZT"/>
    <s v="KGS"/>
    <n v="73063090"/>
    <s v="Rs."/>
    <n v="1"/>
    <n v="60"/>
    <s v="India"/>
    <x v="4"/>
  </r>
  <r>
    <d v="2026-07-12T00:00:00"/>
    <s v="Bulk Lift International LLC"/>
    <s v="Export Sales"/>
    <s v="KPW/E/100/26-27"/>
    <s v="Sales - Direct Export - Mfg - U/R"/>
    <s v="KPW/E/100/26-27"/>
    <d v="2026-07-12T00:00:00"/>
    <s v="FG"/>
    <s v="FIBC Bags"/>
    <s v="FIBC Bags"/>
    <s v="PP WOVEN BIG BAGS / SACKS"/>
    <s v="FIBC Bags With UV Without Liner"/>
    <n v="18740.400000000001"/>
    <n v="4775232"/>
    <s v="P WOVEN BIG BAG"/>
    <n v="4775232"/>
    <n v="0"/>
    <n v="0"/>
    <n v="0"/>
    <n v="0"/>
    <n v="18"/>
    <n v="859541.76"/>
    <n v="0.17"/>
    <n v="859541.92999999993"/>
    <n v="0"/>
    <s v="N.A."/>
    <s v="KGS"/>
    <n v="63053200"/>
    <s v="$"/>
    <n v="93.5"/>
    <n v="18740.400000000001"/>
    <s v="USA"/>
    <x v="1"/>
  </r>
  <r>
    <d v="2026-07-12T00:00:00"/>
    <s v="Chamunda Scrap Traders"/>
    <s v="Sales"/>
    <n v="443"/>
    <s v="Sales - Waste &amp; Scrape"/>
    <s v="KPV/D/443"/>
    <d v="2026-07-12T00:00:00"/>
    <s v="Other Scrap"/>
    <s v="Wastage/Scrap"/>
    <s v="Waste"/>
    <s v="Waste"/>
    <s v="Wooden Scrap"/>
    <n v="4060"/>
    <n v="52780"/>
    <s v="PP/HD Wastage/Scrap"/>
    <n v="56527.38"/>
    <n v="2.5"/>
    <n v="1319.5"/>
    <n v="2.5"/>
    <n v="1319.5"/>
    <n v="0"/>
    <n v="0"/>
    <n v="0"/>
    <n v="2639"/>
    <n v="1108.3800000000001"/>
    <s v="24EWDPS1555M1Z4"/>
    <s v="KGS"/>
    <n v="440139"/>
    <s v="Rs."/>
    <n v="1"/>
    <n v="4060"/>
    <s v="India"/>
    <x v="4"/>
  </r>
  <r>
    <d v="2026-07-12T00:00:00"/>
    <s v="Hcp Plastene Bulkpack Ltd (Unit Iv) - Sales"/>
    <s v="Sales"/>
    <n v="442"/>
    <s v="Sales - Within State - Traded Goods"/>
    <s v="KPV/D/442"/>
    <d v="2026-07-12T00:00:00"/>
    <s v="RM Consumables"/>
    <s v="Ink"/>
    <s v="Thinner"/>
    <s v="Thinner VLX"/>
    <s v="Thinner Vyankatesh Thinner"/>
    <n v="170"/>
    <n v="18360"/>
    <s v="Thinner Vyankatesh Thinner"/>
    <n v="21646.44"/>
    <n v="9"/>
    <n v="1652.4"/>
    <n v="9"/>
    <n v="1652.4"/>
    <n v="0"/>
    <n v="0"/>
    <n v="0"/>
    <n v="3304.8"/>
    <n v="0"/>
    <s v="24AABCG1282C2Z6"/>
    <s v="KGS"/>
    <n v="38140011"/>
    <s v="Rs."/>
    <n v="1"/>
    <n v="170"/>
    <s v="India"/>
    <x v="4"/>
  </r>
  <r>
    <d v="2026-07-12T00:00:00"/>
    <s v="Hcp Plastene Bulkpack Ltd (Unit Iv) - Sales"/>
    <s v="Sales"/>
    <n v="445"/>
    <s v="Sales - Within State  Manufactured Goods"/>
    <s v="KPV/D/445"/>
    <d v="2026-07-12T00:00:00"/>
    <s v="SF"/>
    <s v="Yarn All"/>
    <s v="PP Yarn"/>
    <s v="PP FABRILLATED YARN"/>
    <s v="PP Fibrillated Tape Twisted 3200 Blue"/>
    <n v="920"/>
    <n v="141818"/>
    <s v="BLUE"/>
    <n v="441068.92"/>
    <n v="2.5"/>
    <n v="3545.45"/>
    <n v="2.5"/>
    <n v="3545.45"/>
    <n v="0"/>
    <n v="0"/>
    <n v="0"/>
    <n v="7090.9"/>
    <n v="0"/>
    <s v="24AABCG1282C2Z6"/>
    <s v="KGS"/>
    <n v="54026930"/>
    <s v="Rs."/>
    <n v="1"/>
    <n v="920"/>
    <s v="India"/>
    <x v="0"/>
  </r>
  <r>
    <d v="2026-07-12T00:00:00"/>
    <s v="Hcp Plastene Bulkpack Ltd (Unit Iv) - Sales"/>
    <s v="Sales"/>
    <n v="445"/>
    <s v="Sales - Within State  Manufactured Goods"/>
    <s v="KPV/D/445"/>
    <d v="2026-07-12T00:00:00"/>
    <s v="SF"/>
    <s v="Yarn All"/>
    <s v="PP Yarn"/>
    <s v="PP FABRILLATED YARN"/>
    <s v="PP Fibrillated Tape Twisted 3200 MW"/>
    <n v="485"/>
    <n v="73307.75"/>
    <s v="MW"/>
    <n v="0"/>
    <n v="2.5"/>
    <n v="1832.69"/>
    <n v="2.5"/>
    <n v="1832.69"/>
    <n v="0"/>
    <n v="0"/>
    <n v="0"/>
    <n v="3665.38"/>
    <n v="0"/>
    <s v="24AABCG1282C2Z6"/>
    <s v="KGS"/>
    <n v="54026930"/>
    <s v="Rs."/>
    <n v="1"/>
    <n v="485"/>
    <s v="India"/>
    <x v="0"/>
  </r>
  <r>
    <d v="2026-07-12T00:00:00"/>
    <s v="Hcp Plastene Bulkpack Ltd (Unit Iv) - Sales"/>
    <s v="Sales"/>
    <n v="445"/>
    <s v="Sales - Within State  Manufactured Goods"/>
    <s v="KPV/D/445"/>
    <d v="2026-07-12T00:00:00"/>
    <s v="SF"/>
    <s v="PP/PE Fabric"/>
    <s v="PP UL Fabric"/>
    <s v="PP WOVEN FABRIC"/>
    <s v="PP UL Fabric With UV"/>
    <n v="1080.0999999999999"/>
    <n v="182698.91"/>
    <s v="Sulzer Ventilated_x000d__x000a_"/>
    <n v="0"/>
    <n v="9"/>
    <n v="16442.900000000001"/>
    <n v="9"/>
    <n v="16442.900000000001"/>
    <n v="0"/>
    <n v="0"/>
    <n v="0"/>
    <n v="32885.800000000003"/>
    <n v="0"/>
    <s v="24AABCG1282C2Z6"/>
    <s v="KGS"/>
    <n v="39269080"/>
    <s v="Rs."/>
    <n v="1"/>
    <n v="1080.0999999999999"/>
    <s v="India"/>
    <x v="3"/>
  </r>
  <r>
    <d v="2026-07-12T00:00:00"/>
    <s v="Hcp Plastene Bulkpack Ltd (Unit Iv) - Sales"/>
    <s v="Sales"/>
    <n v="446"/>
    <s v="Sales - Within State - Traded Goods"/>
    <s v="KPV/D/446"/>
    <d v="2026-07-12T00:00:00"/>
    <s v="Stores/Spares"/>
    <s v="MS Structure Items"/>
    <s v="Capital Work in Progress"/>
    <s v="MS PIPE"/>
    <s v="MS Pipe"/>
    <n v="36"/>
    <n v="1728"/>
    <s v="."/>
    <n v="2037.31"/>
    <n v="9"/>
    <n v="155.52000000000001"/>
    <n v="9"/>
    <n v="155.52000000000001"/>
    <n v="0"/>
    <n v="0"/>
    <n v="0"/>
    <n v="311.04000000000002"/>
    <n v="0"/>
    <s v="24AABCG1282C2Z6"/>
    <s v="KGS"/>
    <n v="73063090"/>
    <s v="Rs."/>
    <n v="1"/>
    <n v="36"/>
    <s v="India"/>
    <x v="4"/>
  </r>
  <r>
    <d v="2026-07-12T00:00:00"/>
    <s v="Plastene India ltd - Unit 1-Sales"/>
    <s v="Sales"/>
    <n v="444"/>
    <s v="Sales - Within State - Traded Goods"/>
    <s v="KPV/D/444"/>
    <d v="2026-07-12T00:00:00"/>
    <s v="RM Consumables"/>
    <s v="Ink"/>
    <s v="Thinner"/>
    <s v="Thinner VLX"/>
    <s v="Thinner Vyankatesh Thinner"/>
    <n v="170"/>
    <n v="18360"/>
    <s v="Thinner Vyankatesh Thinner"/>
    <n v="21646.44"/>
    <n v="9"/>
    <n v="1652.4"/>
    <n v="9"/>
    <n v="1652.4"/>
    <n v="0"/>
    <n v="0"/>
    <n v="0"/>
    <n v="3304.8"/>
    <n v="0"/>
    <s v="24AAACO3087C1ZT"/>
    <s v="KGS"/>
    <n v="38140011"/>
    <s v="Rs."/>
    <n v="1"/>
    <n v="170"/>
    <s v="India"/>
    <x v="4"/>
  </r>
  <r>
    <d v="2026-07-12T00:00:00"/>
    <s v="Plastene India ltd - Unit 1-Sales"/>
    <s v="Sales"/>
    <n v="447"/>
    <s v="Sales - Within State - Traded Goods"/>
    <s v="KPV/D/447"/>
    <d v="2026-07-12T00:00:00"/>
    <s v="Stores/Spares"/>
    <s v="MS Structure Items"/>
    <s v="Capital Work in Progress"/>
    <s v="MS PIPE"/>
    <s v="MS Pipe 4  C Class"/>
    <n v="505"/>
    <n v="24240"/>
    <s v="."/>
    <n v="28578.959999999999"/>
    <n v="9"/>
    <n v="2181.6"/>
    <n v="9"/>
    <n v="2181.6"/>
    <n v="0"/>
    <n v="0"/>
    <n v="0"/>
    <n v="4363.2"/>
    <n v="0"/>
    <s v="24AAACO3087C1ZT"/>
    <s v="KGS"/>
    <n v="73063090"/>
    <s v="Rs."/>
    <n v="1"/>
    <n v="505"/>
    <s v="India"/>
    <x v="4"/>
  </r>
  <r>
    <d v="2026-07-12T00:00:00"/>
    <s v="Plastene India ltd - Unit 1-Sales"/>
    <s v="Sales"/>
    <n v="449"/>
    <s v="Sales - Within State  Manufactured Goods"/>
    <s v="KPV/D/449"/>
    <d v="2026-07-12T00:00:00"/>
    <s v="FG"/>
    <s v="FIBC Bags"/>
    <s v="FIBC Bags"/>
    <s v="PP WOVEN BIG BAGS / SACKS"/>
    <s v="FIBC Bags With UV With Liner"/>
    <n v="3245"/>
    <n v="1354884.85"/>
    <s v="8500594008/156904"/>
    <n v="2182338.62"/>
    <n v="9"/>
    <n v="121939.64"/>
    <n v="9"/>
    <n v="121939.64"/>
    <n v="0"/>
    <n v="0"/>
    <n v="0"/>
    <n v="243879.28"/>
    <n v="0"/>
    <s v="24AAACO3087C1ZT"/>
    <s v="KGS"/>
    <n v="63053200"/>
    <s v="Rs."/>
    <n v="1"/>
    <n v="3245"/>
    <s v="India"/>
    <x v="1"/>
  </r>
  <r>
    <d v="2026-07-12T00:00:00"/>
    <s v="Plastene India ltd - Unit 1-Sales"/>
    <s v="Sales"/>
    <n v="449"/>
    <s v="Sales - Within State  Manufactured Goods"/>
    <s v="KPV/D/449"/>
    <d v="2026-07-12T00:00:00"/>
    <s v="FG"/>
    <s v="FIBC Bags"/>
    <s v="FIBC Bags"/>
    <s v="PP WOVEN BIG BAGS / SACKS"/>
    <s v="FIBC Bags With UV Without Liner"/>
    <n v="823.6"/>
    <n v="217240.97"/>
    <s v="26.19389/MERCER-16"/>
    <n v="0"/>
    <n v="9"/>
    <n v="19551.689999999999"/>
    <n v="9"/>
    <n v="19551.689999999999"/>
    <n v="0"/>
    <n v="0"/>
    <n v="0"/>
    <n v="39103.379999999997"/>
    <n v="0"/>
    <s v="24AAACO3087C1ZT"/>
    <s v="KGS"/>
    <n v="63053200"/>
    <s v="Rs."/>
    <n v="1"/>
    <n v="823.6"/>
    <s v="India"/>
    <x v="1"/>
  </r>
  <r>
    <d v="2026-07-12T00:00:00"/>
    <s v="Plastene India ltd - Unit 1-Sales"/>
    <s v="Sales"/>
    <n v="449"/>
    <s v="Sales - Within State  Manufactured Goods"/>
    <s v="KPV/D/449"/>
    <d v="2026-07-12T00:00:00"/>
    <s v="FG"/>
    <s v="FIBC Bags"/>
    <s v="FIBC Bags"/>
    <s v="PP WOVEN BIG BAGS / SACKS"/>
    <s v="FIBC Bags With UV Without Liner"/>
    <n v="664.6"/>
    <n v="185516.44"/>
    <s v="POUS-5182/IMPQ06145"/>
    <n v="0"/>
    <n v="9"/>
    <n v="16696.48"/>
    <n v="9"/>
    <n v="16696.48"/>
    <n v="0"/>
    <n v="0"/>
    <n v="0"/>
    <n v="33392.959999999999"/>
    <n v="0"/>
    <s v="24AAACO3087C1ZT"/>
    <s v="KGS"/>
    <n v="63053200"/>
    <s v="Rs."/>
    <n v="1"/>
    <n v="664.6"/>
    <s v="India"/>
    <x v="1"/>
  </r>
  <r>
    <d v="2026-07-12T00:00:00"/>
    <s v="Plastene India ltd - Unit 1-Sales"/>
    <s v="Sales"/>
    <n v="449"/>
    <s v="Sales - Within State  Manufactured Goods"/>
    <s v="KPV/D/449"/>
    <d v="2026-07-12T00:00:00"/>
    <s v="FG"/>
    <s v="FIBC Bags"/>
    <s v="FIBC Bags"/>
    <s v="PP WOVEN BIG BAGS / SACKS"/>
    <s v="FIBC Bags With UV Without Liner"/>
    <n v="341.1"/>
    <n v="93365.89"/>
    <s v="POUS-5182/IMPQ06310"/>
    <n v="0"/>
    <n v="9"/>
    <n v="8402.93"/>
    <n v="9"/>
    <n v="8402.93"/>
    <n v="0"/>
    <n v="0"/>
    <n v="0"/>
    <n v="16805.86"/>
    <n v="0"/>
    <s v="24AAACO3087C1ZT"/>
    <s v="KGS"/>
    <n v="63053200"/>
    <s v="Rs."/>
    <n v="1"/>
    <n v="341.1"/>
    <s v="India"/>
    <x v="1"/>
  </r>
  <r>
    <d v="2026-07-12T00:00:00"/>
    <s v="Plastene India ltd - Unit 2-Sales"/>
    <s v="Sales"/>
    <n v="440"/>
    <s v="Sales - Within State  Manufactured Goods"/>
    <s v="KPV/D/440"/>
    <d v="2026-07-12T00:00:00"/>
    <s v="SF"/>
    <s v="PP/PE Fabric"/>
    <s v="PP UL Fabric"/>
    <s v="PP WOVEN FABRIC"/>
    <s v="PP UL Fabric With UV"/>
    <n v="2617.3000000000002"/>
    <n v="421777.9"/>
    <s v="PP UL Fabric MW"/>
    <n v="974748.93"/>
    <n v="9"/>
    <n v="37960.01"/>
    <n v="9"/>
    <n v="37960.01"/>
    <n v="0"/>
    <n v="0"/>
    <n v="0"/>
    <n v="75920.02"/>
    <n v="0"/>
    <s v="24AAACO3087C1ZT"/>
    <s v="KGS"/>
    <n v="39269080"/>
    <s v="Rs."/>
    <n v="1"/>
    <n v="2617.3000000000002"/>
    <s v="India"/>
    <x v="3"/>
  </r>
  <r>
    <d v="2026-07-12T00:00:00"/>
    <s v="Plastene India ltd - Unit 2-Sales"/>
    <s v="Sales"/>
    <n v="440"/>
    <s v="Sales - Within State  Manufactured Goods"/>
    <s v="KPV/D/440"/>
    <d v="2026-07-12T00:00:00"/>
    <s v="SF"/>
    <s v="PP/PE Fabric"/>
    <s v="PP UL Fabric"/>
    <s v="PP WOVEN FABRIC"/>
    <s v="PP UL Fabric With UV"/>
    <n v="613.6"/>
    <n v="103790.44"/>
    <s v="Sulzer Ventilated_x000d__x000a_"/>
    <n v="0"/>
    <n v="9"/>
    <n v="9341.14"/>
    <n v="9"/>
    <n v="9341.14"/>
    <n v="0"/>
    <n v="0"/>
    <n v="0"/>
    <n v="18682.28"/>
    <n v="0"/>
    <s v="24AAACO3087C1ZT"/>
    <s v="KGS"/>
    <n v="39269080"/>
    <s v="Rs."/>
    <n v="1"/>
    <n v="613.6"/>
    <s v="India"/>
    <x v="3"/>
  </r>
  <r>
    <d v="2026-07-12T00:00:00"/>
    <s v="Plastene India ltd - Unit 2-Sales"/>
    <s v="Sales"/>
    <n v="440"/>
    <s v="Sales - Within State  Manufactured Goods"/>
    <s v="KPV/D/440"/>
    <d v="2026-07-12T00:00:00"/>
    <s v="SF"/>
    <s v="Webbing"/>
    <s v="PP Webbing"/>
    <s v="PP WEBBING"/>
    <s v="Webbing"/>
    <n v="714.6"/>
    <n v="113013.99"/>
    <s v="Webbing BLUE"/>
    <n v="0"/>
    <n v="9"/>
    <n v="10171.26"/>
    <n v="9"/>
    <n v="10171.26"/>
    <n v="0"/>
    <n v="0"/>
    <n v="0"/>
    <n v="20342.52"/>
    <n v="0"/>
    <s v="24AAACO3087C1ZT"/>
    <s v="KGS"/>
    <n v="39269080"/>
    <s v="Rs."/>
    <n v="1"/>
    <n v="714.6"/>
    <s v="India"/>
    <x v="6"/>
  </r>
  <r>
    <d v="2026-07-12T00:00:00"/>
    <s v="Plastene India ltd - Unit 2-Sales"/>
    <s v="Sales"/>
    <n v="440"/>
    <s v="Sales - Within State  Manufactured Goods"/>
    <s v="KPV/D/440"/>
    <d v="2026-07-12T00:00:00"/>
    <s v="SF"/>
    <s v="Yarn All"/>
    <s v="PP Yarn"/>
    <s v="PP FABRILLATED YARN"/>
    <s v="PP Fibrillated Tape Twisted 3200 Blue"/>
    <n v="970"/>
    <n v="149525.5"/>
    <s v="BLUE"/>
    <n v="0"/>
    <n v="2.5"/>
    <n v="3738.14"/>
    <n v="2.5"/>
    <n v="3738.14"/>
    <n v="0"/>
    <n v="0"/>
    <n v="0"/>
    <n v="7476.28"/>
    <n v="0"/>
    <s v="24AAACO3087C1ZT"/>
    <s v="KGS"/>
    <n v="54026930"/>
    <s v="Rs."/>
    <n v="1"/>
    <n v="970"/>
    <s v="India"/>
    <x v="0"/>
  </r>
  <r>
    <d v="2026-07-12T00:00:00"/>
    <s v="Plastene India ltd - Unit 2-Sales"/>
    <s v="Sales"/>
    <n v="440"/>
    <s v="Sales - Within State  Manufactured Goods"/>
    <s v="KPV/D/440"/>
    <d v="2026-07-12T00:00:00"/>
    <s v="SF"/>
    <s v="Yarn All"/>
    <s v="PP Yarn"/>
    <s v="PP FABRILLATED YARN"/>
    <s v="PP Fibrillated Tape Twisted 3200 MW"/>
    <n v="410"/>
    <n v="61971.5"/>
    <s v="MW"/>
    <n v="0"/>
    <n v="2.5"/>
    <n v="1549.29"/>
    <n v="2.5"/>
    <n v="1549.29"/>
    <n v="0"/>
    <n v="0"/>
    <n v="0"/>
    <n v="3098.58"/>
    <n v="0"/>
    <s v="24AAACO3087C1ZT"/>
    <s v="KGS"/>
    <n v="54026930"/>
    <s v="Rs."/>
    <n v="1"/>
    <n v="410"/>
    <s v="India"/>
    <x v="0"/>
  </r>
  <r>
    <d v="2026-07-12T00:00:00"/>
    <s v="Plastene India ltd - Unit 2-Sales"/>
    <s v="Sales"/>
    <n v="441"/>
    <s v="Sales - Within State - Traded Goods"/>
    <s v="KPV/D/441"/>
    <d v="2026-07-12T00:00:00"/>
    <s v="Stores/Spares"/>
    <s v="MS Structure Items"/>
    <s v="Capital Work in Progress"/>
    <s v="MS PIPE"/>
    <s v="MS Pipe 4  C Class"/>
    <n v="615"/>
    <n v="29520"/>
    <s v="."/>
    <n v="34804.080000000002"/>
    <n v="9"/>
    <n v="2656.8"/>
    <n v="9"/>
    <n v="2656.8"/>
    <n v="0"/>
    <n v="0"/>
    <n v="0"/>
    <n v="5313.6"/>
    <n v="0"/>
    <s v="24AAACO3087C1ZT"/>
    <s v="KGS"/>
    <n v="73063090"/>
    <s v="Rs."/>
    <n v="1"/>
    <n v="615"/>
    <s v="India"/>
    <x v="4"/>
  </r>
  <r>
    <d v="2026-07-12T00:00:00"/>
    <s v="Plastene Polyfilms Ltd-Sales"/>
    <s v="Sales"/>
    <n v="448"/>
    <s v="Sales - Within State  Manufactured Goods"/>
    <s v="KPV/D/448"/>
    <d v="2026-07-12T00:00:00"/>
    <s v="SF"/>
    <s v="Yarn All"/>
    <s v="PP Yarn"/>
    <s v="PP FABRILLATED YARN"/>
    <s v="PP Fibrillated Tape Twisted 3200 Black"/>
    <n v="460"/>
    <n v="70909"/>
    <s v="BLACK"/>
    <n v="470272.18"/>
    <n v="2.5"/>
    <n v="1772.72"/>
    <n v="2.5"/>
    <n v="1772.72"/>
    <n v="0"/>
    <n v="0"/>
    <n v="0"/>
    <n v="3545.44"/>
    <n v="0"/>
    <s v="24AAFCP2956A1ZR"/>
    <s v="KGS"/>
    <n v="54026930"/>
    <s v="Rs."/>
    <n v="1"/>
    <n v="460"/>
    <s v="India"/>
    <x v="0"/>
  </r>
  <r>
    <d v="2026-07-12T00:00:00"/>
    <s v="Plastene Polyfilms Ltd-Sales"/>
    <s v="Sales"/>
    <n v="448"/>
    <s v="Sales - Within State  Manufactured Goods"/>
    <s v="KPV/D/448"/>
    <d v="2026-07-12T00:00:00"/>
    <s v="SF"/>
    <s v="Yarn All"/>
    <s v="PP Yarn"/>
    <s v="PP FABRILLATED YARN"/>
    <s v="PP Fibrillated Tape Twisted 3200 Blue"/>
    <n v="1100"/>
    <n v="169565"/>
    <s v="BLUE"/>
    <n v="0"/>
    <n v="2.5"/>
    <n v="4239.12"/>
    <n v="2.5"/>
    <n v="4239.12"/>
    <n v="0"/>
    <n v="0"/>
    <n v="0"/>
    <n v="8478.24"/>
    <n v="0"/>
    <s v="24AAFCP2956A1ZR"/>
    <s v="KGS"/>
    <n v="54026930"/>
    <s v="Rs."/>
    <n v="1"/>
    <n v="1100"/>
    <s v="India"/>
    <x v="0"/>
  </r>
  <r>
    <d v="2026-07-12T00:00:00"/>
    <s v="Plastene Polyfilms Ltd-Sales"/>
    <s v="Sales"/>
    <n v="448"/>
    <s v="Sales - Within State  Manufactured Goods"/>
    <s v="KPV/D/448"/>
    <d v="2026-07-12T00:00:00"/>
    <s v="SF"/>
    <s v="Yarn All"/>
    <s v="PP Yarn"/>
    <s v="PP FABRILLATED YARN"/>
    <s v="PP Fibrillated Tape Twisted 3200 MW"/>
    <n v="1375"/>
    <n v="207831.25"/>
    <s v="MW"/>
    <n v="0"/>
    <n v="2.5"/>
    <n v="5195.78"/>
    <n v="2.5"/>
    <n v="5195.78"/>
    <n v="0"/>
    <n v="0"/>
    <n v="0"/>
    <n v="10391.56"/>
    <n v="0"/>
    <s v="24AAFCP2956A1ZR"/>
    <s v="KGS"/>
    <n v="54026930"/>
    <s v="Rs."/>
    <n v="1"/>
    <n v="1375"/>
    <s v="India"/>
    <x v="0"/>
  </r>
  <r>
    <d v="2026-07-12T00:00:00"/>
    <s v="Plastene Polyfilms Ltd-Sales"/>
    <s v="Sales"/>
    <n v="450"/>
    <s v="Sales - Within State  Manufactured Goods"/>
    <s v="KPV/D/450"/>
    <d v="2026-07-12T00:00:00"/>
    <s v="FG"/>
    <s v="FIBC Bags"/>
    <s v="FIBC Bags"/>
    <s v="PP WOVEN BIG BAGS / SACKS"/>
    <s v="FIBC Bags With UV Without Liner"/>
    <n v="2441.1"/>
    <n v="520076.36"/>
    <s v="BC-62900/04-11883"/>
    <n v="849387.54"/>
    <n v="9"/>
    <n v="46806.87"/>
    <n v="9"/>
    <n v="46806.87"/>
    <n v="0"/>
    <n v="0"/>
    <n v="0"/>
    <n v="93613.74"/>
    <n v="0"/>
    <s v="24AAFCP2956A1ZR"/>
    <s v="KGS"/>
    <n v="63053200"/>
    <s v="Rs."/>
    <n v="1"/>
    <n v="2441.1"/>
    <s v="India"/>
    <x v="1"/>
  </r>
  <r>
    <d v="2026-07-12T00:00:00"/>
    <s v="Plastene Polyfilms Ltd-Sales"/>
    <s v="Sales"/>
    <n v="450"/>
    <s v="Sales - Within State  Manufactured Goods"/>
    <s v="KPV/D/450"/>
    <d v="2026-07-12T00:00:00"/>
    <s v="FG"/>
    <s v="FIBC Bags"/>
    <s v="FIBC Bags"/>
    <s v="PP WOVEN BIG BAGS / SACKS"/>
    <s v="FIBC Bags With UV Without Liner"/>
    <n v="801"/>
    <n v="200354.13"/>
    <s v="BC-63801/04-11452"/>
    <n v="0"/>
    <n v="9"/>
    <n v="18031.87"/>
    <n v="9"/>
    <n v="18031.87"/>
    <n v="0"/>
    <n v="0"/>
    <n v="0"/>
    <n v="36063.74"/>
    <n v="0"/>
    <s v="24AAFCP2956A1ZR"/>
    <s v="KGS"/>
    <n v="63053200"/>
    <s v="Rs."/>
    <n v="1"/>
    <n v="801"/>
    <s v="India"/>
    <x v="1"/>
  </r>
  <r>
    <d v="2026-07-13T00:00:00"/>
    <s v="HCP Plastene Bulkpack Limited - Sales"/>
    <s v="Sales"/>
    <n v="453"/>
    <s v="Sales - Within State - Traded Goods"/>
    <s v="KPV/D/453"/>
    <d v="2026-07-13T00:00:00"/>
    <s v="SF"/>
    <s v="Webbing"/>
    <s v="PP Webbing"/>
    <s v="PP WEBBING"/>
    <s v="Webbing"/>
    <n v="1188"/>
    <n v="187882.2"/>
    <s v="Webbing BLUE &amp; BLACK"/>
    <n v="304742.55"/>
    <n v="9"/>
    <n v="16909.400000000001"/>
    <n v="9"/>
    <n v="16909.400000000001"/>
    <n v="0"/>
    <n v="0"/>
    <n v="0"/>
    <n v="33818.800000000003"/>
    <n v="0"/>
    <s v="24AABCG1282C2Z6"/>
    <s v="KGS"/>
    <n v="39269080"/>
    <s v="Rs."/>
    <n v="1"/>
    <n v="1188"/>
    <s v="India"/>
    <x v="6"/>
  </r>
  <r>
    <d v="2026-07-13T00:00:00"/>
    <s v="HCP Plastene Bulkpack Limited - Sales"/>
    <s v="Sales"/>
    <n v="453"/>
    <s v="Sales - Within State - Traded Goods"/>
    <s v="KPV/D/453"/>
    <d v="2026-07-13T00:00:00"/>
    <s v="SF"/>
    <s v="Webbing"/>
    <s v="PP Webbing"/>
    <s v="PP WEBBING"/>
    <s v="Webbing"/>
    <n v="378"/>
    <n v="58646.7"/>
    <s v=" Webbing MW"/>
    <n v="0"/>
    <n v="9"/>
    <n v="5278.2"/>
    <n v="9"/>
    <n v="5278.2"/>
    <n v="0"/>
    <n v="0"/>
    <n v="0"/>
    <n v="10556.4"/>
    <n v="0"/>
    <s v="24AABCG1282C2Z6"/>
    <s v="KGS"/>
    <n v="39269080"/>
    <s v="Rs."/>
    <n v="1"/>
    <n v="378"/>
    <s v="India"/>
    <x v="6"/>
  </r>
  <r>
    <d v="2026-07-13T00:00:00"/>
    <s v="HCP Plastene Bulkpack Limited - Sales"/>
    <s v="Sales"/>
    <n v="453"/>
    <s v="Sales - Within State - Traded Goods"/>
    <s v="KPV/D/453"/>
    <d v="2026-07-13T00:00:00"/>
    <s v="SF"/>
    <s v="Webbing"/>
    <s v="PP Webbing"/>
    <s v="PP WEBBING"/>
    <s v="Webbing"/>
    <n v="77"/>
    <n v="11946.55"/>
    <s v="Webbing Tie MW"/>
    <n v="0"/>
    <n v="9"/>
    <n v="1075.19"/>
    <n v="9"/>
    <n v="1075.19"/>
    <n v="0"/>
    <n v="0"/>
    <n v="0"/>
    <n v="2150.38"/>
    <n v="0"/>
    <s v="24AABCG1282C2Z6"/>
    <s v="KGS"/>
    <n v="39269080"/>
    <s v="Rs."/>
    <n v="1"/>
    <n v="77"/>
    <s v="India"/>
    <x v="6"/>
  </r>
  <r>
    <d v="2026-07-13T00:00:00"/>
    <s v="HCP Plastene Bulkpack Limited - Sales"/>
    <s v="Sales"/>
    <n v="454"/>
    <s v="Sales - Within State - Traded Goods"/>
    <s v="KPV/D/454"/>
    <d v="2026-07-13T00:00:00"/>
    <s v="Stores/Spares"/>
    <s v="MS Structure Items"/>
    <s v="Capital Work in Progress"/>
    <s v="MS PIPE"/>
    <s v="MS Pipe"/>
    <n v="670"/>
    <n v="32160"/>
    <s v="."/>
    <n v="37916.639999999999"/>
    <n v="9"/>
    <n v="2894.4"/>
    <n v="9"/>
    <n v="2894.4"/>
    <n v="0"/>
    <n v="0"/>
    <n v="0"/>
    <n v="5788.8"/>
    <n v="0"/>
    <s v="24AABCG1282C2Z6"/>
    <s v="KGS"/>
    <n v="73063090"/>
    <s v="Rs."/>
    <n v="1"/>
    <n v="670"/>
    <s v="India"/>
    <x v="4"/>
  </r>
  <r>
    <d v="2026-07-13T00:00:00"/>
    <s v="Plastene India ltd - Unit 2-Sales"/>
    <s v="Sales"/>
    <n v="451"/>
    <s v="Sales - Within State  Manufactured Goods"/>
    <s v="KPV/D/451"/>
    <d v="2026-07-13T00:00:00"/>
    <s v="FG"/>
    <s v="FIBC Bags"/>
    <s v="FIBC Bags"/>
    <s v="PP WOVEN BIG BAGS / SACKS"/>
    <s v="FIBC Bags With UV With Liner"/>
    <n v="3968.4"/>
    <n v="965551.4"/>
    <s v="200651575/82992"/>
    <n v="1138385.1100000001"/>
    <n v="9"/>
    <n v="86899.63"/>
    <n v="9"/>
    <n v="86899.63"/>
    <n v="0"/>
    <n v="0"/>
    <n v="0"/>
    <n v="173799.26"/>
    <n v="0"/>
    <s v="24AAACO3087C1ZT"/>
    <s v="KGS"/>
    <n v="63053200"/>
    <s v="Rs."/>
    <n v="1"/>
    <n v="3968.4"/>
    <s v="India"/>
    <x v="1"/>
  </r>
  <r>
    <d v="2026-07-13T00:00:00"/>
    <s v="Plastene India ltd - Unit 2-Sales"/>
    <s v="Sales"/>
    <n v="452"/>
    <s v="Sales - Within State  Manufactured Goods"/>
    <s v="KPV/D/452"/>
    <d v="2026-07-13T00:00:00"/>
    <s v="FG"/>
    <s v="FIBC Bags"/>
    <s v="FIBC Bags"/>
    <s v="PP WOVEN BIG BAGS / SACKS"/>
    <s v="FIBC Bags With UV With Liner"/>
    <n v="3296.8"/>
    <n v="806364.31"/>
    <s v="200651666/82992"/>
    <n v="1032774.88"/>
    <n v="9"/>
    <n v="72572.789999999994"/>
    <n v="9"/>
    <n v="72572.789999999994"/>
    <n v="0"/>
    <n v="0"/>
    <n v="0"/>
    <n v="145145.57999999999"/>
    <n v="0"/>
    <s v="24AAACO3087C1ZT"/>
    <s v="KGS"/>
    <n v="63053200"/>
    <s v="Rs."/>
    <n v="1"/>
    <n v="3296.8"/>
    <s v="India"/>
    <x v="1"/>
  </r>
  <r>
    <d v="2026-07-13T00:00:00"/>
    <s v="Plastene India ltd - Unit 2-Sales"/>
    <s v="Sales"/>
    <n v="452"/>
    <s v="Sales - Within State  Manufactured Goods"/>
    <s v="KPV/D/452"/>
    <d v="2026-07-13T00:00:00"/>
    <s v="FG"/>
    <s v="FIBC Bags"/>
    <s v="FIBC Bags"/>
    <s v="PP WOVEN BIG BAGS / SACKS"/>
    <s v="FIBC Bags With UV With Liner"/>
    <n v="286.10000000000002"/>
    <n v="69610.990000000005"/>
    <s v="200651575/82992"/>
    <n v="0"/>
    <n v="9"/>
    <n v="6264.99"/>
    <n v="9"/>
    <n v="6264.99"/>
    <n v="0"/>
    <n v="0"/>
    <n v="0"/>
    <n v="12529.98"/>
    <n v="0"/>
    <s v="24AAACO3087C1ZT"/>
    <s v="KGS"/>
    <n v="63053200"/>
    <s v="Rs."/>
    <n v="1"/>
    <n v="286.10000000000002"/>
    <s v="India"/>
    <x v="1"/>
  </r>
  <r>
    <d v="2026-07-13T00:00:00"/>
    <s v="Plastene Polyfilms Ltd-Sales"/>
    <s v="Sales"/>
    <n v="455"/>
    <s v="Sales - Within State  Manufactured Goods"/>
    <s v="KPV/D/455"/>
    <d v="2026-07-13T00:00:00"/>
    <s v="FG"/>
    <s v="FIBC Bags"/>
    <s v="FIBC Bags"/>
    <s v="PP WOVEN BIG BAGS / SACKS"/>
    <s v="FIBC Bags With UV Without Liner"/>
    <n v="6672"/>
    <n v="2004468.96"/>
    <s v="BC-63840/04-10415"/>
    <n v="2363268.91"/>
    <n v="9"/>
    <n v="180402.21"/>
    <n v="9"/>
    <n v="180402.21"/>
    <n v="0"/>
    <n v="0"/>
    <n v="0"/>
    <n v="360804.42"/>
    <n v="0"/>
    <s v="24AAFCP2956A1ZR"/>
    <s v="KGS"/>
    <n v="63053200"/>
    <s v="Rs."/>
    <n v="1"/>
    <n v="6672"/>
    <s v="India"/>
    <x v="1"/>
  </r>
  <r>
    <d v="2026-07-13T00:00:00"/>
    <s v="Zakkencentrale Belgium N.V."/>
    <s v="Export Sales"/>
    <s v="KPW/E/101/26-27"/>
    <s v="Sales - Direct Export - Mfg - U/B"/>
    <s v="KPW/E/101/26-27"/>
    <d v="2026-07-13T00:00:00"/>
    <s v="FG"/>
    <s v="FIBC Bags"/>
    <s v="FIBC Bags"/>
    <s v="PP WOVEN BIG BAGS / SACKS"/>
    <s v="FIBC Bags With UV With Liner"/>
    <n v="22424"/>
    <n v="4623247.75"/>
    <s v="PP WOVEN BIG BAG"/>
    <n v="4623247.75"/>
    <n v="0"/>
    <n v="0"/>
    <n v="0"/>
    <n v="0"/>
    <n v="0"/>
    <n v="0"/>
    <n v="0"/>
    <n v="0"/>
    <n v="0"/>
    <s v="N.A."/>
    <s v="KGS"/>
    <n v="63053200"/>
    <s v="$"/>
    <n v="93.5"/>
    <n v="22424"/>
    <s v="Belgium"/>
    <x v="1"/>
  </r>
  <r>
    <d v="2026-07-14T00:00:00"/>
    <s v="Avesta Pharma Pvt Ltd"/>
    <s v="Sales"/>
    <n v="456"/>
    <s v="Sales - Interstate - Manufactured Goods"/>
    <s v="KPV/D/456"/>
    <d v="2026-07-14T00:00:00"/>
    <s v="FG"/>
    <s v="FIBC Bags"/>
    <s v="FIBC Bags"/>
    <s v="PP WOVEN BIG BAGS / SACKS"/>
    <s v="FIBC Bags With UV With Liner"/>
    <n v="57.1"/>
    <n v="16000"/>
    <s v="86X86X122"/>
    <n v="18880"/>
    <n v="0"/>
    <n v="0"/>
    <n v="0"/>
    <n v="0"/>
    <n v="18"/>
    <n v="2880"/>
    <n v="0"/>
    <n v="2880"/>
    <n v="0"/>
    <s v="27AAHCA7372B1ZS"/>
    <s v="KGS"/>
    <n v="63053200"/>
    <s v="Rs."/>
    <n v="1"/>
    <n v="57.1"/>
    <s v="India"/>
    <x v="1"/>
  </r>
  <r>
    <d v="2026-07-14T00:00:00"/>
    <s v="Chamunda Scrap Traders"/>
    <s v="Sales"/>
    <n v="458"/>
    <s v="Sales - Waste &amp; Scrape"/>
    <s v="KPV/D/458"/>
    <d v="2026-07-14T00:00:00"/>
    <s v="Other Scrap"/>
    <s v="Wastage/Scrap"/>
    <s v="Waste"/>
    <s v="Waste"/>
    <s v="Wooden Scrap"/>
    <n v="3260"/>
    <n v="42380"/>
    <s v="Wooden Scrap"/>
    <n v="45388.98"/>
    <n v="2.5"/>
    <n v="1059.5"/>
    <n v="2.5"/>
    <n v="1059.5"/>
    <n v="0"/>
    <n v="0"/>
    <n v="0"/>
    <n v="2119"/>
    <n v="889.98"/>
    <s v="24EWDPS1555M1Z4"/>
    <s v="KGS"/>
    <n v="440139"/>
    <s v="Rs."/>
    <n v="1"/>
    <n v="3260"/>
    <s v="India"/>
    <x v="4"/>
  </r>
  <r>
    <d v="2026-07-14T00:00:00"/>
    <s v="Plastene India ltd - Unit 1-Sales"/>
    <s v="Sales"/>
    <n v="457"/>
    <s v="Sales - Within State  Manufactured Goods"/>
    <s v="KPV/D/457"/>
    <d v="2026-07-14T00:00:00"/>
    <s v="RM"/>
    <s v="Granules"/>
    <s v="PP Granules"/>
    <s v="PP Granuals"/>
    <s v="PP Zhongjing T30S"/>
    <n v="8000"/>
    <n v="612800"/>
    <s v="PP Zhongjing T30S"/>
    <n v="722491.2"/>
    <n v="9"/>
    <n v="55152"/>
    <n v="9"/>
    <n v="55152"/>
    <n v="0"/>
    <n v="0"/>
    <n v="0"/>
    <n v="110304"/>
    <n v="0"/>
    <s v="24AAACO3087C1ZT"/>
    <s v="KGS"/>
    <n v="39021000"/>
    <s v="Rs."/>
    <n v="1"/>
    <n v="8000"/>
    <s v="India"/>
    <x v="7"/>
  </r>
  <r>
    <d v="2026-07-14T00:00:00"/>
    <s v="Plastene India ltd - Unit 1-Sales"/>
    <s v="Sales"/>
    <n v="460"/>
    <s v="Sales - Within State  Manufactured Goods"/>
    <s v="KPV/D/460"/>
    <d v="2026-07-14T00:00:00"/>
    <s v="SF"/>
    <s v="Yarn All"/>
    <s v="PP Yarn"/>
    <s v="PP FABRILLATED YARN"/>
    <s v="PP Fibrillated Tape Twisted 3200 Blue"/>
    <n v="435"/>
    <n v="67055.25"/>
    <s v="BLUE"/>
    <n v="738476.91"/>
    <n v="2.5"/>
    <n v="1676.38"/>
    <n v="2.5"/>
    <n v="1676.38"/>
    <n v="0"/>
    <n v="0"/>
    <n v="0"/>
    <n v="3352.76"/>
    <n v="0"/>
    <s v="24AAACO3087C1ZT"/>
    <s v="KGS"/>
    <n v="54026930"/>
    <s v="Rs."/>
    <n v="1"/>
    <n v="435"/>
    <s v="India"/>
    <x v="0"/>
  </r>
  <r>
    <d v="2026-07-14T00:00:00"/>
    <s v="Plastene India ltd - Unit 1-Sales"/>
    <s v="Sales"/>
    <n v="460"/>
    <s v="Sales - Within State  Manufactured Goods"/>
    <s v="KPV/D/460"/>
    <d v="2026-07-14T00:00:00"/>
    <s v="SF"/>
    <s v="Yarn All"/>
    <s v="PP Yarn"/>
    <s v="PP FABRILLATED YARN"/>
    <s v="PP Fibrillated Tape Twisted 3200 MW"/>
    <n v="1015"/>
    <n v="153417.25"/>
    <s v="MW"/>
    <n v="0"/>
    <n v="2.5"/>
    <n v="3835.43"/>
    <n v="2.5"/>
    <n v="3835.43"/>
    <n v="0"/>
    <n v="0"/>
    <n v="0"/>
    <n v="7670.86"/>
    <n v="0"/>
    <s v="24AAACO3087C1ZT"/>
    <s v="KGS"/>
    <n v="54026930"/>
    <s v="Rs."/>
    <n v="1"/>
    <n v="1015"/>
    <s v="India"/>
    <x v="0"/>
  </r>
  <r>
    <d v="2026-07-14T00:00:00"/>
    <s v="Plastene India ltd - Unit 1-Sales"/>
    <s v="Sales"/>
    <n v="460"/>
    <s v="Sales - Within State  Manufactured Goods"/>
    <s v="KPV/D/460"/>
    <d v="2026-07-14T00:00:00"/>
    <s v="SF"/>
    <s v="PP/PE Fabric"/>
    <s v="PP Lam Fabric"/>
    <s v="PP LAMINETED FABRIC"/>
    <s v="PP Lam Fabric With UV"/>
    <n v="1755.9"/>
    <n v="275939.68"/>
    <s v="FIBC Fabric Coated (Less Then 90+20 GSM)_x000d__x000a_ MW"/>
    <n v="0"/>
    <n v="9"/>
    <n v="24834.57"/>
    <n v="9"/>
    <n v="24834.57"/>
    <n v="0"/>
    <n v="0"/>
    <n v="0"/>
    <n v="49669.14"/>
    <n v="0"/>
    <s v="24AAACO3087C1ZT"/>
    <s v="KGS"/>
    <n v="39269080"/>
    <s v="Rs."/>
    <n v="1"/>
    <n v="1755.9"/>
    <s v="India"/>
    <x v="5"/>
  </r>
  <r>
    <d v="2026-07-14T00:00:00"/>
    <s v="Plastene India ltd - Unit 1-Sales"/>
    <s v="Sales"/>
    <n v="460"/>
    <s v="Sales - Within State  Manufactured Goods"/>
    <s v="KPV/D/460"/>
    <d v="2026-07-14T00:00:00"/>
    <s v="SF"/>
    <s v="PP/PE Fabric"/>
    <s v="PP Lam Fabric"/>
    <s v="PP LAMINETED FABRIC"/>
    <s v="PP Lam Fabric With UV"/>
    <n v="963.2"/>
    <n v="154256.48000000001"/>
    <s v="FIBC Fabric Coated (Less Then 90+20 GSM)_x000d__x000a_ BLACK"/>
    <n v="0"/>
    <n v="9"/>
    <n v="13883.08"/>
    <n v="9"/>
    <n v="13883.08"/>
    <n v="0"/>
    <n v="0"/>
    <n v="0"/>
    <n v="27766.16"/>
    <n v="0"/>
    <s v="24AAACO3087C1ZT"/>
    <s v="KGS"/>
    <n v="39269080"/>
    <s v="Rs."/>
    <n v="1"/>
    <n v="963.2"/>
    <s v="India"/>
    <x v="5"/>
  </r>
  <r>
    <d v="2026-07-14T00:00:00"/>
    <s v="Plastene India ltd - Unit 2-Sales"/>
    <s v="Sales"/>
    <n v="459"/>
    <s v="Sales - Within State  Manufactured Goods"/>
    <s v="KPV/D/459"/>
    <d v="2026-07-14T00:00:00"/>
    <s v="SF"/>
    <s v="Yarn All"/>
    <s v="PP Yarn"/>
    <s v="PP FABRILLATED YARN"/>
    <s v="PP Fibrillated Tape Twisted 3200 MW"/>
    <n v="1400"/>
    <n v="211610"/>
    <s v="MW"/>
    <n v="812456.78"/>
    <n v="2.5"/>
    <n v="5290.25"/>
    <n v="2.5"/>
    <n v="5290.25"/>
    <n v="0"/>
    <n v="0"/>
    <n v="0"/>
    <n v="10580.5"/>
    <n v="0"/>
    <s v="24AAACO3087C1ZT"/>
    <s v="KGS"/>
    <n v="54026930"/>
    <s v="Rs."/>
    <n v="1"/>
    <n v="1400"/>
    <s v="India"/>
    <x v="0"/>
  </r>
  <r>
    <d v="2026-07-14T00:00:00"/>
    <s v="Plastene India ltd - Unit 2-Sales"/>
    <s v="Sales"/>
    <n v="459"/>
    <s v="Sales - Within State  Manufactured Goods"/>
    <s v="KPV/D/459"/>
    <d v="2026-07-14T00:00:00"/>
    <s v="SF"/>
    <s v="Webbing"/>
    <s v="PP Webbing"/>
    <s v="PP WEBBING"/>
    <s v="Webbing"/>
    <n v="2174.1999999999998"/>
    <n v="343849.73"/>
    <s v="GREEN"/>
    <n v="0"/>
    <n v="9"/>
    <n v="30946.48"/>
    <n v="9"/>
    <n v="30946.48"/>
    <n v="0"/>
    <n v="0"/>
    <n v="0"/>
    <n v="61892.959999999999"/>
    <n v="0"/>
    <s v="24AAACO3087C1ZT"/>
    <s v="KGS"/>
    <n v="39269080"/>
    <s v="Rs."/>
    <n v="1"/>
    <n v="2174.1999999999998"/>
    <s v="India"/>
    <x v="6"/>
  </r>
  <r>
    <d v="2026-07-14T00:00:00"/>
    <s v="Plastene India ltd - Unit 2-Sales"/>
    <s v="Sales"/>
    <n v="459"/>
    <s v="Sales - Within State  Manufactured Goods"/>
    <s v="KPV/D/459"/>
    <d v="2026-07-14T00:00:00"/>
    <s v="SF"/>
    <s v="Webbing"/>
    <s v="PP Webbing"/>
    <s v="PP WEBBING"/>
    <s v="Webbing"/>
    <n v="992.6"/>
    <n v="156979.69"/>
    <s v="YELLOW"/>
    <n v="0"/>
    <n v="9"/>
    <n v="14128.17"/>
    <n v="9"/>
    <n v="14128.17"/>
    <n v="0"/>
    <n v="0"/>
    <n v="0"/>
    <n v="28256.34"/>
    <n v="0"/>
    <s v="24AAACO3087C1ZT"/>
    <s v="KGS"/>
    <n v="39269080"/>
    <s v="Rs."/>
    <n v="1"/>
    <n v="992.6"/>
    <s v="India"/>
    <x v="6"/>
  </r>
  <r>
    <d v="2026-07-14T00:00:00"/>
    <s v="Plastene Polyfilms Ltd-Sales"/>
    <s v="Sales"/>
    <n v="461"/>
    <s v="Sales - Within State  Manufactured Goods"/>
    <s v="KPV/D/461"/>
    <d v="2026-07-14T00:00:00"/>
    <s v="SF"/>
    <s v="Yarn All"/>
    <s v="PP Yarn"/>
    <s v="Filler code"/>
    <s v="Filler Cord"/>
    <n v="1190"/>
    <n v="198313.5"/>
    <s v="Filler Cord"/>
    <n v="208030.87"/>
    <n v="2.5"/>
    <n v="4957.84"/>
    <n v="2.5"/>
    <n v="4957.84"/>
    <n v="0"/>
    <n v="0"/>
    <n v="0"/>
    <n v="9915.68"/>
    <n v="0"/>
    <s v="24AAFCP2956A1ZR"/>
    <s v="KGS"/>
    <n v="54026930"/>
    <s v="Rs."/>
    <n v="1"/>
    <n v="1190"/>
    <s v="India"/>
    <x v="0"/>
  </r>
  <r>
    <d v="2026-07-15T00:00:00"/>
    <s v="Chamunda Scrap Traders"/>
    <s v="Sales"/>
    <n v="464"/>
    <s v="Sales - Waste &amp; Scrape"/>
    <s v="KPV/D/464"/>
    <d v="2026-07-15T00:00:00"/>
    <s v="Other Scrap"/>
    <s v="Wastage/Scrap"/>
    <s v="Waste"/>
    <s v="Waste"/>
    <s v="Wooden Scrap"/>
    <n v="3560"/>
    <n v="46280"/>
    <s v="Wooden Scrap"/>
    <n v="49565.88"/>
    <n v="2.5"/>
    <n v="1157"/>
    <n v="2.5"/>
    <n v="1157"/>
    <n v="0"/>
    <n v="0"/>
    <n v="0"/>
    <n v="2314"/>
    <n v="971.88"/>
    <s v="24EWDPS1555M1Z4"/>
    <s v="KGS"/>
    <n v="440139"/>
    <s v="Rs."/>
    <n v="1"/>
    <n v="3560"/>
    <s v="India"/>
    <x v="4"/>
  </r>
  <r>
    <d v="2026-07-15T00:00:00"/>
    <s v="Hcp Plastene Bulkpack Ltd Vadodara-Sales"/>
    <s v="Sales"/>
    <n v="466"/>
    <s v="Sales - Within State  Manufactured Goods"/>
    <s v="KPV/D/466"/>
    <d v="2026-07-15T00:00:00"/>
    <s v="SF"/>
    <s v="Yarn All"/>
    <s v="PP Yarn"/>
    <s v="PP FABRILLATED YARN"/>
    <s v="PP Fibrillated Tape Twisted 3200 Blue"/>
    <n v="400"/>
    <n v="61660"/>
    <s v="BLUE"/>
    <n v="760033.19"/>
    <n v="2.5"/>
    <n v="1541.5"/>
    <n v="2.5"/>
    <n v="1541.5"/>
    <n v="0"/>
    <n v="0"/>
    <n v="0"/>
    <n v="3083"/>
    <n v="0"/>
    <s v="24AABCG1282C2Z6"/>
    <s v="KGS"/>
    <n v="54026930"/>
    <s v="Rs."/>
    <n v="1"/>
    <n v="400"/>
    <s v="India"/>
    <x v="0"/>
  </r>
  <r>
    <d v="2026-07-15T00:00:00"/>
    <s v="Hcp Plastene Bulkpack Ltd Vadodara-Sales"/>
    <s v="Sales"/>
    <n v="466"/>
    <s v="Sales - Within State  Manufactured Goods"/>
    <s v="KPV/D/466"/>
    <d v="2026-07-15T00:00:00"/>
    <s v="RM Consumables"/>
    <s v="FIBC Accessories"/>
    <s v="FIBC Accessories"/>
    <s v="PP WOVEN FABRIC"/>
    <s v="Zip Lock Bags"/>
    <n v="245"/>
    <n v="38500"/>
    <s v="."/>
    <n v="0"/>
    <n v="9"/>
    <n v="3465"/>
    <n v="9"/>
    <n v="3465"/>
    <n v="0"/>
    <n v="0"/>
    <n v="0"/>
    <n v="6930"/>
    <n v="0"/>
    <s v="24AABCG1282C2Z6"/>
    <s v="KGS"/>
    <n v="39232100"/>
    <s v="Rs."/>
    <n v="1"/>
    <n v="0"/>
    <s v="India"/>
    <x v="4"/>
  </r>
  <r>
    <d v="2026-07-15T00:00:00"/>
    <s v="Hcp Plastene Bulkpack Ltd Vadodara-Sales"/>
    <s v="Sales"/>
    <n v="466"/>
    <s v="Sales - Within State  Manufactured Goods"/>
    <s v="KPV/D/466"/>
    <d v="2026-07-15T00:00:00"/>
    <s v="SF"/>
    <s v="Yarn All"/>
    <s v="PP Yarn"/>
    <s v="PP FABRILLATED YARN"/>
    <s v="PP Fibrillated Tape Twisted 3200 MW"/>
    <n v="400"/>
    <n v="60460"/>
    <s v="MW"/>
    <n v="0"/>
    <n v="2.5"/>
    <n v="1511.5"/>
    <n v="2.5"/>
    <n v="1511.5"/>
    <n v="0"/>
    <n v="0"/>
    <n v="0"/>
    <n v="3023"/>
    <n v="0"/>
    <s v="24AABCG1282C2Z6"/>
    <s v="KGS"/>
    <n v="54026930"/>
    <s v="Rs."/>
    <n v="1"/>
    <n v="400"/>
    <s v="India"/>
    <x v="0"/>
  </r>
  <r>
    <d v="2026-07-15T00:00:00"/>
    <s v="Hcp Plastene Bulkpack Ltd Vadodara-Sales"/>
    <s v="Sales"/>
    <n v="466"/>
    <s v="Sales - Within State  Manufactured Goods"/>
    <s v="KPV/D/466"/>
    <d v="2026-07-15T00:00:00"/>
    <s v="SF"/>
    <s v="Liners"/>
    <s v="LDPE/LLDPE Bags"/>
    <s v="LLDPE BAGS"/>
    <s v="LDPE/LLDPE Bags/Liner"/>
    <n v="529"/>
    <n v="98579.15"/>
    <s v="."/>
    <n v="0"/>
    <n v="9"/>
    <n v="8872.1200000000008"/>
    <n v="9"/>
    <n v="8872.1200000000008"/>
    <n v="0"/>
    <n v="0"/>
    <n v="0"/>
    <n v="17744.240000000002"/>
    <n v="0"/>
    <s v="24AABCG1282C2Z6"/>
    <s v="KGS"/>
    <n v="39232100"/>
    <s v="Rs."/>
    <n v="1"/>
    <n v="529"/>
    <s v="India"/>
    <x v="12"/>
  </r>
  <r>
    <d v="2026-07-15T00:00:00"/>
    <s v="Hcp Plastene Bulkpack Ltd Vadodara-Sales"/>
    <s v="Sales"/>
    <n v="466"/>
    <s v="Sales - Within State  Manufactured Goods"/>
    <s v="KPV/D/466"/>
    <d v="2026-07-15T00:00:00"/>
    <s v="SF"/>
    <s v="Yarn All"/>
    <s v="PP Yarn"/>
    <s v="Filler code"/>
    <s v="Filler Cord"/>
    <n v="476"/>
    <n v="57167.6"/>
    <s v="."/>
    <n v="0"/>
    <n v="2.5"/>
    <n v="1429.19"/>
    <n v="2.5"/>
    <n v="1429.19"/>
    <n v="0"/>
    <n v="0"/>
    <n v="0"/>
    <n v="2858.38"/>
    <n v="0"/>
    <s v="24AABCG1282C2Z6"/>
    <s v="KGS"/>
    <n v="54026930"/>
    <s v="Rs."/>
    <n v="1"/>
    <n v="476"/>
    <s v="India"/>
    <x v="0"/>
  </r>
  <r>
    <d v="2026-07-15T00:00:00"/>
    <s v="Hcp Plastene Bulkpack Ltd Vadodara-Sales"/>
    <s v="Sales"/>
    <n v="466"/>
    <s v="Sales - Within State  Manufactured Goods"/>
    <s v="KPV/D/466"/>
    <d v="2026-07-15T00:00:00"/>
    <s v="SF"/>
    <s v="Webbing"/>
    <s v="PP Webbing"/>
    <s v="PP WEBBING"/>
    <s v="Webbing"/>
    <n v="1235"/>
    <n v="191610.25"/>
    <s v="MW"/>
    <n v="0"/>
    <n v="9"/>
    <n v="17244.919999999998"/>
    <n v="9"/>
    <n v="17244.919999999998"/>
    <n v="0"/>
    <n v="0"/>
    <n v="0"/>
    <n v="34489.839999999997"/>
    <n v="0"/>
    <s v="24AABCG1282C2Z6"/>
    <s v="KGS"/>
    <n v="39269080"/>
    <s v="Rs."/>
    <n v="1"/>
    <n v="1235"/>
    <s v="India"/>
    <x v="6"/>
  </r>
  <r>
    <d v="2026-07-15T00:00:00"/>
    <s v="Hcp Plastene Bulkpack Ltd Vadodara-Sales"/>
    <s v="Sales"/>
    <n v="466"/>
    <s v="Sales - Within State  Manufactured Goods"/>
    <s v="KPV/D/466"/>
    <d v="2026-07-15T00:00:00"/>
    <s v="SF"/>
    <s v="Webbing"/>
    <s v="PP Webbing"/>
    <s v="PP WEBBING"/>
    <s v="Webbing"/>
    <n v="343"/>
    <n v="54245.45"/>
    <s v="GOG"/>
    <n v="0"/>
    <n v="9"/>
    <n v="4882.09"/>
    <n v="9"/>
    <n v="4882.09"/>
    <n v="0"/>
    <n v="0"/>
    <n v="0"/>
    <n v="9764.18"/>
    <n v="0"/>
    <s v="24AABCG1282C2Z6"/>
    <s v="KGS"/>
    <n v="39269080"/>
    <s v="Rs."/>
    <n v="1"/>
    <n v="343"/>
    <s v="India"/>
    <x v="6"/>
  </r>
  <r>
    <d v="2026-07-15T00:00:00"/>
    <s v="Hcp Plastene Bulkpack Ltd Vadodara-Sales"/>
    <s v="Sales"/>
    <n v="466"/>
    <s v="Sales - Within State  Manufactured Goods"/>
    <s v="KPV/D/466"/>
    <d v="2026-07-15T00:00:00"/>
    <s v="SF"/>
    <s v="Webbing"/>
    <s v="PP Webbing"/>
    <s v="PP WEBBING"/>
    <s v="Webbing"/>
    <n v="603.20000000000005"/>
    <n v="95396.08"/>
    <s v="BLUE"/>
    <n v="0"/>
    <n v="9"/>
    <n v="8585.65"/>
    <n v="9"/>
    <n v="8585.65"/>
    <n v="0"/>
    <n v="0"/>
    <n v="0"/>
    <n v="17171.3"/>
    <n v="0"/>
    <s v="24AABCG1282C2Z6"/>
    <s v="KGS"/>
    <n v="39269080"/>
    <s v="Rs."/>
    <n v="1"/>
    <n v="603.20000000000005"/>
    <s v="India"/>
    <x v="6"/>
  </r>
  <r>
    <d v="2026-07-15T00:00:00"/>
    <s v="Hcp Plastene Bulkpack Ltd Vadodara-Sales"/>
    <s v="Sales"/>
    <n v="466"/>
    <s v="Sales - Within State  Manufactured Goods"/>
    <s v="KPV/D/466"/>
    <d v="2026-07-15T00:00:00"/>
    <s v="SF"/>
    <s v="Yarn All"/>
    <s v="PP Yarn"/>
    <s v="PP Rope"/>
    <s v="PP Braided Rope MW 6 to 8 GPM"/>
    <n v="45"/>
    <n v="7634.25"/>
    <s v="."/>
    <n v="0"/>
    <n v="2.5"/>
    <n v="190.86"/>
    <n v="2.5"/>
    <n v="190.86"/>
    <n v="0"/>
    <n v="0"/>
    <n v="0"/>
    <n v="381.72"/>
    <n v="0"/>
    <s v="24AABCG1282C2Z6"/>
    <s v="KGS"/>
    <n v="540269"/>
    <s v="Rs."/>
    <n v="1"/>
    <n v="45"/>
    <s v="India"/>
    <x v="0"/>
  </r>
  <r>
    <d v="2026-07-15T00:00:00"/>
    <s v="Olive Industries - Sales"/>
    <s v="Sales"/>
    <n v="465"/>
    <s v="Sales - Within State  Manufactured Goods"/>
    <s v="KPV/D/465"/>
    <d v="2026-07-15T00:00:00"/>
    <s v="RM"/>
    <s v="Granules"/>
    <s v="Masterbatch"/>
    <s v="Master batch"/>
    <s v="MB JJ White WE9381PT"/>
    <n v="500"/>
    <n v="89000"/>
    <s v="MB JJ White WE9381PT"/>
    <n v="105020"/>
    <n v="9"/>
    <n v="8010"/>
    <n v="9"/>
    <n v="8010"/>
    <n v="0"/>
    <n v="0"/>
    <n v="0"/>
    <n v="16020"/>
    <n v="0"/>
    <s v="24AAEFO9994M1ZE"/>
    <s v="KGS"/>
    <n v="32061190"/>
    <s v="Rs."/>
    <n v="1"/>
    <n v="500"/>
    <s v="India"/>
    <x v="8"/>
  </r>
  <r>
    <d v="2026-07-15T00:00:00"/>
    <s v="Plastene India ltd - Unit 1-Sales"/>
    <s v="Sales"/>
    <n v="467"/>
    <s v="Sales - Within State  Manufactured Goods"/>
    <s v="KPV/D/467"/>
    <d v="2026-07-15T00:00:00"/>
    <s v="FG"/>
    <s v="Small Bags"/>
    <s v="PP Bags"/>
    <s v="PP WOVEN BIG BAGS / SACKS"/>
    <s v="PP Lam Bags With UV"/>
    <n v="469"/>
    <n v="248781.05"/>
    <s v="PP Lam Bags ( 26.19417 )"/>
    <n v="293312.84999999998"/>
    <n v="9"/>
    <n v="22390.29"/>
    <n v="9"/>
    <n v="22390.29"/>
    <n v="0"/>
    <n v="0"/>
    <n v="0"/>
    <n v="44780.58"/>
    <n v="0"/>
    <s v="24AAACO3087C1ZT"/>
    <s v="KGS"/>
    <n v="39232999"/>
    <s v="Rs."/>
    <n v="1"/>
    <n v="469"/>
    <s v="India"/>
    <x v="13"/>
  </r>
  <r>
    <d v="2026-07-15T00:00:00"/>
    <s v="Plastene India ltd - Unit 1-Sales"/>
    <s v="Sales"/>
    <n v="468"/>
    <s v="Sales - Within State  Manufactured Goods"/>
    <s v="KPV/D/468"/>
    <d v="2026-07-15T00:00:00"/>
    <s v="SF"/>
    <s v="PP/PE Fabric"/>
    <s v="PP UL Fabric"/>
    <s v="PP WOVEN FABRIC"/>
    <s v="PP UL Fabric With UV"/>
    <n v="1058.7"/>
    <n v="193900.91"/>
    <s v="Sulzer Conductive Fabric_x000d__x000a_"/>
    <n v="228609.17"/>
    <n v="9"/>
    <n v="17451.080000000002"/>
    <n v="9"/>
    <n v="17451.080000000002"/>
    <n v="0"/>
    <n v="0"/>
    <n v="0"/>
    <n v="34902.160000000003"/>
    <n v="0"/>
    <s v="24AAACO3087C1ZT"/>
    <s v="KGS"/>
    <n v="39269080"/>
    <s v="Rs."/>
    <n v="1"/>
    <n v="1058.7"/>
    <s v="India"/>
    <x v="3"/>
  </r>
  <r>
    <d v="2026-07-15T00:00:00"/>
    <s v="Plastene India ltd - Unit 1-Sales"/>
    <s v="Sales"/>
    <n v="469"/>
    <s v="Sales - Within State  Manufactured Goods"/>
    <s v="KPV/D/469"/>
    <d v="2026-07-15T00:00:00"/>
    <s v="SF"/>
    <s v="PP/PE Fabric"/>
    <s v="PP Lam Fabric"/>
    <s v="PP LAMINETED FABRIC"/>
    <s v="PP Lam Fabric With UV"/>
    <n v="457.9"/>
    <n v="72416.88"/>
    <s v="PP Lam Fabric BLACK"/>
    <n v="644908.41"/>
    <n v="9"/>
    <n v="6517.52"/>
    <n v="9"/>
    <n v="6517.52"/>
    <n v="0"/>
    <n v="0"/>
    <n v="0"/>
    <n v="13035.04"/>
    <n v="0"/>
    <s v="24AAACO3087C1ZT"/>
    <s v="KGS"/>
    <n v="39269080"/>
    <s v="Rs."/>
    <n v="1"/>
    <n v="457.9"/>
    <s v="India"/>
    <x v="5"/>
  </r>
  <r>
    <d v="2026-07-15T00:00:00"/>
    <s v="Plastene India ltd - Unit 1-Sales"/>
    <s v="Sales"/>
    <n v="469"/>
    <s v="Sales - Within State  Manufactured Goods"/>
    <s v="KPV/D/469"/>
    <d v="2026-07-15T00:00:00"/>
    <s v="SF"/>
    <s v="PP/PE Fabric"/>
    <s v="PP Lam Fabric"/>
    <s v="PP LAMINETED FABRIC"/>
    <s v="PP Lam Fabric With UV"/>
    <n v="710.4"/>
    <n v="110218.56"/>
    <s v="PP Lam Fabric MW"/>
    <n v="0"/>
    <n v="9"/>
    <n v="9919.67"/>
    <n v="9"/>
    <n v="9919.67"/>
    <n v="0"/>
    <n v="0"/>
    <n v="0"/>
    <n v="19839.34"/>
    <n v="0"/>
    <s v="24AAACO3087C1ZT"/>
    <s v="KGS"/>
    <n v="39269080"/>
    <s v="Rs."/>
    <n v="1"/>
    <n v="710.4"/>
    <s v="India"/>
    <x v="5"/>
  </r>
  <r>
    <d v="2026-07-15T00:00:00"/>
    <s v="Plastene India ltd - Unit 1-Sales"/>
    <s v="Sales"/>
    <n v="469"/>
    <s v="Sales - Within State  Manufactured Goods"/>
    <s v="KPV/D/469"/>
    <d v="2026-07-15T00:00:00"/>
    <s v="SF"/>
    <s v="Yarn All"/>
    <s v="PP Yarn"/>
    <s v="PP FABRILLATED YARN"/>
    <s v="PP Fibrillated Tape Twisted 3200 Blue"/>
    <n v="470"/>
    <n v="72450.5"/>
    <s v="BLUE"/>
    <n v="0"/>
    <n v="2.5"/>
    <n v="1811.26"/>
    <n v="2.5"/>
    <n v="1811.26"/>
    <n v="0"/>
    <n v="0"/>
    <n v="0"/>
    <n v="3622.52"/>
    <n v="0"/>
    <s v="24AAACO3087C1ZT"/>
    <s v="KGS"/>
    <n v="54026930"/>
    <s v="Rs."/>
    <n v="1"/>
    <n v="470"/>
    <s v="India"/>
    <x v="0"/>
  </r>
  <r>
    <d v="2026-07-15T00:00:00"/>
    <s v="Plastene India ltd - Unit 1-Sales"/>
    <s v="Sales"/>
    <n v="469"/>
    <s v="Sales - Within State  Manufactured Goods"/>
    <s v="KPV/D/469"/>
    <d v="2026-07-15T00:00:00"/>
    <s v="SF"/>
    <s v="Yarn All"/>
    <s v="PP Yarn"/>
    <s v="PP FABRILLATED YARN"/>
    <s v="PP Fibrillated Tape Twisted 3200 MW"/>
    <n v="2230"/>
    <n v="337064.5"/>
    <s v="MW"/>
    <n v="0"/>
    <n v="2.5"/>
    <n v="8426.61"/>
    <n v="2.5"/>
    <n v="8426.61"/>
    <n v="0"/>
    <n v="0"/>
    <n v="0"/>
    <n v="16853.22"/>
    <n v="0"/>
    <s v="24AAACO3087C1ZT"/>
    <s v="KGS"/>
    <n v="54026930"/>
    <s v="Rs."/>
    <n v="1"/>
    <n v="2230"/>
    <s v="India"/>
    <x v="0"/>
  </r>
  <r>
    <d v="2026-07-15T00:00:00"/>
    <s v="Plastene India ltd - Unit 1-Sales"/>
    <s v="Sales"/>
    <n v="470"/>
    <s v="Sales - Within State  Manufactured Goods"/>
    <s v="KPV/D/470"/>
    <d v="2026-07-15T00:00:00"/>
    <s v="FG"/>
    <s v="FIBC Bags"/>
    <s v="FIBC Bags"/>
    <s v="PP WOVEN BIG BAGS / SACKS"/>
    <s v="FIBC Bags With UV Without Liner"/>
    <n v="312"/>
    <n v="88617.36"/>
    <s v="POUS-5182/IMPQ06145"/>
    <n v="104479.86"/>
    <n v="9"/>
    <n v="7975.56"/>
    <n v="9"/>
    <n v="7975.56"/>
    <n v="0"/>
    <n v="0"/>
    <n v="0"/>
    <n v="15951.12"/>
    <n v="0"/>
    <s v="24AAACO3087C1ZT"/>
    <s v="KGS"/>
    <n v="63053200"/>
    <s v="Rs."/>
    <n v="1"/>
    <n v="312"/>
    <s v="India"/>
    <x v="1"/>
  </r>
  <r>
    <d v="2026-07-15T00:00:00"/>
    <s v="Plastene India ltd - Unit 1-Sales"/>
    <s v="Sales"/>
    <n v="471"/>
    <s v="Sales - Within State  Manufactured Goods"/>
    <s v="KPV/D/471"/>
    <d v="2026-07-15T00:00:00"/>
    <s v="FG"/>
    <s v="FIBC Bags"/>
    <s v="FIBC Bags"/>
    <s v="PP WOVEN BIG BAGS / SACKS"/>
    <s v="FIBC Bags With UV Without Liner"/>
    <n v="848"/>
    <n v="218784"/>
    <s v="26.19388/MERCER-19"/>
    <n v="2613427.14"/>
    <n v="9"/>
    <n v="19690.560000000001"/>
    <n v="9"/>
    <n v="19690.560000000001"/>
    <n v="0"/>
    <n v="0"/>
    <n v="0"/>
    <n v="39381.120000000003"/>
    <n v="0"/>
    <s v="24AAACO3087C1ZT"/>
    <s v="KGS"/>
    <n v="63053200"/>
    <s v="Rs."/>
    <n v="1"/>
    <n v="848"/>
    <s v="India"/>
    <x v="1"/>
  </r>
  <r>
    <d v="2026-07-15T00:00:00"/>
    <s v="Plastene India ltd - Unit 1-Sales"/>
    <s v="Sales"/>
    <n v="471"/>
    <s v="Sales - Within State  Manufactured Goods"/>
    <s v="KPV/D/471"/>
    <d v="2026-07-15T00:00:00"/>
    <s v="FG"/>
    <s v="FIBC Bags"/>
    <s v="FIBC Bags"/>
    <s v="PP WOVEN BIG BAGS / SACKS"/>
    <s v="FIBC Bags With UV Without Liner"/>
    <n v="835.4"/>
    <n v="217095.4"/>
    <s v="26.19389/MERCER-16"/>
    <n v="0"/>
    <n v="9"/>
    <n v="19538.59"/>
    <n v="9"/>
    <n v="19538.59"/>
    <n v="0"/>
    <n v="0"/>
    <n v="0"/>
    <n v="39077.18"/>
    <n v="0"/>
    <s v="24AAACO3087C1ZT"/>
    <s v="KGS"/>
    <n v="63053200"/>
    <s v="Rs."/>
    <n v="1"/>
    <n v="835.4"/>
    <s v="India"/>
    <x v="1"/>
  </r>
  <r>
    <d v="2026-07-15T00:00:00"/>
    <s v="Plastene India ltd - Unit 1-Sales"/>
    <s v="Sales"/>
    <n v="471"/>
    <s v="Sales - Within State  Manufactured Goods"/>
    <s v="KPV/D/471"/>
    <d v="2026-07-15T00:00:00"/>
    <s v="FG"/>
    <s v="FIBC Bags"/>
    <s v="FIBC Bags"/>
    <s v="PP WOVEN BIG BAGS / SACKS"/>
    <s v="FIBC Bags With UV Without Liner"/>
    <n v="1127"/>
    <n v="295634.64"/>
    <s v="26.19390/MERCER-15"/>
    <n v="0"/>
    <n v="9"/>
    <n v="26607.119999999999"/>
    <n v="9"/>
    <n v="26607.119999999999"/>
    <n v="0"/>
    <n v="0"/>
    <n v="0"/>
    <n v="53214.239999999998"/>
    <n v="0"/>
    <s v="24AAACO3087C1ZT"/>
    <s v="KGS"/>
    <n v="63053200"/>
    <s v="Rs."/>
    <n v="1"/>
    <n v="1127"/>
    <s v="India"/>
    <x v="1"/>
  </r>
  <r>
    <d v="2026-07-15T00:00:00"/>
    <s v="Plastene India ltd - Unit 1-Sales"/>
    <s v="Sales"/>
    <n v="471"/>
    <s v="Sales - Within State  Manufactured Goods"/>
    <s v="KPV/D/471"/>
    <d v="2026-07-15T00:00:00"/>
    <s v="FG"/>
    <s v="FIBC Bags"/>
    <s v="FIBC Bags"/>
    <s v="PP WOVEN BIG BAGS / SACKS"/>
    <s v="FIBC Bags With UV Without Liner"/>
    <n v="1624.4"/>
    <n v="428955.31"/>
    <s v="26.19391/MERCER-17"/>
    <n v="0"/>
    <n v="9"/>
    <n v="38605.980000000003"/>
    <n v="9"/>
    <n v="38605.980000000003"/>
    <n v="0"/>
    <n v="0"/>
    <n v="0"/>
    <n v="77211.960000000006"/>
    <n v="0"/>
    <s v="24AAACO3087C1ZT"/>
    <s v="KGS"/>
    <n v="63053200"/>
    <s v="Rs."/>
    <n v="1"/>
    <n v="1624.4"/>
    <s v="India"/>
    <x v="1"/>
  </r>
  <r>
    <d v="2026-07-15T00:00:00"/>
    <s v="Plastene India ltd - Unit 1-Sales"/>
    <s v="Sales"/>
    <n v="471"/>
    <s v="Sales - Within State  Manufactured Goods"/>
    <s v="KPV/D/471"/>
    <d v="2026-07-15T00:00:00"/>
    <s v="FG"/>
    <s v="FIBC Bags"/>
    <s v="FIBC Bags"/>
    <s v="PP WOVEN BIG BAGS / SACKS"/>
    <s v="FIBC Bags With UV Without Liner"/>
    <n v="1689.3"/>
    <n v="479811.88"/>
    <s v="POUS-5182/IMPQ06145"/>
    <n v="0"/>
    <n v="9"/>
    <n v="43183.07"/>
    <n v="9"/>
    <n v="43183.07"/>
    <n v="0"/>
    <n v="0"/>
    <n v="0"/>
    <n v="86366.14"/>
    <n v="0"/>
    <s v="24AAACO3087C1ZT"/>
    <s v="KGS"/>
    <n v="63053200"/>
    <s v="Rs."/>
    <n v="1"/>
    <n v="1689.3"/>
    <s v="India"/>
    <x v="1"/>
  </r>
  <r>
    <d v="2026-07-15T00:00:00"/>
    <s v="Plastene India ltd - Unit 1-Sales"/>
    <s v="Sales"/>
    <n v="471"/>
    <s v="Sales - Within State  Manufactured Goods"/>
    <s v="KPV/D/471"/>
    <d v="2026-07-15T00:00:00"/>
    <s v="FG"/>
    <s v="FIBC Bags"/>
    <s v="FIBC Bags"/>
    <s v="PP WOVEN BIG BAGS / SACKS"/>
    <s v="FIBC Bags With UV Without Liner"/>
    <n v="380"/>
    <n v="93027.8"/>
    <s v="POUS-5182/IMPQ06235"/>
    <n v="0"/>
    <n v="9"/>
    <n v="8372.5"/>
    <n v="9"/>
    <n v="8372.5"/>
    <n v="0"/>
    <n v="0"/>
    <n v="0"/>
    <n v="16745"/>
    <n v="0"/>
    <s v="24AAACO3087C1ZT"/>
    <s v="KGS"/>
    <n v="63053200"/>
    <s v="Rs."/>
    <n v="1"/>
    <n v="380"/>
    <s v="India"/>
    <x v="1"/>
  </r>
  <r>
    <d v="2026-07-15T00:00:00"/>
    <s v="Plastene India ltd - Unit 1-Sales"/>
    <s v="Sales"/>
    <n v="471"/>
    <s v="Sales - Within State  Manufactured Goods"/>
    <s v="KPV/D/471"/>
    <d v="2026-07-15T00:00:00"/>
    <s v="FG"/>
    <s v="FIBC Bags"/>
    <s v="FIBC Bags"/>
    <s v="PP WOVEN BIG BAGS / SACKS"/>
    <s v="FIBC Bags With UV Without Liner"/>
    <n v="1716.4"/>
    <n v="483338.23999999999"/>
    <s v="POUS-5182/IMPQ06310"/>
    <n v="0"/>
    <n v="9"/>
    <n v="43500.44"/>
    <n v="9"/>
    <n v="43500.44"/>
    <n v="0"/>
    <n v="0"/>
    <n v="0"/>
    <n v="87000.88"/>
    <n v="0"/>
    <s v="24AAACO3087C1ZT"/>
    <s v="KGS"/>
    <n v="63053200"/>
    <s v="Rs."/>
    <n v="1"/>
    <n v="1716.4"/>
    <s v="India"/>
    <x v="1"/>
  </r>
  <r>
    <d v="2026-07-15T00:00:00"/>
    <s v="Shivam Traders - Sales (24AGUPS9760R1ZZ)"/>
    <s v="Sales"/>
    <n v="462"/>
    <s v="Sales - Within State  Manufactured Goods"/>
    <s v="KPV/D/462"/>
    <d v="2026-07-15T00:00:00"/>
    <s v="FG"/>
    <s v="FIBC Bags"/>
    <s v="FIBC Bags"/>
    <s v="PP WOVEN BIG BAGS / SACKS"/>
    <s v="FIBC Bags With UV With Liner"/>
    <n v="845.4"/>
    <n v="170000"/>
    <s v="90X90X120"/>
    <n v="726880"/>
    <n v="9"/>
    <n v="15300"/>
    <n v="9"/>
    <n v="15300"/>
    <n v="0"/>
    <n v="0"/>
    <n v="900"/>
    <n v="31500"/>
    <n v="0"/>
    <s v="24AGUPS9760R1ZZ"/>
    <s v="KGS"/>
    <n v="63053200"/>
    <s v="Rs."/>
    <n v="1"/>
    <n v="845.4"/>
    <s v="India"/>
    <x v="1"/>
  </r>
  <r>
    <d v="2026-07-15T00:00:00"/>
    <s v="Shivam Traders - Sales (24AGUPS9760R1ZZ)"/>
    <s v="Sales"/>
    <n v="462"/>
    <s v="Sales - Within State  Manufactured Goods"/>
    <s v="KPV/D/462"/>
    <d v="2026-07-15T00:00:00"/>
    <s v="FG"/>
    <s v="FIBC Bags"/>
    <s v="FIBC Bags"/>
    <s v="PP WOVEN BIG BAGS / SACKS"/>
    <s v="FIBC Bags With UV Without Liner"/>
    <n v="557.79999999999995"/>
    <n v="109500"/>
    <s v="90X90X135"/>
    <n v="0"/>
    <n v="9"/>
    <n v="9855"/>
    <n v="9"/>
    <n v="9855"/>
    <n v="0"/>
    <n v="0"/>
    <n v="900"/>
    <n v="20610"/>
    <n v="0"/>
    <s v="24AGUPS9760R1ZZ"/>
    <s v="KGS"/>
    <n v="63053200"/>
    <s v="Rs."/>
    <n v="1"/>
    <n v="557.79999999999995"/>
    <s v="India"/>
    <x v="1"/>
  </r>
  <r>
    <d v="2026-07-15T00:00:00"/>
    <s v="Shivam Traders - Sales (24AGUPS9760R1ZZ)"/>
    <s v="Sales"/>
    <n v="462"/>
    <s v="Sales - Within State  Manufactured Goods"/>
    <s v="KPV/D/462"/>
    <d v="2026-07-15T00:00:00"/>
    <s v="FG"/>
    <s v="FIBC Bags"/>
    <s v="FIBC Bags"/>
    <s v="PP WOVEN BIG BAGS / SACKS"/>
    <s v="FIBC Bags With UV Without Liner"/>
    <n v="436.3"/>
    <n v="93000"/>
    <s v="90X90X90"/>
    <n v="0"/>
    <n v="9"/>
    <n v="8370"/>
    <n v="9"/>
    <n v="8370"/>
    <n v="0"/>
    <n v="0"/>
    <n v="900"/>
    <n v="17640"/>
    <n v="0"/>
    <s v="24AGUPS9760R1ZZ"/>
    <s v="KGS"/>
    <n v="63053200"/>
    <s v="Rs."/>
    <n v="1"/>
    <n v="436.3"/>
    <s v="India"/>
    <x v="1"/>
  </r>
  <r>
    <d v="2026-07-15T00:00:00"/>
    <s v="Shivam Traders - Sales (24AGUPS9760R1ZZ)"/>
    <s v="Sales"/>
    <n v="462"/>
    <s v="Sales - Within State  Manufactured Goods"/>
    <s v="KPV/D/462"/>
    <d v="2026-07-15T00:00:00"/>
    <s v="FG"/>
    <s v="FIBC Bags"/>
    <s v="FIBC Bags"/>
    <s v="PP WOVEN BIG BAGS / SACKS"/>
    <s v="FIBC Bags With UV Without Liner"/>
    <n v="143.19999999999999"/>
    <n v="30000"/>
    <s v="90X90X80"/>
    <n v="0"/>
    <n v="9"/>
    <n v="2700"/>
    <n v="9"/>
    <n v="2700"/>
    <n v="0"/>
    <n v="0"/>
    <n v="900"/>
    <n v="6300"/>
    <n v="0"/>
    <s v="24AGUPS9760R1ZZ"/>
    <s v="KGS"/>
    <n v="63053200"/>
    <s v="Rs."/>
    <n v="1"/>
    <n v="143.19999999999999"/>
    <s v="India"/>
    <x v="1"/>
  </r>
  <r>
    <d v="2026-07-15T00:00:00"/>
    <s v="Shivam Traders - Sales (24AGUPS9760R1ZZ)"/>
    <s v="Sales"/>
    <n v="462"/>
    <s v="Sales - Within State  Manufactured Goods"/>
    <s v="KPV/D/462"/>
    <d v="2026-07-15T00:00:00"/>
    <s v="FG"/>
    <s v="FIBC Bags"/>
    <s v="FIBC Bags"/>
    <s v="PP WOVEN BIG BAGS / SACKS"/>
    <s v="FIBC Bags With UV Without Liner"/>
    <n v="243"/>
    <n v="49500"/>
    <s v="90X90X110"/>
    <n v="0"/>
    <n v="9"/>
    <n v="4455"/>
    <n v="9"/>
    <n v="4455"/>
    <n v="0"/>
    <n v="0"/>
    <n v="900"/>
    <n v="9810"/>
    <n v="0"/>
    <s v="24AGUPS9760R1ZZ"/>
    <s v="KGS"/>
    <n v="63053200"/>
    <s v="Rs."/>
    <n v="1"/>
    <n v="243"/>
    <s v="India"/>
    <x v="1"/>
  </r>
  <r>
    <d v="2026-07-15T00:00:00"/>
    <s v="Shivam Traders - Sales (24AGUPS9760R1ZZ)"/>
    <s v="Sales"/>
    <n v="462"/>
    <s v="Sales - Within State  Manufactured Goods"/>
    <s v="KPV/D/462"/>
    <d v="2026-07-15T00:00:00"/>
    <s v="FG"/>
    <s v="FIBC Bags"/>
    <s v="FIBC Bags"/>
    <s v="PP WOVEN BIG BAGS / SACKS"/>
    <s v="FIBC Bags With UV Without Liner"/>
    <n v="532"/>
    <n v="106500"/>
    <s v="90X90X130"/>
    <n v="0"/>
    <n v="9"/>
    <n v="9585"/>
    <n v="9"/>
    <n v="9585"/>
    <n v="0"/>
    <n v="0"/>
    <n v="900"/>
    <n v="20070"/>
    <n v="0"/>
    <s v="24AGUPS9760R1ZZ"/>
    <s v="KGS"/>
    <n v="63053200"/>
    <s v="Rs."/>
    <n v="1"/>
    <n v="532"/>
    <s v="India"/>
    <x v="1"/>
  </r>
  <r>
    <d v="2026-07-15T00:00:00"/>
    <s v="Shivam Traders - Sales (24AGUPS9760R1ZZ)"/>
    <s v="Sales"/>
    <n v="462"/>
    <s v="Sales - Within State  Manufactured Goods"/>
    <s v="KPV/D/462"/>
    <d v="2026-07-15T00:00:00"/>
    <s v="FG"/>
    <s v="FIBC Bags"/>
    <s v="FIBC Bags"/>
    <s v="PP WOVEN BIG BAGS / SACKS"/>
    <s v="FIBC Bags With UV Without Liner"/>
    <n v="257.2"/>
    <n v="52500"/>
    <s v="90X90X130"/>
    <n v="0"/>
    <n v="9"/>
    <n v="4725"/>
    <n v="9"/>
    <n v="4725"/>
    <n v="0"/>
    <n v="0"/>
    <n v="900"/>
    <n v="10350"/>
    <n v="0"/>
    <s v="24AGUPS9760R1ZZ"/>
    <s v="KGS"/>
    <n v="63053200"/>
    <s v="Rs."/>
    <n v="1"/>
    <n v="257.2"/>
    <s v="India"/>
    <x v="1"/>
  </r>
  <r>
    <d v="2026-07-15T00:00:00"/>
    <s v="Shivam Traders - Sales (24AGUPS9760R1ZZ)"/>
    <s v="Sales"/>
    <n v="463"/>
    <s v="Sales - Within State  Manufactured Goods"/>
    <s v="KPV/D/463"/>
    <d v="2026-07-15T00:00:00"/>
    <s v="FG"/>
    <s v="FIBC Bags"/>
    <s v="FIBC Bags"/>
    <s v="PP WOVEN BIG BAGS / SACKS"/>
    <s v="FIBC Bags With UV Without Liner"/>
    <n v="575.9"/>
    <n v="122100"/>
    <s v="90X90X110"/>
    <n v="399412.3"/>
    <n v="9"/>
    <n v="10989"/>
    <n v="9"/>
    <n v="10989"/>
    <n v="0"/>
    <n v="0"/>
    <n v="900"/>
    <n v="22878"/>
    <n v="0"/>
    <s v="24AGUPS9760R1ZZ"/>
    <s v="KGS"/>
    <n v="63053200"/>
    <s v="Rs."/>
    <n v="1"/>
    <n v="575.9"/>
    <s v="India"/>
    <x v="1"/>
  </r>
  <r>
    <d v="2026-07-15T00:00:00"/>
    <s v="Shivam Traders - Sales (24AGUPS9760R1ZZ)"/>
    <s v="Sales"/>
    <n v="463"/>
    <s v="Sales - Within State  Manufactured Goods"/>
    <s v="KPV/D/463"/>
    <d v="2026-07-15T00:00:00"/>
    <s v="FG"/>
    <s v="FIBC Bags"/>
    <s v="FIBC Bags"/>
    <s v="PP WOVEN BIG BAGS / SACKS"/>
    <s v="FIBC Bags With UV Without Liner"/>
    <n v="257"/>
    <n v="52500"/>
    <s v="90X90X130"/>
    <n v="0"/>
    <n v="9"/>
    <n v="4725"/>
    <n v="9"/>
    <n v="4725"/>
    <n v="0"/>
    <n v="0"/>
    <n v="900"/>
    <n v="10350"/>
    <n v="0"/>
    <s v="24AGUPS9760R1ZZ"/>
    <s v="KGS"/>
    <n v="63053200"/>
    <s v="Rs."/>
    <n v="1"/>
    <n v="257"/>
    <s v="India"/>
    <x v="1"/>
  </r>
  <r>
    <d v="2026-07-15T00:00:00"/>
    <s v="Shivam Traders - Sales (24AGUPS9760R1ZZ)"/>
    <s v="Sales"/>
    <n v="463"/>
    <s v="Sales - Within State  Manufactured Goods"/>
    <s v="KPV/D/463"/>
    <d v="2026-07-15T00:00:00"/>
    <s v="FG"/>
    <s v="FIBC Bags"/>
    <s v="FIBC Bags"/>
    <s v="PP WOVEN BIG BAGS / SACKS"/>
    <s v="FIBC Bags With UV Without Liner"/>
    <n v="357.8"/>
    <n v="68985"/>
    <s v="90X90X135"/>
    <n v="0"/>
    <n v="9"/>
    <n v="6208.65"/>
    <n v="9"/>
    <n v="6208.65"/>
    <n v="0"/>
    <n v="0"/>
    <n v="900"/>
    <n v="13317.3"/>
    <n v="0"/>
    <s v="24AGUPS9760R1ZZ"/>
    <s v="KGS"/>
    <n v="63053200"/>
    <s v="Rs."/>
    <n v="1"/>
    <n v="357.8"/>
    <s v="India"/>
    <x v="1"/>
  </r>
  <r>
    <d v="2026-07-15T00:00:00"/>
    <s v="Shivam Traders - Sales (24AGUPS9760R1ZZ)"/>
    <s v="Sales"/>
    <n v="463"/>
    <s v="Sales - Within State  Manufactured Goods"/>
    <s v="KPV/D/463"/>
    <d v="2026-07-15T00:00:00"/>
    <s v="FG"/>
    <s v="FIBC Bags"/>
    <s v="FIBC Bags"/>
    <s v="PP WOVEN BIG BAGS / SACKS"/>
    <s v="FIBC Bags With UV Without Liner"/>
    <n v="215.8"/>
    <n v="46500"/>
    <s v="90X90X90"/>
    <n v="0"/>
    <n v="9"/>
    <n v="4185"/>
    <n v="9"/>
    <n v="4185"/>
    <n v="0"/>
    <n v="0"/>
    <n v="900"/>
    <n v="9270"/>
    <n v="0"/>
    <s v="24AGUPS9760R1ZZ"/>
    <s v="KGS"/>
    <n v="63053200"/>
    <s v="Rs."/>
    <n v="1"/>
    <n v="215.8"/>
    <s v="India"/>
    <x v="1"/>
  </r>
  <r>
    <d v="2026-07-15T00:00:00"/>
    <s v="Shivam Traders - Sales (24AGUPS9760R1ZZ)"/>
    <s v="Sales"/>
    <n v="463"/>
    <s v="Sales - Within State  Manufactured Goods"/>
    <s v="KPV/D/463"/>
    <d v="2026-07-15T00:00:00"/>
    <s v="FG"/>
    <s v="FIBC Bags"/>
    <s v="FIBC Bags"/>
    <s v="PP WOVEN BIG BAGS / SACKS"/>
    <s v="FIBC Bags With UV Without Liner"/>
    <n v="143.6"/>
    <n v="30000"/>
    <s v="90X90X80"/>
    <n v="0"/>
    <n v="9"/>
    <n v="2700"/>
    <n v="9"/>
    <n v="2700"/>
    <n v="0"/>
    <n v="0"/>
    <n v="900"/>
    <n v="6300"/>
    <n v="0"/>
    <s v="24AGUPS9760R1ZZ"/>
    <s v="KGS"/>
    <n v="63053200"/>
    <s v="Rs."/>
    <n v="1"/>
    <n v="143.6"/>
    <s v="India"/>
    <x v="1"/>
  </r>
  <r>
    <d v="2026-07-15T00:00:00"/>
    <s v="Shivam Traders - Sales (24AGUPS9760R1ZZ)"/>
    <s v="Sales"/>
    <n v="463"/>
    <s v="Sales - Within State  Manufactured Goods"/>
    <s v="KPV/D/463"/>
    <d v="2026-07-15T00:00:00"/>
    <s v="FG"/>
    <s v="FIBC Bags"/>
    <s v="FIBC Bags"/>
    <s v="PP WOVEN BIG BAGS / SACKS"/>
    <s v="FIBC Bags With UV Without Liner"/>
    <n v="85"/>
    <n v="13400"/>
    <s v="90X90X120"/>
    <n v="0"/>
    <n v="9"/>
    <n v="1206"/>
    <n v="9"/>
    <n v="1206"/>
    <n v="0"/>
    <n v="0"/>
    <n v="900"/>
    <n v="3312"/>
    <n v="0"/>
    <s v="24AGUPS9760R1ZZ"/>
    <s v="KGS"/>
    <n v="63053200"/>
    <s v="Rs."/>
    <n v="1"/>
    <n v="85"/>
    <s v="India"/>
    <x v="1"/>
  </r>
  <r>
    <d v="2026-07-16T00:00:00"/>
    <s v="Condepols, S.A."/>
    <s v="Export Sales"/>
    <s v="KPW/E/105/26-27"/>
    <s v="Sales - Direct Export - Mfg - U/B"/>
    <s v="KPW/E/105/26-27"/>
    <d v="2026-07-16T00:00:00"/>
    <s v="SF"/>
    <s v="PP/PE Fabric"/>
    <s v="PP UL Fabric"/>
    <s v="PP WOVEN FABRIC"/>
    <s v="PP UL Fabric With UV"/>
    <n v="17642.5"/>
    <n v="3600290.4299999997"/>
    <s v="PP SULZER FABRIC WITH UV MILKY WHITE"/>
    <n v="3600290.43"/>
    <n v="0"/>
    <n v="0"/>
    <n v="0"/>
    <n v="0"/>
    <n v="0"/>
    <n v="0"/>
    <n v="0"/>
    <n v="0"/>
    <n v="0"/>
    <s v="N.A."/>
    <s v="KGS"/>
    <n v="39269080"/>
    <s v="$"/>
    <n v="93.5"/>
    <n v="17642.5"/>
    <s v="Spain"/>
    <x v="3"/>
  </r>
  <r>
    <d v="2026-07-16T00:00:00"/>
    <s v="FPS Flexibles France Sarl"/>
    <s v="Export Sales"/>
    <s v="KPW/E/103/26-27"/>
    <s v="Sales - Direct Export - Mfg - U/B"/>
    <s v="KPW/E/103/26-27"/>
    <d v="2026-07-16T00:00:00"/>
    <s v="FG"/>
    <s v="FIBC Bags"/>
    <s v="FIBC Bags"/>
    <s v="PP WOVEN BIG BAGS / SACKS"/>
    <s v="FIBC Bags With UV Without Liner"/>
    <n v="19366.099999999999"/>
    <n v="5008737.6420000009"/>
    <s v="PP WOVEN BIG BAGS"/>
    <n v="5008737.6399999997"/>
    <n v="0"/>
    <n v="0"/>
    <n v="0"/>
    <n v="0"/>
    <n v="0"/>
    <n v="0"/>
    <n v="0"/>
    <n v="0"/>
    <n v="0"/>
    <s v="N.A."/>
    <s v="KGS"/>
    <n v="63053200"/>
    <s v="€"/>
    <n v="105.4"/>
    <n v="19366.099999999999"/>
    <s v="France"/>
    <x v="1"/>
  </r>
  <r>
    <d v="2026-07-16T00:00:00"/>
    <s v="Hcp Plastene Bulkpack Ltd Vadodara-Sales"/>
    <s v="Sales"/>
    <n v="474"/>
    <s v="Sales - Within State - Traded Goods"/>
    <s v="KPV/D/474"/>
    <d v="2026-07-16T00:00:00"/>
    <s v="Stores/Spares"/>
    <s v="Needles"/>
    <s v="Stores &amp; Spares"/>
    <s v="stores &amp;  spares"/>
    <s v="Needle No 29 UY 9848 GS 300"/>
    <n v="50"/>
    <n v="6700"/>
    <s v="Needle No 29 UY 9848 GS 300"/>
    <n v="7028.3"/>
    <n v="2.5"/>
    <n v="167.5"/>
    <n v="2.5"/>
    <n v="167.5"/>
    <n v="0"/>
    <n v="0"/>
    <n v="0"/>
    <n v="335"/>
    <n v="0"/>
    <s v="24AABCG1282C2Z6"/>
    <s v="KGS"/>
    <n v="845290"/>
    <s v="Rs."/>
    <n v="1"/>
    <n v="50"/>
    <s v="India"/>
    <x v="4"/>
  </r>
  <r>
    <d v="2026-07-16T00:00:00"/>
    <s v="Plastene India ltd - Unit 2-Sales"/>
    <s v="Sales"/>
    <n v="472"/>
    <s v="Sales - Within State  Manufactured Goods"/>
    <s v="KPV/D/472"/>
    <d v="2026-07-16T00:00:00"/>
    <s v="SF"/>
    <s v="PP/PE Fabric"/>
    <s v="PP UL Fabric"/>
    <s v="PP WOVEN FABRIC"/>
    <s v="PP UL Fabric With UV"/>
    <n v="4882"/>
    <n v="786734.3"/>
    <s v="."/>
    <n v="1008986.15"/>
    <n v="9"/>
    <n v="70806.09"/>
    <n v="9"/>
    <n v="70806.09"/>
    <n v="0"/>
    <n v="0"/>
    <n v="0"/>
    <n v="141612.18"/>
    <n v="0"/>
    <s v="24AAACO3087C1ZT"/>
    <s v="KGS"/>
    <n v="39269080"/>
    <s v="Rs."/>
    <n v="1"/>
    <n v="4882"/>
    <s v="India"/>
    <x v="3"/>
  </r>
  <r>
    <d v="2026-07-16T00:00:00"/>
    <s v="Plastene India ltd - Unit 2-Sales"/>
    <s v="Sales"/>
    <n v="472"/>
    <s v="Sales - Within State  Manufactured Goods"/>
    <s v="KPV/D/472"/>
    <d v="2026-07-16T00:00:00"/>
    <s v="SF"/>
    <s v="PP/PE Fabric"/>
    <s v="PP UL Fabric"/>
    <s v="PP WOVEN FABRIC"/>
    <s v="PP UL Fabric With UV"/>
    <n v="408.3"/>
    <n v="69063.95"/>
    <s v="VENTILATED"/>
    <n v="0"/>
    <n v="9"/>
    <n v="6215.76"/>
    <n v="9"/>
    <n v="6215.76"/>
    <n v="0"/>
    <n v="0"/>
    <n v="0"/>
    <n v="12431.52"/>
    <n v="0"/>
    <s v="24AAACO3087C1ZT"/>
    <s v="KGS"/>
    <n v="39269080"/>
    <s v="Rs."/>
    <n v="1"/>
    <n v="408.3"/>
    <s v="India"/>
    <x v="3"/>
  </r>
  <r>
    <d v="2026-07-16T00:00:00"/>
    <s v="Plastene India ltd - Unit 2-Sales"/>
    <s v="Sales"/>
    <n v="473"/>
    <s v="Sales - Within State - Traded Goods"/>
    <s v="KPV/D/473"/>
    <d v="2026-07-16T00:00:00"/>
    <s v="Stores/Spares"/>
    <s v="MS Structure Items"/>
    <s v="Capital Work in Progress"/>
    <s v="MS PIPE"/>
    <s v="MS Pipe"/>
    <n v="207"/>
    <n v="9936"/>
    <s v="."/>
    <n v="11714.54"/>
    <n v="9"/>
    <n v="894.24"/>
    <n v="9"/>
    <n v="894.24"/>
    <n v="0"/>
    <n v="0"/>
    <n v="0"/>
    <n v="1788.48"/>
    <n v="0"/>
    <s v="24AAACO3087C1ZT"/>
    <s v="KGS"/>
    <n v="73063090"/>
    <s v="Rs."/>
    <n v="1"/>
    <n v="207"/>
    <s v="India"/>
    <x v="4"/>
  </r>
  <r>
    <d v="2026-07-16T00:00:00"/>
    <s v="Plastene India ltd - Unit 2-Sales"/>
    <s v="Sales"/>
    <n v="475"/>
    <s v="Sales - Within State - Traded Goods"/>
    <s v="KPV/D/475"/>
    <d v="2026-07-16T00:00:00"/>
    <s v="Stores/Spares"/>
    <s v="Needles"/>
    <s v="Stores &amp; Spares"/>
    <s v="stores &amp;  spares"/>
    <s v="Needle No 28"/>
    <n v="50"/>
    <n v="4750"/>
    <s v="Needle No 28"/>
    <n v="4982.75"/>
    <n v="2.5"/>
    <n v="118.75"/>
    <n v="2.5"/>
    <n v="118.75"/>
    <n v="0"/>
    <n v="0"/>
    <n v="0"/>
    <n v="237.5"/>
    <n v="0"/>
    <s v="24AAACO3087C1ZT"/>
    <s v="KGS"/>
    <n v="845290"/>
    <s v="Rs."/>
    <n v="1"/>
    <n v="50"/>
    <s v="India"/>
    <x v="4"/>
  </r>
  <r>
    <d v="2026-07-16T00:00:00"/>
    <s v="Southern Packaging Lp"/>
    <s v="Export Sales"/>
    <s v="KPW/E/104/26-27"/>
    <s v="Sales - Direct Export - Mfg - U/B"/>
    <s v="KPW/E/104/26-27"/>
    <d v="2026-07-16T00:00:00"/>
    <s v="FG"/>
    <s v="FIBC Bags"/>
    <s v="FIBC Bags"/>
    <s v="PP WOVEN BIG BAGS / SACKS"/>
    <s v="FIBC Bags With UV Without Liner"/>
    <n v="19234.5"/>
    <n v="4465560"/>
    <s v="PP WOVEN BIG BAG"/>
    <n v="4465560"/>
    <n v="0"/>
    <n v="0"/>
    <n v="0"/>
    <n v="0"/>
    <n v="0"/>
    <n v="0"/>
    <n v="0"/>
    <n v="0"/>
    <n v="0"/>
    <s v="N.A."/>
    <s v="KGS"/>
    <n v="63053200"/>
    <s v="$"/>
    <n v="93.5"/>
    <n v="19234.5"/>
    <s v="USA"/>
    <x v="1"/>
  </r>
  <r>
    <d v="2026-07-16T00:00:00"/>
    <s v="Tecnopacking"/>
    <s v="Export Sales"/>
    <s v="KPW/E/102/26-27"/>
    <s v="Sales - Direct Export - Mfg - U/B"/>
    <s v="KPW/E/102/26-27"/>
    <d v="2026-07-16T00:00:00"/>
    <s v="FG"/>
    <s v="FIBC Bags"/>
    <s v="FIBC Bags"/>
    <s v="PP WOVEN BIG BAGS / SACKS"/>
    <s v="FIBC Bags With UV Without Liner"/>
    <n v="18531"/>
    <n v="3591835.2250000001"/>
    <s v="PP WOVEN BIG BAGS"/>
    <n v="3591835.23"/>
    <n v="0"/>
    <n v="0"/>
    <n v="0"/>
    <n v="0"/>
    <n v="0"/>
    <n v="0"/>
    <n v="0"/>
    <n v="0"/>
    <n v="0"/>
    <s v="N.A."/>
    <s v="KGS"/>
    <n v="63053200"/>
    <s v="$"/>
    <n v="93.5"/>
    <n v="18531"/>
    <s v="Spain"/>
    <x v="1"/>
  </r>
  <r>
    <d v="2026-07-17T00:00:00"/>
    <s v="HCP Plastene Bulkpack Limited - Sales"/>
    <s v="Sales"/>
    <n v="477"/>
    <s v="Sales - Within State  Manufactured Goods"/>
    <s v="KPV/D/477"/>
    <d v="2026-07-17T00:00:00"/>
    <s v="SF"/>
    <s v="Webbing"/>
    <s v="PP Webbing"/>
    <s v="PP WEBBING"/>
    <s v="Webbing"/>
    <n v="293.2"/>
    <n v="45489.98"/>
    <s v="MW"/>
    <n v="53632.69"/>
    <n v="9"/>
    <n v="4094.1"/>
    <n v="9"/>
    <n v="4094.1"/>
    <n v="0"/>
    <n v="0"/>
    <n v="0"/>
    <n v="8188.2"/>
    <n v="0"/>
    <s v="24AABCG1282C2Z6"/>
    <s v="KGS"/>
    <n v="39269080"/>
    <s v="Rs."/>
    <n v="1"/>
    <n v="293.2"/>
    <s v="India"/>
    <x v="6"/>
  </r>
  <r>
    <d v="2026-07-17T00:00:00"/>
    <s v="HCP Plastene Bulkpack Limited - Sales"/>
    <s v="Sales"/>
    <n v="478"/>
    <s v="Sales - Within State  Manufactured Goods"/>
    <s v="KPV/D/478"/>
    <d v="2026-07-17T00:00:00"/>
    <s v="SF"/>
    <s v="Webbing"/>
    <s v="PP Webbing"/>
    <s v="PP WEBBING"/>
    <s v="Webbing"/>
    <n v="1722"/>
    <n v="272334.3"/>
    <s v="BLACK"/>
    <n v="369561.45"/>
    <n v="9"/>
    <n v="24510.09"/>
    <n v="9"/>
    <n v="24510.09"/>
    <n v="0"/>
    <n v="0"/>
    <n v="0"/>
    <n v="49020.18"/>
    <n v="0"/>
    <s v="24AABCG1282C2Z6"/>
    <s v="KGS"/>
    <n v="39269080"/>
    <s v="Rs."/>
    <n v="1"/>
    <n v="1722"/>
    <s v="India"/>
    <x v="6"/>
  </r>
  <r>
    <d v="2026-07-17T00:00:00"/>
    <s v="HCP Plastene Bulkpack Limited - Sales"/>
    <s v="Sales"/>
    <n v="478"/>
    <s v="Sales - Within State  Manufactured Goods"/>
    <s v="KPV/D/478"/>
    <d v="2026-07-17T00:00:00"/>
    <s v="SF"/>
    <s v="Webbing"/>
    <s v="PP Webbing"/>
    <s v="PP WEBBING"/>
    <s v="Webbing"/>
    <n v="260"/>
    <n v="41119"/>
    <s v="BLUE"/>
    <n v="0"/>
    <n v="9"/>
    <n v="3700.71"/>
    <n v="9"/>
    <n v="3700.71"/>
    <n v="0"/>
    <n v="0"/>
    <n v="0"/>
    <n v="7401.42"/>
    <n v="0"/>
    <s v="24AABCG1282C2Z6"/>
    <s v="KGS"/>
    <n v="39269080"/>
    <s v="Rs."/>
    <n v="1"/>
    <n v="260"/>
    <s v="India"/>
    <x v="6"/>
  </r>
  <r>
    <d v="2026-07-17T00:00:00"/>
    <s v="HCP Plastene Bulkpack Limited - Sales"/>
    <s v="Sales"/>
    <n v="479"/>
    <s v="Sales - Within State - Traded Goods"/>
    <s v="KPV/D/479"/>
    <d v="2026-07-17T00:00:00"/>
    <s v="Stores/Spares"/>
    <s v="MS Structure Items"/>
    <s v="Capital Work in Progress"/>
    <s v="MS PIPE"/>
    <s v="MS Pipe 4  C Class"/>
    <n v="200"/>
    <n v="9600"/>
    <s v="."/>
    <n v="22636.799999999999"/>
    <n v="9"/>
    <n v="864"/>
    <n v="9"/>
    <n v="864"/>
    <n v="0"/>
    <n v="0"/>
    <n v="0"/>
    <n v="1728"/>
    <n v="0"/>
    <s v="24AABCG1282C2Z6"/>
    <s v="KGS"/>
    <n v="73063090"/>
    <s v="Rs."/>
    <n v="1"/>
    <n v="200"/>
    <s v="India"/>
    <x v="4"/>
  </r>
  <r>
    <d v="2026-07-17T00:00:00"/>
    <s v="HCP Plastene Bulkpack Limited - Sales"/>
    <s v="Sales"/>
    <n v="479"/>
    <s v="Sales - Within State - Traded Goods"/>
    <s v="KPV/D/479"/>
    <d v="2026-07-17T00:00:00"/>
    <s v="Stores/Spares"/>
    <s v="MS Structure Items"/>
    <s v="Capital Work in Progress"/>
    <s v="MS PIPE"/>
    <s v="MS Pipe"/>
    <n v="200"/>
    <n v="9600"/>
    <s v="."/>
    <n v="0"/>
    <n v="9"/>
    <n v="864"/>
    <n v="9"/>
    <n v="864"/>
    <n v="0"/>
    <n v="0"/>
    <n v="0"/>
    <n v="1728"/>
    <n v="0"/>
    <s v="24AABCG1282C2Z6"/>
    <s v="KGS"/>
    <n v="73063090"/>
    <s v="Rs."/>
    <n v="1"/>
    <n v="200"/>
    <s v="India"/>
    <x v="4"/>
  </r>
  <r>
    <d v="2026-07-17T00:00:00"/>
    <s v="HCP Plastene Bulkpack Limited - Sales"/>
    <s v="Sales"/>
    <n v="480"/>
    <s v="Sales - Within State  Manufactured Goods"/>
    <s v="KPV/D/480"/>
    <d v="2026-07-17T00:00:00"/>
    <s v="RM"/>
    <s v="Granules"/>
    <s v="PP Granules"/>
    <s v="PP Granuals"/>
    <s v="PP Zhongjing T30S"/>
    <n v="90000"/>
    <n v="6894000"/>
    <s v="PP Zhongjing T30S"/>
    <n v="8128026"/>
    <n v="9"/>
    <n v="620460"/>
    <n v="9"/>
    <n v="620460"/>
    <n v="0"/>
    <n v="0"/>
    <n v="0"/>
    <n v="1240920"/>
    <n v="0"/>
    <s v="24AABCG1282C2Z6"/>
    <s v="KGS"/>
    <n v="39021000"/>
    <s v="Rs."/>
    <n v="1"/>
    <n v="90000"/>
    <s v="India"/>
    <x v="7"/>
  </r>
  <r>
    <d v="2026-07-17T00:00:00"/>
    <s v="Kusum Packaging Solutions Pvt Ltd "/>
    <s v="Sales"/>
    <n v="476"/>
    <s v="Sales - Waste &amp; Scrape"/>
    <s v="KPV/D/476"/>
    <d v="2026-07-17T00:00:00"/>
    <s v="SF"/>
    <s v="Wastage/Scrap"/>
    <s v="Wastage/Scrap"/>
    <s v="Waste"/>
    <s v="PP/HD Wastage/Scrap"/>
    <n v="10"/>
    <n v="1661.7"/>
    <s v="HD MONO BLACK NET 160 GSM"/>
    <n v="2000.02"/>
    <n v="9"/>
    <n v="149.55000000000001"/>
    <n v="9"/>
    <n v="149.55000000000001"/>
    <n v="0"/>
    <n v="0"/>
    <n v="0"/>
    <n v="299.10000000000002"/>
    <n v="39.22"/>
    <s v="24AAKCK4474B1ZO"/>
    <s v="KGS"/>
    <n v="39159029"/>
    <s v="Rs."/>
    <n v="1"/>
    <n v="10"/>
    <s v="India"/>
    <x v="11"/>
  </r>
  <r>
    <d v="2026-07-17T00:00:00"/>
    <s v="Plastene India ltd - Unit 2-Sales"/>
    <s v="Sales"/>
    <n v="481"/>
    <s v="Sales - Within State  Manufactured Goods"/>
    <s v="KPV/D/481"/>
    <d v="2026-07-17T00:00:00"/>
    <s v="FG"/>
    <s v="FIBC Bags"/>
    <s v="FIBC Bags"/>
    <s v="PP WOVEN BIG BAGS / SACKS"/>
    <s v="FIBC Bags With UV With Liner"/>
    <n v="12058"/>
    <n v="4697555.6399999997"/>
    <s v="24/80122/24183/15.2849-18"/>
    <n v="5538418.0999999996"/>
    <n v="9"/>
    <n v="422780.01"/>
    <n v="9"/>
    <n v="422780.01"/>
    <n v="0"/>
    <n v="0"/>
    <n v="0"/>
    <n v="845560.02"/>
    <n v="0"/>
    <s v="24AAACO3087C1ZT"/>
    <s v="KGS"/>
    <n v="63053200"/>
    <s v="Rs."/>
    <n v="1"/>
    <n v="12058"/>
    <s v="India"/>
    <x v="1"/>
  </r>
  <r>
    <d v="2026-07-17T00:00:00"/>
    <s v="Plastene Polyfilms Ltd-Sales"/>
    <s v="Sales"/>
    <n v="482"/>
    <s v="Sales - Within State  Manufactured Goods"/>
    <s v="KPV/D/482"/>
    <d v="2026-07-17T00:00:00"/>
    <s v="FG"/>
    <s v="FIBC Bags"/>
    <s v="FIBC Bags"/>
    <s v="PP WOVEN BIG BAGS / SACKS"/>
    <s v="FIBC Bags With UV Without Liner"/>
    <n v="10402.5"/>
    <n v="2878163.7"/>
    <s v="E-IO26-00456/006810-00006-00"/>
    <n v="3393355"/>
    <n v="9"/>
    <n v="259034.73"/>
    <n v="9"/>
    <n v="259034.73"/>
    <n v="0"/>
    <n v="0"/>
    <n v="0"/>
    <n v="518069.46"/>
    <n v="0"/>
    <s v="24AAFCP2956A1ZR"/>
    <s v="KGS"/>
    <n v="63053200"/>
    <s v="Rs."/>
    <n v="1"/>
    <n v="10402.5"/>
    <s v="India"/>
    <x v="1"/>
  </r>
  <r>
    <d v="2026-07-17T00:00:00"/>
    <s v="Somlo-Zsak Kender-Juta Kft"/>
    <s v="Export Sales"/>
    <s v="KPW/E/106/26-27"/>
    <s v="Sales - Direct Export - Mfg - U/B"/>
    <s v="KPW/E/106/26-27"/>
    <d v="2026-07-17T00:00:00"/>
    <s v="SF"/>
    <s v="PP/PE Fabric"/>
    <s v="PP Lam Fabric"/>
    <s v="PP LAMINETED FABRIC"/>
    <s v="PP Lam Fabric With UV"/>
    <n v="19901.8"/>
    <n v="3744110.2459999998"/>
    <s v="PP Lam Fabric With UV"/>
    <n v="3744110.25"/>
    <n v="0"/>
    <n v="0"/>
    <n v="0"/>
    <n v="0"/>
    <n v="0"/>
    <n v="0"/>
    <n v="0"/>
    <n v="0"/>
    <n v="0"/>
    <s v="N.A."/>
    <s v="KGS"/>
    <n v="39269080"/>
    <s v="$"/>
    <n v="95.45"/>
    <n v="19901.8"/>
    <s v="Hungary"/>
    <x v="5"/>
  </r>
  <r>
    <d v="2026-07-18T00:00:00"/>
    <s v="Exim Handelsonderneming Rotterdam Bv"/>
    <s v="Export Sales"/>
    <s v="KPW/E/107/26-27"/>
    <s v="Sales - Direct Export - Mfg - U/B"/>
    <s v="KPW/E/107/26-27"/>
    <d v="2026-07-18T00:00:00"/>
    <s v="FG"/>
    <s v="FIBC Bags"/>
    <s v="FIBC Bags"/>
    <s v="PP WOVEN BIG BAGS / SACKS"/>
    <s v="FIBC Bags With UV Without Liner"/>
    <n v="19060"/>
    <n v="4335109.92"/>
    <s v="PP WOVEN BIG BAGS"/>
    <n v="4335109.92"/>
    <n v="0"/>
    <n v="0"/>
    <n v="0"/>
    <n v="0"/>
    <n v="0"/>
    <n v="0"/>
    <n v="0"/>
    <n v="0"/>
    <n v="0"/>
    <s v="N.A."/>
    <s v="KGS"/>
    <n v="63053200"/>
    <s v="$"/>
    <n v="95.45"/>
    <n v="19060"/>
    <s v="Netherlands"/>
    <x v="1"/>
  </r>
  <r>
    <d v="2026-07-18T00:00:00"/>
    <s v="HCP Plastene Bulkpack Limited - Sales"/>
    <s v="Sales"/>
    <n v="486"/>
    <s v="Sales - Within State  Manufactured Goods"/>
    <s v="KPV/D/486"/>
    <d v="2026-07-18T00:00:00"/>
    <s v="SF"/>
    <s v="Yarn All"/>
    <s v="PP Yarn"/>
    <s v="PP FABRILLATED YARN"/>
    <s v="PP Fibrillated Tape Twisted 3200 Blue"/>
    <n v="554.6"/>
    <n v="85491.59"/>
    <s v="BLUE"/>
    <n v="316004.02"/>
    <n v="2.5"/>
    <n v="2137.29"/>
    <n v="2.5"/>
    <n v="2137.29"/>
    <n v="0"/>
    <n v="0"/>
    <n v="0"/>
    <n v="4274.58"/>
    <n v="0"/>
    <s v="24AABCG1282C2Z6"/>
    <s v="KGS"/>
    <n v="54026930"/>
    <s v="Rs."/>
    <n v="1"/>
    <n v="554.6"/>
    <s v="India"/>
    <x v="0"/>
  </r>
  <r>
    <d v="2026-07-18T00:00:00"/>
    <s v="HCP Plastene Bulkpack Limited - Sales"/>
    <s v="Sales"/>
    <n v="486"/>
    <s v="Sales - Within State  Manufactured Goods"/>
    <s v="KPV/D/486"/>
    <d v="2026-07-18T00:00:00"/>
    <s v="SF"/>
    <s v="Yarn All"/>
    <s v="PP Yarn"/>
    <s v="PP FABRILLATED YARN"/>
    <s v="PP Fibrillated Tape Twisted 3200 MW"/>
    <n v="1427.4"/>
    <n v="215751.51"/>
    <s v="MW"/>
    <n v="0"/>
    <n v="2.5"/>
    <n v="5393.79"/>
    <n v="2.5"/>
    <n v="5393.79"/>
    <n v="0"/>
    <n v="0"/>
    <n v="0"/>
    <n v="10787.58"/>
    <n v="0"/>
    <s v="24AABCG1282C2Z6"/>
    <s v="KGS"/>
    <n v="54026930"/>
    <s v="Rs."/>
    <n v="1"/>
    <n v="1427.4"/>
    <s v="India"/>
    <x v="0"/>
  </r>
  <r>
    <d v="2026-07-18T00:00:00"/>
    <s v="Plastene India ltd - Unit 2-Sales"/>
    <s v="Sales"/>
    <n v="483"/>
    <s v="Sales - Within State  Manufactured Goods"/>
    <s v="KPV/D/483"/>
    <d v="2026-07-18T00:00:00"/>
    <s v="RM"/>
    <s v="Granules"/>
    <s v="Masterbatch"/>
    <s v="Master batch"/>
    <s v="MB Clariant CMC Veer HP RED 485B"/>
    <n v="25"/>
    <n v="16200"/>
    <s v="MB Clariant CMC Veer HP RED 485B"/>
    <n v="19099.8"/>
    <n v="9"/>
    <n v="1458"/>
    <n v="9"/>
    <n v="1458"/>
    <n v="0"/>
    <n v="0"/>
    <n v="0"/>
    <n v="2916"/>
    <n v="0"/>
    <s v="24AAACO3087C1ZT"/>
    <s v="KGS"/>
    <n v="32064990"/>
    <s v="Rs."/>
    <n v="1"/>
    <n v="25"/>
    <s v="India"/>
    <x v="8"/>
  </r>
  <r>
    <d v="2026-07-18T00:00:00"/>
    <s v="Plastene India ltd - Unit 2-Sales"/>
    <s v="Sales"/>
    <n v="484"/>
    <s v="Sales - Within State  Manufactured Goods"/>
    <s v="KPV/D/484"/>
    <d v="2026-07-18T00:00:00"/>
    <s v="FG"/>
    <s v="FIBC Bags"/>
    <s v="FIBC Bags"/>
    <s v="PP WOVEN BIG BAGS / SACKS"/>
    <s v="FIBC Bags With UV Without Liner"/>
    <n v="4689"/>
    <n v="1195835.67"/>
    <s v="20BB-2026-PL-010/RCV145Q"/>
    <n v="1409890.25"/>
    <n v="9"/>
    <n v="107625.21"/>
    <n v="9"/>
    <n v="107625.21"/>
    <n v="0"/>
    <n v="0"/>
    <n v="0"/>
    <n v="215250.42"/>
    <n v="0"/>
    <s v="24AAACO3087C1ZT"/>
    <s v="KGS"/>
    <n v="63053200"/>
    <s v="Rs."/>
    <n v="1"/>
    <n v="4689"/>
    <s v="India"/>
    <x v="1"/>
  </r>
  <r>
    <d v="2026-07-18T00:00:00"/>
    <s v="Plastene India ltd - Unit 2-Sales"/>
    <s v="Sales"/>
    <n v="485"/>
    <s v="Sales - Within State  Manufactured Goods"/>
    <s v="KPV/D/485"/>
    <d v="2026-07-18T00:00:00"/>
    <s v="SF"/>
    <s v="Yarn All"/>
    <s v="PP Yarn"/>
    <s v="PP FABRILLATED YARN"/>
    <s v="PP Fibrillated Tape Twisted 3200 Blue"/>
    <n v="470"/>
    <n v="72450.5"/>
    <s v="BLUE"/>
    <n v="666024.91"/>
    <n v="2.5"/>
    <n v="1811.26"/>
    <n v="2.5"/>
    <n v="1811.26"/>
    <n v="0"/>
    <n v="0"/>
    <n v="0"/>
    <n v="3622.52"/>
    <n v="0"/>
    <s v="24AAACO3087C1ZT"/>
    <s v="KGS"/>
    <n v="54026930"/>
    <s v="Rs."/>
    <n v="1"/>
    <n v="470"/>
    <s v="India"/>
    <x v="0"/>
  </r>
  <r>
    <d v="2026-07-18T00:00:00"/>
    <s v="Plastene India ltd - Unit 2-Sales"/>
    <s v="Sales"/>
    <n v="485"/>
    <s v="Sales - Within State  Manufactured Goods"/>
    <s v="KPV/D/485"/>
    <d v="2026-07-18T00:00:00"/>
    <s v="SF"/>
    <s v="Yarn All"/>
    <s v="PP Yarn"/>
    <s v="PP FABRILLATED YARN"/>
    <s v="PP Fibrillated Tape Twisted 3200 MW"/>
    <n v="3090.5"/>
    <n v="467129.08"/>
    <s v="MW"/>
    <n v="0"/>
    <n v="2.5"/>
    <n v="11678.23"/>
    <n v="2.5"/>
    <n v="11678.23"/>
    <n v="0"/>
    <n v="0"/>
    <n v="0"/>
    <n v="23356.46"/>
    <n v="0"/>
    <s v="24AAACO3087C1ZT"/>
    <s v="KGS"/>
    <n v="54026930"/>
    <s v="Rs."/>
    <n v="1"/>
    <n v="3090.5"/>
    <s v="India"/>
    <x v="0"/>
  </r>
  <r>
    <d v="2026-07-18T00:00:00"/>
    <s v="Plastene India ltd - Unit 2-Sales"/>
    <s v="Sales"/>
    <n v="485"/>
    <s v="Sales - Within State  Manufactured Goods"/>
    <s v="KPV/D/485"/>
    <d v="2026-07-18T00:00:00"/>
    <s v="SF"/>
    <s v="Yarn All"/>
    <s v="PP Yarn"/>
    <s v="PP MF Yarn"/>
    <s v="PP MF Yarn Twisted 1000 Blue"/>
    <n v="103"/>
    <n v="20330.14"/>
    <s v="1000 DNR BLUE"/>
    <n v="0"/>
    <n v="2.5"/>
    <n v="508.25"/>
    <n v="2.5"/>
    <n v="508.25"/>
    <n v="0"/>
    <n v="0"/>
    <n v="0"/>
    <n v="1016.5"/>
    <n v="0"/>
    <s v="24AAACO3087C1ZT"/>
    <s v="KGS"/>
    <n v="54026930"/>
    <s v="Rs."/>
    <n v="1"/>
    <n v="103"/>
    <s v="India"/>
    <x v="0"/>
  </r>
  <r>
    <d v="2026-07-18T00:00:00"/>
    <s v="Plastene India ltd - Unit 2-Sales"/>
    <s v="Sales"/>
    <n v="485"/>
    <s v="Sales - Within State  Manufactured Goods"/>
    <s v="KPV/D/485"/>
    <d v="2026-07-18T00:00:00"/>
    <s v="SF"/>
    <s v="Yarn All"/>
    <s v="PP Yarn"/>
    <s v="PP MF Yarn"/>
    <s v="PP MF Yarn Twisted 2500 Blue"/>
    <n v="380"/>
    <n v="75004.399999999994"/>
    <s v="2500 DNR BLUE"/>
    <n v="0"/>
    <n v="2.5"/>
    <n v="1875.11"/>
    <n v="2.5"/>
    <n v="1875.11"/>
    <n v="0"/>
    <n v="0"/>
    <n v="0"/>
    <n v="3750.22"/>
    <n v="0"/>
    <s v="24AAACO3087C1ZT"/>
    <s v="KGS"/>
    <n v="54026930"/>
    <s v="Rs."/>
    <n v="1"/>
    <n v="380"/>
    <s v="India"/>
    <x v="0"/>
  </r>
  <r>
    <d v="2026-07-18T00:00:00"/>
    <s v="Plastene Polyfilms Ltd-Sales"/>
    <s v="Sales"/>
    <n v="487"/>
    <s v="Sales - Within State  Manufactured Goods"/>
    <s v="KPV/D/487"/>
    <d v="2026-07-18T00:00:00"/>
    <s v="FG"/>
    <s v="FIBC Bags"/>
    <s v="FIBC Bags"/>
    <s v="PP WOVEN BIG BAGS / SACKS"/>
    <s v="FIBC Bags With UV With Liner"/>
    <n v="2856"/>
    <n v="715456.56"/>
    <s v="4500202488/SGS-5"/>
    <n v="2618089.4300000002"/>
    <n v="9"/>
    <n v="64391.09"/>
    <n v="9"/>
    <n v="64391.09"/>
    <n v="0"/>
    <n v="0"/>
    <n v="0"/>
    <n v="128782.18"/>
    <n v="0"/>
    <s v="24AAFCP2956A1ZR"/>
    <s v="KGS"/>
    <n v="63053200"/>
    <s v="Rs."/>
    <n v="1"/>
    <n v="2856"/>
    <s v="India"/>
    <x v="1"/>
  </r>
  <r>
    <d v="2026-07-18T00:00:00"/>
    <s v="Plastene Polyfilms Ltd-Sales"/>
    <s v="Sales"/>
    <n v="487"/>
    <s v="Sales - Within State  Manufactured Goods"/>
    <s v="KPV/D/487"/>
    <d v="2026-07-18T00:00:00"/>
    <s v="FG"/>
    <s v="FIBC Bags"/>
    <s v="FIBC Bags"/>
    <s v="PP WOVEN BIG BAGS / SACKS"/>
    <s v="FIBC Bags With UV With Liner"/>
    <n v="2883"/>
    <n v="790201.47"/>
    <s v="PO-067306/CA 1F"/>
    <n v="0"/>
    <n v="9"/>
    <n v="71118.13"/>
    <n v="9"/>
    <n v="71118.13"/>
    <n v="0"/>
    <n v="0"/>
    <n v="0"/>
    <n v="142236.26"/>
    <n v="0"/>
    <s v="24AAFCP2956A1ZR"/>
    <s v="KGS"/>
    <n v="63053200"/>
    <s v="Rs."/>
    <n v="1"/>
    <n v="2883"/>
    <s v="India"/>
    <x v="1"/>
  </r>
  <r>
    <d v="2026-07-18T00:00:00"/>
    <s v="Plastene Polyfilms Ltd-Sales"/>
    <s v="Sales"/>
    <n v="487"/>
    <s v="Sales - Within State  Manufactured Goods"/>
    <s v="KPV/D/487"/>
    <d v="2026-07-18T00:00:00"/>
    <s v="FG"/>
    <s v="FIBC Bags"/>
    <s v="FIBC Bags"/>
    <s v="PP WOVEN BIG BAGS / SACKS"/>
    <s v="FIBC Bags With UV Without Liner"/>
    <n v="2588.5"/>
    <n v="714943.7"/>
    <s v="E-IO26-00456/006810-00006-00"/>
    <n v="0"/>
    <n v="9"/>
    <n v="64344.93"/>
    <n v="9"/>
    <n v="64344.93"/>
    <n v="0"/>
    <n v="0"/>
    <n v="0"/>
    <n v="128689.86"/>
    <n v="0"/>
    <s v="24AAFCP2956A1ZR"/>
    <s v="KGS"/>
    <n v="63053200"/>
    <s v="Rs."/>
    <n v="1"/>
    <n v="2588.5"/>
    <s v="India"/>
    <x v="1"/>
  </r>
  <r>
    <d v="2026-07-19T00:00:00"/>
    <s v="Plastene India ltd - Unit 1-Sales"/>
    <s v="Sales"/>
    <n v="488"/>
    <s v="Sales - Within State  Manufactured Goods"/>
    <s v="KPV/D/488"/>
    <d v="2026-07-19T00:00:00"/>
    <s v="SF"/>
    <s v="Yarn All"/>
    <s v="PP Yarn"/>
    <s v="PP Tape"/>
    <s v="PP Fibrillated Tape Twisted 3200 MW"/>
    <n v="1845"/>
    <n v="278871.75"/>
    <s v="MW"/>
    <n v="495669.39"/>
    <n v="9"/>
    <n v="25098.46"/>
    <n v="9"/>
    <n v="25098.46"/>
    <n v="0"/>
    <n v="0"/>
    <n v="0"/>
    <n v="50196.92"/>
    <n v="0"/>
    <s v="24AAACO3087C1ZT"/>
    <s v="KGS"/>
    <n v="39199090"/>
    <s v="Rs."/>
    <n v="1"/>
    <n v="1845"/>
    <s v="India"/>
    <x v="0"/>
  </r>
  <r>
    <d v="2026-07-19T00:00:00"/>
    <s v="Plastene India ltd - Unit 1-Sales"/>
    <s v="Sales"/>
    <n v="488"/>
    <s v="Sales - Within State  Manufactured Goods"/>
    <s v="KPV/D/488"/>
    <d v="2026-07-19T00:00:00"/>
    <s v="SF"/>
    <s v="PP/PE Fabric"/>
    <s v="PP Lam Fabric"/>
    <s v="PP LAMINETED FABRIC"/>
    <s v="PP Lam Fabric With UV"/>
    <n v="912.3"/>
    <n v="141543.34"/>
    <s v="FIBC Fabric Coated (More then 90+20 GSM)_x000d__x000a_"/>
    <n v="0"/>
    <n v="9"/>
    <n v="12738.9"/>
    <n v="9"/>
    <n v="12738.9"/>
    <n v="0"/>
    <n v="0"/>
    <n v="0"/>
    <n v="25477.8"/>
    <n v="0"/>
    <s v="24AAACO3087C1ZT"/>
    <s v="KGS"/>
    <n v="39269080"/>
    <s v="Rs."/>
    <n v="1"/>
    <n v="912.3"/>
    <s v="India"/>
    <x v="5"/>
  </r>
  <r>
    <d v="2026-07-19T00:00:00"/>
    <s v="Plastene India ltd - Unit 1-Sales"/>
    <s v="Sales"/>
    <n v="489"/>
    <s v="Sales - Within State  Manufactured Goods"/>
    <s v="KPV/D/489"/>
    <d v="2026-07-19T00:00:00"/>
    <s v="SF"/>
    <s v="Yarn All"/>
    <s v="PP Yarn"/>
    <s v="PP FABRILLATED YARN"/>
    <s v="PP Fibrillated Tape Twisted 3200 MW"/>
    <n v="805"/>
    <n v="121675.75"/>
    <s v="MW"/>
    <n v="189085.12"/>
    <n v="2.5"/>
    <n v="3041.89"/>
    <n v="2.5"/>
    <n v="3041.89"/>
    <n v="0"/>
    <n v="0"/>
    <n v="0"/>
    <n v="6083.78"/>
    <n v="0"/>
    <s v="24AAACO3087C1ZT"/>
    <s v="KGS"/>
    <n v="54026930"/>
    <s v="Rs."/>
    <n v="1"/>
    <n v="805"/>
    <s v="India"/>
    <x v="0"/>
  </r>
  <r>
    <d v="2026-07-19T00:00:00"/>
    <s v="Plastene India ltd - Unit 1-Sales"/>
    <s v="Sales"/>
    <n v="489"/>
    <s v="Sales - Within State  Manufactured Goods"/>
    <s v="KPV/D/489"/>
    <d v="2026-07-19T00:00:00"/>
    <s v="SF"/>
    <s v="Yarn All"/>
    <s v="PP Yarn"/>
    <s v="PP FABRILLATED YARN"/>
    <s v="PP Fibrillated Tape Twisted 3200 Blue"/>
    <n v="380"/>
    <n v="58577"/>
    <s v="BLUE"/>
    <n v="0"/>
    <n v="2.5"/>
    <n v="1464.42"/>
    <n v="2.5"/>
    <n v="1464.42"/>
    <n v="0"/>
    <n v="0"/>
    <n v="0"/>
    <n v="2928.84"/>
    <n v="0"/>
    <s v="24AAACO3087C1ZT"/>
    <s v="KGS"/>
    <n v="54026930"/>
    <s v="Rs."/>
    <n v="1"/>
    <n v="380"/>
    <s v="India"/>
    <x v="0"/>
  </r>
  <r>
    <d v="2026-07-19T00:00:00"/>
    <s v="Plastene India ltd - Unit 1-Sales"/>
    <s v="Sales"/>
    <n v="490"/>
    <s v="Sales - Within State - Traded Goods"/>
    <s v="KPV/D/490"/>
    <d v="2026-07-19T00:00:00"/>
    <s v="Stores/Spares"/>
    <s v="MS Structure Items"/>
    <s v="Capital Work in Progress"/>
    <s v="MS PIPE"/>
    <s v="MS Pipe 4  C Class"/>
    <n v="1084"/>
    <n v="52032"/>
    <s v="."/>
    <n v="61345.73"/>
    <n v="9"/>
    <n v="4682.88"/>
    <n v="9"/>
    <n v="4682.88"/>
    <n v="0"/>
    <n v="0"/>
    <n v="0"/>
    <n v="9365.76"/>
    <n v="0"/>
    <s v="24AAACO3087C1ZT"/>
    <s v="KGS"/>
    <n v="73063090"/>
    <s v="Rs."/>
    <n v="1"/>
    <n v="1084"/>
    <s v="India"/>
    <x v="4"/>
  </r>
  <r>
    <d v="2026-07-19T00:00:00"/>
    <s v="Plastene Polyfilms Ltd-Sales"/>
    <s v="Sales"/>
    <n v="491"/>
    <s v="Sales - Within State  Manufactured Goods"/>
    <s v="KPV/D/491"/>
    <d v="2026-07-19T00:00:00"/>
    <s v="FG"/>
    <s v="FIBC Bags"/>
    <s v="FIBC Bags"/>
    <s v="PP WOVEN BIG BAGS / SACKS"/>
    <s v="FIBC Bags With UV With Liner"/>
    <n v="1262"/>
    <n v="316143.62"/>
    <s v="4500202488/SGS-5"/>
    <n v="372733.34"/>
    <n v="9"/>
    <n v="28452.93"/>
    <n v="9"/>
    <n v="28452.93"/>
    <n v="0"/>
    <n v="0"/>
    <n v="0"/>
    <n v="56905.86"/>
    <n v="0"/>
    <s v="24AAFCP2956A1ZR"/>
    <s v="KGS"/>
    <n v="63053200"/>
    <s v="Rs."/>
    <n v="1"/>
    <n v="1262"/>
    <s v="India"/>
    <x v="1"/>
  </r>
  <r>
    <d v="2026-07-20T00:00:00"/>
    <s v="Bulk Lift International LLC"/>
    <s v="Export Sales"/>
    <s v="KPW/E/108/26-27"/>
    <s v="Sales - Direct Export - Mfg - U/B"/>
    <s v="KPW/E/108/26-27"/>
    <d v="2026-07-20T00:00:00"/>
    <s v="FG"/>
    <s v="FIBC Bags"/>
    <s v="FIBC Bags"/>
    <s v="PP WOVEN BIG BAGS / SACKS"/>
    <s v="FIBC Bags With UV With Liner"/>
    <n v="17827.7"/>
    <n v="4507607.16"/>
    <s v="PP WOVEN BIG BAG"/>
    <n v="4507607.16"/>
    <n v="0"/>
    <n v="0"/>
    <n v="0"/>
    <n v="0"/>
    <n v="0"/>
    <n v="0"/>
    <n v="0"/>
    <n v="0"/>
    <n v="0"/>
    <s v="N.A."/>
    <s v="KGS"/>
    <n v="63053200"/>
    <s v="$"/>
    <n v="95.45"/>
    <n v="17827.7"/>
    <s v="USA"/>
    <x v="1"/>
  </r>
  <r>
    <d v="2026-07-20T00:00:00"/>
    <s v="HCP Plastene Bulkpack Limited - Sales"/>
    <s v="Sales"/>
    <n v="492"/>
    <s v="Sales - Within State  Manufactured Goods"/>
    <s v="KPV/D/492"/>
    <d v="2026-07-20T00:00:00"/>
    <s v="SF"/>
    <s v="Webbing"/>
    <s v="PP Webbing"/>
    <s v="PP WEBBING"/>
    <s v="Webbing Tie"/>
    <n v="156"/>
    <n v="24203.4"/>
    <s v="Webbing Tie MW"/>
    <n v="152778.12"/>
    <n v="9"/>
    <n v="2178.31"/>
    <n v="9"/>
    <n v="2178.31"/>
    <n v="0"/>
    <n v="0"/>
    <n v="0"/>
    <n v="4356.62"/>
    <n v="0"/>
    <s v="24AABCG1282C2Z6"/>
    <s v="KGS"/>
    <n v="39269080"/>
    <s v="Rs."/>
    <n v="1"/>
    <n v="156"/>
    <s v="India"/>
    <x v="6"/>
  </r>
  <r>
    <d v="2026-07-20T00:00:00"/>
    <s v="HCP Plastene Bulkpack Limited - Sales"/>
    <s v="Sales"/>
    <n v="492"/>
    <s v="Sales - Within State  Manufactured Goods"/>
    <s v="KPV/D/492"/>
    <d v="2026-07-20T00:00:00"/>
    <s v="SF"/>
    <s v="Webbing"/>
    <s v="PP Webbing"/>
    <s v="PP WEBBING"/>
    <s v="Webbing"/>
    <n v="166"/>
    <n v="26252.9"/>
    <s v="BLUE"/>
    <n v="0"/>
    <n v="9"/>
    <n v="2362.7600000000002"/>
    <n v="9"/>
    <n v="2362.7600000000002"/>
    <n v="0"/>
    <n v="0"/>
    <n v="0"/>
    <n v="4725.5200000000004"/>
    <n v="0"/>
    <s v="24AABCG1282C2Z6"/>
    <s v="KGS"/>
    <n v="39269080"/>
    <s v="Rs."/>
    <n v="1"/>
    <n v="166"/>
    <s v="India"/>
    <x v="6"/>
  </r>
  <r>
    <d v="2026-07-20T00:00:00"/>
    <s v="HCP Plastene Bulkpack Limited - Sales"/>
    <s v="Sales"/>
    <n v="492"/>
    <s v="Sales - Within State  Manufactured Goods"/>
    <s v="KPV/D/492"/>
    <d v="2026-07-20T00:00:00"/>
    <s v="SF"/>
    <s v="Webbing"/>
    <s v="PP Webbing"/>
    <s v="PP WEBBING"/>
    <s v="Webbing"/>
    <n v="510"/>
    <n v="79126.5"/>
    <s v="MW"/>
    <n v="0"/>
    <n v="9"/>
    <n v="7121.38"/>
    <n v="9"/>
    <n v="7121.38"/>
    <n v="0"/>
    <n v="0"/>
    <n v="0"/>
    <n v="14242.76"/>
    <n v="0"/>
    <s v="24AABCG1282C2Z6"/>
    <s v="KGS"/>
    <n v="39269080"/>
    <s v="Rs."/>
    <n v="1"/>
    <n v="510"/>
    <s v="India"/>
    <x v="6"/>
  </r>
  <r>
    <d v="2026-07-20T00:00:00"/>
    <s v="HCP Plastene Bulkpack Limited - Sales"/>
    <s v="Sales"/>
    <n v="493"/>
    <s v="Sales - Within State  Manufactured Goods"/>
    <s v="KPV/D/493"/>
    <d v="2026-07-20T00:00:00"/>
    <s v="FG"/>
    <s v="FIBC Bags"/>
    <s v="FIBC Bags"/>
    <s v="PP WOVEN BIG BAGS / SACKS"/>
    <s v="FIBC Bags With UV With Liner"/>
    <n v="1032"/>
    <n v="205491.84"/>
    <s v="FIBCO/PO/2026/0087/JBPL-145L"/>
    <n v="242274.89"/>
    <n v="9"/>
    <n v="18494.27"/>
    <n v="9"/>
    <n v="18494.27"/>
    <n v="0"/>
    <n v="0"/>
    <n v="0"/>
    <n v="36988.54"/>
    <n v="0"/>
    <s v="24AABCG1282C2Z6"/>
    <s v="KGS"/>
    <n v="63053200"/>
    <s v="Rs."/>
    <n v="1"/>
    <n v="1032"/>
    <s v="India"/>
    <x v="1"/>
  </r>
  <r>
    <d v="2026-07-20T00:00:00"/>
    <s v="Plastene India ltd - Unit 2-Sales"/>
    <s v="Sales"/>
    <n v="494"/>
    <s v="Sales - Within State  Manufactured Goods"/>
    <s v="KPV/D/494"/>
    <d v="2026-07-20T00:00:00"/>
    <s v="SF"/>
    <s v="Yarn All"/>
    <s v="PP Yarn"/>
    <s v="PP FABRILLATED YARN"/>
    <s v="PP Fibrillated Tape Twisted 3200 Blue"/>
    <n v="452.5"/>
    <n v="69752.88"/>
    <s v="BLUE"/>
    <n v="948244.85"/>
    <n v="2.5"/>
    <n v="1743.82"/>
    <n v="2.5"/>
    <n v="1743.82"/>
    <n v="0"/>
    <n v="0"/>
    <n v="0"/>
    <n v="3487.64"/>
    <n v="0"/>
    <s v="24AAACO3087C1ZT"/>
    <s v="KGS"/>
    <n v="54026930"/>
    <s v="Rs."/>
    <n v="1"/>
    <n v="452.5"/>
    <s v="India"/>
    <x v="0"/>
  </r>
  <r>
    <d v="2026-07-20T00:00:00"/>
    <s v="Plastene India ltd - Unit 2-Sales"/>
    <s v="Sales"/>
    <n v="494"/>
    <s v="Sales - Within State  Manufactured Goods"/>
    <s v="KPV/D/494"/>
    <d v="2026-07-20T00:00:00"/>
    <s v="SF"/>
    <s v="PP/PE Fabric"/>
    <s v="PP UL Fabric"/>
    <s v="PP WOVEN FABRIC"/>
    <s v="PP UL Fabric With UV"/>
    <n v="1668"/>
    <n v="268798.2"/>
    <s v="."/>
    <n v="0"/>
    <n v="9"/>
    <n v="24191.84"/>
    <n v="9"/>
    <n v="24191.84"/>
    <n v="0"/>
    <n v="0"/>
    <n v="0"/>
    <n v="48383.68"/>
    <n v="0"/>
    <s v="24AAACO3087C1ZT"/>
    <s v="KGS"/>
    <n v="39269080"/>
    <s v="Rs."/>
    <n v="1"/>
    <n v="1668"/>
    <s v="India"/>
    <x v="3"/>
  </r>
  <r>
    <d v="2026-07-20T00:00:00"/>
    <s v="Plastene India ltd - Unit 2-Sales"/>
    <s v="Sales"/>
    <n v="494"/>
    <s v="Sales - Within State  Manufactured Goods"/>
    <s v="KPV/D/494"/>
    <d v="2026-07-20T00:00:00"/>
    <s v="SF"/>
    <s v="PP/PE Fabric"/>
    <s v="PP UL Fabric"/>
    <s v="PP WOVEN FABRIC"/>
    <s v="PP UL Fabric With UV"/>
    <n v="318.89999999999998"/>
    <n v="53941.94"/>
    <s v="VENTILATED"/>
    <n v="0"/>
    <n v="9"/>
    <n v="4854.7700000000004"/>
    <n v="9"/>
    <n v="4854.7700000000004"/>
    <n v="0"/>
    <n v="0"/>
    <n v="0"/>
    <n v="9709.5400000000009"/>
    <n v="0"/>
    <s v="24AAACO3087C1ZT"/>
    <s v="KGS"/>
    <n v="39269080"/>
    <s v="Rs."/>
    <n v="1"/>
    <n v="318.89999999999998"/>
    <s v="India"/>
    <x v="3"/>
  </r>
  <r>
    <d v="2026-07-20T00:00:00"/>
    <s v="Plastene India ltd - Unit 2-Sales"/>
    <s v="Sales"/>
    <n v="494"/>
    <s v="Sales - Within State  Manufactured Goods"/>
    <s v="KPV/D/494"/>
    <d v="2026-07-20T00:00:00"/>
    <s v="SF"/>
    <s v="Webbing"/>
    <s v="PP Webbing"/>
    <s v="PP WEBBING"/>
    <s v="Webbing"/>
    <n v="2652.4"/>
    <n v="419477.06"/>
    <s v="BLUE"/>
    <n v="0"/>
    <n v="9"/>
    <n v="37752.94"/>
    <n v="9"/>
    <n v="37752.94"/>
    <n v="0"/>
    <n v="0"/>
    <n v="0"/>
    <n v="75505.88"/>
    <n v="0"/>
    <s v="24AAACO3087C1ZT"/>
    <s v="KGS"/>
    <n v="39269080"/>
    <s v="Rs."/>
    <n v="1"/>
    <n v="2652.4"/>
    <s v="India"/>
    <x v="6"/>
  </r>
  <r>
    <d v="2026-07-20T00:00:00"/>
    <s v="Plastene India ltd - Unit 2-Sales"/>
    <s v="Sales"/>
    <n v="495"/>
    <s v="Sales - Within State - Traded Goods"/>
    <s v="KPV/D/495"/>
    <d v="2026-07-20T00:00:00"/>
    <s v="Stores/Spares"/>
    <s v="MS Structure Items"/>
    <s v="Capital Work in Progress"/>
    <s v="MS PIPE"/>
    <s v="MS Pipe"/>
    <n v="99"/>
    <n v="4752"/>
    <s v="."/>
    <n v="5602.61"/>
    <n v="9"/>
    <n v="427.68"/>
    <n v="9"/>
    <n v="427.68"/>
    <n v="0"/>
    <n v="0"/>
    <n v="0"/>
    <n v="855.36"/>
    <n v="0"/>
    <s v="24AAACO3087C1ZT"/>
    <s v="KGS"/>
    <n v="73063090"/>
    <s v="Rs."/>
    <n v="1"/>
    <n v="99"/>
    <s v="India"/>
    <x v="4"/>
  </r>
  <r>
    <d v="2026-07-20T00:00:00"/>
    <s v="Plastene India ltd - Unit 2-Sales"/>
    <s v="Sales"/>
    <n v="496"/>
    <s v="Sales - Within State - Traded Goods"/>
    <s v="KPV/D/496"/>
    <d v="2026-07-20T00:00:00"/>
    <s v="RM Consumables"/>
    <s v="Ink"/>
    <s v="Thinner"/>
    <s v="Thinner VLX"/>
    <s v="Thinner Vyankatesh Thinner"/>
    <n v="170"/>
    <n v="18360"/>
    <s v="Thinner Vyankatesh Thinner"/>
    <n v="21646.44"/>
    <n v="9"/>
    <n v="1652.4"/>
    <n v="9"/>
    <n v="1652.4"/>
    <n v="0"/>
    <n v="0"/>
    <n v="0"/>
    <n v="3304.8"/>
    <n v="0"/>
    <s v="24AAACO3087C1ZT"/>
    <s v="KGS"/>
    <n v="38140011"/>
    <s v="Rs."/>
    <n v="1"/>
    <n v="170"/>
    <s v="India"/>
    <x v="4"/>
  </r>
  <r>
    <d v="2026-07-21T00:00:00"/>
    <s v="HCP Plastene Bulkpack Limited - Sales"/>
    <s v="Sales"/>
    <n v="497"/>
    <s v="Sales - Within State  Manufactured Goods"/>
    <s v="KPV/D/497"/>
    <d v="2026-07-21T00:00:00"/>
    <s v="RM"/>
    <s v="Granules"/>
    <s v="Masterbatch"/>
    <s v="Master batch"/>
    <s v="MB Alok Blue 10363"/>
    <n v="10"/>
    <n v="3850"/>
    <s v="MB Alok Blue 10363"/>
    <n v="4539.1499999999996"/>
    <n v="9"/>
    <n v="346.5"/>
    <n v="9"/>
    <n v="346.5"/>
    <n v="0"/>
    <n v="0"/>
    <n v="0"/>
    <n v="693"/>
    <n v="0"/>
    <s v="24AABCG1282C2Z6"/>
    <s v="KGS"/>
    <n v="32064990"/>
    <s v="Rs."/>
    <n v="1"/>
    <n v="10"/>
    <s v="India"/>
    <x v="8"/>
  </r>
  <r>
    <d v="2026-07-21T00:00:00"/>
    <s v="Hcp Plastene Bulkpack Ltd (Unit Iv) - Sales"/>
    <s v="Sales"/>
    <n v="498"/>
    <s v="Sales - Within State  Manufactured Goods"/>
    <s v="KPV/D/498"/>
    <d v="2026-07-21T00:00:00"/>
    <s v="SF"/>
    <s v="Yarn All"/>
    <s v="PP Yarn"/>
    <s v="PP FABRILLATED YARN"/>
    <s v="PP Fibrillated Tape Twisted 3200 Blue"/>
    <n v="955.7"/>
    <n v="147321.16"/>
    <s v="BLUE"/>
    <n v="480401.34"/>
    <n v="2.5"/>
    <n v="3683.03"/>
    <n v="2.5"/>
    <n v="3683.03"/>
    <n v="0"/>
    <n v="0"/>
    <n v="0"/>
    <n v="7366.06"/>
    <n v="0"/>
    <s v="24AABCG1282C2Z6"/>
    <s v="KGS"/>
    <n v="54026930"/>
    <s v="Rs."/>
    <n v="1"/>
    <n v="955.7"/>
    <s v="India"/>
    <x v="0"/>
  </r>
  <r>
    <d v="2026-07-21T00:00:00"/>
    <s v="Hcp Plastene Bulkpack Ltd (Unit Iv) - Sales"/>
    <s v="Sales"/>
    <n v="498"/>
    <s v="Sales - Within State  Manufactured Goods"/>
    <s v="KPV/D/498"/>
    <d v="2026-07-21T00:00:00"/>
    <s v="SF"/>
    <s v="Yarn All"/>
    <s v="PP Yarn"/>
    <s v="PP FABRILLATED YARN"/>
    <s v="PP Fibrillated Tape Twisted 3200 MW"/>
    <n v="456.8"/>
    <n v="69045.320000000007"/>
    <s v="MW"/>
    <n v="0"/>
    <n v="2.5"/>
    <n v="1726.13"/>
    <n v="2.5"/>
    <n v="1726.13"/>
    <n v="0"/>
    <n v="0"/>
    <n v="0"/>
    <n v="3452.26"/>
    <n v="0"/>
    <s v="24AABCG1282C2Z6"/>
    <s v="KGS"/>
    <n v="54026930"/>
    <s v="Rs."/>
    <n v="1"/>
    <n v="456.8"/>
    <s v="India"/>
    <x v="0"/>
  </r>
  <r>
    <d v="2026-07-21T00:00:00"/>
    <s v="Hcp Plastene Bulkpack Ltd (Unit Iv) - Sales"/>
    <s v="Sales"/>
    <n v="498"/>
    <s v="Sales - Within State  Manufactured Goods"/>
    <s v="KPV/D/498"/>
    <d v="2026-07-21T00:00:00"/>
    <s v="SF"/>
    <s v="PP/PE Fabric"/>
    <s v="PP UL Fabric"/>
    <s v="PP WOVEN FABRIC"/>
    <s v="PP UL Fabric With UV"/>
    <n v="1270.8"/>
    <n v="214955.82"/>
    <s v="Sulzer Ventilated_x000d__x000a_"/>
    <n v="0"/>
    <n v="9"/>
    <n v="19346.02"/>
    <n v="9"/>
    <n v="19346.02"/>
    <n v="0"/>
    <n v="0"/>
    <n v="0"/>
    <n v="38692.04"/>
    <n v="0"/>
    <s v="24AABCG1282C2Z6"/>
    <s v="KGS"/>
    <n v="39269080"/>
    <s v="Rs."/>
    <n v="1"/>
    <n v="1270.8"/>
    <s v="India"/>
    <x v="3"/>
  </r>
  <r>
    <d v="2026-07-21T00:00:00"/>
    <s v="Hcp Plastene Bulkpack Ltd (Unit Iv) - Sales"/>
    <s v="Sales"/>
    <n v="499"/>
    <s v="Sales - Within State - Traded Goods"/>
    <s v="KPV/D/499"/>
    <d v="2026-07-21T00:00:00"/>
    <s v="Stores/Spares"/>
    <s v="MS Structure Items"/>
    <s v="Capital Work in Progress"/>
    <s v="MS PIPE"/>
    <s v="MS Pipe"/>
    <n v="21"/>
    <n v="1008"/>
    <s v="."/>
    <n v="1188.43"/>
    <n v="9"/>
    <n v="90.72"/>
    <n v="9"/>
    <n v="90.72"/>
    <n v="0"/>
    <n v="0"/>
    <n v="0"/>
    <n v="181.44"/>
    <n v="0"/>
    <s v="24AABCG1282C2Z6"/>
    <s v="KGS"/>
    <n v="73063090"/>
    <s v="Rs."/>
    <n v="1"/>
    <n v="21"/>
    <s v="India"/>
    <x v="4"/>
  </r>
  <r>
    <d v="2026-07-21T00:00:00"/>
    <s v="Plastene India ltd - Unit 1-Sales"/>
    <s v="Sales"/>
    <n v="500"/>
    <s v="Sales - Within State  Manufactured Goods"/>
    <s v="KPV/D/500"/>
    <d v="2026-07-21T00:00:00"/>
    <s v="SF"/>
    <s v="Yarn All"/>
    <s v="PP Yarn"/>
    <s v="PP FABRILLATED YARN"/>
    <s v="PP Fibrillated Tape Twisted 3200 Blue"/>
    <n v="915.6"/>
    <n v="141139.74"/>
    <s v="BLUE"/>
    <n v="397972.11"/>
    <n v="2.5"/>
    <n v="3528.49"/>
    <n v="2.5"/>
    <n v="3528.49"/>
    <n v="0"/>
    <n v="0"/>
    <n v="0"/>
    <n v="7056.98"/>
    <n v="0"/>
    <s v="24AAACO3087C1ZT"/>
    <s v="KGS"/>
    <n v="54026930"/>
    <s v="Rs."/>
    <n v="1"/>
    <n v="915.6"/>
    <s v="India"/>
    <x v="0"/>
  </r>
  <r>
    <d v="2026-07-21T00:00:00"/>
    <s v="Plastene India ltd - Unit 1-Sales"/>
    <s v="Sales"/>
    <n v="500"/>
    <s v="Sales - Within State  Manufactured Goods"/>
    <s v="KPV/D/500"/>
    <d v="2026-07-21T00:00:00"/>
    <s v="SF"/>
    <s v="Yarn All"/>
    <s v="PP Yarn"/>
    <s v="PP FABRILLATED YARN"/>
    <s v="PP Fibrillated Tape Twisted 3200 MW"/>
    <n v="1576.2"/>
    <n v="238242.63"/>
    <s v="MW"/>
    <n v="0"/>
    <n v="2.5"/>
    <n v="5956.07"/>
    <n v="2.5"/>
    <n v="5956.07"/>
    <n v="0"/>
    <n v="0"/>
    <n v="0"/>
    <n v="11912.14"/>
    <n v="0"/>
    <s v="24AAACO3087C1ZT"/>
    <s v="KGS"/>
    <n v="54026930"/>
    <s v="Rs."/>
    <n v="1"/>
    <n v="1576.2"/>
    <s v="India"/>
    <x v="0"/>
  </r>
  <r>
    <d v="2026-07-22T00:00:00"/>
    <s v="Balaji Formalin Private Limited"/>
    <s v="Sales"/>
    <n v="506"/>
    <s v="Sales - Interstate - Manufactured Goods"/>
    <s v="KPV/D/506"/>
    <d v="2026-07-22T00:00:00"/>
    <s v="FG"/>
    <s v="FIBC Bags"/>
    <s v="FIBC Bags"/>
    <s v="PP WOVEN BIG BAGS / SACKS"/>
    <s v="FIBC Bags With UV Without Liner"/>
    <n v="1622"/>
    <n v="420000"/>
    <s v="105X105X70"/>
    <n v="535115.92000000004"/>
    <n v="0"/>
    <n v="0"/>
    <n v="0"/>
    <n v="0"/>
    <n v="18"/>
    <n v="75600"/>
    <n v="0"/>
    <n v="75600"/>
    <n v="0"/>
    <s v="27AABCB7062K1ZJ"/>
    <s v="KGS"/>
    <n v="63053200"/>
    <s v="Rs."/>
    <n v="1"/>
    <n v="1622"/>
    <s v="India"/>
    <x v="1"/>
  </r>
  <r>
    <d v="2026-07-22T00:00:00"/>
    <s v="Bulk Lift International LLC"/>
    <s v="Export Sales"/>
    <s v="KPW/E/109/26-27"/>
    <s v="Sales - Direct Export - Mfg - U/B"/>
    <s v="KPW/E/109/26-27"/>
    <d v="2026-07-22T00:00:00"/>
    <s v="FG"/>
    <s v="FIBC Bags"/>
    <s v="FIBC Bags"/>
    <s v="PP WOVEN BIG BAGS / SACKS"/>
    <s v="FIBC Bags With UV With Liner"/>
    <n v="17904"/>
    <n v="4497769.1285000006"/>
    <s v="PP WOVEN BIG BAG"/>
    <n v="4497769.13"/>
    <n v="0"/>
    <n v="0"/>
    <n v="0"/>
    <n v="0"/>
    <n v="0"/>
    <n v="0"/>
    <n v="0"/>
    <n v="0"/>
    <n v="0"/>
    <s v="N.A."/>
    <s v="KGS"/>
    <n v="63053200"/>
    <s v="$"/>
    <n v="95.45"/>
    <n v="17904"/>
    <s v="USA"/>
    <x v="1"/>
  </r>
  <r>
    <d v="2026-07-22T00:00:00"/>
    <s v="Hcp Plastene Bulkpack Ltd Vadodara-Sales"/>
    <s v="Sales"/>
    <n v="502"/>
    <s v="Sales - Within State  Manufactured Goods"/>
    <s v="KPV/D/502"/>
    <d v="2026-07-22T00:00:00"/>
    <s v="SF"/>
    <s v="PP/PE Fabric"/>
    <s v="PP Lam Fabric"/>
    <s v="PP LAMINETED FABRIC"/>
    <s v="PP Lam Fabric With UV"/>
    <n v="1364"/>
    <n v="211624.6"/>
    <s v="MORE THAN 90 GSM"/>
    <n v="771120.3"/>
    <n v="9"/>
    <n v="19046.21"/>
    <n v="9"/>
    <n v="19046.21"/>
    <n v="0"/>
    <n v="0"/>
    <n v="0"/>
    <n v="38092.42"/>
    <n v="0"/>
    <s v="24AABCG1282C2Z6"/>
    <s v="KGS"/>
    <n v="39269080"/>
    <s v="Rs."/>
    <n v="1"/>
    <n v="1364"/>
    <s v="India"/>
    <x v="5"/>
  </r>
  <r>
    <d v="2026-07-22T00:00:00"/>
    <s v="Hcp Plastene Bulkpack Ltd Vadodara-Sales"/>
    <s v="Sales"/>
    <n v="502"/>
    <s v="Sales - Within State  Manufactured Goods"/>
    <s v="KPV/D/502"/>
    <d v="2026-07-22T00:00:00"/>
    <s v="SF"/>
    <s v="Webbing"/>
    <s v="PP Webbing"/>
    <s v="PP WEBBING"/>
    <s v="Webbing"/>
    <n v="678"/>
    <n v="107225.7"/>
    <s v="G.O.G"/>
    <n v="0"/>
    <n v="9"/>
    <n v="9650.31"/>
    <n v="9"/>
    <n v="9650.31"/>
    <n v="0"/>
    <n v="0"/>
    <n v="0"/>
    <n v="19300.62"/>
    <n v="0"/>
    <s v="24AABCG1282C2Z6"/>
    <s v="KGS"/>
    <n v="39269080"/>
    <s v="Rs."/>
    <n v="1"/>
    <n v="678"/>
    <s v="India"/>
    <x v="6"/>
  </r>
  <r>
    <d v="2026-07-22T00:00:00"/>
    <s v="Hcp Plastene Bulkpack Ltd Vadodara-Sales"/>
    <s v="Sales"/>
    <n v="502"/>
    <s v="Sales - Within State  Manufactured Goods"/>
    <s v="KPV/D/502"/>
    <d v="2026-07-22T00:00:00"/>
    <s v="SF"/>
    <s v="Webbing"/>
    <s v="PP Webbing"/>
    <s v="PP WEBBING"/>
    <s v="Webbing"/>
    <n v="500"/>
    <n v="79075"/>
    <s v="BLUE"/>
    <n v="0"/>
    <n v="9"/>
    <n v="7116.75"/>
    <n v="9"/>
    <n v="7116.75"/>
    <n v="0"/>
    <n v="0"/>
    <n v="0"/>
    <n v="14233.5"/>
    <n v="0"/>
    <s v="24AABCG1282C2Z6"/>
    <s v="KGS"/>
    <n v="39269080"/>
    <s v="Rs."/>
    <n v="1"/>
    <n v="500"/>
    <s v="India"/>
    <x v="6"/>
  </r>
  <r>
    <d v="2026-07-22T00:00:00"/>
    <s v="Hcp Plastene Bulkpack Ltd Vadodara-Sales"/>
    <s v="Sales"/>
    <n v="502"/>
    <s v="Sales - Within State  Manufactured Goods"/>
    <s v="KPV/D/502"/>
    <d v="2026-07-22T00:00:00"/>
    <s v="SF"/>
    <s v="Webbing"/>
    <s v="PP Webbing"/>
    <s v="PP WEBBING"/>
    <s v="Webbing"/>
    <n v="277"/>
    <n v="47962.55"/>
    <s v="MW"/>
    <n v="0"/>
    <n v="9"/>
    <n v="4316.63"/>
    <n v="9"/>
    <n v="4316.63"/>
    <n v="0"/>
    <n v="0"/>
    <n v="0"/>
    <n v="8633.26"/>
    <n v="0"/>
    <s v="24AABCG1282C2Z6"/>
    <s v="KGS"/>
    <n v="39269080"/>
    <s v="Rs."/>
    <n v="1"/>
    <n v="277"/>
    <s v="India"/>
    <x v="6"/>
  </r>
  <r>
    <d v="2026-07-22T00:00:00"/>
    <s v="Hcp Plastene Bulkpack Ltd Vadodara-Sales"/>
    <s v="Sales"/>
    <n v="502"/>
    <s v="Sales - Within State  Manufactured Goods"/>
    <s v="KPV/D/502"/>
    <d v="2026-07-22T00:00:00"/>
    <s v="SF"/>
    <s v="Webbing"/>
    <s v="PP Webbing"/>
    <s v="PP WEBBING"/>
    <s v="Webbing Tie"/>
    <n v="97"/>
    <n v="15049.55"/>
    <s v="MW"/>
    <n v="0"/>
    <n v="9"/>
    <n v="1354.46"/>
    <n v="9"/>
    <n v="1354.46"/>
    <n v="0"/>
    <n v="0"/>
    <n v="0"/>
    <n v="2708.92"/>
    <n v="0"/>
    <s v="24AABCG1282C2Z6"/>
    <s v="KGS"/>
    <n v="39269080"/>
    <s v="Rs."/>
    <n v="1"/>
    <n v="97"/>
    <s v="India"/>
    <x v="6"/>
  </r>
  <r>
    <d v="2026-07-22T00:00:00"/>
    <s v="Hcp Plastene Bulkpack Ltd Vadodara-Sales"/>
    <s v="Sales"/>
    <n v="502"/>
    <s v="Sales - Within State  Manufactured Goods"/>
    <s v="KPV/D/502"/>
    <d v="2026-07-22T00:00:00"/>
    <s v="SF"/>
    <s v="Yarn All"/>
    <s v="PP Yarn"/>
    <s v="PP FABRILLATED YARN"/>
    <s v="PP Fibrillated Tape Twisted 3200 Blue"/>
    <n v="515.20000000000005"/>
    <n v="79418.080000000002"/>
    <s v="BLUE"/>
    <n v="0"/>
    <n v="2.5"/>
    <n v="1985.45"/>
    <n v="2.5"/>
    <n v="1985.45"/>
    <n v="0"/>
    <n v="0"/>
    <n v="0"/>
    <n v="3970.9"/>
    <n v="0"/>
    <s v="24AABCG1282C2Z6"/>
    <s v="KGS"/>
    <n v="54026930"/>
    <s v="Rs."/>
    <n v="1"/>
    <n v="515.20000000000005"/>
    <s v="India"/>
    <x v="0"/>
  </r>
  <r>
    <d v="2026-07-22T00:00:00"/>
    <s v="Hcp Plastene Bulkpack Ltd Vadodara-Sales"/>
    <s v="Sales"/>
    <n v="502"/>
    <s v="Sales - Within State  Manufactured Goods"/>
    <s v="KPV/D/502"/>
    <d v="2026-07-22T00:00:00"/>
    <s v="SF"/>
    <s v="Yarn All"/>
    <s v="PP Yarn"/>
    <s v="PP FABRILLATED YARN"/>
    <s v="PP Fibrillated Tape Twisted 3200 MW"/>
    <n v="910.5"/>
    <n v="137622.07999999999"/>
    <s v="MW"/>
    <n v="0"/>
    <n v="2.5"/>
    <n v="3440.55"/>
    <n v="2.5"/>
    <n v="3440.55"/>
    <n v="0"/>
    <n v="0"/>
    <n v="0"/>
    <n v="6881.1"/>
    <n v="0"/>
    <s v="24AABCG1282C2Z6"/>
    <s v="KGS"/>
    <n v="54026930"/>
    <s v="Rs."/>
    <n v="1"/>
    <n v="910.5"/>
    <s v="India"/>
    <x v="0"/>
  </r>
  <r>
    <d v="2026-07-22T00:00:00"/>
    <s v="Hcp Plastene Bulkpack Ltd Vadodara-Sales"/>
    <s v="Sales"/>
    <n v="503"/>
    <s v="Sales - Within State - Traded Goods"/>
    <s v="KPV/D/503"/>
    <d v="2026-07-22T00:00:00"/>
    <s v="Stores/Spares"/>
    <s v="MS Structure Items"/>
    <s v="Capital Work in Progress"/>
    <s v="MS PIPE"/>
    <s v="MS Pipe"/>
    <n v="39"/>
    <n v="1872"/>
    <s v="."/>
    <n v="2207.09"/>
    <n v="9"/>
    <n v="168.48"/>
    <n v="9"/>
    <n v="168.48"/>
    <n v="0"/>
    <n v="0"/>
    <n v="0"/>
    <n v="336.96"/>
    <n v="0"/>
    <s v="24AABCG1282C2Z6"/>
    <s v="KGS"/>
    <n v="73063090"/>
    <s v="Rs."/>
    <n v="1"/>
    <n v="39"/>
    <s v="India"/>
    <x v="4"/>
  </r>
  <r>
    <d v="2026-07-22T00:00:00"/>
    <s v="Plastene India ltd - Unit 1-Sales"/>
    <s v="Sales"/>
    <n v="507"/>
    <s v="Sales - Within State  Manufactured Goods"/>
    <s v="KPV/D/507"/>
    <d v="2026-07-22T00:00:00"/>
    <s v="FG"/>
    <s v="FIBC Bags"/>
    <s v="FIBC Bags"/>
    <s v="PP WOVEN BIG BAGS / SACKS"/>
    <s v="FIBC Bags With UV With Liner"/>
    <n v="383.6"/>
    <n v="167832.67"/>
    <s v="25/80334/25687/15.4719-18"/>
    <n v="2114126.5"/>
    <n v="9"/>
    <n v="15104.94"/>
    <n v="9"/>
    <n v="15104.94"/>
    <n v="0"/>
    <n v="0"/>
    <n v="0"/>
    <n v="30209.88"/>
    <n v="0"/>
    <s v="24AAACO3087C1ZT"/>
    <s v="KGS"/>
    <n v="63053200"/>
    <s v="Rs."/>
    <n v="1"/>
    <n v="383.6"/>
    <s v="India"/>
    <x v="1"/>
  </r>
  <r>
    <d v="2026-07-22T00:00:00"/>
    <s v="Plastene India ltd - Unit 1-Sales"/>
    <s v="Sales"/>
    <n v="507"/>
    <s v="Sales - Within State  Manufactured Goods"/>
    <s v="KPV/D/507"/>
    <d v="2026-07-22T00:00:00"/>
    <s v="FG"/>
    <s v="FIBC Bags"/>
    <s v="FIBC Bags"/>
    <s v="PP WOVEN BIG BAGS / SACKS"/>
    <s v="FIBC Bags With UV With Liner"/>
    <n v="4931.2"/>
    <n v="1503917.38"/>
    <s v="26/80334/26168/15.4720-18"/>
    <n v="0"/>
    <n v="9"/>
    <n v="135352.56"/>
    <n v="9"/>
    <n v="135352.56"/>
    <n v="0"/>
    <n v="0"/>
    <n v="0"/>
    <n v="270705.12"/>
    <n v="0"/>
    <s v="24AAACO3087C1ZT"/>
    <s v="KGS"/>
    <n v="63053200"/>
    <s v="Rs."/>
    <n v="1"/>
    <n v="4931.2"/>
    <s v="India"/>
    <x v="1"/>
  </r>
  <r>
    <d v="2026-07-22T00:00:00"/>
    <s v="Plastene India ltd - Unit 1-Sales"/>
    <s v="Sales"/>
    <n v="507"/>
    <s v="Sales - Within State  Manufactured Goods"/>
    <s v="KPV/D/507"/>
    <d v="2026-07-22T00:00:00"/>
    <s v="FG"/>
    <s v="FIBC Bags"/>
    <s v="FIBC Bags"/>
    <s v="PP WOVEN BIG BAGS / SACKS"/>
    <s v="FIBC Bags With UV Without Liner"/>
    <n v="465"/>
    <n v="121402.2"/>
    <s v="26/80334/26167/15.4716-18"/>
    <n v="0"/>
    <n v="9"/>
    <n v="10926.2"/>
    <n v="9"/>
    <n v="10926.2"/>
    <n v="0"/>
    <n v="0"/>
    <n v="0"/>
    <n v="21852.400000000001"/>
    <n v="0"/>
    <s v="24AAACO3087C1ZT"/>
    <s v="KGS"/>
    <n v="63053200"/>
    <s v="Rs."/>
    <n v="1"/>
    <n v="465"/>
    <s v="India"/>
    <x v="1"/>
  </r>
  <r>
    <d v="2026-07-22T00:00:00"/>
    <s v="Plastene India ltd - Unit 2-Sales"/>
    <s v="Sales"/>
    <n v="501"/>
    <s v="Sales - Within State - Traded Goods"/>
    <s v="KPV/D/501"/>
    <d v="2026-07-22T00:00:00"/>
    <s v="RM Consumables"/>
    <s v="Ink"/>
    <s v="Thinner"/>
    <s v="Thinner VLX"/>
    <s v="Thinner Vyankatesh Thinner"/>
    <n v="170"/>
    <n v="18360"/>
    <s v="Thinner Vyankatesh Thinner"/>
    <n v="21646.44"/>
    <n v="9"/>
    <n v="1652.4"/>
    <n v="9"/>
    <n v="1652.4"/>
    <n v="0"/>
    <n v="0"/>
    <n v="0"/>
    <n v="3304.8"/>
    <n v="0"/>
    <s v="24AAACO3087C1ZT"/>
    <s v="KGS"/>
    <n v="38140011"/>
    <s v="Rs."/>
    <n v="1"/>
    <n v="170"/>
    <s v="India"/>
    <x v="4"/>
  </r>
  <r>
    <d v="2026-07-22T00:00:00"/>
    <s v="Plastene India ltd - Unit 2-Sales"/>
    <s v="Sales"/>
    <n v="504"/>
    <s v="Sales - Within State  Manufactured Goods"/>
    <s v="KPV/D/504"/>
    <d v="2026-07-22T00:00:00"/>
    <s v="SF"/>
    <s v="PP/PE Fabric"/>
    <s v="PP UL Fabric"/>
    <s v="PP WOVEN FABRIC"/>
    <s v="PP UL Fabric With UV"/>
    <n v="1892.9"/>
    <n v="305040.84000000003"/>
    <s v="."/>
    <n v="744891.07"/>
    <n v="9"/>
    <n v="27453.68"/>
    <n v="9"/>
    <n v="27453.68"/>
    <n v="0"/>
    <n v="0"/>
    <n v="0"/>
    <n v="54907.360000000001"/>
    <n v="0"/>
    <s v="24AAACO3087C1ZT"/>
    <s v="KGS"/>
    <n v="39269080"/>
    <s v="Rs."/>
    <n v="1"/>
    <n v="1892.9"/>
    <s v="India"/>
    <x v="3"/>
  </r>
  <r>
    <d v="2026-07-22T00:00:00"/>
    <s v="Plastene India ltd - Unit 2-Sales"/>
    <s v="Sales"/>
    <n v="504"/>
    <s v="Sales - Within State  Manufactured Goods"/>
    <s v="KPV/D/504"/>
    <d v="2026-07-22T00:00:00"/>
    <s v="SF"/>
    <s v="PP/PE Fabric"/>
    <s v="PP Lam Fabric"/>
    <s v="PP LAMINETED FABRIC"/>
    <s v="PP Lam Fabric With UV"/>
    <n v="513"/>
    <n v="80617.95"/>
    <s v="LESS THA 90 GSM"/>
    <n v="0"/>
    <n v="9"/>
    <n v="7255.62"/>
    <n v="9"/>
    <n v="7255.62"/>
    <n v="0"/>
    <n v="0"/>
    <n v="0"/>
    <n v="14511.24"/>
    <n v="0"/>
    <s v="24AAACO3087C1ZT"/>
    <s v="KGS"/>
    <n v="39269080"/>
    <s v="Rs."/>
    <n v="1"/>
    <n v="513"/>
    <s v="India"/>
    <x v="5"/>
  </r>
  <r>
    <d v="2026-07-22T00:00:00"/>
    <s v="Plastene India ltd - Unit 2-Sales"/>
    <s v="Sales"/>
    <n v="504"/>
    <s v="Sales - Within State  Manufactured Goods"/>
    <s v="KPV/D/504"/>
    <d v="2026-07-22T00:00:00"/>
    <s v="SF"/>
    <s v="Yarn All"/>
    <s v="PP Yarn"/>
    <s v="PP FABRILLATED YARN"/>
    <s v="PP Fibrillated Tape Twisted 3200 Blue"/>
    <n v="920"/>
    <n v="141818"/>
    <s v="BLUE"/>
    <n v="0"/>
    <n v="2.5"/>
    <n v="3545.45"/>
    <n v="2.5"/>
    <n v="3545.45"/>
    <n v="0"/>
    <n v="0"/>
    <n v="0"/>
    <n v="7090.9"/>
    <n v="0"/>
    <s v="24AAACO3087C1ZT"/>
    <s v="KGS"/>
    <n v="54026930"/>
    <s v="Rs."/>
    <n v="1"/>
    <n v="920"/>
    <s v="India"/>
    <x v="0"/>
  </r>
  <r>
    <d v="2026-07-22T00:00:00"/>
    <s v="Plastene India ltd - Unit 2-Sales"/>
    <s v="Sales"/>
    <n v="504"/>
    <s v="Sales - Within State  Manufactured Goods"/>
    <s v="KPV/D/504"/>
    <d v="2026-07-22T00:00:00"/>
    <s v="SF"/>
    <s v="Yarn All"/>
    <s v="PP Yarn"/>
    <s v="PP FABRILLATED YARN"/>
    <s v="PP Fibrillated Tape Twisted 3200 MW"/>
    <n v="892"/>
    <n v="134825.79999999999"/>
    <s v="MW"/>
    <n v="0"/>
    <n v="2.5"/>
    <n v="3370.64"/>
    <n v="2.5"/>
    <n v="3370.64"/>
    <n v="0"/>
    <n v="0"/>
    <n v="0"/>
    <n v="6741.28"/>
    <n v="0"/>
    <s v="24AAACO3087C1ZT"/>
    <s v="KGS"/>
    <n v="54026930"/>
    <s v="Rs."/>
    <n v="1"/>
    <n v="892"/>
    <s v="India"/>
    <x v="0"/>
  </r>
  <r>
    <d v="2026-07-22T00:00:00"/>
    <s v="Plastene India ltd - Unit 2-Sales"/>
    <s v="Sales"/>
    <n v="505"/>
    <s v="Sales - Within State - Traded Goods"/>
    <s v="KPV/D/505"/>
    <d v="2026-07-22T00:00:00"/>
    <s v="Stores/Spares"/>
    <s v="MS Structure Items"/>
    <s v="Capital Work in Progress"/>
    <s v="MS PIPE"/>
    <s v="MS Pipe 4  C Class"/>
    <n v="563"/>
    <n v="27024"/>
    <s v="."/>
    <n v="31861.3"/>
    <n v="9"/>
    <n v="2432.16"/>
    <n v="9"/>
    <n v="2432.16"/>
    <n v="0"/>
    <n v="0"/>
    <n v="0"/>
    <n v="4864.32"/>
    <n v="0"/>
    <s v="24AAACO3087C1ZT"/>
    <s v="KGS"/>
    <n v="73063090"/>
    <s v="Rs."/>
    <n v="1"/>
    <n v="563"/>
    <s v="India"/>
    <x v="4"/>
  </r>
  <r>
    <d v="2026-07-22T00:00:00"/>
    <s v="Plastene Polyfilms Ltd-Sales"/>
    <s v="Sales"/>
    <n v="508"/>
    <s v="Sales - Within State  Manufactured Goods"/>
    <s v="KPV/D/508"/>
    <d v="2026-07-22T00:00:00"/>
    <s v="FG"/>
    <s v="FIBC Bags"/>
    <s v="FIBC Bags"/>
    <s v="PP WOVEN BIG BAGS / SACKS"/>
    <s v="FIBC Bags With UV Without Liner"/>
    <n v="853.8"/>
    <n v="220177.94"/>
    <s v="BC-63758/04-12600"/>
    <n v="988072.29"/>
    <n v="9"/>
    <n v="19816.009999999998"/>
    <n v="9"/>
    <n v="19816.009999999998"/>
    <n v="0"/>
    <n v="0"/>
    <n v="0"/>
    <n v="39632.019999999997"/>
    <n v="0"/>
    <s v="24AAFCP2956A1ZR"/>
    <s v="KGS"/>
    <n v="63053200"/>
    <s v="Rs."/>
    <n v="1"/>
    <n v="853.8"/>
    <s v="India"/>
    <x v="1"/>
  </r>
  <r>
    <d v="2026-07-22T00:00:00"/>
    <s v="Plastene Polyfilms Ltd-Sales"/>
    <s v="Sales"/>
    <n v="508"/>
    <s v="Sales - Within State  Manufactured Goods"/>
    <s v="KPV/D/508"/>
    <d v="2026-07-22T00:00:00"/>
    <s v="FG"/>
    <s v="FIBC Bags"/>
    <s v="FIBC Bags"/>
    <s v="PP WOVEN BIG BAGS / SACKS"/>
    <s v="FIBC Bags With UV Without Liner"/>
    <n v="2407.3000000000002"/>
    <n v="617881.68999999994"/>
    <s v="BC-63801/04-11452"/>
    <n v="0"/>
    <n v="9"/>
    <n v="55609.35"/>
    <n v="9"/>
    <n v="55609.35"/>
    <n v="0"/>
    <n v="0"/>
    <n v="0"/>
    <n v="111218.7"/>
    <n v="0"/>
    <s v="24AAFCP2956A1ZR"/>
    <s v="KGS"/>
    <n v="63053200"/>
    <s v="Rs."/>
    <n v="1"/>
    <n v="2407.3000000000002"/>
    <s v="India"/>
    <x v="1"/>
  </r>
  <r>
    <d v="2026-07-23T00:00:00"/>
    <s v="Hcp Plastene Bulkpack Ltd (Unit Iv) - Sales"/>
    <s v="Sales"/>
    <n v="511"/>
    <s v="Sales - Within State  Manufactured Goods"/>
    <s v="KPV/D/511"/>
    <d v="2026-07-23T00:00:00"/>
    <s v="FG"/>
    <s v="FIBC Bags"/>
    <s v="FIBC Bags"/>
    <s v="PP WOVEN BIG BAGS / SACKS"/>
    <s v="FIBC Bags With UV Without Liner"/>
    <n v="426"/>
    <n v="80496.960000000006"/>
    <s v="KPW/2026/CONT-172/01"/>
    <n v="2071486.94"/>
    <n v="9"/>
    <n v="7244.73"/>
    <n v="9"/>
    <n v="7244.73"/>
    <n v="0"/>
    <n v="0"/>
    <n v="0"/>
    <n v="14489.46"/>
    <n v="0"/>
    <s v="24AABCG1282C2Z6"/>
    <s v="KGS"/>
    <n v="63053200"/>
    <s v="Rs."/>
    <n v="1"/>
    <n v="426"/>
    <s v="India"/>
    <x v="1"/>
  </r>
  <r>
    <d v="2026-07-23T00:00:00"/>
    <s v="Hcp Plastene Bulkpack Ltd (Unit Iv) - Sales"/>
    <s v="Sales"/>
    <n v="511"/>
    <s v="Sales - Within State  Manufactured Goods"/>
    <s v="KPV/D/511"/>
    <d v="2026-07-23T00:00:00"/>
    <s v="FG"/>
    <s v="FIBC Bags"/>
    <s v="FIBC Bags"/>
    <s v="PP WOVEN BIG BAGS / SACKS"/>
    <s v="FIBC Bags With UV Without Liner"/>
    <n v="8940.7999999999993"/>
    <n v="1676489.41"/>
    <s v="KPW/2026/CONT-175/01"/>
    <n v="0"/>
    <n v="9"/>
    <n v="150884.04999999999"/>
    <n v="9"/>
    <n v="150884.04999999999"/>
    <n v="0"/>
    <n v="0"/>
    <n v="0"/>
    <n v="301768.09999999998"/>
    <n v="0"/>
    <s v="24AABCG1282C2Z6"/>
    <s v="KGS"/>
    <n v="63053200"/>
    <s v="Rs."/>
    <n v="1"/>
    <n v="8940.7999999999993"/>
    <s v="India"/>
    <x v="1"/>
  </r>
  <r>
    <d v="2026-07-23T00:00:00"/>
    <s v="Hcp Plastene Bulkpack Ltd Vadodara-Sales"/>
    <s v="Sales"/>
    <n v="509"/>
    <s v="Sales - Within State  Manufactured Goods"/>
    <s v="KPV/D/509"/>
    <d v="2026-07-23T00:00:00"/>
    <s v="SF"/>
    <s v="Yarn All"/>
    <s v="PP Yarn"/>
    <s v="PP FABRILLATED YARN"/>
    <s v="PP Fibrillated Tape Twisted 3200 MW"/>
    <n v="370"/>
    <n v="55925.5"/>
    <s v="MW"/>
    <n v="845033.37"/>
    <n v="2.5"/>
    <n v="1398.14"/>
    <n v="2.5"/>
    <n v="1398.14"/>
    <n v="0"/>
    <n v="0"/>
    <n v="0"/>
    <n v="2796.28"/>
    <n v="0"/>
    <s v="24AABCG1282C2Z6"/>
    <s v="KGS"/>
    <n v="54026930"/>
    <s v="Rs."/>
    <n v="1"/>
    <n v="370"/>
    <s v="India"/>
    <x v="0"/>
  </r>
  <r>
    <d v="2026-07-23T00:00:00"/>
    <s v="Hcp Plastene Bulkpack Ltd Vadodara-Sales"/>
    <s v="Sales"/>
    <n v="509"/>
    <s v="Sales - Within State  Manufactured Goods"/>
    <s v="KPV/D/509"/>
    <d v="2026-07-23T00:00:00"/>
    <s v="SF"/>
    <s v="Yarn All"/>
    <s v="PP Yarn"/>
    <s v="PP FABRILLATED YARN"/>
    <s v="PP Fibrillated Tape Twisted 3200 Blue"/>
    <n v="420"/>
    <n v="64743"/>
    <s v="BLUE"/>
    <n v="0"/>
    <n v="2.5"/>
    <n v="1618.58"/>
    <n v="2.5"/>
    <n v="1618.58"/>
    <n v="0"/>
    <n v="0"/>
    <n v="0"/>
    <n v="3237.16"/>
    <n v="0"/>
    <s v="24AABCG1282C2Z6"/>
    <s v="KGS"/>
    <n v="54026930"/>
    <s v="Rs."/>
    <n v="1"/>
    <n v="420"/>
    <s v="India"/>
    <x v="0"/>
  </r>
  <r>
    <d v="2026-07-23T00:00:00"/>
    <s v="Hcp Plastene Bulkpack Ltd Vadodara-Sales"/>
    <s v="Sales"/>
    <n v="509"/>
    <s v="Sales - Within State  Manufactured Goods"/>
    <s v="KPV/D/509"/>
    <d v="2026-07-23T00:00:00"/>
    <s v="SF"/>
    <s v="PP/PE Fabric"/>
    <s v="PP UL Fabric"/>
    <s v="PP WOVEN FABRIC"/>
    <s v="PP UL Fabric With UV"/>
    <n v="314.2"/>
    <n v="57545.73"/>
    <s v="CONDUCTIVE"/>
    <n v="0"/>
    <n v="9"/>
    <n v="5179.12"/>
    <n v="9"/>
    <n v="5179.12"/>
    <n v="0"/>
    <n v="0"/>
    <n v="0"/>
    <n v="10358.24"/>
    <n v="0"/>
    <s v="24AABCG1282C2Z6"/>
    <s v="KGS"/>
    <n v="39269080"/>
    <s v="Rs."/>
    <n v="1"/>
    <n v="314.2"/>
    <s v="India"/>
    <x v="3"/>
  </r>
  <r>
    <d v="2026-07-23T00:00:00"/>
    <s v="Hcp Plastene Bulkpack Ltd Vadodara-Sales"/>
    <s v="Sales"/>
    <n v="509"/>
    <s v="Sales - Within State  Manufactured Goods"/>
    <s v="KPV/D/509"/>
    <d v="2026-07-23T00:00:00"/>
    <s v="SF"/>
    <s v="PP/PE Fabric"/>
    <s v="PP Lam Fabric"/>
    <s v="PP LAMINETED FABRIC"/>
    <s v="PP Lam Fabric With UV"/>
    <n v="2487"/>
    <n v="448033.05"/>
    <s v="."/>
    <n v="0"/>
    <n v="9"/>
    <n v="40322.97"/>
    <n v="9"/>
    <n v="40322.97"/>
    <n v="0"/>
    <n v="0"/>
    <n v="0"/>
    <n v="80645.94"/>
    <n v="0"/>
    <s v="24AABCG1282C2Z6"/>
    <s v="KGS"/>
    <n v="39269080"/>
    <s v="Rs."/>
    <n v="1"/>
    <n v="2487"/>
    <s v="India"/>
    <x v="5"/>
  </r>
  <r>
    <d v="2026-07-23T00:00:00"/>
    <s v="Hcp Plastene Bulkpack Ltd Vadodara-Sales"/>
    <s v="Sales"/>
    <n v="509"/>
    <s v="Sales - Within State  Manufactured Goods"/>
    <s v="KPV/D/509"/>
    <d v="2026-07-23T00:00:00"/>
    <s v="SF"/>
    <s v="Webbing"/>
    <s v="PP Webbing"/>
    <s v="PP WEBBING"/>
    <s v="Webbing"/>
    <n v="566"/>
    <n v="87814.9"/>
    <s v="MW"/>
    <n v="0"/>
    <n v="9"/>
    <n v="7903.34"/>
    <n v="9"/>
    <n v="7903.34"/>
    <n v="0"/>
    <n v="0"/>
    <n v="0"/>
    <n v="15806.68"/>
    <n v="0"/>
    <s v="24AABCG1282C2Z6"/>
    <s v="KGS"/>
    <n v="39269080"/>
    <s v="Rs."/>
    <n v="1"/>
    <n v="566"/>
    <s v="India"/>
    <x v="6"/>
  </r>
  <r>
    <d v="2026-07-23T00:00:00"/>
    <s v="Hcp Plastene Bulkpack Ltd Vadodara-Sales"/>
    <s v="Sales"/>
    <n v="509"/>
    <s v="Sales - Within State  Manufactured Goods"/>
    <s v="KPV/D/509"/>
    <d v="2026-07-23T00:00:00"/>
    <s v="SF"/>
    <s v="Webbing"/>
    <s v="PP Webbing"/>
    <s v="PP WEBBING"/>
    <s v="Webbing Tie"/>
    <n v="103"/>
    <n v="15980.45"/>
    <s v="MW"/>
    <n v="0"/>
    <n v="9"/>
    <n v="1438.24"/>
    <n v="9"/>
    <n v="1438.24"/>
    <n v="0"/>
    <n v="0"/>
    <n v="0"/>
    <n v="2876.48"/>
    <n v="0"/>
    <s v="24AABCG1282C2Z6"/>
    <s v="KGS"/>
    <n v="39269080"/>
    <s v="Rs."/>
    <n v="1"/>
    <n v="103"/>
    <s v="India"/>
    <x v="6"/>
  </r>
  <r>
    <d v="2026-07-23T00:00:00"/>
    <s v="Hcp Plastene Bulkpack Ltd Vadodara-Sales"/>
    <s v="Sales"/>
    <n v="510"/>
    <s v="Sales - Within State - Traded Goods"/>
    <s v="KPV/D/510"/>
    <d v="2026-07-23T00:00:00"/>
    <s v="Stores/Spares"/>
    <s v="MS Structure Items"/>
    <s v="Capital Work in Progress"/>
    <s v="MS PIPE"/>
    <s v="MS Pipe"/>
    <n v="93"/>
    <n v="4464"/>
    <s v="."/>
    <n v="5263.06"/>
    <n v="9"/>
    <n v="401.76"/>
    <n v="9"/>
    <n v="401.76"/>
    <n v="0"/>
    <n v="0"/>
    <n v="0"/>
    <n v="803.52"/>
    <n v="0"/>
    <s v="24AABCG1282C2Z6"/>
    <s v="KGS"/>
    <n v="73063090"/>
    <s v="Rs."/>
    <n v="1"/>
    <n v="93"/>
    <s v="India"/>
    <x v="4"/>
  </r>
  <r>
    <d v="2026-07-24T00:00:00"/>
    <s v="Exim Handelsonderneming Rotterdam Bv"/>
    <s v="Export Sales"/>
    <s v="KPW/E/110/26-27"/>
    <s v="Sales - Direct Export - Mfg - U/B"/>
    <s v="KPW/E/110/26-27"/>
    <d v="2026-07-24T00:00:00"/>
    <s v="FG"/>
    <s v="FIBC Bags"/>
    <s v="FIBC Bags"/>
    <s v="PP WOVEN BIG BAGS / SACKS"/>
    <s v="FIBC Bags With UV Without Liner"/>
    <n v="19379"/>
    <n v="4383732.1500000004"/>
    <s v="PP WOVEN BIG BAG"/>
    <n v="4383732.1500000004"/>
    <n v="0"/>
    <n v="0"/>
    <n v="0"/>
    <n v="0"/>
    <n v="0"/>
    <n v="0"/>
    <n v="0"/>
    <n v="0"/>
    <n v="0"/>
    <s v="N.A."/>
    <s v="KGS"/>
    <n v="63053200"/>
    <s v="$"/>
    <n v="95.45"/>
    <n v="19379"/>
    <s v="Netherlands"/>
    <x v="1"/>
  </r>
  <r>
    <d v="2026-07-26T00:00:00"/>
    <s v="Plastene India ltd - Unit 1-Sales"/>
    <s v="Sales"/>
    <n v="512"/>
    <s v="Sales - Within State  Manufactured Goods"/>
    <s v="KPV/D/512"/>
    <d v="2026-07-26T00:00:00"/>
    <s v="FG"/>
    <s v="FIBC Bags"/>
    <s v="FIBC Bags"/>
    <s v="PP WOVEN BIG BAGS / SACKS"/>
    <s v="FIBC Bags With UV Without Liner"/>
    <n v="6624.8"/>
    <n v="1996052.24"/>
    <s v="PNHF-17-A1"/>
    <n v="2965779.07"/>
    <n v="9"/>
    <n v="179644.7"/>
    <n v="9"/>
    <n v="179644.7"/>
    <n v="0"/>
    <n v="0"/>
    <n v="0"/>
    <n v="359289.4"/>
    <n v="0"/>
    <s v="24AAACO3087C1ZT"/>
    <s v="KGS"/>
    <n v="63053200"/>
    <s v="Rs."/>
    <n v="1"/>
    <n v="6624.8"/>
    <s v="India"/>
    <x v="1"/>
  </r>
  <r>
    <d v="2026-07-26T00:00:00"/>
    <s v="Plastene India ltd - Unit 1-Sales"/>
    <s v="Sales"/>
    <n v="512"/>
    <s v="Sales - Within State  Manufactured Goods"/>
    <s v="KPV/D/512"/>
    <d v="2026-07-26T00:00:00"/>
    <s v="FG"/>
    <s v="FIBC Bags"/>
    <s v="FIBC Bags"/>
    <s v="PP WOVEN BIG BAGS / SACKS"/>
    <s v="FIBC Bags With UV Without Liner"/>
    <n v="1860.9"/>
    <n v="519451.63"/>
    <s v="PNHF-17-A2"/>
    <n v="0"/>
    <n v="9"/>
    <n v="46750.65"/>
    <n v="9"/>
    <n v="46750.65"/>
    <n v="0"/>
    <n v="0"/>
    <n v="0"/>
    <n v="93501.3"/>
    <n v="0"/>
    <s v="24AAACO3087C1ZT"/>
    <s v="KGS"/>
    <n v="63053200"/>
    <s v="Rs."/>
    <n v="1"/>
    <n v="1860.9"/>
    <s v="India"/>
    <x v="1"/>
  </r>
  <r>
    <d v="2026-07-27T00:00:00"/>
    <s v="HCP Plastene Bulkpack Limited - Sales"/>
    <s v="Sales"/>
    <n v="513"/>
    <s v="Sales - Within State  Manufactured Goods"/>
    <s v="KPV/D/513"/>
    <d v="2026-07-27T00:00:00"/>
    <s v="SF"/>
    <s v="Webbing"/>
    <s v="PP Webbing"/>
    <s v="PP WEBBING"/>
    <s v="Webbing"/>
    <n v="662"/>
    <n v="117498.38"/>
    <s v="Webbing"/>
    <n v="138530.57999999999"/>
    <n v="9"/>
    <n v="10574.85"/>
    <n v="9"/>
    <n v="10574.85"/>
    <n v="0"/>
    <n v="0"/>
    <n v="0"/>
    <n v="21149.7"/>
    <n v="0"/>
    <s v="24AABCG1282C2Z6"/>
    <s v="KGS"/>
    <n v="39269080"/>
    <s v="Rs."/>
    <n v="1"/>
    <n v="662"/>
    <s v="India"/>
    <x v="6"/>
  </r>
  <r>
    <d v="2026-07-27T00:00:00"/>
    <s v="HCP Plastene Bulkpack Limited - Sales"/>
    <s v="Sales"/>
    <n v="514"/>
    <s v="Sales - Within State  Manufactured Goods"/>
    <s v="KPV/D/514"/>
    <d v="2026-07-27T00:00:00"/>
    <s v="SF"/>
    <s v="Webbing"/>
    <s v="PP Webbing"/>
    <s v="PP WEBBING"/>
    <s v="Webbing"/>
    <n v="266"/>
    <n v="47212.34"/>
    <s v="BLUE"/>
    <n v="55663.35"/>
    <n v="9"/>
    <n v="4249.1099999999997"/>
    <n v="9"/>
    <n v="4249.1099999999997"/>
    <n v="0"/>
    <n v="0"/>
    <n v="0"/>
    <n v="8498.2199999999993"/>
    <n v="0"/>
    <s v="24AABCG1282C2Z6"/>
    <s v="KGS"/>
    <n v="39269080"/>
    <s v="Rs."/>
    <n v="1"/>
    <n v="266"/>
    <s v="India"/>
    <x v="6"/>
  </r>
  <r>
    <d v="2026-07-27T00:00:00"/>
    <s v="Plastene India ltd - Unit 2-Sales"/>
    <s v="Sales"/>
    <n v="515"/>
    <s v="Sales - Within State  Manufactured Goods"/>
    <s v="KPV/D/515"/>
    <d v="2026-07-27T00:00:00"/>
    <s v="SF"/>
    <s v="Yarn All"/>
    <s v="PP Yarn"/>
    <s v="PP FABRILLATED YARN"/>
    <s v="PP Fibrillated Tape Twisted 3200 Blue"/>
    <n v="691"/>
    <n v="106517.65"/>
    <s v="BLUE"/>
    <n v="111737.01"/>
    <n v="2.5"/>
    <n v="2662.94"/>
    <n v="2.5"/>
    <n v="2662.94"/>
    <n v="0"/>
    <n v="0"/>
    <n v="0"/>
    <n v="5325.88"/>
    <n v="0"/>
    <s v="24AAACO3087C1ZT"/>
    <s v="KGS"/>
    <n v="54026930"/>
    <s v="Rs."/>
    <n v="1"/>
    <n v="691"/>
    <s v="India"/>
    <x v="0"/>
  </r>
  <r>
    <d v="2026-07-28T00:00:00"/>
    <s v="Fibco Plastic Industry Llc"/>
    <s v="Export Sales"/>
    <s v="KPW/E/111/26-27"/>
    <s v="Sales - Direct Export - Mfg - U/B"/>
    <s v="KPW/E/111/26-27"/>
    <d v="2026-07-28T00:00:00"/>
    <s v="FG"/>
    <s v="FIBC Bags"/>
    <s v="FIBC Bags"/>
    <s v="PP WOVEN BIG BAGS / SACKS"/>
    <s v="FIBC Bags With UV With Liner"/>
    <n v="21689"/>
    <n v="4874822.4000000004"/>
    <s v="90X90X127_160 Bags/Pallet"/>
    <n v="5211503.1900000004"/>
    <n v="0"/>
    <n v="0"/>
    <n v="0"/>
    <n v="0"/>
    <n v="0"/>
    <n v="0"/>
    <n v="0"/>
    <n v="0"/>
    <n v="0"/>
    <s v="N.A."/>
    <s v="KGS"/>
    <n v="63053200"/>
    <s v="$"/>
    <n v="95.45"/>
    <n v="21689"/>
    <s v="United Arab Emirates"/>
    <x v="1"/>
  </r>
  <r>
    <d v="2026-07-28T00:00:00"/>
    <s v="Plastene India ltd - Unit 2-Sales"/>
    <s v="Sales"/>
    <n v="516"/>
    <s v="Sales - Within State  Manufactured Goods"/>
    <s v="KPV/D/516"/>
    <d v="2026-07-28T00:00:00"/>
    <s v="FG"/>
    <s v="FIBC Bags"/>
    <s v="FIBC Bags"/>
    <s v="PP WOVEN BIG BAGS / SACKS"/>
    <s v="FIBC Bags With UV With Liner"/>
    <n v="446.9"/>
    <n v="67035"/>
    <s v="REJECT BAGS"/>
    <n v="79034.259999999995"/>
    <n v="9"/>
    <n v="6033.15"/>
    <n v="9"/>
    <n v="6033.15"/>
    <n v="0"/>
    <n v="0"/>
    <n v="0"/>
    <n v="12066.3"/>
    <n v="0"/>
    <s v="24AAACO3087C1ZT"/>
    <s v="KGS"/>
    <n v="63053200"/>
    <s v="Rs."/>
    <n v="1"/>
    <n v="446.9"/>
    <s v="India"/>
    <x v="1"/>
  </r>
  <r>
    <d v="2026-07-28T00:00:00"/>
    <s v="Plastene India ltd - Unit 2-Sales"/>
    <s v="Sales"/>
    <n v="517"/>
    <s v="Sales - Within State  Manufactured Goods"/>
    <s v="KPV/D/517"/>
    <d v="2026-07-28T00:00:00"/>
    <s v="SF"/>
    <s v="Yarn All"/>
    <s v="PP Yarn"/>
    <s v="PP FABRILLATED YARN"/>
    <s v="PP Fibrillated Tape Twisted 3200 MW"/>
    <n v="510.5"/>
    <n v="77162.080000000002"/>
    <s v="MW"/>
    <n v="80943.02"/>
    <n v="2.5"/>
    <n v="1929.05"/>
    <n v="2.5"/>
    <n v="1929.05"/>
    <n v="0"/>
    <n v="0"/>
    <n v="0"/>
    <n v="3858.1"/>
    <n v="0"/>
    <s v="24AAACO3087C1ZT"/>
    <s v="KGS"/>
    <n v="54026930"/>
    <s v="Rs."/>
    <n v="1"/>
    <n v="510.5"/>
    <s v="India"/>
    <x v="0"/>
  </r>
  <r>
    <d v="2026-07-28T00:00:00"/>
    <s v="SAS Emballage Industrie Concept - Bazelle"/>
    <s v="Export Sales"/>
    <s v="KPW/E/112/26-27"/>
    <s v="Sales - Direct Export - Mfg - U/B"/>
    <s v="KPW/E/112/26-27"/>
    <d v="2026-07-28T00:00:00"/>
    <s v="FG"/>
    <s v="FIBC Bags"/>
    <s v="FIBC Bags"/>
    <s v="PP WOVEN BIG BAGS / SACKS"/>
    <s v="FIBC Bags With UV Without Liner"/>
    <n v="4226"/>
    <n v="977503.45000000007"/>
    <s v="75X75X125_380 Bags/Pallet"/>
    <n v="3679521.14"/>
    <n v="0"/>
    <n v="0"/>
    <n v="0"/>
    <n v="0"/>
    <n v="0"/>
    <n v="0"/>
    <n v="0"/>
    <n v="0"/>
    <n v="0"/>
    <s v="N.A."/>
    <s v="KGS"/>
    <n v="63053200"/>
    <s v="$"/>
    <n v="95.45"/>
    <n v="4226"/>
    <s v="France"/>
    <x v="1"/>
  </r>
  <r>
    <d v="2026-07-28T00:00:00"/>
    <s v="SAS Emballage Industrie Concept - Bazelle"/>
    <s v="Export Sales"/>
    <s v="KPW/E/112/26-27"/>
    <s v="Sales - Direct Export - Mfg - U/B"/>
    <s v="KPW/E/112/26-27"/>
    <d v="2026-07-28T00:00:00"/>
    <s v="FG"/>
    <s v="FIBC Bags"/>
    <s v="FIBC Bags"/>
    <s v="PP WOVEN BIG BAGS / SACKS"/>
    <s v="FIBC Bags With UV Without Liner"/>
    <n v="2157"/>
    <n v="412582.625"/>
    <s v="95X95X110_325 Bags/Pallet"/>
    <n v="0"/>
    <n v="0"/>
    <n v="0"/>
    <n v="0"/>
    <n v="0"/>
    <n v="0"/>
    <n v="0"/>
    <n v="0"/>
    <n v="0"/>
    <n v="0"/>
    <s v="N.A."/>
    <s v="KGS"/>
    <n v="63053200"/>
    <s v="$"/>
    <n v="95.45"/>
    <n v="2157"/>
    <s v="France"/>
    <x v="1"/>
  </r>
  <r>
    <d v="2026-07-28T00:00:00"/>
    <s v="SAS Emballage Industrie Concept - Bazelle"/>
    <s v="Export Sales"/>
    <s v="KPW/E/112/26-27"/>
    <s v="Sales - Direct Export - Mfg - U/B"/>
    <s v="KPW/E/112/26-27"/>
    <d v="2026-07-28T00:00:00"/>
    <s v="FG"/>
    <s v="FIBC Bags"/>
    <s v="FIBC Bags"/>
    <s v="PP WOVEN BIG BAGS / SACKS"/>
    <s v="FIBC Bags With UV Without Liner"/>
    <n v="4720"/>
    <n v="926914.95000000007"/>
    <s v="95X95X110_325 Bags/Pallet"/>
    <n v="0"/>
    <n v="0"/>
    <n v="0"/>
    <n v="0"/>
    <n v="0"/>
    <n v="0"/>
    <n v="0"/>
    <n v="0"/>
    <n v="0"/>
    <n v="0"/>
    <s v="N.A."/>
    <s v="KGS"/>
    <n v="63053200"/>
    <s v="$"/>
    <n v="95.45"/>
    <n v="4720"/>
    <s v="France"/>
    <x v="1"/>
  </r>
  <r>
    <d v="2026-07-28T00:00:00"/>
    <s v="SAS Emballage Industrie Concept - Bazelle"/>
    <s v="Export Sales"/>
    <s v="KPW/E/112/26-27"/>
    <s v="Sales - Direct Export - Mfg - U/B"/>
    <s v="KPW/E/112/26-27"/>
    <d v="2026-07-28T00:00:00"/>
    <s v="FG"/>
    <s v="FIBC Bags"/>
    <s v="FIBC Bags"/>
    <s v="PP WOVEN BIG BAGS / SACKS"/>
    <s v="FIBC Bags With UV Without Liner"/>
    <n v="1168"/>
    <n v="290168"/>
    <s v="60X60X70_500 Bags/Pallet"/>
    <n v="0"/>
    <n v="0"/>
    <n v="0"/>
    <n v="0"/>
    <n v="0"/>
    <n v="0"/>
    <n v="0"/>
    <n v="0"/>
    <n v="0"/>
    <n v="0"/>
    <s v="N.A."/>
    <s v="KGS"/>
    <n v="63053200"/>
    <s v="$"/>
    <n v="95.45"/>
    <n v="1168"/>
    <s v="France"/>
    <x v="1"/>
  </r>
  <r>
    <d v="2026-07-28T00:00:00"/>
    <s v="SAS Emballage Industrie Concept - Bazelle"/>
    <s v="Export Sales"/>
    <s v="KPW/E/112/26-27"/>
    <s v="Sales - Direct Export - Mfg - U/B"/>
    <s v="KPW/E/112/26-27"/>
    <d v="2026-07-28T00:00:00"/>
    <s v="FG"/>
    <s v="FIBC Bags"/>
    <s v="FIBC Bags"/>
    <s v="PP WOVEN BIG BAGS / SACKS"/>
    <s v="FIBC Bags With UV Without Liner"/>
    <n v="4420"/>
    <n v="862486.20000000007"/>
    <s v="95X95X110_300 Bags/Pallet"/>
    <n v="0"/>
    <n v="0"/>
    <n v="0"/>
    <n v="0"/>
    <n v="0"/>
    <n v="0"/>
    <n v="0"/>
    <n v="0"/>
    <n v="0"/>
    <n v="0"/>
    <s v="N.A."/>
    <s v="KGS"/>
    <n v="63053200"/>
    <s v="$"/>
    <n v="95.45"/>
    <n v="4420"/>
    <s v="France"/>
    <x v="1"/>
  </r>
  <r>
    <d v="2026-07-28T00:00:00"/>
    <s v="SAS Emballage Industrie Concept - Bazelle"/>
    <s v="Export Sales"/>
    <s v="KPW/E/112/26-27"/>
    <s v="Sales - Direct Export - Mfg - U/B"/>
    <s v="KPW/E/112/26-27"/>
    <d v="2026-07-28T00:00:00"/>
    <s v="FG"/>
    <s v="FIBC Bags"/>
    <s v="FIBC Bags"/>
    <s v="PP WOVEN BIG BAGS / SACKS"/>
    <s v="FIBC Bags With UV Without Liner"/>
    <n v="1169"/>
    <n v="237670.5"/>
    <s v="80X80X90_375 Bags/Pallet"/>
    <n v="0"/>
    <n v="0"/>
    <n v="0"/>
    <n v="0"/>
    <n v="0"/>
    <n v="0"/>
    <n v="0"/>
    <n v="0"/>
    <n v="0"/>
    <n v="0"/>
    <s v="N.A."/>
    <s v="KGS"/>
    <n v="63053200"/>
    <s v="$"/>
    <n v="95.45"/>
    <n v="1169"/>
    <s v="France"/>
    <x v="1"/>
  </r>
  <r>
    <d v="2026-07-28T00:00:00"/>
    <s v="SAS Emballage Industrie Concept - Bazelle"/>
    <s v="Export Sales"/>
    <s v="KPW/E/113/26-27"/>
    <s v="Sales - Direct Export - Mfg - U/B"/>
    <s v="KPW/E/113/26-27"/>
    <d v="2026-07-28T00:00:00"/>
    <s v="FG"/>
    <s v="FIBC Bags"/>
    <s v="FIBC Bags"/>
    <s v="PP WOVEN BIG BAGS / SACKS"/>
    <s v="FIBC Bags With UV Without Liner"/>
    <n v="1752"/>
    <n v="398217.4"/>
    <s v="79X79X91_350 Bags/Pallet"/>
    <n v="3985748.6"/>
    <n v="0"/>
    <n v="0"/>
    <n v="0"/>
    <n v="0"/>
    <n v="0"/>
    <n v="0"/>
    <n v="0"/>
    <n v="0"/>
    <n v="0"/>
    <s v="N.A."/>
    <s v="KGS"/>
    <n v="63053200"/>
    <s v="$"/>
    <n v="95.45"/>
    <n v="1752"/>
    <s v="France"/>
    <x v="1"/>
  </r>
  <r>
    <d v="2026-07-28T00:00:00"/>
    <s v="SAS Emballage Industrie Concept - Bazelle"/>
    <s v="Export Sales"/>
    <s v="KPW/E/113/26-27"/>
    <s v="Sales - Direct Export - Mfg - U/B"/>
    <s v="KPW/E/113/26-27"/>
    <d v="2026-07-28T00:00:00"/>
    <s v="FG"/>
    <s v="FIBC Bags"/>
    <s v="FIBC Bags"/>
    <s v="PP WOVEN BIG BAGS / SACKS"/>
    <s v="FIBC Bags With UV Without Liner"/>
    <n v="1685"/>
    <n v="365248.97000000003"/>
    <s v="95X95X110_265 Bags/Pallet"/>
    <n v="0"/>
    <n v="0"/>
    <n v="0"/>
    <n v="0"/>
    <n v="0"/>
    <n v="0"/>
    <n v="0"/>
    <n v="0"/>
    <n v="0"/>
    <n v="0"/>
    <s v="N.A."/>
    <s v="KGS"/>
    <n v="63053200"/>
    <s v="$"/>
    <n v="95.45"/>
    <n v="1685"/>
    <s v="France"/>
    <x v="1"/>
  </r>
  <r>
    <d v="2026-07-28T00:00:00"/>
    <s v="SAS Emballage Industrie Concept - Bazelle"/>
    <s v="Export Sales"/>
    <s v="KPW/E/113/26-27"/>
    <s v="Sales - Direct Export - Mfg - U/B"/>
    <s v="KPW/E/113/26-27"/>
    <d v="2026-07-28T00:00:00"/>
    <s v="FG"/>
    <s v="FIBC Bags"/>
    <s v="FIBC Bags"/>
    <s v="PP WOVEN BIG BAGS / SACKS"/>
    <s v="FIBC Bags With UV Without Liner"/>
    <n v="3407"/>
    <n v="652687.1"/>
    <s v="95X95X110_325 Bags/Pallet"/>
    <n v="0"/>
    <n v="0"/>
    <n v="0"/>
    <n v="0"/>
    <n v="0"/>
    <n v="0"/>
    <n v="0"/>
    <n v="0"/>
    <n v="0"/>
    <n v="0"/>
    <s v="N.A."/>
    <s v="KGS"/>
    <n v="63053200"/>
    <s v="$"/>
    <n v="95.45"/>
    <n v="3407"/>
    <s v="France"/>
    <x v="1"/>
  </r>
  <r>
    <d v="2026-07-28T00:00:00"/>
    <s v="SAS Emballage Industrie Concept - Bazelle"/>
    <s v="Export Sales"/>
    <s v="KPW/E/113/26-27"/>
    <s v="Sales - Direct Export - Mfg - U/B"/>
    <s v="KPW/E/113/26-27"/>
    <d v="2026-07-28T00:00:00"/>
    <s v="FG"/>
    <s v="FIBC Bags"/>
    <s v="FIBC Bags"/>
    <s v="PP WOVEN BIG BAGS / SACKS"/>
    <s v="FIBC Bags With UV Without Liner"/>
    <n v="3909"/>
    <n v="763122.75"/>
    <s v="95X95X110_325 Bags/Pallet"/>
    <n v="0"/>
    <n v="0"/>
    <n v="0"/>
    <n v="0"/>
    <n v="0"/>
    <n v="0"/>
    <n v="0"/>
    <n v="0"/>
    <n v="0"/>
    <n v="0"/>
    <s v="N.A."/>
    <s v="KGS"/>
    <n v="63053200"/>
    <s v="$"/>
    <n v="95.45"/>
    <n v="3909"/>
    <s v="France"/>
    <x v="1"/>
  </r>
  <r>
    <d v="2026-07-28T00:00:00"/>
    <s v="SAS Emballage Industrie Concept - Bazelle"/>
    <s v="Export Sales"/>
    <s v="KPW/E/113/26-27"/>
    <s v="Sales - Direct Export - Mfg - U/B"/>
    <s v="KPW/E/113/26-27"/>
    <d v="2026-07-28T00:00:00"/>
    <s v="FG"/>
    <s v="FIBC Bags"/>
    <s v="FIBC Bags"/>
    <s v="PP WOVEN BIG BAGS / SACKS"/>
    <s v="FIBC Bags With UV Without Liner"/>
    <n v="1774"/>
    <n v="323575.5"/>
    <s v="95X95X110_250 Bags/Pallet"/>
    <n v="0"/>
    <n v="0"/>
    <n v="0"/>
    <n v="0"/>
    <n v="0"/>
    <n v="0"/>
    <n v="0"/>
    <n v="0"/>
    <n v="0"/>
    <n v="0"/>
    <s v="N.A."/>
    <s v="KGS"/>
    <n v="63053200"/>
    <s v="$"/>
    <n v="95.45"/>
    <n v="1774"/>
    <s v="France"/>
    <x v="1"/>
  </r>
  <r>
    <d v="2026-07-28T00:00:00"/>
    <s v="SAS Emballage Industrie Concept - Bazelle"/>
    <s v="Export Sales"/>
    <s v="KPW/E/113/26-27"/>
    <s v="Sales - Direct Export - Mfg - U/B"/>
    <s v="KPW/E/113/26-27"/>
    <d v="2026-07-28T00:00:00"/>
    <s v="FG"/>
    <s v="FIBC Bags"/>
    <s v="FIBC Bags"/>
    <s v="PP WOVEN BIG BAGS / SACKS"/>
    <s v="FIBC Bags With UV Without Liner"/>
    <n v="2940"/>
    <n v="563536.80000000005"/>
    <s v="88X88X104_300 Bags/Pallet"/>
    <n v="0"/>
    <n v="0"/>
    <n v="0"/>
    <n v="0"/>
    <n v="0"/>
    <n v="0"/>
    <n v="0"/>
    <n v="0"/>
    <n v="0"/>
    <n v="0"/>
    <s v="N.A."/>
    <s v="KGS"/>
    <n v="63053200"/>
    <s v="$"/>
    <n v="95.45"/>
    <n v="2940"/>
    <s v="France"/>
    <x v="1"/>
  </r>
  <r>
    <d v="2026-07-28T00:00:00"/>
    <s v="SAS Emballage Industrie Concept - Bazelle"/>
    <s v="Export Sales"/>
    <s v="KPW/E/113/26-27"/>
    <s v="Sales - Direct Export - Mfg - U/B"/>
    <s v="KPW/E/113/26-27"/>
    <d v="2026-07-28T00:00:00"/>
    <s v="FG"/>
    <s v="FIBC Bags"/>
    <s v="FIBC Bags"/>
    <s v="PP WOVEN BIG BAGS / SACKS"/>
    <s v="FIBC Bags With UV Without Liner"/>
    <n v="399"/>
    <n v="74451"/>
    <s v="95X95X110_300 Bags/Pallet"/>
    <n v="0"/>
    <n v="0"/>
    <n v="0"/>
    <n v="0"/>
    <n v="0"/>
    <n v="0"/>
    <n v="0"/>
    <n v="0"/>
    <n v="0"/>
    <n v="0"/>
    <s v="N.A."/>
    <s v="KGS"/>
    <n v="63053200"/>
    <s v="$"/>
    <n v="95.45"/>
    <n v="399"/>
    <s v="France"/>
    <x v="1"/>
  </r>
  <r>
    <d v="2026-07-28T00:00:00"/>
    <s v="SAS Emballage Industrie Concept - Bazelle"/>
    <s v="Export Sales"/>
    <s v="KPW/E/113/26-27"/>
    <s v="Sales - Direct Export - Mfg - U/B"/>
    <s v="KPW/E/113/26-27"/>
    <d v="2026-07-28T00:00:00"/>
    <s v="FG"/>
    <s v="FIBC Bags"/>
    <s v="FIBC Bags"/>
    <s v="PP WOVEN BIG BAGS / SACKS"/>
    <s v="FIBC Bags With UV Without Liner"/>
    <n v="396"/>
    <n v="84473.25"/>
    <s v="80X80X90_500 Bags/Pallet"/>
    <n v="0"/>
    <n v="0"/>
    <n v="0"/>
    <n v="0"/>
    <n v="0"/>
    <n v="0"/>
    <n v="0"/>
    <n v="0"/>
    <n v="0"/>
    <n v="0"/>
    <s v="N.A."/>
    <s v="KGS"/>
    <n v="63053200"/>
    <s v="$"/>
    <n v="95.45"/>
    <n v="396"/>
    <s v="France"/>
    <x v="1"/>
  </r>
  <r>
    <d v="2026-07-28T00:00:00"/>
    <s v="SAS Emballage Industrie Concept - Bazelle"/>
    <s v="Export Sales"/>
    <s v="KPW/E/113/26-27"/>
    <s v="Sales - Direct Export - Mfg - U/B"/>
    <s v="KPW/E/113/26-27"/>
    <d v="2026-07-28T00:00:00"/>
    <s v="FG"/>
    <s v="FIBC Bags"/>
    <s v="FIBC Bags"/>
    <s v="PP WOVEN BIG BAGS / SACKS"/>
    <s v="FIBC Bags With UV Without Liner"/>
    <n v="3280"/>
    <n v="790555.08"/>
    <s v="95X95X195_210 Bags/Pallet"/>
    <n v="0"/>
    <n v="0"/>
    <n v="0"/>
    <n v="0"/>
    <n v="0"/>
    <n v="0"/>
    <n v="0"/>
    <n v="0"/>
    <n v="0"/>
    <n v="0"/>
    <s v="N.A."/>
    <s v="KGS"/>
    <n v="63053200"/>
    <s v="$"/>
    <n v="95.45"/>
    <n v="3280"/>
    <s v="France"/>
    <x v="1"/>
  </r>
  <r>
    <d v="2026-07-28T00:00:00"/>
    <s v="SAS Emballage Industrie Concept - Bazelle"/>
    <s v="Export Sales"/>
    <s v="KPW/E/114/26-27"/>
    <s v="Sales - Direct Export - Mfg - U/B"/>
    <s v="KPW/E/114/26-27"/>
    <d v="2026-07-28T00:00:00"/>
    <s v="FG"/>
    <s v="FIBC Bags"/>
    <s v="FIBC Bags"/>
    <s v="PP WOVEN BIG BAGS / SACKS"/>
    <s v="FIBC Bags With UV Without Liner"/>
    <n v="2228"/>
    <n v="434679.3"/>
    <s v="91X91X100_300 Bags/Pallet"/>
    <n v="3937358.32"/>
    <n v="0"/>
    <n v="0"/>
    <n v="0"/>
    <n v="0"/>
    <n v="0"/>
    <n v="0"/>
    <n v="0"/>
    <n v="0"/>
    <n v="0"/>
    <s v="N.A."/>
    <s v="KGS"/>
    <n v="63053200"/>
    <s v="$"/>
    <n v="95.45"/>
    <n v="2228"/>
    <s v="France"/>
    <x v="1"/>
  </r>
  <r>
    <d v="2026-07-28T00:00:00"/>
    <s v="SAS Emballage Industrie Concept - Bazelle"/>
    <s v="Export Sales"/>
    <s v="KPW/E/114/26-27"/>
    <s v="Sales - Direct Export - Mfg - U/B"/>
    <s v="KPW/E/114/26-27"/>
    <d v="2026-07-28T00:00:00"/>
    <s v="FG"/>
    <s v="FIBC Bags"/>
    <s v="FIBC Bags"/>
    <s v="PP WOVEN BIG BAGS / SACKS"/>
    <s v="FIBC Bags With UV Without Liner"/>
    <n v="14538"/>
    <n v="3013022.4250000003"/>
    <s v="86X86X108_290 Bags/Pallet"/>
    <n v="0"/>
    <n v="0"/>
    <n v="0"/>
    <n v="0"/>
    <n v="0"/>
    <n v="0"/>
    <n v="0"/>
    <n v="0"/>
    <n v="0"/>
    <n v="0"/>
    <s v="N.A."/>
    <s v="KGS"/>
    <n v="63053200"/>
    <s v="$"/>
    <n v="95.45"/>
    <n v="14538"/>
    <s v="France"/>
    <x v="1"/>
  </r>
  <r>
    <d v="2026-07-28T00:00:00"/>
    <s v="SAS Emballage Industrie Concept - Bazelle"/>
    <s v="Export Sales"/>
    <s v="KPW/E/114/26-27"/>
    <s v="Sales - Direct Export - Mfg - U/B"/>
    <s v="KPW/E/114/26-27"/>
    <d v="2026-07-28T00:00:00"/>
    <s v="FG"/>
    <s v="FIBC Bags"/>
    <s v="FIBC Bags"/>
    <s v="PP WOVEN BIG BAGS / SACKS"/>
    <s v="FIBC Bags With UV Without Liner"/>
    <n v="788"/>
    <n v="172382.7"/>
    <s v="95X95X110_300 Bags/Pallet"/>
    <n v="0"/>
    <n v="0"/>
    <n v="0"/>
    <n v="0"/>
    <n v="0"/>
    <n v="0"/>
    <n v="0"/>
    <n v="0"/>
    <n v="0"/>
    <n v="0"/>
    <s v="N.A."/>
    <s v="KGS"/>
    <n v="63053200"/>
    <s v="$"/>
    <n v="95.45"/>
    <n v="788"/>
    <s v="France"/>
    <x v="1"/>
  </r>
  <r>
    <d v="2026-07-28T00:00:00"/>
    <s v="SAS Emballage Industrie Concept - Bazelle"/>
    <s v="Export Sales"/>
    <s v="KPW/E/114/26-27"/>
    <s v="Sales - Direct Export - Mfg - U/B"/>
    <s v="KPW/E/114/26-27"/>
    <d v="2026-07-28T00:00:00"/>
    <s v="FG"/>
    <s v="FIBC Bags"/>
    <s v="FIBC Bags"/>
    <s v="PP WOVEN BIG BAGS / SACKS"/>
    <s v="FIBC Bags With UV Without Liner"/>
    <n v="778"/>
    <n v="152338.20000000001"/>
    <s v="95X95X110_300 Bags/Pallet"/>
    <n v="0"/>
    <n v="0"/>
    <n v="0"/>
    <n v="0"/>
    <n v="0"/>
    <n v="0"/>
    <n v="0"/>
    <n v="0"/>
    <n v="0"/>
    <n v="0"/>
    <s v="N.A."/>
    <s v="KGS"/>
    <n v="63053200"/>
    <s v="$"/>
    <n v="95.45"/>
    <n v="778"/>
    <s v="France"/>
    <x v="1"/>
  </r>
  <r>
    <d v="2026-07-28T00:00:00"/>
    <s v="SAS Emballage Industrie Concept - Bazelle"/>
    <s v="Export Sales"/>
    <s v="KPW/E/114/26-27"/>
    <s v="Sales - Direct Export - Mfg - U/B"/>
    <s v="KPW/E/114/26-27"/>
    <d v="2026-07-28T00:00:00"/>
    <s v="FG"/>
    <s v="FIBC Bags"/>
    <s v="FIBC Bags"/>
    <s v="PP WOVEN BIG BAGS / SACKS"/>
    <s v="FIBC Bags With UV Without Liner"/>
    <n v="1031"/>
    <n v="194689.36500000002"/>
    <s v="91X91X180_130 Bags/Pallet"/>
    <n v="0"/>
    <n v="0"/>
    <n v="0"/>
    <n v="0"/>
    <n v="0"/>
    <n v="0"/>
    <n v="0"/>
    <n v="0"/>
    <n v="0"/>
    <n v="0"/>
    <s v="N.A."/>
    <s v="KGS"/>
    <n v="63053200"/>
    <s v="$"/>
    <n v="95.45"/>
    <n v="1031"/>
    <s v="France"/>
    <x v="1"/>
  </r>
  <r>
    <d v="2026-07-29T00:00:00"/>
    <s v="Arrow Asssociates"/>
    <s v="Sales"/>
    <n v="524"/>
    <s v="Sales - Within State  Manufactured Goods"/>
    <s v="KPV/D/524"/>
    <d v="2026-07-29T00:00:00"/>
    <s v="FG"/>
    <s v="FIBC Bags"/>
    <s v="FIBC Bags"/>
    <s v="PP WOVEN BIG BAGS / SACKS"/>
    <s v="FIBC Bags With UV With Liner"/>
    <n v="4633.6000000000004"/>
    <n v="1067850"/>
    <s v="79X79X97"/>
    <n v="1260063"/>
    <n v="9"/>
    <n v="96106.5"/>
    <n v="9"/>
    <n v="96106.5"/>
    <n v="0"/>
    <n v="0"/>
    <n v="0"/>
    <n v="192213"/>
    <n v="0"/>
    <s v="24AADFN9576H1ZX"/>
    <s v="KGS"/>
    <n v="63053200"/>
    <s v="Rs."/>
    <n v="1"/>
    <n v="4633.6000000000004"/>
    <s v="India"/>
    <x v="1"/>
  </r>
  <r>
    <d v="2026-07-29T00:00:00"/>
    <s v="FPS Flexibles France Sarl"/>
    <s v="Export Sales"/>
    <s v="KPW/E/116/26-27"/>
    <s v="Sales - Direct Export - Mfg - U/B"/>
    <s v="KPW/E/116/26-27"/>
    <d v="2026-07-29T00:00:00"/>
    <s v="FG"/>
    <s v="FIBC Bags"/>
    <s v="FIBC Bags"/>
    <s v="PP WOVEN BIG BAGS / SACKS"/>
    <s v="FIBC Bags With UV Without Liner"/>
    <n v="19647"/>
    <n v="4071427.0320000001"/>
    <s v="91X96X173_165 Bags/Pallet"/>
    <n v="4071427.03"/>
    <n v="0"/>
    <n v="0"/>
    <n v="0"/>
    <n v="0"/>
    <n v="0"/>
    <n v="0"/>
    <n v="0"/>
    <n v="0"/>
    <n v="0"/>
    <s v="N.A."/>
    <s v="KGS"/>
    <n v="63053200"/>
    <s v="€"/>
    <n v="108.6"/>
    <n v="19647"/>
    <s v="France"/>
    <x v="1"/>
  </r>
  <r>
    <d v="2026-07-29T00:00:00"/>
    <s v="Plastene India ltd - Unit 1-Sales"/>
    <s v="Sales"/>
    <n v="522"/>
    <s v="Sales - Within State  Manufactured Goods"/>
    <s v="KPV/D/522"/>
    <d v="2026-07-29T00:00:00"/>
    <s v="FG"/>
    <s v="FIBC Bags"/>
    <s v="FIBC Bags"/>
    <s v="PP WOVEN BIG BAGS / SACKS"/>
    <s v="FIBC Bags With UV Without Liner"/>
    <n v="882"/>
    <n v="265746.59999999998"/>
    <s v="PNHF-17-A1"/>
    <n v="896083.81"/>
    <n v="9"/>
    <n v="23917.19"/>
    <n v="9"/>
    <n v="23917.19"/>
    <n v="0"/>
    <n v="0"/>
    <n v="0"/>
    <n v="47834.38"/>
    <n v="0"/>
    <s v="24AAACO3087C1ZT"/>
    <s v="KGS"/>
    <n v="63053200"/>
    <s v="Rs."/>
    <n v="1"/>
    <n v="882"/>
    <s v="India"/>
    <x v="1"/>
  </r>
  <r>
    <d v="2026-07-29T00:00:00"/>
    <s v="Plastene India ltd - Unit 1-Sales"/>
    <s v="Sales"/>
    <n v="522"/>
    <s v="Sales - Within State  Manufactured Goods"/>
    <s v="KPV/D/522"/>
    <d v="2026-07-29T00:00:00"/>
    <s v="FG"/>
    <s v="FIBC Bags"/>
    <s v="FIBC Bags"/>
    <s v="PP WOVEN BIG BAGS / SACKS"/>
    <s v="FIBC Bags With UV Without Liner"/>
    <n v="871.3"/>
    <n v="243214.68"/>
    <s v="PNHF-17-A2"/>
    <n v="0"/>
    <n v="9"/>
    <n v="21889.32"/>
    <n v="9"/>
    <n v="21889.32"/>
    <n v="0"/>
    <n v="0"/>
    <n v="0"/>
    <n v="43778.64"/>
    <n v="0"/>
    <s v="24AAACO3087C1ZT"/>
    <s v="KGS"/>
    <n v="63053200"/>
    <s v="Rs."/>
    <n v="1"/>
    <n v="871.3"/>
    <s v="India"/>
    <x v="1"/>
  </r>
  <r>
    <d v="2026-07-29T00:00:00"/>
    <s v="Plastene India ltd - Unit 1-Sales"/>
    <s v="Sales"/>
    <n v="522"/>
    <s v="Sales - Within State  Manufactured Goods"/>
    <s v="KPV/D/522"/>
    <d v="2026-07-29T00:00:00"/>
    <s v="FG"/>
    <s v="FIBC Bags"/>
    <s v="FIBC Bags"/>
    <s v="PP WOVEN BIG BAGS / SACKS"/>
    <s v="FIBC Bags With UV Without Liner"/>
    <n v="1339"/>
    <n v="251075.89"/>
    <s v="KPW/2026/CONT-175/01"/>
    <n v="0"/>
    <n v="9"/>
    <n v="22596.83"/>
    <n v="9"/>
    <n v="22596.83"/>
    <n v="0"/>
    <n v="0"/>
    <n v="0"/>
    <n v="45193.66"/>
    <n v="0"/>
    <s v="24AAACO3087C1ZT"/>
    <s v="KGS"/>
    <n v="63053200"/>
    <s v="Rs."/>
    <n v="1"/>
    <n v="1339"/>
    <s v="India"/>
    <x v="1"/>
  </r>
  <r>
    <d v="2026-07-29T00:00:00"/>
    <s v="Plastene India ltd - Unit 2-Sales"/>
    <s v="Sales"/>
    <n v="518"/>
    <s v="Sales - Within State - Traded Goods"/>
    <s v="KPV/D/518"/>
    <d v="2026-07-29T00:00:00"/>
    <s v="Packing Material"/>
    <s v="Packaging Material"/>
    <s v="Packing Materials"/>
    <s v="Packing Materials"/>
    <s v="Plastic Pallet"/>
    <n v="30"/>
    <n v="25440"/>
    <s v="."/>
    <n v="29993.759999999998"/>
    <n v="9"/>
    <n v="2289.6"/>
    <n v="9"/>
    <n v="2289.6"/>
    <n v="0"/>
    <n v="0"/>
    <n v="0"/>
    <n v="4579.2"/>
    <n v="0"/>
    <s v="24AAACO3087C1ZT"/>
    <s v="KGS"/>
    <n v="392690"/>
    <s v="Rs."/>
    <n v="1"/>
    <n v="30"/>
    <s v="India"/>
    <x v="4"/>
  </r>
  <r>
    <d v="2026-07-29T00:00:00"/>
    <s v="Plastene India ltd - Unit 2-Sales"/>
    <s v="Sales"/>
    <n v="519"/>
    <s v="Sales - Within State  Manufactured Goods"/>
    <s v="KPV/D/519"/>
    <d v="2026-07-29T00:00:00"/>
    <s v="FG"/>
    <s v="FIBC Bags"/>
    <s v="FIBC Bags"/>
    <s v="PP WOVEN BIG BAGS / SACKS"/>
    <s v="FIBC Bags With UV Without Liner"/>
    <n v="5780"/>
    <n v="1626029.6"/>
    <s v="FIBCO/PO/2026/JBPL-120-TC"/>
    <n v="1917088.89"/>
    <n v="9"/>
    <n v="146342.66"/>
    <n v="9"/>
    <n v="146342.66"/>
    <n v="0"/>
    <n v="0"/>
    <n v="0"/>
    <n v="292685.32"/>
    <n v="0"/>
    <s v="24AAACO3087C1ZT"/>
    <s v="KGS"/>
    <n v="63053200"/>
    <s v="Rs."/>
    <n v="1"/>
    <n v="5780"/>
    <s v="India"/>
    <x v="1"/>
  </r>
  <r>
    <d v="2026-07-29T00:00:00"/>
    <s v="Plastene India ltd - Unit 2-Sales"/>
    <s v="Sales"/>
    <n v="523"/>
    <s v="Sales - Within State  Manufactured Goods"/>
    <s v="KPV/D/523"/>
    <d v="2026-07-29T00:00:00"/>
    <s v="SF"/>
    <s v="Yarn All"/>
    <s v="PP Yarn"/>
    <s v="PP FABRILLATED YARN"/>
    <s v="PP Fibrillated Tape Twisted 3200 Blue"/>
    <n v="235.2"/>
    <n v="36256.080000000002"/>
    <s v="BLUE"/>
    <n v="133499.42000000001"/>
    <n v="2.5"/>
    <n v="906.4"/>
    <n v="2.5"/>
    <n v="906.4"/>
    <n v="0"/>
    <n v="0"/>
    <n v="0"/>
    <n v="1812.8"/>
    <n v="0"/>
    <s v="24AAACO3087C1ZT"/>
    <s v="KGS"/>
    <n v="54026930"/>
    <s v="Rs."/>
    <n v="1"/>
    <n v="235.2"/>
    <s v="India"/>
    <x v="0"/>
  </r>
  <r>
    <d v="2026-07-29T00:00:00"/>
    <s v="Plastene India ltd - Unit 2-Sales"/>
    <s v="Sales"/>
    <n v="523"/>
    <s v="Sales - Within State  Manufactured Goods"/>
    <s v="KPV/D/523"/>
    <d v="2026-07-29T00:00:00"/>
    <s v="SF"/>
    <s v="Yarn All"/>
    <s v="PP Yarn"/>
    <s v="PP FABRILLATED YARN"/>
    <s v="PP Fibrillated Tape Twisted 3200 MW"/>
    <n v="602.1"/>
    <n v="91007.42"/>
    <s v="MW"/>
    <n v="0"/>
    <n v="2.5"/>
    <n v="2275.19"/>
    <n v="2.5"/>
    <n v="2275.19"/>
    <n v="0"/>
    <n v="0"/>
    <n v="0"/>
    <n v="4550.38"/>
    <n v="0"/>
    <s v="24AAACO3087C1ZT"/>
    <s v="KGS"/>
    <n v="54026930"/>
    <s v="Rs."/>
    <n v="1"/>
    <n v="602.1"/>
    <s v="India"/>
    <x v="0"/>
  </r>
  <r>
    <d v="2026-07-29T00:00:00"/>
    <s v="Plastene Polyfilms Ltd-Sales"/>
    <s v="Sales"/>
    <n v="520"/>
    <s v="Sales - Within State  Manufactured Goods"/>
    <s v="KPV/D/520"/>
    <d v="2026-07-29T00:00:00"/>
    <s v="SF"/>
    <s v="Yarn All"/>
    <s v="PP Yarn"/>
    <s v="PP FABRILLATED YARN"/>
    <s v="PP Fibrillated Tape Twisted 3200 Blue"/>
    <n v="1949.9"/>
    <n v="300577.09000000003"/>
    <s v="BLUE"/>
    <n v="513992.33"/>
    <n v="2.5"/>
    <n v="7514.43"/>
    <n v="2.5"/>
    <n v="7514.43"/>
    <n v="0"/>
    <n v="0"/>
    <n v="0"/>
    <n v="15028.86"/>
    <n v="0"/>
    <s v="24AAFCP2956A1ZR"/>
    <s v="KGS"/>
    <n v="54026930"/>
    <s v="Rs."/>
    <n v="1"/>
    <n v="1949.9"/>
    <s v="India"/>
    <x v="0"/>
  </r>
  <r>
    <d v="2026-07-29T00:00:00"/>
    <s v="Plastene Polyfilms Ltd-Sales"/>
    <s v="Sales"/>
    <n v="520"/>
    <s v="Sales - Within State  Manufactured Goods"/>
    <s v="KPV/D/520"/>
    <d v="2026-07-29T00:00:00"/>
    <s v="SF"/>
    <s v="Yarn All"/>
    <s v="PP Yarn"/>
    <s v="PP FABRILLATED YARN"/>
    <s v="PP Fibrillated Tape Twisted 3200 MW"/>
    <n v="1253.0999999999999"/>
    <n v="189406.06"/>
    <s v="MW"/>
    <n v="0"/>
    <n v="2.5"/>
    <n v="4735.1499999999996"/>
    <n v="2.5"/>
    <n v="4735.1499999999996"/>
    <n v="0"/>
    <n v="0"/>
    <n v="0"/>
    <n v="9470.2999999999993"/>
    <n v="0"/>
    <s v="24AAFCP2956A1ZR"/>
    <s v="KGS"/>
    <n v="54026930"/>
    <s v="Rs."/>
    <n v="1"/>
    <n v="1253.0999999999999"/>
    <s v="India"/>
    <x v="0"/>
  </r>
  <r>
    <d v="2026-07-29T00:00:00"/>
    <s v="Plastene Polyfilms Ltd-Sales"/>
    <s v="Sales"/>
    <n v="521"/>
    <s v="Sales - Within State  Manufactured Goods"/>
    <s v="KPV/D/521"/>
    <d v="2026-07-29T00:00:00"/>
    <s v="FG"/>
    <s v="FIBC Bags"/>
    <s v="FIBC Bags"/>
    <s v="PP WOVEN BIG BAGS / SACKS"/>
    <s v="FIBC Bags With UV Without Liner"/>
    <n v="428.3"/>
    <n v="110090.23"/>
    <s v="BC-63758/04-12600"/>
    <n v="129796.38"/>
    <n v="9"/>
    <n v="9908.1200000000008"/>
    <n v="9"/>
    <n v="9908.1200000000008"/>
    <n v="0"/>
    <n v="0"/>
    <n v="0"/>
    <n v="19816.240000000002"/>
    <n v="0"/>
    <s v="24AAFCP2956A1ZR"/>
    <s v="KGS"/>
    <n v="63053200"/>
    <s v="Rs."/>
    <n v="1"/>
    <n v="428.3"/>
    <s v="India"/>
    <x v="1"/>
  </r>
  <r>
    <d v="2026-07-29T00:00:00"/>
    <s v="Tecnopacking"/>
    <s v="Export Sales"/>
    <s v="KPW/E/115/26-27"/>
    <s v="Sales - Direct Export - Mfg - U/B"/>
    <s v="KPW/E/115/26-27"/>
    <d v="2026-07-29T00:00:00"/>
    <s v="FG"/>
    <s v="FIBC Bags"/>
    <s v="FIBC Bags"/>
    <s v="PP WOVEN BIG BAGS / SACKS"/>
    <s v="FIBC Bags With UV Without Liner"/>
    <n v="2738"/>
    <n v="544208.17500000005"/>
    <s v="90X90X100_450 BAGS/PALLET"/>
    <n v="3648662.16"/>
    <n v="0"/>
    <n v="0"/>
    <n v="0"/>
    <n v="0"/>
    <n v="0"/>
    <n v="0"/>
    <n v="0"/>
    <n v="0"/>
    <n v="0"/>
    <s v="N.A."/>
    <s v="KGS"/>
    <n v="63053200"/>
    <s v="$"/>
    <n v="95.45"/>
    <n v="2738"/>
    <s v="Spain"/>
    <x v="1"/>
  </r>
  <r>
    <d v="2026-07-29T00:00:00"/>
    <s v="Tecnopacking"/>
    <s v="Export Sales"/>
    <s v="KPW/E/115/26-27"/>
    <s v="Sales - Direct Export - Mfg - U/B"/>
    <s v="KPW/E/115/26-27"/>
    <d v="2026-07-29T00:00:00"/>
    <s v="FG"/>
    <s v="FIBC Bags"/>
    <s v="FIBC Bags"/>
    <s v="PP WOVEN BIG BAGS / SACKS"/>
    <s v="FIBC Bags With UV Without Liner"/>
    <n v="2281"/>
    <n v="446706"/>
    <s v="85X85X90_500 BAGS/PALLET"/>
    <n v="0"/>
    <n v="0"/>
    <n v="0"/>
    <n v="0"/>
    <n v="0"/>
    <n v="0"/>
    <n v="0"/>
    <n v="0"/>
    <n v="0"/>
    <n v="0"/>
    <s v="N.A."/>
    <s v="KGS"/>
    <n v="63053200"/>
    <s v="$"/>
    <n v="95.45"/>
    <n v="2281"/>
    <s v="Spain"/>
    <x v="1"/>
  </r>
  <r>
    <d v="2026-07-29T00:00:00"/>
    <s v="Tecnopacking"/>
    <s v="Export Sales"/>
    <s v="KPW/E/115/26-27"/>
    <s v="Sales - Direct Export - Mfg - U/B"/>
    <s v="KPW/E/115/26-27"/>
    <d v="2026-07-29T00:00:00"/>
    <s v="FG"/>
    <s v="FIBC Bags"/>
    <s v="FIBC Bags"/>
    <s v="PP WOVEN BIG BAGS / SACKS"/>
    <s v="FIBC Bags With UV Without Liner"/>
    <n v="2072"/>
    <n v="404898.9"/>
    <s v="90X90X100_420 BAGS/PALLET"/>
    <n v="0"/>
    <n v="0"/>
    <n v="0"/>
    <n v="0"/>
    <n v="0"/>
    <n v="0"/>
    <n v="0"/>
    <n v="0"/>
    <n v="0"/>
    <n v="0"/>
    <s v="N.A."/>
    <s v="KGS"/>
    <n v="63053200"/>
    <s v="$"/>
    <n v="95.45"/>
    <n v="2072"/>
    <s v="Spain"/>
    <x v="1"/>
  </r>
  <r>
    <d v="2026-07-29T00:00:00"/>
    <s v="Tecnopacking"/>
    <s v="Export Sales"/>
    <s v="KPW/E/115/26-27"/>
    <s v="Sales - Direct Export - Mfg - U/B"/>
    <s v="KPW/E/115/26-27"/>
    <d v="2026-07-29T00:00:00"/>
    <s v="FG"/>
    <s v="FIBC Bags"/>
    <s v="FIBC Bags"/>
    <s v="PP WOVEN BIG BAGS / SACKS"/>
    <s v="FIBC Bags With UV Without Liner"/>
    <n v="3941"/>
    <n v="776963"/>
    <s v="80X80X80_500 BAGS/PALLET"/>
    <n v="0"/>
    <n v="0"/>
    <n v="0"/>
    <n v="0"/>
    <n v="0"/>
    <n v="0"/>
    <n v="0"/>
    <n v="0"/>
    <n v="0"/>
    <n v="0"/>
    <s v="N.A."/>
    <s v="KGS"/>
    <n v="63053200"/>
    <s v="$"/>
    <n v="95.45"/>
    <n v="3941"/>
    <s v="Spain"/>
    <x v="1"/>
  </r>
  <r>
    <d v="2026-07-29T00:00:00"/>
    <s v="Tecnopacking"/>
    <s v="Export Sales"/>
    <s v="KPW/E/115/26-27"/>
    <s v="Sales - Direct Export - Mfg - U/B"/>
    <s v="KPW/E/115/26-27"/>
    <d v="2026-07-29T00:00:00"/>
    <s v="FG"/>
    <s v="FIBC Bags"/>
    <s v="FIBC Bags"/>
    <s v="PP WOVEN BIG BAGS / SACKS"/>
    <s v="FIBC Bags With UV Without Liner"/>
    <n v="3310.3"/>
    <n v="618516"/>
    <s v="80X80X80_600 BAGS/PALLET"/>
    <n v="0"/>
    <n v="0"/>
    <n v="0"/>
    <n v="0"/>
    <n v="0"/>
    <n v="0"/>
    <n v="0"/>
    <n v="0"/>
    <n v="0"/>
    <n v="0"/>
    <s v="N.A."/>
    <s v="KGS"/>
    <n v="63053200"/>
    <s v="$"/>
    <n v="95.45"/>
    <n v="3310.3"/>
    <s v="Spain"/>
    <x v="1"/>
  </r>
  <r>
    <d v="2026-07-29T00:00:00"/>
    <s v="Tecnopacking"/>
    <s v="Export Sales"/>
    <s v="KPW/E/115/26-27"/>
    <s v="Sales - Direct Export - Mfg - U/B"/>
    <s v="KPW/E/115/26-27"/>
    <d v="2026-07-29T00:00:00"/>
    <s v="FG"/>
    <s v="FIBC Bags"/>
    <s v="FIBC Bags"/>
    <s v="PP WOVEN BIG BAGS / SACKS"/>
    <s v="FIBC Bags With UV Without Liner"/>
    <n v="835.3"/>
    <n v="159592.4"/>
    <s v="90X90X100_400 BAGS/PALLET"/>
    <n v="0"/>
    <n v="0"/>
    <n v="0"/>
    <n v="0"/>
    <n v="0"/>
    <n v="0"/>
    <n v="0"/>
    <n v="0"/>
    <n v="0"/>
    <n v="0"/>
    <s v="N.A."/>
    <s v="KGS"/>
    <n v="63053200"/>
    <s v="$"/>
    <n v="95.45"/>
    <n v="835.3"/>
    <s v="Spain"/>
    <x v="1"/>
  </r>
  <r>
    <d v="2026-07-29T00:00:00"/>
    <s v="Tecnopacking"/>
    <s v="Export Sales"/>
    <s v="KPW/E/115/26-27"/>
    <s v="Sales - Direct Export - Mfg - U/B"/>
    <s v="KPW/E/115/26-27"/>
    <d v="2026-07-29T00:00:00"/>
    <s v="FG"/>
    <s v="FIBC Bags"/>
    <s v="FIBC Bags"/>
    <s v="PP WOVEN BIG BAGS / SACKS"/>
    <s v="FIBC Bags With UV Without Liner"/>
    <n v="1647"/>
    <n v="325522.68"/>
    <s v="90X90X100_420 BAGS/PALLET"/>
    <n v="0"/>
    <n v="0"/>
    <n v="0"/>
    <n v="0"/>
    <n v="0"/>
    <n v="0"/>
    <n v="0"/>
    <n v="0"/>
    <n v="0"/>
    <n v="0"/>
    <s v="N.A."/>
    <s v="KGS"/>
    <n v="63053200"/>
    <s v="$"/>
    <n v="95.45"/>
    <n v="1647"/>
    <s v="Spain"/>
    <x v="1"/>
  </r>
  <r>
    <d v="2026-07-29T00:00:00"/>
    <s v="Tecnopacking"/>
    <s v="Export Sales"/>
    <s v="KPW/E/115/26-27"/>
    <s v="Sales - Direct Export - Mfg - U/B"/>
    <s v="KPW/E/115/26-27"/>
    <d v="2026-07-29T00:00:00"/>
    <s v="FG"/>
    <s v="FIBC Bags"/>
    <s v="FIBC Bags"/>
    <s v="PP WOVEN BIG BAGS / SACKS"/>
    <s v="FIBC Bags With UV Without Liner"/>
    <n v="1941"/>
    <n v="372255"/>
    <s v="85X85X90_500 BAGS/PALLET"/>
    <n v="0"/>
    <n v="0"/>
    <n v="0"/>
    <n v="0"/>
    <n v="0"/>
    <n v="0"/>
    <n v="0"/>
    <n v="0"/>
    <n v="0"/>
    <n v="0"/>
    <s v="N.A."/>
    <s v="KGS"/>
    <n v="63053200"/>
    <s v="$"/>
    <n v="95.45"/>
    <n v="1941"/>
    <s v="Spain"/>
    <x v="1"/>
  </r>
  <r>
    <d v="2026-07-29T00:00:00"/>
    <s v="Tecnopacking"/>
    <s v="Export Sales"/>
    <s v="KPW/E/117/26-27"/>
    <s v="Sales - Direct Export - Mfg - U/B"/>
    <s v="KPW/E/117/26-27"/>
    <d v="2026-07-29T00:00:00"/>
    <s v="FG"/>
    <s v="FIBC Bags"/>
    <s v="FIBC Bags"/>
    <s v="PP WOVEN BIG BAGS / SACKS"/>
    <s v="FIBC Bags With UV Without Liner"/>
    <n v="9685"/>
    <n v="1844094"/>
    <s v="90X90X90_500 BAGS/PALLET"/>
    <n v="3683606.4"/>
    <n v="0"/>
    <n v="0"/>
    <n v="0"/>
    <n v="0"/>
    <n v="0"/>
    <n v="0"/>
    <n v="0"/>
    <n v="0"/>
    <n v="0"/>
    <s v="N.A."/>
    <s v="KGS"/>
    <n v="63053200"/>
    <s v="$"/>
    <n v="95.45"/>
    <n v="9685"/>
    <s v="Spain"/>
    <x v="1"/>
  </r>
  <r>
    <d v="2026-07-29T00:00:00"/>
    <s v="Tecnopacking"/>
    <s v="Export Sales"/>
    <s v="KPW/E/117/26-27"/>
    <s v="Sales - Direct Export - Mfg - U/B"/>
    <s v="KPW/E/117/26-27"/>
    <d v="2026-07-29T00:00:00"/>
    <s v="FG"/>
    <s v="FIBC Bags"/>
    <s v="FIBC Bags"/>
    <s v="PP WOVEN BIG BAGS / SACKS"/>
    <s v="FIBC Bags With UV Without Liner"/>
    <n v="9735"/>
    <n v="1839512.4000000001"/>
    <s v="80X80X90_550 BAGS/PALLET"/>
    <n v="0"/>
    <n v="0"/>
    <n v="0"/>
    <n v="0"/>
    <n v="0"/>
    <n v="0"/>
    <n v="0"/>
    <n v="0"/>
    <n v="0"/>
    <n v="0"/>
    <s v="N.A."/>
    <s v="KGS"/>
    <n v="63053200"/>
    <s v="$"/>
    <n v="95.45"/>
    <n v="9735"/>
    <s v="Spain"/>
    <x v="1"/>
  </r>
  <r>
    <d v="2026-07-30T00:00:00"/>
    <s v="HCP Plastene Bulkpack Limited - Sales"/>
    <s v="Sales"/>
    <n v="532"/>
    <s v="Sales - Within State  Manufactured Goods"/>
    <s v="KPV/D/532"/>
    <d v="2026-07-30T00:00:00"/>
    <s v="SF"/>
    <s v="Webbing"/>
    <s v="PP Webbing"/>
    <s v="PP WEBBING"/>
    <s v="Webbing"/>
    <n v="92"/>
    <n v="14549.8"/>
    <s v="BLUE"/>
    <n v="274074.02"/>
    <n v="9"/>
    <n v="1309.48"/>
    <n v="9"/>
    <n v="1309.48"/>
    <n v="0"/>
    <n v="0"/>
    <n v="0"/>
    <n v="2618.96"/>
    <n v="0"/>
    <s v="24AABCG1282C2Z6"/>
    <s v="KGS"/>
    <n v="39269080"/>
    <s v="Rs."/>
    <n v="1"/>
    <n v="92"/>
    <s v="India"/>
    <x v="6"/>
  </r>
  <r>
    <d v="2026-07-30T00:00:00"/>
    <s v="HCP Plastene Bulkpack Limited - Sales"/>
    <s v="Sales"/>
    <n v="532"/>
    <s v="Sales - Within State  Manufactured Goods"/>
    <s v="KPV/D/532"/>
    <d v="2026-07-30T00:00:00"/>
    <s v="SF"/>
    <s v="Webbing"/>
    <s v="PP Webbing"/>
    <s v="PP WEBBING"/>
    <s v="Webbing"/>
    <n v="502"/>
    <n v="77885.3"/>
    <s v="MW"/>
    <n v="0"/>
    <n v="9"/>
    <n v="7009.68"/>
    <n v="9"/>
    <n v="7009.68"/>
    <n v="0"/>
    <n v="0"/>
    <n v="0"/>
    <n v="14019.36"/>
    <n v="0"/>
    <s v="24AABCG1282C2Z6"/>
    <s v="KGS"/>
    <n v="39269080"/>
    <s v="Rs."/>
    <n v="1"/>
    <n v="502"/>
    <s v="India"/>
    <x v="6"/>
  </r>
  <r>
    <d v="2026-07-30T00:00:00"/>
    <s v="HCP Plastene Bulkpack Limited - Sales"/>
    <s v="Sales"/>
    <n v="532"/>
    <s v="Sales - Within State  Manufactured Goods"/>
    <s v="KPV/D/532"/>
    <d v="2026-07-30T00:00:00"/>
    <s v="SF"/>
    <s v="Yarn All"/>
    <s v="Polyester Yarn"/>
    <s v="PP MF Yarn"/>
    <s v="Polyester Yarn Twisted"/>
    <n v="132"/>
    <n v="17556"/>
    <s v="."/>
    <n v="0"/>
    <n v="2.5"/>
    <n v="438.9"/>
    <n v="2.5"/>
    <n v="438.9"/>
    <n v="0"/>
    <n v="0"/>
    <n v="0"/>
    <n v="877.8"/>
    <n v="0"/>
    <s v="24AABCG1282C2Z6"/>
    <s v="KGS"/>
    <n v="54026990"/>
    <s v="Rs."/>
    <n v="1"/>
    <n v="132"/>
    <s v="India"/>
    <x v="9"/>
  </r>
  <r>
    <d v="2026-07-30T00:00:00"/>
    <s v="HCP Plastene Bulkpack Limited - Sales"/>
    <s v="Sales"/>
    <n v="532"/>
    <s v="Sales - Within State  Manufactured Goods"/>
    <s v="KPV/D/532"/>
    <d v="2026-07-30T00:00:00"/>
    <s v="SF"/>
    <s v="PP/PE Fabric"/>
    <s v="PP UL Fabric"/>
    <s v="PP WOVEN FABRIC"/>
    <s v="PP UL Fabric With UV"/>
    <n v="772"/>
    <n v="124407.8"/>
    <s v="."/>
    <n v="0"/>
    <n v="9"/>
    <n v="11196.7"/>
    <n v="9"/>
    <n v="11196.7"/>
    <n v="0"/>
    <n v="0"/>
    <n v="0"/>
    <n v="22393.4"/>
    <n v="0"/>
    <s v="24AABCG1282C2Z6"/>
    <s v="KGS"/>
    <n v="39269080"/>
    <s v="Rs."/>
    <n v="1"/>
    <n v="772"/>
    <s v="India"/>
    <x v="3"/>
  </r>
  <r>
    <d v="2026-07-30T00:00:00"/>
    <s v="HCP Plastene Bulkpack Limited - Sales"/>
    <s v="Sales"/>
    <n v="533"/>
    <s v="Sales - Within State - Traded Goods"/>
    <s v="KPV/D/533"/>
    <d v="2026-07-30T00:00:00"/>
    <s v="Stores/Spares"/>
    <s v="MS Structure Items"/>
    <s v="Capital Work in Progress"/>
    <s v="MS PIPE"/>
    <s v="MS Pipe 4  C Class"/>
    <n v="16"/>
    <n v="768"/>
    <s v="."/>
    <n v="905.47"/>
    <n v="9"/>
    <n v="69.12"/>
    <n v="9"/>
    <n v="69.12"/>
    <n v="0"/>
    <n v="0"/>
    <n v="0"/>
    <n v="138.24"/>
    <n v="0"/>
    <s v="24AABCG1282C2Z6"/>
    <s v="KGS"/>
    <n v="73063090"/>
    <s v="Rs."/>
    <n v="1"/>
    <n v="0"/>
    <s v="India"/>
    <x v="4"/>
  </r>
  <r>
    <d v="2026-07-30T00:00:00"/>
    <s v="Hcp Plastene Bulkpack Ltd (Unit Iv) - Sales"/>
    <s v="Sales"/>
    <n v="528"/>
    <s v="Sales - Within State  Manufactured Goods"/>
    <s v="KPV/D/528"/>
    <d v="2026-07-30T00:00:00"/>
    <s v="SF"/>
    <s v="Yarn All"/>
    <s v="PP Yarn"/>
    <s v="PP Tape"/>
    <s v="PP Fibrillated Tape Twisted 3200 Blue"/>
    <n v="432.2"/>
    <n v="66623.63"/>
    <s v="BLUE"/>
    <n v="300684.44"/>
    <n v="2.5"/>
    <n v="1665.59"/>
    <n v="2.5"/>
    <n v="1665.59"/>
    <n v="0"/>
    <n v="0"/>
    <n v="0"/>
    <n v="3331.18"/>
    <n v="0"/>
    <s v="24AABCG1282C2Z6"/>
    <s v="KGS"/>
    <n v="54026930"/>
    <s v="Rs."/>
    <n v="1"/>
    <n v="432.2"/>
    <s v="India"/>
    <x v="0"/>
  </r>
  <r>
    <d v="2026-07-30T00:00:00"/>
    <s v="Hcp Plastene Bulkpack Ltd (Unit Iv) - Sales"/>
    <s v="Sales"/>
    <n v="528"/>
    <s v="Sales - Within State  Manufactured Goods"/>
    <s v="KPV/D/528"/>
    <d v="2026-07-30T00:00:00"/>
    <s v="SF"/>
    <s v="Yarn All"/>
    <s v="PP Yarn"/>
    <s v="PP Tape"/>
    <s v="PP Fibrillated Tape Twisted 3200 MW"/>
    <n v="270"/>
    <n v="40810.5"/>
    <s v="MW"/>
    <n v="0"/>
    <n v="2.5"/>
    <n v="1020.26"/>
    <n v="2.5"/>
    <n v="1020.26"/>
    <n v="0"/>
    <n v="0"/>
    <n v="0"/>
    <n v="2040.52"/>
    <n v="0"/>
    <s v="24AABCG1282C2Z6"/>
    <s v="KGS"/>
    <n v="54026930"/>
    <s v="Rs."/>
    <n v="1"/>
    <n v="270"/>
    <s v="India"/>
    <x v="0"/>
  </r>
  <r>
    <d v="2026-07-30T00:00:00"/>
    <s v="Hcp Plastene Bulkpack Ltd (Unit Iv) - Sales"/>
    <s v="Sales"/>
    <n v="528"/>
    <s v="Sales - Within State  Manufactured Goods"/>
    <s v="KPV/D/528"/>
    <d v="2026-07-30T00:00:00"/>
    <s v="SF"/>
    <s v="PP/PE Fabric"/>
    <s v="PP UL Fabric"/>
    <s v="PP WOVEN FABRIC"/>
    <s v="PP UL Fabric With UV"/>
    <n v="926.2"/>
    <n v="159445.32999999999"/>
    <s v="Sulzer Ventilated_x000d__x000a_ Black"/>
    <n v="0"/>
    <n v="9"/>
    <n v="14350.08"/>
    <n v="9"/>
    <n v="14350.08"/>
    <n v="0"/>
    <n v="0"/>
    <n v="0"/>
    <n v="28700.16"/>
    <n v="0"/>
    <s v="24AABCG1282C2Z6"/>
    <s v="KGS"/>
    <n v="39269080"/>
    <s v="Rs."/>
    <n v="1"/>
    <n v="926.2"/>
    <s v="India"/>
    <x v="3"/>
  </r>
  <r>
    <d v="2026-07-30T00:00:00"/>
    <s v="Hcp Plastene Bulkpack Ltd (Unit Iv) - Sales"/>
    <s v="Sales"/>
    <n v="529"/>
    <s v="Sales - Within State - Traded Goods"/>
    <s v="KPV/D/529"/>
    <d v="2026-07-30T00:00:00"/>
    <s v="Stores/Spares"/>
    <s v="MS Structure Items"/>
    <s v="Capital Work in Progress"/>
    <s v="MS PIPE"/>
    <s v="MS Pipe"/>
    <n v="21"/>
    <n v="1008"/>
    <s v="."/>
    <n v="1188.43"/>
    <n v="9"/>
    <n v="90.72"/>
    <n v="9"/>
    <n v="90.72"/>
    <n v="0"/>
    <n v="0"/>
    <n v="0"/>
    <n v="181.44"/>
    <n v="0"/>
    <s v="24AABCG1282C2Z6"/>
    <s v="KGS"/>
    <n v="73063090"/>
    <s v="Rs."/>
    <n v="1"/>
    <n v="0"/>
    <s v="India"/>
    <x v="4"/>
  </r>
  <r>
    <d v="2026-07-30T00:00:00"/>
    <s v="Hcp Plastene Bulkpack Ltd Vadodara-Sales"/>
    <s v="Sales"/>
    <n v="534"/>
    <s v="Sales - Within State  Manufactured Goods"/>
    <s v="KPV/D/534"/>
    <d v="2026-07-30T00:00:00"/>
    <s v="SF"/>
    <s v="Yarn All"/>
    <s v="PP Yarn"/>
    <s v="Filler code"/>
    <s v="Filler Cord"/>
    <n v="251.2"/>
    <n v="41862.480000000003"/>
    <s v="Filler Cord"/>
    <n v="425154.38"/>
    <n v="2.5"/>
    <n v="1046.56"/>
    <n v="2.5"/>
    <n v="1046.56"/>
    <n v="0"/>
    <n v="0"/>
    <n v="0"/>
    <n v="2093.12"/>
    <n v="0"/>
    <s v="24AABCG1282C2Z6"/>
    <s v="KGS"/>
    <n v="54026930"/>
    <s v="Rs."/>
    <n v="1"/>
    <n v="251.2"/>
    <s v="India"/>
    <x v="0"/>
  </r>
  <r>
    <d v="2026-07-30T00:00:00"/>
    <s v="Hcp Plastene Bulkpack Ltd Vadodara-Sales"/>
    <s v="Sales"/>
    <n v="534"/>
    <s v="Sales - Within State  Manufactured Goods"/>
    <s v="KPV/D/534"/>
    <d v="2026-07-30T00:00:00"/>
    <s v="SF"/>
    <s v="PP/PE Fabric"/>
    <s v="PP Lam Fabric"/>
    <s v="PP LAMINETED FABRIC"/>
    <s v="PP Lam Fabric With UV"/>
    <n v="319"/>
    <n v="50130.85"/>
    <s v="FIBC Fabric Coated (Less Then 90+20 GSM)_x000d__x000a_"/>
    <n v="0"/>
    <n v="9"/>
    <n v="4511.78"/>
    <n v="9"/>
    <n v="4511.78"/>
    <n v="0"/>
    <n v="0"/>
    <n v="0"/>
    <n v="9023.56"/>
    <n v="0"/>
    <s v="24AABCG1282C2Z6"/>
    <s v="KGS"/>
    <n v="39269080"/>
    <s v="Rs."/>
    <n v="1"/>
    <n v="319"/>
    <s v="India"/>
    <x v="5"/>
  </r>
  <r>
    <d v="2026-07-30T00:00:00"/>
    <s v="Hcp Plastene Bulkpack Ltd Vadodara-Sales"/>
    <s v="Sales"/>
    <n v="534"/>
    <s v="Sales - Within State  Manufactured Goods"/>
    <s v="KPV/D/534"/>
    <d v="2026-07-30T00:00:00"/>
    <s v="SF"/>
    <s v="PP/PE Fabric"/>
    <s v="PP Lam Fabric"/>
    <s v="PP LAMINETED FABRIC"/>
    <s v="PP Lam Fabric With UV"/>
    <n v="108.5"/>
    <n v="19546.28"/>
    <s v="Conductive Fabric-FIBC Heavy GSM (More then 90 GSM Total)_x000d__x000a_"/>
    <n v="0"/>
    <n v="9"/>
    <n v="1759.17"/>
    <n v="9"/>
    <n v="1759.17"/>
    <n v="0"/>
    <n v="0"/>
    <n v="0"/>
    <n v="3518.34"/>
    <n v="0"/>
    <s v="24AABCG1282C2Z6"/>
    <s v="KGS"/>
    <n v="39269080"/>
    <s v="Rs."/>
    <n v="1"/>
    <n v="108.5"/>
    <s v="India"/>
    <x v="5"/>
  </r>
  <r>
    <d v="2026-07-30T00:00:00"/>
    <s v="Hcp Plastene Bulkpack Ltd Vadodara-Sales"/>
    <s v="Sales"/>
    <n v="534"/>
    <s v="Sales - Within State  Manufactured Goods"/>
    <s v="KPV/D/534"/>
    <d v="2026-07-30T00:00:00"/>
    <s v="SF"/>
    <s v="Webbing"/>
    <s v="PP Webbing"/>
    <s v="PP WEBBING"/>
    <s v="Webbing"/>
    <n v="1008"/>
    <n v="159415.20000000001"/>
    <s v="Webbing COLOR"/>
    <n v="0"/>
    <n v="9"/>
    <n v="14347.37"/>
    <n v="9"/>
    <n v="14347.37"/>
    <n v="0"/>
    <n v="0"/>
    <n v="0"/>
    <n v="28694.74"/>
    <n v="0"/>
    <s v="24AABCG1282C2Z6"/>
    <s v="KGS"/>
    <n v="39269080"/>
    <s v="Rs."/>
    <n v="1"/>
    <n v="1008"/>
    <s v="India"/>
    <x v="6"/>
  </r>
  <r>
    <d v="2026-07-30T00:00:00"/>
    <s v="Hcp Plastene Bulkpack Ltd Vadodara-Sales"/>
    <s v="Sales"/>
    <n v="534"/>
    <s v="Sales - Within State  Manufactured Goods"/>
    <s v="KPV/D/534"/>
    <d v="2026-07-30T00:00:00"/>
    <s v="SF"/>
    <s v="Yarn All"/>
    <s v="PP Yarn"/>
    <s v="PP Tape"/>
    <s v="PP Fibrillated Tape Twisted 3200 Blue"/>
    <n v="300"/>
    <n v="46245"/>
    <s v="BLUE"/>
    <n v="0"/>
    <n v="2.5"/>
    <n v="1156.1199999999999"/>
    <n v="2.5"/>
    <n v="1156.1199999999999"/>
    <n v="0"/>
    <n v="0"/>
    <n v="0"/>
    <n v="2312.2399999999998"/>
    <n v="0"/>
    <s v="24AABCG1282C2Z6"/>
    <s v="KGS"/>
    <n v="54026930"/>
    <s v="Rs."/>
    <n v="1"/>
    <n v="300"/>
    <s v="India"/>
    <x v="0"/>
  </r>
  <r>
    <d v="2026-07-30T00:00:00"/>
    <s v="Hcp Plastene Bulkpack Ltd Vadodara-Sales"/>
    <s v="Sales"/>
    <n v="534"/>
    <s v="Sales - Within State  Manufactured Goods"/>
    <s v="KPV/D/534"/>
    <d v="2026-07-30T00:00:00"/>
    <s v="SF"/>
    <s v="Yarn All"/>
    <s v="PP Yarn"/>
    <s v="PP Tape"/>
    <s v="PP Fibrillated Tape Twisted 3200 MW"/>
    <n v="395"/>
    <n v="59704.25"/>
    <s v="MW"/>
    <n v="0"/>
    <n v="2.5"/>
    <n v="1492.61"/>
    <n v="2.5"/>
    <n v="1492.61"/>
    <n v="0"/>
    <n v="0"/>
    <n v="0"/>
    <n v="2985.22"/>
    <n v="0"/>
    <s v="24AABCG1282C2Z6"/>
    <s v="KGS"/>
    <n v="54026930"/>
    <s v="Rs."/>
    <n v="1"/>
    <n v="395"/>
    <s v="India"/>
    <x v="0"/>
  </r>
  <r>
    <d v="2026-07-30T00:00:00"/>
    <s v="Hcp Plastene Bulkpack Ltd Vadodara-Sales"/>
    <s v="Sales"/>
    <n v="536"/>
    <s v="Sales - Within State - Traded Goods"/>
    <s v="KPV/D/536"/>
    <d v="2026-07-30T00:00:00"/>
    <s v="Stores/Spares"/>
    <s v="MS Structure Items"/>
    <s v="Capital Work in Progress"/>
    <s v="MS PIPE"/>
    <s v="MS Pipe"/>
    <n v="25"/>
    <n v="1200"/>
    <s v="."/>
    <n v="1414.8"/>
    <n v="9"/>
    <n v="108"/>
    <n v="9"/>
    <n v="108"/>
    <n v="0"/>
    <n v="0"/>
    <n v="0"/>
    <n v="216"/>
    <n v="0"/>
    <s v="24AABCG1282C2Z6"/>
    <s v="KGS"/>
    <n v="73063090"/>
    <s v="Rs."/>
    <n v="1"/>
    <n v="0"/>
    <s v="India"/>
    <x v="4"/>
  </r>
  <r>
    <d v="2026-07-30T00:00:00"/>
    <s v="Plastene India ltd - Unit 1-Sales"/>
    <s v="Sales"/>
    <n v="527"/>
    <s v="Sales - Within State  Manufactured Goods"/>
    <s v="KPV/D/527"/>
    <d v="2026-07-30T00:00:00"/>
    <s v="SF"/>
    <s v="Yarn All"/>
    <s v="PP Yarn"/>
    <s v="PP Tape"/>
    <s v="PP Fibrillated Tape Twisted 3200 MW"/>
    <n v="930.5"/>
    <n v="140645.07999999999"/>
    <s v="MW"/>
    <n v="165820.54999999999"/>
    <n v="9"/>
    <n v="12658.06"/>
    <n v="9"/>
    <n v="12658.06"/>
    <n v="0"/>
    <n v="0"/>
    <n v="0"/>
    <n v="25316.12"/>
    <n v="0"/>
    <s v="24AAACO3087C1ZT"/>
    <s v="KGS"/>
    <n v="39199090"/>
    <s v="Rs."/>
    <n v="1"/>
    <n v="930.5"/>
    <s v="India"/>
    <x v="0"/>
  </r>
  <r>
    <d v="2026-07-30T00:00:00"/>
    <s v="Plastene India ltd - Unit 1-Sales"/>
    <s v="Sales"/>
    <n v="530"/>
    <s v="Sales - Within State  Manufactured Goods"/>
    <s v="KPV/D/530"/>
    <d v="2026-07-30T00:00:00"/>
    <s v="FG"/>
    <s v="FIBC Bags"/>
    <s v="FIBC Bags"/>
    <s v="PP WOVEN BIG BAGS / SACKS"/>
    <s v="FIBC Bags With UV Without Liner"/>
    <n v="3530.1"/>
    <n v="1884190.88"/>
    <s v="26.19438/ips-414156typeD-1"/>
    <n v="2221461.0499999998"/>
    <n v="9"/>
    <n v="169577.18"/>
    <n v="9"/>
    <n v="169577.18"/>
    <n v="0"/>
    <n v="0"/>
    <n v="0"/>
    <n v="339154.36"/>
    <n v="0"/>
    <s v="24AAACO3087C1ZT"/>
    <s v="KGS"/>
    <n v="63053200"/>
    <s v="Rs."/>
    <n v="1"/>
    <n v="3530.1"/>
    <s v="India"/>
    <x v="1"/>
  </r>
  <r>
    <d v="2026-07-30T00:00:00"/>
    <s v="Plastene India ltd - Unit 2-Sales"/>
    <s v="Sales"/>
    <n v="526"/>
    <s v="Sales - Within State  Manufactured Goods"/>
    <s v="KPV/D/526"/>
    <d v="2026-07-30T00:00:00"/>
    <s v="SF"/>
    <s v="Yarn All"/>
    <s v="PP Yarn"/>
    <s v="PP Tape"/>
    <s v="PP Fibrillated Tape Twisted 3200 Blue"/>
    <n v="707"/>
    <n v="108984.05"/>
    <s v="BLUE"/>
    <n v="308000.84000000003"/>
    <n v="2.5"/>
    <n v="2724.6"/>
    <n v="2.5"/>
    <n v="2724.6"/>
    <n v="0"/>
    <n v="0"/>
    <n v="0"/>
    <n v="5449.2"/>
    <n v="0"/>
    <s v="24AAACO3087C1ZT"/>
    <s v="KGS"/>
    <n v="54026930"/>
    <s v="Rs."/>
    <n v="1"/>
    <n v="707"/>
    <s v="India"/>
    <x v="0"/>
  </r>
  <r>
    <d v="2026-07-30T00:00:00"/>
    <s v="Plastene India ltd - Unit 2-Sales"/>
    <s v="Sales"/>
    <n v="526"/>
    <s v="Sales - Within State  Manufactured Goods"/>
    <s v="KPV/D/526"/>
    <d v="2026-07-30T00:00:00"/>
    <s v="SF"/>
    <s v="Yarn All"/>
    <s v="PP Yarn"/>
    <s v="PP Tape"/>
    <s v="PP Fibrillated Tape Twisted 3200 MW"/>
    <n v="1221.5"/>
    <n v="184629.72"/>
    <s v="MW"/>
    <n v="0"/>
    <n v="2.5"/>
    <n v="4615.74"/>
    <n v="2.5"/>
    <n v="4615.74"/>
    <n v="0"/>
    <n v="0"/>
    <n v="0"/>
    <n v="9231.48"/>
    <n v="0"/>
    <s v="24AAACO3087C1ZT"/>
    <s v="KGS"/>
    <n v="54026930"/>
    <s v="Rs."/>
    <n v="1"/>
    <n v="1221.5"/>
    <s v="India"/>
    <x v="0"/>
  </r>
  <r>
    <d v="2026-07-30T00:00:00"/>
    <s v="Plastene India ltd - Unit 2-Sales"/>
    <s v="Sales"/>
    <n v="531"/>
    <s v="Sales - Within State  Manufactured Goods"/>
    <s v="KPV/D/531"/>
    <d v="2026-07-30T00:00:00"/>
    <s v="FG"/>
    <s v="FIBC Bags"/>
    <s v="FIBC Bags"/>
    <s v="PP WOVEN BIG BAGS / SACKS"/>
    <s v="FIBC Bags With UV Without Liner"/>
    <n v="1589"/>
    <n v="398680.1"/>
    <s v="20BB-2026-PL-010/RCV145Q"/>
    <n v="1245187.22"/>
    <n v="9"/>
    <n v="35881.21"/>
    <n v="9"/>
    <n v="35881.21"/>
    <n v="0"/>
    <n v="0"/>
    <n v="0"/>
    <n v="71762.42"/>
    <n v="0"/>
    <s v="24AAACO3087C1ZT"/>
    <s v="KGS"/>
    <n v="63053200"/>
    <s v="Rs."/>
    <n v="1"/>
    <n v="1589"/>
    <s v="India"/>
    <x v="1"/>
  </r>
  <r>
    <d v="2026-07-30T00:00:00"/>
    <s v="Plastene India ltd - Unit 2-Sales"/>
    <s v="Sales"/>
    <n v="531"/>
    <s v="Sales - Within State  Manufactured Goods"/>
    <s v="KPV/D/531"/>
    <d v="2026-07-30T00:00:00"/>
    <s v="FG"/>
    <s v="FIBC Bags"/>
    <s v="FIBC Bags"/>
    <s v="PP WOVEN BIG BAGS / SACKS"/>
    <s v="FIBC Bags With UV Without Liner"/>
    <n v="2541"/>
    <n v="657458.34"/>
    <s v="PO342/HU0240"/>
    <n v="0"/>
    <n v="9"/>
    <n v="59171.25"/>
    <n v="9"/>
    <n v="59171.25"/>
    <n v="0"/>
    <n v="0"/>
    <n v="0"/>
    <n v="118342.5"/>
    <n v="0"/>
    <s v="24AAACO3087C1ZT"/>
    <s v="KGS"/>
    <n v="63053200"/>
    <s v="Rs."/>
    <n v="1"/>
    <n v="2541"/>
    <s v="India"/>
    <x v="1"/>
  </r>
  <r>
    <d v="2026-07-30T00:00:00"/>
    <s v="Shree Bahuchar Trading Company"/>
    <s v="Sales"/>
    <n v="525"/>
    <s v="Sales - Waste &amp; Scrape"/>
    <s v="KPV/D/525"/>
    <d v="2026-07-30T00:00:00"/>
    <s v="SF"/>
    <s v="Wastage/Scrap"/>
    <s v="Wastage/Scrap"/>
    <s v="Waste"/>
    <s v="PP/HD Wastage/Scrap"/>
    <n v="1880"/>
    <n v="41360"/>
    <s v="EMPTY INDOTHIN BAG"/>
    <n v="49780.9"/>
    <n v="9"/>
    <n v="3722.4"/>
    <n v="9"/>
    <n v="3722.4"/>
    <n v="0"/>
    <n v="0"/>
    <n v="0"/>
    <n v="7444.8"/>
    <n v="976.1"/>
    <s v="24BIOPD0858C1ZK"/>
    <s v="KGS"/>
    <n v="39159029"/>
    <s v="Rs."/>
    <n v="1"/>
    <n v="1880"/>
    <s v="India"/>
    <x v="11"/>
  </r>
  <r>
    <d v="2026-07-31T00:00:00"/>
    <s v="Bulk Lift International LLC"/>
    <s v="Export Sales"/>
    <s v="KPW/E/119/26-27"/>
    <s v="Sales - Direct Export - Mfg - U/B"/>
    <s v="KPW/E/119/26-27"/>
    <d v="2026-07-31T00:00:00"/>
    <s v="FG"/>
    <s v="FIBC Bags"/>
    <s v="FIBC Bags"/>
    <s v="PP WOVEN BIG BAGS / SACKS"/>
    <s v="FIBC Bags With UV With Liner"/>
    <n v="18342.2"/>
    <n v="5724709.2000000002"/>
    <s v="89X89X104_150 Bags/Pallet"/>
    <n v="5724709.2000000002"/>
    <n v="0"/>
    <n v="0"/>
    <n v="0"/>
    <n v="0"/>
    <n v="0"/>
    <n v="0"/>
    <n v="0"/>
    <n v="0"/>
    <n v="0"/>
    <s v="N.A."/>
    <s v="KGS"/>
    <n v="63053200"/>
    <s v="$"/>
    <n v="95.45"/>
    <n v="18342.2"/>
    <s v="USA"/>
    <x v="1"/>
  </r>
  <r>
    <d v="2026-07-31T00:00:00"/>
    <s v="Flexochem Ventures Private Limited"/>
    <s v="Sales"/>
    <n v="537"/>
    <s v="Sales - Within State  Manufactured Goods"/>
    <s v="KPV/D/537"/>
    <d v="2026-07-31T00:00:00"/>
    <s v="FG"/>
    <s v="FIBC Bags"/>
    <s v="FIBC Bags"/>
    <s v="PP WOVEN BIG BAGS / SACKS"/>
    <s v="FIBC Bags With UV Without Liner"/>
    <n v="3569"/>
    <n v="900000"/>
    <s v="FVPL/PO/2026-00144"/>
    <n v="1062000"/>
    <n v="9"/>
    <n v="81000"/>
    <n v="9"/>
    <n v="81000"/>
    <n v="0"/>
    <n v="0"/>
    <n v="0"/>
    <n v="162000"/>
    <n v="0"/>
    <s v="24AAFCF0504J1Z2"/>
    <s v="KGS"/>
    <n v="63053200"/>
    <s v="Rs."/>
    <n v="1"/>
    <n v="3569"/>
    <s v="India"/>
    <x v="1"/>
  </r>
  <r>
    <d v="2026-07-31T00:00:00"/>
    <s v="HCP Plastene Bulkpack Limited - Sales"/>
    <s v="Sales"/>
    <n v="538"/>
    <s v="Sales - Within State - Traded Goods"/>
    <s v="KPV/D/538"/>
    <d v="2026-07-31T00:00:00"/>
    <s v="Stores/Spares"/>
    <s v="MS Structure Items"/>
    <s v="Capital Work in Progress"/>
    <s v="MS PIPE"/>
    <s v="MS Pipe 4  C Class"/>
    <n v="1040"/>
    <n v="49920"/>
    <s v="."/>
    <n v="58855.68"/>
    <n v="9"/>
    <n v="4492.8"/>
    <n v="9"/>
    <n v="4492.8"/>
    <n v="0"/>
    <n v="0"/>
    <n v="0"/>
    <n v="8985.6"/>
    <n v="0"/>
    <s v="24AABCG1282C2Z6"/>
    <s v="KGS"/>
    <n v="73063090"/>
    <s v="Rs."/>
    <n v="1"/>
    <n v="0"/>
    <s v="India"/>
    <x v="4"/>
  </r>
  <r>
    <d v="2026-07-31T00:00:00"/>
    <s v="SAS Emballage Industrie Concept - Bazelle"/>
    <s v="Export Sales"/>
    <s v="KPW/E/118/26-27"/>
    <s v="Sales - Direct Export - Mfg - U/B"/>
    <s v="KPW/E/118/26-27"/>
    <d v="2026-07-31T00:00:00"/>
    <s v="FG"/>
    <s v="FIBC Bags"/>
    <s v="FIBC Bags"/>
    <s v="PP WOVEN BIG BAGS / SACKS"/>
    <s v="FIBC Bags With UV Without Liner"/>
    <n v="7822"/>
    <n v="1451794.5"/>
    <s v="95X95X110_325 Bags/Pallet"/>
    <n v="3928245.7"/>
    <n v="0"/>
    <n v="0"/>
    <n v="0"/>
    <n v="0"/>
    <n v="0"/>
    <n v="0"/>
    <n v="0"/>
    <n v="0"/>
    <n v="0"/>
    <s v="N.A."/>
    <s v="KGS"/>
    <n v="63053200"/>
    <s v="$"/>
    <n v="95.45"/>
    <n v="7822"/>
    <s v="France"/>
    <x v="1"/>
  </r>
  <r>
    <d v="2026-07-31T00:00:00"/>
    <s v="SAS Emballage Industrie Concept - Bazelle"/>
    <s v="Export Sales"/>
    <s v="KPW/E/118/26-27"/>
    <s v="Sales - Direct Export - Mfg - U/B"/>
    <s v="KPW/E/118/26-27"/>
    <d v="2026-07-31T00:00:00"/>
    <s v="FG"/>
    <s v="FIBC Bags"/>
    <s v="FIBC Bags"/>
    <s v="PP WOVEN BIG BAGS / SACKS"/>
    <s v="FIBC Bags With UV Without Liner"/>
    <n v="2433"/>
    <n v="570409.20000000007"/>
    <s v="105X105X175_150 Bags/Pallet"/>
    <n v="0"/>
    <n v="0"/>
    <n v="0"/>
    <n v="0"/>
    <n v="0"/>
    <n v="0"/>
    <n v="0"/>
    <n v="0"/>
    <n v="0"/>
    <n v="0"/>
    <s v="N.A."/>
    <s v="KGS"/>
    <n v="63053200"/>
    <s v="$"/>
    <n v="95.45"/>
    <n v="2433"/>
    <s v="France"/>
    <x v="1"/>
  </r>
  <r>
    <d v="2026-07-31T00:00:00"/>
    <s v="SAS Emballage Industrie Concept - Bazelle"/>
    <s v="Export Sales"/>
    <s v="KPW/E/118/26-27"/>
    <s v="Sales - Direct Export - Mfg - U/B"/>
    <s v="KPW/E/118/26-27"/>
    <d v="2026-07-31T00:00:00"/>
    <s v="FG"/>
    <s v="FIBC Bags"/>
    <s v="FIBC Bags"/>
    <s v="PP WOVEN BIG BAGS / SACKS"/>
    <s v="FIBC Bags With UV Without Liner"/>
    <n v="10325"/>
    <n v="1935726"/>
    <s v="95X95X110_325 Bags/Pallet"/>
    <n v="0"/>
    <n v="0"/>
    <n v="0"/>
    <n v="0"/>
    <n v="0"/>
    <n v="0"/>
    <n v="0"/>
    <n v="0"/>
    <n v="0"/>
    <n v="0"/>
    <s v="N.A."/>
    <s v="KGS"/>
    <n v="63053200"/>
    <s v="$"/>
    <n v="95.45"/>
    <n v="10325"/>
    <s v="France"/>
    <x v="1"/>
  </r>
  <r>
    <m/>
    <m/>
    <m/>
    <m/>
    <m/>
    <m/>
    <m/>
    <m/>
    <m/>
    <m/>
    <m/>
    <m/>
    <n v="1370229.25"/>
    <n v="249362390.43000001"/>
    <m/>
    <n v="270533277.75"/>
    <m/>
    <n v="10164522.66"/>
    <m/>
    <n v="10164522.66"/>
    <m/>
    <n v="8410553.2200000007"/>
    <n v="122500.38"/>
    <n v="28862098.920000002"/>
    <n v="18850.02"/>
    <m/>
    <m/>
    <m/>
    <m/>
    <m/>
    <m/>
    <m/>
    <x v="14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d v="2026-07-01T00:00:00"/>
    <s v="KPV/26-27/SII01166"/>
    <s v="WIP00023"/>
    <s v="PP UL Fabric With UV"/>
    <s v="No Subcode"/>
    <s v="No PO"/>
    <n v="0"/>
    <n v="569"/>
    <s v="Kgs"/>
    <n v="569"/>
    <n v="0"/>
    <n v="569"/>
    <s v="GJ16Z8614"/>
    <s v="Plastene India ltd - Unit 1-Purchase"/>
    <s v="Plastene India ltd - Unit 1-Purchase"/>
    <s v="PIL1/SC/104"/>
    <d v="2026-06-30T00:00:00"/>
    <s v="JOB IN"/>
    <s v="SELF"/>
    <s v="JBIN-SE 114"/>
    <n v="31"/>
    <n v="0"/>
    <s v="PIL1/SC/104"/>
    <d v="2026-06-30T00:00:00"/>
    <s v="CROSS CORNER FABRIC COLOR HQS 1 ROLL"/>
    <s v="PP Woven Fabrics,"/>
    <m/>
    <s v="PATEL  TRANSPORT."/>
    <n v="3906"/>
    <n v="0"/>
    <n v="0"/>
    <n v="0"/>
    <n v="0"/>
    <n v="0"/>
    <s v="VAT"/>
    <n v="0"/>
    <n v="0"/>
    <n v="0"/>
    <n v="0"/>
    <n v="0"/>
    <m/>
    <n v="-249676.4"/>
    <n v="0"/>
    <n v="0"/>
    <s v="SF"/>
    <s v="PP/PE Fabric"/>
    <s v="PP UL Fabric"/>
    <s v="SF"/>
    <s v="erp"/>
    <n v="0"/>
    <n v="0"/>
    <s v="R-361"/>
    <d v="2026-07-01T00:00:00"/>
    <s v="24AAACO3087C1ZT"/>
    <s v="kpstore"/>
    <m/>
    <n v="0"/>
    <n v="0"/>
    <n v="0"/>
    <n v="0"/>
    <n v="0"/>
    <n v="0"/>
    <n v="0"/>
    <n v="602137742244"/>
    <d v="2026-06-30T15:45:00"/>
    <n v="569"/>
    <x v="0"/>
    <n v="0"/>
  </r>
  <r>
    <d v="2026-07-01T00:00:00"/>
    <s v="KPV/26-27/SII01166"/>
    <s v="WIP00023"/>
    <s v="PP UL Fabric With UV"/>
    <s v="No Subcode"/>
    <s v="No PO"/>
    <n v="0"/>
    <n v="638"/>
    <s v="Kgs"/>
    <n v="638"/>
    <n v="0"/>
    <n v="638"/>
    <s v="GJ16Z8614"/>
    <s v="Plastene India ltd - Unit 1-Purchase"/>
    <s v="Plastene India ltd - Unit 1-Purchase"/>
    <s v="PIL1/SC/104"/>
    <d v="2026-06-30T00:00:00"/>
    <s v="JOB IN"/>
    <s v="SELF"/>
    <s v="JBIN-SE 114"/>
    <n v="25"/>
    <n v="0"/>
    <s v="PIL1/SC/104"/>
    <d v="2026-06-30T00:00:00"/>
    <s v="CROSS CORNER FABRIC  1 ROLL"/>
    <s v="PP Woven Fabrics,"/>
    <m/>
    <s v="PATEL  TRANSPORT."/>
    <n v="3906"/>
    <n v="0"/>
    <n v="0"/>
    <n v="0"/>
    <n v="0"/>
    <n v="0"/>
    <s v="VAT"/>
    <n v="0"/>
    <n v="0"/>
    <n v="0"/>
    <n v="0"/>
    <n v="0"/>
    <m/>
    <n v="-249676.4"/>
    <n v="0"/>
    <n v="0"/>
    <s v="SF"/>
    <s v="PP/PE Fabric"/>
    <s v="PP UL Fabric"/>
    <s v="SF"/>
    <s v="erp"/>
    <n v="0"/>
    <n v="0"/>
    <s v="R-361"/>
    <d v="2026-07-01T00:00:00"/>
    <s v="24AAACO3087C1ZT"/>
    <s v="kpstore"/>
    <m/>
    <n v="0"/>
    <n v="0"/>
    <n v="0"/>
    <n v="0"/>
    <n v="0"/>
    <n v="0"/>
    <n v="0"/>
    <n v="602137742244"/>
    <d v="2026-06-30T15:45:00"/>
    <n v="638"/>
    <x v="0"/>
    <n v="0"/>
  </r>
  <r>
    <d v="2026-07-01T00:00:00"/>
    <s v="KPV/26-27/SII01166"/>
    <s v="WIP00023"/>
    <s v="PP UL Fabric With UV"/>
    <s v="No Subcode"/>
    <s v="No PO"/>
    <n v="0"/>
    <n v="1367"/>
    <s v="Kgs"/>
    <n v="1367"/>
    <n v="0"/>
    <n v="1367"/>
    <s v="GJ16Z8614"/>
    <s v="Plastene India ltd - Unit 1-Purchase"/>
    <s v="Plastene India ltd - Unit 1-Purchase"/>
    <s v="PIL1/SC/104"/>
    <d v="2026-06-30T00:00:00"/>
    <s v="JOB IN"/>
    <s v="SELF"/>
    <s v="JBIN-SE 114"/>
    <n v="28"/>
    <n v="0"/>
    <s v="PIL1/SC/104"/>
    <d v="2026-06-30T00:00:00"/>
    <s v="CROSS CORNER FABRIC  HQS 2 ROLL"/>
    <s v="PP Woven Fabrics,"/>
    <m/>
    <s v="PATEL  TRANSPORT."/>
    <n v="3906"/>
    <n v="0"/>
    <n v="0"/>
    <n v="0"/>
    <n v="0"/>
    <n v="0"/>
    <s v="VAT"/>
    <n v="0"/>
    <n v="0"/>
    <n v="0"/>
    <n v="0"/>
    <n v="0"/>
    <m/>
    <n v="-249676.4"/>
    <n v="0"/>
    <n v="0"/>
    <s v="SF"/>
    <s v="PP/PE Fabric"/>
    <s v="PP UL Fabric"/>
    <s v="SF"/>
    <s v="erp"/>
    <n v="0"/>
    <n v="0"/>
    <s v="R-361"/>
    <d v="2026-07-01T00:00:00"/>
    <s v="24AAACO3087C1ZT"/>
    <s v="kpstore"/>
    <m/>
    <n v="0"/>
    <n v="0"/>
    <n v="0"/>
    <n v="0"/>
    <n v="0"/>
    <n v="0"/>
    <n v="0"/>
    <n v="602137742244"/>
    <d v="2026-06-30T15:45:00"/>
    <n v="1367"/>
    <x v="0"/>
    <n v="0"/>
  </r>
  <r>
    <d v="2026-07-01T00:00:00"/>
    <s v="KPV/26-27/SII01166"/>
    <s v="WIP00023"/>
    <s v="PP UL Fabric With UV"/>
    <s v="No Subcode"/>
    <s v="No PO"/>
    <n v="0"/>
    <n v="355"/>
    <s v="Kgs"/>
    <n v="355"/>
    <n v="0"/>
    <n v="355"/>
    <s v="GJ16Z8614"/>
    <s v="Plastene India ltd - Unit 1-Purchase"/>
    <s v="Plastene India ltd - Unit 1-Purchase"/>
    <s v="PIL1/SC/104"/>
    <d v="2026-06-30T00:00:00"/>
    <s v="JOB IN"/>
    <s v="SELF"/>
    <s v="JBIN-SE 114"/>
    <n v="26"/>
    <n v="0"/>
    <s v="PIL1/SC/104"/>
    <d v="2026-06-30T00:00:00"/>
    <s v="MORE THEN 90GSM HQS 1 ROLL"/>
    <s v="PP Woven Fabrics,"/>
    <m/>
    <s v="PATEL  TRANSPORT."/>
    <n v="3906"/>
    <n v="0"/>
    <n v="0"/>
    <n v="0"/>
    <n v="0"/>
    <n v="0"/>
    <s v="VAT"/>
    <n v="0"/>
    <n v="0"/>
    <n v="0"/>
    <n v="0"/>
    <n v="0"/>
    <m/>
    <n v="-249676.4"/>
    <n v="0"/>
    <n v="0"/>
    <s v="SF"/>
    <s v="PP/PE Fabric"/>
    <s v="PP UL Fabric"/>
    <s v="SF"/>
    <s v="erp"/>
    <n v="0"/>
    <n v="0"/>
    <s v="R-361"/>
    <d v="2026-07-01T00:00:00"/>
    <s v="24AAACO3087C1ZT"/>
    <s v="kpstore"/>
    <m/>
    <n v="0"/>
    <n v="0"/>
    <n v="0"/>
    <n v="0"/>
    <n v="0"/>
    <n v="0"/>
    <n v="0"/>
    <n v="602137742244"/>
    <d v="2026-06-30T15:45:00"/>
    <n v="355"/>
    <x v="0"/>
    <n v="0"/>
  </r>
  <r>
    <d v="2026-07-01T00:00:00"/>
    <s v="KPV/26-27/SII01166"/>
    <s v="WIP00023"/>
    <s v="PP UL Fabric With UV"/>
    <s v="No Subcode"/>
    <s v="No PO"/>
    <n v="0"/>
    <n v="441"/>
    <s v="Kgs"/>
    <n v="441"/>
    <n v="0"/>
    <n v="441"/>
    <s v="GJ16Z8614"/>
    <s v="Plastene India ltd - Unit 1-Purchase"/>
    <s v="Plastene India ltd - Unit 1-Purchase"/>
    <s v="PIL1/SC/104"/>
    <d v="2026-06-30T00:00:00"/>
    <s v="JOB IN"/>
    <s v="SELF"/>
    <s v="JBIN-SE 114"/>
    <n v="20"/>
    <n v="0"/>
    <s v="PIL1/SC/104"/>
    <d v="2026-06-30T00:00:00"/>
    <s v="MORE THEN 90GSM MW 2 ROLL"/>
    <s v="PP Woven Fabrics,"/>
    <m/>
    <s v="PATEL  TRANSPORT."/>
    <n v="3906"/>
    <n v="0"/>
    <n v="0"/>
    <n v="0"/>
    <n v="0"/>
    <n v="0"/>
    <s v="VAT"/>
    <n v="0"/>
    <n v="0"/>
    <n v="0"/>
    <n v="0"/>
    <n v="0"/>
    <m/>
    <n v="-249676.4"/>
    <n v="0"/>
    <n v="0"/>
    <s v="SF"/>
    <s v="PP/PE Fabric"/>
    <s v="PP UL Fabric"/>
    <s v="SF"/>
    <s v="erp"/>
    <n v="0"/>
    <n v="0"/>
    <s v="R-361"/>
    <d v="2026-07-01T00:00:00"/>
    <s v="24AAACO3087C1ZT"/>
    <s v="kpstore"/>
    <m/>
    <n v="0"/>
    <n v="0"/>
    <n v="0"/>
    <n v="0"/>
    <n v="0"/>
    <n v="0"/>
    <n v="0"/>
    <n v="602137742244"/>
    <d v="2026-06-30T15:45:00"/>
    <n v="441"/>
    <x v="0"/>
    <n v="0"/>
  </r>
  <r>
    <d v="2026-07-01T00:00:00"/>
    <s v="KPV/26-27/SII01166"/>
    <s v="WIP00023"/>
    <s v="PP UL Fabric With UV"/>
    <s v="No Subcode"/>
    <s v="No PO"/>
    <n v="0"/>
    <n v="1241"/>
    <s v="Kgs"/>
    <n v="1241"/>
    <n v="0"/>
    <n v="1241"/>
    <s v="GJ16Z8614"/>
    <s v="Plastene India ltd - Unit 1-Purchase"/>
    <s v="Plastene India ltd - Unit 1-Purchase"/>
    <s v="PIL1/SC/104"/>
    <d v="2026-06-30T00:00:00"/>
    <s v="JOB IN"/>
    <s v="SELF"/>
    <s v="JBIN-SE 114"/>
    <n v="23"/>
    <n v="0"/>
    <s v="PIL1/SC/104"/>
    <d v="2026-06-30T00:00:00"/>
    <s v="MORE THEN 90GSM MW HQS 4 ROLL"/>
    <s v="PP Woven Fabrics,"/>
    <m/>
    <s v="PATEL  TRANSPORT."/>
    <n v="3906"/>
    <n v="0"/>
    <n v="0"/>
    <n v="0"/>
    <n v="0"/>
    <n v="0"/>
    <s v="VAT"/>
    <n v="0"/>
    <n v="0"/>
    <n v="0"/>
    <n v="0"/>
    <n v="0"/>
    <m/>
    <n v="-249676.4"/>
    <n v="0"/>
    <n v="0"/>
    <s v="SF"/>
    <s v="PP/PE Fabric"/>
    <s v="PP UL Fabric"/>
    <s v="SF"/>
    <s v="erp"/>
    <n v="0"/>
    <n v="0"/>
    <s v="R-361"/>
    <d v="2026-07-01T00:00:00"/>
    <s v="24AAACO3087C1ZT"/>
    <s v="kpstore"/>
    <m/>
    <n v="0"/>
    <n v="0"/>
    <n v="0"/>
    <n v="0"/>
    <n v="0"/>
    <n v="0"/>
    <n v="0"/>
    <n v="602137742244"/>
    <d v="2026-06-30T15:45:00"/>
    <n v="1241"/>
    <x v="0"/>
    <n v="0"/>
  </r>
  <r>
    <d v="2026-07-01T00:00:00"/>
    <s v="KPV/26-27/SII01166"/>
    <s v="WIP00023"/>
    <s v="PP UL Fabric With UV"/>
    <s v="No Subcode"/>
    <s v="No PO"/>
    <n v="0"/>
    <n v="900"/>
    <s v="Kgs"/>
    <n v="900"/>
    <n v="0"/>
    <n v="900"/>
    <s v="GJ16Z8614"/>
    <s v="Plastene India ltd - Unit 1-Purchase"/>
    <s v="Plastene India ltd - Unit 1-Purchase"/>
    <s v="PIL1/SC/104"/>
    <d v="2026-06-30T00:00:00"/>
    <s v="JOB IN"/>
    <s v="SELF"/>
    <s v="JBIN-SE 114"/>
    <n v="47"/>
    <n v="0"/>
    <s v="PIL1/SC/104"/>
    <d v="2026-06-30T00:00:00"/>
    <s v="MORE THEN 90GSM MW HQS CONDUCTIVE  3 ROLL"/>
    <s v="PP Woven Fabrics,"/>
    <m/>
    <s v="PATEL  TRANSPORT."/>
    <n v="3906"/>
    <n v="0"/>
    <n v="0"/>
    <n v="0"/>
    <n v="0"/>
    <n v="0"/>
    <s v="VAT"/>
    <n v="0"/>
    <n v="0"/>
    <n v="0"/>
    <n v="0"/>
    <n v="0"/>
    <m/>
    <n v="-249676.4"/>
    <n v="0"/>
    <n v="0"/>
    <s v="SF"/>
    <s v="PP/PE Fabric"/>
    <s v="PP UL Fabric"/>
    <s v="SF"/>
    <s v="erp"/>
    <n v="0"/>
    <n v="0"/>
    <s v="R-361"/>
    <d v="2026-07-01T00:00:00"/>
    <s v="24AAACO3087C1ZT"/>
    <s v="kpstore"/>
    <m/>
    <n v="0"/>
    <n v="0"/>
    <n v="0"/>
    <n v="0"/>
    <n v="0"/>
    <n v="0"/>
    <n v="0"/>
    <n v="602137742244"/>
    <d v="2026-06-30T15:45:00"/>
    <n v="900"/>
    <x v="0"/>
    <n v="0"/>
  </r>
  <r>
    <d v="2026-07-01T00:00:00"/>
    <s v="KPV/26-27/SII01166"/>
    <s v="WIP00025"/>
    <s v="PP Lam Fabric With UV"/>
    <s v="No Subcode"/>
    <s v="No PO"/>
    <n v="0"/>
    <n v="780"/>
    <s v="Kgs"/>
    <n v="780"/>
    <n v="0"/>
    <n v="780"/>
    <s v="GJ16Z8614"/>
    <s v="Plastene India ltd - Unit 1-Purchase"/>
    <s v="Plastene India ltd - Unit 1-Purchase"/>
    <s v="PIL1/SC/104"/>
    <d v="2026-06-30T00:00:00"/>
    <s v="JOB IN"/>
    <s v="SELF"/>
    <s v="JBIN-SE 114"/>
    <n v="24"/>
    <n v="0"/>
    <s v="PIL1/SC/104"/>
    <d v="2026-06-30T00:00:00"/>
    <s v="LESS THEN 90GSM MW 1 ROLL"/>
    <s v="PP Woven Fabrics,"/>
    <m/>
    <s v="PATEL  TRANSPORT."/>
    <n v="3906"/>
    <n v="0"/>
    <n v="0"/>
    <n v="0"/>
    <n v="0"/>
    <n v="0"/>
    <s v="VAT"/>
    <n v="0"/>
    <n v="0"/>
    <n v="0"/>
    <n v="0"/>
    <n v="0"/>
    <m/>
    <n v="-249676.4"/>
    <n v="0"/>
    <n v="0"/>
    <s v="SF"/>
    <s v="PP/PE Fabric"/>
    <s v="PP Lam Fabric"/>
    <s v="SF"/>
    <s v="erp"/>
    <n v="0"/>
    <n v="0"/>
    <s v="R-361"/>
    <d v="2026-07-01T00:00:00"/>
    <s v="24AAACO3087C1ZT"/>
    <s v="kpstore"/>
    <m/>
    <n v="0"/>
    <n v="0"/>
    <n v="0"/>
    <n v="0"/>
    <n v="0"/>
    <n v="0"/>
    <n v="0"/>
    <n v="602137742244"/>
    <d v="2026-06-30T15:45:00"/>
    <n v="780"/>
    <x v="1"/>
    <n v="0"/>
  </r>
  <r>
    <d v="2026-07-01T00:00:00"/>
    <s v="KPV/26-27/SII01166"/>
    <s v="WIP00151"/>
    <s v="PP MF Yarn Twisted 1000 UV NW"/>
    <s v="No Subcode"/>
    <s v="No PO"/>
    <n v="0"/>
    <n v="2193.6999999999998"/>
    <s v="Kgs"/>
    <n v="2193.6999999999998"/>
    <n v="0"/>
    <n v="2193.6999999999998"/>
    <s v="GJ16Z8614"/>
    <s v="Plastene India ltd - Unit 1-Purchase"/>
    <s v="Plastene India ltd - Unit 1-Purchase"/>
    <s v="PIL1/SC/104"/>
    <d v="2026-06-30T00:00:00"/>
    <s v="JOB IN"/>
    <s v="SELF"/>
    <s v="JBIN-SE 114"/>
    <n v="32"/>
    <n v="0"/>
    <s v="PIL1/SC/104"/>
    <d v="2026-06-30T00:00:00"/>
    <s v="54 BUN."/>
    <s v="PP Woven Fabrics,"/>
    <m/>
    <s v="PATEL  TRANSPORT."/>
    <n v="3906"/>
    <n v="0"/>
    <n v="0"/>
    <n v="0"/>
    <n v="0"/>
    <n v="0"/>
    <s v="VAT"/>
    <n v="0"/>
    <n v="0"/>
    <n v="0"/>
    <n v="0"/>
    <n v="0"/>
    <m/>
    <n v="-249676.4"/>
    <n v="0"/>
    <n v="0"/>
    <s v="SF"/>
    <s v="Yarn All"/>
    <s v="PP Yarn"/>
    <s v="SF"/>
    <m/>
    <n v="0"/>
    <n v="0"/>
    <s v="R-361"/>
    <d v="2026-07-01T00:00:00"/>
    <s v="24AAACO3087C1ZT"/>
    <s v="kpstore"/>
    <m/>
    <n v="0"/>
    <n v="0"/>
    <n v="0"/>
    <n v="0"/>
    <n v="0"/>
    <n v="0"/>
    <n v="0"/>
    <n v="602137742244"/>
    <d v="2026-06-30T15:45:00"/>
    <n v="2193.6999999999998"/>
    <x v="2"/>
    <n v="0"/>
  </r>
  <r>
    <d v="2026-07-02T00:00:00"/>
    <s v="KPV/26-27/SII01187"/>
    <s v="WIP00023"/>
    <s v="PP UL Fabric With UV"/>
    <s v="No Subcode"/>
    <s v="No PO"/>
    <n v="0"/>
    <n v="1244"/>
    <s v="Kgs"/>
    <n v="1244"/>
    <n v="0"/>
    <n v="1244"/>
    <s v="GJ06BT5602"/>
    <s v="Plastene India ltd - Unit 1-Purchase"/>
    <s v="Plastene India ltd - Unit 1-Purchase"/>
    <s v="PIL1/SC/106"/>
    <d v="2026-07-01T00:00:00"/>
    <s v="JOB IN"/>
    <s v="SELF"/>
    <s v="JBIN-SE 115"/>
    <n v="31"/>
    <n v="0"/>
    <s v="PIL1/SC/106"/>
    <d v="2026-07-01T00:00:00"/>
    <s v="2ROLL, CHROSS CORNNER"/>
    <s v="PP Woven Fabrics,"/>
    <m/>
    <n v="0"/>
    <n v="0"/>
    <n v="0"/>
    <n v="0"/>
    <n v="0"/>
    <n v="0"/>
    <n v="0"/>
    <s v="VAT"/>
    <n v="0"/>
    <n v="0"/>
    <n v="0"/>
    <n v="0"/>
    <n v="0"/>
    <m/>
    <n v="-202802"/>
    <n v="0"/>
    <n v="0"/>
    <s v="SF"/>
    <s v="PP/PE Fabric"/>
    <s v="PP UL Fabric"/>
    <s v="SF"/>
    <s v="erp"/>
    <n v="0"/>
    <n v="0"/>
    <s v="R 366"/>
    <d v="2026-07-02T00:00:00"/>
    <s v="24AAACO3087C1ZT"/>
    <s v="kpstore"/>
    <m/>
    <n v="0"/>
    <n v="0"/>
    <n v="0"/>
    <n v="0"/>
    <n v="0"/>
    <n v="0"/>
    <n v="0"/>
    <n v="612138354377"/>
    <d v="2026-07-01T15:25:00"/>
    <n v="1244"/>
    <x v="0"/>
    <n v="0"/>
  </r>
  <r>
    <d v="2026-07-02T00:00:00"/>
    <s v="KPV/26-27/SII01187"/>
    <s v="WIP00023"/>
    <s v="PP UL Fabric With UV"/>
    <s v="No Subcode"/>
    <s v="No PO"/>
    <n v="0"/>
    <n v="2509"/>
    <s v="Kgs"/>
    <n v="2509"/>
    <n v="0"/>
    <n v="2509"/>
    <s v="GJ06BT5602"/>
    <s v="Plastene India ltd - Unit 1-Purchase"/>
    <s v="Plastene India ltd - Unit 1-Purchase"/>
    <s v="PIL1/SC/106"/>
    <d v="2026-07-01T00:00:00"/>
    <s v="JOB IN"/>
    <s v="SELF"/>
    <s v="JBIN-SE 115"/>
    <n v="28"/>
    <n v="0"/>
    <s v="PIL1/SC/106"/>
    <d v="2026-07-01T00:00:00"/>
    <s v="4ROLL CROSS CORNNER"/>
    <s v="PP Woven Fabrics,"/>
    <m/>
    <n v="0"/>
    <n v="0"/>
    <n v="0"/>
    <n v="0"/>
    <n v="0"/>
    <n v="0"/>
    <n v="0"/>
    <s v="VAT"/>
    <n v="0"/>
    <n v="0"/>
    <n v="0"/>
    <n v="0"/>
    <n v="0"/>
    <m/>
    <n v="-202802"/>
    <n v="0"/>
    <n v="0"/>
    <s v="SF"/>
    <s v="PP/PE Fabric"/>
    <s v="PP UL Fabric"/>
    <s v="SF"/>
    <s v="erp"/>
    <n v="0"/>
    <n v="0"/>
    <s v="R 366"/>
    <d v="2026-07-02T00:00:00"/>
    <s v="24AAACO3087C1ZT"/>
    <s v="kpstore"/>
    <m/>
    <n v="0"/>
    <n v="0"/>
    <n v="0"/>
    <n v="0"/>
    <n v="0"/>
    <n v="0"/>
    <n v="0"/>
    <n v="612138354377"/>
    <d v="2026-07-01T15:25:00"/>
    <n v="2509"/>
    <x v="0"/>
    <n v="0"/>
  </r>
  <r>
    <d v="2026-07-02T00:00:00"/>
    <s v="KPV/26-27/SII01187"/>
    <s v="WIP00023"/>
    <s v="PP UL Fabric With UV"/>
    <s v="No Subcode"/>
    <s v="No PO"/>
    <n v="0"/>
    <n v="479"/>
    <s v="Kgs"/>
    <n v="479"/>
    <n v="0"/>
    <n v="479"/>
    <s v="GJ06BT5602"/>
    <s v="Plastene India ltd - Unit 1-Purchase"/>
    <s v="Plastene India ltd - Unit 1-Purchase"/>
    <s v="PIL1/SC/106"/>
    <d v="2026-07-01T00:00:00"/>
    <s v="JOB IN"/>
    <s v="SELF"/>
    <s v="JBIN-SE 115"/>
    <n v="26"/>
    <n v="0"/>
    <s v="PIL1/SC/106"/>
    <d v="2026-07-01T00:00:00"/>
    <s v="2ROLL MORE THEN 90 GSM COLOR HCQ"/>
    <s v="PP Woven Fabrics,"/>
    <m/>
    <n v="0"/>
    <n v="0"/>
    <n v="0"/>
    <n v="0"/>
    <n v="0"/>
    <n v="0"/>
    <n v="0"/>
    <s v="VAT"/>
    <n v="0"/>
    <n v="0"/>
    <n v="0"/>
    <n v="0"/>
    <n v="0"/>
    <m/>
    <n v="-202802"/>
    <n v="0"/>
    <n v="0"/>
    <s v="SF"/>
    <s v="PP/PE Fabric"/>
    <s v="PP UL Fabric"/>
    <s v="SF"/>
    <s v="erp"/>
    <n v="0"/>
    <n v="0"/>
    <s v="R 366"/>
    <d v="2026-07-02T00:00:00"/>
    <s v="24AAACO3087C1ZT"/>
    <s v="kpstore"/>
    <m/>
    <n v="0"/>
    <n v="0"/>
    <n v="0"/>
    <n v="0"/>
    <n v="0"/>
    <n v="0"/>
    <n v="0"/>
    <n v="612138354377"/>
    <d v="2026-07-01T15:25:00"/>
    <n v="479"/>
    <x v="0"/>
    <n v="0"/>
  </r>
  <r>
    <d v="2026-07-02T00:00:00"/>
    <s v="KPV/26-27/SII01187"/>
    <s v="WIP00023"/>
    <s v="PP UL Fabric With UV"/>
    <s v="No Subcode"/>
    <s v="No PO"/>
    <n v="0"/>
    <n v="1450"/>
    <s v="Kgs"/>
    <n v="1450"/>
    <n v="0"/>
    <n v="1450"/>
    <s v="GJ06BT5602"/>
    <s v="Plastene India ltd - Unit 1-Purchase"/>
    <s v="Plastene India ltd - Unit 1-Purchase"/>
    <s v="PIL1/SC/106"/>
    <d v="2026-07-01T00:00:00"/>
    <s v="JOB IN"/>
    <s v="SELF"/>
    <s v="JBIN-SE 115"/>
    <n v="20"/>
    <n v="0"/>
    <s v="PIL1/SC/106"/>
    <d v="2026-07-01T00:00:00"/>
    <s v="3ROLL MORE THEN 90GSM MW"/>
    <s v="PP Woven Fabrics,"/>
    <m/>
    <n v="0"/>
    <n v="0"/>
    <n v="0"/>
    <n v="0"/>
    <n v="0"/>
    <n v="0"/>
    <n v="0"/>
    <s v="VAT"/>
    <n v="0"/>
    <n v="0"/>
    <n v="0"/>
    <n v="0"/>
    <n v="0"/>
    <m/>
    <n v="-202802"/>
    <n v="0"/>
    <n v="0"/>
    <s v="SF"/>
    <s v="PP/PE Fabric"/>
    <s v="PP UL Fabric"/>
    <s v="SF"/>
    <s v="erp"/>
    <n v="0"/>
    <n v="0"/>
    <s v="R 366"/>
    <d v="2026-07-02T00:00:00"/>
    <s v="24AAACO3087C1ZT"/>
    <s v="kpstore"/>
    <m/>
    <n v="0"/>
    <n v="0"/>
    <n v="0"/>
    <n v="0"/>
    <n v="0"/>
    <n v="0"/>
    <n v="0"/>
    <n v="612138354377"/>
    <d v="2026-07-01T15:25:00"/>
    <n v="1450"/>
    <x v="0"/>
    <n v="0"/>
  </r>
  <r>
    <d v="2026-07-02T00:00:00"/>
    <s v="KPV/26-27/SII01187"/>
    <s v="WIP00023"/>
    <s v="PP UL Fabric With UV"/>
    <s v="No Subcode"/>
    <s v="No PO"/>
    <n v="0"/>
    <n v="2284"/>
    <s v="Kgs"/>
    <n v="2284"/>
    <n v="0"/>
    <n v="2284"/>
    <s v="GJ06BT5602"/>
    <s v="Plastene India ltd - Unit 1-Purchase"/>
    <s v="Plastene India ltd - Unit 1-Purchase"/>
    <s v="PIL1/SC/106"/>
    <d v="2026-07-01T00:00:00"/>
    <s v="JOB IN"/>
    <s v="SELF"/>
    <s v="JBIN-SE 115"/>
    <n v="23"/>
    <n v="0"/>
    <s v="PIL1/SC/106"/>
    <d v="2026-07-01T00:00:00"/>
    <s v="6ROLL MORE THEN 90 GSM HQS"/>
    <s v="PP Woven Fabrics,"/>
    <m/>
    <n v="0"/>
    <n v="0"/>
    <n v="0"/>
    <n v="0"/>
    <n v="0"/>
    <n v="0"/>
    <n v="0"/>
    <s v="VAT"/>
    <n v="0"/>
    <n v="0"/>
    <n v="0"/>
    <n v="0"/>
    <n v="0"/>
    <m/>
    <n v="-202802"/>
    <n v="0"/>
    <n v="0"/>
    <s v="SF"/>
    <s v="PP/PE Fabric"/>
    <s v="PP UL Fabric"/>
    <s v="SF"/>
    <s v="erp"/>
    <n v="0"/>
    <n v="0"/>
    <s v="R 366"/>
    <d v="2026-07-02T00:00:00"/>
    <s v="24AAACO3087C1ZT"/>
    <s v="kpstore"/>
    <m/>
    <n v="0"/>
    <n v="0"/>
    <n v="0"/>
    <n v="0"/>
    <n v="0"/>
    <n v="0"/>
    <n v="0"/>
    <n v="612138354377"/>
    <d v="2026-07-01T15:25:00"/>
    <n v="2284"/>
    <x v="0"/>
    <n v="0"/>
  </r>
  <r>
    <d v="2026-07-03T00:00:00"/>
    <s v="KPV/26-27/SII01191"/>
    <s v="SMF00247"/>
    <s v="HD UL Monofilament Fabric (Kg)"/>
    <s v="No Subcode"/>
    <s v="No PO"/>
    <n v="0"/>
    <n v="1832.4"/>
    <s v="Kgs"/>
    <n v="1832.4"/>
    <n v="0"/>
    <n v="1832.4"/>
    <s v="GJ27TG8278"/>
    <s v="Kayel Syntex Limited"/>
    <s v="Kayel Syntex Limited"/>
    <n v="52"/>
    <d v="2026-07-01T00:00:00"/>
    <s v="JOB IN"/>
    <s v="SELF"/>
    <s v="JBIN-SE 116"/>
    <n v="28"/>
    <n v="0"/>
    <n v="52"/>
    <d v="2026-07-01T00:00:00"/>
    <s v="6ROLL, 4686MTR, 845.3KGS, 850BLACK 110CM,"/>
    <s v="Monofilament Yarn,"/>
    <m/>
    <n v="0"/>
    <n v="0"/>
    <n v="0"/>
    <n v="0"/>
    <n v="0"/>
    <n v="0"/>
    <n v="0"/>
    <s v="VAT"/>
    <n v="0"/>
    <n v="0"/>
    <n v="0"/>
    <n v="0"/>
    <n v="0"/>
    <m/>
    <n v="-51307.199999999997"/>
    <n v="0"/>
    <n v="0"/>
    <s v="SF"/>
    <s v="PP/PE Fabric"/>
    <s v="HD UL Fabric"/>
    <s v="SF"/>
    <s v="erp"/>
    <n v="0"/>
    <n v="0"/>
    <s v="R 364"/>
    <d v="2026-07-01T00:00:00"/>
    <s v="24AAACK8589P1ZP"/>
    <s v="kpstore"/>
    <m/>
    <n v="0"/>
    <n v="0"/>
    <n v="0"/>
    <n v="0"/>
    <n v="0"/>
    <n v="0"/>
    <n v="0"/>
    <n v="692138038798"/>
    <d v="2026-07-01T11:05:00"/>
    <n v="1832.4"/>
    <x v="3"/>
    <n v="0"/>
  </r>
  <r>
    <d v="2026-07-03T00:00:00"/>
    <s v="KPV/26-27/SII01193"/>
    <s v="WIP00023"/>
    <s v="PP UL Fabric With UV"/>
    <s v="No Subcode"/>
    <s v="No PO"/>
    <n v="0"/>
    <n v="584"/>
    <s v="Kgs"/>
    <n v="584"/>
    <n v="0"/>
    <n v="584"/>
    <s v="GJ01KT9275"/>
    <s v="Plastene India ltd - Unit 1-Purchase"/>
    <s v="Plastene India ltd - Unit 1-Purchase"/>
    <s v="PIL1/SC/109"/>
    <d v="2026-07-02T00:00:00"/>
    <s v="JOB IN"/>
    <s v="SELF"/>
    <s v="JBIN-SE 117"/>
    <n v="31"/>
    <n v="0"/>
    <s v="PIL1/SC/109"/>
    <d v="2026-07-02T00:00:00"/>
    <s v="CROSS CORNER FABRIC COLOR HQS 1 ROLL"/>
    <s v="PP Woven Fabrics,"/>
    <m/>
    <s v="PATEL  TRANSPORT"/>
    <n v="3910"/>
    <n v="0"/>
    <n v="0"/>
    <n v="0"/>
    <n v="0"/>
    <n v="0"/>
    <s v="VAT"/>
    <n v="0"/>
    <n v="0"/>
    <n v="0"/>
    <n v="0"/>
    <n v="0"/>
    <m/>
    <n v="-168101"/>
    <n v="0"/>
    <n v="0"/>
    <s v="SF"/>
    <s v="PP/PE Fabric"/>
    <s v="PP UL Fabric"/>
    <s v="SF"/>
    <s v="erp"/>
    <n v="0"/>
    <n v="0"/>
    <s v="R-370"/>
    <d v="2026-07-03T00:00:00"/>
    <s v="24AAACO3087C1ZT"/>
    <s v="kpstore"/>
    <m/>
    <n v="0"/>
    <n v="0"/>
    <n v="0"/>
    <n v="0"/>
    <n v="0"/>
    <n v="0"/>
    <n v="0"/>
    <n v="662138875196"/>
    <d v="2026-07-03T14:28:00"/>
    <n v="584"/>
    <x v="0"/>
    <n v="0"/>
  </r>
  <r>
    <d v="2026-07-03T00:00:00"/>
    <s v="KPV/26-27/SII01193"/>
    <s v="WIP00023"/>
    <s v="PP UL Fabric With UV"/>
    <s v="No Subcode"/>
    <s v="No PO"/>
    <n v="0"/>
    <n v="3075"/>
    <s v="Kgs"/>
    <n v="3075"/>
    <n v="0"/>
    <n v="3075"/>
    <s v="GJ01KT9275"/>
    <s v="Plastene India ltd - Unit 1-Purchase"/>
    <s v="Plastene India ltd - Unit 1-Purchase"/>
    <s v="PIL1/SC/109"/>
    <d v="2026-07-02T00:00:00"/>
    <s v="JOB IN"/>
    <s v="SELF"/>
    <s v="JBIN-SE 117"/>
    <n v="25"/>
    <n v="0"/>
    <s v="PIL1/SC/109"/>
    <d v="2026-07-02T00:00:00"/>
    <s v="CROSS CORNER FABRIC MW 5 ROLL"/>
    <s v="PP Woven Fabrics,"/>
    <m/>
    <s v="PATEL  TRANSPORT"/>
    <n v="3910"/>
    <n v="0"/>
    <n v="0"/>
    <n v="0"/>
    <n v="0"/>
    <n v="0"/>
    <s v="VAT"/>
    <n v="0"/>
    <n v="0"/>
    <n v="0"/>
    <n v="0"/>
    <n v="0"/>
    <m/>
    <n v="-168101"/>
    <n v="0"/>
    <n v="0"/>
    <s v="SF"/>
    <s v="PP/PE Fabric"/>
    <s v="PP UL Fabric"/>
    <s v="SF"/>
    <s v="erp"/>
    <n v="0"/>
    <n v="0"/>
    <s v="R-370"/>
    <d v="2026-07-03T00:00:00"/>
    <s v="24AAACO3087C1ZT"/>
    <s v="kpstore"/>
    <m/>
    <n v="0"/>
    <n v="0"/>
    <n v="0"/>
    <n v="0"/>
    <n v="0"/>
    <n v="0"/>
    <n v="0"/>
    <n v="662138875196"/>
    <d v="2026-07-03T14:28:00"/>
    <n v="3075"/>
    <x v="0"/>
    <n v="0"/>
  </r>
  <r>
    <d v="2026-07-03T00:00:00"/>
    <s v="KPV/26-27/SII01193"/>
    <s v="WIP00023"/>
    <s v="PP UL Fabric With UV"/>
    <s v="No Subcode"/>
    <s v="No PO"/>
    <n v="0"/>
    <n v="502"/>
    <s v="Kgs"/>
    <n v="502"/>
    <n v="0"/>
    <n v="502"/>
    <s v="GJ01KT9275"/>
    <s v="Plastene India ltd - Unit 1-Purchase"/>
    <s v="Plastene India ltd - Unit 1-Purchase"/>
    <s v="PIL1/SC/109"/>
    <d v="2026-07-02T00:00:00"/>
    <s v="JOB IN"/>
    <s v="SELF"/>
    <s v="JBIN-SE 117"/>
    <n v="28"/>
    <n v="0"/>
    <s v="PIL1/SC/109"/>
    <d v="2026-07-02T00:00:00"/>
    <s v="CROSS CORNER FABRIC MW HQS 1 ROLL"/>
    <s v="PP Woven Fabrics,"/>
    <m/>
    <s v="PATEL  TRANSPORT"/>
    <n v="3910"/>
    <n v="0"/>
    <n v="0"/>
    <n v="0"/>
    <n v="0"/>
    <n v="0"/>
    <s v="VAT"/>
    <n v="0"/>
    <n v="0"/>
    <n v="0"/>
    <n v="0"/>
    <n v="0"/>
    <m/>
    <n v="-168101"/>
    <n v="0"/>
    <n v="0"/>
    <s v="SF"/>
    <s v="PP/PE Fabric"/>
    <s v="PP UL Fabric"/>
    <s v="SF"/>
    <s v="erp"/>
    <n v="0"/>
    <n v="0"/>
    <s v="R-370"/>
    <d v="2026-07-03T00:00:00"/>
    <s v="24AAACO3087C1ZT"/>
    <s v="kpstore"/>
    <m/>
    <n v="0"/>
    <n v="0"/>
    <n v="0"/>
    <n v="0"/>
    <n v="0"/>
    <n v="0"/>
    <n v="0"/>
    <n v="662138875196"/>
    <d v="2026-07-03T14:28:00"/>
    <n v="502"/>
    <x v="0"/>
    <n v="0"/>
  </r>
  <r>
    <d v="2026-07-03T00:00:00"/>
    <s v="KPV/26-27/SII01193"/>
    <s v="WIP00023"/>
    <s v="PP UL Fabric With UV"/>
    <s v="No Subcode"/>
    <s v="No PO"/>
    <n v="0"/>
    <n v="2422"/>
    <s v="Kgs"/>
    <n v="2422"/>
    <n v="0"/>
    <n v="2422"/>
    <s v="GJ01KT9275"/>
    <s v="Plastene India ltd - Unit 1-Purchase"/>
    <s v="Plastene India ltd - Unit 1-Purchase"/>
    <s v="PIL1/SC/109"/>
    <d v="2026-07-02T00:00:00"/>
    <s v="JOB IN"/>
    <s v="SELF"/>
    <s v="JBIN-SE 117"/>
    <n v="20"/>
    <n v="0"/>
    <s v="PIL1/SC/109"/>
    <d v="2026-07-02T00:00:00"/>
    <s v="MORE THEN 90GSM MW 5 ROLL"/>
    <s v="PP Woven Fabrics,"/>
    <m/>
    <s v="PATEL  TRANSPORT"/>
    <n v="3910"/>
    <n v="0"/>
    <n v="0"/>
    <n v="0"/>
    <n v="0"/>
    <n v="0"/>
    <s v="VAT"/>
    <n v="0"/>
    <n v="0"/>
    <n v="0"/>
    <n v="0"/>
    <n v="0"/>
    <m/>
    <n v="-168101"/>
    <n v="0"/>
    <n v="0"/>
    <s v="SF"/>
    <s v="PP/PE Fabric"/>
    <s v="PP UL Fabric"/>
    <s v="SF"/>
    <s v="erp"/>
    <n v="0"/>
    <n v="0"/>
    <s v="R-370"/>
    <d v="2026-07-03T00:00:00"/>
    <s v="24AAACO3087C1ZT"/>
    <s v="kpstore"/>
    <m/>
    <n v="0"/>
    <n v="0"/>
    <n v="0"/>
    <n v="0"/>
    <n v="0"/>
    <n v="0"/>
    <n v="0"/>
    <n v="662138875196"/>
    <d v="2026-07-03T14:28:00"/>
    <n v="2422"/>
    <x v="0"/>
    <n v="0"/>
  </r>
  <r>
    <d v="2026-07-03T00:00:00"/>
    <s v="KPV/26-27/SII01193"/>
    <s v="WIP00023"/>
    <s v="PP UL Fabric With UV"/>
    <s v="No Subcode"/>
    <s v="No PO"/>
    <n v="0"/>
    <n v="462"/>
    <s v="Kgs"/>
    <n v="462"/>
    <n v="0"/>
    <n v="462"/>
    <s v="GJ01KT9275"/>
    <s v="Plastene India ltd - Unit 1-Purchase"/>
    <s v="Plastene India ltd - Unit 1-Purchase"/>
    <s v="PIL1/SC/109"/>
    <d v="2026-07-02T00:00:00"/>
    <s v="JOB IN"/>
    <s v="SELF"/>
    <s v="JBIN-SE 117"/>
    <n v="23"/>
    <n v="0"/>
    <s v="PIL1/SC/109"/>
    <d v="2026-07-02T00:00:00"/>
    <s v="MORE THEN 90GSM MW HQS 1 ROLL"/>
    <s v="PP Woven Fabrics,"/>
    <m/>
    <s v="PATEL  TRANSPORT"/>
    <n v="3910"/>
    <n v="0"/>
    <n v="0"/>
    <n v="0"/>
    <n v="0"/>
    <n v="0"/>
    <s v="VAT"/>
    <n v="0"/>
    <n v="0"/>
    <n v="0"/>
    <n v="0"/>
    <n v="0"/>
    <m/>
    <n v="-168101"/>
    <n v="0"/>
    <n v="0"/>
    <s v="SF"/>
    <s v="PP/PE Fabric"/>
    <s v="PP UL Fabric"/>
    <s v="SF"/>
    <s v="erp"/>
    <n v="0"/>
    <n v="0"/>
    <s v="R-370"/>
    <d v="2026-07-03T00:00:00"/>
    <s v="24AAACO3087C1ZT"/>
    <s v="kpstore"/>
    <m/>
    <n v="0"/>
    <n v="0"/>
    <n v="0"/>
    <n v="0"/>
    <n v="0"/>
    <n v="0"/>
    <n v="0"/>
    <n v="662138875196"/>
    <d v="2026-07-03T14:28:00"/>
    <n v="462"/>
    <x v="0"/>
    <n v="0"/>
  </r>
  <r>
    <d v="2026-07-04T00:00:00"/>
    <s v="KPV/26-27/SII01205"/>
    <s v="WIP00023"/>
    <s v="PP UL Fabric With UV"/>
    <s v="No Subcode"/>
    <s v="No PO"/>
    <n v="0"/>
    <n v="1203.3"/>
    <s v="Kgs"/>
    <n v="1203.3"/>
    <n v="0"/>
    <n v="1203.3"/>
    <s v="GJ23AW7180"/>
    <s v="Indralok Fabrics Pvt Ltd - Purchase"/>
    <s v="Indralok Fabrics Pvt Ltd - Purchase"/>
    <n v="12"/>
    <d v="2026-07-03T00:00:00"/>
    <s v="JOB IN"/>
    <s v="SELF"/>
    <s v="JBIN-SE 118"/>
    <n v="43"/>
    <n v="0"/>
    <n v="12"/>
    <d v="2026-07-03T00:00:00"/>
    <s v="11ROLL"/>
    <s v="PP Woven Fabrics,LENO FABICS,"/>
    <m/>
    <n v="0"/>
    <n v="0"/>
    <n v="0"/>
    <n v="0"/>
    <n v="0"/>
    <n v="0"/>
    <n v="0"/>
    <s v="VAT"/>
    <n v="0"/>
    <n v="0"/>
    <n v="0"/>
    <n v="0"/>
    <n v="0"/>
    <m/>
    <n v="-51747.7"/>
    <n v="0"/>
    <n v="0"/>
    <s v="SF"/>
    <s v="PP/PE Fabric"/>
    <s v="PP UL Fabric"/>
    <s v="SF"/>
    <s v="erp"/>
    <n v="0"/>
    <n v="0"/>
    <s v="R-375"/>
    <d v="2026-07-03T00:00:00"/>
    <s v="24AAACI4240F1Z4"/>
    <s v="kpstore"/>
    <m/>
    <n v="0"/>
    <n v="0"/>
    <n v="0"/>
    <n v="0"/>
    <n v="0"/>
    <n v="0"/>
    <n v="0"/>
    <n v="612139263957"/>
    <d v="2026-07-03T13:00:00"/>
    <n v="1203.3"/>
    <x v="0"/>
    <n v="0"/>
  </r>
  <r>
    <d v="2026-07-04T00:00:00"/>
    <s v="KPV/26-27/SII01205"/>
    <s v="WIP00031"/>
    <s v="PP/HD Wastage/Scrap"/>
    <s v="No Subcode"/>
    <s v="No PO"/>
    <n v="0"/>
    <n v="58"/>
    <s v="Kgs"/>
    <n v="58"/>
    <n v="0"/>
    <n v="58"/>
    <s v="GJ23AW7180"/>
    <s v="Indralok Fabrics Pvt Ltd - Purchase"/>
    <s v="Indralok Fabrics Pvt Ltd - Purchase"/>
    <n v="12"/>
    <d v="2026-07-03T00:00:00"/>
    <s v="JOB IN"/>
    <s v="SELF"/>
    <s v="JBIN-SE 118"/>
    <n v="0.1"/>
    <n v="0"/>
    <n v="12"/>
    <d v="2026-07-03T00:00:00"/>
    <s v="4BORA"/>
    <s v="PP Woven Fabrics,LENO FABICS,"/>
    <m/>
    <n v="0"/>
    <n v="0"/>
    <n v="0"/>
    <n v="0"/>
    <n v="0"/>
    <n v="0"/>
    <n v="0"/>
    <s v="VAT"/>
    <n v="0"/>
    <n v="0"/>
    <n v="0"/>
    <n v="0"/>
    <n v="0"/>
    <m/>
    <n v="-51747.7"/>
    <n v="0"/>
    <n v="0"/>
    <s v="SF"/>
    <s v="Wastage/Scrap"/>
    <s v="Wastage/Scrap"/>
    <s v="SF"/>
    <s v="erp"/>
    <n v="0"/>
    <n v="0"/>
    <s v="R-375"/>
    <d v="2026-07-03T00:00:00"/>
    <s v="24AAACI4240F1Z4"/>
    <s v="kpstore"/>
    <m/>
    <n v="0"/>
    <n v="0"/>
    <n v="0"/>
    <n v="0"/>
    <n v="0"/>
    <n v="0"/>
    <n v="0"/>
    <n v="612139263957"/>
    <d v="2026-07-03T13:00:00"/>
    <n v="58"/>
    <x v="4"/>
    <n v="0"/>
  </r>
  <r>
    <d v="2026-07-04T00:00:00"/>
    <s v="KPV/26-27/SII01211"/>
    <s v="SMF00255"/>
    <s v="PP Texene Chromiq PY0003S"/>
    <n v="1"/>
    <s v="No PO"/>
    <n v="0"/>
    <n v="89.24"/>
    <s v="Kgs"/>
    <n v="89.24"/>
    <n v="0"/>
    <n v="89.24"/>
    <s v="GJ27X2343"/>
    <s v="Plastene India ltd - Unit 1-Purchase"/>
    <s v="Plastene India ltd - Unit 1-Purchase"/>
    <s v="PIL1/JW/39"/>
    <d v="2026-07-04T00:00:00"/>
    <s v="JOB IN"/>
    <s v="OTHER"/>
    <s v="JBIN-OT 16"/>
    <n v="26652.25"/>
    <n v="0"/>
    <s v="PIL1/JW/39"/>
    <d v="2026-07-04T00:00:00"/>
    <s v="BEAM CHROHMIQ R TWSTD "/>
    <s v="."/>
    <m/>
    <s v="self"/>
    <s v="39 29-06-2026"/>
    <n v="0"/>
    <n v="0"/>
    <n v="0"/>
    <n v="0"/>
    <n v="0"/>
    <s v="VAT"/>
    <n v="0"/>
    <n v="0"/>
    <n v="0"/>
    <n v="0"/>
    <n v="0"/>
    <m/>
    <n v="-4572193.4874999998"/>
    <n v="0"/>
    <n v="0"/>
    <s v="SF"/>
    <s v="Yarn All"/>
    <s v="PP Yarn"/>
    <s v="SF"/>
    <s v="erp"/>
    <n v="0"/>
    <n v="0"/>
    <s v="R-378"/>
    <d v="2026-07-04T00:00:00"/>
    <s v="24AAACO3087C1ZT"/>
    <s v="kpstore"/>
    <m/>
    <n v="0"/>
    <n v="0"/>
    <n v="0"/>
    <n v="0"/>
    <n v="0"/>
    <n v="0"/>
    <n v="0"/>
    <n v="662134688105"/>
    <d v="2026-07-04T17:28:00"/>
    <n v="89.24"/>
    <x v="5"/>
    <n v="0"/>
  </r>
  <r>
    <d v="2026-07-04T00:00:00"/>
    <s v="KPV/26-27/SII01211"/>
    <s v="SMF00267"/>
    <s v="PP Texene Chromiq PY0001SL"/>
    <n v="2"/>
    <s v="No PO"/>
    <n v="0"/>
    <n v="82.31"/>
    <s v="Kgs"/>
    <n v="82.31"/>
    <n v="0"/>
    <n v="82.31"/>
    <s v="GJ27X2343"/>
    <s v="Plastene India ltd - Unit 1-Purchase"/>
    <s v="Plastene India ltd - Unit 1-Purchase"/>
    <s v="PIL1/JW/39"/>
    <d v="2026-07-04T00:00:00"/>
    <s v="JOB IN"/>
    <s v="OTHER"/>
    <s v="JBIN-OT 16"/>
    <n v="26652.25"/>
    <n v="0"/>
    <s v="PIL1/JW/39"/>
    <d v="2026-07-04T00:00:00"/>
    <s v="SINGLE CHROMIQ R END YARN "/>
    <s v="."/>
    <m/>
    <s v="self"/>
    <s v="39 29-06-2026"/>
    <n v="0"/>
    <n v="0"/>
    <n v="0"/>
    <n v="0"/>
    <n v="0"/>
    <s v="VAT"/>
    <n v="0"/>
    <n v="0"/>
    <n v="0"/>
    <n v="0"/>
    <n v="0"/>
    <m/>
    <n v="-4572193.4874999998"/>
    <n v="0"/>
    <n v="0"/>
    <s v="SF"/>
    <s v="Yarn All"/>
    <s v="PP Yarn"/>
    <s v="SF"/>
    <m/>
    <n v="0"/>
    <n v="0"/>
    <s v="R-378"/>
    <d v="2026-07-04T00:00:00"/>
    <s v="24AAACO3087C1ZT"/>
    <s v="kpstore"/>
    <m/>
    <n v="0"/>
    <n v="0"/>
    <n v="0"/>
    <n v="0"/>
    <n v="0"/>
    <n v="0"/>
    <n v="0"/>
    <n v="662134688105"/>
    <d v="2026-07-04T17:28:00"/>
    <n v="82.31"/>
    <x v="5"/>
    <n v="0"/>
  </r>
  <r>
    <d v="2026-07-05T00:00:00"/>
    <s v="KPV/26-27/SII01215"/>
    <s v="WIP00151"/>
    <s v="PP MF Yarn Twisted 1000 UV NW"/>
    <s v="No Subcode"/>
    <s v="No PO"/>
    <n v="0"/>
    <n v="1632.4"/>
    <s v="Kgs"/>
    <n v="1632.4"/>
    <n v="0"/>
    <n v="1632.4"/>
    <s v="GJ16Z8614"/>
    <s v="Plastene India ltd - Unit 1-Purchase"/>
    <s v="Plastene India ltd - Unit 1-Purchase"/>
    <s v="PIL1/SC/110"/>
    <d v="2026-07-04T00:00:00"/>
    <s v="JOB IN"/>
    <s v="SELF"/>
    <s v="JBIN-SE 119"/>
    <n v="32"/>
    <n v="0"/>
    <s v="PIL1/SC/110"/>
    <d v="2026-07-04T00:00:00"/>
    <s v="40BUN,"/>
    <s v="PP Woven Fabrics,"/>
    <m/>
    <n v="0"/>
    <n v="0"/>
    <n v="0"/>
    <n v="0"/>
    <n v="0"/>
    <n v="0"/>
    <n v="0"/>
    <s v="VAT"/>
    <n v="0"/>
    <n v="0"/>
    <n v="0"/>
    <n v="0"/>
    <n v="0"/>
    <m/>
    <n v="-261401.8"/>
    <n v="0"/>
    <n v="0"/>
    <s v="SF"/>
    <s v="Yarn All"/>
    <s v="PP Yarn"/>
    <s v="SF"/>
    <m/>
    <n v="0"/>
    <n v="0"/>
    <s v="R-380"/>
    <d v="2026-07-05T00:00:00"/>
    <s v="24AAACO3087C1ZT"/>
    <s v="kpstore"/>
    <m/>
    <n v="0"/>
    <n v="0"/>
    <n v="0"/>
    <n v="0"/>
    <n v="0"/>
    <n v="0"/>
    <n v="0"/>
    <n v="622140021491"/>
    <d v="2026-07-04T12:43:00"/>
    <n v="1632.4"/>
    <x v="2"/>
    <n v="0"/>
  </r>
  <r>
    <d v="2026-07-05T00:00:00"/>
    <s v="KPV/26-27/SII01215"/>
    <s v="WIP00023"/>
    <s v="PP UL Fabric With UV"/>
    <s v="No Subcode"/>
    <s v="No PO"/>
    <n v="0"/>
    <n v="621"/>
    <s v="Kgs"/>
    <n v="621"/>
    <n v="0"/>
    <n v="621"/>
    <s v="GJ16Z8614"/>
    <s v="Plastene India ltd - Unit 1-Purchase"/>
    <s v="Plastene India ltd - Unit 1-Purchase"/>
    <s v="PIL1/SC/110"/>
    <d v="2026-07-04T00:00:00"/>
    <s v="JOB IN"/>
    <s v="SELF"/>
    <s v="JBIN-SE 119"/>
    <n v="31"/>
    <n v="0"/>
    <s v="PIL1/SC/110"/>
    <d v="2026-07-04T00:00:00"/>
    <s v="1ROLLCROSS CORNNER COLOR HQS"/>
    <s v="PP Woven Fabrics,"/>
    <m/>
    <n v="0"/>
    <n v="0"/>
    <n v="0"/>
    <n v="0"/>
    <n v="0"/>
    <n v="0"/>
    <n v="0"/>
    <s v="VAT"/>
    <n v="0"/>
    <n v="0"/>
    <n v="0"/>
    <n v="0"/>
    <n v="0"/>
    <m/>
    <n v="-261401.8"/>
    <n v="0"/>
    <n v="0"/>
    <s v="SF"/>
    <s v="PP/PE Fabric"/>
    <s v="PP UL Fabric"/>
    <s v="SF"/>
    <s v="erp"/>
    <n v="0"/>
    <n v="0"/>
    <s v="R-380"/>
    <d v="2026-07-05T00:00:00"/>
    <s v="24AAACO3087C1ZT"/>
    <s v="kpstore"/>
    <m/>
    <n v="0"/>
    <n v="0"/>
    <n v="0"/>
    <n v="0"/>
    <n v="0"/>
    <n v="0"/>
    <n v="0"/>
    <n v="622140021491"/>
    <d v="2026-07-04T12:43:00"/>
    <n v="621"/>
    <x v="0"/>
    <n v="0"/>
  </r>
  <r>
    <d v="2026-07-05T00:00:00"/>
    <s v="KPV/26-27/SII01215"/>
    <s v="WIP00023"/>
    <s v="PP UL Fabric With UV"/>
    <s v="No Subcode"/>
    <s v="No PO"/>
    <n v="0"/>
    <n v="1190"/>
    <s v="Kgs"/>
    <n v="1190"/>
    <n v="0"/>
    <n v="1190"/>
    <s v="GJ16Z8614"/>
    <s v="Plastene India ltd - Unit 1-Purchase"/>
    <s v="Plastene India ltd - Unit 1-Purchase"/>
    <s v="PIL1/SC/110"/>
    <d v="2026-07-04T00:00:00"/>
    <s v="JOB IN"/>
    <s v="SELF"/>
    <s v="JBIN-SE 119"/>
    <n v="25"/>
    <n v="0"/>
    <s v="PIL1/SC/110"/>
    <d v="2026-07-04T00:00:00"/>
    <s v="2ROLL, CROSS CORNNR"/>
    <s v="PP Woven Fabrics,"/>
    <m/>
    <n v="0"/>
    <n v="0"/>
    <n v="0"/>
    <n v="0"/>
    <n v="0"/>
    <n v="0"/>
    <n v="0"/>
    <s v="VAT"/>
    <n v="0"/>
    <n v="0"/>
    <n v="0"/>
    <n v="0"/>
    <n v="0"/>
    <m/>
    <n v="-261401.8"/>
    <n v="0"/>
    <n v="0"/>
    <s v="SF"/>
    <s v="PP/PE Fabric"/>
    <s v="PP UL Fabric"/>
    <s v="SF"/>
    <s v="erp"/>
    <n v="0"/>
    <n v="0"/>
    <s v="R-380"/>
    <d v="2026-07-05T00:00:00"/>
    <s v="24AAACO3087C1ZT"/>
    <s v="kpstore"/>
    <m/>
    <n v="0"/>
    <n v="0"/>
    <n v="0"/>
    <n v="0"/>
    <n v="0"/>
    <n v="0"/>
    <n v="0"/>
    <n v="622140021491"/>
    <d v="2026-07-04T12:43:00"/>
    <n v="1190"/>
    <x v="0"/>
    <n v="0"/>
  </r>
  <r>
    <d v="2026-07-05T00:00:00"/>
    <s v="KPV/26-27/SII01215"/>
    <s v="WIP00023"/>
    <s v="PP UL Fabric With UV"/>
    <s v="No Subcode"/>
    <s v="No PO"/>
    <n v="0"/>
    <n v="2371"/>
    <s v="Kgs"/>
    <n v="2371"/>
    <n v="0"/>
    <n v="2371"/>
    <s v="GJ16Z8614"/>
    <s v="Plastene India ltd - Unit 1-Purchase"/>
    <s v="Plastene India ltd - Unit 1-Purchase"/>
    <s v="PIL1/SC/110"/>
    <d v="2026-07-04T00:00:00"/>
    <s v="JOB IN"/>
    <s v="SELF"/>
    <s v="JBIN-SE 119"/>
    <n v="28"/>
    <n v="0"/>
    <s v="PIL1/SC/110"/>
    <d v="2026-07-04T00:00:00"/>
    <s v="4ROLL CROSS CORNNER HQS"/>
    <s v="PP Woven Fabrics,"/>
    <m/>
    <n v="0"/>
    <n v="0"/>
    <n v="0"/>
    <n v="0"/>
    <n v="0"/>
    <n v="0"/>
    <n v="0"/>
    <s v="VAT"/>
    <n v="0"/>
    <n v="0"/>
    <n v="0"/>
    <n v="0"/>
    <n v="0"/>
    <m/>
    <n v="-261401.8"/>
    <n v="0"/>
    <n v="0"/>
    <s v="SF"/>
    <s v="PP/PE Fabric"/>
    <s v="PP UL Fabric"/>
    <s v="SF"/>
    <s v="erp"/>
    <n v="0"/>
    <n v="0"/>
    <s v="R-380"/>
    <d v="2026-07-05T00:00:00"/>
    <s v="24AAACO3087C1ZT"/>
    <s v="kpstore"/>
    <m/>
    <n v="0"/>
    <n v="0"/>
    <n v="0"/>
    <n v="0"/>
    <n v="0"/>
    <n v="0"/>
    <n v="0"/>
    <n v="622140021491"/>
    <d v="2026-07-04T12:43:00"/>
    <n v="2371"/>
    <x v="0"/>
    <n v="0"/>
  </r>
  <r>
    <d v="2026-07-05T00:00:00"/>
    <s v="KPV/26-27/SII01215"/>
    <s v="WIP00023"/>
    <s v="PP UL Fabric With UV"/>
    <s v="No Subcode"/>
    <s v="No PO"/>
    <n v="0"/>
    <n v="355"/>
    <s v="Kgs"/>
    <n v="355"/>
    <n v="0"/>
    <n v="355"/>
    <s v="GJ16Z8614"/>
    <s v="Plastene India ltd - Unit 1-Purchase"/>
    <s v="Plastene India ltd - Unit 1-Purchase"/>
    <s v="PIL1/SC/110"/>
    <d v="2026-07-04T00:00:00"/>
    <s v="JOB IN"/>
    <s v="SELF"/>
    <s v="JBIN-SE 119"/>
    <n v="26"/>
    <n v="0"/>
    <s v="PIL1/SC/110"/>
    <d v="2026-07-04T00:00:00"/>
    <s v="1ROLL, MORE THEN  90GSM COLOR HQS"/>
    <s v="PP Woven Fabrics,"/>
    <m/>
    <n v="0"/>
    <n v="0"/>
    <n v="0"/>
    <n v="0"/>
    <n v="0"/>
    <n v="0"/>
    <n v="0"/>
    <s v="VAT"/>
    <n v="0"/>
    <n v="0"/>
    <n v="0"/>
    <n v="0"/>
    <n v="0"/>
    <m/>
    <n v="-261401.8"/>
    <n v="0"/>
    <n v="0"/>
    <s v="SF"/>
    <s v="PP/PE Fabric"/>
    <s v="PP UL Fabric"/>
    <s v="SF"/>
    <s v="erp"/>
    <n v="0"/>
    <n v="0"/>
    <s v="R-380"/>
    <d v="2026-07-05T00:00:00"/>
    <s v="24AAACO3087C1ZT"/>
    <s v="kpstore"/>
    <m/>
    <n v="0"/>
    <n v="0"/>
    <n v="0"/>
    <n v="0"/>
    <n v="0"/>
    <n v="0"/>
    <n v="0"/>
    <n v="622140021491"/>
    <d v="2026-07-04T12:43:00"/>
    <n v="355"/>
    <x v="0"/>
    <n v="0"/>
  </r>
  <r>
    <d v="2026-07-05T00:00:00"/>
    <s v="KPV/26-27/SII01215"/>
    <s v="WIP00023"/>
    <s v="PP UL Fabric With UV"/>
    <s v="No Subcode"/>
    <s v="No PO"/>
    <n v="0"/>
    <n v="1396"/>
    <s v="Kgs"/>
    <n v="1396"/>
    <n v="0"/>
    <n v="1396"/>
    <s v="GJ16Z8614"/>
    <s v="Plastene India ltd - Unit 1-Purchase"/>
    <s v="Plastene India ltd - Unit 1-Purchase"/>
    <s v="PIL1/SC/110"/>
    <d v="2026-07-04T00:00:00"/>
    <s v="JOB IN"/>
    <s v="SELF"/>
    <s v="JBIN-SE 119"/>
    <n v="20"/>
    <n v="0"/>
    <s v="PIL1/SC/110"/>
    <d v="2026-07-04T00:00:00"/>
    <s v="3ROLL, MORE THEN 90GSM COLOR, HQS"/>
    <s v="PP Woven Fabrics,"/>
    <m/>
    <n v="0"/>
    <n v="0"/>
    <n v="0"/>
    <n v="0"/>
    <n v="0"/>
    <n v="0"/>
    <n v="0"/>
    <s v="VAT"/>
    <n v="0"/>
    <n v="0"/>
    <n v="0"/>
    <n v="0"/>
    <n v="0"/>
    <m/>
    <n v="-261401.8"/>
    <n v="0"/>
    <n v="0"/>
    <s v="SF"/>
    <s v="PP/PE Fabric"/>
    <s v="PP UL Fabric"/>
    <s v="SF"/>
    <s v="erp"/>
    <n v="0"/>
    <n v="0"/>
    <s v="R-380"/>
    <d v="2026-07-05T00:00:00"/>
    <s v="24AAACO3087C1ZT"/>
    <s v="kpstore"/>
    <m/>
    <n v="0"/>
    <n v="0"/>
    <n v="0"/>
    <n v="0"/>
    <n v="0"/>
    <n v="0"/>
    <n v="0"/>
    <n v="622140021491"/>
    <d v="2026-07-04T12:43:00"/>
    <n v="1396"/>
    <x v="0"/>
    <n v="0"/>
  </r>
  <r>
    <d v="2026-07-05T00:00:00"/>
    <s v="KPV/26-27/SII01215"/>
    <s v="WIP00023"/>
    <s v="PP UL Fabric With UV"/>
    <s v="No Subcode"/>
    <s v="No PO"/>
    <n v="0"/>
    <n v="2462"/>
    <s v="Kgs"/>
    <n v="2462"/>
    <n v="0"/>
    <n v="2462"/>
    <s v="GJ16Z8614"/>
    <s v="Plastene India ltd - Unit 1-Purchase"/>
    <s v="Plastene India ltd - Unit 1-Purchase"/>
    <s v="PIL1/SC/110"/>
    <d v="2026-07-04T00:00:00"/>
    <s v="JOB IN"/>
    <s v="SELF"/>
    <s v="JBIN-SE 119"/>
    <n v="23"/>
    <n v="0"/>
    <s v="PIL1/SC/110"/>
    <d v="2026-07-04T00:00:00"/>
    <s v="6ROLL MORE THEN  90GSM HQS"/>
    <s v="PP Woven Fabrics,"/>
    <m/>
    <n v="0"/>
    <n v="0"/>
    <n v="0"/>
    <n v="0"/>
    <n v="0"/>
    <n v="0"/>
    <n v="0"/>
    <s v="VAT"/>
    <n v="0"/>
    <n v="0"/>
    <n v="0"/>
    <n v="0"/>
    <n v="0"/>
    <m/>
    <n v="-261401.8"/>
    <n v="0"/>
    <n v="0"/>
    <s v="SF"/>
    <s v="PP/PE Fabric"/>
    <s v="PP UL Fabric"/>
    <s v="SF"/>
    <s v="erp"/>
    <n v="0"/>
    <n v="0"/>
    <s v="R-380"/>
    <d v="2026-07-05T00:00:00"/>
    <s v="24AAACO3087C1ZT"/>
    <s v="kpstore"/>
    <m/>
    <n v="0"/>
    <n v="0"/>
    <n v="0"/>
    <n v="0"/>
    <n v="0"/>
    <n v="0"/>
    <n v="0"/>
    <n v="622140021491"/>
    <d v="2026-07-04T12:43:00"/>
    <n v="2462"/>
    <x v="0"/>
    <n v="0"/>
  </r>
  <r>
    <d v="2026-07-06T00:00:00"/>
    <s v="KPV/26-27/SII01233"/>
    <s v="WIP00023"/>
    <s v="PP UL Fabric With UV"/>
    <s v="No Subcode"/>
    <s v="No PO"/>
    <n v="0"/>
    <n v="641"/>
    <s v="Kgs"/>
    <n v="641"/>
    <n v="0"/>
    <n v="641"/>
    <s v="GJ16AY4240"/>
    <s v="Plastene India ltd - Unit 1-Purchase"/>
    <s v="Plastene India ltd - Unit 1-Purchase"/>
    <s v="PIL1/SC/112"/>
    <d v="2026-07-05T00:00:00"/>
    <s v="JOB IN"/>
    <s v="SELF"/>
    <s v="JBIN-SE 120"/>
    <n v="31"/>
    <n v="0"/>
    <s v="PIL1/SC/112"/>
    <d v="2026-07-05T00:00:00"/>
    <s v="CORNER FABRIC COLOR HQS 1 ROLL"/>
    <s v="PP Woven Fabrics,"/>
    <m/>
    <s v="PATEL  TRANSPORT"/>
    <n v="3915"/>
    <n v="0"/>
    <n v="0"/>
    <n v="0"/>
    <n v="0"/>
    <n v="0"/>
    <s v="VAT"/>
    <n v="0"/>
    <n v="0"/>
    <n v="0"/>
    <n v="0"/>
    <n v="0"/>
    <m/>
    <n v="-80636"/>
    <n v="0"/>
    <n v="0"/>
    <s v="SF"/>
    <s v="PP/PE Fabric"/>
    <s v="PP UL Fabric"/>
    <s v="SF"/>
    <s v="erp"/>
    <n v="0"/>
    <n v="0"/>
    <s v="R-385"/>
    <d v="2026-07-06T00:00:00"/>
    <s v="24AAACO3087C1ZT"/>
    <s v="kpstore"/>
    <m/>
    <n v="0"/>
    <n v="0"/>
    <n v="0"/>
    <n v="0"/>
    <n v="0"/>
    <n v="0"/>
    <n v="0"/>
    <n v="642140302587"/>
    <d v="2026-07-05T16:36:00"/>
    <n v="641"/>
    <x v="0"/>
    <n v="0"/>
  </r>
  <r>
    <d v="2026-07-06T00:00:00"/>
    <s v="KPV/26-27/SII01233"/>
    <s v="WIP00023"/>
    <s v="PP UL Fabric With UV"/>
    <s v="No Subcode"/>
    <s v="No PO"/>
    <n v="0"/>
    <n v="2085"/>
    <s v="Kgs"/>
    <n v="2085"/>
    <n v="0"/>
    <n v="2085"/>
    <s v="GJ16AY4240"/>
    <s v="Plastene India ltd - Unit 1-Purchase"/>
    <s v="Plastene India ltd - Unit 1-Purchase"/>
    <s v="PIL1/SC/112"/>
    <d v="2026-07-05T00:00:00"/>
    <s v="JOB IN"/>
    <s v="SELF"/>
    <s v="JBIN-SE 120"/>
    <n v="25"/>
    <n v="0"/>
    <s v="PIL1/SC/112"/>
    <d v="2026-07-05T00:00:00"/>
    <s v="CROSS CORNER FABRIC MW 3 ROLL"/>
    <s v="PP Woven Fabrics,"/>
    <m/>
    <s v="PATEL  TRANSPORT"/>
    <n v="3915"/>
    <n v="0"/>
    <n v="0"/>
    <n v="0"/>
    <n v="0"/>
    <n v="0"/>
    <s v="VAT"/>
    <n v="0"/>
    <n v="0"/>
    <n v="0"/>
    <n v="0"/>
    <n v="0"/>
    <m/>
    <n v="-80636"/>
    <n v="0"/>
    <n v="0"/>
    <s v="SF"/>
    <s v="PP/PE Fabric"/>
    <s v="PP UL Fabric"/>
    <s v="SF"/>
    <s v="erp"/>
    <n v="0"/>
    <n v="0"/>
    <s v="R-385"/>
    <d v="2026-07-06T00:00:00"/>
    <s v="24AAACO3087C1ZT"/>
    <s v="kpstore"/>
    <m/>
    <n v="0"/>
    <n v="0"/>
    <n v="0"/>
    <n v="0"/>
    <n v="0"/>
    <n v="0"/>
    <n v="0"/>
    <n v="642140302587"/>
    <d v="2026-07-05T16:36:00"/>
    <n v="2085"/>
    <x v="0"/>
    <n v="0"/>
  </r>
  <r>
    <d v="2026-07-06T00:00:00"/>
    <s v="KPV/26-27/SII01233"/>
    <s v="WIP00023"/>
    <s v="PP UL Fabric With UV"/>
    <s v="No Subcode"/>
    <s v="No PO"/>
    <n v="0"/>
    <n v="432"/>
    <s v="Kgs"/>
    <n v="432"/>
    <n v="0"/>
    <n v="432"/>
    <s v="GJ16AY4240"/>
    <s v="Plastene India ltd - Unit 1-Purchase"/>
    <s v="Plastene India ltd - Unit 1-Purchase"/>
    <s v="PIL1/SC/112"/>
    <d v="2026-07-05T00:00:00"/>
    <s v="JOB IN"/>
    <s v="SELF"/>
    <s v="JBIN-SE 120"/>
    <n v="20"/>
    <n v="0"/>
    <s v="PIL1/SC/112"/>
    <d v="2026-07-05T00:00:00"/>
    <s v="MORE THEN 90GSM MW 1 ROLL"/>
    <s v="PP Woven Fabrics,"/>
    <m/>
    <s v="PATEL  TRANSPORT"/>
    <n v="3915"/>
    <n v="0"/>
    <n v="0"/>
    <n v="0"/>
    <n v="0"/>
    <n v="0"/>
    <s v="VAT"/>
    <n v="0"/>
    <n v="0"/>
    <n v="0"/>
    <n v="0"/>
    <n v="0"/>
    <m/>
    <n v="-80636"/>
    <n v="0"/>
    <n v="0"/>
    <s v="SF"/>
    <s v="PP/PE Fabric"/>
    <s v="PP UL Fabric"/>
    <s v="SF"/>
    <s v="erp"/>
    <n v="0"/>
    <n v="0"/>
    <s v="R-385"/>
    <d v="2026-07-06T00:00:00"/>
    <s v="24AAACO3087C1ZT"/>
    <s v="kpstore"/>
    <m/>
    <n v="0"/>
    <n v="0"/>
    <n v="0"/>
    <n v="0"/>
    <n v="0"/>
    <n v="0"/>
    <n v="0"/>
    <n v="642140302587"/>
    <d v="2026-07-05T16:36:00"/>
    <n v="432"/>
    <x v="0"/>
    <n v="0"/>
  </r>
  <r>
    <d v="2026-07-07T00:00:00"/>
    <s v="KPV/26-27/SII01237"/>
    <s v="WIP00023"/>
    <s v="PP UL Fabric With UV"/>
    <s v="No Subcode"/>
    <s v="No PO"/>
    <n v="0"/>
    <n v="1148"/>
    <s v="Kgs"/>
    <n v="1148"/>
    <n v="0"/>
    <n v="1148"/>
    <s v="GJ02XX9133"/>
    <s v="Plastene India ltd - Unit 1-Purchase"/>
    <s v="Plastene India ltd - Unit 1-Purchase"/>
    <s v="PIL1/SC/113"/>
    <d v="2026-07-07T00:00:00"/>
    <s v="JOB IN"/>
    <s v="SELF"/>
    <s v="JBIN-SE 121"/>
    <n v="31"/>
    <n v="0"/>
    <s v="PIL1/SC/113"/>
    <d v="2026-07-07T00:00:00"/>
    <s v="2 ROLL"/>
    <s v="PP Woven Fabrics,"/>
    <m/>
    <s v="."/>
    <s v="."/>
    <n v="0"/>
    <n v="0"/>
    <n v="0"/>
    <n v="0"/>
    <n v="0"/>
    <s v="VAT"/>
    <n v="0"/>
    <n v="0"/>
    <n v="0"/>
    <n v="0"/>
    <n v="0"/>
    <m/>
    <n v="-154429"/>
    <n v="0"/>
    <n v="0"/>
    <s v="SF"/>
    <s v="PP/PE Fabric"/>
    <s v="PP UL Fabric"/>
    <s v="SF"/>
    <s v="erp"/>
    <n v="0"/>
    <n v="0"/>
    <s v="R-392"/>
    <d v="2026-07-07T00:00:00"/>
    <s v="24AAACO3087C1ZT"/>
    <s v="kpstore"/>
    <m/>
    <n v="0"/>
    <n v="0"/>
    <n v="0"/>
    <n v="0"/>
    <n v="0"/>
    <n v="0"/>
    <n v="0"/>
    <n v="652140822215"/>
    <d v="2026-07-06T15:05:00"/>
    <n v="1148"/>
    <x v="0"/>
    <n v="0"/>
  </r>
  <r>
    <d v="2026-07-07T00:00:00"/>
    <s v="KPV/26-27/SII01237"/>
    <s v="WIP00023"/>
    <s v="PP UL Fabric With UV"/>
    <s v="No Subcode"/>
    <s v="No PO"/>
    <n v="0"/>
    <n v="2627"/>
    <s v="Kgs"/>
    <n v="2627"/>
    <n v="0"/>
    <n v="2627"/>
    <s v="GJ02XX9133"/>
    <s v="Plastene India ltd - Unit 1-Purchase"/>
    <s v="Plastene India ltd - Unit 1-Purchase"/>
    <s v="PIL1/SC/113"/>
    <d v="2026-07-07T00:00:00"/>
    <s v="JOB IN"/>
    <s v="SELF"/>
    <s v="JBIN-SE 121"/>
    <n v="25"/>
    <n v="0"/>
    <s v="PIL1/SC/113"/>
    <d v="2026-07-07T00:00:00"/>
    <s v="4 ROLL"/>
    <s v="PP Woven Fabrics,"/>
    <m/>
    <s v="."/>
    <s v="."/>
    <n v="0"/>
    <n v="0"/>
    <n v="0"/>
    <n v="0"/>
    <n v="0"/>
    <s v="VAT"/>
    <n v="0"/>
    <n v="0"/>
    <n v="0"/>
    <n v="0"/>
    <n v="0"/>
    <m/>
    <n v="-154429"/>
    <n v="0"/>
    <n v="0"/>
    <s v="SF"/>
    <s v="PP/PE Fabric"/>
    <s v="PP UL Fabric"/>
    <s v="SF"/>
    <s v="erp"/>
    <n v="0"/>
    <n v="0"/>
    <s v="R-392"/>
    <d v="2026-07-07T00:00:00"/>
    <s v="24AAACO3087C1ZT"/>
    <s v="kpstore"/>
    <m/>
    <n v="0"/>
    <n v="0"/>
    <n v="0"/>
    <n v="0"/>
    <n v="0"/>
    <n v="0"/>
    <n v="0"/>
    <n v="652140822215"/>
    <d v="2026-07-06T15:05:00"/>
    <n v="2627"/>
    <x v="0"/>
    <n v="0"/>
  </r>
  <r>
    <d v="2026-07-07T00:00:00"/>
    <s v="KPV/26-27/SII01237"/>
    <s v="WIP00023"/>
    <s v="PP UL Fabric With UV"/>
    <s v="No Subcode"/>
    <s v="No PO"/>
    <n v="0"/>
    <n v="353"/>
    <s v="Kgs"/>
    <n v="353"/>
    <n v="0"/>
    <n v="353"/>
    <s v="GJ02XX9133"/>
    <s v="Plastene India ltd - Unit 1-Purchase"/>
    <s v="Plastene India ltd - Unit 1-Purchase"/>
    <s v="PIL1/SC/113"/>
    <d v="2026-07-07T00:00:00"/>
    <s v="JOB IN"/>
    <s v="SELF"/>
    <s v="JBIN-SE 121"/>
    <n v="26"/>
    <n v="0"/>
    <s v="PIL1/SC/113"/>
    <d v="2026-07-07T00:00:00"/>
    <s v="1 ROLL"/>
    <s v="PP Woven Fabrics,"/>
    <m/>
    <s v="."/>
    <s v="."/>
    <n v="0"/>
    <n v="0"/>
    <n v="0"/>
    <n v="0"/>
    <n v="0"/>
    <s v="VAT"/>
    <n v="0"/>
    <n v="0"/>
    <n v="0"/>
    <n v="0"/>
    <n v="0"/>
    <m/>
    <n v="-154429"/>
    <n v="0"/>
    <n v="0"/>
    <s v="SF"/>
    <s v="PP/PE Fabric"/>
    <s v="PP UL Fabric"/>
    <s v="SF"/>
    <s v="erp"/>
    <n v="0"/>
    <n v="0"/>
    <s v="R-392"/>
    <d v="2026-07-07T00:00:00"/>
    <s v="24AAACO3087C1ZT"/>
    <s v="kpstore"/>
    <m/>
    <n v="0"/>
    <n v="0"/>
    <n v="0"/>
    <n v="0"/>
    <n v="0"/>
    <n v="0"/>
    <n v="0"/>
    <n v="652140822215"/>
    <d v="2026-07-06T15:05:00"/>
    <n v="353"/>
    <x v="0"/>
    <n v="0"/>
  </r>
  <r>
    <d v="2026-07-07T00:00:00"/>
    <s v="KPV/26-27/SII01237"/>
    <s v="WIP00023"/>
    <s v="PP UL Fabric With UV"/>
    <s v="No Subcode"/>
    <s v="No PO"/>
    <n v="0"/>
    <n v="985"/>
    <s v="Kgs"/>
    <n v="985"/>
    <n v="0"/>
    <n v="985"/>
    <s v="GJ02XX9133"/>
    <s v="Plastene India ltd - Unit 1-Purchase"/>
    <s v="Plastene India ltd - Unit 1-Purchase"/>
    <s v="PIL1/SC/113"/>
    <d v="2026-07-07T00:00:00"/>
    <s v="JOB IN"/>
    <s v="SELF"/>
    <s v="JBIN-SE 121"/>
    <n v="20"/>
    <n v="0"/>
    <s v="PIL1/SC/113"/>
    <d v="2026-07-07T00:00:00"/>
    <s v="2 ROLL"/>
    <s v="PP Woven Fabrics,"/>
    <m/>
    <s v="."/>
    <s v="."/>
    <n v="0"/>
    <n v="0"/>
    <n v="0"/>
    <n v="0"/>
    <n v="0"/>
    <s v="VAT"/>
    <n v="0"/>
    <n v="0"/>
    <n v="0"/>
    <n v="0"/>
    <n v="0"/>
    <m/>
    <n v="-154429"/>
    <n v="0"/>
    <n v="0"/>
    <s v="SF"/>
    <s v="PP/PE Fabric"/>
    <s v="PP UL Fabric"/>
    <s v="SF"/>
    <s v="erp"/>
    <n v="0"/>
    <n v="0"/>
    <s v="R-392"/>
    <d v="2026-07-07T00:00:00"/>
    <s v="24AAACO3087C1ZT"/>
    <s v="kpstore"/>
    <m/>
    <n v="0"/>
    <n v="0"/>
    <n v="0"/>
    <n v="0"/>
    <n v="0"/>
    <n v="0"/>
    <n v="0"/>
    <n v="652140822215"/>
    <d v="2026-07-06T15:05:00"/>
    <n v="985"/>
    <x v="0"/>
    <n v="0"/>
  </r>
  <r>
    <d v="2026-07-07T00:00:00"/>
    <s v="KPV/26-27/SII01237"/>
    <s v="WIP00023"/>
    <s v="PP UL Fabric With UV"/>
    <s v="No Subcode"/>
    <s v="No PO"/>
    <n v="0"/>
    <n v="1056"/>
    <s v="Kgs"/>
    <n v="1056"/>
    <n v="0"/>
    <n v="1056"/>
    <s v="GJ02XX9133"/>
    <s v="Plastene India ltd - Unit 1-Purchase"/>
    <s v="Plastene India ltd - Unit 1-Purchase"/>
    <s v="PIL1/SC/113"/>
    <d v="2026-07-07T00:00:00"/>
    <s v="JOB IN"/>
    <s v="SELF"/>
    <s v="JBIN-SE 121"/>
    <n v="23"/>
    <n v="0"/>
    <s v="PIL1/SC/113"/>
    <d v="2026-07-07T00:00:00"/>
    <s v="3 ROLL"/>
    <s v="PP Woven Fabrics,"/>
    <m/>
    <s v="."/>
    <s v="."/>
    <n v="0"/>
    <n v="0"/>
    <n v="0"/>
    <n v="0"/>
    <n v="0"/>
    <s v="VAT"/>
    <n v="0"/>
    <n v="0"/>
    <n v="0"/>
    <n v="0"/>
    <n v="0"/>
    <m/>
    <n v="-154429"/>
    <n v="0"/>
    <n v="0"/>
    <s v="SF"/>
    <s v="PP/PE Fabric"/>
    <s v="PP UL Fabric"/>
    <s v="SF"/>
    <s v="erp"/>
    <n v="0"/>
    <n v="0"/>
    <s v="R-392"/>
    <d v="2026-07-07T00:00:00"/>
    <s v="24AAACO3087C1ZT"/>
    <s v="kpstore"/>
    <m/>
    <n v="0"/>
    <n v="0"/>
    <n v="0"/>
    <n v="0"/>
    <n v="0"/>
    <n v="0"/>
    <n v="0"/>
    <n v="652140822215"/>
    <d v="2026-07-06T15:05:00"/>
    <n v="1056"/>
    <x v="0"/>
    <n v="0"/>
  </r>
  <r>
    <d v="2026-07-07T00:00:00"/>
    <s v="KPV/26-27/SII01260"/>
    <s v="RAW05130"/>
    <s v="PP Basell 462S"/>
    <s v="No Subcode"/>
    <s v="No PO"/>
    <n v="0"/>
    <n v="1500"/>
    <s v="Kgs"/>
    <n v="1500"/>
    <n v="0"/>
    <n v="1500"/>
    <s v="GJ18BW4749"/>
    <s v="Plastene India ltd - Unit 2-Purchase"/>
    <s v="Plastene India ltd - Unit 2-Purchase"/>
    <s v="PIL2/SC/52"/>
    <d v="2026-07-07T00:00:00"/>
    <s v="JOB IN"/>
    <s v="SELF"/>
    <s v="JBIN-SE 122"/>
    <n v="127"/>
    <n v="0"/>
    <s v="PIL2/SC/52"/>
    <d v="2026-07-07T00:00:00"/>
    <s v="60 BAGS"/>
    <s v="PP Woven Fabrics,"/>
    <m/>
    <s v="."/>
    <s v="."/>
    <n v="0"/>
    <n v="0"/>
    <n v="0"/>
    <n v="0"/>
    <n v="0"/>
    <s v="VAT"/>
    <n v="0"/>
    <n v="0"/>
    <n v="0"/>
    <n v="0"/>
    <n v="0"/>
    <m/>
    <n v="-190500"/>
    <n v="0"/>
    <n v="0"/>
    <s v="RM"/>
    <s v="Granules"/>
    <s v="PP Granules"/>
    <s v="RM"/>
    <s v="erp"/>
    <n v="0"/>
    <n v="0"/>
    <s v="R-396"/>
    <d v="2026-07-07T00:00:00"/>
    <s v="24AAACO3087C1ZT"/>
    <s v="kpstore"/>
    <m/>
    <n v="0"/>
    <n v="0"/>
    <n v="0"/>
    <n v="0"/>
    <n v="0"/>
    <n v="0"/>
    <n v="0"/>
    <n v="632141335860"/>
    <d v="2026-07-07T10:55:00"/>
    <n v="1500"/>
    <x v="6"/>
    <n v="0"/>
  </r>
  <r>
    <d v="2026-07-08T00:00:00"/>
    <s v="KPV/26-27/SII01265"/>
    <s v="RAW05516"/>
    <s v="UV Arguvin FG 626 LD"/>
    <n v="1"/>
    <s v="No PO"/>
    <n v="0"/>
    <n v="2000"/>
    <s v="Kgs"/>
    <n v="2000"/>
    <n v="0"/>
    <n v="2000"/>
    <s v="GJ24X8795"/>
    <s v="Plastene India ltd - Unit 1-Purchase"/>
    <s v="Plastene India ltd - Unit 1-Purchase"/>
    <s v="PIL1/JW/45"/>
    <d v="2026-07-07T00:00:00"/>
    <s v="JOB IN"/>
    <s v="OTHER"/>
    <s v="JBIN-OT 17"/>
    <n v="194.99"/>
    <n v="0"/>
    <s v="PIL1/JW/45"/>
    <d v="2026-07-07T00:00:00"/>
    <s v="80 BAGS"/>
    <m/>
    <m/>
    <s v="PATEL  TRANSPORT"/>
    <s v="3919 07-07-2026"/>
    <n v="0"/>
    <n v="0"/>
    <n v="0"/>
    <n v="0"/>
    <n v="0"/>
    <s v="VAT"/>
    <n v="0"/>
    <n v="0"/>
    <n v="0"/>
    <n v="0"/>
    <n v="0"/>
    <m/>
    <n v="-389980"/>
    <n v="0"/>
    <n v="0"/>
    <s v="RM"/>
    <s v="Granules"/>
    <s v="UV MB"/>
    <s v="RM"/>
    <s v="erp"/>
    <n v="0"/>
    <n v="0"/>
    <s v="R-401"/>
    <d v="2026-07-08T00:00:00"/>
    <s v="24AAACO3087C1ZT"/>
    <s v="kpstore"/>
    <m/>
    <n v="0"/>
    <n v="0"/>
    <n v="0"/>
    <n v="0"/>
    <n v="0"/>
    <n v="0"/>
    <n v="0"/>
    <n v="662141302256"/>
    <d v="2026-07-07T14:41:00"/>
    <n v="2000"/>
    <x v="5"/>
    <n v="0"/>
  </r>
  <r>
    <d v="2026-07-08T00:00:00"/>
    <s v="KPV/26-27/SII01271"/>
    <s v="WIP00031"/>
    <s v="PP/HD Wastage/Scrap"/>
    <s v="No Subcode"/>
    <s v="No PO"/>
    <n v="0"/>
    <n v="296.39999999999998"/>
    <s v="Kgs"/>
    <n v="296.39999999999998"/>
    <n v="0"/>
    <n v="296.39999999999998"/>
    <s v="GJ27TG8278"/>
    <s v="Kayel Syntex Limited"/>
    <s v="Kayel Syntex Limited"/>
    <n v="53"/>
    <d v="2026-07-06T00:00:00"/>
    <s v="JOB IN"/>
    <s v="SELF"/>
    <s v="JBIN-SE 123"/>
    <n v="28"/>
    <n v="0"/>
    <n v="53"/>
    <d v="2026-07-06T00:00:00"/>
    <m/>
    <s v="PP Woven Fabrics,Monofilament Yarn,"/>
    <m/>
    <s v="."/>
    <s v="."/>
    <n v="0"/>
    <n v="0"/>
    <n v="0"/>
    <n v="0"/>
    <n v="0"/>
    <s v="VAT"/>
    <n v="0"/>
    <n v="0"/>
    <n v="0"/>
    <n v="0"/>
    <n v="0"/>
    <m/>
    <n v="-57170.400000000001"/>
    <n v="0"/>
    <n v="0"/>
    <s v="SF"/>
    <s v="Wastage/Scrap"/>
    <s v="Wastage/Scrap"/>
    <s v="SF"/>
    <s v="erp"/>
    <n v="0"/>
    <n v="0"/>
    <s v="R-390"/>
    <d v="2026-07-06T00:00:00"/>
    <s v="24AAACK8589P1ZP"/>
    <s v="kpstore"/>
    <m/>
    <n v="0"/>
    <n v="0"/>
    <n v="0"/>
    <n v="0"/>
    <n v="0"/>
    <n v="0"/>
    <n v="0"/>
    <n v="672140725006"/>
    <d v="2026-07-07T15:35:00"/>
    <n v="296.39999999999998"/>
    <x v="4"/>
    <n v="0"/>
  </r>
  <r>
    <d v="2026-07-08T00:00:00"/>
    <s v="KPV/26-27/SII01271"/>
    <s v="SMF00253"/>
    <s v="Monofilament Yarn 840 Denier"/>
    <s v="No Subcode"/>
    <s v="No PO"/>
    <n v="0"/>
    <n v="1210.2"/>
    <s v="Kgs"/>
    <n v="1210.2"/>
    <n v="0"/>
    <n v="1210.2"/>
    <s v="GJ27TG8278"/>
    <s v="Kayel Syntex Limited"/>
    <s v="Kayel Syntex Limited"/>
    <n v="53"/>
    <d v="2026-07-06T00:00:00"/>
    <s v="JOB IN"/>
    <s v="SELF"/>
    <s v="JBIN-SE 123"/>
    <n v="28"/>
    <n v="0"/>
    <n v="53"/>
    <d v="2026-07-06T00:00:00"/>
    <s v="10 ROLL"/>
    <s v="PP Woven Fabrics,Monofilament Yarn,"/>
    <m/>
    <s v="."/>
    <s v="."/>
    <n v="0"/>
    <n v="0"/>
    <n v="0"/>
    <n v="0"/>
    <n v="0"/>
    <s v="VAT"/>
    <n v="0"/>
    <n v="0"/>
    <n v="0"/>
    <n v="0"/>
    <n v="0"/>
    <m/>
    <n v="-57170.400000000001"/>
    <n v="0"/>
    <n v="0"/>
    <s v="SF"/>
    <s v="Yarn All"/>
    <s v="PP Yarn"/>
    <s v="SF"/>
    <s v="erp"/>
    <n v="0"/>
    <n v="0"/>
    <s v="R-390"/>
    <d v="2026-07-06T00:00:00"/>
    <s v="24AAACK8589P1ZP"/>
    <s v="kpstore"/>
    <m/>
    <n v="0"/>
    <n v="0"/>
    <n v="0"/>
    <n v="0"/>
    <n v="0"/>
    <n v="0"/>
    <n v="0"/>
    <n v="672140725006"/>
    <d v="2026-07-07T15:35:00"/>
    <n v="1210.2"/>
    <x v="2"/>
    <n v="0"/>
  </r>
  <r>
    <d v="2026-07-08T00:00:00"/>
    <s v="KPV/26-27/SII01271"/>
    <s v="SMF00253"/>
    <s v="Monofilament Yarn 840 Denier"/>
    <s v="No Subcode"/>
    <s v="No PO"/>
    <n v="0"/>
    <n v="535.20000000000005"/>
    <s v="Kgs"/>
    <n v="535.20000000000005"/>
    <n v="0"/>
    <n v="535.20000000000005"/>
    <s v="GJ27TG8278"/>
    <s v="Kayel Syntex Limited"/>
    <s v="Kayel Syntex Limited"/>
    <n v="53"/>
    <d v="2026-07-06T00:00:00"/>
    <s v="JOB IN"/>
    <s v="SELF"/>
    <s v="JBIN-SE 123"/>
    <n v="28"/>
    <n v="0"/>
    <n v="53"/>
    <d v="2026-07-06T00:00:00"/>
    <s v="3 ROLL EMPTY COPES 33 BAGS QTY-644 NOS"/>
    <s v="PP Woven Fabrics,Monofilament Yarn,"/>
    <m/>
    <s v="."/>
    <s v="."/>
    <n v="0"/>
    <n v="0"/>
    <n v="0"/>
    <n v="0"/>
    <n v="0"/>
    <s v="VAT"/>
    <n v="0"/>
    <n v="0"/>
    <n v="0"/>
    <n v="0"/>
    <n v="0"/>
    <m/>
    <n v="-57170.400000000001"/>
    <n v="0"/>
    <n v="0"/>
    <s v="SF"/>
    <s v="Yarn All"/>
    <s v="PP Yarn"/>
    <s v="SF"/>
    <s v="erp"/>
    <n v="0"/>
    <n v="0"/>
    <s v="R-390"/>
    <d v="2026-07-06T00:00:00"/>
    <s v="24AAACK8589P1ZP"/>
    <s v="kpstore"/>
    <m/>
    <n v="0"/>
    <n v="0"/>
    <n v="0"/>
    <n v="0"/>
    <n v="0"/>
    <n v="0"/>
    <n v="0"/>
    <n v="672140725006"/>
    <d v="2026-07-07T15:35:00"/>
    <n v="535.20000000000005"/>
    <x v="2"/>
    <n v="0"/>
  </r>
  <r>
    <d v="2026-07-09T00:00:00"/>
    <s v="KPV/26-27/SII01279"/>
    <s v="WIP00023"/>
    <s v="PP UL Fabric With UV"/>
    <s v="No Subcode"/>
    <s v="No PO"/>
    <n v="0"/>
    <n v="1250"/>
    <s v="Kgs"/>
    <n v="1250"/>
    <n v="0"/>
    <n v="1250"/>
    <s v="GJ24X8795"/>
    <s v="Plastene India ltd - Unit 1-Purchase"/>
    <s v="Plastene India ltd - Unit 1-Purchase"/>
    <s v="PIL1/SC/115"/>
    <d v="2026-07-07T00:00:00"/>
    <s v="JOB IN"/>
    <s v="SELF"/>
    <s v="JBIN-SE 124"/>
    <n v="25"/>
    <n v="0"/>
    <s v="PIL1/SC/115"/>
    <d v="2026-07-07T00:00:00"/>
    <s v="2 ROLL"/>
    <s v="."/>
    <m/>
    <s v="."/>
    <s v="."/>
    <n v="0"/>
    <n v="0"/>
    <n v="0"/>
    <n v="0"/>
    <n v="0"/>
    <s v="VAT"/>
    <n v="0"/>
    <n v="0"/>
    <n v="0"/>
    <n v="0"/>
    <n v="0"/>
    <m/>
    <n v="-69932"/>
    <n v="0"/>
    <n v="0"/>
    <s v="SF"/>
    <s v="PP/PE Fabric"/>
    <s v="PP UL Fabric"/>
    <s v="SF"/>
    <s v="erp"/>
    <n v="0"/>
    <n v="0"/>
    <s v="R-399"/>
    <d v="2026-07-08T00:00:00"/>
    <s v="24AAACO3087C1ZT"/>
    <s v="kpstore"/>
    <m/>
    <n v="0"/>
    <n v="0"/>
    <n v="0"/>
    <n v="0"/>
    <n v="0"/>
    <n v="0"/>
    <n v="0"/>
    <n v="662141322027"/>
    <d v="2026-07-07T12:42:00"/>
    <n v="1250"/>
    <x v="0"/>
    <n v="0"/>
  </r>
  <r>
    <d v="2026-07-09T00:00:00"/>
    <s v="KPV/26-27/SII01279"/>
    <s v="WIP00023"/>
    <s v="PP UL Fabric With UV"/>
    <s v="No Subcode"/>
    <s v="No PO"/>
    <n v="0"/>
    <n v="365"/>
    <s v="Kgs"/>
    <n v="365"/>
    <n v="0"/>
    <n v="365"/>
    <s v="GJ24X8795"/>
    <s v="Plastene India ltd - Unit 1-Purchase"/>
    <s v="Plastene India ltd - Unit 1-Purchase"/>
    <s v="PIL1/SC/115"/>
    <d v="2026-07-07T00:00:00"/>
    <s v="JOB IN"/>
    <s v="SELF"/>
    <s v="JBIN-SE 124"/>
    <n v="26"/>
    <n v="0"/>
    <s v="PIL1/SC/115"/>
    <d v="2026-07-07T00:00:00"/>
    <s v="1 ROLL"/>
    <s v="."/>
    <m/>
    <s v="."/>
    <s v="."/>
    <n v="0"/>
    <n v="0"/>
    <n v="0"/>
    <n v="0"/>
    <n v="0"/>
    <s v="VAT"/>
    <n v="0"/>
    <n v="0"/>
    <n v="0"/>
    <n v="0"/>
    <n v="0"/>
    <m/>
    <n v="-69932"/>
    <n v="0"/>
    <n v="0"/>
    <s v="SF"/>
    <s v="PP/PE Fabric"/>
    <s v="PP UL Fabric"/>
    <s v="SF"/>
    <s v="erp"/>
    <n v="0"/>
    <n v="0"/>
    <s v="R-399"/>
    <d v="2026-07-08T00:00:00"/>
    <s v="24AAACO3087C1ZT"/>
    <s v="kpstore"/>
    <m/>
    <n v="0"/>
    <n v="0"/>
    <n v="0"/>
    <n v="0"/>
    <n v="0"/>
    <n v="0"/>
    <n v="0"/>
    <n v="662141322027"/>
    <d v="2026-07-07T12:42:00"/>
    <n v="365"/>
    <x v="0"/>
    <n v="0"/>
  </r>
  <r>
    <d v="2026-07-09T00:00:00"/>
    <s v="KPV/26-27/SII01279"/>
    <s v="WIP00023"/>
    <s v="PP UL Fabric With UV"/>
    <s v="No Subcode"/>
    <s v="No PO"/>
    <n v="0"/>
    <n v="719"/>
    <s v="Kgs"/>
    <n v="719"/>
    <n v="0"/>
    <n v="719"/>
    <s v="GJ24X8795"/>
    <s v="Plastene India ltd - Unit 1-Purchase"/>
    <s v="Plastene India ltd - Unit 1-Purchase"/>
    <s v="PIL1/SC/115"/>
    <d v="2026-07-07T00:00:00"/>
    <s v="JOB IN"/>
    <s v="SELF"/>
    <s v="JBIN-SE 124"/>
    <n v="20"/>
    <n v="0"/>
    <s v="PIL1/SC/115"/>
    <d v="2026-07-07T00:00:00"/>
    <s v="2 ROLL"/>
    <s v="."/>
    <m/>
    <s v="."/>
    <s v="."/>
    <n v="0"/>
    <n v="0"/>
    <n v="0"/>
    <n v="0"/>
    <n v="0"/>
    <s v="VAT"/>
    <n v="0"/>
    <n v="0"/>
    <n v="0"/>
    <n v="0"/>
    <n v="0"/>
    <m/>
    <n v="-69932"/>
    <n v="0"/>
    <n v="0"/>
    <s v="SF"/>
    <s v="PP/PE Fabric"/>
    <s v="PP UL Fabric"/>
    <s v="SF"/>
    <s v="erp"/>
    <n v="0"/>
    <n v="0"/>
    <s v="R-399"/>
    <d v="2026-07-08T00:00:00"/>
    <s v="24AAACO3087C1ZT"/>
    <s v="kpstore"/>
    <m/>
    <n v="0"/>
    <n v="0"/>
    <n v="0"/>
    <n v="0"/>
    <n v="0"/>
    <n v="0"/>
    <n v="0"/>
    <n v="662141322027"/>
    <d v="2026-07-07T12:42:00"/>
    <n v="719"/>
    <x v="0"/>
    <n v="0"/>
  </r>
  <r>
    <d v="2026-07-09T00:00:00"/>
    <s v="KPV/26-27/SII01279"/>
    <s v="WIP00023"/>
    <s v="PP UL Fabric With UV"/>
    <s v="No Subcode"/>
    <s v="No PO"/>
    <n v="0"/>
    <n v="644"/>
    <s v="Kgs"/>
    <n v="644"/>
    <n v="0"/>
    <n v="644"/>
    <s v="GJ24X8795"/>
    <s v="Plastene India ltd - Unit 1-Purchase"/>
    <s v="Plastene India ltd - Unit 1-Purchase"/>
    <s v="PIL1/SC/115"/>
    <d v="2026-07-07T00:00:00"/>
    <s v="JOB IN"/>
    <s v="SELF"/>
    <s v="JBIN-SE 124"/>
    <n v="23"/>
    <n v="0"/>
    <s v="PIL1/SC/115"/>
    <d v="2026-07-07T00:00:00"/>
    <s v="2 ROLL"/>
    <s v="."/>
    <m/>
    <s v="."/>
    <s v="."/>
    <n v="0"/>
    <n v="0"/>
    <n v="0"/>
    <n v="0"/>
    <n v="0"/>
    <s v="VAT"/>
    <n v="0"/>
    <n v="0"/>
    <n v="0"/>
    <n v="0"/>
    <n v="0"/>
    <m/>
    <n v="-69932"/>
    <n v="0"/>
    <n v="0"/>
    <s v="SF"/>
    <s v="PP/PE Fabric"/>
    <s v="PP UL Fabric"/>
    <s v="SF"/>
    <s v="erp"/>
    <n v="0"/>
    <n v="0"/>
    <s v="R-399"/>
    <d v="2026-07-08T00:00:00"/>
    <s v="24AAACO3087C1ZT"/>
    <s v="kpstore"/>
    <m/>
    <n v="0"/>
    <n v="0"/>
    <n v="0"/>
    <n v="0"/>
    <n v="0"/>
    <n v="0"/>
    <n v="0"/>
    <n v="662141322027"/>
    <d v="2026-07-07T12:42:00"/>
    <n v="644"/>
    <x v="0"/>
    <n v="0"/>
  </r>
  <r>
    <d v="2026-07-09T00:00:00"/>
    <s v="KPV/26-27/SII01283"/>
    <s v="WIP00151"/>
    <s v="PP MF Yarn Twisted 1000 UV NW"/>
    <s v="No Subcode"/>
    <s v="No PO"/>
    <n v="0"/>
    <n v="1213.3"/>
    <s v="Kgs"/>
    <n v="1213.3"/>
    <n v="0"/>
    <n v="1213.3"/>
    <s v="GJ18BX0314"/>
    <s v="Plastene India ltd - Unit 1-Purchase"/>
    <s v="Plastene India ltd - Unit 1-Purchase"/>
    <s v="PIL1/SC/116"/>
    <d v="2026-07-08T00:00:00"/>
    <s v="JOB IN"/>
    <s v="SELF"/>
    <s v="JBIN-SE 125"/>
    <n v="32"/>
    <n v="0"/>
    <s v="PIL1/SC/116"/>
    <d v="2026-07-08T00:00:00"/>
    <s v="30 BUN."/>
    <s v="PP Woven Fabrics,"/>
    <m/>
    <s v="."/>
    <s v="."/>
    <n v="0"/>
    <n v="0"/>
    <n v="0"/>
    <n v="0"/>
    <n v="0"/>
    <s v="VAT"/>
    <n v="0"/>
    <n v="0"/>
    <n v="0"/>
    <n v="0"/>
    <n v="0"/>
    <m/>
    <n v="-82799.600000000006"/>
    <n v="0"/>
    <n v="0"/>
    <s v="SF"/>
    <s v="Yarn All"/>
    <s v="PP Yarn"/>
    <s v="SF"/>
    <m/>
    <n v="0"/>
    <n v="0"/>
    <s v="R-404"/>
    <d v="2026-07-09T00:00:00"/>
    <s v="24AAACO3087C1ZT"/>
    <s v="kpstore"/>
    <m/>
    <n v="0"/>
    <n v="0"/>
    <n v="0"/>
    <n v="0"/>
    <n v="0"/>
    <n v="0"/>
    <n v="0"/>
    <n v="622141806590"/>
    <d v="2026-07-08T00:00:00"/>
    <n v="1213.3"/>
    <x v="2"/>
    <n v="0"/>
  </r>
  <r>
    <d v="2026-07-09T00:00:00"/>
    <s v="KPV/26-27/SII01283"/>
    <s v="WIP00181"/>
    <s v="PP MF Yarn Twisted 2500 Denier UV NW"/>
    <s v="No Subcode"/>
    <s v="No PO"/>
    <n v="0"/>
    <n v="1256.4000000000001"/>
    <s v="Kgs"/>
    <n v="1256.4000000000001"/>
    <n v="0"/>
    <n v="1256.4000000000001"/>
    <s v="GJ18BX0314"/>
    <s v="Plastene India ltd - Unit 1-Purchase"/>
    <s v="Plastene India ltd - Unit 1-Purchase"/>
    <s v="PIL1/SC/116"/>
    <d v="2026-07-08T00:00:00"/>
    <s v="JOB IN"/>
    <s v="SELF"/>
    <s v="JBIN-SE 125"/>
    <n v="35"/>
    <n v="0"/>
    <s v="PIL1/SC/116"/>
    <d v="2026-07-08T00:00:00"/>
    <s v="30 BUN."/>
    <s v="PP Woven Fabrics,"/>
    <m/>
    <s v="."/>
    <s v="."/>
    <n v="0"/>
    <n v="0"/>
    <n v="0"/>
    <n v="0"/>
    <n v="0"/>
    <s v="VAT"/>
    <n v="0"/>
    <n v="0"/>
    <n v="0"/>
    <n v="0"/>
    <n v="0"/>
    <m/>
    <n v="-82799.600000000006"/>
    <n v="0"/>
    <n v="0"/>
    <s v="SF"/>
    <s v="Yarn All"/>
    <s v="PP Yarn"/>
    <s v="SF"/>
    <m/>
    <n v="0"/>
    <n v="0"/>
    <s v="R-404"/>
    <d v="2026-07-09T00:00:00"/>
    <s v="24AAACO3087C1ZT"/>
    <s v="kpstore"/>
    <m/>
    <n v="0"/>
    <n v="0"/>
    <n v="0"/>
    <n v="0"/>
    <n v="0"/>
    <n v="0"/>
    <n v="0"/>
    <n v="622141806590"/>
    <d v="2026-07-08T00:00:00"/>
    <n v="1256.4000000000001"/>
    <x v="2"/>
    <n v="0"/>
  </r>
  <r>
    <d v="2026-07-10T00:00:00"/>
    <s v="KPV/26-27/SII01295"/>
    <s v="WIP00025"/>
    <s v="PP Lam Fabric With UV"/>
    <s v="No Subcode"/>
    <s v="No PO"/>
    <n v="0"/>
    <n v="1521.2"/>
    <s v="Kgs"/>
    <n v="1521.2"/>
    <n v="0"/>
    <n v="1521.2"/>
    <s v="GJ16Z8614"/>
    <s v="Plastene India ltd - Unit 1-Purchase"/>
    <s v="Plastene India ltd - Unit 1-Purchase"/>
    <s v="PIL1/SC/117"/>
    <d v="2026-07-09T00:00:00"/>
    <s v="JOB IN"/>
    <s v="SELF"/>
    <s v="JBIN-SE 126"/>
    <n v="33"/>
    <n v="0"/>
    <s v="PIL1/SC/117"/>
    <d v="2026-07-09T00:00:00"/>
    <s v="12ROLL COATED SULZER FABRIC"/>
    <s v="PP Woven Fabrics,"/>
    <m/>
    <n v="0"/>
    <n v="0"/>
    <n v="0"/>
    <n v="0"/>
    <n v="0"/>
    <n v="0"/>
    <n v="0"/>
    <s v="VAT"/>
    <n v="0"/>
    <n v="0"/>
    <n v="0"/>
    <n v="0"/>
    <n v="0"/>
    <m/>
    <n v="-202609.1"/>
    <n v="0"/>
    <n v="0"/>
    <s v="SF"/>
    <s v="PP/PE Fabric"/>
    <s v="PP Lam Fabric"/>
    <s v="SF"/>
    <s v="erp"/>
    <n v="0"/>
    <n v="0"/>
    <s v="R 407"/>
    <d v="2026-07-10T00:00:00"/>
    <s v="24AAACO3087C1ZT"/>
    <s v="kpstore"/>
    <m/>
    <n v="0"/>
    <n v="0"/>
    <n v="0"/>
    <n v="0"/>
    <n v="0"/>
    <n v="0"/>
    <n v="0"/>
    <n v="672142391975"/>
    <d v="2026-07-09T13:48:00"/>
    <n v="1521.2"/>
    <x v="1"/>
    <n v="0"/>
  </r>
  <r>
    <d v="2026-07-10T00:00:00"/>
    <s v="KPV/26-27/SII01295"/>
    <s v="WIP00025"/>
    <s v="PP Lam Fabric With UV"/>
    <s v="No Subcode"/>
    <s v="No PO"/>
    <n v="0"/>
    <n v="2458.5"/>
    <s v="Kgs"/>
    <n v="2458.5"/>
    <n v="0"/>
    <n v="2458.5"/>
    <s v="GJ16Z8614"/>
    <s v="Plastene India ltd - Unit 1-Purchase"/>
    <s v="Plastene India ltd - Unit 1-Purchase"/>
    <s v="PIL1/SC/117"/>
    <d v="2026-07-09T00:00:00"/>
    <s v="JOB IN"/>
    <s v="SELF"/>
    <s v="JBIN-SE 126"/>
    <n v="30"/>
    <n v="0"/>
    <s v="PIL1/SC/117"/>
    <d v="2026-07-09T00:00:00"/>
    <s v="16ROLL COATED SULZER FABRIC"/>
    <s v="PP Woven Fabrics,"/>
    <m/>
    <n v="0"/>
    <n v="0"/>
    <n v="0"/>
    <n v="0"/>
    <n v="0"/>
    <n v="0"/>
    <n v="0"/>
    <s v="VAT"/>
    <n v="0"/>
    <n v="0"/>
    <n v="0"/>
    <n v="0"/>
    <n v="0"/>
    <m/>
    <n v="-202609.1"/>
    <n v="0"/>
    <n v="0"/>
    <s v="SF"/>
    <s v="PP/PE Fabric"/>
    <s v="PP Lam Fabric"/>
    <s v="SF"/>
    <s v="erp"/>
    <n v="0"/>
    <n v="0"/>
    <s v="R 407"/>
    <d v="2026-07-10T00:00:00"/>
    <s v="24AAACO3087C1ZT"/>
    <s v="kpstore"/>
    <m/>
    <n v="0"/>
    <n v="0"/>
    <n v="0"/>
    <n v="0"/>
    <n v="0"/>
    <n v="0"/>
    <n v="0"/>
    <n v="672142391975"/>
    <d v="2026-07-09T13:48:00"/>
    <n v="2458.5"/>
    <x v="1"/>
    <n v="0"/>
  </r>
  <r>
    <d v="2026-07-10T00:00:00"/>
    <s v="KPV/26-27/SII01295"/>
    <s v="WIP00023"/>
    <s v="PP UL Fabric With UV"/>
    <s v="No Subcode"/>
    <s v="No PO"/>
    <n v="0"/>
    <n v="480"/>
    <s v="Kgs"/>
    <n v="480"/>
    <n v="0"/>
    <n v="480"/>
    <s v="GJ16Z8614"/>
    <s v="Plastene India ltd - Unit 1-Purchase"/>
    <s v="Plastene India ltd - Unit 1-Purchase"/>
    <s v="PIL1/SC/117"/>
    <d v="2026-07-09T00:00:00"/>
    <s v="JOB IN"/>
    <s v="SELF"/>
    <s v="JBIN-SE 126"/>
    <n v="31"/>
    <n v="0"/>
    <s v="PIL1/SC/117"/>
    <d v="2026-07-09T00:00:00"/>
    <s v="1ROLL CROSS CORNNER COLOR HQS"/>
    <s v="PP Woven Fabrics,"/>
    <m/>
    <n v="0"/>
    <n v="0"/>
    <n v="0"/>
    <n v="0"/>
    <n v="0"/>
    <n v="0"/>
    <n v="0"/>
    <s v="VAT"/>
    <n v="0"/>
    <n v="0"/>
    <n v="0"/>
    <n v="0"/>
    <n v="0"/>
    <m/>
    <n v="-202609.1"/>
    <n v="0"/>
    <n v="0"/>
    <s v="SF"/>
    <s v="PP/PE Fabric"/>
    <s v="PP UL Fabric"/>
    <s v="SF"/>
    <s v="erp"/>
    <n v="0"/>
    <n v="0"/>
    <s v="R 407"/>
    <d v="2026-07-10T00:00:00"/>
    <s v="24AAACO3087C1ZT"/>
    <s v="kpstore"/>
    <m/>
    <n v="0"/>
    <n v="0"/>
    <n v="0"/>
    <n v="0"/>
    <n v="0"/>
    <n v="0"/>
    <n v="0"/>
    <n v="672142391975"/>
    <d v="2026-07-09T13:48:00"/>
    <n v="480"/>
    <x v="0"/>
    <n v="0"/>
  </r>
  <r>
    <d v="2026-07-10T00:00:00"/>
    <s v="KPV/26-27/SII01295"/>
    <s v="WIP00023"/>
    <s v="PP UL Fabric With UV"/>
    <s v="No Subcode"/>
    <s v="No PO"/>
    <n v="0"/>
    <n v="1029.1400000000001"/>
    <s v="Kgs"/>
    <n v="1029.1400000000001"/>
    <n v="0"/>
    <n v="1029.1400000000001"/>
    <s v="GJ16Z8614"/>
    <s v="Plastene India ltd - Unit 1-Purchase"/>
    <s v="Plastene India ltd - Unit 1-Purchase"/>
    <s v="PIL1/SC/117"/>
    <d v="2026-07-09T00:00:00"/>
    <s v="JOB IN"/>
    <s v="SELF"/>
    <s v="JBIN-SE 126"/>
    <n v="25"/>
    <n v="0"/>
    <s v="PIL1/SC/117"/>
    <d v="2026-07-09T00:00:00"/>
    <s v="1ROLL CROSS CORNER"/>
    <s v="PP Woven Fabrics,"/>
    <m/>
    <n v="0"/>
    <n v="0"/>
    <n v="0"/>
    <n v="0"/>
    <n v="0"/>
    <n v="0"/>
    <n v="0"/>
    <s v="VAT"/>
    <n v="0"/>
    <n v="0"/>
    <n v="0"/>
    <n v="0"/>
    <n v="0"/>
    <m/>
    <n v="-202609.1"/>
    <n v="0"/>
    <n v="0"/>
    <s v="SF"/>
    <s v="PP/PE Fabric"/>
    <s v="PP UL Fabric"/>
    <s v="SF"/>
    <s v="erp"/>
    <n v="0"/>
    <n v="0"/>
    <s v="R 407"/>
    <d v="2026-07-10T00:00:00"/>
    <s v="24AAACO3087C1ZT"/>
    <s v="kpstore"/>
    <m/>
    <n v="0"/>
    <n v="0"/>
    <n v="0"/>
    <n v="0"/>
    <n v="0"/>
    <n v="0"/>
    <n v="0"/>
    <n v="672142391975"/>
    <d v="2026-07-09T13:48:00"/>
    <n v="1029.1400000000001"/>
    <x v="0"/>
    <n v="0"/>
  </r>
  <r>
    <d v="2026-07-10T00:00:00"/>
    <s v="KPV/26-27/SII01295"/>
    <s v="WIP00023"/>
    <s v="PP UL Fabric With UV"/>
    <s v="No Subcode"/>
    <s v="No PO"/>
    <n v="0"/>
    <n v="226"/>
    <s v="Kgs"/>
    <n v="226"/>
    <n v="0"/>
    <n v="226"/>
    <s v="GJ16Z8614"/>
    <s v="Plastene India ltd - Unit 1-Purchase"/>
    <s v="Plastene India ltd - Unit 1-Purchase"/>
    <s v="PIL1/SC/117"/>
    <d v="2026-07-09T00:00:00"/>
    <s v="JOB IN"/>
    <s v="SELF"/>
    <s v="JBIN-SE 126"/>
    <n v="26"/>
    <n v="0"/>
    <s v="PIL1/SC/117"/>
    <d v="2026-07-09T00:00:00"/>
    <s v="1ROLL MORE THEN 90GSM COLOR HQS"/>
    <s v="PP Woven Fabrics,"/>
    <m/>
    <n v="0"/>
    <n v="0"/>
    <n v="0"/>
    <n v="0"/>
    <n v="0"/>
    <n v="0"/>
    <n v="0"/>
    <s v="VAT"/>
    <n v="0"/>
    <n v="0"/>
    <n v="0"/>
    <n v="0"/>
    <n v="0"/>
    <m/>
    <n v="-202609.1"/>
    <n v="0"/>
    <n v="0"/>
    <s v="SF"/>
    <s v="PP/PE Fabric"/>
    <s v="PP UL Fabric"/>
    <s v="SF"/>
    <s v="erp"/>
    <n v="0"/>
    <n v="0"/>
    <s v="R 407"/>
    <d v="2026-07-10T00:00:00"/>
    <s v="24AAACO3087C1ZT"/>
    <s v="kpstore"/>
    <m/>
    <n v="0"/>
    <n v="0"/>
    <n v="0"/>
    <n v="0"/>
    <n v="0"/>
    <n v="0"/>
    <n v="0"/>
    <n v="672142391975"/>
    <d v="2026-07-09T13:48:00"/>
    <n v="226"/>
    <x v="0"/>
    <n v="0"/>
  </r>
  <r>
    <d v="2026-07-10T00:00:00"/>
    <s v="KPV/26-27/SII01295"/>
    <s v="WIP00023"/>
    <s v="PP UL Fabric With UV"/>
    <s v="No Subcode"/>
    <s v="No PO"/>
    <n v="0"/>
    <n v="309"/>
    <s v="Kgs"/>
    <n v="309"/>
    <n v="0"/>
    <n v="309"/>
    <s v="GJ16Z8614"/>
    <s v="Plastene India ltd - Unit 1-Purchase"/>
    <s v="Plastene India ltd - Unit 1-Purchase"/>
    <s v="PIL1/SC/117"/>
    <d v="2026-07-09T00:00:00"/>
    <s v="JOB IN"/>
    <s v="SELF"/>
    <s v="JBIN-SE 126"/>
    <n v="20"/>
    <n v="0"/>
    <s v="PIL1/SC/117"/>
    <d v="2026-07-09T00:00:00"/>
    <s v="1ROLL MORE THEN 90GSM COLORHQS"/>
    <s v="PP Woven Fabrics,"/>
    <m/>
    <n v="0"/>
    <n v="0"/>
    <n v="0"/>
    <n v="0"/>
    <n v="0"/>
    <n v="0"/>
    <n v="0"/>
    <s v="VAT"/>
    <n v="0"/>
    <n v="0"/>
    <n v="0"/>
    <n v="0"/>
    <n v="0"/>
    <m/>
    <n v="-202609.1"/>
    <n v="0"/>
    <n v="0"/>
    <s v="SF"/>
    <s v="PP/PE Fabric"/>
    <s v="PP UL Fabric"/>
    <s v="SF"/>
    <s v="erp"/>
    <n v="0"/>
    <n v="0"/>
    <s v="R 407"/>
    <d v="2026-07-10T00:00:00"/>
    <s v="24AAACO3087C1ZT"/>
    <s v="kpstore"/>
    <m/>
    <n v="0"/>
    <n v="0"/>
    <n v="0"/>
    <n v="0"/>
    <n v="0"/>
    <n v="0"/>
    <n v="0"/>
    <n v="672142391975"/>
    <d v="2026-07-09T13:48:00"/>
    <n v="309"/>
    <x v="0"/>
    <n v="0"/>
  </r>
  <r>
    <d v="2026-07-10T00:00:00"/>
    <s v="KPV/26-27/SII01295"/>
    <s v="WIP00023"/>
    <s v="PP UL Fabric With UV"/>
    <s v="No Subcode"/>
    <s v="No PO"/>
    <n v="0"/>
    <n v="1130"/>
    <s v="Kgs"/>
    <n v="1130"/>
    <n v="0"/>
    <n v="1130"/>
    <s v="GJ16Z8614"/>
    <s v="Plastene India ltd - Unit 1-Purchase"/>
    <s v="Plastene India ltd - Unit 1-Purchase"/>
    <s v="PIL1/SC/117"/>
    <d v="2026-07-09T00:00:00"/>
    <s v="JOB IN"/>
    <s v="SELF"/>
    <s v="JBIN-SE 126"/>
    <n v="23"/>
    <n v="0"/>
    <s v="PIL1/SC/117"/>
    <d v="2026-07-09T00:00:00"/>
    <s v="1ROLL MORE THEN 90GSM HQS"/>
    <s v="PP Woven Fabrics,"/>
    <m/>
    <n v="0"/>
    <n v="0"/>
    <n v="0"/>
    <n v="0"/>
    <n v="0"/>
    <n v="0"/>
    <n v="0"/>
    <s v="VAT"/>
    <n v="0"/>
    <n v="0"/>
    <n v="0"/>
    <n v="0"/>
    <n v="0"/>
    <m/>
    <n v="-202609.1"/>
    <n v="0"/>
    <n v="0"/>
    <s v="SF"/>
    <s v="PP/PE Fabric"/>
    <s v="PP UL Fabric"/>
    <s v="SF"/>
    <s v="erp"/>
    <n v="0"/>
    <n v="0"/>
    <s v="R 407"/>
    <d v="2026-07-10T00:00:00"/>
    <s v="24AAACO3087C1ZT"/>
    <s v="kpstore"/>
    <m/>
    <n v="0"/>
    <n v="0"/>
    <n v="0"/>
    <n v="0"/>
    <n v="0"/>
    <n v="0"/>
    <n v="0"/>
    <n v="672142391975"/>
    <d v="2026-07-09T13:48:00"/>
    <n v="1130"/>
    <x v="0"/>
    <n v="0"/>
  </r>
  <r>
    <d v="2026-07-10T00:00:00"/>
    <s v="KPV/26-27/SII01300"/>
    <s v="RAW05173"/>
    <s v="PP RIL H030SG"/>
    <s v="No Subcode"/>
    <s v="No PO"/>
    <n v="0"/>
    <n v="199"/>
    <s v="Kgs"/>
    <n v="199"/>
    <n v="0"/>
    <n v="199"/>
    <s v="GJ02XX7834"/>
    <s v="Umasree Texplast Pvt Ltd - Purchase"/>
    <s v="Umasree Texplast Pvt Ltd - Purchase"/>
    <s v="J0212/26-27"/>
    <d v="2026-07-02T00:00:00"/>
    <s v="JOB IN"/>
    <s v="OTHER"/>
    <s v="JBIN-OT 18"/>
    <n v="135"/>
    <n v="0"/>
    <s v="J0212/26-27"/>
    <d v="2026-07-02T00:00:00"/>
    <s v="4 BAGS"/>
    <s v="."/>
    <m/>
    <s v="."/>
    <s v="."/>
    <n v="0"/>
    <n v="0"/>
    <n v="0"/>
    <n v="0"/>
    <n v="0"/>
    <s v="VAT"/>
    <n v="0"/>
    <n v="0"/>
    <n v="0"/>
    <n v="0"/>
    <n v="0"/>
    <m/>
    <n v="-26865"/>
    <n v="0"/>
    <n v="0"/>
    <s v="RM"/>
    <s v="Granules"/>
    <s v="PP Granules"/>
    <s v="RM"/>
    <s v="erp"/>
    <n v="0"/>
    <n v="0"/>
    <s v="R-411"/>
    <d v="2026-07-10T00:00:00"/>
    <s v="24AAACU6665Q1ZO"/>
    <s v="kpstore"/>
    <m/>
    <n v="0"/>
    <n v="0"/>
    <n v="0"/>
    <n v="0"/>
    <n v="0"/>
    <n v="0"/>
    <n v="0"/>
    <s v="."/>
    <d v="2026-07-10T18:04:00"/>
    <n v="199"/>
    <x v="5"/>
    <n v="0"/>
  </r>
  <r>
    <d v="2026-07-10T00:00:00"/>
    <s v="KPV/26-27/SII01301"/>
    <s v="RAW05173"/>
    <s v="PP RIL H030SG"/>
    <s v="No Subcode"/>
    <s v="No PO"/>
    <n v="0"/>
    <n v="68"/>
    <s v="Kgs"/>
    <n v="68"/>
    <n v="0"/>
    <n v="68"/>
    <s v="GJ18AZ9313"/>
    <s v="Umasree Texplast Pvt Ltd - Purchase"/>
    <s v="Umasree Texplast Pvt Ltd - Purchase"/>
    <s v="J0233/26-27"/>
    <d v="2026-07-10T00:00:00"/>
    <s v="JOB IN"/>
    <s v="OTHER"/>
    <s v="JBIN-OT 19"/>
    <n v="135"/>
    <n v="0"/>
    <s v="J0233/26-27"/>
    <d v="2026-07-10T00:00:00"/>
    <s v="2 BAGS,1 BAGE LOOSE"/>
    <s v="."/>
    <m/>
    <s v="."/>
    <s v="."/>
    <n v="0"/>
    <n v="0"/>
    <n v="0"/>
    <n v="0"/>
    <n v="0"/>
    <s v="VAT"/>
    <n v="0"/>
    <n v="0"/>
    <n v="0"/>
    <n v="0"/>
    <n v="0"/>
    <m/>
    <n v="-9180"/>
    <n v="0"/>
    <n v="0"/>
    <s v="RM"/>
    <s v="Granules"/>
    <s v="PP Granules"/>
    <s v="RM"/>
    <s v="erp"/>
    <n v="0"/>
    <n v="0"/>
    <s v="R-410"/>
    <d v="2026-07-10T00:00:00"/>
    <s v="24AAACU6665Q1ZO"/>
    <s v="kpstore"/>
    <m/>
    <n v="0"/>
    <n v="0"/>
    <n v="0"/>
    <n v="0"/>
    <n v="0"/>
    <n v="0"/>
    <n v="0"/>
    <s v="."/>
    <d v="2026-07-10T00:00:00"/>
    <n v="68"/>
    <x v="5"/>
    <n v="0"/>
  </r>
  <r>
    <d v="2026-07-11T00:00:00"/>
    <s v="KPV/26-27/SII01310"/>
    <s v="WIP00023"/>
    <s v="PP UL Fabric With UV"/>
    <s v="No Subcode"/>
    <s v="No PO"/>
    <n v="0"/>
    <n v="3000.8"/>
    <s v="Kgs"/>
    <n v="3000.8"/>
    <n v="0"/>
    <n v="3000.8"/>
    <s v="GJ27TG8278"/>
    <s v="Indralok Fabrics Pvt Ltd - Purchase"/>
    <s v="Indralok Fabrics Pvt Ltd - Purchase"/>
    <n v="13"/>
    <d v="2026-07-11T00:00:00"/>
    <s v="JOB IN"/>
    <s v="SELF"/>
    <s v="JBIN-SE 127"/>
    <n v="43"/>
    <n v="0"/>
    <n v="13"/>
    <d v="2026-07-11T00:00:00"/>
    <s v="29 ROLL"/>
    <s v="LENO FABICS,PP Woven Fabrics,"/>
    <m/>
    <s v="."/>
    <s v="."/>
    <n v="0"/>
    <n v="0"/>
    <n v="0"/>
    <n v="0"/>
    <n v="0"/>
    <s v="VAT"/>
    <n v="0"/>
    <n v="0"/>
    <n v="0"/>
    <n v="0"/>
    <n v="0"/>
    <m/>
    <n v="-129034.4"/>
    <n v="0"/>
    <n v="0"/>
    <s v="SF"/>
    <s v="PP/PE Fabric"/>
    <s v="PP UL Fabric"/>
    <s v="SF"/>
    <s v="erp"/>
    <n v="0"/>
    <n v="0"/>
    <s v="R-412"/>
    <d v="2026-07-10T00:00:00"/>
    <s v="24AAACI4240F1Z4"/>
    <s v="kpstore"/>
    <m/>
    <n v="0"/>
    <n v="0"/>
    <n v="0"/>
    <n v="0"/>
    <n v="0"/>
    <n v="0"/>
    <n v="0"/>
    <n v="632142729848"/>
    <d v="2026-07-10T12:19:00"/>
    <n v="3000.8"/>
    <x v="0"/>
    <n v="0"/>
  </r>
  <r>
    <d v="2026-07-11T00:00:00"/>
    <s v="KPV/26-27/SII01318"/>
    <s v="SMF00247"/>
    <s v="HD UL Monofilament Fabric (Kg)"/>
    <s v="No Subcode"/>
    <s v="No PO"/>
    <n v="0"/>
    <n v="380.8"/>
    <s v="Kgs"/>
    <n v="380.8"/>
    <n v="0"/>
    <n v="380.8"/>
    <s v="GJ23AW7180"/>
    <s v="Kayel Syntex Limited"/>
    <s v="Kayel Syntex Limited"/>
    <n v="54"/>
    <d v="2026-07-10T00:00:00"/>
    <s v="JOB IN"/>
    <s v="SELF"/>
    <s v="JBIN-SE 128"/>
    <n v="28"/>
    <n v="0"/>
    <n v="54"/>
    <d v="2026-07-10T00:00:00"/>
    <m/>
    <s v="Monofilament Yarn,PP Woven Fabrics,"/>
    <m/>
    <s v="."/>
    <s v="."/>
    <n v="0"/>
    <n v="0"/>
    <n v="0"/>
    <n v="0"/>
    <n v="0"/>
    <s v="VAT"/>
    <n v="0"/>
    <n v="0"/>
    <n v="0"/>
    <n v="0"/>
    <n v="0"/>
    <m/>
    <n v="-53255.72"/>
    <n v="0"/>
    <n v="0"/>
    <s v="SF"/>
    <s v="PP/PE Fabric"/>
    <s v="HD UL Fabric"/>
    <s v="SF"/>
    <s v="erp"/>
    <n v="0"/>
    <n v="0"/>
    <s v="R-413"/>
    <d v="2026-07-10T00:00:00"/>
    <s v="24AAACK8589P1ZP"/>
    <s v="kpstore"/>
    <m/>
    <n v="0"/>
    <n v="0"/>
    <n v="0"/>
    <n v="0"/>
    <n v="0"/>
    <n v="0"/>
    <n v="0"/>
    <n v="652143031087"/>
    <d v="2026-07-10T16:44:00"/>
    <n v="380.8"/>
    <x v="3"/>
    <n v="0"/>
  </r>
  <r>
    <d v="2026-07-11T00:00:00"/>
    <s v="KPV/26-27/SII01318"/>
    <s v="SMF00253"/>
    <s v="Monofilament Yarn 840 Denier"/>
    <s v="No Subcode"/>
    <s v="No PO"/>
    <n v="0"/>
    <n v="1521.19"/>
    <s v="Kgs"/>
    <n v="1521.19"/>
    <n v="0"/>
    <n v="1521.19"/>
    <s v="GJ23AW7180"/>
    <s v="Kayel Syntex Limited"/>
    <s v="Kayel Syntex Limited"/>
    <n v="54"/>
    <d v="2026-07-10T00:00:00"/>
    <s v="JOB IN"/>
    <s v="SELF"/>
    <s v="JBIN-SE 128"/>
    <n v="28"/>
    <n v="0"/>
    <n v="54"/>
    <d v="2026-07-10T00:00:00"/>
    <m/>
    <s v="Monofilament Yarn,PP Woven Fabrics,"/>
    <m/>
    <s v="."/>
    <s v="."/>
    <n v="0"/>
    <n v="0"/>
    <n v="0"/>
    <n v="0"/>
    <n v="0"/>
    <s v="VAT"/>
    <n v="0"/>
    <n v="0"/>
    <n v="0"/>
    <n v="0"/>
    <n v="0"/>
    <m/>
    <n v="-53255.72"/>
    <n v="0"/>
    <n v="0"/>
    <s v="SF"/>
    <s v="Yarn All"/>
    <s v="PP Yarn"/>
    <s v="SF"/>
    <s v="erp"/>
    <n v="0"/>
    <n v="0"/>
    <s v="R-413"/>
    <d v="2026-07-10T00:00:00"/>
    <s v="24AAACK8589P1ZP"/>
    <s v="kpstore"/>
    <m/>
    <n v="0"/>
    <n v="0"/>
    <n v="0"/>
    <n v="0"/>
    <n v="0"/>
    <n v="0"/>
    <n v="0"/>
    <n v="652143031087"/>
    <d v="2026-07-10T16:44:00"/>
    <n v="1521.19"/>
    <x v="2"/>
    <n v="0"/>
  </r>
  <r>
    <d v="2026-07-15T00:00:00"/>
    <s v="KPV/26-27/SII01382"/>
    <s v="WIP00031"/>
    <s v="PP/HD Wastage/Scrap"/>
    <s v="No Subcode"/>
    <s v="No PO"/>
    <n v="0"/>
    <n v="11.4"/>
    <s v="Kgs"/>
    <n v="11.4"/>
    <n v="0"/>
    <n v="11.4"/>
    <s v="GJ23AW7180"/>
    <s v="Kayel Syntex Limited"/>
    <s v="Kayel Syntex Limited"/>
    <n v="55"/>
    <d v="2026-07-14T00:00:00"/>
    <s v="JOB IN"/>
    <s v="SELF"/>
    <s v="JBIN-SE 129"/>
    <n v="0.1"/>
    <n v="0"/>
    <n v="55"/>
    <d v="2026-07-14T00:00:00"/>
    <m/>
    <s v="PP Woven Fabrics,"/>
    <m/>
    <n v="0"/>
    <n v="0"/>
    <n v="0"/>
    <n v="0"/>
    <n v="0"/>
    <n v="0"/>
    <n v="0"/>
    <s v="VAT"/>
    <n v="0"/>
    <n v="0"/>
    <n v="0"/>
    <n v="0"/>
    <n v="0"/>
    <m/>
    <n v="-68895.14"/>
    <n v="0"/>
    <n v="0"/>
    <s v="SF"/>
    <s v="Wastage/Scrap"/>
    <s v="Wastage/Scrap"/>
    <s v="SF"/>
    <s v="erp"/>
    <n v="0"/>
    <n v="0"/>
    <s v="R 427"/>
    <d v="2026-07-15T00:00:00"/>
    <s v="24AAACK8589P1ZP"/>
    <s v="kpstore"/>
    <m/>
    <n v="0"/>
    <n v="0"/>
    <n v="0"/>
    <n v="0"/>
    <n v="0"/>
    <n v="0"/>
    <n v="0"/>
    <n v="672145209550"/>
    <d v="2026-07-14T15:16:00"/>
    <n v="11.4"/>
    <x v="4"/>
    <n v="0"/>
  </r>
  <r>
    <d v="2026-07-15T00:00:00"/>
    <s v="KPV/26-27/SII01382"/>
    <s v="SMF00247"/>
    <s v="HD UL Monofilament Fabric (Kg)"/>
    <s v="No Subcode"/>
    <s v="No PO"/>
    <n v="0"/>
    <n v="2460.5"/>
    <s v="Kgs"/>
    <n v="2460.5"/>
    <n v="0"/>
    <n v="2460.5"/>
    <s v="GJ23AW7180"/>
    <s v="Kayel Syntex Limited"/>
    <s v="Kayel Syntex Limited"/>
    <n v="55"/>
    <d v="2026-07-14T00:00:00"/>
    <s v="JOB IN"/>
    <s v="SELF"/>
    <s v="JBIN-SE 129"/>
    <n v="28"/>
    <n v="0"/>
    <n v="55"/>
    <d v="2026-07-14T00:00:00"/>
    <s v="20ROLL"/>
    <s v="PP Woven Fabrics,"/>
    <m/>
    <n v="0"/>
    <n v="0"/>
    <n v="0"/>
    <n v="0"/>
    <n v="0"/>
    <n v="0"/>
    <n v="0"/>
    <s v="VAT"/>
    <n v="0"/>
    <n v="0"/>
    <n v="0"/>
    <n v="0"/>
    <n v="0"/>
    <m/>
    <n v="-68895.14"/>
    <n v="0"/>
    <n v="0"/>
    <s v="SF"/>
    <s v="PP/PE Fabric"/>
    <s v="HD UL Fabric"/>
    <s v="SF"/>
    <s v="erp"/>
    <n v="0"/>
    <n v="0"/>
    <s v="R 427"/>
    <d v="2026-07-15T00:00:00"/>
    <s v="24AAACK8589P1ZP"/>
    <s v="kpstore"/>
    <m/>
    <n v="0"/>
    <n v="0"/>
    <n v="0"/>
    <n v="0"/>
    <n v="0"/>
    <n v="0"/>
    <n v="0"/>
    <n v="672145209550"/>
    <d v="2026-07-14T15:16:00"/>
    <n v="2460.5"/>
    <x v="3"/>
    <n v="0"/>
  </r>
  <r>
    <d v="2026-07-17T00:00:00"/>
    <s v="KPV/26-27/SII01409"/>
    <s v="RAW05179"/>
    <s v="PP RIL H350FG"/>
    <n v="1"/>
    <s v="No PO"/>
    <n v="0"/>
    <n v="10000"/>
    <s v="Kgs"/>
    <n v="10000"/>
    <n v="0"/>
    <n v="10000"/>
    <s v="GJ23V6036"/>
    <s v="Plastene India ltd - Unit 1-Purchase"/>
    <s v="Plastene India ltd - Unit 1-Purchase"/>
    <s v="PIL1/JW/47"/>
    <d v="2026-07-16T00:00:00"/>
    <s v="JOB IN"/>
    <s v="OTHER"/>
    <s v="JBIN-OT 20"/>
    <n v="126"/>
    <n v="0"/>
    <s v="PIL1/JW/47"/>
    <d v="2026-07-16T00:00:00"/>
    <s v="400 bags"/>
    <s v="."/>
    <m/>
    <s v="PATEL  TRANSPORT"/>
    <s v="3938 16-07-2026"/>
    <n v="0"/>
    <n v="0"/>
    <n v="0"/>
    <n v="0"/>
    <n v="0"/>
    <s v="VAT"/>
    <n v="0"/>
    <n v="0"/>
    <n v="0"/>
    <n v="0"/>
    <n v="0"/>
    <m/>
    <n v="-1260000"/>
    <n v="0"/>
    <n v="0"/>
    <s v="RM"/>
    <s v="Granules"/>
    <s v="PP Granules"/>
    <s v="RM"/>
    <s v="erp"/>
    <n v="0"/>
    <n v="0"/>
    <s v="R-438"/>
    <d v="2026-07-17T00:00:00"/>
    <s v="24AAACO3087C1ZT"/>
    <s v="kpstore"/>
    <m/>
    <n v="0"/>
    <n v="0"/>
    <n v="0"/>
    <n v="0"/>
    <n v="0"/>
    <n v="0"/>
    <n v="0"/>
    <n v="612146137575"/>
    <d v="2026-07-16T16:49:00"/>
    <n v="10000"/>
    <x v="5"/>
    <n v="0"/>
  </r>
  <r>
    <d v="2026-07-20T00:00:00"/>
    <s v="KPV/26-27/SII01451"/>
    <s v="SMF00247"/>
    <s v="HD UL Monofilament Fabric (Kg)"/>
    <s v="No Subcode"/>
    <s v="No PO"/>
    <n v="0"/>
    <n v="2403.6999999999998"/>
    <s v="Kgs"/>
    <n v="2403.6999999999998"/>
    <n v="0"/>
    <n v="2403.6999999999998"/>
    <s v="GJ27TG8278"/>
    <s v="Kayel Syntex Limited"/>
    <s v="Kayel Syntex Limited"/>
    <n v="56"/>
    <d v="2026-07-20T00:00:00"/>
    <s v="JOB IN"/>
    <s v="SELF"/>
    <s v="JBIN-SE 130"/>
    <n v="28"/>
    <n v="0"/>
    <n v="56"/>
    <d v="2026-07-20T00:00:00"/>
    <s v="20ROLL, 107CM 10ROLL, 104CM 10ROLL"/>
    <s v="PP Woven Fabrics,HD UL Monofilament Fabric,"/>
    <m/>
    <n v="0"/>
    <n v="0"/>
    <n v="0"/>
    <n v="0"/>
    <n v="0"/>
    <n v="0"/>
    <n v="0"/>
    <s v="VAT"/>
    <n v="0"/>
    <n v="0"/>
    <n v="0"/>
    <n v="0"/>
    <n v="0"/>
    <m/>
    <n v="-67303.600000000006"/>
    <n v="0"/>
    <n v="0"/>
    <s v="SF"/>
    <s v="PP/PE Fabric"/>
    <s v="HD UL Fabric"/>
    <s v="SF"/>
    <s v="erp"/>
    <n v="0"/>
    <n v="0"/>
    <s v="R447"/>
    <d v="2026-07-19T00:00:00"/>
    <s v="24AAACK8589P1ZP"/>
    <s v="kpstore"/>
    <m/>
    <n v="0"/>
    <n v="0"/>
    <n v="0"/>
    <n v="0"/>
    <n v="0"/>
    <n v="0"/>
    <n v="0"/>
    <n v="692148004044"/>
    <d v="2026-07-19T14:59:00"/>
    <n v="2403.6999999999998"/>
    <x v="3"/>
    <n v="0"/>
  </r>
  <r>
    <d v="2026-07-20T00:00:00"/>
    <s v="KPV/26-27/SII01453"/>
    <s v="WIP00031"/>
    <s v="PP/HD Wastage/Scrap"/>
    <s v="No Subcode"/>
    <s v="No PO"/>
    <n v="0"/>
    <n v="105"/>
    <s v="Kgs"/>
    <n v="105"/>
    <n v="0"/>
    <n v="105"/>
    <s v="GJ23AW7180"/>
    <s v="Indralok Fabrics Pvt Ltd - Purchase"/>
    <s v="Indralok Fabrics Pvt Ltd - Purchase"/>
    <n v="14"/>
    <d v="2026-07-20T00:00:00"/>
    <s v="JOB IN"/>
    <s v="SELF"/>
    <s v="JBIN-SE 131"/>
    <n v="0.1"/>
    <n v="0"/>
    <n v="14"/>
    <d v="2026-07-20T00:00:00"/>
    <s v="8BORA"/>
    <s v="PP Woven Fabrics,"/>
    <m/>
    <n v="0"/>
    <n v="0"/>
    <n v="0"/>
    <n v="0"/>
    <n v="0"/>
    <n v="0"/>
    <n v="0"/>
    <s v="VAT"/>
    <n v="0"/>
    <n v="0"/>
    <n v="0"/>
    <n v="0"/>
    <n v="0"/>
    <m/>
    <n v="-69919.899999999994"/>
    <n v="0"/>
    <n v="0"/>
    <s v="SF"/>
    <s v="Wastage/Scrap"/>
    <s v="Wastage/Scrap"/>
    <s v="SF"/>
    <s v="erp"/>
    <n v="0"/>
    <n v="0"/>
    <s v="R452"/>
    <d v="2026-07-20T00:00:00"/>
    <s v="24AAACI4240F1Z4"/>
    <s v="kpstore"/>
    <m/>
    <n v="0"/>
    <n v="0"/>
    <n v="0"/>
    <n v="0"/>
    <n v="0"/>
    <n v="0"/>
    <n v="0"/>
    <n v="632148229850"/>
    <d v="2026-07-20T16:44:00"/>
    <n v="105"/>
    <x v="4"/>
    <n v="0"/>
  </r>
  <r>
    <d v="2026-07-20T00:00:00"/>
    <s v="KPV/26-27/SII01453"/>
    <s v="WIP00023"/>
    <s v="PP UL Fabric With UV"/>
    <s v="No Subcode"/>
    <s v="No PO"/>
    <n v="0"/>
    <n v="1625.8"/>
    <s v="Kgs"/>
    <n v="1625.8"/>
    <n v="0"/>
    <n v="1625.8"/>
    <s v="GJ23AW7180"/>
    <s v="Indralok Fabrics Pvt Ltd - Purchase"/>
    <s v="Indralok Fabrics Pvt Ltd - Purchase"/>
    <n v="14"/>
    <d v="2026-07-20T00:00:00"/>
    <s v="JOB IN"/>
    <s v="SELF"/>
    <s v="JBIN-SE 131"/>
    <n v="43"/>
    <n v="0"/>
    <n v="14"/>
    <d v="2026-07-20T00:00:00"/>
    <s v="19ROLL, 90CM X 50GSM"/>
    <s v="PP Woven Fabrics,"/>
    <m/>
    <n v="0"/>
    <n v="0"/>
    <n v="0"/>
    <n v="0"/>
    <n v="0"/>
    <n v="0"/>
    <n v="0"/>
    <s v="VAT"/>
    <n v="0"/>
    <n v="0"/>
    <n v="0"/>
    <n v="0"/>
    <n v="0"/>
    <m/>
    <n v="-69919.899999999994"/>
    <n v="0"/>
    <n v="0"/>
    <s v="SF"/>
    <s v="PP/PE Fabric"/>
    <s v="PP UL Fabric"/>
    <s v="SF"/>
    <s v="erp"/>
    <n v="0"/>
    <n v="0"/>
    <s v="R452"/>
    <d v="2026-07-20T00:00:00"/>
    <s v="24AAACI4240F1Z4"/>
    <s v="kpstore"/>
    <m/>
    <n v="0"/>
    <n v="0"/>
    <n v="0"/>
    <n v="0"/>
    <n v="0"/>
    <n v="0"/>
    <n v="0"/>
    <n v="632148229850"/>
    <d v="2026-07-20T16:44:00"/>
    <n v="1625.8"/>
    <x v="0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d v="2026-07-02T00:00:00"/>
    <s v="Kayel Syntex Limited - Sales"/>
    <s v="FOR JOB WORK"/>
    <s v="HDPE Yarn Monofilament"/>
    <s v="SF"/>
    <s v="Yarn All"/>
    <s v="PP Yarn"/>
    <s v="SMF00253"/>
    <s v="Monofilament Yarn 840 Denier"/>
    <s v="."/>
    <s v="437 BAG"/>
    <s v="Kgs"/>
    <n v="5021.4799999999996"/>
    <n v="1024356.8125999999"/>
    <n v="1147279.6299999999"/>
    <s v="GJ23AW7180"/>
    <m/>
    <m/>
    <x v="0"/>
  </r>
  <r>
    <d v="2026-07-05T00:00:00"/>
    <s v="Indralok Fabrics Pvt Ltd - Sales"/>
    <s v="FOR JOB WORK "/>
    <s v="FILLER"/>
    <s v="RM"/>
    <s v="Granules"/>
    <s v="Filler"/>
    <s v="RAW06013"/>
    <s v="Filler Soltex PTUFF23"/>
    <s v="."/>
    <s v="03 Bags"/>
    <s v="Kgs"/>
    <n v="70"/>
    <n v="1960"/>
    <n v="325358.56"/>
    <s v="GJ27TG8278"/>
    <s v="."/>
    <m/>
    <x v="1"/>
  </r>
  <r>
    <d v="2026-07-05T00:00:00"/>
    <s v="Indralok Fabrics Pvt Ltd - Sales"/>
    <s v="FOR JOB WORK "/>
    <s v="Polypropylene Granuals"/>
    <s v="RM"/>
    <s v="Granules"/>
    <s v="PP Granules"/>
    <s v="RAW06021"/>
    <s v="PP China L5E89"/>
    <s v="."/>
    <s v="134 Bags"/>
    <s v="Kgs"/>
    <n v="3342.5"/>
    <n v="258017.60250000001"/>
    <n v="325358.56"/>
    <s v="GJ27TG8278"/>
    <s v="."/>
    <m/>
    <x v="2"/>
  </r>
  <r>
    <d v="2026-07-05T00:00:00"/>
    <s v="Indralok Fabrics Pvt Ltd - Sales"/>
    <s v="FOR JOB WORK "/>
    <s v="UV MB"/>
    <s v="RM"/>
    <s v="Granules"/>
    <s v="UV MB"/>
    <s v="RAW06198"/>
    <s v="UV PIL NFG 20LD"/>
    <s v="."/>
    <s v="04 Bags"/>
    <s v="Kgs"/>
    <n v="87.5"/>
    <n v="15750"/>
    <n v="325358.56"/>
    <s v="GJ27TG8278"/>
    <s v="."/>
    <m/>
    <x v="3"/>
  </r>
  <r>
    <d v="2026-07-05T00:00:00"/>
    <s v="Kayel Syntex Limited - Sales"/>
    <s v="FOR JOB WORK"/>
    <s v="HDPE Yarn Monofilament"/>
    <s v="SF"/>
    <s v="Yarn All"/>
    <s v="PP Yarn"/>
    <s v="SMF00253"/>
    <s v="Monofilament Yarn 840 Denier"/>
    <s v="."/>
    <s v="252 BAGS"/>
    <s v="Kgs"/>
    <n v="3055.84"/>
    <n v="626431.92079999996"/>
    <n v="701603.76"/>
    <s v="GJ27TG8278"/>
    <s v="."/>
    <m/>
    <x v="0"/>
  </r>
  <r>
    <d v="2026-07-09T00:00:00"/>
    <s v="Indralok Fabrics Pvt Ltd - Sales"/>
    <s v="FOR JOB WORK"/>
    <s v="FILLER"/>
    <s v="RM"/>
    <s v="Granules"/>
    <s v="Filler"/>
    <s v="RAW06013"/>
    <s v="Filler Soltex PTUFF23"/>
    <s v="."/>
    <s v="."/>
    <s v="Kgs"/>
    <n v="70"/>
    <n v="1960"/>
    <n v="325358.56"/>
    <s v="GJ27TG8278"/>
    <m/>
    <m/>
    <x v="1"/>
  </r>
  <r>
    <d v="2026-07-09T00:00:00"/>
    <s v="Indralok Fabrics Pvt Ltd - Sales"/>
    <s v="FOR JOB WORK"/>
    <s v="Polypropylene Granuals"/>
    <s v="RM"/>
    <s v="Granules"/>
    <s v="PP Granules"/>
    <s v="RAW06021"/>
    <s v="PP China L5E89"/>
    <s v="."/>
    <s v="."/>
    <s v="Kgs"/>
    <n v="3342.5"/>
    <n v="258017.6"/>
    <n v="325358.56"/>
    <s v="GJ27TG8278"/>
    <m/>
    <m/>
    <x v="2"/>
  </r>
  <r>
    <d v="2026-07-09T00:00:00"/>
    <s v="Indralok Fabrics Pvt Ltd - Sales"/>
    <s v="FOR JOB WORK"/>
    <s v="UV MB"/>
    <s v="RM"/>
    <s v="Granules"/>
    <s v="UV MB"/>
    <s v="RAW06198"/>
    <s v="UV PIL NFG 20LD"/>
    <s v="."/>
    <s v="."/>
    <s v="Kgs"/>
    <n v="87.5"/>
    <n v="15750"/>
    <n v="325358.56"/>
    <s v="GJ27TG8278"/>
    <m/>
    <m/>
    <x v="3"/>
  </r>
  <r>
    <d v="2026-07-17T00:00:00"/>
    <s v="Kayel Syntex Limited - Sales"/>
    <s v="FOR JOB WORK"/>
    <s v="HDPE Yarn Monofilament"/>
    <s v="SF"/>
    <s v="Yarn All"/>
    <s v="PP Yarn"/>
    <s v="SMF00253"/>
    <s v="Monofilament Yarn 840 Denier"/>
    <s v="."/>
    <s v="312 BAG"/>
    <s v="Kgs"/>
    <n v="2958.47"/>
    <n v="606471.55764999997"/>
    <n v="1128169.1299999999"/>
    <s v="GJ27TG8278"/>
    <m/>
    <m/>
    <x v="0"/>
  </r>
  <r>
    <d v="2026-07-17T00:00:00"/>
    <s v="Kayel Syntex Limited - Sales"/>
    <s v="FOR JOB WORK"/>
    <s v="HDPE Yarn Monofilament"/>
    <s v="SF"/>
    <s v="Yarn All"/>
    <s v="PP Yarn"/>
    <s v="SMF00271"/>
    <s v="Monofilament Yarn 940 Denier"/>
    <s v="."/>
    <s v="63 BAG"/>
    <s v="Kgs"/>
    <n v="586.62"/>
    <n v="120254.1669"/>
    <n v="1128169.1299999999"/>
    <s v="GJ27TG8278"/>
    <m/>
    <m/>
    <x v="0"/>
  </r>
  <r>
    <d v="2026-07-17T00:00:00"/>
    <s v="Kayel Syntex Limited - Sales"/>
    <s v="FOR JOB WORK"/>
    <s v="HDPE Yarn Monofilament"/>
    <s v="SF"/>
    <s v="Yarn All"/>
    <s v="PP Yarn"/>
    <s v="WIP00020"/>
    <s v="Monofilament Yarn 400 Denier"/>
    <s v="."/>
    <s v="124 BAG"/>
    <s v="Kgs"/>
    <n v="1438.87"/>
    <n v="280568.13903999998"/>
    <n v="1128169.1299999999"/>
    <s v="GJ27TG8278"/>
    <m/>
    <m/>
    <x v="0"/>
  </r>
  <r>
    <d v="2026-07-23T00:00:00"/>
    <s v="Kayel Syntex Limited - Sales"/>
    <s v="FOR JOB WORK"/>
    <s v="HDPE Yarn Monofilament"/>
    <s v="SF"/>
    <s v="Yarn All"/>
    <s v="PP Yarn"/>
    <s v="SMF00253"/>
    <s v="Monofilament Yarn 840 Denier"/>
    <s v="."/>
    <s v="112 bag"/>
    <s v="Kgs"/>
    <n v="713.84"/>
    <n v="132768.52927999999"/>
    <n v="148700.75"/>
    <s v="GJ38TB0155"/>
    <m/>
    <m/>
    <x v="0"/>
  </r>
  <r>
    <m/>
    <m/>
    <m/>
    <m/>
    <m/>
    <m/>
    <m/>
    <m/>
    <m/>
    <m/>
    <m/>
    <m/>
    <m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C4DB1-0355-4372-8496-C47738B6BDC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L868:AO888" firstHeaderRow="0" firstDataRow="1" firstDataCol="1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20">
        <item x="7"/>
        <item x="9"/>
        <item x="14"/>
        <item x="11"/>
        <item x="15"/>
        <item x="4"/>
        <item x="12"/>
        <item x="5"/>
        <item x="0"/>
        <item x="10"/>
        <item x="17"/>
        <item x="16"/>
        <item x="8"/>
        <item x="2"/>
        <item x="1"/>
        <item x="6"/>
        <item x="3"/>
        <item x="13"/>
        <item x="18"/>
        <item t="default"/>
      </items>
    </pivotField>
  </pivotFields>
  <rowFields count="1">
    <field x="3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2" baseField="0" baseItem="0"/>
    <dataField name="Sum of Net Wt" fld="30" baseField="0" baseItem="0"/>
    <dataField name="Sum of 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7EBF85-F2FC-4EF7-8819-4FB10A2F08E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K389:AN405" firstHeaderRow="0" firstDataRow="1" firstDataCol="1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6">
        <item x="10"/>
        <item x="1"/>
        <item x="12"/>
        <item x="8"/>
        <item x="4"/>
        <item x="9"/>
        <item x="13"/>
        <item x="7"/>
        <item x="5"/>
        <item x="3"/>
        <item x="6"/>
        <item x="0"/>
        <item x="2"/>
        <item x="11"/>
        <item x="14"/>
        <item t="default"/>
      </items>
    </pivotField>
  </pivotFields>
  <rowFields count="1">
    <field x="3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2" baseField="0" baseItem="0"/>
    <dataField name="Sum of Net Wt" fld="30" baseField="0" baseItem="0"/>
    <dataField name="Sum of Amount" fld="1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D4E9A-F3F4-46B8-9BD3-DC62CFB26872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R80:BT88" firstHeaderRow="0" firstDataRow="1" firstDataCol="1"/>
  <pivotFields count="68">
    <pivotField numFmtId="16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8">
        <item x="3"/>
        <item x="5"/>
        <item x="6"/>
        <item x="1"/>
        <item x="0"/>
        <item x="2"/>
        <item x="4"/>
        <item t="default"/>
      </items>
    </pivotField>
    <pivotField showAll="0"/>
  </pivotFields>
  <rowFields count="1">
    <field x="6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ceptedqty" fld="11" baseField="0" baseItem="0"/>
    <dataField name="Sum of netwt" fld="6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C680F-805B-451B-BC6A-0E56DC45B0C4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W17:X23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ItemQty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C1F5A-DDA7-4D5E-88FB-F70CB3321EB4}">
  <dimension ref="A1:AA32"/>
  <sheetViews>
    <sheetView topLeftCell="B1" zoomScale="70" zoomScaleNormal="70" workbookViewId="0">
      <pane xSplit="5" ySplit="2" topLeftCell="H15" activePane="bottomRight" state="frozen"/>
      <selection activeCell="B1" sqref="B1"/>
      <selection pane="topRight" activeCell="G1" sqref="G1"/>
      <selection pane="bottomLeft" activeCell="B3" sqref="B3"/>
      <selection pane="bottomRight" activeCell="W28" sqref="W28:X28"/>
    </sheetView>
  </sheetViews>
  <sheetFormatPr defaultRowHeight="14.5" x14ac:dyDescent="0.35"/>
  <cols>
    <col min="1" max="1" width="27.90625" hidden="1" customWidth="1"/>
    <col min="2" max="2" width="7.54296875" customWidth="1"/>
    <col min="3" max="3" width="15.26953125" bestFit="1" customWidth="1"/>
    <col min="4" max="4" width="11.81640625" customWidth="1"/>
    <col min="5" max="6" width="9.81640625" customWidth="1"/>
    <col min="7" max="7" width="5.90625" customWidth="1"/>
    <col min="8" max="8" width="10.81640625" bestFit="1" customWidth="1"/>
    <col min="9" max="9" width="7.26953125" customWidth="1"/>
    <col min="10" max="11" width="8.81640625" bestFit="1" customWidth="1"/>
    <col min="12" max="12" width="10.81640625" bestFit="1" customWidth="1"/>
    <col min="13" max="13" width="1.81640625" bestFit="1" customWidth="1"/>
    <col min="14" max="14" width="8.81640625" bestFit="1" customWidth="1"/>
    <col min="15" max="15" width="9.81640625" bestFit="1" customWidth="1"/>
    <col min="16" max="17" width="10.81640625" bestFit="1" customWidth="1"/>
    <col min="18" max="19" width="8.81640625" bestFit="1" customWidth="1"/>
    <col min="20" max="21" width="7.81640625" bestFit="1" customWidth="1"/>
    <col min="22" max="22" width="5.36328125" customWidth="1"/>
    <col min="23" max="24" width="10.81640625" bestFit="1" customWidth="1"/>
    <col min="25" max="25" width="11.81640625" customWidth="1"/>
    <col min="26" max="27" width="9.81640625" customWidth="1"/>
    <col min="28" max="28" width="8.7265625" customWidth="1"/>
  </cols>
  <sheetData>
    <row r="1" spans="1:27" s="46" customFormat="1" x14ac:dyDescent="0.35">
      <c r="C1" s="46">
        <v>1</v>
      </c>
      <c r="D1" s="46">
        <v>2</v>
      </c>
      <c r="E1" s="46">
        <v>3</v>
      </c>
      <c r="F1" s="46">
        <v>4</v>
      </c>
      <c r="G1" s="46">
        <v>5</v>
      </c>
      <c r="H1" s="46">
        <v>6</v>
      </c>
      <c r="I1" s="46">
        <v>7</v>
      </c>
      <c r="J1" s="46">
        <v>8</v>
      </c>
      <c r="K1" s="46">
        <v>9</v>
      </c>
      <c r="L1" s="46">
        <v>10</v>
      </c>
      <c r="M1" s="46">
        <v>11</v>
      </c>
      <c r="N1" s="46">
        <v>12</v>
      </c>
      <c r="O1" s="46">
        <v>13</v>
      </c>
      <c r="P1" s="46">
        <v>14</v>
      </c>
      <c r="Q1" s="46">
        <v>15</v>
      </c>
      <c r="R1" s="46">
        <v>16</v>
      </c>
      <c r="S1" s="46">
        <v>17</v>
      </c>
      <c r="T1" s="46">
        <v>18</v>
      </c>
      <c r="U1" s="46">
        <v>19</v>
      </c>
      <c r="V1" s="46">
        <v>20</v>
      </c>
      <c r="W1" s="46">
        <v>21</v>
      </c>
      <c r="X1" s="46">
        <v>22</v>
      </c>
      <c r="Y1" s="46">
        <v>23</v>
      </c>
      <c r="Z1" s="46">
        <v>24</v>
      </c>
      <c r="AA1" s="46">
        <v>25</v>
      </c>
    </row>
    <row r="2" spans="1:27" s="18" customFormat="1" ht="47" customHeight="1" x14ac:dyDescent="0.35">
      <c r="A2" s="45" t="s">
        <v>0</v>
      </c>
      <c r="B2" s="45" t="s">
        <v>1</v>
      </c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5" t="s">
        <v>9</v>
      </c>
      <c r="K2" s="45" t="s">
        <v>10</v>
      </c>
      <c r="L2" s="45" t="s">
        <v>11</v>
      </c>
      <c r="M2" s="45" t="s">
        <v>12</v>
      </c>
      <c r="N2" s="45" t="s">
        <v>13</v>
      </c>
      <c r="O2" s="45" t="s">
        <v>14</v>
      </c>
      <c r="P2" s="45" t="s">
        <v>15</v>
      </c>
      <c r="Q2" s="45" t="s">
        <v>16</v>
      </c>
      <c r="R2" s="45" t="s">
        <v>17</v>
      </c>
      <c r="S2" s="45" t="s">
        <v>18</v>
      </c>
      <c r="T2" s="45" t="s">
        <v>19</v>
      </c>
      <c r="U2" s="45" t="s">
        <v>20</v>
      </c>
      <c r="V2" s="45" t="s">
        <v>21</v>
      </c>
      <c r="W2" s="45" t="s">
        <v>22</v>
      </c>
      <c r="X2" s="45" t="s">
        <v>23</v>
      </c>
      <c r="Y2" s="45" t="s">
        <v>24</v>
      </c>
      <c r="Z2" s="45" t="s">
        <v>25</v>
      </c>
      <c r="AA2" s="45" t="s">
        <v>26</v>
      </c>
    </row>
    <row r="3" spans="1:27" x14ac:dyDescent="0.35">
      <c r="A3" t="s">
        <v>27</v>
      </c>
      <c r="B3" t="s">
        <v>28</v>
      </c>
      <c r="C3" t="s">
        <v>29</v>
      </c>
      <c r="D3">
        <v>13723.2</v>
      </c>
      <c r="E3">
        <v>0</v>
      </c>
      <c r="F3">
        <v>0</v>
      </c>
      <c r="G3">
        <v>0</v>
      </c>
      <c r="H3">
        <v>1699.3</v>
      </c>
      <c r="I3">
        <v>0</v>
      </c>
      <c r="J3">
        <v>0</v>
      </c>
      <c r="K3">
        <v>0</v>
      </c>
      <c r="L3">
        <v>203.5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15219</v>
      </c>
      <c r="Z3">
        <v>0</v>
      </c>
      <c r="AA3">
        <v>0</v>
      </c>
    </row>
    <row r="4" spans="1:27" x14ac:dyDescent="0.35">
      <c r="A4" t="s">
        <v>27</v>
      </c>
      <c r="B4" t="s">
        <v>28</v>
      </c>
      <c r="C4" t="s">
        <v>30</v>
      </c>
      <c r="D4">
        <v>9644.4480000000003</v>
      </c>
      <c r="E4">
        <v>0</v>
      </c>
      <c r="F4">
        <v>35</v>
      </c>
      <c r="G4">
        <v>0</v>
      </c>
      <c r="H4">
        <v>30000</v>
      </c>
      <c r="I4">
        <v>0</v>
      </c>
      <c r="J4">
        <v>0</v>
      </c>
      <c r="K4">
        <v>0</v>
      </c>
      <c r="L4">
        <v>0</v>
      </c>
      <c r="M4">
        <v>0</v>
      </c>
      <c r="N4">
        <v>140</v>
      </c>
      <c r="O4">
        <v>0</v>
      </c>
      <c r="P4">
        <v>0</v>
      </c>
      <c r="Q4">
        <v>16902.86</v>
      </c>
      <c r="R4">
        <v>0</v>
      </c>
      <c r="S4">
        <v>121.17</v>
      </c>
      <c r="T4">
        <v>0</v>
      </c>
      <c r="U4">
        <v>0</v>
      </c>
      <c r="V4">
        <v>0</v>
      </c>
      <c r="W4">
        <v>0</v>
      </c>
      <c r="X4">
        <v>16902.86</v>
      </c>
      <c r="Y4">
        <v>22601.588</v>
      </c>
      <c r="Z4">
        <v>0</v>
      </c>
      <c r="AA4">
        <v>53.83</v>
      </c>
    </row>
    <row r="5" spans="1:27" x14ac:dyDescent="0.35">
      <c r="A5" t="s">
        <v>27</v>
      </c>
      <c r="B5" t="s">
        <v>28</v>
      </c>
      <c r="C5" t="s">
        <v>31</v>
      </c>
      <c r="D5">
        <v>-25907.87</v>
      </c>
      <c r="E5">
        <v>100500</v>
      </c>
      <c r="F5">
        <v>18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8480.7999999999993</v>
      </c>
      <c r="R5">
        <v>0</v>
      </c>
      <c r="S5">
        <v>0</v>
      </c>
      <c r="T5">
        <v>0</v>
      </c>
      <c r="U5">
        <v>1924.4</v>
      </c>
      <c r="V5">
        <v>0</v>
      </c>
      <c r="W5">
        <v>0</v>
      </c>
      <c r="X5">
        <v>6556.4</v>
      </c>
      <c r="Y5">
        <v>-32464.27</v>
      </c>
      <c r="Z5">
        <v>98575.6</v>
      </c>
      <c r="AA5">
        <v>18</v>
      </c>
    </row>
    <row r="6" spans="1:27" x14ac:dyDescent="0.35">
      <c r="A6" t="s">
        <v>27</v>
      </c>
      <c r="B6" t="s">
        <v>28</v>
      </c>
      <c r="C6" t="s">
        <v>32</v>
      </c>
      <c r="D6">
        <v>6669.3869999999997</v>
      </c>
      <c r="E6">
        <v>87401.23</v>
      </c>
      <c r="F6">
        <v>2666.8</v>
      </c>
      <c r="G6">
        <v>0</v>
      </c>
      <c r="H6">
        <v>33000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19671.740000000002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19671.740000000002</v>
      </c>
      <c r="Y6">
        <v>19997.647000000001</v>
      </c>
      <c r="Z6">
        <v>87401.23</v>
      </c>
      <c r="AA6">
        <v>2666.8</v>
      </c>
    </row>
    <row r="7" spans="1:27" x14ac:dyDescent="0.35">
      <c r="A7" t="s">
        <v>27</v>
      </c>
      <c r="B7" t="s">
        <v>28</v>
      </c>
      <c r="C7" t="s">
        <v>33</v>
      </c>
      <c r="D7">
        <v>4286.33</v>
      </c>
      <c r="E7">
        <v>0</v>
      </c>
      <c r="F7">
        <v>0</v>
      </c>
      <c r="G7">
        <v>0</v>
      </c>
      <c r="H7">
        <v>3000</v>
      </c>
      <c r="I7">
        <v>0</v>
      </c>
      <c r="J7">
        <v>0</v>
      </c>
      <c r="K7">
        <v>0</v>
      </c>
      <c r="L7">
        <v>585</v>
      </c>
      <c r="M7">
        <v>0</v>
      </c>
      <c r="N7">
        <v>0</v>
      </c>
      <c r="O7">
        <v>0</v>
      </c>
      <c r="P7">
        <v>0</v>
      </c>
      <c r="Q7">
        <v>2082.2199999999998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2082.2199999999998</v>
      </c>
      <c r="Y7">
        <v>4619.1099999999997</v>
      </c>
      <c r="Z7">
        <v>0</v>
      </c>
      <c r="AA7">
        <v>0</v>
      </c>
    </row>
    <row r="8" spans="1:27" x14ac:dyDescent="0.35">
      <c r="A8" t="s">
        <v>27</v>
      </c>
      <c r="B8" t="s">
        <v>28</v>
      </c>
      <c r="C8" t="s">
        <v>34</v>
      </c>
      <c r="D8">
        <v>-57419</v>
      </c>
      <c r="E8">
        <v>345682.6</v>
      </c>
      <c r="F8">
        <v>135921.79</v>
      </c>
      <c r="G8">
        <v>0</v>
      </c>
      <c r="H8">
        <v>666050</v>
      </c>
      <c r="I8">
        <v>0</v>
      </c>
      <c r="J8">
        <v>1500</v>
      </c>
      <c r="K8">
        <v>93267</v>
      </c>
      <c r="L8">
        <v>337250</v>
      </c>
      <c r="M8">
        <v>0</v>
      </c>
      <c r="N8">
        <v>6685</v>
      </c>
      <c r="O8">
        <v>133500</v>
      </c>
      <c r="P8">
        <v>0</v>
      </c>
      <c r="Q8">
        <v>440267.2</v>
      </c>
      <c r="R8">
        <v>1500</v>
      </c>
      <c r="S8">
        <v>62675.73</v>
      </c>
      <c r="T8">
        <v>0</v>
      </c>
      <c r="U8">
        <v>64245.8</v>
      </c>
      <c r="V8">
        <v>0</v>
      </c>
      <c r="W8">
        <v>0</v>
      </c>
      <c r="X8">
        <v>376021.4</v>
      </c>
      <c r="Y8">
        <v>-109825.4</v>
      </c>
      <c r="Z8">
        <v>241203.8</v>
      </c>
      <c r="AA8">
        <v>79931.06</v>
      </c>
    </row>
    <row r="9" spans="1:27" x14ac:dyDescent="0.35">
      <c r="A9" t="s">
        <v>27</v>
      </c>
      <c r="B9" t="s">
        <v>28</v>
      </c>
      <c r="C9" t="s">
        <v>35</v>
      </c>
      <c r="D9">
        <v>9810.9770000000008</v>
      </c>
      <c r="E9">
        <v>33000.199999999997</v>
      </c>
      <c r="F9">
        <v>67</v>
      </c>
      <c r="G9">
        <v>0</v>
      </c>
      <c r="H9">
        <v>5100</v>
      </c>
      <c r="I9">
        <v>0</v>
      </c>
      <c r="J9">
        <v>0</v>
      </c>
      <c r="K9">
        <v>2000</v>
      </c>
      <c r="L9">
        <v>0</v>
      </c>
      <c r="M9">
        <v>0</v>
      </c>
      <c r="N9">
        <v>175</v>
      </c>
      <c r="O9">
        <v>0</v>
      </c>
      <c r="P9">
        <v>0</v>
      </c>
      <c r="Q9">
        <v>13476.49</v>
      </c>
      <c r="R9">
        <v>0</v>
      </c>
      <c r="S9">
        <v>147.63999999999999</v>
      </c>
      <c r="T9">
        <v>0</v>
      </c>
      <c r="U9">
        <v>0</v>
      </c>
      <c r="V9">
        <v>0</v>
      </c>
      <c r="W9">
        <v>0</v>
      </c>
      <c r="X9">
        <v>13476.49</v>
      </c>
      <c r="Y9">
        <v>1259.4870000000001</v>
      </c>
      <c r="Z9">
        <v>35000.199999999997</v>
      </c>
      <c r="AA9">
        <v>94.36</v>
      </c>
    </row>
    <row r="10" spans="1:27" x14ac:dyDescent="0.35">
      <c r="A10" t="s">
        <v>27</v>
      </c>
      <c r="B10" t="s">
        <v>36</v>
      </c>
      <c r="C10" t="s">
        <v>37</v>
      </c>
      <c r="D10">
        <v>8302.1</v>
      </c>
      <c r="E10">
        <v>0</v>
      </c>
      <c r="F10">
        <v>0</v>
      </c>
      <c r="G10">
        <v>0</v>
      </c>
      <c r="H10">
        <v>1166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9468.1</v>
      </c>
      <c r="Z10">
        <v>0</v>
      </c>
      <c r="AA10">
        <v>0</v>
      </c>
    </row>
    <row r="11" spans="1:27" x14ac:dyDescent="0.35">
      <c r="A11" t="s">
        <v>27</v>
      </c>
      <c r="B11" t="s">
        <v>36</v>
      </c>
      <c r="C11" t="s">
        <v>38</v>
      </c>
      <c r="D11">
        <v>5296.7</v>
      </c>
      <c r="E11">
        <v>0</v>
      </c>
      <c r="F11">
        <v>0</v>
      </c>
      <c r="G11">
        <v>0</v>
      </c>
      <c r="H11">
        <v>2268.6999999999998</v>
      </c>
      <c r="I11">
        <v>0</v>
      </c>
      <c r="J11">
        <v>7077.4</v>
      </c>
      <c r="K11">
        <v>0</v>
      </c>
      <c r="L11">
        <v>0</v>
      </c>
      <c r="M11">
        <v>0</v>
      </c>
      <c r="N11">
        <v>0</v>
      </c>
      <c r="O11">
        <v>0</v>
      </c>
      <c r="P11">
        <v>9222.9</v>
      </c>
      <c r="Q11">
        <v>8182.3</v>
      </c>
      <c r="R11">
        <v>7077.4</v>
      </c>
      <c r="S11">
        <v>0</v>
      </c>
      <c r="T11">
        <v>0</v>
      </c>
      <c r="U11">
        <v>0</v>
      </c>
      <c r="V11">
        <v>0</v>
      </c>
      <c r="W11">
        <v>9222.9</v>
      </c>
      <c r="X11">
        <v>8182.3</v>
      </c>
      <c r="Y11">
        <v>15683.4</v>
      </c>
      <c r="Z11">
        <v>0</v>
      </c>
      <c r="AA11">
        <v>0</v>
      </c>
    </row>
    <row r="12" spans="1:27" x14ac:dyDescent="0.35">
      <c r="A12" t="s">
        <v>27</v>
      </c>
      <c r="B12" t="s">
        <v>36</v>
      </c>
      <c r="C12" t="s">
        <v>39</v>
      </c>
      <c r="D12">
        <v>295706.26</v>
      </c>
      <c r="E12">
        <v>0</v>
      </c>
      <c r="F12">
        <v>0</v>
      </c>
      <c r="G12">
        <v>0</v>
      </c>
      <c r="H12">
        <v>39998.89</v>
      </c>
      <c r="I12">
        <v>0</v>
      </c>
      <c r="J12">
        <v>0</v>
      </c>
      <c r="K12">
        <v>0</v>
      </c>
      <c r="L12">
        <v>529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335176.15000000002</v>
      </c>
      <c r="Z12">
        <v>0</v>
      </c>
      <c r="AA12">
        <v>0</v>
      </c>
    </row>
    <row r="13" spans="1:27" x14ac:dyDescent="0.35">
      <c r="A13" t="s">
        <v>27</v>
      </c>
      <c r="B13" t="s">
        <v>36</v>
      </c>
      <c r="C13" t="s">
        <v>40</v>
      </c>
      <c r="D13">
        <v>-17219.599999999999</v>
      </c>
      <c r="E13">
        <v>0</v>
      </c>
      <c r="F13">
        <v>0</v>
      </c>
      <c r="G13">
        <v>0</v>
      </c>
      <c r="H13">
        <v>605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-16614.599999999999</v>
      </c>
      <c r="Z13">
        <v>0</v>
      </c>
      <c r="AA13">
        <v>0</v>
      </c>
    </row>
    <row r="14" spans="1:27" x14ac:dyDescent="0.35">
      <c r="A14" t="s">
        <v>27</v>
      </c>
      <c r="B14" t="s">
        <v>36</v>
      </c>
      <c r="C14" t="s">
        <v>41</v>
      </c>
      <c r="D14">
        <v>4075.56</v>
      </c>
      <c r="E14">
        <v>0</v>
      </c>
      <c r="F14">
        <v>0</v>
      </c>
      <c r="G14">
        <v>0</v>
      </c>
      <c r="H14">
        <v>1550.3</v>
      </c>
      <c r="I14">
        <v>0</v>
      </c>
      <c r="J14">
        <v>0</v>
      </c>
      <c r="K14">
        <v>0</v>
      </c>
      <c r="L14">
        <v>212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5413.86</v>
      </c>
      <c r="Z14">
        <v>0</v>
      </c>
      <c r="AA14">
        <v>0</v>
      </c>
    </row>
    <row r="15" spans="1:27" x14ac:dyDescent="0.35">
      <c r="A15" t="s">
        <v>27</v>
      </c>
      <c r="B15" t="s">
        <v>36</v>
      </c>
      <c r="C15" t="s">
        <v>42</v>
      </c>
      <c r="D15">
        <v>67250.5</v>
      </c>
      <c r="E15">
        <v>11.2</v>
      </c>
      <c r="F15">
        <v>0</v>
      </c>
      <c r="G15">
        <v>0</v>
      </c>
      <c r="H15">
        <v>55701.8</v>
      </c>
      <c r="I15">
        <v>0</v>
      </c>
      <c r="J15">
        <v>4759.7</v>
      </c>
      <c r="K15">
        <v>0</v>
      </c>
      <c r="L15">
        <v>31728.400000000001</v>
      </c>
      <c r="M15">
        <v>0</v>
      </c>
      <c r="N15">
        <v>0</v>
      </c>
      <c r="O15">
        <v>0</v>
      </c>
      <c r="P15">
        <v>250570.4</v>
      </c>
      <c r="Q15">
        <v>247720.6</v>
      </c>
      <c r="R15">
        <v>4759.7</v>
      </c>
      <c r="S15">
        <v>0</v>
      </c>
      <c r="T15">
        <v>0</v>
      </c>
      <c r="U15">
        <v>0</v>
      </c>
      <c r="V15">
        <v>0</v>
      </c>
      <c r="W15">
        <v>250570.4</v>
      </c>
      <c r="X15">
        <v>247720.6</v>
      </c>
      <c r="Y15">
        <v>98833.4</v>
      </c>
      <c r="Z15">
        <v>11.2</v>
      </c>
      <c r="AA15">
        <v>0</v>
      </c>
    </row>
    <row r="16" spans="1:27" x14ac:dyDescent="0.35">
      <c r="A16" t="s">
        <v>27</v>
      </c>
      <c r="B16" t="s">
        <v>36</v>
      </c>
      <c r="C16" t="s">
        <v>43</v>
      </c>
      <c r="D16">
        <v>36116.214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471251.08</v>
      </c>
      <c r="Q16">
        <v>460634.69</v>
      </c>
      <c r="R16">
        <v>0</v>
      </c>
      <c r="S16">
        <v>0</v>
      </c>
      <c r="T16">
        <v>0</v>
      </c>
      <c r="U16">
        <v>0</v>
      </c>
      <c r="V16">
        <v>0</v>
      </c>
      <c r="W16">
        <v>471251.08</v>
      </c>
      <c r="X16">
        <v>460634.69</v>
      </c>
      <c r="Y16">
        <v>46732.603999999999</v>
      </c>
      <c r="Z16">
        <v>0</v>
      </c>
      <c r="AA16">
        <v>0</v>
      </c>
    </row>
    <row r="17" spans="1:27" x14ac:dyDescent="0.35">
      <c r="A17" t="s">
        <v>27</v>
      </c>
      <c r="B17" t="s">
        <v>36</v>
      </c>
      <c r="C17" t="s">
        <v>44</v>
      </c>
      <c r="D17">
        <v>581054.07999999996</v>
      </c>
      <c r="E17">
        <v>0</v>
      </c>
      <c r="F17">
        <v>0</v>
      </c>
      <c r="G17">
        <v>0</v>
      </c>
      <c r="H17">
        <v>191637.66</v>
      </c>
      <c r="I17">
        <v>0</v>
      </c>
      <c r="J17">
        <v>50226.04</v>
      </c>
      <c r="K17">
        <v>0</v>
      </c>
      <c r="L17">
        <v>75248.7</v>
      </c>
      <c r="M17">
        <v>0</v>
      </c>
      <c r="N17">
        <v>0</v>
      </c>
      <c r="O17">
        <v>2484.8000000000002</v>
      </c>
      <c r="P17">
        <v>331378.8</v>
      </c>
      <c r="Q17">
        <v>459505.94</v>
      </c>
      <c r="R17">
        <v>50226.04</v>
      </c>
      <c r="S17">
        <v>0</v>
      </c>
      <c r="T17">
        <v>2484.8000000000002</v>
      </c>
      <c r="U17">
        <v>0</v>
      </c>
      <c r="V17">
        <v>0</v>
      </c>
      <c r="W17">
        <v>328894</v>
      </c>
      <c r="X17">
        <v>459505.94</v>
      </c>
      <c r="Y17">
        <v>617057.14</v>
      </c>
      <c r="Z17">
        <v>0</v>
      </c>
      <c r="AA17">
        <v>0</v>
      </c>
    </row>
    <row r="18" spans="1:27" x14ac:dyDescent="0.35">
      <c r="A18" t="s">
        <v>27</v>
      </c>
      <c r="B18" t="s">
        <v>36</v>
      </c>
      <c r="C18" t="s">
        <v>45</v>
      </c>
      <c r="D18">
        <v>227251.20000000001</v>
      </c>
      <c r="E18">
        <v>0</v>
      </c>
      <c r="F18">
        <v>0</v>
      </c>
      <c r="G18">
        <v>0</v>
      </c>
      <c r="H18">
        <v>9180.6</v>
      </c>
      <c r="I18">
        <v>0</v>
      </c>
      <c r="J18">
        <v>0</v>
      </c>
      <c r="K18">
        <v>0</v>
      </c>
      <c r="L18">
        <v>30916.1</v>
      </c>
      <c r="M18">
        <v>0</v>
      </c>
      <c r="N18">
        <v>0</v>
      </c>
      <c r="O18">
        <v>0</v>
      </c>
      <c r="P18">
        <v>138759.1</v>
      </c>
      <c r="Q18">
        <v>8048</v>
      </c>
      <c r="R18">
        <v>0</v>
      </c>
      <c r="S18">
        <v>0</v>
      </c>
      <c r="T18">
        <v>0</v>
      </c>
      <c r="U18">
        <v>0</v>
      </c>
      <c r="V18">
        <v>0</v>
      </c>
      <c r="W18">
        <v>138759.1</v>
      </c>
      <c r="X18">
        <v>8048</v>
      </c>
      <c r="Y18">
        <v>336226.8</v>
      </c>
      <c r="Z18">
        <v>0</v>
      </c>
      <c r="AA18">
        <v>0</v>
      </c>
    </row>
    <row r="19" spans="1:27" x14ac:dyDescent="0.35">
      <c r="A19" t="s">
        <v>27</v>
      </c>
      <c r="B19" t="s">
        <v>36</v>
      </c>
      <c r="C19" t="s">
        <v>46</v>
      </c>
      <c r="D19">
        <v>172118.77</v>
      </c>
      <c r="E19">
        <v>180.67</v>
      </c>
      <c r="F19">
        <v>4728.05</v>
      </c>
      <c r="G19">
        <v>0</v>
      </c>
      <c r="H19">
        <v>44216.08</v>
      </c>
      <c r="I19">
        <v>0</v>
      </c>
      <c r="J19">
        <v>9562.39</v>
      </c>
      <c r="K19">
        <v>171.55</v>
      </c>
      <c r="L19">
        <v>62955.3</v>
      </c>
      <c r="M19">
        <v>0</v>
      </c>
      <c r="N19">
        <v>13775.12</v>
      </c>
      <c r="O19">
        <v>82.31</v>
      </c>
      <c r="P19">
        <v>77133.06</v>
      </c>
      <c r="Q19">
        <v>15768</v>
      </c>
      <c r="R19">
        <v>9562.39</v>
      </c>
      <c r="S19">
        <v>10651.79</v>
      </c>
      <c r="T19">
        <v>0</v>
      </c>
      <c r="U19">
        <v>0</v>
      </c>
      <c r="V19">
        <v>0</v>
      </c>
      <c r="W19">
        <v>77133.06</v>
      </c>
      <c r="X19">
        <v>15768</v>
      </c>
      <c r="Y19">
        <v>210531.88</v>
      </c>
      <c r="Z19">
        <v>269.91000000000003</v>
      </c>
      <c r="AA19">
        <v>7851.38</v>
      </c>
    </row>
    <row r="20" spans="1:27" x14ac:dyDescent="0.35">
      <c r="A20" t="s">
        <v>27</v>
      </c>
      <c r="B20" t="s">
        <v>36</v>
      </c>
      <c r="C20" t="s">
        <v>47</v>
      </c>
      <c r="D20">
        <v>63942.315000000002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19000</v>
      </c>
      <c r="M20">
        <v>0</v>
      </c>
      <c r="N20">
        <v>0</v>
      </c>
      <c r="O20">
        <v>0</v>
      </c>
      <c r="P20">
        <v>58880</v>
      </c>
      <c r="Q20">
        <v>29350.68</v>
      </c>
      <c r="R20">
        <v>0</v>
      </c>
      <c r="S20">
        <v>0</v>
      </c>
      <c r="T20">
        <v>0</v>
      </c>
      <c r="U20">
        <v>0</v>
      </c>
      <c r="V20">
        <v>0</v>
      </c>
      <c r="W20">
        <v>58880</v>
      </c>
      <c r="X20">
        <v>29350.68</v>
      </c>
      <c r="Y20">
        <v>74471.634999999995</v>
      </c>
      <c r="Z20">
        <v>0</v>
      </c>
      <c r="AA20">
        <v>0</v>
      </c>
    </row>
    <row r="21" spans="1:27" x14ac:dyDescent="0.35">
      <c r="A21" t="s">
        <v>27</v>
      </c>
      <c r="B21" t="s">
        <v>36</v>
      </c>
      <c r="C21" t="s">
        <v>48</v>
      </c>
      <c r="D21">
        <v>105587.43799999999</v>
      </c>
      <c r="E21">
        <v>0</v>
      </c>
      <c r="F21">
        <v>24012</v>
      </c>
      <c r="G21">
        <v>0</v>
      </c>
      <c r="H21">
        <v>0</v>
      </c>
      <c r="I21">
        <v>0</v>
      </c>
      <c r="J21">
        <v>470.8</v>
      </c>
      <c r="K21">
        <v>0</v>
      </c>
      <c r="L21">
        <v>9300</v>
      </c>
      <c r="M21">
        <v>0</v>
      </c>
      <c r="N21">
        <v>0</v>
      </c>
      <c r="O21">
        <v>0</v>
      </c>
      <c r="P21">
        <v>114792.13</v>
      </c>
      <c r="Q21">
        <v>59325</v>
      </c>
      <c r="R21">
        <v>470.8</v>
      </c>
      <c r="S21">
        <v>0</v>
      </c>
      <c r="T21">
        <v>0</v>
      </c>
      <c r="U21">
        <v>0</v>
      </c>
      <c r="V21">
        <v>0</v>
      </c>
      <c r="W21">
        <v>114792.13</v>
      </c>
      <c r="X21">
        <v>59325</v>
      </c>
      <c r="Y21">
        <v>152225.36799999999</v>
      </c>
      <c r="Z21">
        <v>0</v>
      </c>
      <c r="AA21">
        <v>24012</v>
      </c>
    </row>
    <row r="22" spans="1:27" x14ac:dyDescent="0.35">
      <c r="A22" t="s">
        <v>27</v>
      </c>
      <c r="B22" t="s">
        <v>49</v>
      </c>
      <c r="C22" t="s">
        <v>50</v>
      </c>
      <c r="D22">
        <v>365806.37</v>
      </c>
      <c r="E22">
        <v>43.6</v>
      </c>
      <c r="F22">
        <v>0</v>
      </c>
      <c r="G22">
        <v>0</v>
      </c>
      <c r="H22">
        <v>334889.15000000002</v>
      </c>
      <c r="I22">
        <v>0</v>
      </c>
      <c r="J22">
        <v>0</v>
      </c>
      <c r="K22">
        <v>0</v>
      </c>
      <c r="L22">
        <v>714759.05</v>
      </c>
      <c r="M22">
        <v>0</v>
      </c>
      <c r="N22">
        <v>0</v>
      </c>
      <c r="O22">
        <v>63685.4</v>
      </c>
      <c r="P22">
        <v>521685.8</v>
      </c>
      <c r="Q22">
        <v>46163.4</v>
      </c>
      <c r="R22">
        <v>0</v>
      </c>
      <c r="S22">
        <v>0</v>
      </c>
      <c r="T22">
        <v>63685.4</v>
      </c>
      <c r="U22">
        <v>0</v>
      </c>
      <c r="V22">
        <v>0</v>
      </c>
      <c r="W22">
        <v>458000.4</v>
      </c>
      <c r="X22">
        <v>46163.4</v>
      </c>
      <c r="Y22">
        <v>397773.47</v>
      </c>
      <c r="Z22">
        <v>43.6</v>
      </c>
      <c r="AA22">
        <v>0</v>
      </c>
    </row>
    <row r="23" spans="1:27" x14ac:dyDescent="0.35">
      <c r="A23" t="s">
        <v>27</v>
      </c>
      <c r="B23" t="s">
        <v>49</v>
      </c>
      <c r="C23" t="s">
        <v>51</v>
      </c>
      <c r="D23">
        <v>-84357.33</v>
      </c>
      <c r="E23">
        <v>4016.25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567729.64</v>
      </c>
      <c r="Q23">
        <v>705823</v>
      </c>
      <c r="R23">
        <v>0</v>
      </c>
      <c r="S23">
        <v>0</v>
      </c>
      <c r="T23">
        <v>0</v>
      </c>
      <c r="U23">
        <v>0</v>
      </c>
      <c r="V23">
        <v>0</v>
      </c>
      <c r="W23">
        <v>567729.64</v>
      </c>
      <c r="X23">
        <v>705823</v>
      </c>
      <c r="Y23">
        <v>-222450.69</v>
      </c>
      <c r="Z23">
        <v>4016.25</v>
      </c>
      <c r="AA23">
        <v>0</v>
      </c>
    </row>
    <row r="24" spans="1:27" x14ac:dyDescent="0.35">
      <c r="A24" t="s">
        <v>27</v>
      </c>
      <c r="B24" t="s">
        <v>49</v>
      </c>
      <c r="C24" t="s">
        <v>52</v>
      </c>
      <c r="D24">
        <v>559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559</v>
      </c>
      <c r="Z24">
        <v>0</v>
      </c>
      <c r="AA24">
        <v>0</v>
      </c>
    </row>
    <row r="25" spans="1:27" x14ac:dyDescent="0.35">
      <c r="A25" t="s">
        <v>27</v>
      </c>
      <c r="B25" t="s">
        <v>49</v>
      </c>
      <c r="C25" t="s">
        <v>53</v>
      </c>
      <c r="D25">
        <v>52112.9</v>
      </c>
      <c r="E25">
        <v>0</v>
      </c>
      <c r="F25">
        <v>0</v>
      </c>
      <c r="G25">
        <v>0</v>
      </c>
      <c r="H25">
        <v>4.5999999999999996</v>
      </c>
      <c r="I25">
        <v>0</v>
      </c>
      <c r="J25">
        <v>0</v>
      </c>
      <c r="K25">
        <v>0</v>
      </c>
      <c r="L25">
        <v>469</v>
      </c>
      <c r="M25">
        <v>0</v>
      </c>
      <c r="N25">
        <v>0</v>
      </c>
      <c r="O25">
        <v>0</v>
      </c>
      <c r="P25">
        <v>469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469</v>
      </c>
      <c r="X25">
        <v>0</v>
      </c>
      <c r="Y25">
        <v>52117.5</v>
      </c>
      <c r="Z25">
        <v>0</v>
      </c>
      <c r="AA25">
        <v>0</v>
      </c>
    </row>
    <row r="26" spans="1:27" x14ac:dyDescent="0.35">
      <c r="A26" t="s">
        <v>27</v>
      </c>
      <c r="B26" t="s">
        <v>49</v>
      </c>
      <c r="C26" t="s">
        <v>54</v>
      </c>
      <c r="D26">
        <v>-1362.3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-1362.3</v>
      </c>
      <c r="Z26">
        <v>0</v>
      </c>
      <c r="AA26">
        <v>0</v>
      </c>
    </row>
    <row r="27" spans="1:27" x14ac:dyDescent="0.35">
      <c r="A27" t="s">
        <v>27</v>
      </c>
      <c r="B27" t="s">
        <v>49</v>
      </c>
      <c r="C27" t="s">
        <v>55</v>
      </c>
      <c r="D27">
        <v>7.3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7.3</v>
      </c>
      <c r="Z27">
        <v>0</v>
      </c>
      <c r="AA27">
        <v>0</v>
      </c>
    </row>
    <row r="28" spans="1:27" x14ac:dyDescent="0.35">
      <c r="A28" s="2" t="s">
        <v>56</v>
      </c>
      <c r="B28" s="2"/>
      <c r="C28" s="2">
        <v>0</v>
      </c>
      <c r="D28" s="2">
        <v>1843054.949</v>
      </c>
      <c r="E28" s="2">
        <v>570835.75</v>
      </c>
      <c r="F28" s="2">
        <v>167448.64000000001</v>
      </c>
      <c r="G28" s="2">
        <v>0</v>
      </c>
      <c r="H28" s="2">
        <v>1420068.08</v>
      </c>
      <c r="I28" s="2">
        <v>0</v>
      </c>
      <c r="J28" s="2">
        <v>73596.33</v>
      </c>
      <c r="K28" s="2">
        <v>95438.55</v>
      </c>
      <c r="L28" s="2">
        <v>1283156.05</v>
      </c>
      <c r="M28" s="2">
        <v>0</v>
      </c>
      <c r="N28" s="2">
        <v>20775.12</v>
      </c>
      <c r="O28" s="2">
        <v>199752.51</v>
      </c>
      <c r="P28" s="2">
        <v>2541871.91</v>
      </c>
      <c r="Q28" s="2">
        <v>2541402.92</v>
      </c>
      <c r="R28" s="2">
        <v>73596.33</v>
      </c>
      <c r="S28" s="2">
        <v>73596.33</v>
      </c>
      <c r="T28" s="2">
        <v>66170.2</v>
      </c>
      <c r="U28" s="2">
        <v>66170.2</v>
      </c>
      <c r="V28" s="2">
        <v>0</v>
      </c>
      <c r="W28" s="2">
        <v>2475701.71</v>
      </c>
      <c r="X28" s="2">
        <v>2475232.7200000002</v>
      </c>
      <c r="Y28" s="2">
        <v>2033257.179</v>
      </c>
      <c r="Z28" s="2">
        <v>466521.79</v>
      </c>
      <c r="AA28" s="2">
        <v>114627.43</v>
      </c>
    </row>
    <row r="29" spans="1:27" x14ac:dyDescent="0.35">
      <c r="A29" t="s">
        <v>27</v>
      </c>
      <c r="B29" t="s">
        <v>57</v>
      </c>
      <c r="C29" t="s">
        <v>29</v>
      </c>
      <c r="D29">
        <v>6875.7349999999997</v>
      </c>
      <c r="E29">
        <v>0</v>
      </c>
      <c r="F29">
        <v>0</v>
      </c>
      <c r="G29">
        <v>0</v>
      </c>
      <c r="H29">
        <v>467.1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7342.835</v>
      </c>
      <c r="Z29">
        <v>0</v>
      </c>
      <c r="AA29">
        <v>0</v>
      </c>
    </row>
    <row r="30" spans="1:27" x14ac:dyDescent="0.35">
      <c r="A30" t="s">
        <v>27</v>
      </c>
      <c r="B30" t="s">
        <v>57</v>
      </c>
      <c r="C30" t="s">
        <v>58</v>
      </c>
      <c r="D30">
        <v>2600</v>
      </c>
      <c r="E30">
        <v>0</v>
      </c>
      <c r="F30">
        <v>0</v>
      </c>
      <c r="G30">
        <v>0</v>
      </c>
      <c r="H30">
        <v>250</v>
      </c>
      <c r="I30">
        <v>0</v>
      </c>
      <c r="J30">
        <v>0</v>
      </c>
      <c r="K30">
        <v>0</v>
      </c>
      <c r="L30">
        <v>25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2825</v>
      </c>
      <c r="Z30">
        <v>0</v>
      </c>
      <c r="AA30">
        <v>0</v>
      </c>
    </row>
    <row r="31" spans="1:27" x14ac:dyDescent="0.35">
      <c r="A31" t="s">
        <v>27</v>
      </c>
      <c r="B31" t="s">
        <v>57</v>
      </c>
      <c r="C31" t="s">
        <v>59</v>
      </c>
      <c r="D31">
        <v>12240</v>
      </c>
      <c r="E31">
        <v>0</v>
      </c>
      <c r="F31">
        <v>0</v>
      </c>
      <c r="G31">
        <v>0</v>
      </c>
      <c r="H31">
        <v>2550</v>
      </c>
      <c r="I31">
        <v>0</v>
      </c>
      <c r="J31">
        <v>0</v>
      </c>
      <c r="K31">
        <v>0</v>
      </c>
      <c r="L31">
        <v>680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14110</v>
      </c>
      <c r="Z31">
        <v>0</v>
      </c>
      <c r="AA31">
        <v>0</v>
      </c>
    </row>
    <row r="32" spans="1:27" x14ac:dyDescent="0.35">
      <c r="A32" s="2" t="s">
        <v>56</v>
      </c>
      <c r="B32" s="2"/>
      <c r="C32" s="2">
        <v>0</v>
      </c>
      <c r="D32" s="2">
        <v>21715.735000000001</v>
      </c>
      <c r="E32" s="2">
        <v>0</v>
      </c>
      <c r="F32" s="2">
        <v>0</v>
      </c>
      <c r="G32" s="2">
        <v>0</v>
      </c>
      <c r="H32" s="2">
        <v>3267.1</v>
      </c>
      <c r="I32" s="2">
        <v>0</v>
      </c>
      <c r="J32" s="2">
        <v>0</v>
      </c>
      <c r="K32" s="2">
        <v>0</v>
      </c>
      <c r="L32" s="2">
        <v>705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24277.834999999999</v>
      </c>
      <c r="Z32" s="2">
        <v>0</v>
      </c>
      <c r="AA32" s="2">
        <v>0</v>
      </c>
    </row>
  </sheetData>
  <autoFilter ref="A2:AA32" xr:uid="{913C1F5A-DDA7-4D5E-88FB-F70CB3321EB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0AB8-3C64-48DA-9239-4FA30383E32D}">
  <sheetPr>
    <pageSetUpPr fitToPage="1"/>
  </sheetPr>
  <dimension ref="A1:AF42"/>
  <sheetViews>
    <sheetView tabSelected="1" zoomScale="60" zoomScaleNormal="60" workbookViewId="0">
      <pane xSplit="6" ySplit="5" topLeftCell="O6" activePane="bottomRight" state="frozen"/>
      <selection pane="topRight" activeCell="I1" sqref="I1"/>
      <selection pane="bottomLeft" activeCell="A4" sqref="A4"/>
      <selection pane="bottomRight" activeCell="X25" sqref="X25"/>
    </sheetView>
  </sheetViews>
  <sheetFormatPr defaultRowHeight="14.5" x14ac:dyDescent="0.35"/>
  <cols>
    <col min="1" max="1" width="5.6328125" customWidth="1"/>
    <col min="2" max="2" width="17.08984375" customWidth="1"/>
    <col min="3" max="3" width="11.26953125" customWidth="1"/>
    <col min="4" max="4" width="11.6328125" customWidth="1"/>
    <col min="5" max="5" width="11.90625" customWidth="1"/>
    <col min="6" max="6" width="9.453125" customWidth="1"/>
    <col min="7" max="7" width="12.453125" customWidth="1"/>
    <col min="8" max="8" width="9.7265625" customWidth="1"/>
    <col min="9" max="9" width="12" customWidth="1"/>
    <col min="10" max="10" width="11.6328125" customWidth="1"/>
    <col min="11" max="11" width="11.36328125" customWidth="1"/>
    <col min="12" max="12" width="7.81640625" customWidth="1"/>
    <col min="13" max="13" width="12.54296875" customWidth="1"/>
    <col min="14" max="14" width="12.08984375" customWidth="1"/>
    <col min="15" max="15" width="14" customWidth="1"/>
    <col min="16" max="16" width="11.26953125" customWidth="1"/>
    <col min="17" max="17" width="10.6328125" customWidth="1"/>
    <col min="18" max="18" width="9.6328125" customWidth="1"/>
    <col min="19" max="19" width="8.54296875" customWidth="1"/>
    <col min="20" max="20" width="9.26953125" customWidth="1"/>
    <col min="21" max="21" width="10.81640625" hidden="1" customWidth="1"/>
    <col min="22" max="22" width="11.81640625" bestFit="1" customWidth="1"/>
    <col min="23" max="24" width="14.81640625" customWidth="1"/>
    <col min="25" max="26" width="16" customWidth="1"/>
    <col min="27" max="27" width="10.36328125" customWidth="1"/>
    <col min="28" max="28" width="10.08984375" customWidth="1"/>
    <col min="29" max="29" width="15.26953125" customWidth="1"/>
    <col min="30" max="30" width="15.54296875" customWidth="1"/>
    <col min="31" max="31" width="11.08984375" customWidth="1"/>
  </cols>
  <sheetData>
    <row r="1" spans="1:32" ht="19.5" x14ac:dyDescent="0.45">
      <c r="B1" s="96">
        <v>46204</v>
      </c>
      <c r="C1" s="97"/>
      <c r="K1" s="3"/>
    </row>
    <row r="2" spans="1:32" s="47" customFormat="1" x14ac:dyDescent="0.35">
      <c r="B2" s="48">
        <v>1</v>
      </c>
      <c r="C2" s="48">
        <v>2</v>
      </c>
      <c r="D2" s="48">
        <v>3</v>
      </c>
      <c r="E2" s="48">
        <v>4</v>
      </c>
      <c r="F2" s="48">
        <v>5</v>
      </c>
      <c r="G2" s="48">
        <v>6</v>
      </c>
      <c r="H2" s="48">
        <v>7</v>
      </c>
      <c r="I2" s="48">
        <v>8</v>
      </c>
      <c r="J2" s="48">
        <v>9</v>
      </c>
      <c r="K2" s="48">
        <v>10</v>
      </c>
      <c r="L2" s="48">
        <v>11</v>
      </c>
      <c r="M2" s="48">
        <v>12</v>
      </c>
      <c r="N2" s="48">
        <v>13</v>
      </c>
      <c r="O2" s="48">
        <v>14</v>
      </c>
      <c r="P2" s="48">
        <v>15</v>
      </c>
      <c r="Q2" s="48">
        <v>16</v>
      </c>
      <c r="R2" s="48">
        <v>17</v>
      </c>
      <c r="S2" s="48">
        <v>18</v>
      </c>
      <c r="T2" s="48">
        <v>19</v>
      </c>
      <c r="U2" s="48">
        <v>20</v>
      </c>
      <c r="V2" s="48">
        <v>21</v>
      </c>
      <c r="W2" s="48">
        <v>22</v>
      </c>
      <c r="X2" s="48">
        <v>23</v>
      </c>
      <c r="Y2" s="48">
        <v>24</v>
      </c>
      <c r="Z2" s="48">
        <v>25</v>
      </c>
      <c r="AA2" s="48">
        <v>26</v>
      </c>
      <c r="AB2" s="48">
        <v>27</v>
      </c>
      <c r="AC2" s="48">
        <v>28</v>
      </c>
      <c r="AD2" s="48">
        <v>29</v>
      </c>
      <c r="AE2" s="47">
        <v>30</v>
      </c>
      <c r="AF2" s="47">
        <v>31</v>
      </c>
    </row>
    <row r="3" spans="1:32" ht="42" hidden="1" customHeight="1" x14ac:dyDescent="0.35">
      <c r="B3" s="4" t="s">
        <v>2</v>
      </c>
      <c r="C3" s="5" t="s">
        <v>3</v>
      </c>
      <c r="D3" s="6" t="s">
        <v>4</v>
      </c>
      <c r="E3" s="7" t="s">
        <v>5</v>
      </c>
      <c r="F3" s="4" t="s">
        <v>6</v>
      </c>
      <c r="G3" s="5" t="s">
        <v>7</v>
      </c>
      <c r="H3" s="4" t="s">
        <v>8</v>
      </c>
      <c r="I3" s="5" t="s">
        <v>9</v>
      </c>
      <c r="J3" s="6" t="s">
        <v>10</v>
      </c>
      <c r="K3" s="5" t="s">
        <v>11</v>
      </c>
      <c r="L3" s="4" t="s">
        <v>12</v>
      </c>
      <c r="M3" s="5" t="s">
        <v>13</v>
      </c>
      <c r="N3" s="6" t="s">
        <v>14</v>
      </c>
      <c r="O3" s="8" t="s">
        <v>15</v>
      </c>
      <c r="P3" s="4" t="s">
        <v>16</v>
      </c>
      <c r="Q3" s="9" t="s">
        <v>17</v>
      </c>
      <c r="R3" s="9" t="s">
        <v>18</v>
      </c>
      <c r="S3" s="6" t="s">
        <v>19</v>
      </c>
      <c r="T3" s="6" t="s">
        <v>20</v>
      </c>
      <c r="U3" s="4" t="s">
        <v>21</v>
      </c>
      <c r="V3" s="5" t="s">
        <v>22</v>
      </c>
      <c r="W3" s="5" t="s">
        <v>23</v>
      </c>
      <c r="X3" s="5" t="s">
        <v>24</v>
      </c>
      <c r="Y3" s="6" t="s">
        <v>25</v>
      </c>
      <c r="Z3" s="9" t="s">
        <v>26</v>
      </c>
      <c r="AA3" s="10" t="s">
        <v>60</v>
      </c>
      <c r="AB3" s="11" t="s">
        <v>61</v>
      </c>
      <c r="AC3" s="11" t="s">
        <v>62</v>
      </c>
      <c r="AD3" s="11" t="s">
        <v>63</v>
      </c>
      <c r="AE3" s="11" t="s">
        <v>64</v>
      </c>
    </row>
    <row r="4" spans="1:32" x14ac:dyDescent="0.35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1"/>
      <c r="AB4" s="11"/>
      <c r="AC4" s="11"/>
      <c r="AD4" s="11"/>
      <c r="AE4" s="11"/>
    </row>
    <row r="5" spans="1:32" s="18" customFormat="1" ht="49" customHeight="1" x14ac:dyDescent="0.35">
      <c r="A5" s="14" t="s">
        <v>1</v>
      </c>
      <c r="B5" s="14" t="s">
        <v>2</v>
      </c>
      <c r="C5" s="15" t="s">
        <v>3</v>
      </c>
      <c r="D5" s="16" t="s">
        <v>4</v>
      </c>
      <c r="E5" s="17" t="s">
        <v>5</v>
      </c>
      <c r="F5" s="14" t="s">
        <v>6</v>
      </c>
      <c r="G5" s="15" t="s">
        <v>7</v>
      </c>
      <c r="H5" s="14" t="s">
        <v>8</v>
      </c>
      <c r="I5" s="15" t="s">
        <v>9</v>
      </c>
      <c r="J5" s="16" t="s">
        <v>10</v>
      </c>
      <c r="K5" s="15" t="s">
        <v>11</v>
      </c>
      <c r="L5" s="14" t="s">
        <v>12</v>
      </c>
      <c r="M5" s="15" t="s">
        <v>13</v>
      </c>
      <c r="N5" s="16" t="s">
        <v>14</v>
      </c>
      <c r="O5" s="14" t="s">
        <v>15</v>
      </c>
      <c r="P5" s="14" t="s">
        <v>16</v>
      </c>
      <c r="Q5" s="17" t="s">
        <v>17</v>
      </c>
      <c r="R5" s="17" t="s">
        <v>18</v>
      </c>
      <c r="S5" s="14" t="s">
        <v>19</v>
      </c>
      <c r="T5" s="14" t="s">
        <v>20</v>
      </c>
      <c r="U5" s="14" t="s">
        <v>21</v>
      </c>
      <c r="V5" s="15" t="s">
        <v>22</v>
      </c>
      <c r="W5" s="15" t="s">
        <v>23</v>
      </c>
      <c r="X5" s="15" t="s">
        <v>24</v>
      </c>
      <c r="Y5" s="16" t="s">
        <v>25</v>
      </c>
      <c r="Z5" s="17" t="s">
        <v>26</v>
      </c>
      <c r="AA5" s="10" t="s">
        <v>60</v>
      </c>
      <c r="AB5" s="11" t="s">
        <v>61</v>
      </c>
      <c r="AC5" s="11" t="s">
        <v>62</v>
      </c>
      <c r="AD5" s="11" t="s">
        <v>63</v>
      </c>
      <c r="AE5" s="11" t="s">
        <v>64</v>
      </c>
    </row>
    <row r="6" spans="1:32" x14ac:dyDescent="0.35">
      <c r="A6" s="19" t="s">
        <v>28</v>
      </c>
      <c r="B6" s="19" t="s">
        <v>29</v>
      </c>
      <c r="C6" s="95">
        <v>13506.199999999999</v>
      </c>
      <c r="D6" s="95">
        <v>0</v>
      </c>
      <c r="E6" s="95">
        <v>0</v>
      </c>
      <c r="F6" s="19">
        <v>0</v>
      </c>
      <c r="G6" s="19">
        <v>1699.3</v>
      </c>
      <c r="H6" s="19">
        <v>0</v>
      </c>
      <c r="I6" s="19">
        <v>0</v>
      </c>
      <c r="J6" s="19">
        <v>0</v>
      </c>
      <c r="K6" s="19">
        <v>203.5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95">
        <f>O6-S6</f>
        <v>0</v>
      </c>
      <c r="W6" s="95">
        <f>P6-T6</f>
        <v>0</v>
      </c>
      <c r="X6" s="20">
        <f>C6+F6+G6+I6-K6-L6-M6-W6+V6</f>
        <v>15001.999999999998</v>
      </c>
      <c r="Y6" s="20">
        <f>D6+J6-N6+S6-T6</f>
        <v>0</v>
      </c>
      <c r="Z6" s="20">
        <f>E6-I6+M6+Q6-R6</f>
        <v>0</v>
      </c>
      <c r="AA6" s="21" t="s">
        <v>65</v>
      </c>
      <c r="AB6" s="19">
        <f>Purchase!AP869</f>
        <v>150</v>
      </c>
      <c r="AC6" s="91">
        <f>X6*AB6</f>
        <v>2250299.9999999995</v>
      </c>
      <c r="AD6" s="91">
        <f>Z6*AB6</f>
        <v>0</v>
      </c>
      <c r="AE6" s="19"/>
    </row>
    <row r="7" spans="1:32" x14ac:dyDescent="0.35">
      <c r="A7" s="19" t="s">
        <v>28</v>
      </c>
      <c r="B7" s="19" t="s">
        <v>30</v>
      </c>
      <c r="C7" s="95">
        <v>9644.3399999999965</v>
      </c>
      <c r="D7" s="95">
        <v>0</v>
      </c>
      <c r="E7" s="95">
        <v>-19.399999999999999</v>
      </c>
      <c r="F7" s="19">
        <v>0</v>
      </c>
      <c r="G7" s="19">
        <v>30000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140</v>
      </c>
      <c r="N7" s="19">
        <v>0</v>
      </c>
      <c r="O7" s="98">
        <v>0</v>
      </c>
      <c r="P7" s="98">
        <v>16902.86</v>
      </c>
      <c r="Q7" s="19">
        <v>0</v>
      </c>
      <c r="R7" s="19">
        <v>121.17</v>
      </c>
      <c r="S7" s="19">
        <v>0</v>
      </c>
      <c r="T7" s="19">
        <v>0</v>
      </c>
      <c r="U7" s="19">
        <v>0</v>
      </c>
      <c r="V7" s="95">
        <f t="shared" ref="V7:V31" si="0">O7-S7</f>
        <v>0</v>
      </c>
      <c r="W7" s="95">
        <f t="shared" ref="W7:W31" si="1">P7-T7</f>
        <v>16902.86</v>
      </c>
      <c r="X7" s="20">
        <f>C7+F7+G7+I7-K7-L7-M7-W7+V7</f>
        <v>22601.479999999996</v>
      </c>
      <c r="Y7" s="20">
        <f t="shared" ref="Y7:Y31" si="2">D7+J7-N7+S7-T7</f>
        <v>0</v>
      </c>
      <c r="Z7" s="20">
        <f t="shared" ref="Z7:Z31" si="3">E7-I7+M7+Q7-R7</f>
        <v>-0.57000000000000739</v>
      </c>
      <c r="AA7" s="21" t="s">
        <v>65</v>
      </c>
      <c r="AB7" s="19">
        <f>Purchase!AP871</f>
        <v>38</v>
      </c>
      <c r="AC7" s="91">
        <f t="shared" ref="AC7:AC31" si="4">X7*AB7</f>
        <v>858856.23999999987</v>
      </c>
      <c r="AD7" s="91">
        <f t="shared" ref="AD7:AD31" si="5">Z7*AB7</f>
        <v>-21.660000000000281</v>
      </c>
      <c r="AE7" s="19"/>
    </row>
    <row r="8" spans="1:32" x14ac:dyDescent="0.35">
      <c r="A8" s="22" t="s">
        <v>28</v>
      </c>
      <c r="B8" s="49" t="s">
        <v>66</v>
      </c>
      <c r="C8" s="95">
        <v>-100</v>
      </c>
      <c r="D8" s="95">
        <v>0</v>
      </c>
      <c r="E8" s="95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98">
        <v>0</v>
      </c>
      <c r="P8" s="98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95">
        <f t="shared" si="0"/>
        <v>0</v>
      </c>
      <c r="W8" s="95">
        <f t="shared" si="1"/>
        <v>0</v>
      </c>
      <c r="X8" s="23">
        <f t="shared" ref="X8:X31" si="6">C8+F8+G8+I8-K8-L8-M8-W8+V8</f>
        <v>-100</v>
      </c>
      <c r="Y8" s="20">
        <f t="shared" si="2"/>
        <v>0</v>
      </c>
      <c r="Z8" s="20">
        <f t="shared" si="3"/>
        <v>0</v>
      </c>
      <c r="AA8" s="21" t="s">
        <v>65</v>
      </c>
      <c r="AB8" s="24">
        <v>120</v>
      </c>
      <c r="AC8" s="91">
        <f t="shared" si="4"/>
        <v>-12000</v>
      </c>
      <c r="AD8" s="91">
        <f t="shared" si="5"/>
        <v>0</v>
      </c>
      <c r="AE8" s="25"/>
    </row>
    <row r="9" spans="1:32" x14ac:dyDescent="0.35">
      <c r="A9" s="19" t="s">
        <v>28</v>
      </c>
      <c r="B9" s="19" t="s">
        <v>31</v>
      </c>
      <c r="C9" s="95">
        <v>-25907.870000000003</v>
      </c>
      <c r="D9" s="95">
        <v>89488.87</v>
      </c>
      <c r="E9" s="95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98">
        <v>0</v>
      </c>
      <c r="P9" s="98">
        <v>8480.7999999999993</v>
      </c>
      <c r="Q9" s="19">
        <v>0</v>
      </c>
      <c r="R9" s="19">
        <v>0</v>
      </c>
      <c r="S9" s="19">
        <v>0</v>
      </c>
      <c r="T9" s="19">
        <v>1924.4</v>
      </c>
      <c r="U9" s="19">
        <v>0</v>
      </c>
      <c r="V9" s="95">
        <f t="shared" si="0"/>
        <v>0</v>
      </c>
      <c r="W9" s="95">
        <f t="shared" si="1"/>
        <v>6556.4</v>
      </c>
      <c r="X9" s="94">
        <f>C9+F9+G9+I9-K9-L9-M9-W9+V9</f>
        <v>-32464.270000000004</v>
      </c>
      <c r="Y9" s="20">
        <f t="shared" si="2"/>
        <v>87564.47</v>
      </c>
      <c r="Z9" s="20">
        <f t="shared" si="3"/>
        <v>0</v>
      </c>
      <c r="AA9" s="21" t="s">
        <v>65</v>
      </c>
      <c r="AB9" s="19">
        <v>180.76</v>
      </c>
      <c r="AC9" s="92">
        <f t="shared" si="4"/>
        <v>-5868241.4452000009</v>
      </c>
      <c r="AD9" s="91">
        <f t="shared" si="5"/>
        <v>0</v>
      </c>
      <c r="AE9" s="19"/>
    </row>
    <row r="10" spans="1:32" x14ac:dyDescent="0.35">
      <c r="A10" s="19" t="s">
        <v>28</v>
      </c>
      <c r="B10" s="19" t="s">
        <v>32</v>
      </c>
      <c r="C10" s="95">
        <v>6669.3000000000047</v>
      </c>
      <c r="D10" s="95">
        <v>36557.300000000003</v>
      </c>
      <c r="E10" s="95">
        <v>0</v>
      </c>
      <c r="F10" s="19">
        <v>0</v>
      </c>
      <c r="G10" s="19">
        <v>33000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98">
        <v>0</v>
      </c>
      <c r="P10" s="98">
        <v>19671.740000000002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95">
        <f t="shared" si="0"/>
        <v>0</v>
      </c>
      <c r="W10" s="95">
        <f t="shared" si="1"/>
        <v>19671.740000000002</v>
      </c>
      <c r="X10" s="20">
        <f>C10+F10+G10+I10-K10-L10-M10-W10+V10</f>
        <v>19997.560000000001</v>
      </c>
      <c r="Y10" s="20">
        <f t="shared" si="2"/>
        <v>36557.300000000003</v>
      </c>
      <c r="Z10" s="20">
        <f t="shared" si="3"/>
        <v>0</v>
      </c>
      <c r="AA10" s="21" t="s">
        <v>65</v>
      </c>
      <c r="AB10" s="19">
        <f>Purchase!AP875</f>
        <v>125.52121212121212</v>
      </c>
      <c r="AC10" s="91">
        <f t="shared" si="4"/>
        <v>2510117.9706666665</v>
      </c>
      <c r="AD10" s="91">
        <f t="shared" si="5"/>
        <v>0</v>
      </c>
      <c r="AE10" s="19"/>
    </row>
    <row r="11" spans="1:32" x14ac:dyDescent="0.35">
      <c r="A11" s="19" t="s">
        <v>28</v>
      </c>
      <c r="B11" s="19" t="s">
        <v>33</v>
      </c>
      <c r="C11" s="95">
        <v>4286.329999999999</v>
      </c>
      <c r="D11" s="95">
        <v>0</v>
      </c>
      <c r="E11" s="95">
        <v>0</v>
      </c>
      <c r="F11" s="19">
        <v>0</v>
      </c>
      <c r="G11" s="19">
        <v>3000</v>
      </c>
      <c r="H11" s="19">
        <v>0</v>
      </c>
      <c r="I11" s="19">
        <v>0</v>
      </c>
      <c r="J11" s="19">
        <v>0</v>
      </c>
      <c r="K11" s="19">
        <v>585</v>
      </c>
      <c r="L11" s="19">
        <v>0</v>
      </c>
      <c r="M11" s="19">
        <v>0</v>
      </c>
      <c r="N11" s="19">
        <v>0</v>
      </c>
      <c r="O11" s="98">
        <v>0</v>
      </c>
      <c r="P11" s="98">
        <v>2082.2199999999998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95">
        <f t="shared" si="0"/>
        <v>0</v>
      </c>
      <c r="W11" s="95">
        <f t="shared" si="1"/>
        <v>2082.2199999999998</v>
      </c>
      <c r="X11" s="20">
        <f t="shared" si="6"/>
        <v>4619.1099999999988</v>
      </c>
      <c r="Y11" s="20">
        <f t="shared" si="2"/>
        <v>0</v>
      </c>
      <c r="Z11" s="20">
        <f t="shared" si="3"/>
        <v>0</v>
      </c>
      <c r="AA11" s="86" t="s">
        <v>65</v>
      </c>
      <c r="AB11" s="19">
        <f>Purchase!AP876</f>
        <v>227.41183333333333</v>
      </c>
      <c r="AC11" s="91">
        <f t="shared" si="4"/>
        <v>1050440.2734683331</v>
      </c>
      <c r="AD11" s="91">
        <f t="shared" si="5"/>
        <v>0</v>
      </c>
      <c r="AE11" s="19"/>
    </row>
    <row r="12" spans="1:32" x14ac:dyDescent="0.35">
      <c r="A12" s="19" t="s">
        <v>28</v>
      </c>
      <c r="B12" s="19" t="s">
        <v>34</v>
      </c>
      <c r="C12" s="95">
        <v>-57419</v>
      </c>
      <c r="D12" s="95">
        <v>336200.27</v>
      </c>
      <c r="E12" s="95">
        <v>135860.59</v>
      </c>
      <c r="F12" s="19">
        <v>0</v>
      </c>
      <c r="G12" s="19">
        <v>666050</v>
      </c>
      <c r="H12" s="19">
        <v>0</v>
      </c>
      <c r="I12" s="19">
        <v>1500</v>
      </c>
      <c r="J12" s="19">
        <v>93267</v>
      </c>
      <c r="K12" s="19">
        <v>337250</v>
      </c>
      <c r="L12" s="19">
        <v>0</v>
      </c>
      <c r="M12" s="19">
        <v>6685</v>
      </c>
      <c r="N12" s="19">
        <v>133500</v>
      </c>
      <c r="O12" s="98">
        <v>0</v>
      </c>
      <c r="P12" s="98">
        <v>440267.2</v>
      </c>
      <c r="Q12" s="19">
        <v>1500</v>
      </c>
      <c r="R12" s="19">
        <v>62675.73</v>
      </c>
      <c r="S12" s="19">
        <v>0</v>
      </c>
      <c r="T12" s="19">
        <v>64245.8</v>
      </c>
      <c r="U12" s="19">
        <v>0</v>
      </c>
      <c r="V12" s="95">
        <f t="shared" si="0"/>
        <v>0</v>
      </c>
      <c r="W12" s="95">
        <f t="shared" si="1"/>
        <v>376021.4</v>
      </c>
      <c r="X12" s="94">
        <f t="shared" si="6"/>
        <v>-109825.40000000002</v>
      </c>
      <c r="Y12" s="20">
        <f t="shared" si="2"/>
        <v>231721.47000000003</v>
      </c>
      <c r="Z12" s="20">
        <f t="shared" si="3"/>
        <v>79869.859999999986</v>
      </c>
      <c r="AA12" s="86" t="s">
        <v>65</v>
      </c>
      <c r="AB12" s="19">
        <f>Purchase!AP881</f>
        <v>83.06959762780572</v>
      </c>
      <c r="AC12" s="92">
        <f t="shared" si="4"/>
        <v>-9123151.7873128168</v>
      </c>
      <c r="AD12" s="91">
        <f t="shared" si="5"/>
        <v>6634757.1327891741</v>
      </c>
      <c r="AE12" s="19"/>
    </row>
    <row r="13" spans="1:32" x14ac:dyDescent="0.35">
      <c r="A13" s="19" t="s">
        <v>28</v>
      </c>
      <c r="B13" s="19" t="s">
        <v>35</v>
      </c>
      <c r="C13" s="95">
        <v>9810.9000000000015</v>
      </c>
      <c r="D13" s="95">
        <v>34064.199999999997</v>
      </c>
      <c r="E13" s="95">
        <v>102.4</v>
      </c>
      <c r="F13" s="19">
        <v>0</v>
      </c>
      <c r="G13" s="19">
        <v>5100</v>
      </c>
      <c r="H13" s="19">
        <v>0</v>
      </c>
      <c r="I13" s="19">
        <v>0</v>
      </c>
      <c r="J13" s="19">
        <v>2000</v>
      </c>
      <c r="K13" s="19">
        <v>0</v>
      </c>
      <c r="L13" s="19">
        <v>0</v>
      </c>
      <c r="M13" s="19">
        <v>175</v>
      </c>
      <c r="N13" s="19">
        <v>0</v>
      </c>
      <c r="O13" s="98">
        <v>0</v>
      </c>
      <c r="P13" s="98">
        <v>13476.49</v>
      </c>
      <c r="Q13" s="19">
        <v>0</v>
      </c>
      <c r="R13" s="19">
        <v>147.63999999999999</v>
      </c>
      <c r="S13" s="19">
        <v>0</v>
      </c>
      <c r="T13" s="19">
        <v>0</v>
      </c>
      <c r="U13" s="19">
        <v>0</v>
      </c>
      <c r="V13" s="95">
        <f t="shared" si="0"/>
        <v>0</v>
      </c>
      <c r="W13" s="95">
        <f t="shared" si="1"/>
        <v>13476.49</v>
      </c>
      <c r="X13" s="20">
        <f t="shared" si="6"/>
        <v>1259.4100000000017</v>
      </c>
      <c r="Y13" s="20">
        <f t="shared" si="2"/>
        <v>36064.199999999997</v>
      </c>
      <c r="Z13" s="20">
        <f t="shared" si="3"/>
        <v>129.76</v>
      </c>
      <c r="AA13" s="86" t="s">
        <v>65</v>
      </c>
      <c r="AB13" s="19">
        <f>Purchase!AP886</f>
        <v>240</v>
      </c>
      <c r="AC13" s="91">
        <f t="shared" si="4"/>
        <v>302258.40000000037</v>
      </c>
      <c r="AD13" s="91">
        <f t="shared" si="5"/>
        <v>31142.399999999998</v>
      </c>
      <c r="AE13" s="19"/>
    </row>
    <row r="14" spans="1:32" x14ac:dyDescent="0.35">
      <c r="A14" s="22" t="s">
        <v>36</v>
      </c>
      <c r="B14" s="49" t="s">
        <v>67</v>
      </c>
      <c r="C14" s="95">
        <v>-917.5</v>
      </c>
      <c r="D14" s="95">
        <v>0</v>
      </c>
      <c r="E14" s="95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98">
        <v>0</v>
      </c>
      <c r="P14" s="98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95">
        <f t="shared" si="0"/>
        <v>0</v>
      </c>
      <c r="W14" s="95">
        <f t="shared" si="1"/>
        <v>0</v>
      </c>
      <c r="X14" s="23">
        <f t="shared" si="6"/>
        <v>-917.5</v>
      </c>
      <c r="Y14" s="20">
        <f t="shared" si="2"/>
        <v>0</v>
      </c>
      <c r="Z14" s="20">
        <f t="shared" si="3"/>
        <v>0</v>
      </c>
      <c r="AA14" s="87"/>
      <c r="AB14" s="19">
        <v>158.62</v>
      </c>
      <c r="AC14" s="91">
        <f t="shared" si="4"/>
        <v>-145533.85</v>
      </c>
      <c r="AD14" s="91">
        <f t="shared" si="5"/>
        <v>0</v>
      </c>
      <c r="AE14" s="19"/>
    </row>
    <row r="15" spans="1:32" x14ac:dyDescent="0.35">
      <c r="A15" s="19" t="s">
        <v>36</v>
      </c>
      <c r="B15" s="19" t="s">
        <v>37</v>
      </c>
      <c r="C15" s="95">
        <v>8302</v>
      </c>
      <c r="D15" s="95">
        <v>0</v>
      </c>
      <c r="E15" s="95">
        <v>0</v>
      </c>
      <c r="F15" s="19">
        <v>0</v>
      </c>
      <c r="G15" s="19">
        <v>1166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98">
        <v>0</v>
      </c>
      <c r="P15" s="98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95">
        <f t="shared" si="0"/>
        <v>0</v>
      </c>
      <c r="W15" s="95">
        <f t="shared" si="1"/>
        <v>0</v>
      </c>
      <c r="X15" s="20">
        <f t="shared" si="6"/>
        <v>9468</v>
      </c>
      <c r="Y15" s="20">
        <f t="shared" si="2"/>
        <v>0</v>
      </c>
      <c r="Z15" s="20">
        <f t="shared" si="3"/>
        <v>0</v>
      </c>
      <c r="AA15" s="88" t="s">
        <v>68</v>
      </c>
      <c r="AB15" s="21">
        <f>+AB12+20</f>
        <v>103.06959762780572</v>
      </c>
      <c r="AC15" s="91">
        <f t="shared" si="4"/>
        <v>975862.95034006459</v>
      </c>
      <c r="AD15" s="91">
        <f t="shared" si="5"/>
        <v>0</v>
      </c>
      <c r="AE15" s="19"/>
    </row>
    <row r="16" spans="1:32" x14ac:dyDescent="0.35">
      <c r="A16" s="19" t="s">
        <v>36</v>
      </c>
      <c r="B16" s="19" t="s">
        <v>38</v>
      </c>
      <c r="C16" s="95">
        <v>1834.2000000000012</v>
      </c>
      <c r="D16" s="95">
        <v>0</v>
      </c>
      <c r="E16" s="95">
        <v>0</v>
      </c>
      <c r="F16" s="19">
        <v>0</v>
      </c>
      <c r="G16" s="19">
        <v>2268.6999999999998</v>
      </c>
      <c r="H16" s="19">
        <v>0</v>
      </c>
      <c r="I16" s="19">
        <v>7077.4000000000005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98">
        <v>0</v>
      </c>
      <c r="P16" s="98">
        <v>8182.3</v>
      </c>
      <c r="Q16" s="19">
        <v>7077.4</v>
      </c>
      <c r="R16" s="19">
        <v>0</v>
      </c>
      <c r="S16" s="19">
        <v>0</v>
      </c>
      <c r="T16" s="19">
        <v>0</v>
      </c>
      <c r="U16" s="19">
        <v>0</v>
      </c>
      <c r="V16" s="95">
        <f t="shared" si="0"/>
        <v>0</v>
      </c>
      <c r="W16" s="95">
        <f t="shared" si="1"/>
        <v>8182.3</v>
      </c>
      <c r="X16" s="20">
        <f>C16+F16+G16+I16-K16-L16-M16-W16+V16</f>
        <v>2998.0000000000027</v>
      </c>
      <c r="Y16" s="20">
        <f t="shared" si="2"/>
        <v>0</v>
      </c>
      <c r="Z16" s="20">
        <f t="shared" si="3"/>
        <v>-9.0949470177292824E-13</v>
      </c>
      <c r="AA16" s="88" t="s">
        <v>68</v>
      </c>
      <c r="AB16" s="21">
        <f>+AB12+20</f>
        <v>103.06959762780572</v>
      </c>
      <c r="AC16" s="91">
        <f t="shared" si="4"/>
        <v>309002.65368816181</v>
      </c>
      <c r="AD16" s="91">
        <f>Z16*AB16</f>
        <v>-9.3741252956356875E-11</v>
      </c>
      <c r="AE16" s="19"/>
    </row>
    <row r="17" spans="1:31" x14ac:dyDescent="0.35">
      <c r="A17" s="19" t="s">
        <v>36</v>
      </c>
      <c r="B17" s="19" t="s">
        <v>39</v>
      </c>
      <c r="C17" s="95">
        <v>292265.74000000005</v>
      </c>
      <c r="D17" s="95">
        <v>0</v>
      </c>
      <c r="E17" s="95">
        <v>0</v>
      </c>
      <c r="F17" s="19">
        <v>0</v>
      </c>
      <c r="G17" s="19">
        <v>39518.33</v>
      </c>
      <c r="H17" s="19">
        <v>0</v>
      </c>
      <c r="I17" s="19">
        <v>0</v>
      </c>
      <c r="J17" s="19">
        <v>0</v>
      </c>
      <c r="K17" s="19">
        <v>529</v>
      </c>
      <c r="L17" s="19">
        <v>0</v>
      </c>
      <c r="M17" s="19">
        <v>0</v>
      </c>
      <c r="N17" s="19">
        <v>0</v>
      </c>
      <c r="O17" s="98">
        <v>0</v>
      </c>
      <c r="P17" s="98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95">
        <f t="shared" si="0"/>
        <v>0</v>
      </c>
      <c r="W17" s="95">
        <f t="shared" si="1"/>
        <v>0</v>
      </c>
      <c r="X17" s="20">
        <f t="shared" si="6"/>
        <v>331255.07000000007</v>
      </c>
      <c r="Y17" s="20">
        <f t="shared" si="2"/>
        <v>0</v>
      </c>
      <c r="Z17" s="20">
        <f t="shared" si="3"/>
        <v>0</v>
      </c>
      <c r="AA17" s="86" t="s">
        <v>65</v>
      </c>
      <c r="AB17" s="19">
        <f>Purchase!AP874</f>
        <v>208.72228738916854</v>
      </c>
      <c r="AC17" s="91">
        <f t="shared" si="4"/>
        <v>69140315.919659153</v>
      </c>
      <c r="AD17" s="91">
        <f t="shared" si="5"/>
        <v>0</v>
      </c>
      <c r="AE17" s="19"/>
    </row>
    <row r="18" spans="1:31" x14ac:dyDescent="0.35">
      <c r="A18" s="19" t="s">
        <v>36</v>
      </c>
      <c r="B18" s="19" t="s">
        <v>40</v>
      </c>
      <c r="C18" s="95">
        <v>59998.01</v>
      </c>
      <c r="D18" s="95">
        <v>0</v>
      </c>
      <c r="E18" s="95">
        <v>0</v>
      </c>
      <c r="F18" s="19">
        <v>0</v>
      </c>
      <c r="G18" s="19">
        <v>605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98">
        <v>0</v>
      </c>
      <c r="P18" s="98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95">
        <f t="shared" si="0"/>
        <v>0</v>
      </c>
      <c r="W18" s="95">
        <f t="shared" si="1"/>
        <v>0</v>
      </c>
      <c r="X18" s="20">
        <f t="shared" si="6"/>
        <v>60603.01</v>
      </c>
      <c r="Y18" s="20">
        <f t="shared" si="2"/>
        <v>0</v>
      </c>
      <c r="Z18" s="20">
        <f t="shared" si="3"/>
        <v>0</v>
      </c>
      <c r="AA18" s="86" t="s">
        <v>65</v>
      </c>
      <c r="AB18" s="19">
        <f>Purchase!AP878</f>
        <v>169.29570247933884</v>
      </c>
      <c r="AC18" s="91">
        <f t="shared" si="4"/>
        <v>10259829.150312398</v>
      </c>
      <c r="AD18" s="91">
        <f t="shared" si="5"/>
        <v>0</v>
      </c>
      <c r="AE18" s="19"/>
    </row>
    <row r="19" spans="1:31" x14ac:dyDescent="0.35">
      <c r="A19" s="19" t="s">
        <v>36</v>
      </c>
      <c r="B19" s="19" t="s">
        <v>41</v>
      </c>
      <c r="C19" s="95">
        <v>4075.56</v>
      </c>
      <c r="D19" s="95">
        <v>0</v>
      </c>
      <c r="E19" s="95">
        <v>0</v>
      </c>
      <c r="F19" s="19">
        <v>0</v>
      </c>
      <c r="G19" s="19">
        <v>1550.3</v>
      </c>
      <c r="H19" s="19">
        <v>0</v>
      </c>
      <c r="I19" s="19">
        <v>0</v>
      </c>
      <c r="J19" s="19">
        <v>0</v>
      </c>
      <c r="K19" s="19">
        <v>212</v>
      </c>
      <c r="L19" s="19">
        <v>0</v>
      </c>
      <c r="M19" s="19">
        <v>0</v>
      </c>
      <c r="N19" s="19">
        <v>0</v>
      </c>
      <c r="O19" s="98">
        <v>0</v>
      </c>
      <c r="P19" s="98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95">
        <f t="shared" si="0"/>
        <v>0</v>
      </c>
      <c r="W19" s="95">
        <f t="shared" si="1"/>
        <v>0</v>
      </c>
      <c r="X19" s="20">
        <f t="shared" si="6"/>
        <v>5413.86</v>
      </c>
      <c r="Y19" s="20">
        <f t="shared" si="2"/>
        <v>0</v>
      </c>
      <c r="Z19" s="20">
        <f t="shared" si="3"/>
        <v>0</v>
      </c>
      <c r="AA19" s="86"/>
      <c r="AB19" s="19">
        <f>Purchase!AP879</f>
        <v>182</v>
      </c>
      <c r="AC19" s="91">
        <f t="shared" si="4"/>
        <v>985322.5199999999</v>
      </c>
      <c r="AD19" s="91">
        <f t="shared" si="5"/>
        <v>0</v>
      </c>
      <c r="AE19" s="19">
        <f>X19*132</f>
        <v>714629.5199999999</v>
      </c>
    </row>
    <row r="20" spans="1:31" x14ac:dyDescent="0.35">
      <c r="A20" s="19" t="s">
        <v>36</v>
      </c>
      <c r="B20" s="19" t="s">
        <v>42</v>
      </c>
      <c r="C20" s="95">
        <v>-99648.6</v>
      </c>
      <c r="D20" s="95">
        <v>0</v>
      </c>
      <c r="E20" s="95">
        <v>2217</v>
      </c>
      <c r="F20" s="19">
        <v>0</v>
      </c>
      <c r="G20" s="19">
        <v>55701.8</v>
      </c>
      <c r="H20" s="19">
        <v>0</v>
      </c>
      <c r="I20" s="19">
        <v>4759.7</v>
      </c>
      <c r="J20" s="19">
        <v>0</v>
      </c>
      <c r="K20" s="19">
        <v>31728.399999999998</v>
      </c>
      <c r="L20" s="19">
        <v>0</v>
      </c>
      <c r="M20" s="19">
        <v>0</v>
      </c>
      <c r="N20" s="19">
        <v>0</v>
      </c>
      <c r="O20" s="98">
        <v>246154</v>
      </c>
      <c r="P20" s="98">
        <v>245908.6</v>
      </c>
      <c r="Q20" s="19">
        <v>4759.7</v>
      </c>
      <c r="R20" s="19">
        <v>0</v>
      </c>
      <c r="S20" s="19">
        <v>0</v>
      </c>
      <c r="T20" s="19">
        <v>0</v>
      </c>
      <c r="U20" s="19">
        <v>0</v>
      </c>
      <c r="V20" s="95">
        <f t="shared" si="0"/>
        <v>246154</v>
      </c>
      <c r="W20" s="95">
        <f t="shared" si="1"/>
        <v>245908.6</v>
      </c>
      <c r="X20" s="93">
        <f t="shared" si="6"/>
        <v>-70670.099999999977</v>
      </c>
      <c r="Y20" s="20">
        <f t="shared" si="2"/>
        <v>0</v>
      </c>
      <c r="Z20" s="20">
        <f t="shared" si="3"/>
        <v>2217</v>
      </c>
      <c r="AA20" s="88" t="s">
        <v>69</v>
      </c>
      <c r="AB20" s="21">
        <f>+AB22+5</f>
        <v>108.06959762780572</v>
      </c>
      <c r="AC20" s="91">
        <f t="shared" si="4"/>
        <v>-7637289.271316791</v>
      </c>
      <c r="AD20" s="91">
        <f t="shared" si="5"/>
        <v>239590.29794084528</v>
      </c>
      <c r="AE20" s="19"/>
    </row>
    <row r="21" spans="1:31" x14ac:dyDescent="0.35">
      <c r="A21" s="19" t="s">
        <v>36</v>
      </c>
      <c r="B21" s="19" t="s">
        <v>43</v>
      </c>
      <c r="C21" s="95">
        <v>107725.5</v>
      </c>
      <c r="D21" s="95">
        <v>0</v>
      </c>
      <c r="E21" s="95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98">
        <v>470958.48</v>
      </c>
      <c r="P21" s="98">
        <v>383734.20000000007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95">
        <f t="shared" si="0"/>
        <v>470958.48</v>
      </c>
      <c r="W21" s="95">
        <f t="shared" si="1"/>
        <v>383734.20000000007</v>
      </c>
      <c r="X21" s="20">
        <f>C21+F21+G21+I21-K21-L21-M21-W21+V21</f>
        <v>194949.77999999991</v>
      </c>
      <c r="Y21" s="20">
        <f t="shared" si="2"/>
        <v>0</v>
      </c>
      <c r="Z21" s="20">
        <f t="shared" si="3"/>
        <v>0</v>
      </c>
      <c r="AA21" s="86" t="s">
        <v>70</v>
      </c>
      <c r="AB21" s="21">
        <f>+AB12+10</f>
        <v>93.06959762780572</v>
      </c>
      <c r="AC21" s="91">
        <f t="shared" si="4"/>
        <v>18143897.582229238</v>
      </c>
      <c r="AD21" s="91">
        <f t="shared" si="5"/>
        <v>0</v>
      </c>
      <c r="AE21" s="19"/>
    </row>
    <row r="22" spans="1:31" x14ac:dyDescent="0.35">
      <c r="A22" s="19" t="s">
        <v>36</v>
      </c>
      <c r="B22" s="19" t="s">
        <v>44</v>
      </c>
      <c r="C22" s="95">
        <v>652256.17999999993</v>
      </c>
      <c r="D22" s="95">
        <v>11420</v>
      </c>
      <c r="E22" s="95">
        <v>71222.2</v>
      </c>
      <c r="F22" s="19">
        <v>0</v>
      </c>
      <c r="G22" s="19">
        <v>191637.66</v>
      </c>
      <c r="H22" s="19">
        <v>0</v>
      </c>
      <c r="I22" s="19">
        <v>50226.040000000008</v>
      </c>
      <c r="J22" s="19">
        <v>0</v>
      </c>
      <c r="K22" s="19">
        <v>77733.499999999985</v>
      </c>
      <c r="L22" s="19">
        <v>0</v>
      </c>
      <c r="M22" s="19">
        <v>0</v>
      </c>
      <c r="N22" s="19">
        <v>2484.8000000000002</v>
      </c>
      <c r="O22" s="98">
        <v>273437.2</v>
      </c>
      <c r="P22" s="98">
        <v>468444.44</v>
      </c>
      <c r="Q22" s="19">
        <v>50226.04</v>
      </c>
      <c r="R22" s="19">
        <v>0</v>
      </c>
      <c r="S22" s="19">
        <v>2484.8000000000002</v>
      </c>
      <c r="T22" s="19">
        <v>0</v>
      </c>
      <c r="U22" s="19">
        <v>0</v>
      </c>
      <c r="V22" s="95">
        <f t="shared" si="0"/>
        <v>270952.40000000002</v>
      </c>
      <c r="W22" s="95">
        <f t="shared" si="1"/>
        <v>468444.44</v>
      </c>
      <c r="X22" s="20">
        <f t="shared" si="6"/>
        <v>618894.34000000008</v>
      </c>
      <c r="Y22" s="20">
        <f t="shared" si="2"/>
        <v>11420</v>
      </c>
      <c r="Z22" s="20">
        <f t="shared" si="3"/>
        <v>71222.199999999983</v>
      </c>
      <c r="AA22" s="86" t="s">
        <v>71</v>
      </c>
      <c r="AB22" s="21">
        <f>+AB12+20</f>
        <v>103.06959762780572</v>
      </c>
      <c r="AC22" s="91">
        <f t="shared" si="4"/>
        <v>63789190.597926393</v>
      </c>
      <c r="AD22" s="91">
        <f t="shared" si="5"/>
        <v>7340843.4961671028</v>
      </c>
      <c r="AE22" s="19"/>
    </row>
    <row r="23" spans="1:31" x14ac:dyDescent="0.35">
      <c r="A23" s="19" t="s">
        <v>36</v>
      </c>
      <c r="B23" s="19" t="s">
        <v>45</v>
      </c>
      <c r="C23" s="95">
        <v>205768.5</v>
      </c>
      <c r="D23" s="95">
        <v>0</v>
      </c>
      <c r="E23" s="95">
        <v>5777</v>
      </c>
      <c r="F23" s="19">
        <v>0</v>
      </c>
      <c r="G23" s="19">
        <v>9180.6</v>
      </c>
      <c r="H23" s="19">
        <v>0</v>
      </c>
      <c r="I23" s="19">
        <v>0</v>
      </c>
      <c r="J23" s="19">
        <v>0</v>
      </c>
      <c r="K23" s="19">
        <v>30916.100000000002</v>
      </c>
      <c r="L23" s="19">
        <v>0</v>
      </c>
      <c r="M23" s="19">
        <v>0</v>
      </c>
      <c r="N23" s="19">
        <v>0</v>
      </c>
      <c r="O23" s="98">
        <v>107879</v>
      </c>
      <c r="P23" s="98">
        <v>8048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95">
        <f t="shared" si="0"/>
        <v>107879</v>
      </c>
      <c r="W23" s="95">
        <f t="shared" si="1"/>
        <v>8048</v>
      </c>
      <c r="X23" s="20">
        <f t="shared" si="6"/>
        <v>283864</v>
      </c>
      <c r="Y23" s="20">
        <f t="shared" si="2"/>
        <v>0</v>
      </c>
      <c r="Z23" s="20">
        <f t="shared" si="3"/>
        <v>5777</v>
      </c>
      <c r="AA23" s="86" t="s">
        <v>71</v>
      </c>
      <c r="AB23" s="21">
        <f>+AB12+20</f>
        <v>103.06959762780572</v>
      </c>
      <c r="AC23" s="91">
        <f t="shared" si="4"/>
        <v>29257748.261019442</v>
      </c>
      <c r="AD23" s="91">
        <f t="shared" si="5"/>
        <v>595433.06549583364</v>
      </c>
      <c r="AE23" s="19"/>
    </row>
    <row r="24" spans="1:31" x14ac:dyDescent="0.35">
      <c r="A24" s="19" t="s">
        <v>36</v>
      </c>
      <c r="B24" s="19" t="s">
        <v>46</v>
      </c>
      <c r="C24" s="95">
        <v>104536.51999999999</v>
      </c>
      <c r="D24" s="95">
        <v>180.67000000000002</v>
      </c>
      <c r="E24" s="95">
        <v>8757.32</v>
      </c>
      <c r="F24" s="19">
        <v>0</v>
      </c>
      <c r="G24" s="19">
        <v>39194.36</v>
      </c>
      <c r="H24" s="19">
        <v>0</v>
      </c>
      <c r="I24" s="19">
        <v>9562.3900000000012</v>
      </c>
      <c r="J24" s="19">
        <v>171.55</v>
      </c>
      <c r="K24" s="19">
        <v>62955.299999999981</v>
      </c>
      <c r="L24" s="19">
        <v>0</v>
      </c>
      <c r="M24" s="19">
        <v>13775.119999999999</v>
      </c>
      <c r="N24" s="19">
        <v>82.31</v>
      </c>
      <c r="O24" s="98">
        <v>2598</v>
      </c>
      <c r="P24" s="98">
        <v>15631</v>
      </c>
      <c r="Q24" s="19">
        <v>9562.39</v>
      </c>
      <c r="R24" s="19">
        <v>10651.79</v>
      </c>
      <c r="S24" s="19">
        <v>0</v>
      </c>
      <c r="T24" s="19">
        <v>0</v>
      </c>
      <c r="U24" s="19">
        <v>0</v>
      </c>
      <c r="V24" s="95">
        <f t="shared" si="0"/>
        <v>2598</v>
      </c>
      <c r="W24" s="95">
        <f t="shared" si="1"/>
        <v>15631</v>
      </c>
      <c r="X24" s="20">
        <f t="shared" si="6"/>
        <v>63529.850000000035</v>
      </c>
      <c r="Y24" s="20">
        <f t="shared" si="2"/>
        <v>269.91000000000003</v>
      </c>
      <c r="Z24" s="20">
        <f t="shared" si="3"/>
        <v>11880.649999999994</v>
      </c>
      <c r="AA24" s="86" t="s">
        <v>65</v>
      </c>
      <c r="AB24" s="19">
        <f>Purchase!AP885</f>
        <v>161.24086240903029</v>
      </c>
      <c r="AC24" s="91">
        <f t="shared" si="4"/>
        <v>10243607.802716339</v>
      </c>
      <c r="AD24" s="91">
        <f t="shared" si="5"/>
        <v>1915646.2519798446</v>
      </c>
      <c r="AE24" s="19"/>
    </row>
    <row r="25" spans="1:31" x14ac:dyDescent="0.35">
      <c r="A25" s="19" t="s">
        <v>36</v>
      </c>
      <c r="B25" s="19" t="s">
        <v>47</v>
      </c>
      <c r="C25" s="95">
        <v>55735.3</v>
      </c>
      <c r="D25" s="95">
        <v>-449</v>
      </c>
      <c r="E25" s="95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19000</v>
      </c>
      <c r="L25" s="19">
        <v>0</v>
      </c>
      <c r="M25" s="19">
        <v>0</v>
      </c>
      <c r="N25" s="19">
        <v>0</v>
      </c>
      <c r="O25" s="98">
        <v>58880</v>
      </c>
      <c r="P25" s="98">
        <v>29350.67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95">
        <f t="shared" si="0"/>
        <v>58880</v>
      </c>
      <c r="W25" s="95">
        <f t="shared" si="1"/>
        <v>29350.67</v>
      </c>
      <c r="X25" s="20">
        <f t="shared" si="6"/>
        <v>66264.63</v>
      </c>
      <c r="Y25" s="20">
        <f t="shared" si="2"/>
        <v>-449</v>
      </c>
      <c r="Z25" s="20">
        <f t="shared" si="3"/>
        <v>0</v>
      </c>
      <c r="AA25" s="86">
        <v>65</v>
      </c>
      <c r="AB25" s="21">
        <v>65</v>
      </c>
      <c r="AC25" s="91">
        <f t="shared" si="4"/>
        <v>4307200.95</v>
      </c>
      <c r="AD25" s="91">
        <f t="shared" si="5"/>
        <v>0</v>
      </c>
      <c r="AE25" s="19"/>
    </row>
    <row r="26" spans="1:31" x14ac:dyDescent="0.35">
      <c r="A26" s="19" t="s">
        <v>36</v>
      </c>
      <c r="B26" s="19" t="s">
        <v>48</v>
      </c>
      <c r="C26" s="95">
        <v>100459.34999999999</v>
      </c>
      <c r="D26" s="95">
        <v>0</v>
      </c>
      <c r="E26" s="95">
        <v>24132</v>
      </c>
      <c r="F26" s="19">
        <v>0</v>
      </c>
      <c r="G26" s="19">
        <v>0</v>
      </c>
      <c r="H26" s="19">
        <v>0</v>
      </c>
      <c r="I26" s="19">
        <v>470.79999999999995</v>
      </c>
      <c r="J26" s="19">
        <v>0</v>
      </c>
      <c r="K26" s="19">
        <v>9300</v>
      </c>
      <c r="L26" s="19">
        <v>0</v>
      </c>
      <c r="M26" s="19">
        <v>0</v>
      </c>
      <c r="N26" s="19">
        <v>0</v>
      </c>
      <c r="O26" s="98">
        <v>110196.6</v>
      </c>
      <c r="P26" s="98">
        <v>59325</v>
      </c>
      <c r="Q26" s="19">
        <v>470.8</v>
      </c>
      <c r="R26" s="19">
        <v>0</v>
      </c>
      <c r="S26" s="19">
        <v>0</v>
      </c>
      <c r="T26" s="19">
        <v>0</v>
      </c>
      <c r="U26" s="19">
        <v>0</v>
      </c>
      <c r="V26" s="95">
        <f t="shared" si="0"/>
        <v>110196.6</v>
      </c>
      <c r="W26" s="95">
        <f t="shared" si="1"/>
        <v>59325</v>
      </c>
      <c r="X26" s="20">
        <f t="shared" si="6"/>
        <v>142501.75</v>
      </c>
      <c r="Y26" s="20">
        <f t="shared" si="2"/>
        <v>0</v>
      </c>
      <c r="Z26" s="20">
        <f t="shared" si="3"/>
        <v>24132</v>
      </c>
      <c r="AA26" s="86">
        <v>15</v>
      </c>
      <c r="AB26" s="21">
        <v>15</v>
      </c>
      <c r="AC26" s="91">
        <f t="shared" si="4"/>
        <v>2137526.25</v>
      </c>
      <c r="AD26" s="91">
        <f t="shared" si="5"/>
        <v>361980</v>
      </c>
      <c r="AE26" s="19"/>
    </row>
    <row r="27" spans="1:31" x14ac:dyDescent="0.35">
      <c r="A27" s="19" t="s">
        <v>49</v>
      </c>
      <c r="B27" s="19" t="s">
        <v>50</v>
      </c>
      <c r="C27" s="95">
        <v>272370.86999999982</v>
      </c>
      <c r="D27" s="95">
        <v>0</v>
      </c>
      <c r="E27" s="95">
        <v>4383</v>
      </c>
      <c r="F27" s="19">
        <v>0</v>
      </c>
      <c r="G27" s="19">
        <v>334889.15000000002</v>
      </c>
      <c r="H27" s="19">
        <v>0</v>
      </c>
      <c r="I27" s="19">
        <v>0</v>
      </c>
      <c r="J27" s="19">
        <v>0</v>
      </c>
      <c r="K27" s="19">
        <v>778444.4500000003</v>
      </c>
      <c r="L27" s="19">
        <v>0</v>
      </c>
      <c r="M27" s="19">
        <v>0</v>
      </c>
      <c r="N27" s="19">
        <v>63685.4</v>
      </c>
      <c r="O27" s="98">
        <v>521685.8</v>
      </c>
      <c r="P27" s="98">
        <v>0</v>
      </c>
      <c r="Q27" s="19">
        <v>0</v>
      </c>
      <c r="R27" s="19">
        <v>0</v>
      </c>
      <c r="S27" s="19">
        <v>63685.4</v>
      </c>
      <c r="T27" s="19">
        <v>0</v>
      </c>
      <c r="U27" s="19">
        <v>0</v>
      </c>
      <c r="V27" s="95">
        <f t="shared" si="0"/>
        <v>458000.39999999997</v>
      </c>
      <c r="W27" s="95">
        <f t="shared" si="1"/>
        <v>0</v>
      </c>
      <c r="X27" s="26">
        <f t="shared" si="6"/>
        <v>286815.96999999945</v>
      </c>
      <c r="Y27" s="20">
        <f t="shared" si="2"/>
        <v>0</v>
      </c>
      <c r="Z27" s="20">
        <f t="shared" si="3"/>
        <v>4383</v>
      </c>
      <c r="AA27" s="89" t="s">
        <v>72</v>
      </c>
      <c r="AB27" s="19">
        <f>Purchase!AP870</f>
        <v>217.40842434578724</v>
      </c>
      <c r="AC27" s="91">
        <f t="shared" si="4"/>
        <v>62356208.114908464</v>
      </c>
      <c r="AD27" s="91">
        <f t="shared" si="5"/>
        <v>952901.12390758551</v>
      </c>
      <c r="AE27" s="19"/>
    </row>
    <row r="28" spans="1:31" x14ac:dyDescent="0.35">
      <c r="A28" s="19" t="s">
        <v>49</v>
      </c>
      <c r="B28" s="19" t="s">
        <v>51</v>
      </c>
      <c r="C28" s="95">
        <v>4803.9700000000885</v>
      </c>
      <c r="D28" s="95">
        <v>4016.25</v>
      </c>
      <c r="E28" s="95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98">
        <v>567729.64</v>
      </c>
      <c r="P28" s="98">
        <v>640013.20000000007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95">
        <f t="shared" si="0"/>
        <v>567729.64</v>
      </c>
      <c r="W28" s="95">
        <f t="shared" si="1"/>
        <v>640013.20000000007</v>
      </c>
      <c r="X28" s="94">
        <f t="shared" si="6"/>
        <v>-67479.589999999967</v>
      </c>
      <c r="Y28" s="20">
        <f t="shared" si="2"/>
        <v>4016.25</v>
      </c>
      <c r="Z28" s="20">
        <f t="shared" si="3"/>
        <v>0</v>
      </c>
      <c r="AA28" s="86">
        <v>125</v>
      </c>
      <c r="AB28" s="21">
        <v>125</v>
      </c>
      <c r="AC28" s="91">
        <f t="shared" si="4"/>
        <v>-8434948.7499999963</v>
      </c>
      <c r="AD28" s="91">
        <f t="shared" si="5"/>
        <v>0</v>
      </c>
      <c r="AE28" s="19"/>
    </row>
    <row r="29" spans="1:31" x14ac:dyDescent="0.35">
      <c r="A29" s="19" t="s">
        <v>49</v>
      </c>
      <c r="B29" s="19" t="s">
        <v>52</v>
      </c>
      <c r="C29" s="95">
        <v>559</v>
      </c>
      <c r="D29" s="95">
        <v>0</v>
      </c>
      <c r="E29" s="95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98">
        <v>0</v>
      </c>
      <c r="P29" s="98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95">
        <f t="shared" si="0"/>
        <v>0</v>
      </c>
      <c r="W29" s="95">
        <f t="shared" si="1"/>
        <v>0</v>
      </c>
      <c r="X29" s="20">
        <f t="shared" si="6"/>
        <v>559</v>
      </c>
      <c r="Y29" s="20">
        <f t="shared" si="2"/>
        <v>0</v>
      </c>
      <c r="Z29" s="20">
        <f t="shared" si="3"/>
        <v>0</v>
      </c>
      <c r="AA29" s="88"/>
      <c r="AB29" s="19"/>
      <c r="AC29" s="91">
        <f t="shared" si="4"/>
        <v>0</v>
      </c>
      <c r="AD29" s="91">
        <f t="shared" si="5"/>
        <v>0</v>
      </c>
      <c r="AE29" s="25">
        <v>74347</v>
      </c>
    </row>
    <row r="30" spans="1:31" x14ac:dyDescent="0.35">
      <c r="A30" s="19" t="s">
        <v>49</v>
      </c>
      <c r="B30" s="19" t="s">
        <v>53</v>
      </c>
      <c r="C30" s="95">
        <v>52112.9</v>
      </c>
      <c r="D30" s="95">
        <v>0</v>
      </c>
      <c r="E30" s="95">
        <v>0</v>
      </c>
      <c r="F30" s="19">
        <v>0</v>
      </c>
      <c r="G30" s="19">
        <v>4.5999999999999996</v>
      </c>
      <c r="H30" s="19">
        <v>0</v>
      </c>
      <c r="I30" s="19">
        <v>0</v>
      </c>
      <c r="J30" s="19">
        <v>0</v>
      </c>
      <c r="K30" s="19">
        <v>469</v>
      </c>
      <c r="L30" s="19">
        <v>0</v>
      </c>
      <c r="M30" s="19">
        <v>0</v>
      </c>
      <c r="N30" s="19">
        <v>0</v>
      </c>
      <c r="O30" s="98">
        <v>0</v>
      </c>
      <c r="P30" s="98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95">
        <f t="shared" si="0"/>
        <v>0</v>
      </c>
      <c r="W30" s="95">
        <f t="shared" si="1"/>
        <v>0</v>
      </c>
      <c r="X30" s="20">
        <f t="shared" si="6"/>
        <v>51648.5</v>
      </c>
      <c r="Y30" s="20">
        <f t="shared" si="2"/>
        <v>0</v>
      </c>
      <c r="Z30" s="20">
        <f t="shared" si="3"/>
        <v>0</v>
      </c>
      <c r="AA30" s="86" t="s">
        <v>73</v>
      </c>
      <c r="AB30" s="19">
        <f>Purchase!AP880</f>
        <v>106.60000000000001</v>
      </c>
      <c r="AC30" s="91">
        <f t="shared" si="4"/>
        <v>5505730.1000000006</v>
      </c>
      <c r="AD30" s="91">
        <f t="shared" si="5"/>
        <v>0</v>
      </c>
      <c r="AE30" s="19"/>
    </row>
    <row r="31" spans="1:31" x14ac:dyDescent="0.35">
      <c r="A31" s="19" t="s">
        <v>49</v>
      </c>
      <c r="B31" s="19" t="s">
        <v>54</v>
      </c>
      <c r="C31" s="95">
        <v>-1362.3</v>
      </c>
      <c r="D31" s="95">
        <v>0</v>
      </c>
      <c r="E31" s="95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95">
        <f t="shared" si="0"/>
        <v>0</v>
      </c>
      <c r="W31" s="95">
        <f t="shared" si="1"/>
        <v>0</v>
      </c>
      <c r="X31" s="23">
        <f t="shared" si="6"/>
        <v>-1362.3</v>
      </c>
      <c r="Y31" s="20">
        <f t="shared" si="2"/>
        <v>0</v>
      </c>
      <c r="Z31" s="20">
        <f t="shared" si="3"/>
        <v>0</v>
      </c>
      <c r="AA31" s="19"/>
      <c r="AB31" s="19"/>
      <c r="AC31" s="91">
        <f t="shared" si="4"/>
        <v>0</v>
      </c>
      <c r="AD31" s="91">
        <f t="shared" si="5"/>
        <v>0</v>
      </c>
      <c r="AE31" s="19"/>
    </row>
    <row r="32" spans="1:31" x14ac:dyDescent="0.3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</row>
    <row r="33" spans="1:31" s="1" customFormat="1" x14ac:dyDescent="0.35">
      <c r="A33" s="27"/>
      <c r="B33" s="27"/>
      <c r="C33" s="27">
        <f>SUM(C6:C32)</f>
        <v>1781365.4000000001</v>
      </c>
      <c r="D33" s="27">
        <f t="shared" ref="D33:AE33" si="7">SUM(D6:D32)</f>
        <v>511478.56</v>
      </c>
      <c r="E33" s="27">
        <f t="shared" si="7"/>
        <v>252432.11</v>
      </c>
      <c r="F33" s="27">
        <f t="shared" si="7"/>
        <v>0</v>
      </c>
      <c r="G33" s="29">
        <f>SUBTOTAL(9,G6:G31)</f>
        <v>1414565.8000000003</v>
      </c>
      <c r="H33" s="27">
        <f t="shared" si="7"/>
        <v>0</v>
      </c>
      <c r="I33" s="30">
        <f t="shared" si="7"/>
        <v>73596.330000000016</v>
      </c>
      <c r="J33" s="27">
        <f t="shared" si="7"/>
        <v>95438.55</v>
      </c>
      <c r="K33" s="29">
        <f t="shared" si="7"/>
        <v>1349326.2500000002</v>
      </c>
      <c r="L33" s="27">
        <f t="shared" si="7"/>
        <v>0</v>
      </c>
      <c r="M33" s="30">
        <f t="shared" si="7"/>
        <v>20775.12</v>
      </c>
      <c r="N33" s="27">
        <f t="shared" si="7"/>
        <v>199752.50999999998</v>
      </c>
      <c r="O33" s="27">
        <f t="shared" si="7"/>
        <v>2359518.7200000002</v>
      </c>
      <c r="P33" s="27">
        <f t="shared" si="7"/>
        <v>2359518.7200000002</v>
      </c>
      <c r="Q33" s="28">
        <f t="shared" si="7"/>
        <v>73596.33</v>
      </c>
      <c r="R33" s="28">
        <f t="shared" si="7"/>
        <v>73596.33</v>
      </c>
      <c r="S33" s="27">
        <f t="shared" si="7"/>
        <v>66170.2</v>
      </c>
      <c r="T33" s="27">
        <f t="shared" si="7"/>
        <v>66170.2</v>
      </c>
      <c r="U33" s="27">
        <f t="shared" si="7"/>
        <v>0</v>
      </c>
      <c r="V33" s="27">
        <f t="shared" si="7"/>
        <v>2293348.52</v>
      </c>
      <c r="W33" s="27">
        <f t="shared" si="7"/>
        <v>2293348.52</v>
      </c>
      <c r="X33" s="27">
        <f t="shared" si="7"/>
        <v>1899426.1599999995</v>
      </c>
      <c r="Y33" s="27">
        <f t="shared" si="7"/>
        <v>407164.60000000003</v>
      </c>
      <c r="Z33" s="31">
        <f t="shared" ref="Z33" si="8">E33-I33+M33+Q33-R33</f>
        <v>199610.89999999997</v>
      </c>
      <c r="AA33" s="27">
        <f t="shared" si="7"/>
        <v>205</v>
      </c>
      <c r="AB33" s="27">
        <f t="shared" si="7"/>
        <v>3187.0675054725102</v>
      </c>
      <c r="AC33" s="27">
        <f>SUM(AC6:AC32)</f>
        <v>253162250.63310501</v>
      </c>
      <c r="AD33" s="27">
        <f>SUM(AD6:AD31)</f>
        <v>18072272.108280387</v>
      </c>
      <c r="AE33" s="27">
        <f t="shared" si="7"/>
        <v>788976.5199999999</v>
      </c>
    </row>
    <row r="35" spans="1:31" x14ac:dyDescent="0.35">
      <c r="M35">
        <f>E33</f>
        <v>252432.11</v>
      </c>
      <c r="N35">
        <f>M33+Q33</f>
        <v>94371.45</v>
      </c>
      <c r="O35">
        <f>+I33+R33</f>
        <v>147192.66000000003</v>
      </c>
      <c r="Q35">
        <f>M35+N35-(O35)</f>
        <v>199610.89999999997</v>
      </c>
      <c r="AC35" s="32"/>
      <c r="AD35" s="32"/>
    </row>
    <row r="36" spans="1:31" x14ac:dyDescent="0.35">
      <c r="M36" s="33" t="s">
        <v>74</v>
      </c>
      <c r="N36" s="33" t="s">
        <v>75</v>
      </c>
      <c r="O36" s="33" t="s">
        <v>76</v>
      </c>
      <c r="P36" s="33" t="s">
        <v>77</v>
      </c>
      <c r="V36">
        <v>2293348.52</v>
      </c>
      <c r="W36">
        <v>2293348.52</v>
      </c>
      <c r="X36">
        <v>1899426.1599999995</v>
      </c>
      <c r="Y36">
        <v>407164.60000000003</v>
      </c>
      <c r="Z36" s="34">
        <v>199610.89999999997</v>
      </c>
      <c r="AA36">
        <v>205</v>
      </c>
      <c r="AB36">
        <v>3187.0675054725102</v>
      </c>
      <c r="AC36" s="32">
        <v>253162250.63310501</v>
      </c>
      <c r="AD36" s="32">
        <v>18072272.108280387</v>
      </c>
      <c r="AE36">
        <v>788976.5199999999</v>
      </c>
    </row>
    <row r="37" spans="1:31" ht="26.5" x14ac:dyDescent="0.35">
      <c r="M37" s="35">
        <f>M35/1000</f>
        <v>252.43210999999999</v>
      </c>
      <c r="N37" s="35">
        <f>N35/1000</f>
        <v>94.371449999999996</v>
      </c>
      <c r="O37" s="35">
        <f>O35/1000</f>
        <v>147.19266000000005</v>
      </c>
      <c r="P37" s="36">
        <f>Q35/1000</f>
        <v>199.61089999999996</v>
      </c>
      <c r="V37" s="37" t="s">
        <v>78</v>
      </c>
      <c r="W37" s="38" t="s">
        <v>79</v>
      </c>
      <c r="X37" s="38" t="s">
        <v>80</v>
      </c>
      <c r="Y37" s="38" t="s">
        <v>81</v>
      </c>
      <c r="Z37" s="33"/>
      <c r="AC37" s="32"/>
      <c r="AD37" s="32">
        <f>AD36/AC36</f>
        <v>7.1386125155253097E-2</v>
      </c>
    </row>
    <row r="38" spans="1:31" x14ac:dyDescent="0.35">
      <c r="V38" s="39" t="s">
        <v>82</v>
      </c>
      <c r="W38" s="40">
        <f>AC7+AC8+AC9+AC10+AC11+AC12+AC13+AC6</f>
        <v>-8031420.3483778182</v>
      </c>
      <c r="X38" s="40">
        <f>AD7+AD8+AD9+AD10+AD11+AD12+AD13+AD6</f>
        <v>6665877.8727891743</v>
      </c>
      <c r="Y38" s="40">
        <f>+X38+W38</f>
        <v>-1365542.4755886439</v>
      </c>
      <c r="Z38" s="41"/>
    </row>
    <row r="39" spans="1:31" x14ac:dyDescent="0.35">
      <c r="V39" s="39" t="s">
        <v>83</v>
      </c>
      <c r="W39" s="40">
        <f>AC15+AC16+AC17+AC18+AC19+AC20+AC21+AC22+AC23+AC24+AC25+AC26+AC14</f>
        <v>201766681.51657438</v>
      </c>
      <c r="X39" s="40">
        <f>AD15+AD16+AD17+AD18+AD19+AD20+AD21+AD22+AD23+AD24+AD25+AD26+AD14</f>
        <v>10453493.111583628</v>
      </c>
      <c r="Y39" s="42">
        <f>+X39+W39</f>
        <v>212220174.628158</v>
      </c>
      <c r="Z39" s="41"/>
    </row>
    <row r="40" spans="1:31" x14ac:dyDescent="0.35">
      <c r="V40" s="39" t="s">
        <v>84</v>
      </c>
      <c r="W40" s="40">
        <f>AC28+AC29+AC30+AC31+AC27</f>
        <v>59426989.464908466</v>
      </c>
      <c r="X40" s="40">
        <f>AD28+AD29+AD30+AD31+AD27</f>
        <v>952901.12390758551</v>
      </c>
      <c r="Y40" s="40">
        <f>+X40+W40</f>
        <v>60379890.588816054</v>
      </c>
      <c r="Z40" s="41"/>
    </row>
    <row r="41" spans="1:31" x14ac:dyDescent="0.35">
      <c r="V41" s="39" t="s">
        <v>81</v>
      </c>
      <c r="W41" s="27">
        <f>+W40+W39+W38</f>
        <v>253162250.63310504</v>
      </c>
      <c r="X41" s="43">
        <f>+X40+X39+X38</f>
        <v>18072272.108280387</v>
      </c>
      <c r="Y41" s="43">
        <f>+X41+W41</f>
        <v>271234522.7413854</v>
      </c>
      <c r="Z41" s="41"/>
    </row>
    <row r="42" spans="1:31" x14ac:dyDescent="0.35">
      <c r="Z42" s="44">
        <f>+Y41-(AC33+AD33)</f>
        <v>0</v>
      </c>
    </row>
  </sheetData>
  <autoFilter ref="A5:Z35" xr:uid="{77A62417-03FB-4DE0-AC68-CEF35060BBB0}"/>
  <mergeCells count="1">
    <mergeCell ref="B1:C1"/>
  </mergeCells>
  <pageMargins left="0.31496062992125984" right="0.31496062992125984" top="0.74803149606299213" bottom="0.35433070866141736" header="0.31496062992125984" footer="0.31496062992125984"/>
  <pageSetup paperSize="8"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C87A-2953-43BB-BB20-9640848C081B}">
  <dimension ref="A2:P92"/>
  <sheetViews>
    <sheetView topLeftCell="A78" zoomScale="80" zoomScaleNormal="80" workbookViewId="0">
      <selection activeCell="F88" sqref="F88"/>
    </sheetView>
  </sheetViews>
  <sheetFormatPr defaultRowHeight="14.5" x14ac:dyDescent="0.35"/>
  <cols>
    <col min="1" max="1" width="1.81640625" customWidth="1"/>
    <col min="2" max="2" width="19.1796875" customWidth="1"/>
    <col min="3" max="3" width="12" customWidth="1"/>
    <col min="4" max="4" width="9.81640625" customWidth="1"/>
    <col min="5" max="5" width="13.81640625" customWidth="1"/>
    <col min="6" max="6" width="12.54296875" customWidth="1"/>
    <col min="7" max="7" width="10.1796875" customWidth="1"/>
    <col min="8" max="8" width="13.81640625" customWidth="1"/>
    <col min="9" max="9" width="11.7265625" customWidth="1"/>
    <col min="10" max="10" width="9.1796875" customWidth="1"/>
    <col min="11" max="11" width="13.81640625" customWidth="1"/>
    <col min="12" max="12" width="11.1796875" customWidth="1"/>
    <col min="13" max="13" width="11" customWidth="1"/>
    <col min="14" max="14" width="14.81640625" customWidth="1"/>
    <col min="15" max="15" width="25.453125" customWidth="1"/>
    <col min="16" max="16" width="11.1796875" customWidth="1"/>
  </cols>
  <sheetData>
    <row r="2" spans="2:16" x14ac:dyDescent="0.35">
      <c r="B2" t="s">
        <v>106</v>
      </c>
    </row>
    <row r="3" spans="2:16" x14ac:dyDescent="0.35">
      <c r="B3" s="50" t="s">
        <v>85</v>
      </c>
      <c r="C3" s="50" t="s">
        <v>86</v>
      </c>
      <c r="D3" s="50" t="s">
        <v>87</v>
      </c>
      <c r="E3" s="50" t="s">
        <v>88</v>
      </c>
      <c r="F3" s="50" t="s">
        <v>89</v>
      </c>
      <c r="G3" s="50" t="s">
        <v>90</v>
      </c>
      <c r="H3" s="50" t="s">
        <v>91</v>
      </c>
      <c r="I3" s="50" t="s">
        <v>92</v>
      </c>
      <c r="J3" s="50" t="s">
        <v>93</v>
      </c>
      <c r="K3" s="50" t="s">
        <v>94</v>
      </c>
      <c r="L3" s="50" t="s">
        <v>95</v>
      </c>
      <c r="M3" s="50" t="s">
        <v>96</v>
      </c>
      <c r="N3" s="50" t="s">
        <v>97</v>
      </c>
      <c r="O3" s="50" t="s">
        <v>98</v>
      </c>
      <c r="P3" s="50" t="s">
        <v>99</v>
      </c>
    </row>
    <row r="4" spans="2:16" x14ac:dyDescent="0.35">
      <c r="B4" s="22" t="s">
        <v>101</v>
      </c>
      <c r="C4" s="22">
        <v>-8843.35</v>
      </c>
      <c r="D4" s="22">
        <v>435.36470000000003</v>
      </c>
      <c r="E4" s="22">
        <v>5392192.8499999996</v>
      </c>
      <c r="F4" s="22">
        <v>34685.300000000003</v>
      </c>
      <c r="G4" s="22">
        <v>226.87</v>
      </c>
      <c r="H4" s="22">
        <v>2090444.57</v>
      </c>
      <c r="I4" s="22">
        <v>20145.45</v>
      </c>
      <c r="J4" s="22">
        <v>176.1559</v>
      </c>
      <c r="K4" s="22">
        <v>1624135.4</v>
      </c>
      <c r="L4" s="22">
        <v>5696.5</v>
      </c>
      <c r="M4" s="22">
        <v>390.4271</v>
      </c>
      <c r="N4" s="22">
        <v>1635048.76</v>
      </c>
      <c r="O4" s="22" t="s">
        <v>27</v>
      </c>
      <c r="P4" s="22">
        <v>1317.3975</v>
      </c>
    </row>
    <row r="5" spans="2:16" x14ac:dyDescent="0.35">
      <c r="B5" s="22" t="s">
        <v>102</v>
      </c>
      <c r="C5" s="22">
        <v>3010.2</v>
      </c>
      <c r="D5" s="22">
        <v>275.77269999999999</v>
      </c>
      <c r="E5" s="22">
        <v>1349416.35</v>
      </c>
      <c r="F5" s="22">
        <v>76076</v>
      </c>
      <c r="G5" s="22">
        <v>114.98</v>
      </c>
      <c r="H5" s="22">
        <v>906727.53</v>
      </c>
      <c r="I5" s="22">
        <v>13494.2</v>
      </c>
      <c r="J5" s="22">
        <v>120.5878</v>
      </c>
      <c r="K5" s="22">
        <v>399965.68</v>
      </c>
      <c r="L5" s="22">
        <v>65592</v>
      </c>
      <c r="M5" s="22">
        <v>306.58010000000002</v>
      </c>
      <c r="N5" s="22">
        <v>2218849.67</v>
      </c>
      <c r="O5" s="22" t="s">
        <v>27</v>
      </c>
      <c r="P5" s="22">
        <v>58.595500000000001</v>
      </c>
    </row>
    <row r="6" spans="2:16" x14ac:dyDescent="0.35">
      <c r="B6" s="22" t="s">
        <v>105</v>
      </c>
      <c r="C6" s="22">
        <v>84168.45</v>
      </c>
      <c r="D6" s="22">
        <v>1324.5317</v>
      </c>
      <c r="E6" s="22">
        <v>9410433.4000000004</v>
      </c>
      <c r="F6" s="22">
        <v>36840</v>
      </c>
      <c r="G6" s="22">
        <v>194.88</v>
      </c>
      <c r="H6" s="22">
        <v>1889559.15</v>
      </c>
      <c r="I6" s="22">
        <v>16711.349999999999</v>
      </c>
      <c r="J6" s="22">
        <v>144.9915</v>
      </c>
      <c r="K6" s="22">
        <v>898321.57</v>
      </c>
      <c r="L6" s="22">
        <v>104297.1</v>
      </c>
      <c r="M6" s="22">
        <v>1373.6804999999999</v>
      </c>
      <c r="N6" s="22">
        <v>10507500.41</v>
      </c>
      <c r="O6" s="22" t="s">
        <v>27</v>
      </c>
      <c r="P6" s="22">
        <v>345.34280000000001</v>
      </c>
    </row>
    <row r="7" spans="2:16" x14ac:dyDescent="0.35">
      <c r="B7" s="22" t="s">
        <v>57</v>
      </c>
      <c r="C7" s="22">
        <v>646831</v>
      </c>
      <c r="D7" s="22">
        <v>238.5607</v>
      </c>
      <c r="E7" s="22">
        <v>2717717.74</v>
      </c>
      <c r="F7" s="22">
        <v>158770</v>
      </c>
      <c r="G7" s="22">
        <v>0.57999999999999996</v>
      </c>
      <c r="H7" s="22">
        <v>537903</v>
      </c>
      <c r="I7" s="22">
        <v>116380</v>
      </c>
      <c r="J7" s="22">
        <v>70.636600000000001</v>
      </c>
      <c r="K7" s="22">
        <v>533729.07999999996</v>
      </c>
      <c r="L7" s="22">
        <v>689221</v>
      </c>
      <c r="M7" s="22">
        <v>269.47289999999998</v>
      </c>
      <c r="N7" s="22">
        <v>3172400.54</v>
      </c>
      <c r="O7" s="22" t="s">
        <v>27</v>
      </c>
      <c r="P7" s="22">
        <v>73.461200000000005</v>
      </c>
    </row>
    <row r="8" spans="2:16" x14ac:dyDescent="0.35">
      <c r="B8" s="22"/>
      <c r="C8" s="22"/>
      <c r="D8" s="22"/>
      <c r="E8" s="22">
        <f>+E7+E6+E5+E4</f>
        <v>18869760.34</v>
      </c>
      <c r="F8" s="22"/>
      <c r="G8" s="22"/>
      <c r="H8" s="22">
        <f>+H7+H6+H5+H4</f>
        <v>5424634.25</v>
      </c>
      <c r="I8" s="22"/>
      <c r="J8" s="22"/>
      <c r="K8" s="22">
        <f>+K7+K6+K5+K4</f>
        <v>3456151.7299999995</v>
      </c>
      <c r="L8" s="22"/>
      <c r="M8" s="22"/>
      <c r="N8" s="22">
        <f>+N7+N6+N5+N4</f>
        <v>17533799.379999999</v>
      </c>
      <c r="O8" s="22"/>
      <c r="P8" s="22"/>
    </row>
    <row r="9" spans="2:16" x14ac:dyDescent="0.35"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</row>
    <row r="10" spans="2:16" x14ac:dyDescent="0.35">
      <c r="B10" s="51" t="s">
        <v>107</v>
      </c>
    </row>
    <row r="11" spans="2:16" ht="29" x14ac:dyDescent="0.35">
      <c r="B11" s="14" t="s">
        <v>85</v>
      </c>
      <c r="C11" s="14" t="s">
        <v>86</v>
      </c>
      <c r="D11" s="14" t="s">
        <v>87</v>
      </c>
      <c r="E11" s="14" t="s">
        <v>88</v>
      </c>
      <c r="F11" s="14" t="s">
        <v>89</v>
      </c>
      <c r="G11" s="14" t="s">
        <v>90</v>
      </c>
      <c r="H11" s="14" t="s">
        <v>91</v>
      </c>
      <c r="I11" s="14" t="s">
        <v>92</v>
      </c>
      <c r="J11" s="14" t="s">
        <v>93</v>
      </c>
      <c r="K11" s="14" t="s">
        <v>94</v>
      </c>
      <c r="L11" s="14" t="s">
        <v>95</v>
      </c>
      <c r="M11" s="14" t="s">
        <v>96</v>
      </c>
      <c r="N11" s="14" t="s">
        <v>97</v>
      </c>
      <c r="O11" s="14" t="s">
        <v>98</v>
      </c>
      <c r="P11" s="14" t="s">
        <v>99</v>
      </c>
    </row>
    <row r="12" spans="2:16" x14ac:dyDescent="0.35">
      <c r="B12" s="52" t="s">
        <v>101</v>
      </c>
      <c r="C12" s="52">
        <v>5695.5</v>
      </c>
      <c r="D12" s="52">
        <v>422.93939999999998</v>
      </c>
      <c r="E12" s="52">
        <v>3263295.19</v>
      </c>
      <c r="F12" s="52">
        <v>32099.74</v>
      </c>
      <c r="G12" s="52">
        <v>125.48</v>
      </c>
      <c r="H12" s="52">
        <v>1238005.3600000001</v>
      </c>
      <c r="I12" s="52">
        <v>12897.5</v>
      </c>
      <c r="J12" s="52">
        <v>305.92439999999999</v>
      </c>
      <c r="K12" s="52">
        <v>1523715</v>
      </c>
      <c r="L12" s="52">
        <v>24897.74</v>
      </c>
      <c r="M12" s="52">
        <v>395.9794</v>
      </c>
      <c r="N12" s="52">
        <v>1370752.6</v>
      </c>
      <c r="O12" s="52" t="s">
        <v>27</v>
      </c>
      <c r="P12" s="52">
        <v>173.07550000000001</v>
      </c>
    </row>
    <row r="13" spans="2:16" x14ac:dyDescent="0.35">
      <c r="B13" s="52" t="s">
        <v>102</v>
      </c>
      <c r="C13" s="52">
        <v>44528</v>
      </c>
      <c r="D13" s="52">
        <v>226.83150000000001</v>
      </c>
      <c r="E13" s="52">
        <v>1540114.01</v>
      </c>
      <c r="F13" s="52">
        <v>3422</v>
      </c>
      <c r="G13" s="52">
        <v>49.53</v>
      </c>
      <c r="H13" s="52">
        <v>600854.24</v>
      </c>
      <c r="I13" s="52">
        <v>12195</v>
      </c>
      <c r="J13" s="52">
        <v>83.437100000000001</v>
      </c>
      <c r="K13" s="52">
        <v>1048254.93</v>
      </c>
      <c r="L13" s="52">
        <v>35755</v>
      </c>
      <c r="M13" s="52">
        <v>249.9614</v>
      </c>
      <c r="N13" s="52">
        <v>1617208.76</v>
      </c>
      <c r="O13" s="52" t="s">
        <v>27</v>
      </c>
      <c r="P13" s="52">
        <v>-94.772800000000004</v>
      </c>
    </row>
    <row r="14" spans="2:16" x14ac:dyDescent="0.35">
      <c r="B14" s="52" t="s">
        <v>105</v>
      </c>
      <c r="C14" s="52">
        <v>103567.1</v>
      </c>
      <c r="D14" s="52">
        <v>1172.7689</v>
      </c>
      <c r="E14" s="52">
        <v>10195140.119999999</v>
      </c>
      <c r="F14" s="52">
        <v>60488.95</v>
      </c>
      <c r="G14" s="52">
        <v>61.13</v>
      </c>
      <c r="H14" s="52">
        <v>1890618.67</v>
      </c>
      <c r="I14" s="52">
        <v>41182.199999999997</v>
      </c>
      <c r="J14" s="52">
        <v>124.8507</v>
      </c>
      <c r="K14" s="52">
        <v>1634077.9</v>
      </c>
      <c r="L14" s="52">
        <v>122873.85</v>
      </c>
      <c r="M14" s="52">
        <v>1231.2635</v>
      </c>
      <c r="N14" s="52">
        <v>10733336.289999999</v>
      </c>
      <c r="O14" s="52" t="s">
        <v>27</v>
      </c>
      <c r="P14" s="52">
        <v>280.85070000000002</v>
      </c>
    </row>
    <row r="15" spans="2:16" x14ac:dyDescent="0.35">
      <c r="B15" s="52" t="s">
        <v>57</v>
      </c>
      <c r="C15" s="52">
        <v>689221</v>
      </c>
      <c r="D15" s="52">
        <v>231.71</v>
      </c>
      <c r="E15" s="52">
        <v>2794367.91</v>
      </c>
      <c r="F15" s="52">
        <v>268020</v>
      </c>
      <c r="G15" s="52">
        <v>48.8</v>
      </c>
      <c r="H15" s="52">
        <v>1245505.6000000001</v>
      </c>
      <c r="I15" s="52">
        <v>229493</v>
      </c>
      <c r="J15" s="52">
        <v>37.1798</v>
      </c>
      <c r="K15" s="52">
        <v>981457</v>
      </c>
      <c r="L15" s="52">
        <v>727748</v>
      </c>
      <c r="M15" s="52">
        <v>257.42020000000002</v>
      </c>
      <c r="N15" s="52">
        <v>3601710.75</v>
      </c>
      <c r="O15" s="52" t="s">
        <v>27</v>
      </c>
      <c r="P15" s="52">
        <v>98.3583</v>
      </c>
    </row>
    <row r="16" spans="2:16" x14ac:dyDescent="0.35">
      <c r="B16" s="52"/>
      <c r="C16" s="52"/>
      <c r="D16" s="52"/>
      <c r="E16" s="52">
        <f>+E15+E14+E13+E12</f>
        <v>17792917.23</v>
      </c>
      <c r="F16" s="52"/>
      <c r="G16" s="52"/>
      <c r="H16" s="52">
        <f>+H15+H14+H13+H12</f>
        <v>4974983.87</v>
      </c>
      <c r="I16" s="52"/>
      <c r="J16" s="52"/>
      <c r="K16" s="52">
        <f>+K15+K14+K13+K12</f>
        <v>5187504.83</v>
      </c>
      <c r="L16" s="52"/>
      <c r="M16" s="52"/>
      <c r="N16" s="52">
        <f>+N15+N14+N13+N12</f>
        <v>17323008.399999999</v>
      </c>
      <c r="O16" s="52"/>
      <c r="P16" s="52"/>
    </row>
    <row r="18" spans="2:16" ht="29" x14ac:dyDescent="0.35">
      <c r="B18" s="53" t="s">
        <v>108</v>
      </c>
    </row>
    <row r="19" spans="2:16" ht="29" x14ac:dyDescent="0.35">
      <c r="B19" s="14" t="s">
        <v>85</v>
      </c>
      <c r="C19" s="14" t="s">
        <v>86</v>
      </c>
      <c r="D19" s="14" t="s">
        <v>87</v>
      </c>
      <c r="E19" s="14" t="s">
        <v>88</v>
      </c>
      <c r="F19" s="14" t="s">
        <v>89</v>
      </c>
      <c r="G19" s="14" t="s">
        <v>90</v>
      </c>
      <c r="H19" s="14" t="s">
        <v>91</v>
      </c>
      <c r="I19" s="14" t="s">
        <v>92</v>
      </c>
      <c r="J19" s="14" t="s">
        <v>93</v>
      </c>
      <c r="K19" s="14" t="s">
        <v>94</v>
      </c>
      <c r="L19" s="14" t="s">
        <v>95</v>
      </c>
      <c r="M19" s="14" t="s">
        <v>96</v>
      </c>
      <c r="N19" s="14" t="s">
        <v>97</v>
      </c>
      <c r="O19" s="14" t="s">
        <v>98</v>
      </c>
      <c r="P19" s="14" t="s">
        <v>99</v>
      </c>
    </row>
    <row r="20" spans="2:16" x14ac:dyDescent="0.35">
      <c r="B20" s="52" t="s">
        <v>101</v>
      </c>
      <c r="C20" s="52">
        <v>2711.74</v>
      </c>
      <c r="D20" s="52">
        <v>332.36149999999998</v>
      </c>
      <c r="E20" s="52">
        <v>1219708.33</v>
      </c>
      <c r="F20" s="52">
        <v>33765</v>
      </c>
      <c r="G20" s="52">
        <v>168.05</v>
      </c>
      <c r="H20" s="52">
        <v>1483001.18</v>
      </c>
      <c r="I20" s="52">
        <v>26351</v>
      </c>
      <c r="J20" s="52">
        <v>397.1977</v>
      </c>
      <c r="K20" s="52">
        <v>2072395.75</v>
      </c>
      <c r="L20" s="52">
        <v>10125.74</v>
      </c>
      <c r="M20" s="52">
        <v>400.07619999999997</v>
      </c>
      <c r="N20" s="52">
        <v>690143.5</v>
      </c>
      <c r="O20" s="52" t="s">
        <v>27</v>
      </c>
      <c r="P20" s="52">
        <v>53.974299999999999</v>
      </c>
    </row>
    <row r="21" spans="2:16" x14ac:dyDescent="0.35">
      <c r="B21" s="52" t="s">
        <v>102</v>
      </c>
      <c r="C21" s="52">
        <v>12891</v>
      </c>
      <c r="D21" s="52">
        <v>255.0866</v>
      </c>
      <c r="E21" s="52">
        <v>1008687.19</v>
      </c>
      <c r="F21" s="52">
        <v>53760.5</v>
      </c>
      <c r="G21" s="52">
        <v>116.77</v>
      </c>
      <c r="H21" s="52">
        <v>750558.82</v>
      </c>
      <c r="I21" s="52">
        <v>34716.5</v>
      </c>
      <c r="J21" s="52">
        <v>137.4375</v>
      </c>
      <c r="K21" s="52">
        <v>1008137.14</v>
      </c>
      <c r="L21" s="52">
        <v>31935</v>
      </c>
      <c r="M21" s="52">
        <v>290.28160000000003</v>
      </c>
      <c r="N21" s="52">
        <v>1166686.69</v>
      </c>
      <c r="O21" s="52" t="s">
        <v>27</v>
      </c>
      <c r="P21" s="52">
        <v>99.441800000000001</v>
      </c>
    </row>
    <row r="22" spans="2:16" x14ac:dyDescent="0.35">
      <c r="B22" s="52" t="s">
        <v>105</v>
      </c>
      <c r="C22" s="52">
        <v>121266.3</v>
      </c>
      <c r="D22" s="52">
        <v>1262.9043999999999</v>
      </c>
      <c r="E22" s="52">
        <v>9634589.7899999991</v>
      </c>
      <c r="F22" s="52">
        <v>95617.3</v>
      </c>
      <c r="G22" s="52">
        <v>343.15</v>
      </c>
      <c r="H22" s="52">
        <v>3187695.74</v>
      </c>
      <c r="I22" s="52">
        <v>55104</v>
      </c>
      <c r="J22" s="52">
        <v>289.2783</v>
      </c>
      <c r="K22" s="52">
        <v>2761997.53</v>
      </c>
      <c r="L22" s="52">
        <v>161779.6</v>
      </c>
      <c r="M22" s="52">
        <v>1381.9820999999999</v>
      </c>
      <c r="N22" s="52">
        <v>10439863.609999999</v>
      </c>
      <c r="O22" s="52" t="s">
        <v>27</v>
      </c>
      <c r="P22" s="52">
        <v>446.26799999999997</v>
      </c>
    </row>
    <row r="23" spans="2:16" x14ac:dyDescent="0.35">
      <c r="B23" s="52" t="s">
        <v>57</v>
      </c>
      <c r="C23" s="52">
        <v>326561</v>
      </c>
      <c r="D23" s="52">
        <v>209.95920000000001</v>
      </c>
      <c r="E23" s="52">
        <v>1637367.52</v>
      </c>
      <c r="F23" s="52">
        <v>293598</v>
      </c>
      <c r="G23" s="52">
        <v>13.91</v>
      </c>
      <c r="H23" s="52">
        <v>747755</v>
      </c>
      <c r="I23" s="52">
        <v>295232</v>
      </c>
      <c r="J23" s="52">
        <v>179.40729999999999</v>
      </c>
      <c r="K23" s="52">
        <v>1425028.91</v>
      </c>
      <c r="L23" s="52">
        <v>324927</v>
      </c>
      <c r="M23" s="52">
        <v>259.57749999999999</v>
      </c>
      <c r="N23" s="52">
        <v>1715751.52</v>
      </c>
      <c r="O23" s="52" t="s">
        <v>27</v>
      </c>
      <c r="P23" s="52">
        <v>45.850200000000001</v>
      </c>
    </row>
    <row r="24" spans="2:16" x14ac:dyDescent="0.35">
      <c r="B24" s="52"/>
      <c r="C24" s="52"/>
      <c r="D24" s="52"/>
      <c r="E24" s="52">
        <f>+E23+E22+E21+E20</f>
        <v>13500352.829999998</v>
      </c>
      <c r="F24" s="52"/>
      <c r="G24" s="52"/>
      <c r="H24" s="52">
        <f>+H23+H22+H21+H20</f>
        <v>6169010.7400000002</v>
      </c>
      <c r="I24" s="52"/>
      <c r="J24" s="52"/>
      <c r="K24" s="52">
        <f>+K23+K22+K21+K20</f>
        <v>7267559.3299999991</v>
      </c>
      <c r="L24" s="52"/>
      <c r="M24" s="52"/>
      <c r="N24" s="52">
        <f>+N23+N22+N21+N20</f>
        <v>14012445.319999998</v>
      </c>
      <c r="O24" s="52"/>
      <c r="P24" s="52"/>
    </row>
    <row r="26" spans="2:16" ht="29" x14ac:dyDescent="0.35">
      <c r="B26" s="53" t="s">
        <v>109</v>
      </c>
    </row>
    <row r="27" spans="2:16" ht="29" x14ac:dyDescent="0.35">
      <c r="B27" s="14" t="s">
        <v>85</v>
      </c>
      <c r="C27" s="14" t="s">
        <v>86</v>
      </c>
      <c r="D27" s="14" t="s">
        <v>87</v>
      </c>
      <c r="E27" s="14" t="s">
        <v>88</v>
      </c>
      <c r="F27" s="14" t="s">
        <v>89</v>
      </c>
      <c r="G27" s="14" t="s">
        <v>90</v>
      </c>
      <c r="H27" s="14" t="s">
        <v>91</v>
      </c>
      <c r="I27" s="14" t="s">
        <v>92</v>
      </c>
      <c r="J27" s="14" t="s">
        <v>93</v>
      </c>
      <c r="K27" s="14" t="s">
        <v>94</v>
      </c>
      <c r="L27" s="14" t="s">
        <v>95</v>
      </c>
      <c r="M27" s="14" t="s">
        <v>96</v>
      </c>
      <c r="N27" s="14" t="s">
        <v>97</v>
      </c>
      <c r="O27" s="14" t="s">
        <v>98</v>
      </c>
      <c r="P27" s="14" t="s">
        <v>99</v>
      </c>
    </row>
    <row r="28" spans="2:16" x14ac:dyDescent="0.35">
      <c r="B28" s="52" t="s">
        <v>101</v>
      </c>
      <c r="C28" s="52">
        <v>10845.74</v>
      </c>
      <c r="D28" s="52">
        <v>318.31529999999998</v>
      </c>
      <c r="E28" s="52">
        <v>701182.11</v>
      </c>
      <c r="F28" s="52">
        <v>35489.94</v>
      </c>
      <c r="G28" s="52">
        <v>348.91</v>
      </c>
      <c r="H28" s="52">
        <v>1515454.28</v>
      </c>
      <c r="I28" s="52">
        <v>14185.85</v>
      </c>
      <c r="J28" s="52">
        <v>170.61529999999999</v>
      </c>
      <c r="K28" s="52">
        <v>1734967.3</v>
      </c>
      <c r="L28" s="52">
        <v>32149.83</v>
      </c>
      <c r="M28" s="52">
        <v>357.42669999999998</v>
      </c>
      <c r="N28" s="52">
        <v>557674.43999999994</v>
      </c>
      <c r="O28" s="52" t="s">
        <v>27</v>
      </c>
      <c r="P28" s="52">
        <v>275.69209999999998</v>
      </c>
    </row>
    <row r="29" spans="2:16" x14ac:dyDescent="0.35">
      <c r="B29" s="52" t="s">
        <v>102</v>
      </c>
      <c r="C29" s="52">
        <v>17349</v>
      </c>
      <c r="D29" s="52">
        <v>219.5386</v>
      </c>
      <c r="E29" s="52">
        <v>730520.06</v>
      </c>
      <c r="F29" s="52">
        <v>47949</v>
      </c>
      <c r="G29" s="52">
        <v>47.82</v>
      </c>
      <c r="H29" s="52">
        <v>755738.63</v>
      </c>
      <c r="I29" s="52">
        <v>16057</v>
      </c>
      <c r="J29" s="52">
        <v>42.844299999999997</v>
      </c>
      <c r="K29" s="52">
        <v>571060.22</v>
      </c>
      <c r="L29" s="52">
        <v>49241</v>
      </c>
      <c r="M29" s="52">
        <v>242.12729999999999</v>
      </c>
      <c r="N29" s="52">
        <v>1259255.82</v>
      </c>
      <c r="O29" s="52" t="s">
        <v>27</v>
      </c>
      <c r="P29" s="52">
        <v>-66.483500000000006</v>
      </c>
    </row>
    <row r="30" spans="2:16" x14ac:dyDescent="0.35">
      <c r="B30" s="52" t="s">
        <v>105</v>
      </c>
      <c r="C30" s="52">
        <v>157773.79999999999</v>
      </c>
      <c r="D30" s="52">
        <v>1237.3779</v>
      </c>
      <c r="E30" s="52">
        <v>9762502.4700000007</v>
      </c>
      <c r="F30" s="52">
        <v>27495.5</v>
      </c>
      <c r="G30" s="52">
        <v>171.06</v>
      </c>
      <c r="H30" s="52">
        <v>2006644.58</v>
      </c>
      <c r="I30" s="52">
        <v>33667.35</v>
      </c>
      <c r="J30" s="52">
        <v>218.33590000000001</v>
      </c>
      <c r="K30" s="52">
        <v>2324067.58</v>
      </c>
      <c r="L30" s="52">
        <v>151601.95000000001</v>
      </c>
      <c r="M30" s="52">
        <v>1312.4358999999999</v>
      </c>
      <c r="N30" s="52">
        <v>10025902.15</v>
      </c>
      <c r="O30" s="52" t="s">
        <v>27</v>
      </c>
      <c r="P30" s="52">
        <v>336.07240000000002</v>
      </c>
    </row>
    <row r="31" spans="2:16" x14ac:dyDescent="0.35">
      <c r="B31" s="52" t="s">
        <v>57</v>
      </c>
      <c r="C31" s="52">
        <v>323837</v>
      </c>
      <c r="D31" s="52">
        <v>176.38030000000001</v>
      </c>
      <c r="E31" s="52">
        <v>1212409.07</v>
      </c>
      <c r="F31" s="52">
        <v>329565</v>
      </c>
      <c r="G31" s="52">
        <v>71.040000000000006</v>
      </c>
      <c r="H31" s="52">
        <v>1799834.1</v>
      </c>
      <c r="I31" s="52">
        <v>253363</v>
      </c>
      <c r="J31" s="52">
        <v>58.171799999999998</v>
      </c>
      <c r="K31" s="52">
        <v>842884</v>
      </c>
      <c r="L31" s="52">
        <v>400039</v>
      </c>
      <c r="M31" s="52">
        <v>211.39150000000001</v>
      </c>
      <c r="N31" s="52">
        <v>2015954.52</v>
      </c>
      <c r="O31" s="52" t="s">
        <v>27</v>
      </c>
      <c r="P31" s="52">
        <v>84.842299999999994</v>
      </c>
    </row>
    <row r="32" spans="2:16" x14ac:dyDescent="0.35">
      <c r="B32" s="52"/>
      <c r="C32" s="52"/>
      <c r="D32" s="52"/>
      <c r="E32" s="52">
        <f>+E31+E30+E29+E28</f>
        <v>12406613.710000001</v>
      </c>
      <c r="F32" s="52"/>
      <c r="G32" s="52"/>
      <c r="H32" s="52">
        <f>+H31+H30+H29+H28</f>
        <v>6077671.5900000008</v>
      </c>
      <c r="I32" s="52"/>
      <c r="J32" s="52"/>
      <c r="K32" s="52">
        <f>+K31+K30+K29+K28</f>
        <v>5472979.0999999996</v>
      </c>
      <c r="L32" s="52"/>
      <c r="M32" s="52"/>
      <c r="N32" s="52">
        <f>+N31+N30+N29+N28</f>
        <v>13858786.93</v>
      </c>
      <c r="O32" s="52"/>
      <c r="P32" s="52"/>
    </row>
    <row r="34" spans="2:16" ht="29" x14ac:dyDescent="0.35">
      <c r="B34" s="53" t="s">
        <v>110</v>
      </c>
    </row>
    <row r="36" spans="2:16" ht="29" x14ac:dyDescent="0.35">
      <c r="B36" s="14" t="s">
        <v>85</v>
      </c>
      <c r="C36" s="14" t="s">
        <v>86</v>
      </c>
      <c r="D36" s="14" t="s">
        <v>87</v>
      </c>
      <c r="E36" s="14" t="s">
        <v>88</v>
      </c>
      <c r="F36" s="14" t="s">
        <v>89</v>
      </c>
      <c r="G36" s="14" t="s">
        <v>90</v>
      </c>
      <c r="H36" s="14" t="s">
        <v>91</v>
      </c>
      <c r="I36" s="14" t="s">
        <v>92</v>
      </c>
      <c r="J36" s="14" t="s">
        <v>93</v>
      </c>
      <c r="K36" s="14" t="s">
        <v>94</v>
      </c>
      <c r="L36" s="14" t="s">
        <v>95</v>
      </c>
      <c r="M36" s="14" t="s">
        <v>96</v>
      </c>
      <c r="N36" s="14" t="s">
        <v>97</v>
      </c>
      <c r="O36" s="14" t="s">
        <v>98</v>
      </c>
      <c r="P36" s="14" t="s">
        <v>99</v>
      </c>
    </row>
    <row r="37" spans="2:16" x14ac:dyDescent="0.35">
      <c r="B37" s="52" t="s">
        <v>101</v>
      </c>
      <c r="C37" s="52">
        <v>32149.83</v>
      </c>
      <c r="D37" s="52">
        <v>258.36559999999997</v>
      </c>
      <c r="E37" s="52">
        <v>484342.86</v>
      </c>
      <c r="F37" s="52">
        <v>20645.490000000002</v>
      </c>
      <c r="G37" s="52">
        <v>135.38999999999999</v>
      </c>
      <c r="H37" s="52">
        <v>1660537.43</v>
      </c>
      <c r="I37" s="52">
        <v>34500.47</v>
      </c>
      <c r="J37" s="52">
        <v>256.66250000000002</v>
      </c>
      <c r="K37" s="52">
        <v>1192686.01</v>
      </c>
      <c r="L37" s="52">
        <v>18294.849999999999</v>
      </c>
      <c r="M37" s="52">
        <v>277.74939999999998</v>
      </c>
      <c r="N37" s="52">
        <v>1035528.74</v>
      </c>
      <c r="O37" s="52" t="s">
        <v>27</v>
      </c>
      <c r="P37" s="52">
        <v>71.557000000000002</v>
      </c>
    </row>
    <row r="38" spans="2:16" x14ac:dyDescent="0.35">
      <c r="B38" s="52" t="s">
        <v>102</v>
      </c>
      <c r="C38" s="52">
        <v>49048</v>
      </c>
      <c r="D38" s="52">
        <v>447.47179999999997</v>
      </c>
      <c r="E38" s="52">
        <v>914504.24</v>
      </c>
      <c r="F38" s="52">
        <v>41748</v>
      </c>
      <c r="G38" s="52">
        <v>312.06</v>
      </c>
      <c r="H38" s="52">
        <v>1176289.06</v>
      </c>
      <c r="I38" s="52">
        <v>21965</v>
      </c>
      <c r="J38" s="52">
        <v>245.78120000000001</v>
      </c>
      <c r="K38" s="52">
        <v>682190.82</v>
      </c>
      <c r="L38" s="52">
        <v>68831</v>
      </c>
      <c r="M38" s="52">
        <v>483.41480000000001</v>
      </c>
      <c r="N38" s="52">
        <v>1606419.82</v>
      </c>
      <c r="O38" s="52" t="s">
        <v>27</v>
      </c>
      <c r="P38" s="52">
        <v>133.1592</v>
      </c>
    </row>
    <row r="39" spans="2:16" x14ac:dyDescent="0.35">
      <c r="B39" s="52" t="s">
        <v>105</v>
      </c>
      <c r="C39" s="52">
        <v>151538.95000000001</v>
      </c>
      <c r="D39" s="52">
        <v>1206.6102000000001</v>
      </c>
      <c r="E39" s="52">
        <v>9715646.4299999997</v>
      </c>
      <c r="F39" s="52">
        <v>39702.33</v>
      </c>
      <c r="G39" s="52">
        <v>145.34</v>
      </c>
      <c r="H39" s="52">
        <v>2393465.64</v>
      </c>
      <c r="I39" s="52">
        <v>23230.1</v>
      </c>
      <c r="J39" s="52">
        <v>121.336</v>
      </c>
      <c r="K39" s="52">
        <v>1534427.36</v>
      </c>
      <c r="L39" s="52">
        <v>168011.18</v>
      </c>
      <c r="M39" s="52">
        <v>1266.0229999999999</v>
      </c>
      <c r="N39" s="52">
        <v>10981603.970000001</v>
      </c>
      <c r="O39" s="52" t="s">
        <v>27</v>
      </c>
      <c r="P39" s="52">
        <v>336.05880000000002</v>
      </c>
    </row>
    <row r="40" spans="2:16" x14ac:dyDescent="0.35">
      <c r="B40" s="52" t="s">
        <v>57</v>
      </c>
      <c r="C40" s="52">
        <v>399739</v>
      </c>
      <c r="D40" s="52">
        <v>188.6454</v>
      </c>
      <c r="E40" s="52">
        <v>1901382.02</v>
      </c>
      <c r="F40" s="52">
        <v>157340</v>
      </c>
      <c r="G40" s="52">
        <v>53.49</v>
      </c>
      <c r="H40" s="52">
        <v>587768.1</v>
      </c>
      <c r="I40" s="52">
        <v>371480</v>
      </c>
      <c r="J40" s="52">
        <v>22.602699999999999</v>
      </c>
      <c r="K40" s="52">
        <v>1177743.6000000001</v>
      </c>
      <c r="L40" s="52">
        <v>185599</v>
      </c>
      <c r="M40" s="52">
        <v>208.41810000000001</v>
      </c>
      <c r="N40" s="52">
        <v>1441266.37</v>
      </c>
      <c r="O40" s="52" t="s">
        <v>27</v>
      </c>
      <c r="P40" s="52">
        <v>60.9754</v>
      </c>
    </row>
    <row r="41" spans="2:16" x14ac:dyDescent="0.35">
      <c r="B41" s="52"/>
      <c r="C41" s="52"/>
      <c r="D41" s="52"/>
      <c r="E41" s="52">
        <f>+E37+E38+E39+E40</f>
        <v>13015875.549999999</v>
      </c>
      <c r="F41" s="52"/>
      <c r="G41" s="52"/>
      <c r="H41" s="52">
        <f>+H37+H38+H39+H40</f>
        <v>5818060.2300000004</v>
      </c>
      <c r="I41" s="52"/>
      <c r="J41" s="52"/>
      <c r="K41" s="52">
        <f>+K37+K38+K39+K40</f>
        <v>4587047.790000001</v>
      </c>
      <c r="L41" s="52"/>
      <c r="M41" s="52"/>
      <c r="N41" s="52">
        <f>+N37+N38+N39+N40</f>
        <v>15064818.900000002</v>
      </c>
      <c r="O41" s="52"/>
      <c r="P41" s="52"/>
    </row>
    <row r="43" spans="2:16" ht="29" x14ac:dyDescent="0.35">
      <c r="B43" s="53" t="s">
        <v>111</v>
      </c>
    </row>
    <row r="45" spans="2:16" ht="29" x14ac:dyDescent="0.35">
      <c r="B45" s="14" t="s">
        <v>85</v>
      </c>
      <c r="C45" s="14" t="s">
        <v>86</v>
      </c>
      <c r="D45" s="14" t="s">
        <v>87</v>
      </c>
      <c r="E45" s="14" t="s">
        <v>88</v>
      </c>
      <c r="F45" s="14" t="s">
        <v>89</v>
      </c>
      <c r="G45" s="14" t="s">
        <v>90</v>
      </c>
      <c r="H45" s="14" t="s">
        <v>91</v>
      </c>
      <c r="I45" s="14" t="s">
        <v>92</v>
      </c>
      <c r="J45" s="14" t="s">
        <v>93</v>
      </c>
      <c r="K45" s="14" t="s">
        <v>94</v>
      </c>
      <c r="L45" s="14" t="s">
        <v>95</v>
      </c>
      <c r="M45" s="14" t="s">
        <v>96</v>
      </c>
      <c r="N45" s="14" t="s">
        <v>97</v>
      </c>
      <c r="O45" s="14" t="s">
        <v>98</v>
      </c>
      <c r="P45" s="14" t="s">
        <v>99</v>
      </c>
    </row>
    <row r="46" spans="2:16" x14ac:dyDescent="0.35">
      <c r="B46" s="52" t="s">
        <v>101</v>
      </c>
      <c r="C46" s="52">
        <v>16213.85</v>
      </c>
      <c r="D46" s="52">
        <v>364.32470000000001</v>
      </c>
      <c r="E46" s="52">
        <v>-3785.56</v>
      </c>
      <c r="F46" s="52">
        <v>33812.9</v>
      </c>
      <c r="G46" s="52">
        <v>364.2</v>
      </c>
      <c r="H46" s="52">
        <v>2170218.19</v>
      </c>
      <c r="I46" s="52">
        <v>31145.45</v>
      </c>
      <c r="J46" s="52">
        <v>336.06630000000001</v>
      </c>
      <c r="K46" s="52">
        <v>1782710.91</v>
      </c>
      <c r="L46" s="52">
        <v>18881.3</v>
      </c>
      <c r="M46" s="52">
        <v>380.79259999999999</v>
      </c>
      <c r="N46" s="52">
        <v>488304.12</v>
      </c>
      <c r="O46" s="52" t="s">
        <v>27</v>
      </c>
      <c r="P46" s="52">
        <v>64.298900000000003</v>
      </c>
    </row>
    <row r="47" spans="2:16" x14ac:dyDescent="0.35">
      <c r="B47" s="52" t="s">
        <v>102</v>
      </c>
      <c r="C47" s="52">
        <v>54415.6</v>
      </c>
      <c r="D47" s="52">
        <v>503.42059999999998</v>
      </c>
      <c r="E47" s="52">
        <v>1078472.48</v>
      </c>
      <c r="F47" s="52">
        <v>21963</v>
      </c>
      <c r="G47" s="52">
        <v>493.17</v>
      </c>
      <c r="H47" s="52">
        <v>1152708.02</v>
      </c>
      <c r="I47" s="52">
        <v>50911</v>
      </c>
      <c r="J47" s="52">
        <v>429.96129999999999</v>
      </c>
      <c r="K47" s="52">
        <v>925828.39</v>
      </c>
      <c r="L47" s="52">
        <v>25467.599999999999</v>
      </c>
      <c r="M47" s="52">
        <v>647.41319999999996</v>
      </c>
      <c r="N47" s="52">
        <v>1588563.32</v>
      </c>
      <c r="O47" s="52" t="s">
        <v>27</v>
      </c>
      <c r="P47" s="52">
        <v>277.99829999999997</v>
      </c>
    </row>
    <row r="48" spans="2:16" x14ac:dyDescent="0.35">
      <c r="B48" s="52" t="s">
        <v>105</v>
      </c>
      <c r="C48" s="52">
        <v>146325.18</v>
      </c>
      <c r="D48" s="52">
        <v>1191.6020000000001</v>
      </c>
      <c r="E48" s="52">
        <v>8740342.4299999997</v>
      </c>
      <c r="F48" s="52">
        <v>41404.6</v>
      </c>
      <c r="G48" s="52">
        <v>349.91</v>
      </c>
      <c r="H48" s="52">
        <v>4468463.8600000003</v>
      </c>
      <c r="I48" s="54">
        <v>48423.93</v>
      </c>
      <c r="J48" s="52">
        <v>332.68790000000001</v>
      </c>
      <c r="K48" s="52">
        <v>3317479.59</v>
      </c>
      <c r="L48" s="52">
        <v>139305.85</v>
      </c>
      <c r="M48" s="52">
        <v>1309.0951</v>
      </c>
      <c r="N48" s="52">
        <v>9937508.3300000001</v>
      </c>
      <c r="O48" s="52" t="s">
        <v>27</v>
      </c>
      <c r="P48" s="52">
        <v>375.38670000000002</v>
      </c>
    </row>
    <row r="49" spans="1:16" x14ac:dyDescent="0.35">
      <c r="B49" s="52" t="s">
        <v>57</v>
      </c>
      <c r="C49" s="52">
        <v>184619</v>
      </c>
      <c r="D49" s="52">
        <v>149.14109999999999</v>
      </c>
      <c r="E49" s="52">
        <v>1108808.1499999999</v>
      </c>
      <c r="F49" s="52">
        <v>293800</v>
      </c>
      <c r="G49" s="52">
        <v>3.67</v>
      </c>
      <c r="H49" s="52">
        <v>968480</v>
      </c>
      <c r="I49" s="52">
        <v>378346</v>
      </c>
      <c r="J49" s="52">
        <v>180.7</v>
      </c>
      <c r="K49" s="52">
        <v>1584155.84</v>
      </c>
      <c r="L49" s="52">
        <v>100073</v>
      </c>
      <c r="M49" s="52">
        <v>215.7054</v>
      </c>
      <c r="N49" s="52">
        <v>883904.25</v>
      </c>
      <c r="O49" s="52" t="s">
        <v>27</v>
      </c>
      <c r="P49" s="52">
        <v>8.0630000000000006</v>
      </c>
    </row>
    <row r="50" spans="1:16" x14ac:dyDescent="0.35">
      <c r="B50" s="52"/>
      <c r="C50" s="52"/>
      <c r="D50" s="52"/>
      <c r="E50" s="54">
        <f>+E49+E48+E47+E46</f>
        <v>10923837.5</v>
      </c>
      <c r="F50" s="52"/>
      <c r="G50" s="52"/>
      <c r="H50" s="54">
        <f>+H49+H48+H47+H46</f>
        <v>8759870.0700000003</v>
      </c>
      <c r="I50" s="52"/>
      <c r="J50" s="52"/>
      <c r="K50" s="54">
        <f>+K49+K48+K47+K46</f>
        <v>7610174.7299999995</v>
      </c>
      <c r="L50" s="52"/>
      <c r="M50" s="52"/>
      <c r="N50" s="54">
        <f>+N49+N48+N47+N46</f>
        <v>12898280.02</v>
      </c>
      <c r="O50" s="52"/>
      <c r="P50" s="52"/>
    </row>
    <row r="52" spans="1:16" ht="15" thickBot="1" x14ac:dyDescent="0.4">
      <c r="B52" s="55" t="s">
        <v>112</v>
      </c>
    </row>
    <row r="53" spans="1:16" ht="29" x14ac:dyDescent="0.35">
      <c r="B53" s="56" t="s">
        <v>85</v>
      </c>
      <c r="C53" s="57" t="s">
        <v>86</v>
      </c>
      <c r="D53" s="58" t="s">
        <v>87</v>
      </c>
      <c r="E53" s="59" t="s">
        <v>88</v>
      </c>
      <c r="F53" s="57" t="s">
        <v>89</v>
      </c>
      <c r="G53" s="58" t="s">
        <v>90</v>
      </c>
      <c r="H53" s="59" t="s">
        <v>91</v>
      </c>
      <c r="I53" s="57" t="s">
        <v>92</v>
      </c>
      <c r="J53" s="58" t="s">
        <v>93</v>
      </c>
      <c r="K53" s="59" t="s">
        <v>94</v>
      </c>
      <c r="L53" s="57" t="s">
        <v>95</v>
      </c>
      <c r="M53" s="58" t="s">
        <v>96</v>
      </c>
      <c r="N53" s="59" t="s">
        <v>97</v>
      </c>
      <c r="O53" s="60" t="s">
        <v>98</v>
      </c>
      <c r="P53" s="14" t="s">
        <v>99</v>
      </c>
    </row>
    <row r="54" spans="1:16" x14ac:dyDescent="0.35">
      <c r="B54" s="61" t="s">
        <v>101</v>
      </c>
      <c r="C54" s="62">
        <v>26661.3</v>
      </c>
      <c r="D54" s="52">
        <v>216.82060000000001</v>
      </c>
      <c r="E54" s="63">
        <v>-769.06</v>
      </c>
      <c r="F54" s="62">
        <v>29873.599999999999</v>
      </c>
      <c r="G54" s="52">
        <v>139.47999999999999</v>
      </c>
      <c r="H54" s="63">
        <v>578011.38</v>
      </c>
      <c r="I54" s="62">
        <v>9220</v>
      </c>
      <c r="J54" s="52">
        <v>55.181800000000003</v>
      </c>
      <c r="K54" s="63">
        <v>447832.29</v>
      </c>
      <c r="L54" s="62">
        <v>47314.9</v>
      </c>
      <c r="M54" s="52">
        <v>231.7912</v>
      </c>
      <c r="N54" s="63">
        <v>353979.82</v>
      </c>
      <c r="O54" s="64" t="s">
        <v>27</v>
      </c>
      <c r="P54" s="52">
        <v>-32.005800000000001</v>
      </c>
    </row>
    <row r="55" spans="1:16" x14ac:dyDescent="0.35">
      <c r="B55" s="61" t="s">
        <v>102</v>
      </c>
      <c r="C55" s="62">
        <v>27405.3</v>
      </c>
      <c r="D55" s="52">
        <v>616.15070000000003</v>
      </c>
      <c r="E55" s="63">
        <v>1173812.6499999999</v>
      </c>
      <c r="F55" s="62">
        <v>112992</v>
      </c>
      <c r="G55" s="52">
        <v>164.15</v>
      </c>
      <c r="H55" s="63">
        <v>692994.58</v>
      </c>
      <c r="I55" s="62">
        <v>55086</v>
      </c>
      <c r="J55" s="52">
        <v>66.4328</v>
      </c>
      <c r="K55" s="63">
        <v>478567.63</v>
      </c>
      <c r="L55" s="62">
        <v>85311.3</v>
      </c>
      <c r="M55" s="52">
        <v>703.96979999999996</v>
      </c>
      <c r="N55" s="63">
        <v>1766649.27</v>
      </c>
      <c r="O55" s="64" t="s">
        <v>27</v>
      </c>
      <c r="P55" s="52">
        <v>262.0283</v>
      </c>
    </row>
    <row r="56" spans="1:16" x14ac:dyDescent="0.35">
      <c r="B56" s="61" t="s">
        <v>105</v>
      </c>
      <c r="C56" s="62">
        <v>139864.15</v>
      </c>
      <c r="D56" s="52">
        <v>1194.3534999999999</v>
      </c>
      <c r="E56" s="63">
        <v>9870727.5</v>
      </c>
      <c r="F56" s="62">
        <v>39254.5</v>
      </c>
      <c r="G56" s="52">
        <v>198.94</v>
      </c>
      <c r="H56" s="63">
        <v>2805073.09</v>
      </c>
      <c r="I56" s="62">
        <v>35995.699999999997</v>
      </c>
      <c r="J56" s="52">
        <v>123.91379999999999</v>
      </c>
      <c r="K56" s="63">
        <v>1421527.57</v>
      </c>
      <c r="L56" s="62">
        <v>143122.95000000001</v>
      </c>
      <c r="M56" s="52">
        <v>1268.7592</v>
      </c>
      <c r="N56" s="63">
        <v>11535625.470000001</v>
      </c>
      <c r="O56" s="64" t="s">
        <v>27</v>
      </c>
      <c r="P56" s="52">
        <v>429.65109999999999</v>
      </c>
    </row>
    <row r="57" spans="1:16" x14ac:dyDescent="0.35">
      <c r="B57" s="61" t="s">
        <v>57</v>
      </c>
      <c r="C57" s="62">
        <v>241275.1</v>
      </c>
      <c r="D57" s="52">
        <v>131.77119999999999</v>
      </c>
      <c r="E57" s="63">
        <v>1227315.4099999999</v>
      </c>
      <c r="F57" s="62">
        <v>334290</v>
      </c>
      <c r="G57" s="52">
        <v>78.400000000000006</v>
      </c>
      <c r="H57" s="63">
        <v>1640492.5</v>
      </c>
      <c r="I57" s="62">
        <v>144290</v>
      </c>
      <c r="J57" s="52">
        <v>43.7776</v>
      </c>
      <c r="K57" s="63">
        <v>690954.3</v>
      </c>
      <c r="L57" s="62">
        <v>431275.1</v>
      </c>
      <c r="M57" s="52">
        <v>189.93530000000001</v>
      </c>
      <c r="N57" s="63">
        <v>2279497.8199999998</v>
      </c>
      <c r="O57" s="64" t="s">
        <v>27</v>
      </c>
      <c r="P57" s="52">
        <v>80.522099999999995</v>
      </c>
    </row>
    <row r="58" spans="1:16" s="1" customFormat="1" ht="15" thickBot="1" x14ac:dyDescent="0.4">
      <c r="B58" s="65"/>
      <c r="C58" s="66"/>
      <c r="D58" s="67"/>
      <c r="E58" s="68">
        <f>+E57+E56+E55+E54</f>
        <v>12271086.5</v>
      </c>
      <c r="F58" s="66"/>
      <c r="G58" s="67"/>
      <c r="H58" s="68">
        <f>+H57+H56+H55+H54</f>
        <v>5716571.5499999998</v>
      </c>
      <c r="I58" s="66"/>
      <c r="J58" s="67"/>
      <c r="K58" s="68">
        <f>+K57+K56+K55+K54</f>
        <v>3038881.79</v>
      </c>
      <c r="L58" s="66"/>
      <c r="M58" s="67"/>
      <c r="N58" s="68">
        <f>+N57+N56+N55+N54</f>
        <v>15935752.380000001</v>
      </c>
      <c r="O58" s="69"/>
      <c r="P58" s="54"/>
    </row>
    <row r="60" spans="1:16" x14ac:dyDescent="0.35">
      <c r="B60" s="55" t="s">
        <v>113</v>
      </c>
    </row>
    <row r="61" spans="1:16" ht="29" x14ac:dyDescent="0.35">
      <c r="A61" s="45"/>
      <c r="B61" s="14" t="s">
        <v>85</v>
      </c>
      <c r="C61" s="14" t="s">
        <v>86</v>
      </c>
      <c r="D61" s="14" t="s">
        <v>87</v>
      </c>
      <c r="E61" s="14" t="s">
        <v>88</v>
      </c>
      <c r="F61" s="14" t="s">
        <v>89</v>
      </c>
      <c r="G61" s="14" t="s">
        <v>90</v>
      </c>
      <c r="H61" s="14" t="s">
        <v>91</v>
      </c>
      <c r="I61" s="14" t="s">
        <v>92</v>
      </c>
      <c r="J61" s="14" t="s">
        <v>93</v>
      </c>
      <c r="K61" s="14" t="s">
        <v>94</v>
      </c>
      <c r="L61" s="14" t="s">
        <v>95</v>
      </c>
      <c r="M61" s="14" t="s">
        <v>96</v>
      </c>
      <c r="N61" s="14" t="s">
        <v>97</v>
      </c>
      <c r="O61" s="14" t="s">
        <v>98</v>
      </c>
      <c r="P61" s="14" t="s">
        <v>99</v>
      </c>
    </row>
    <row r="62" spans="1:16" x14ac:dyDescent="0.35">
      <c r="A62" s="18"/>
      <c r="B62" s="52" t="s">
        <v>101</v>
      </c>
      <c r="C62" s="52">
        <v>47313.9</v>
      </c>
      <c r="D62" s="52">
        <v>186.86750000000001</v>
      </c>
      <c r="E62" s="52">
        <v>251765.53</v>
      </c>
      <c r="F62" s="52">
        <v>5938.85</v>
      </c>
      <c r="G62" s="52">
        <v>105.94</v>
      </c>
      <c r="H62" s="52">
        <v>1342834.48</v>
      </c>
      <c r="I62" s="52">
        <v>47124.6</v>
      </c>
      <c r="J62" s="52">
        <v>90.704999999999998</v>
      </c>
      <c r="K62" s="52">
        <v>622938.19999999995</v>
      </c>
      <c r="L62" s="52">
        <v>6128.15</v>
      </c>
      <c r="M62" s="52">
        <v>249.8544</v>
      </c>
      <c r="N62" s="52">
        <v>1003779.42</v>
      </c>
      <c r="O62" s="52" t="s">
        <v>27</v>
      </c>
      <c r="P62" s="52">
        <v>159.8306</v>
      </c>
    </row>
    <row r="63" spans="1:16" x14ac:dyDescent="0.35">
      <c r="A63" s="18"/>
      <c r="B63" s="52" t="s">
        <v>102</v>
      </c>
      <c r="C63" s="52">
        <v>85298.3</v>
      </c>
      <c r="D63" s="52">
        <v>630.38250000000005</v>
      </c>
      <c r="E63" s="52">
        <v>1686173.59</v>
      </c>
      <c r="F63" s="52">
        <v>32393</v>
      </c>
      <c r="G63" s="52">
        <v>120.86</v>
      </c>
      <c r="H63" s="52">
        <v>1265167.49</v>
      </c>
      <c r="I63" s="52">
        <v>17130</v>
      </c>
      <c r="J63" s="52">
        <v>130.83860000000001</v>
      </c>
      <c r="K63" s="52">
        <v>926208.75</v>
      </c>
      <c r="L63" s="52">
        <v>100561.3</v>
      </c>
      <c r="M63" s="52">
        <v>717.91959999999995</v>
      </c>
      <c r="N63" s="52">
        <v>2110797.56</v>
      </c>
      <c r="O63" s="52" t="s">
        <v>27</v>
      </c>
      <c r="P63" s="52">
        <v>152.78049999999999</v>
      </c>
    </row>
    <row r="64" spans="1:16" x14ac:dyDescent="0.35">
      <c r="A64" s="18"/>
      <c r="B64" s="52" t="s">
        <v>105</v>
      </c>
      <c r="C64" s="52">
        <v>142865.95000000001</v>
      </c>
      <c r="D64" s="52">
        <v>1242.56</v>
      </c>
      <c r="E64" s="52">
        <v>10906637.92</v>
      </c>
      <c r="F64" s="52">
        <v>30120.85</v>
      </c>
      <c r="G64" s="52">
        <v>163.22</v>
      </c>
      <c r="H64" s="52">
        <v>2655084.39</v>
      </c>
      <c r="I64" s="52">
        <v>37729.4</v>
      </c>
      <c r="J64" s="52">
        <v>194.16130000000001</v>
      </c>
      <c r="K64" s="52">
        <v>2971763.33</v>
      </c>
      <c r="L64" s="52">
        <v>135257.4</v>
      </c>
      <c r="M64" s="52">
        <v>1311.9973</v>
      </c>
      <c r="N64" s="52">
        <v>11150908.68</v>
      </c>
      <c r="O64" s="52" t="s">
        <v>27</v>
      </c>
      <c r="P64" s="52">
        <v>322.5557</v>
      </c>
    </row>
    <row r="65" spans="1:16" x14ac:dyDescent="0.35">
      <c r="A65" s="18"/>
      <c r="B65" s="52" t="s">
        <v>57</v>
      </c>
      <c r="C65" s="52">
        <v>431080.1</v>
      </c>
      <c r="D65" s="52">
        <v>138.982</v>
      </c>
      <c r="E65" s="52">
        <v>1907400.45</v>
      </c>
      <c r="F65" s="52">
        <v>284565</v>
      </c>
      <c r="G65" s="52">
        <v>29.54</v>
      </c>
      <c r="H65" s="52">
        <v>1230686.3</v>
      </c>
      <c r="I65" s="52">
        <v>138517</v>
      </c>
      <c r="J65" s="52">
        <v>74.193700000000007</v>
      </c>
      <c r="K65" s="52">
        <v>701563.6</v>
      </c>
      <c r="L65" s="52">
        <v>577128.1</v>
      </c>
      <c r="M65" s="52">
        <v>176.4111</v>
      </c>
      <c r="N65" s="52">
        <v>2909404.37</v>
      </c>
      <c r="O65" s="52" t="s">
        <v>27</v>
      </c>
      <c r="P65" s="52">
        <v>38.673400000000001</v>
      </c>
    </row>
    <row r="66" spans="1:16" x14ac:dyDescent="0.35">
      <c r="A66" s="18"/>
      <c r="B66" s="52"/>
      <c r="C66" s="52"/>
      <c r="D66" s="52"/>
      <c r="E66" s="54">
        <f>SUM(E62:E65)</f>
        <v>14751977.489999998</v>
      </c>
      <c r="F66" s="52"/>
      <c r="G66" s="52"/>
      <c r="H66" s="54">
        <f>SUM(H62:H65)</f>
        <v>6493772.6599999992</v>
      </c>
      <c r="I66" s="52"/>
      <c r="J66" s="52"/>
      <c r="K66" s="54">
        <f>SUM(K62:K65)</f>
        <v>5222473.88</v>
      </c>
      <c r="L66" s="52"/>
      <c r="M66" s="52"/>
      <c r="N66" s="54">
        <f>SUM(N62:N65)</f>
        <v>17174890.030000001</v>
      </c>
      <c r="O66" s="52"/>
      <c r="P66" s="52"/>
    </row>
    <row r="68" spans="1:16" x14ac:dyDescent="0.35">
      <c r="N68" s="1">
        <f>N66/10000000</f>
        <v>1.7174890030000001</v>
      </c>
      <c r="O68" s="70" t="s">
        <v>114</v>
      </c>
    </row>
    <row r="69" spans="1:16" x14ac:dyDescent="0.35">
      <c r="B69" s="55" t="s">
        <v>115</v>
      </c>
    </row>
    <row r="70" spans="1:16" s="18" customFormat="1" ht="29" x14ac:dyDescent="0.35">
      <c r="B70" s="14" t="s">
        <v>85</v>
      </c>
      <c r="C70" s="14" t="s">
        <v>86</v>
      </c>
      <c r="D70" s="14" t="s">
        <v>87</v>
      </c>
      <c r="E70" s="14" t="s">
        <v>88</v>
      </c>
      <c r="F70" s="14" t="s">
        <v>89</v>
      </c>
      <c r="G70" s="14" t="s">
        <v>90</v>
      </c>
      <c r="H70" s="14" t="s">
        <v>91</v>
      </c>
      <c r="I70" s="14" t="s">
        <v>92</v>
      </c>
      <c r="J70" s="14" t="s">
        <v>93</v>
      </c>
      <c r="K70" s="14" t="s">
        <v>94</v>
      </c>
      <c r="L70" s="14" t="s">
        <v>95</v>
      </c>
      <c r="M70" s="14" t="s">
        <v>96</v>
      </c>
      <c r="N70" s="14" t="s">
        <v>97</v>
      </c>
      <c r="O70" s="14" t="s">
        <v>98</v>
      </c>
      <c r="P70" s="14" t="s">
        <v>99</v>
      </c>
    </row>
    <row r="71" spans="1:16" x14ac:dyDescent="0.35">
      <c r="B71" s="19" t="s">
        <v>101</v>
      </c>
      <c r="C71" s="19">
        <v>5371.3</v>
      </c>
      <c r="D71" s="19">
        <v>265.74439999999998</v>
      </c>
      <c r="E71" s="19">
        <v>664534.29</v>
      </c>
      <c r="F71" s="19">
        <v>29615</v>
      </c>
      <c r="G71" s="19">
        <v>183.97</v>
      </c>
      <c r="H71" s="19">
        <v>867153.5</v>
      </c>
      <c r="I71" s="19">
        <v>28498</v>
      </c>
      <c r="J71" s="19">
        <v>207.47499999999999</v>
      </c>
      <c r="K71" s="19">
        <v>1443588.25</v>
      </c>
      <c r="L71" s="19">
        <v>6488.3</v>
      </c>
      <c r="M71" s="19">
        <v>280.05059999999997</v>
      </c>
      <c r="N71" s="19">
        <v>333225.03999999998</v>
      </c>
      <c r="O71" s="19" t="s">
        <v>27</v>
      </c>
      <c r="P71" s="19">
        <v>61.623800000000003</v>
      </c>
    </row>
    <row r="72" spans="1:16" x14ac:dyDescent="0.35">
      <c r="B72" s="19" t="s">
        <v>102</v>
      </c>
      <c r="C72" s="19">
        <v>84289.600000000006</v>
      </c>
      <c r="D72" s="19">
        <v>523.98109999999997</v>
      </c>
      <c r="E72" s="19">
        <v>1847105.5</v>
      </c>
      <c r="F72" s="19">
        <v>22248</v>
      </c>
      <c r="G72" s="19">
        <v>62.28</v>
      </c>
      <c r="H72" s="19">
        <v>565182.12</v>
      </c>
      <c r="I72" s="19">
        <v>46160</v>
      </c>
      <c r="J72" s="19">
        <v>71.449399999999997</v>
      </c>
      <c r="K72" s="19">
        <v>679940.57</v>
      </c>
      <c r="L72" s="19">
        <v>60377.599999999999</v>
      </c>
      <c r="M72" s="19">
        <v>583.79520000000002</v>
      </c>
      <c r="N72" s="19">
        <v>1406169.45</v>
      </c>
      <c r="O72" s="19" t="s">
        <v>27</v>
      </c>
      <c r="P72" s="19">
        <v>49.933799999999998</v>
      </c>
    </row>
    <row r="73" spans="1:16" x14ac:dyDescent="0.35">
      <c r="B73" s="19" t="s">
        <v>105</v>
      </c>
      <c r="C73" s="19">
        <v>129505.4</v>
      </c>
      <c r="D73" s="19">
        <v>1188.6654000000001</v>
      </c>
      <c r="E73" s="19">
        <v>10323227.92</v>
      </c>
      <c r="F73" s="19">
        <v>42544.33</v>
      </c>
      <c r="G73" s="19">
        <v>83.7</v>
      </c>
      <c r="H73" s="19">
        <v>2050114.09</v>
      </c>
      <c r="I73" s="19">
        <v>22132.1</v>
      </c>
      <c r="J73" s="19">
        <v>145.4436</v>
      </c>
      <c r="K73" s="19">
        <v>1459706.95</v>
      </c>
      <c r="L73" s="19">
        <v>149917.63</v>
      </c>
      <c r="M73" s="19">
        <v>1250.7466999999999</v>
      </c>
      <c r="N73" s="19">
        <v>11343357.539999999</v>
      </c>
      <c r="O73" s="19" t="s">
        <v>27</v>
      </c>
      <c r="P73" s="19">
        <v>301.55079999999998</v>
      </c>
    </row>
    <row r="74" spans="1:16" x14ac:dyDescent="0.35">
      <c r="B74" s="19" t="s">
        <v>57</v>
      </c>
      <c r="C74" s="19">
        <v>403500.1</v>
      </c>
      <c r="D74" s="19">
        <v>131.06790000000001</v>
      </c>
      <c r="E74" s="19">
        <v>1795648.72</v>
      </c>
      <c r="F74" s="19">
        <v>416236</v>
      </c>
      <c r="G74" s="19">
        <v>23.64</v>
      </c>
      <c r="H74" s="19">
        <v>1293779.1399999999</v>
      </c>
      <c r="I74" s="19">
        <v>135943</v>
      </c>
      <c r="J74" s="19">
        <v>107.1461</v>
      </c>
      <c r="K74" s="19">
        <v>701991.16</v>
      </c>
      <c r="L74" s="19">
        <v>683793.1</v>
      </c>
      <c r="M74" s="19">
        <v>175.92949999999999</v>
      </c>
      <c r="N74" s="19">
        <v>2842094.57</v>
      </c>
      <c r="O74" s="19" t="s">
        <v>27</v>
      </c>
      <c r="P74" s="19">
        <v>16.785599999999999</v>
      </c>
    </row>
    <row r="75" spans="1:16" x14ac:dyDescent="0.35">
      <c r="B75" s="19"/>
      <c r="C75" s="19"/>
      <c r="D75" s="19"/>
      <c r="E75" s="54">
        <f>SUM(E71:E74)</f>
        <v>14630516.430000002</v>
      </c>
      <c r="F75" s="19"/>
      <c r="G75" s="19"/>
      <c r="H75" s="54">
        <f>SUM(H71:H74)</f>
        <v>4776228.8499999996</v>
      </c>
      <c r="I75" s="19"/>
      <c r="J75" s="19"/>
      <c r="K75" s="54">
        <f>SUM(K71:K74)</f>
        <v>4285226.93</v>
      </c>
      <c r="L75" s="19"/>
      <c r="M75" s="19"/>
      <c r="N75" s="54">
        <f>SUM(N71:N74)</f>
        <v>15924846.6</v>
      </c>
      <c r="O75" s="19"/>
      <c r="P75" s="19"/>
    </row>
    <row r="77" spans="1:16" x14ac:dyDescent="0.35">
      <c r="N77" s="1">
        <f>N75/10000000</f>
        <v>1.59248466</v>
      </c>
      <c r="O77" s="70" t="s">
        <v>114</v>
      </c>
    </row>
    <row r="78" spans="1:16" x14ac:dyDescent="0.35">
      <c r="N78">
        <f>N75/100000</f>
        <v>159.24846600000001</v>
      </c>
    </row>
    <row r="79" spans="1:16" x14ac:dyDescent="0.35">
      <c r="B79" s="55" t="s">
        <v>2329</v>
      </c>
    </row>
    <row r="81" spans="2:16" s="18" customFormat="1" ht="29" x14ac:dyDescent="0.35">
      <c r="B81" s="14" t="s">
        <v>85</v>
      </c>
      <c r="C81" s="14" t="s">
        <v>86</v>
      </c>
      <c r="D81" s="14" t="s">
        <v>87</v>
      </c>
      <c r="E81" s="14" t="s">
        <v>88</v>
      </c>
      <c r="F81" s="14" t="s">
        <v>89</v>
      </c>
      <c r="G81" s="14" t="s">
        <v>90</v>
      </c>
      <c r="H81" s="14" t="s">
        <v>91</v>
      </c>
      <c r="I81" s="14" t="s">
        <v>92</v>
      </c>
      <c r="J81" s="14" t="s">
        <v>93</v>
      </c>
      <c r="K81" s="14" t="s">
        <v>94</v>
      </c>
      <c r="L81" s="14" t="s">
        <v>95</v>
      </c>
      <c r="M81" s="14" t="s">
        <v>96</v>
      </c>
      <c r="N81" s="14" t="s">
        <v>97</v>
      </c>
      <c r="O81" s="14" t="s">
        <v>98</v>
      </c>
      <c r="P81" s="14" t="s">
        <v>99</v>
      </c>
    </row>
    <row r="82" spans="2:16" x14ac:dyDescent="0.35">
      <c r="B82" s="19" t="s">
        <v>101</v>
      </c>
      <c r="C82" s="19">
        <v>6488.3</v>
      </c>
      <c r="D82" s="19">
        <v>215.67779999999999</v>
      </c>
      <c r="E82" s="19">
        <v>228672.92</v>
      </c>
      <c r="F82" s="19">
        <v>38166.480000000003</v>
      </c>
      <c r="G82" s="19">
        <v>234.51</v>
      </c>
      <c r="H82" s="19">
        <v>1942428.17</v>
      </c>
      <c r="I82" s="19">
        <v>9924.6</v>
      </c>
      <c r="J82" s="19">
        <v>233.2217</v>
      </c>
      <c r="K82" s="19">
        <v>1786327.13</v>
      </c>
      <c r="L82" s="19">
        <v>34730.18</v>
      </c>
      <c r="M82" s="19">
        <v>259.74779999999998</v>
      </c>
      <c r="N82" s="19">
        <v>517683.72</v>
      </c>
      <c r="O82" s="19" t="s">
        <v>27</v>
      </c>
      <c r="P82" s="19">
        <v>78.220699999999994</v>
      </c>
    </row>
    <row r="83" spans="2:16" x14ac:dyDescent="0.35">
      <c r="B83" s="19" t="s">
        <v>102</v>
      </c>
      <c r="C83" s="19">
        <v>56574.6</v>
      </c>
      <c r="D83" s="19">
        <v>574.41200000000003</v>
      </c>
      <c r="E83" s="19">
        <v>972525.59</v>
      </c>
      <c r="F83" s="19">
        <v>44593</v>
      </c>
      <c r="G83" s="19">
        <v>208.56</v>
      </c>
      <c r="H83" s="19">
        <v>1036273.98</v>
      </c>
      <c r="I83" s="19">
        <v>31536</v>
      </c>
      <c r="J83" s="19">
        <v>99.3643</v>
      </c>
      <c r="K83" s="19">
        <v>781635.98</v>
      </c>
      <c r="L83" s="19">
        <v>69631.600000000006</v>
      </c>
      <c r="M83" s="19">
        <v>629.1046</v>
      </c>
      <c r="N83" s="19">
        <v>1597467.25</v>
      </c>
      <c r="O83" s="19" t="s">
        <v>27</v>
      </c>
      <c r="P83" s="19">
        <v>179.19569999999999</v>
      </c>
    </row>
    <row r="84" spans="2:16" x14ac:dyDescent="0.35">
      <c r="B84" s="19" t="s">
        <v>105</v>
      </c>
      <c r="C84" s="19">
        <v>147238.63</v>
      </c>
      <c r="D84" s="19">
        <v>1189.7646999999999</v>
      </c>
      <c r="E84" s="19">
        <v>10647112.16</v>
      </c>
      <c r="F84" s="19">
        <v>30566.63</v>
      </c>
      <c r="G84" s="19">
        <v>190.99</v>
      </c>
      <c r="H84" s="19">
        <v>2369988.16</v>
      </c>
      <c r="I84" s="19">
        <v>42089.43</v>
      </c>
      <c r="J84" s="19">
        <v>118.5547</v>
      </c>
      <c r="K84" s="19">
        <v>1820867.95</v>
      </c>
      <c r="L84" s="19">
        <v>135715.82999999999</v>
      </c>
      <c r="M84" s="19">
        <v>1258.8644999999999</v>
      </c>
      <c r="N84" s="19">
        <v>11695293.67</v>
      </c>
      <c r="O84" s="19" t="s">
        <v>27</v>
      </c>
      <c r="P84" s="19">
        <v>401.31650000000002</v>
      </c>
    </row>
    <row r="85" spans="2:16" x14ac:dyDescent="0.35">
      <c r="B85" s="19" t="s">
        <v>57</v>
      </c>
      <c r="C85" s="19">
        <v>280452.09999999998</v>
      </c>
      <c r="D85" s="19">
        <v>136.69919999999999</v>
      </c>
      <c r="E85" s="19">
        <v>1857186.51</v>
      </c>
      <c r="F85" s="19">
        <v>148141</v>
      </c>
      <c r="G85" s="19">
        <v>31.54</v>
      </c>
      <c r="H85" s="19">
        <v>1738661.88</v>
      </c>
      <c r="I85" s="19">
        <v>339693</v>
      </c>
      <c r="J85" s="19">
        <v>34.574599999999997</v>
      </c>
      <c r="K85" s="19">
        <v>1239762.17</v>
      </c>
      <c r="L85" s="19">
        <v>88900.1</v>
      </c>
      <c r="M85" s="19">
        <v>186.14189999999999</v>
      </c>
      <c r="N85" s="19">
        <v>1109453.83</v>
      </c>
      <c r="O85" s="19" t="s">
        <v>27</v>
      </c>
      <c r="P85" s="19">
        <v>92.004900000000006</v>
      </c>
    </row>
    <row r="86" spans="2:16" x14ac:dyDescent="0.35">
      <c r="B86" s="19"/>
      <c r="C86" s="19"/>
      <c r="D86" s="19"/>
      <c r="E86" s="54">
        <f>SUM(E82:E85)</f>
        <v>13705497.18</v>
      </c>
      <c r="F86" s="19"/>
      <c r="G86" s="19"/>
      <c r="H86" s="54">
        <f>SUM(H82:H85)</f>
        <v>7087352.1900000004</v>
      </c>
      <c r="I86" s="19"/>
      <c r="J86" s="19"/>
      <c r="K86" s="54">
        <f>SUM(K82:K85)</f>
        <v>5628593.2299999995</v>
      </c>
      <c r="L86" s="19"/>
      <c r="M86" s="19"/>
      <c r="N86" s="54">
        <f>SUM(N82:N85)</f>
        <v>14919898.470000001</v>
      </c>
      <c r="O86" s="19"/>
      <c r="P86" s="19"/>
    </row>
    <row r="88" spans="2:16" x14ac:dyDescent="0.35">
      <c r="N88" s="1">
        <f>N86/10000000</f>
        <v>1.4919898470000001</v>
      </c>
      <c r="O88" s="70" t="s">
        <v>114</v>
      </c>
    </row>
    <row r="89" spans="2:16" x14ac:dyDescent="0.35">
      <c r="N89">
        <f>N86/100000</f>
        <v>149.19898470000001</v>
      </c>
    </row>
    <row r="92" spans="2:16" x14ac:dyDescent="0.35">
      <c r="N92">
        <f>N78-N89</f>
        <v>10.049481299999997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0508-1823-490A-A899-FF3F55B4C14A}">
  <sheetPr filterMode="1"/>
  <dimension ref="B2:AP888"/>
  <sheetViews>
    <sheetView zoomScale="80" zoomScaleNormal="80" workbookViewId="0">
      <pane ySplit="3" topLeftCell="A9" activePane="bottomLeft" state="frozen"/>
      <selection pane="bottomLeft" activeCell="AL54" sqref="AL54"/>
    </sheetView>
  </sheetViews>
  <sheetFormatPr defaultRowHeight="14.5" x14ac:dyDescent="0.35"/>
  <cols>
    <col min="2" max="2" width="11.90625" customWidth="1"/>
    <col min="3" max="3" width="31.6328125" customWidth="1"/>
    <col min="4" max="4" width="15.26953125" hidden="1" customWidth="1"/>
    <col min="5" max="5" width="9.26953125" hidden="1" customWidth="1"/>
    <col min="6" max="6" width="43.6328125" hidden="1" customWidth="1"/>
    <col min="7" max="7" width="23.36328125" hidden="1" customWidth="1"/>
    <col min="8" max="8" width="12.1796875" hidden="1" customWidth="1"/>
    <col min="9" max="9" width="13.81640625" customWidth="1"/>
    <col min="10" max="10" width="25.26953125" hidden="1" customWidth="1"/>
    <col min="11" max="11" width="15.26953125" bestFit="1" customWidth="1"/>
    <col min="12" max="12" width="24.7265625" hidden="1" customWidth="1"/>
    <col min="13" max="13" width="20.36328125" hidden="1" customWidth="1"/>
    <col min="14" max="14" width="13.453125" customWidth="1"/>
    <col min="15" max="15" width="16.90625" customWidth="1"/>
    <col min="16" max="16" width="24.90625" hidden="1" customWidth="1"/>
    <col min="17" max="17" width="11.81640625" hidden="1" customWidth="1"/>
    <col min="18" max="18" width="8.26953125" hidden="1" customWidth="1"/>
    <col min="19" max="19" width="10.81640625" hidden="1" customWidth="1"/>
    <col min="20" max="20" width="7.7265625" hidden="1" customWidth="1"/>
    <col min="21" max="21" width="10.81640625" hidden="1" customWidth="1"/>
    <col min="22" max="22" width="7.7265625" hidden="1" customWidth="1"/>
    <col min="23" max="23" width="9.81640625" hidden="1" customWidth="1"/>
    <col min="24" max="24" width="7.81640625" hidden="1" customWidth="1"/>
    <col min="25" max="25" width="11.81640625" hidden="1" customWidth="1"/>
    <col min="26" max="26" width="4.54296875" hidden="1" customWidth="1"/>
    <col min="27" max="27" width="3.1796875" hidden="1" customWidth="1"/>
    <col min="28" max="28" width="6.08984375" bestFit="1" customWidth="1"/>
    <col min="29" max="29" width="8.81640625" hidden="1" customWidth="1"/>
    <col min="30" max="30" width="9.6328125" hidden="1" customWidth="1"/>
    <col min="31" max="31" width="5" hidden="1" customWidth="1"/>
    <col min="32" max="32" width="13.90625" hidden="1" customWidth="1"/>
    <col min="33" max="33" width="8.81640625" hidden="1" customWidth="1"/>
    <col min="34" max="34" width="18.26953125" hidden="1" customWidth="1"/>
    <col min="35" max="36" width="0" hidden="1" customWidth="1"/>
    <col min="37" max="37" width="12.26953125" customWidth="1"/>
    <col min="38" max="38" width="15.6328125" bestFit="1" customWidth="1"/>
    <col min="39" max="39" width="14.54296875" bestFit="1" customWidth="1"/>
    <col min="40" max="40" width="12.90625" bestFit="1" customWidth="1"/>
    <col min="41" max="41" width="13.81640625" bestFit="1" customWidth="1"/>
    <col min="42" max="42" width="17" customWidth="1"/>
    <col min="44" max="44" width="14.08984375" customWidth="1"/>
  </cols>
  <sheetData>
    <row r="2" spans="2:37" x14ac:dyDescent="0.35">
      <c r="N2" s="75">
        <f>SUBTOTAL(9,N4:N1000)</f>
        <v>1414566.0400000005</v>
      </c>
      <c r="O2" s="75">
        <f>SUBTOTAL(9,O4:O1000)</f>
        <v>191301065.91787028</v>
      </c>
      <c r="AF2" s="75">
        <f>SUBTOTAL(9,AF4:AF1000)</f>
        <v>1414565.8000000005</v>
      </c>
      <c r="AK2">
        <f>O2/N2</f>
        <v>135.23657468679951</v>
      </c>
    </row>
    <row r="3" spans="2:37" s="18" customFormat="1" ht="43.5" x14ac:dyDescent="0.35">
      <c r="B3" s="74" t="s">
        <v>1053</v>
      </c>
      <c r="C3" s="74" t="s">
        <v>1054</v>
      </c>
      <c r="D3" s="14" t="s">
        <v>1055</v>
      </c>
      <c r="E3" s="14" t="s">
        <v>1056</v>
      </c>
      <c r="F3" s="14" t="s">
        <v>1057</v>
      </c>
      <c r="G3" s="14" t="s">
        <v>1058</v>
      </c>
      <c r="H3" s="14" t="s">
        <v>1059</v>
      </c>
      <c r="I3" s="74" t="s">
        <v>1060</v>
      </c>
      <c r="J3" s="14" t="s">
        <v>1061</v>
      </c>
      <c r="K3" s="74" t="s">
        <v>1062</v>
      </c>
      <c r="L3" s="14" t="s">
        <v>1551</v>
      </c>
      <c r="M3" s="14" t="s">
        <v>1064</v>
      </c>
      <c r="N3" s="74" t="s">
        <v>1065</v>
      </c>
      <c r="O3" s="74" t="s">
        <v>1066</v>
      </c>
      <c r="P3" s="14" t="s">
        <v>1067</v>
      </c>
      <c r="Q3" s="14" t="s">
        <v>1068</v>
      </c>
      <c r="R3" s="14" t="s">
        <v>1069</v>
      </c>
      <c r="S3" s="14" t="s">
        <v>1070</v>
      </c>
      <c r="T3" s="14" t="s">
        <v>1071</v>
      </c>
      <c r="U3" s="14" t="s">
        <v>1072</v>
      </c>
      <c r="V3" s="14" t="s">
        <v>1073</v>
      </c>
      <c r="W3" s="14" t="s">
        <v>1074</v>
      </c>
      <c r="X3" s="14" t="s">
        <v>1075</v>
      </c>
      <c r="Y3" s="14" t="s">
        <v>1076</v>
      </c>
      <c r="Z3" s="14" t="s">
        <v>1077</v>
      </c>
      <c r="AA3" s="14" t="s">
        <v>1078</v>
      </c>
      <c r="AB3" s="74" t="s">
        <v>117</v>
      </c>
      <c r="AC3" s="14" t="s">
        <v>1079</v>
      </c>
      <c r="AD3" s="14" t="s">
        <v>1080</v>
      </c>
      <c r="AE3" s="14" t="s">
        <v>1081</v>
      </c>
      <c r="AF3" s="74" t="s">
        <v>1082</v>
      </c>
      <c r="AG3" s="14" t="s">
        <v>1083</v>
      </c>
      <c r="AH3" s="74" t="s">
        <v>2318</v>
      </c>
      <c r="AI3" s="18">
        <v>1</v>
      </c>
      <c r="AJ3" s="18">
        <v>1</v>
      </c>
    </row>
    <row r="4" spans="2:37" hidden="1" x14ac:dyDescent="0.35">
      <c r="B4" s="76">
        <v>46204</v>
      </c>
      <c r="C4" s="19" t="s">
        <v>127</v>
      </c>
      <c r="D4" s="19" t="s">
        <v>126</v>
      </c>
      <c r="E4" s="19" t="s">
        <v>124</v>
      </c>
      <c r="F4" s="19" t="s">
        <v>118</v>
      </c>
      <c r="G4" s="19" t="s">
        <v>125</v>
      </c>
      <c r="H4" s="76">
        <v>46193</v>
      </c>
      <c r="I4" s="19" t="s">
        <v>101</v>
      </c>
      <c r="J4" s="19" t="s">
        <v>1508</v>
      </c>
      <c r="K4" s="19" t="s">
        <v>1127</v>
      </c>
      <c r="L4" s="19" t="s">
        <v>102</v>
      </c>
      <c r="M4" s="19" t="s">
        <v>1552</v>
      </c>
      <c r="N4" s="19">
        <v>262.10000000000002</v>
      </c>
      <c r="O4" s="19">
        <v>40887.599999999999</v>
      </c>
      <c r="P4" s="19" t="s">
        <v>1552</v>
      </c>
      <c r="Q4" s="19">
        <v>43247</v>
      </c>
      <c r="R4" s="19">
        <v>2.5</v>
      </c>
      <c r="S4" s="19">
        <v>1029.69</v>
      </c>
      <c r="T4" s="19">
        <v>2.5</v>
      </c>
      <c r="U4" s="19">
        <v>1029.69</v>
      </c>
      <c r="V4" s="19">
        <v>0</v>
      </c>
      <c r="W4" s="19">
        <v>0</v>
      </c>
      <c r="X4" s="19">
        <v>0</v>
      </c>
      <c r="Y4" s="19">
        <v>2059.38</v>
      </c>
      <c r="Z4" s="19">
        <v>0</v>
      </c>
      <c r="AA4" s="19" t="s">
        <v>128</v>
      </c>
      <c r="AB4" s="19" t="s">
        <v>1289</v>
      </c>
      <c r="AC4" s="19">
        <v>2853</v>
      </c>
      <c r="AD4" s="19" t="s">
        <v>1092</v>
      </c>
      <c r="AE4" s="19">
        <v>1</v>
      </c>
      <c r="AF4" s="19">
        <v>0</v>
      </c>
      <c r="AG4" s="19" t="s">
        <v>1093</v>
      </c>
      <c r="AH4" s="19" t="s">
        <v>2319</v>
      </c>
    </row>
    <row r="5" spans="2:37" hidden="1" x14ac:dyDescent="0.35">
      <c r="B5" s="76">
        <v>46204</v>
      </c>
      <c r="C5" s="19" t="s">
        <v>165</v>
      </c>
      <c r="D5" s="19" t="s">
        <v>126</v>
      </c>
      <c r="E5" s="19" t="s">
        <v>163</v>
      </c>
      <c r="F5" s="19" t="s">
        <v>118</v>
      </c>
      <c r="G5" s="19" t="s">
        <v>164</v>
      </c>
      <c r="H5" s="76">
        <v>46202</v>
      </c>
      <c r="I5" s="19" t="s">
        <v>105</v>
      </c>
      <c r="J5" s="19" t="s">
        <v>1553</v>
      </c>
      <c r="K5" s="19" t="s">
        <v>1127</v>
      </c>
      <c r="L5" s="19" t="s">
        <v>1389</v>
      </c>
      <c r="M5" s="19" t="s">
        <v>1554</v>
      </c>
      <c r="N5" s="19">
        <v>10</v>
      </c>
      <c r="O5" s="19">
        <v>5250</v>
      </c>
      <c r="P5" s="19" t="s">
        <v>1554</v>
      </c>
      <c r="Q5" s="19">
        <v>18952</v>
      </c>
      <c r="R5" s="19">
        <v>2.5</v>
      </c>
      <c r="S5" s="19">
        <v>131.25</v>
      </c>
      <c r="T5" s="19">
        <v>2.5</v>
      </c>
      <c r="U5" s="19">
        <v>131.25</v>
      </c>
      <c r="V5" s="19">
        <v>0</v>
      </c>
      <c r="W5" s="19">
        <v>0</v>
      </c>
      <c r="X5" s="19">
        <v>0</v>
      </c>
      <c r="Y5" s="19">
        <v>262.5</v>
      </c>
      <c r="Z5" s="19">
        <v>0</v>
      </c>
      <c r="AA5" s="19" t="s">
        <v>166</v>
      </c>
      <c r="AB5" s="19" t="s">
        <v>1555</v>
      </c>
      <c r="AC5" s="19">
        <v>84529099</v>
      </c>
      <c r="AD5" s="19" t="s">
        <v>1092</v>
      </c>
      <c r="AE5" s="19">
        <v>1</v>
      </c>
      <c r="AF5" s="19">
        <v>0</v>
      </c>
      <c r="AG5" s="19" t="s">
        <v>1093</v>
      </c>
      <c r="AH5" s="19" t="s">
        <v>2319</v>
      </c>
    </row>
    <row r="6" spans="2:37" hidden="1" x14ac:dyDescent="0.35">
      <c r="B6" s="76">
        <v>46204</v>
      </c>
      <c r="C6" s="19" t="s">
        <v>165</v>
      </c>
      <c r="D6" s="19" t="s">
        <v>126</v>
      </c>
      <c r="E6" s="19" t="s">
        <v>163</v>
      </c>
      <c r="F6" s="19" t="s">
        <v>118</v>
      </c>
      <c r="G6" s="19" t="s">
        <v>164</v>
      </c>
      <c r="H6" s="76">
        <v>46202</v>
      </c>
      <c r="I6" s="19" t="s">
        <v>105</v>
      </c>
      <c r="J6" s="19" t="s">
        <v>1553</v>
      </c>
      <c r="K6" s="19" t="s">
        <v>1127</v>
      </c>
      <c r="L6" s="19" t="s">
        <v>1389</v>
      </c>
      <c r="M6" s="19" t="s">
        <v>1556</v>
      </c>
      <c r="N6" s="19">
        <v>10</v>
      </c>
      <c r="O6" s="19">
        <v>5250</v>
      </c>
      <c r="P6" s="19" t="s">
        <v>1556</v>
      </c>
      <c r="Q6" s="19">
        <v>0</v>
      </c>
      <c r="R6" s="19">
        <v>2.5</v>
      </c>
      <c r="S6" s="19">
        <v>131.25</v>
      </c>
      <c r="T6" s="19">
        <v>2.5</v>
      </c>
      <c r="U6" s="19">
        <v>131.25</v>
      </c>
      <c r="V6" s="19">
        <v>0</v>
      </c>
      <c r="W6" s="19">
        <v>0</v>
      </c>
      <c r="X6" s="19">
        <v>0</v>
      </c>
      <c r="Y6" s="19">
        <v>262.5</v>
      </c>
      <c r="Z6" s="19">
        <v>0</v>
      </c>
      <c r="AA6" s="19" t="s">
        <v>166</v>
      </c>
      <c r="AB6" s="19" t="s">
        <v>1555</v>
      </c>
      <c r="AC6" s="19">
        <v>84529099</v>
      </c>
      <c r="AD6" s="19" t="s">
        <v>1092</v>
      </c>
      <c r="AE6" s="19">
        <v>1</v>
      </c>
      <c r="AF6" s="19">
        <v>0</v>
      </c>
      <c r="AG6" s="19" t="s">
        <v>1093</v>
      </c>
      <c r="AH6" s="19" t="s">
        <v>2319</v>
      </c>
    </row>
    <row r="7" spans="2:37" hidden="1" x14ac:dyDescent="0.35">
      <c r="B7" s="76">
        <v>46204</v>
      </c>
      <c r="C7" s="19" t="s">
        <v>165</v>
      </c>
      <c r="D7" s="19" t="s">
        <v>126</v>
      </c>
      <c r="E7" s="19" t="s">
        <v>163</v>
      </c>
      <c r="F7" s="19" t="s">
        <v>118</v>
      </c>
      <c r="G7" s="19" t="s">
        <v>164</v>
      </c>
      <c r="H7" s="76">
        <v>46202</v>
      </c>
      <c r="I7" s="19" t="s">
        <v>105</v>
      </c>
      <c r="J7" s="19" t="s">
        <v>1553</v>
      </c>
      <c r="K7" s="19" t="s">
        <v>1127</v>
      </c>
      <c r="L7" s="19" t="s">
        <v>1389</v>
      </c>
      <c r="M7" s="19" t="s">
        <v>1557</v>
      </c>
      <c r="N7" s="19">
        <v>10</v>
      </c>
      <c r="O7" s="19">
        <v>4550</v>
      </c>
      <c r="P7" s="19" t="s">
        <v>1557</v>
      </c>
      <c r="Q7" s="19">
        <v>0</v>
      </c>
      <c r="R7" s="19">
        <v>2.5</v>
      </c>
      <c r="S7" s="19">
        <v>113.75</v>
      </c>
      <c r="T7" s="19">
        <v>2.5</v>
      </c>
      <c r="U7" s="19">
        <v>113.75</v>
      </c>
      <c r="V7" s="19">
        <v>0</v>
      </c>
      <c r="W7" s="19">
        <v>0</v>
      </c>
      <c r="X7" s="19">
        <v>0</v>
      </c>
      <c r="Y7" s="19">
        <v>227.5</v>
      </c>
      <c r="Z7" s="19">
        <v>0</v>
      </c>
      <c r="AA7" s="19" t="s">
        <v>166</v>
      </c>
      <c r="AB7" s="19" t="s">
        <v>1555</v>
      </c>
      <c r="AC7" s="19">
        <v>845290</v>
      </c>
      <c r="AD7" s="19" t="s">
        <v>1092</v>
      </c>
      <c r="AE7" s="19">
        <v>1</v>
      </c>
      <c r="AF7" s="19">
        <v>0</v>
      </c>
      <c r="AG7" s="19" t="s">
        <v>1093</v>
      </c>
      <c r="AH7" s="19" t="s">
        <v>2319</v>
      </c>
    </row>
    <row r="8" spans="2:37" hidden="1" x14ac:dyDescent="0.35">
      <c r="B8" s="76">
        <v>46204</v>
      </c>
      <c r="C8" s="19" t="s">
        <v>165</v>
      </c>
      <c r="D8" s="19" t="s">
        <v>126</v>
      </c>
      <c r="E8" s="19" t="s">
        <v>163</v>
      </c>
      <c r="F8" s="19" t="s">
        <v>118</v>
      </c>
      <c r="G8" s="19" t="s">
        <v>164</v>
      </c>
      <c r="H8" s="76">
        <v>46202</v>
      </c>
      <c r="I8" s="19" t="s">
        <v>105</v>
      </c>
      <c r="J8" s="19" t="s">
        <v>1553</v>
      </c>
      <c r="K8" s="19" t="s">
        <v>1127</v>
      </c>
      <c r="L8" s="19" t="s">
        <v>1389</v>
      </c>
      <c r="M8" s="19" t="s">
        <v>1558</v>
      </c>
      <c r="N8" s="19">
        <v>5</v>
      </c>
      <c r="O8" s="19">
        <v>2100</v>
      </c>
      <c r="P8" s="19" t="s">
        <v>1558</v>
      </c>
      <c r="Q8" s="19">
        <v>0</v>
      </c>
      <c r="R8" s="19">
        <v>2.5</v>
      </c>
      <c r="S8" s="19">
        <v>75</v>
      </c>
      <c r="T8" s="19">
        <v>2.5</v>
      </c>
      <c r="U8" s="19">
        <v>75</v>
      </c>
      <c r="V8" s="19">
        <v>0</v>
      </c>
      <c r="W8" s="19">
        <v>0</v>
      </c>
      <c r="X8" s="19">
        <v>0</v>
      </c>
      <c r="Y8" s="19">
        <v>150</v>
      </c>
      <c r="Z8" s="19">
        <v>0</v>
      </c>
      <c r="AA8" s="19" t="s">
        <v>166</v>
      </c>
      <c r="AB8" s="19" t="s">
        <v>1555</v>
      </c>
      <c r="AC8" s="19">
        <v>84529099</v>
      </c>
      <c r="AD8" s="19" t="s">
        <v>1092</v>
      </c>
      <c r="AE8" s="19">
        <v>1</v>
      </c>
      <c r="AF8" s="19">
        <v>0</v>
      </c>
      <c r="AG8" s="19" t="s">
        <v>1093</v>
      </c>
      <c r="AH8" s="19" t="s">
        <v>2319</v>
      </c>
    </row>
    <row r="9" spans="2:37" x14ac:dyDescent="0.35">
      <c r="B9" s="76">
        <v>46204</v>
      </c>
      <c r="C9" s="19" t="s">
        <v>178</v>
      </c>
      <c r="D9" s="19" t="s">
        <v>173</v>
      </c>
      <c r="E9" s="19" t="s">
        <v>176</v>
      </c>
      <c r="F9" s="19" t="s">
        <v>123</v>
      </c>
      <c r="G9" s="19" t="s">
        <v>177</v>
      </c>
      <c r="H9" s="76">
        <v>46203</v>
      </c>
      <c r="I9" s="19" t="s">
        <v>36</v>
      </c>
      <c r="J9" s="19" t="s">
        <v>1117</v>
      </c>
      <c r="K9" s="19" t="s">
        <v>44</v>
      </c>
      <c r="L9" s="19" t="s">
        <v>1118</v>
      </c>
      <c r="M9" s="19" t="s">
        <v>1119</v>
      </c>
      <c r="N9" s="19">
        <v>317</v>
      </c>
      <c r="O9" s="19">
        <v>70342.3</v>
      </c>
      <c r="P9" s="19" t="s">
        <v>1119</v>
      </c>
      <c r="Q9" s="19">
        <v>1084907.0900000001</v>
      </c>
      <c r="R9" s="19">
        <v>9</v>
      </c>
      <c r="S9" s="19">
        <v>6330.81</v>
      </c>
      <c r="T9" s="19">
        <v>9</v>
      </c>
      <c r="U9" s="19">
        <v>6330.81</v>
      </c>
      <c r="V9" s="19">
        <v>0</v>
      </c>
      <c r="W9" s="19">
        <v>0</v>
      </c>
      <c r="X9" s="19">
        <v>0</v>
      </c>
      <c r="Y9" s="19">
        <v>12661.62</v>
      </c>
      <c r="Z9" s="19">
        <v>0</v>
      </c>
      <c r="AA9" s="19" t="s">
        <v>179</v>
      </c>
      <c r="AB9" s="19" t="s">
        <v>1289</v>
      </c>
      <c r="AC9" s="19">
        <v>39269080</v>
      </c>
      <c r="AD9" s="19" t="s">
        <v>1092</v>
      </c>
      <c r="AE9" s="19">
        <v>1</v>
      </c>
      <c r="AF9" s="19">
        <v>317</v>
      </c>
      <c r="AG9" s="19" t="s">
        <v>1093</v>
      </c>
      <c r="AH9" s="19" t="s">
        <v>44</v>
      </c>
    </row>
    <row r="10" spans="2:37" x14ac:dyDescent="0.35">
      <c r="B10" s="76">
        <v>46204</v>
      </c>
      <c r="C10" s="19" t="s">
        <v>178</v>
      </c>
      <c r="D10" s="19" t="s">
        <v>173</v>
      </c>
      <c r="E10" s="19" t="s">
        <v>176</v>
      </c>
      <c r="F10" s="19" t="s">
        <v>123</v>
      </c>
      <c r="G10" s="19" t="s">
        <v>177</v>
      </c>
      <c r="H10" s="76">
        <v>46203</v>
      </c>
      <c r="I10" s="19" t="s">
        <v>36</v>
      </c>
      <c r="J10" s="19" t="s">
        <v>1117</v>
      </c>
      <c r="K10" s="19" t="s">
        <v>44</v>
      </c>
      <c r="L10" s="19" t="s">
        <v>1118</v>
      </c>
      <c r="M10" s="19" t="s">
        <v>1119</v>
      </c>
      <c r="N10" s="19">
        <v>629</v>
      </c>
      <c r="O10" s="19">
        <v>100577.1</v>
      </c>
      <c r="P10" s="19" t="s">
        <v>1119</v>
      </c>
      <c r="Q10" s="19">
        <v>0</v>
      </c>
      <c r="R10" s="19">
        <v>9</v>
      </c>
      <c r="S10" s="19">
        <v>9051.94</v>
      </c>
      <c r="T10" s="19">
        <v>9</v>
      </c>
      <c r="U10" s="19">
        <v>9051.94</v>
      </c>
      <c r="V10" s="19">
        <v>0</v>
      </c>
      <c r="W10" s="19">
        <v>0</v>
      </c>
      <c r="X10" s="19">
        <v>0</v>
      </c>
      <c r="Y10" s="19">
        <v>18103.88</v>
      </c>
      <c r="Z10" s="19">
        <v>0</v>
      </c>
      <c r="AA10" s="19" t="s">
        <v>179</v>
      </c>
      <c r="AB10" s="19" t="s">
        <v>1289</v>
      </c>
      <c r="AC10" s="19">
        <v>39269080</v>
      </c>
      <c r="AD10" s="19" t="s">
        <v>1092</v>
      </c>
      <c r="AE10" s="19">
        <v>1</v>
      </c>
      <c r="AF10" s="19">
        <v>629</v>
      </c>
      <c r="AG10" s="19" t="s">
        <v>1093</v>
      </c>
      <c r="AH10" s="19" t="s">
        <v>44</v>
      </c>
    </row>
    <row r="11" spans="2:37" x14ac:dyDescent="0.35">
      <c r="B11" s="76">
        <v>46204</v>
      </c>
      <c r="C11" s="19" t="s">
        <v>178</v>
      </c>
      <c r="D11" s="19" t="s">
        <v>173</v>
      </c>
      <c r="E11" s="19" t="s">
        <v>176</v>
      </c>
      <c r="F11" s="19" t="s">
        <v>123</v>
      </c>
      <c r="G11" s="19" t="s">
        <v>177</v>
      </c>
      <c r="H11" s="76">
        <v>46203</v>
      </c>
      <c r="I11" s="19" t="s">
        <v>36</v>
      </c>
      <c r="J11" s="19" t="s">
        <v>1117</v>
      </c>
      <c r="K11" s="19" t="s">
        <v>44</v>
      </c>
      <c r="L11" s="19" t="s">
        <v>1118</v>
      </c>
      <c r="M11" s="19" t="s">
        <v>1119</v>
      </c>
      <c r="N11" s="19">
        <v>4628</v>
      </c>
      <c r="O11" s="19">
        <v>749273.2</v>
      </c>
      <c r="P11" s="19" t="s">
        <v>1119</v>
      </c>
      <c r="Q11" s="19">
        <v>0</v>
      </c>
      <c r="R11" s="19">
        <v>9</v>
      </c>
      <c r="S11" s="19">
        <v>67434.59</v>
      </c>
      <c r="T11" s="19">
        <v>9</v>
      </c>
      <c r="U11" s="19">
        <v>67434.59</v>
      </c>
      <c r="V11" s="19">
        <v>0</v>
      </c>
      <c r="W11" s="19">
        <v>0</v>
      </c>
      <c r="X11" s="19">
        <v>0</v>
      </c>
      <c r="Y11" s="19">
        <v>134869.18</v>
      </c>
      <c r="Z11" s="19">
        <v>0</v>
      </c>
      <c r="AA11" s="19" t="s">
        <v>179</v>
      </c>
      <c r="AB11" s="19" t="s">
        <v>1289</v>
      </c>
      <c r="AC11" s="19">
        <v>39269080</v>
      </c>
      <c r="AD11" s="19" t="s">
        <v>1092</v>
      </c>
      <c r="AE11" s="19">
        <v>1</v>
      </c>
      <c r="AF11" s="19">
        <v>4628</v>
      </c>
      <c r="AG11" s="19" t="s">
        <v>1093</v>
      </c>
      <c r="AH11" s="19" t="s">
        <v>44</v>
      </c>
    </row>
    <row r="12" spans="2:37" x14ac:dyDescent="0.35">
      <c r="B12" s="76">
        <v>46204</v>
      </c>
      <c r="C12" s="19" t="s">
        <v>178</v>
      </c>
      <c r="D12" s="19" t="s">
        <v>173</v>
      </c>
      <c r="E12" s="19" t="s">
        <v>182</v>
      </c>
      <c r="F12" s="19" t="s">
        <v>123</v>
      </c>
      <c r="G12" s="19" t="s">
        <v>183</v>
      </c>
      <c r="H12" s="76">
        <v>46204</v>
      </c>
      <c r="I12" s="19" t="s">
        <v>36</v>
      </c>
      <c r="J12" s="19" t="s">
        <v>1117</v>
      </c>
      <c r="K12" s="19" t="s">
        <v>44</v>
      </c>
      <c r="L12" s="19" t="s">
        <v>1118</v>
      </c>
      <c r="M12" s="19" t="s">
        <v>1119</v>
      </c>
      <c r="N12" s="19">
        <v>657</v>
      </c>
      <c r="O12" s="19">
        <v>106368.3</v>
      </c>
      <c r="P12" s="19" t="s">
        <v>1119</v>
      </c>
      <c r="Q12" s="19">
        <v>545314.62</v>
      </c>
      <c r="R12" s="19">
        <v>9</v>
      </c>
      <c r="S12" s="19">
        <v>9573.15</v>
      </c>
      <c r="T12" s="19">
        <v>9</v>
      </c>
      <c r="U12" s="19">
        <v>9573.15</v>
      </c>
      <c r="V12" s="19">
        <v>0</v>
      </c>
      <c r="W12" s="19">
        <v>0</v>
      </c>
      <c r="X12" s="19">
        <v>0</v>
      </c>
      <c r="Y12" s="19">
        <v>19146.3</v>
      </c>
      <c r="Z12" s="19">
        <v>0</v>
      </c>
      <c r="AA12" s="19" t="s">
        <v>179</v>
      </c>
      <c r="AB12" s="19" t="s">
        <v>1289</v>
      </c>
      <c r="AC12" s="19">
        <v>39269080</v>
      </c>
      <c r="AD12" s="19" t="s">
        <v>1092</v>
      </c>
      <c r="AE12" s="19">
        <v>1</v>
      </c>
      <c r="AF12" s="19">
        <v>657</v>
      </c>
      <c r="AG12" s="19" t="s">
        <v>1093</v>
      </c>
      <c r="AH12" s="19" t="s">
        <v>44</v>
      </c>
    </row>
    <row r="13" spans="2:37" x14ac:dyDescent="0.35">
      <c r="B13" s="76">
        <v>46204</v>
      </c>
      <c r="C13" s="19" t="s">
        <v>178</v>
      </c>
      <c r="D13" s="19" t="s">
        <v>173</v>
      </c>
      <c r="E13" s="19" t="s">
        <v>182</v>
      </c>
      <c r="F13" s="19" t="s">
        <v>123</v>
      </c>
      <c r="G13" s="19" t="s">
        <v>183</v>
      </c>
      <c r="H13" s="76">
        <v>46204</v>
      </c>
      <c r="I13" s="19" t="s">
        <v>36</v>
      </c>
      <c r="J13" s="19" t="s">
        <v>1117</v>
      </c>
      <c r="K13" s="19" t="s">
        <v>42</v>
      </c>
      <c r="L13" s="19" t="s">
        <v>1242</v>
      </c>
      <c r="M13" s="19" t="s">
        <v>1154</v>
      </c>
      <c r="N13" s="19">
        <v>2173</v>
      </c>
      <c r="O13" s="19">
        <v>356154.7</v>
      </c>
      <c r="P13" s="19" t="s">
        <v>1154</v>
      </c>
      <c r="Q13" s="19">
        <v>0</v>
      </c>
      <c r="R13" s="19">
        <v>9</v>
      </c>
      <c r="S13" s="19">
        <v>32053.919999999998</v>
      </c>
      <c r="T13" s="19">
        <v>9</v>
      </c>
      <c r="U13" s="19">
        <v>32053.919999999998</v>
      </c>
      <c r="V13" s="19">
        <v>0</v>
      </c>
      <c r="W13" s="19">
        <v>0</v>
      </c>
      <c r="X13" s="19">
        <v>0</v>
      </c>
      <c r="Y13" s="19">
        <v>64107.839999999997</v>
      </c>
      <c r="Z13" s="19">
        <v>0</v>
      </c>
      <c r="AA13" s="19" t="s">
        <v>179</v>
      </c>
      <c r="AB13" s="19" t="s">
        <v>1289</v>
      </c>
      <c r="AC13" s="19">
        <v>63053300</v>
      </c>
      <c r="AD13" s="19" t="s">
        <v>1092</v>
      </c>
      <c r="AE13" s="19">
        <v>1</v>
      </c>
      <c r="AF13" s="19">
        <v>2173</v>
      </c>
      <c r="AG13" s="19" t="s">
        <v>1093</v>
      </c>
      <c r="AH13" s="19" t="s">
        <v>42</v>
      </c>
    </row>
    <row r="14" spans="2:37" hidden="1" x14ac:dyDescent="0.35">
      <c r="B14" s="76">
        <v>46204</v>
      </c>
      <c r="C14" s="19" t="s">
        <v>141</v>
      </c>
      <c r="D14" s="19" t="s">
        <v>126</v>
      </c>
      <c r="E14" s="19" t="s">
        <v>139</v>
      </c>
      <c r="F14" s="19" t="s">
        <v>119</v>
      </c>
      <c r="G14" s="19" t="s">
        <v>140</v>
      </c>
      <c r="H14" s="76">
        <v>46203</v>
      </c>
      <c r="I14" s="19" t="s">
        <v>101</v>
      </c>
      <c r="J14" s="19" t="s">
        <v>1559</v>
      </c>
      <c r="K14" s="19" t="s">
        <v>1509</v>
      </c>
      <c r="L14" s="19" t="s">
        <v>1509</v>
      </c>
      <c r="M14" s="19" t="s">
        <v>1560</v>
      </c>
      <c r="N14" s="19">
        <v>1845</v>
      </c>
      <c r="O14" s="19">
        <v>66420</v>
      </c>
      <c r="P14" s="19" t="s">
        <v>1560</v>
      </c>
      <c r="Q14" s="19">
        <v>78376</v>
      </c>
      <c r="R14" s="19">
        <v>9</v>
      </c>
      <c r="S14" s="19">
        <v>5977.8</v>
      </c>
      <c r="T14" s="19">
        <v>9</v>
      </c>
      <c r="U14" s="19">
        <v>5977.8</v>
      </c>
      <c r="V14" s="19">
        <v>0</v>
      </c>
      <c r="W14" s="19">
        <v>0</v>
      </c>
      <c r="X14" s="19">
        <v>0</v>
      </c>
      <c r="Y14" s="19">
        <v>11955.6</v>
      </c>
      <c r="Z14" s="19">
        <v>0</v>
      </c>
      <c r="AA14" s="19" t="s">
        <v>142</v>
      </c>
      <c r="AB14" s="19" t="s">
        <v>1289</v>
      </c>
      <c r="AC14" s="19">
        <v>482290</v>
      </c>
      <c r="AD14" s="19" t="s">
        <v>1092</v>
      </c>
      <c r="AE14" s="19">
        <v>1</v>
      </c>
      <c r="AF14" s="19">
        <v>0</v>
      </c>
      <c r="AG14" s="19" t="s">
        <v>1093</v>
      </c>
      <c r="AH14" s="19" t="s">
        <v>2319</v>
      </c>
    </row>
    <row r="15" spans="2:37" hidden="1" x14ac:dyDescent="0.35">
      <c r="B15" s="76">
        <v>46204</v>
      </c>
      <c r="C15" s="19" t="s">
        <v>157</v>
      </c>
      <c r="D15" s="19" t="s">
        <v>126</v>
      </c>
      <c r="E15" s="19" t="s">
        <v>155</v>
      </c>
      <c r="F15" s="19" t="s">
        <v>121</v>
      </c>
      <c r="G15" s="19" t="s">
        <v>156</v>
      </c>
      <c r="H15" s="76">
        <v>46199</v>
      </c>
      <c r="I15" s="19" t="s">
        <v>105</v>
      </c>
      <c r="J15" s="19" t="s">
        <v>1561</v>
      </c>
      <c r="K15" s="19" t="s">
        <v>1127</v>
      </c>
      <c r="L15" s="19" t="s">
        <v>1389</v>
      </c>
      <c r="M15" s="19" t="s">
        <v>1562</v>
      </c>
      <c r="N15" s="19">
        <v>1</v>
      </c>
      <c r="O15" s="19">
        <v>11875</v>
      </c>
      <c r="P15" s="19" t="s">
        <v>1562</v>
      </c>
      <c r="Q15" s="19">
        <v>26985.42</v>
      </c>
      <c r="R15" s="19">
        <v>0</v>
      </c>
      <c r="S15" s="19">
        <v>0</v>
      </c>
      <c r="T15" s="19">
        <v>0</v>
      </c>
      <c r="U15" s="19">
        <v>0</v>
      </c>
      <c r="V15" s="19">
        <v>18</v>
      </c>
      <c r="W15" s="19">
        <v>2137.5</v>
      </c>
      <c r="X15" s="19">
        <v>166.32</v>
      </c>
      <c r="Y15" s="19">
        <v>2303.8200000000002</v>
      </c>
      <c r="Z15" s="19">
        <v>0</v>
      </c>
      <c r="AA15" s="19" t="s">
        <v>158</v>
      </c>
      <c r="AB15" s="19" t="s">
        <v>1555</v>
      </c>
      <c r="AC15" s="19">
        <v>84799090</v>
      </c>
      <c r="AD15" s="19" t="s">
        <v>1092</v>
      </c>
      <c r="AE15" s="19">
        <v>1</v>
      </c>
      <c r="AF15" s="19">
        <v>0</v>
      </c>
      <c r="AG15" s="19" t="s">
        <v>1093</v>
      </c>
      <c r="AH15" s="19" t="s">
        <v>2319</v>
      </c>
    </row>
    <row r="16" spans="2:37" hidden="1" x14ac:dyDescent="0.35">
      <c r="B16" s="76">
        <v>46204</v>
      </c>
      <c r="C16" s="19" t="s">
        <v>157</v>
      </c>
      <c r="D16" s="19" t="s">
        <v>126</v>
      </c>
      <c r="E16" s="19" t="s">
        <v>155</v>
      </c>
      <c r="F16" s="19" t="s">
        <v>121</v>
      </c>
      <c r="G16" s="19" t="s">
        <v>156</v>
      </c>
      <c r="H16" s="76">
        <v>46199</v>
      </c>
      <c r="I16" s="19" t="s">
        <v>105</v>
      </c>
      <c r="J16" s="19" t="s">
        <v>1561</v>
      </c>
      <c r="K16" s="19" t="s">
        <v>1127</v>
      </c>
      <c r="L16" s="19" t="s">
        <v>1389</v>
      </c>
      <c r="M16" s="19" t="s">
        <v>1563</v>
      </c>
      <c r="N16" s="19">
        <v>1</v>
      </c>
      <c r="O16" s="19">
        <v>10070</v>
      </c>
      <c r="P16" s="19" t="s">
        <v>1563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18</v>
      </c>
      <c r="W16" s="19">
        <v>1812.6</v>
      </c>
      <c r="X16" s="19">
        <v>166.32</v>
      </c>
      <c r="Y16" s="19">
        <v>1978.9199999999998</v>
      </c>
      <c r="Z16" s="19">
        <v>0</v>
      </c>
      <c r="AA16" s="19" t="s">
        <v>158</v>
      </c>
      <c r="AB16" s="19" t="s">
        <v>1555</v>
      </c>
      <c r="AC16" s="19">
        <v>84799090</v>
      </c>
      <c r="AD16" s="19" t="s">
        <v>1092</v>
      </c>
      <c r="AE16" s="19">
        <v>1</v>
      </c>
      <c r="AF16" s="19">
        <v>0</v>
      </c>
      <c r="AG16" s="19" t="s">
        <v>1093</v>
      </c>
      <c r="AH16" s="19" t="s">
        <v>2319</v>
      </c>
    </row>
    <row r="17" spans="2:34" x14ac:dyDescent="0.35">
      <c r="B17" s="76">
        <v>46204</v>
      </c>
      <c r="C17" s="19" t="s">
        <v>186</v>
      </c>
      <c r="D17" s="19" t="s">
        <v>173</v>
      </c>
      <c r="E17" s="19" t="s">
        <v>184</v>
      </c>
      <c r="F17" s="19" t="s">
        <v>123</v>
      </c>
      <c r="G17" s="19" t="s">
        <v>185</v>
      </c>
      <c r="H17" s="76">
        <v>46203</v>
      </c>
      <c r="I17" s="19" t="s">
        <v>36</v>
      </c>
      <c r="J17" s="19" t="s">
        <v>1087</v>
      </c>
      <c r="K17" s="19" t="s">
        <v>46</v>
      </c>
      <c r="L17" s="19" t="s">
        <v>1213</v>
      </c>
      <c r="M17" s="19" t="s">
        <v>1564</v>
      </c>
      <c r="N17" s="19">
        <v>144.96</v>
      </c>
      <c r="O17" s="19">
        <v>29716.075199999999</v>
      </c>
      <c r="P17" s="19" t="s">
        <v>1564</v>
      </c>
      <c r="Q17" s="19">
        <v>31202</v>
      </c>
      <c r="R17" s="19">
        <v>2.5</v>
      </c>
      <c r="S17" s="19">
        <v>742.9</v>
      </c>
      <c r="T17" s="19">
        <v>2.5</v>
      </c>
      <c r="U17" s="19">
        <v>742.9</v>
      </c>
      <c r="V17" s="19">
        <v>0</v>
      </c>
      <c r="W17" s="19">
        <v>0</v>
      </c>
      <c r="X17" s="19">
        <v>0</v>
      </c>
      <c r="Y17" s="19">
        <v>1485.8</v>
      </c>
      <c r="Z17" s="19">
        <v>0</v>
      </c>
      <c r="AA17" s="19" t="s">
        <v>187</v>
      </c>
      <c r="AB17" s="19" t="s">
        <v>1289</v>
      </c>
      <c r="AC17" s="19">
        <v>12345678</v>
      </c>
      <c r="AD17" s="19" t="s">
        <v>1092</v>
      </c>
      <c r="AE17" s="19">
        <v>1</v>
      </c>
      <c r="AF17" s="19">
        <v>144.96</v>
      </c>
      <c r="AG17" s="19" t="s">
        <v>1093</v>
      </c>
      <c r="AH17" s="19" t="s">
        <v>46</v>
      </c>
    </row>
    <row r="18" spans="2:34" hidden="1" x14ac:dyDescent="0.35">
      <c r="B18" s="76">
        <v>46204</v>
      </c>
      <c r="C18" s="19" t="s">
        <v>149</v>
      </c>
      <c r="D18" s="19" t="s">
        <v>126</v>
      </c>
      <c r="E18" s="19" t="s">
        <v>147</v>
      </c>
      <c r="F18" s="19" t="s">
        <v>121</v>
      </c>
      <c r="G18" s="19" t="s">
        <v>148</v>
      </c>
      <c r="H18" s="76">
        <v>46202</v>
      </c>
      <c r="I18" s="19" t="s">
        <v>101</v>
      </c>
      <c r="J18" s="19" t="s">
        <v>1508</v>
      </c>
      <c r="K18" s="19" t="s">
        <v>1509</v>
      </c>
      <c r="L18" s="19" t="s">
        <v>1509</v>
      </c>
      <c r="M18" s="19" t="s">
        <v>1565</v>
      </c>
      <c r="N18" s="19">
        <v>200</v>
      </c>
      <c r="O18" s="19">
        <v>14000</v>
      </c>
      <c r="P18" s="19" t="s">
        <v>1565</v>
      </c>
      <c r="Q18" s="19">
        <v>16520</v>
      </c>
      <c r="R18" s="19">
        <v>0</v>
      </c>
      <c r="S18" s="19">
        <v>0</v>
      </c>
      <c r="T18" s="19">
        <v>0</v>
      </c>
      <c r="U18" s="19">
        <v>0</v>
      </c>
      <c r="V18" s="19">
        <v>18</v>
      </c>
      <c r="W18" s="19">
        <v>2520</v>
      </c>
      <c r="X18" s="19">
        <v>0</v>
      </c>
      <c r="Y18" s="19">
        <v>2520</v>
      </c>
      <c r="Z18" s="19">
        <v>0</v>
      </c>
      <c r="AA18" s="19" t="s">
        <v>150</v>
      </c>
      <c r="AB18" s="19" t="s">
        <v>1555</v>
      </c>
      <c r="AC18" s="19">
        <v>84799090</v>
      </c>
      <c r="AD18" s="19" t="s">
        <v>1092</v>
      </c>
      <c r="AE18" s="19">
        <v>1</v>
      </c>
      <c r="AF18" s="19">
        <v>0</v>
      </c>
      <c r="AG18" s="19" t="s">
        <v>1093</v>
      </c>
      <c r="AH18" s="19" t="s">
        <v>2319</v>
      </c>
    </row>
    <row r="19" spans="2:34" hidden="1" x14ac:dyDescent="0.35">
      <c r="B19" s="76">
        <v>46204</v>
      </c>
      <c r="C19" s="19" t="s">
        <v>138</v>
      </c>
      <c r="D19" s="19" t="s">
        <v>126</v>
      </c>
      <c r="E19" s="19" t="s">
        <v>136</v>
      </c>
      <c r="F19" s="19" t="s">
        <v>119</v>
      </c>
      <c r="G19" s="19" t="s">
        <v>137</v>
      </c>
      <c r="H19" s="76">
        <v>46203</v>
      </c>
      <c r="I19" s="19" t="s">
        <v>105</v>
      </c>
      <c r="J19" s="19" t="s">
        <v>1142</v>
      </c>
      <c r="K19" s="19" t="s">
        <v>1509</v>
      </c>
      <c r="L19" s="19" t="s">
        <v>1509</v>
      </c>
      <c r="M19" s="19" t="s">
        <v>1196</v>
      </c>
      <c r="N19" s="19">
        <v>215</v>
      </c>
      <c r="O19" s="19">
        <v>10320</v>
      </c>
      <c r="P19" s="19" t="s">
        <v>1196</v>
      </c>
      <c r="Q19" s="19">
        <v>12167.28</v>
      </c>
      <c r="R19" s="19">
        <v>9</v>
      </c>
      <c r="S19" s="19">
        <v>928.8</v>
      </c>
      <c r="T19" s="19">
        <v>9</v>
      </c>
      <c r="U19" s="19">
        <v>928.8</v>
      </c>
      <c r="V19" s="19">
        <v>0</v>
      </c>
      <c r="W19" s="19">
        <v>0</v>
      </c>
      <c r="X19" s="19">
        <v>0</v>
      </c>
      <c r="Y19" s="19">
        <v>1857.6</v>
      </c>
      <c r="Z19" s="19">
        <v>0</v>
      </c>
      <c r="AA19" s="19" t="s">
        <v>135</v>
      </c>
      <c r="AB19" s="19" t="s">
        <v>1289</v>
      </c>
      <c r="AC19" s="19">
        <v>73063090</v>
      </c>
      <c r="AD19" s="19" t="s">
        <v>1092</v>
      </c>
      <c r="AE19" s="19">
        <v>1</v>
      </c>
      <c r="AF19" s="19">
        <v>0</v>
      </c>
      <c r="AG19" s="19" t="s">
        <v>1093</v>
      </c>
      <c r="AH19" s="19" t="s">
        <v>2319</v>
      </c>
    </row>
    <row r="20" spans="2:34" x14ac:dyDescent="0.35">
      <c r="B20" s="76">
        <v>46204</v>
      </c>
      <c r="C20" s="19" t="s">
        <v>138</v>
      </c>
      <c r="D20" s="19" t="s">
        <v>173</v>
      </c>
      <c r="E20" s="19" t="s">
        <v>171</v>
      </c>
      <c r="F20" s="19" t="s">
        <v>123</v>
      </c>
      <c r="G20" s="19" t="s">
        <v>172</v>
      </c>
      <c r="H20" s="76">
        <v>46203</v>
      </c>
      <c r="I20" s="19" t="s">
        <v>36</v>
      </c>
      <c r="J20" s="19" t="s">
        <v>1350</v>
      </c>
      <c r="K20" s="19" t="s">
        <v>39</v>
      </c>
      <c r="L20" s="19" t="s">
        <v>1351</v>
      </c>
      <c r="M20" s="19" t="s">
        <v>1352</v>
      </c>
      <c r="N20" s="19">
        <v>319</v>
      </c>
      <c r="O20" s="19">
        <v>59062.85</v>
      </c>
      <c r="P20" s="19" t="s">
        <v>1352</v>
      </c>
      <c r="Q20" s="19">
        <v>69635.11</v>
      </c>
      <c r="R20" s="19">
        <v>9</v>
      </c>
      <c r="S20" s="19">
        <v>5315.66</v>
      </c>
      <c r="T20" s="19">
        <v>9</v>
      </c>
      <c r="U20" s="19">
        <v>5315.66</v>
      </c>
      <c r="V20" s="19">
        <v>0</v>
      </c>
      <c r="W20" s="19">
        <v>0</v>
      </c>
      <c r="X20" s="19">
        <v>0</v>
      </c>
      <c r="Y20" s="19">
        <v>10631.32</v>
      </c>
      <c r="Z20" s="19">
        <v>0</v>
      </c>
      <c r="AA20" s="19" t="s">
        <v>135</v>
      </c>
      <c r="AB20" s="19" t="s">
        <v>1289</v>
      </c>
      <c r="AC20" s="19">
        <v>39200000</v>
      </c>
      <c r="AD20" s="19" t="s">
        <v>1092</v>
      </c>
      <c r="AE20" s="19">
        <v>1</v>
      </c>
      <c r="AF20" s="19">
        <v>319</v>
      </c>
      <c r="AG20" s="19" t="s">
        <v>1093</v>
      </c>
      <c r="AH20" s="19" t="s">
        <v>39</v>
      </c>
    </row>
    <row r="21" spans="2:34" x14ac:dyDescent="0.35">
      <c r="B21" s="76">
        <v>46204</v>
      </c>
      <c r="C21" s="19" t="s">
        <v>138</v>
      </c>
      <c r="D21" s="19" t="s">
        <v>173</v>
      </c>
      <c r="E21" s="19" t="s">
        <v>174</v>
      </c>
      <c r="F21" s="19" t="s">
        <v>123</v>
      </c>
      <c r="G21" s="19" t="s">
        <v>175</v>
      </c>
      <c r="H21" s="76">
        <v>46203</v>
      </c>
      <c r="I21" s="19" t="s">
        <v>36</v>
      </c>
      <c r="J21" s="19" t="s">
        <v>1117</v>
      </c>
      <c r="K21" s="19" t="s">
        <v>44</v>
      </c>
      <c r="L21" s="19" t="s">
        <v>1118</v>
      </c>
      <c r="M21" s="19" t="s">
        <v>1119</v>
      </c>
      <c r="N21" s="19">
        <v>200</v>
      </c>
      <c r="O21" s="19">
        <v>79000</v>
      </c>
      <c r="P21" s="19" t="s">
        <v>1119</v>
      </c>
      <c r="Q21" s="19">
        <v>93141</v>
      </c>
      <c r="R21" s="19">
        <v>9</v>
      </c>
      <c r="S21" s="19">
        <v>7110</v>
      </c>
      <c r="T21" s="19">
        <v>9</v>
      </c>
      <c r="U21" s="19">
        <v>7110</v>
      </c>
      <c r="V21" s="19">
        <v>0</v>
      </c>
      <c r="W21" s="19">
        <v>0</v>
      </c>
      <c r="X21" s="19">
        <v>0</v>
      </c>
      <c r="Y21" s="19">
        <v>14220</v>
      </c>
      <c r="Z21" s="19">
        <v>0</v>
      </c>
      <c r="AA21" s="19" t="s">
        <v>135</v>
      </c>
      <c r="AB21" s="19" t="s">
        <v>1289</v>
      </c>
      <c r="AC21" s="19">
        <v>39269080</v>
      </c>
      <c r="AD21" s="19" t="s">
        <v>1092</v>
      </c>
      <c r="AE21" s="19">
        <v>1</v>
      </c>
      <c r="AF21" s="19">
        <v>200</v>
      </c>
      <c r="AG21" s="19" t="s">
        <v>1093</v>
      </c>
      <c r="AH21" s="19" t="s">
        <v>44</v>
      </c>
    </row>
    <row r="22" spans="2:34" hidden="1" x14ac:dyDescent="0.35">
      <c r="B22" s="76">
        <v>46204</v>
      </c>
      <c r="C22" s="19" t="s">
        <v>134</v>
      </c>
      <c r="D22" s="19" t="s">
        <v>126</v>
      </c>
      <c r="E22" s="19" t="s">
        <v>132</v>
      </c>
      <c r="F22" s="19" t="s">
        <v>119</v>
      </c>
      <c r="G22" s="19" t="s">
        <v>133</v>
      </c>
      <c r="H22" s="76">
        <v>46203</v>
      </c>
      <c r="I22" s="19" t="s">
        <v>105</v>
      </c>
      <c r="J22" s="19" t="s">
        <v>1142</v>
      </c>
      <c r="K22" s="19" t="s">
        <v>1509</v>
      </c>
      <c r="L22" s="19" t="s">
        <v>1509</v>
      </c>
      <c r="M22" s="19" t="s">
        <v>1145</v>
      </c>
      <c r="N22" s="19">
        <v>79</v>
      </c>
      <c r="O22" s="19">
        <v>3792</v>
      </c>
      <c r="P22" s="19" t="s">
        <v>1145</v>
      </c>
      <c r="Q22" s="19">
        <v>4470.7700000000004</v>
      </c>
      <c r="R22" s="19">
        <v>9</v>
      </c>
      <c r="S22" s="19">
        <v>341.28</v>
      </c>
      <c r="T22" s="19">
        <v>9</v>
      </c>
      <c r="U22" s="19">
        <v>341.28</v>
      </c>
      <c r="V22" s="19">
        <v>0</v>
      </c>
      <c r="W22" s="19">
        <v>0</v>
      </c>
      <c r="X22" s="19">
        <v>0</v>
      </c>
      <c r="Y22" s="19">
        <v>682.56</v>
      </c>
      <c r="Z22" s="19">
        <v>0</v>
      </c>
      <c r="AA22" s="19" t="s">
        <v>135</v>
      </c>
      <c r="AB22" s="19" t="s">
        <v>1091</v>
      </c>
      <c r="AC22" s="19">
        <v>7306309</v>
      </c>
      <c r="AD22" s="19" t="s">
        <v>1092</v>
      </c>
      <c r="AE22" s="19">
        <v>1</v>
      </c>
      <c r="AF22" s="19">
        <v>0</v>
      </c>
      <c r="AG22" s="19" t="s">
        <v>1093</v>
      </c>
      <c r="AH22" s="19" t="s">
        <v>2319</v>
      </c>
    </row>
    <row r="23" spans="2:34" x14ac:dyDescent="0.35">
      <c r="B23" s="76">
        <v>46204</v>
      </c>
      <c r="C23" s="19" t="s">
        <v>134</v>
      </c>
      <c r="D23" s="19" t="s">
        <v>173</v>
      </c>
      <c r="E23" s="19" t="s">
        <v>180</v>
      </c>
      <c r="F23" s="19" t="s">
        <v>123</v>
      </c>
      <c r="G23" s="19" t="s">
        <v>181</v>
      </c>
      <c r="H23" s="76">
        <v>46203</v>
      </c>
      <c r="I23" s="19" t="s">
        <v>36</v>
      </c>
      <c r="J23" s="19" t="s">
        <v>1117</v>
      </c>
      <c r="K23" s="19" t="s">
        <v>44</v>
      </c>
      <c r="L23" s="19" t="s">
        <v>1118</v>
      </c>
      <c r="M23" s="19" t="s">
        <v>1119</v>
      </c>
      <c r="N23" s="19">
        <v>1647</v>
      </c>
      <c r="O23" s="19">
        <v>175899.6</v>
      </c>
      <c r="P23" s="19" t="s">
        <v>1119</v>
      </c>
      <c r="Q23" s="19">
        <v>612525.63</v>
      </c>
      <c r="R23" s="19">
        <v>9</v>
      </c>
      <c r="S23" s="19">
        <v>15830.96</v>
      </c>
      <c r="T23" s="19">
        <v>9</v>
      </c>
      <c r="U23" s="19">
        <v>15830.96</v>
      </c>
      <c r="V23" s="19">
        <v>0</v>
      </c>
      <c r="W23" s="19">
        <v>0</v>
      </c>
      <c r="X23" s="19">
        <v>0</v>
      </c>
      <c r="Y23" s="19">
        <v>31661.919999999998</v>
      </c>
      <c r="Z23" s="19">
        <v>0</v>
      </c>
      <c r="AA23" s="19" t="s">
        <v>135</v>
      </c>
      <c r="AB23" s="19" t="s">
        <v>1289</v>
      </c>
      <c r="AC23" s="19">
        <v>39269080</v>
      </c>
      <c r="AD23" s="19" t="s">
        <v>1092</v>
      </c>
      <c r="AE23" s="19">
        <v>1</v>
      </c>
      <c r="AF23" s="19">
        <v>1647</v>
      </c>
      <c r="AG23" s="19" t="s">
        <v>1093</v>
      </c>
      <c r="AH23" s="19" t="s">
        <v>44</v>
      </c>
    </row>
    <row r="24" spans="2:34" x14ac:dyDescent="0.35">
      <c r="B24" s="76">
        <v>46204</v>
      </c>
      <c r="C24" s="19" t="s">
        <v>134</v>
      </c>
      <c r="D24" s="19" t="s">
        <v>173</v>
      </c>
      <c r="E24" s="19" t="s">
        <v>180</v>
      </c>
      <c r="F24" s="19" t="s">
        <v>123</v>
      </c>
      <c r="G24" s="19" t="s">
        <v>181</v>
      </c>
      <c r="H24" s="76">
        <v>46203</v>
      </c>
      <c r="I24" s="19" t="s">
        <v>36</v>
      </c>
      <c r="J24" s="19" t="s">
        <v>1117</v>
      </c>
      <c r="K24" s="19" t="s">
        <v>44</v>
      </c>
      <c r="L24" s="19" t="s">
        <v>1118</v>
      </c>
      <c r="M24" s="19" t="s">
        <v>1119</v>
      </c>
      <c r="N24" s="19">
        <v>689</v>
      </c>
      <c r="O24" s="19">
        <v>74825.399999999994</v>
      </c>
      <c r="P24" s="19" t="s">
        <v>1119</v>
      </c>
      <c r="Q24" s="19">
        <v>0</v>
      </c>
      <c r="R24" s="19">
        <v>9</v>
      </c>
      <c r="S24" s="19">
        <v>6734.29</v>
      </c>
      <c r="T24" s="19">
        <v>9</v>
      </c>
      <c r="U24" s="19">
        <v>6734.29</v>
      </c>
      <c r="V24" s="19">
        <v>0</v>
      </c>
      <c r="W24" s="19">
        <v>0</v>
      </c>
      <c r="X24" s="19">
        <v>0</v>
      </c>
      <c r="Y24" s="19">
        <v>13468.58</v>
      </c>
      <c r="Z24" s="19">
        <v>0</v>
      </c>
      <c r="AA24" s="19" t="s">
        <v>135</v>
      </c>
      <c r="AB24" s="19" t="s">
        <v>1289</v>
      </c>
      <c r="AC24" s="19">
        <v>39269080</v>
      </c>
      <c r="AD24" s="19" t="s">
        <v>1092</v>
      </c>
      <c r="AE24" s="19">
        <v>1</v>
      </c>
      <c r="AF24" s="19">
        <v>689</v>
      </c>
      <c r="AG24" s="19" t="s">
        <v>1093</v>
      </c>
      <c r="AH24" s="19" t="s">
        <v>44</v>
      </c>
    </row>
    <row r="25" spans="2:34" x14ac:dyDescent="0.35">
      <c r="B25" s="76">
        <v>46204</v>
      </c>
      <c r="C25" s="19" t="s">
        <v>134</v>
      </c>
      <c r="D25" s="19" t="s">
        <v>173</v>
      </c>
      <c r="E25" s="19" t="s">
        <v>180</v>
      </c>
      <c r="F25" s="19" t="s">
        <v>123</v>
      </c>
      <c r="G25" s="19" t="s">
        <v>181</v>
      </c>
      <c r="H25" s="76">
        <v>46203</v>
      </c>
      <c r="I25" s="19" t="s">
        <v>28</v>
      </c>
      <c r="J25" s="19" t="s">
        <v>1173</v>
      </c>
      <c r="K25" s="19" t="s">
        <v>33</v>
      </c>
      <c r="L25" s="19" t="s">
        <v>1186</v>
      </c>
      <c r="M25" s="19" t="s">
        <v>1566</v>
      </c>
      <c r="N25" s="19">
        <v>100</v>
      </c>
      <c r="O25" s="19">
        <v>15900</v>
      </c>
      <c r="P25" s="19" t="s">
        <v>1566</v>
      </c>
      <c r="Q25" s="19">
        <v>0</v>
      </c>
      <c r="R25" s="19">
        <v>9</v>
      </c>
      <c r="S25" s="19">
        <v>1431</v>
      </c>
      <c r="T25" s="19">
        <v>9</v>
      </c>
      <c r="U25" s="19">
        <v>1431</v>
      </c>
      <c r="V25" s="19">
        <v>0</v>
      </c>
      <c r="W25" s="19">
        <v>0</v>
      </c>
      <c r="X25" s="19">
        <v>0</v>
      </c>
      <c r="Y25" s="19">
        <v>2862</v>
      </c>
      <c r="Z25" s="19">
        <v>0</v>
      </c>
      <c r="AA25" s="19" t="s">
        <v>135</v>
      </c>
      <c r="AB25" s="19" t="s">
        <v>1289</v>
      </c>
      <c r="AC25" s="19">
        <v>32064990</v>
      </c>
      <c r="AD25" s="19" t="s">
        <v>1092</v>
      </c>
      <c r="AE25" s="19">
        <v>1</v>
      </c>
      <c r="AF25" s="19">
        <v>100</v>
      </c>
      <c r="AG25" s="19" t="s">
        <v>1093</v>
      </c>
      <c r="AH25" s="19" t="s">
        <v>33</v>
      </c>
    </row>
    <row r="26" spans="2:34" x14ac:dyDescent="0.35">
      <c r="B26" s="76">
        <v>46204</v>
      </c>
      <c r="C26" s="19" t="s">
        <v>134</v>
      </c>
      <c r="D26" s="19" t="s">
        <v>173</v>
      </c>
      <c r="E26" s="19" t="s">
        <v>180</v>
      </c>
      <c r="F26" s="19" t="s">
        <v>123</v>
      </c>
      <c r="G26" s="19" t="s">
        <v>181</v>
      </c>
      <c r="H26" s="76">
        <v>46203</v>
      </c>
      <c r="I26" s="19" t="s">
        <v>36</v>
      </c>
      <c r="J26" s="19" t="s">
        <v>1156</v>
      </c>
      <c r="K26" s="19" t="s">
        <v>45</v>
      </c>
      <c r="L26" s="19" t="s">
        <v>1157</v>
      </c>
      <c r="M26" s="19" t="s">
        <v>1156</v>
      </c>
      <c r="N26" s="19">
        <v>1978.4</v>
      </c>
      <c r="O26" s="19">
        <v>214854.24</v>
      </c>
      <c r="P26" s="19" t="s">
        <v>1156</v>
      </c>
      <c r="Q26" s="19">
        <v>0</v>
      </c>
      <c r="R26" s="19">
        <v>9</v>
      </c>
      <c r="S26" s="19">
        <v>19336.88</v>
      </c>
      <c r="T26" s="19">
        <v>9</v>
      </c>
      <c r="U26" s="19">
        <v>19336.88</v>
      </c>
      <c r="V26" s="19">
        <v>0</v>
      </c>
      <c r="W26" s="19">
        <v>0</v>
      </c>
      <c r="X26" s="19">
        <v>0</v>
      </c>
      <c r="Y26" s="19">
        <v>38673.760000000002</v>
      </c>
      <c r="Z26" s="19">
        <v>0</v>
      </c>
      <c r="AA26" s="19" t="s">
        <v>135</v>
      </c>
      <c r="AB26" s="19" t="s">
        <v>1289</v>
      </c>
      <c r="AC26" s="19">
        <v>3926908</v>
      </c>
      <c r="AD26" s="19" t="s">
        <v>1092</v>
      </c>
      <c r="AE26" s="19">
        <v>1</v>
      </c>
      <c r="AF26" s="19">
        <v>1978.4</v>
      </c>
      <c r="AG26" s="19" t="s">
        <v>1093</v>
      </c>
      <c r="AH26" s="19" t="s">
        <v>45</v>
      </c>
    </row>
    <row r="27" spans="2:34" x14ac:dyDescent="0.35">
      <c r="B27" s="76">
        <v>46204</v>
      </c>
      <c r="C27" s="19" t="s">
        <v>134</v>
      </c>
      <c r="D27" s="19" t="s">
        <v>173</v>
      </c>
      <c r="E27" s="19" t="s">
        <v>180</v>
      </c>
      <c r="F27" s="19" t="s">
        <v>123</v>
      </c>
      <c r="G27" s="19" t="s">
        <v>181</v>
      </c>
      <c r="H27" s="76">
        <v>46203</v>
      </c>
      <c r="I27" s="19" t="s">
        <v>36</v>
      </c>
      <c r="J27" s="19" t="s">
        <v>1156</v>
      </c>
      <c r="K27" s="19" t="s">
        <v>45</v>
      </c>
      <c r="L27" s="19" t="s">
        <v>1157</v>
      </c>
      <c r="M27" s="19" t="s">
        <v>1567</v>
      </c>
      <c r="N27" s="19">
        <v>293.60000000000002</v>
      </c>
      <c r="O27" s="19">
        <v>38050.559999999998</v>
      </c>
      <c r="P27" s="19" t="s">
        <v>1567</v>
      </c>
      <c r="Q27" s="19">
        <v>0</v>
      </c>
      <c r="R27" s="19">
        <v>9</v>
      </c>
      <c r="S27" s="19">
        <v>3424.55</v>
      </c>
      <c r="T27" s="19">
        <v>9</v>
      </c>
      <c r="U27" s="19">
        <v>3424.55</v>
      </c>
      <c r="V27" s="19">
        <v>0</v>
      </c>
      <c r="W27" s="19">
        <v>0</v>
      </c>
      <c r="X27" s="19">
        <v>0</v>
      </c>
      <c r="Y27" s="19">
        <v>6849.1</v>
      </c>
      <c r="Z27" s="19">
        <v>0</v>
      </c>
      <c r="AA27" s="19" t="s">
        <v>135</v>
      </c>
      <c r="AB27" s="19" t="s">
        <v>1289</v>
      </c>
      <c r="AC27" s="19">
        <v>39269080</v>
      </c>
      <c r="AD27" s="19" t="s">
        <v>1092</v>
      </c>
      <c r="AE27" s="19">
        <v>1</v>
      </c>
      <c r="AF27" s="19">
        <v>293.60000000000002</v>
      </c>
      <c r="AG27" s="19" t="s">
        <v>1093</v>
      </c>
      <c r="AH27" s="19" t="s">
        <v>45</v>
      </c>
    </row>
    <row r="28" spans="2:34" hidden="1" x14ac:dyDescent="0.35">
      <c r="B28" s="76">
        <v>46204</v>
      </c>
      <c r="C28" s="19" t="s">
        <v>153</v>
      </c>
      <c r="D28" s="19" t="s">
        <v>126</v>
      </c>
      <c r="E28" s="19" t="s">
        <v>151</v>
      </c>
      <c r="F28" s="19" t="s">
        <v>119</v>
      </c>
      <c r="G28" s="19" t="s">
        <v>152</v>
      </c>
      <c r="H28" s="76">
        <v>46202</v>
      </c>
      <c r="I28" s="19" t="s">
        <v>105</v>
      </c>
      <c r="J28" s="19" t="s">
        <v>1568</v>
      </c>
      <c r="K28" s="19" t="s">
        <v>1509</v>
      </c>
      <c r="L28" s="19" t="s">
        <v>1509</v>
      </c>
      <c r="M28" s="19" t="s">
        <v>1569</v>
      </c>
      <c r="N28" s="19">
        <v>20</v>
      </c>
      <c r="O28" s="19">
        <v>1240</v>
      </c>
      <c r="P28" s="19" t="s">
        <v>1569</v>
      </c>
      <c r="Q28" s="19">
        <v>1463</v>
      </c>
      <c r="R28" s="19">
        <v>9</v>
      </c>
      <c r="S28" s="19">
        <v>111.6</v>
      </c>
      <c r="T28" s="19">
        <v>9</v>
      </c>
      <c r="U28" s="19">
        <v>111.6</v>
      </c>
      <c r="V28" s="19">
        <v>0</v>
      </c>
      <c r="W28" s="19">
        <v>0</v>
      </c>
      <c r="X28" s="19">
        <v>0</v>
      </c>
      <c r="Y28" s="19">
        <v>223.2</v>
      </c>
      <c r="Z28" s="19">
        <v>0</v>
      </c>
      <c r="AA28" s="19" t="s">
        <v>154</v>
      </c>
      <c r="AB28" s="19" t="s">
        <v>1555</v>
      </c>
      <c r="AC28" s="19">
        <v>82130000</v>
      </c>
      <c r="AD28" s="19" t="s">
        <v>1092</v>
      </c>
      <c r="AE28" s="19">
        <v>1</v>
      </c>
      <c r="AF28" s="19">
        <v>0</v>
      </c>
      <c r="AG28" s="19" t="s">
        <v>1093</v>
      </c>
      <c r="AH28" s="19" t="s">
        <v>2319</v>
      </c>
    </row>
    <row r="29" spans="2:34" hidden="1" x14ac:dyDescent="0.35">
      <c r="B29" s="76">
        <v>46204</v>
      </c>
      <c r="C29" s="19" t="s">
        <v>130</v>
      </c>
      <c r="D29" s="19" t="s">
        <v>126</v>
      </c>
      <c r="E29" s="19" t="s">
        <v>129</v>
      </c>
      <c r="F29" s="19" t="s">
        <v>118</v>
      </c>
      <c r="G29" s="19">
        <v>1184</v>
      </c>
      <c r="H29" s="76">
        <v>46200</v>
      </c>
      <c r="I29" s="19" t="s">
        <v>102</v>
      </c>
      <c r="J29" s="19" t="s">
        <v>1570</v>
      </c>
      <c r="K29" s="19" t="s">
        <v>1127</v>
      </c>
      <c r="L29" s="19" t="s">
        <v>102</v>
      </c>
      <c r="M29" s="19" t="s">
        <v>1571</v>
      </c>
      <c r="N29" s="19">
        <v>1</v>
      </c>
      <c r="O29" s="19">
        <v>84</v>
      </c>
      <c r="P29" s="19" t="s">
        <v>1571</v>
      </c>
      <c r="Q29" s="19">
        <v>1010</v>
      </c>
      <c r="R29" s="19">
        <v>9</v>
      </c>
      <c r="S29" s="19">
        <v>7.56</v>
      </c>
      <c r="T29" s="19">
        <v>9</v>
      </c>
      <c r="U29" s="19">
        <v>7.56</v>
      </c>
      <c r="V29" s="19">
        <v>0</v>
      </c>
      <c r="W29" s="19">
        <v>0</v>
      </c>
      <c r="X29" s="19">
        <v>0</v>
      </c>
      <c r="Y29" s="19">
        <v>15.12</v>
      </c>
      <c r="Z29" s="19">
        <v>0</v>
      </c>
      <c r="AA29" s="19" t="s">
        <v>131</v>
      </c>
      <c r="AB29" s="19" t="s">
        <v>1572</v>
      </c>
      <c r="AC29" s="19">
        <v>400200</v>
      </c>
      <c r="AD29" s="19" t="s">
        <v>1092</v>
      </c>
      <c r="AE29" s="19">
        <v>1</v>
      </c>
      <c r="AF29" s="19">
        <v>0</v>
      </c>
      <c r="AG29" s="19" t="s">
        <v>1093</v>
      </c>
      <c r="AH29" s="19" t="s">
        <v>2319</v>
      </c>
    </row>
    <row r="30" spans="2:34" hidden="1" x14ac:dyDescent="0.35">
      <c r="B30" s="76">
        <v>46204</v>
      </c>
      <c r="C30" s="19" t="s">
        <v>130</v>
      </c>
      <c r="D30" s="19" t="s">
        <v>126</v>
      </c>
      <c r="E30" s="19" t="s">
        <v>129</v>
      </c>
      <c r="F30" s="19" t="s">
        <v>118</v>
      </c>
      <c r="G30" s="19">
        <v>1184</v>
      </c>
      <c r="H30" s="76">
        <v>46200</v>
      </c>
      <c r="I30" s="19" t="s">
        <v>102</v>
      </c>
      <c r="J30" s="19" t="s">
        <v>1570</v>
      </c>
      <c r="K30" s="19" t="s">
        <v>1127</v>
      </c>
      <c r="L30" s="19" t="s">
        <v>102</v>
      </c>
      <c r="M30" s="19" t="s">
        <v>1571</v>
      </c>
      <c r="N30" s="19">
        <v>1</v>
      </c>
      <c r="O30" s="19">
        <v>771.75</v>
      </c>
      <c r="P30" s="19" t="s">
        <v>1571</v>
      </c>
      <c r="Q30" s="19">
        <v>0</v>
      </c>
      <c r="R30" s="19">
        <v>9</v>
      </c>
      <c r="S30" s="19">
        <v>69.459999999999994</v>
      </c>
      <c r="T30" s="19">
        <v>9</v>
      </c>
      <c r="U30" s="19">
        <v>69.459999999999994</v>
      </c>
      <c r="V30" s="19">
        <v>0</v>
      </c>
      <c r="W30" s="19">
        <v>0</v>
      </c>
      <c r="X30" s="19">
        <v>0</v>
      </c>
      <c r="Y30" s="19">
        <v>138.91999999999999</v>
      </c>
      <c r="Z30" s="19">
        <v>0</v>
      </c>
      <c r="AA30" s="19" t="s">
        <v>131</v>
      </c>
      <c r="AB30" s="19" t="s">
        <v>1572</v>
      </c>
      <c r="AC30" s="19">
        <v>400200</v>
      </c>
      <c r="AD30" s="19" t="s">
        <v>1092</v>
      </c>
      <c r="AE30" s="19">
        <v>1</v>
      </c>
      <c r="AF30" s="19">
        <v>0</v>
      </c>
      <c r="AG30" s="19" t="s">
        <v>1093</v>
      </c>
      <c r="AH30" s="19" t="s">
        <v>2319</v>
      </c>
    </row>
    <row r="31" spans="2:34" hidden="1" x14ac:dyDescent="0.35">
      <c r="B31" s="76">
        <v>46204</v>
      </c>
      <c r="C31" s="19" t="s">
        <v>161</v>
      </c>
      <c r="D31" s="19" t="s">
        <v>126</v>
      </c>
      <c r="E31" s="19" t="s">
        <v>159</v>
      </c>
      <c r="F31" s="19" t="s">
        <v>118</v>
      </c>
      <c r="G31" s="19" t="s">
        <v>160</v>
      </c>
      <c r="H31" s="76">
        <v>46203</v>
      </c>
      <c r="I31" s="19" t="s">
        <v>105</v>
      </c>
      <c r="J31" s="19" t="s">
        <v>1573</v>
      </c>
      <c r="K31" s="19" t="s">
        <v>1127</v>
      </c>
      <c r="L31" s="19" t="s">
        <v>1389</v>
      </c>
      <c r="M31" s="19" t="s">
        <v>1574</v>
      </c>
      <c r="N31" s="19">
        <v>5</v>
      </c>
      <c r="O31" s="19">
        <v>10900</v>
      </c>
      <c r="P31" s="19" t="s">
        <v>1574</v>
      </c>
      <c r="Q31" s="19">
        <v>13511</v>
      </c>
      <c r="R31" s="19">
        <v>9</v>
      </c>
      <c r="S31" s="19">
        <v>981</v>
      </c>
      <c r="T31" s="19">
        <v>9</v>
      </c>
      <c r="U31" s="19">
        <v>981</v>
      </c>
      <c r="V31" s="19">
        <v>0</v>
      </c>
      <c r="W31" s="19">
        <v>0</v>
      </c>
      <c r="X31" s="19">
        <v>99</v>
      </c>
      <c r="Y31" s="19">
        <v>2061</v>
      </c>
      <c r="Z31" s="19">
        <v>0</v>
      </c>
      <c r="AA31" s="19" t="s">
        <v>162</v>
      </c>
      <c r="AB31" s="19" t="s">
        <v>1555</v>
      </c>
      <c r="AC31" s="19">
        <v>851680</v>
      </c>
      <c r="AD31" s="19" t="s">
        <v>1092</v>
      </c>
      <c r="AE31" s="19">
        <v>1</v>
      </c>
      <c r="AF31" s="19">
        <v>0</v>
      </c>
      <c r="AG31" s="19" t="s">
        <v>1093</v>
      </c>
      <c r="AH31" s="19" t="s">
        <v>2319</v>
      </c>
    </row>
    <row r="32" spans="2:34" hidden="1" x14ac:dyDescent="0.35">
      <c r="B32" s="76">
        <v>46204</v>
      </c>
      <c r="C32" s="19" t="s">
        <v>145</v>
      </c>
      <c r="D32" s="19" t="s">
        <v>7</v>
      </c>
      <c r="E32" s="19" t="s">
        <v>143</v>
      </c>
      <c r="F32" s="19" t="s">
        <v>119</v>
      </c>
      <c r="G32" s="19" t="s">
        <v>144</v>
      </c>
      <c r="H32" s="76">
        <v>46204</v>
      </c>
      <c r="I32" s="19" t="s">
        <v>101</v>
      </c>
      <c r="J32" s="19" t="s">
        <v>1575</v>
      </c>
      <c r="K32" s="19" t="s">
        <v>1575</v>
      </c>
      <c r="L32" s="19" t="s">
        <v>1509</v>
      </c>
      <c r="M32" s="19" t="s">
        <v>1576</v>
      </c>
      <c r="N32" s="19">
        <v>150</v>
      </c>
      <c r="O32" s="19">
        <v>108750</v>
      </c>
      <c r="P32" s="19" t="s">
        <v>1576</v>
      </c>
      <c r="Q32" s="19">
        <v>114188</v>
      </c>
      <c r="R32" s="19">
        <v>2.5</v>
      </c>
      <c r="S32" s="19">
        <v>2718.75</v>
      </c>
      <c r="T32" s="19">
        <v>2.5</v>
      </c>
      <c r="U32" s="19">
        <v>2718.75</v>
      </c>
      <c r="V32" s="19">
        <v>0</v>
      </c>
      <c r="W32" s="19">
        <v>0</v>
      </c>
      <c r="X32" s="19">
        <v>0</v>
      </c>
      <c r="Y32" s="19">
        <v>5437.5</v>
      </c>
      <c r="Z32" s="19">
        <v>0</v>
      </c>
      <c r="AA32" s="19" t="s">
        <v>146</v>
      </c>
      <c r="AB32" s="19" t="s">
        <v>1555</v>
      </c>
      <c r="AC32" s="19">
        <v>44152000</v>
      </c>
      <c r="AD32" s="19" t="s">
        <v>1092</v>
      </c>
      <c r="AE32" s="19">
        <v>1</v>
      </c>
      <c r="AF32" s="19">
        <v>0</v>
      </c>
      <c r="AG32" s="19" t="s">
        <v>1093</v>
      </c>
      <c r="AH32" s="19" t="s">
        <v>2319</v>
      </c>
    </row>
    <row r="33" spans="2:34" hidden="1" x14ac:dyDescent="0.35">
      <c r="B33" s="76">
        <v>46204</v>
      </c>
      <c r="C33" s="19" t="s">
        <v>169</v>
      </c>
      <c r="D33" s="19" t="s">
        <v>126</v>
      </c>
      <c r="E33" s="19" t="s">
        <v>167</v>
      </c>
      <c r="F33" s="19" t="s">
        <v>118</v>
      </c>
      <c r="G33" s="19" t="s">
        <v>168</v>
      </c>
      <c r="H33" s="76">
        <v>46202</v>
      </c>
      <c r="I33" s="19" t="s">
        <v>105</v>
      </c>
      <c r="J33" s="19" t="s">
        <v>1577</v>
      </c>
      <c r="K33" s="19" t="s">
        <v>1127</v>
      </c>
      <c r="L33" s="19" t="s">
        <v>1389</v>
      </c>
      <c r="M33" s="19" t="s">
        <v>1578</v>
      </c>
      <c r="N33" s="19">
        <v>4</v>
      </c>
      <c r="O33" s="19">
        <v>13040</v>
      </c>
      <c r="P33" s="19" t="s">
        <v>1578</v>
      </c>
      <c r="Q33" s="19">
        <v>15387</v>
      </c>
      <c r="R33" s="19">
        <v>9</v>
      </c>
      <c r="S33" s="19">
        <v>1173.5999999999999</v>
      </c>
      <c r="T33" s="19">
        <v>9</v>
      </c>
      <c r="U33" s="19">
        <v>1173.5999999999999</v>
      </c>
      <c r="V33" s="19">
        <v>0</v>
      </c>
      <c r="W33" s="19">
        <v>0</v>
      </c>
      <c r="X33" s="19">
        <v>0</v>
      </c>
      <c r="Y33" s="19">
        <v>2347.1999999999998</v>
      </c>
      <c r="Z33" s="19">
        <v>0</v>
      </c>
      <c r="AA33" s="19" t="s">
        <v>170</v>
      </c>
      <c r="AB33" s="19" t="s">
        <v>1572</v>
      </c>
      <c r="AC33" s="19">
        <v>85399090</v>
      </c>
      <c r="AD33" s="19" t="s">
        <v>1092</v>
      </c>
      <c r="AE33" s="19">
        <v>1</v>
      </c>
      <c r="AF33" s="19">
        <v>0</v>
      </c>
      <c r="AG33" s="19" t="s">
        <v>1093</v>
      </c>
      <c r="AH33" s="19" t="s">
        <v>2319</v>
      </c>
    </row>
    <row r="34" spans="2:34" hidden="1" x14ac:dyDescent="0.35">
      <c r="B34" s="76">
        <v>46205</v>
      </c>
      <c r="C34" s="19" t="s">
        <v>193</v>
      </c>
      <c r="D34" s="19" t="s">
        <v>126</v>
      </c>
      <c r="E34" s="19" t="s">
        <v>191</v>
      </c>
      <c r="F34" s="19" t="s">
        <v>118</v>
      </c>
      <c r="G34" s="19" t="s">
        <v>192</v>
      </c>
      <c r="H34" s="76">
        <v>46144</v>
      </c>
      <c r="I34" s="19" t="s">
        <v>105</v>
      </c>
      <c r="J34" s="19" t="s">
        <v>1579</v>
      </c>
      <c r="K34" s="19" t="s">
        <v>1127</v>
      </c>
      <c r="L34" s="19" t="s">
        <v>1389</v>
      </c>
      <c r="M34" s="19" t="s">
        <v>1580</v>
      </c>
      <c r="N34" s="19">
        <v>100</v>
      </c>
      <c r="O34" s="19">
        <v>8000</v>
      </c>
      <c r="P34" s="19" t="s">
        <v>1580</v>
      </c>
      <c r="Q34" s="19">
        <v>26845</v>
      </c>
      <c r="R34" s="19">
        <v>9</v>
      </c>
      <c r="S34" s="19">
        <v>720</v>
      </c>
      <c r="T34" s="19">
        <v>9</v>
      </c>
      <c r="U34" s="19">
        <v>720</v>
      </c>
      <c r="V34" s="19">
        <v>0</v>
      </c>
      <c r="W34" s="19">
        <v>0</v>
      </c>
      <c r="X34" s="19">
        <v>72</v>
      </c>
      <c r="Y34" s="19">
        <v>1512</v>
      </c>
      <c r="Z34" s="19">
        <v>0</v>
      </c>
      <c r="AA34" s="19" t="s">
        <v>194</v>
      </c>
      <c r="AB34" s="19" t="s">
        <v>1555</v>
      </c>
      <c r="AC34" s="19">
        <v>844810</v>
      </c>
      <c r="AD34" s="19" t="s">
        <v>1092</v>
      </c>
      <c r="AE34" s="19">
        <v>1</v>
      </c>
      <c r="AF34" s="19">
        <v>0</v>
      </c>
      <c r="AG34" s="19" t="s">
        <v>1093</v>
      </c>
      <c r="AH34" s="19" t="s">
        <v>2319</v>
      </c>
    </row>
    <row r="35" spans="2:34" hidden="1" x14ac:dyDescent="0.35">
      <c r="B35" s="76">
        <v>46205</v>
      </c>
      <c r="C35" s="19" t="s">
        <v>193</v>
      </c>
      <c r="D35" s="19" t="s">
        <v>126</v>
      </c>
      <c r="E35" s="19" t="s">
        <v>191</v>
      </c>
      <c r="F35" s="19" t="s">
        <v>118</v>
      </c>
      <c r="G35" s="19" t="s">
        <v>192</v>
      </c>
      <c r="H35" s="76">
        <v>46144</v>
      </c>
      <c r="I35" s="19" t="s">
        <v>105</v>
      </c>
      <c r="J35" s="19" t="s">
        <v>1579</v>
      </c>
      <c r="K35" s="19" t="s">
        <v>1127</v>
      </c>
      <c r="L35" s="19" t="s">
        <v>1389</v>
      </c>
      <c r="M35" s="19" t="s">
        <v>1581</v>
      </c>
      <c r="N35" s="19">
        <v>1</v>
      </c>
      <c r="O35" s="19">
        <v>14350</v>
      </c>
      <c r="P35" s="19" t="s">
        <v>1581</v>
      </c>
      <c r="Q35" s="19">
        <v>0</v>
      </c>
      <c r="R35" s="19">
        <v>9</v>
      </c>
      <c r="S35" s="19">
        <v>1291.5</v>
      </c>
      <c r="T35" s="19">
        <v>9</v>
      </c>
      <c r="U35" s="19">
        <v>1291.5</v>
      </c>
      <c r="V35" s="19">
        <v>0</v>
      </c>
      <c r="W35" s="19">
        <v>0</v>
      </c>
      <c r="X35" s="19">
        <v>72</v>
      </c>
      <c r="Y35" s="19">
        <v>2655</v>
      </c>
      <c r="Z35" s="19">
        <v>0</v>
      </c>
      <c r="AA35" s="19" t="s">
        <v>194</v>
      </c>
      <c r="AB35" s="19" t="s">
        <v>1555</v>
      </c>
      <c r="AC35" s="19">
        <v>84484990</v>
      </c>
      <c r="AD35" s="19" t="s">
        <v>1092</v>
      </c>
      <c r="AE35" s="19">
        <v>1</v>
      </c>
      <c r="AF35" s="19">
        <v>0</v>
      </c>
      <c r="AG35" s="19" t="s">
        <v>1093</v>
      </c>
      <c r="AH35" s="19" t="s">
        <v>2319</v>
      </c>
    </row>
    <row r="36" spans="2:34" x14ac:dyDescent="0.35">
      <c r="B36" s="76">
        <v>46205</v>
      </c>
      <c r="C36" s="19" t="s">
        <v>208</v>
      </c>
      <c r="D36" s="19" t="s">
        <v>173</v>
      </c>
      <c r="E36" s="19" t="s">
        <v>207</v>
      </c>
      <c r="F36" s="19" t="s">
        <v>123</v>
      </c>
      <c r="G36" s="19">
        <v>13524</v>
      </c>
      <c r="H36" s="76">
        <v>46202</v>
      </c>
      <c r="I36" s="19" t="s">
        <v>28</v>
      </c>
      <c r="J36" s="19" t="s">
        <v>29</v>
      </c>
      <c r="K36" s="19" t="s">
        <v>29</v>
      </c>
      <c r="L36" s="19" t="s">
        <v>1118</v>
      </c>
      <c r="M36" s="19" t="s">
        <v>1582</v>
      </c>
      <c r="N36" s="19">
        <v>1699.3</v>
      </c>
      <c r="O36" s="19">
        <v>254895</v>
      </c>
      <c r="P36" s="19" t="s">
        <v>1582</v>
      </c>
      <c r="Q36" s="19">
        <v>283389.75</v>
      </c>
      <c r="R36" s="19">
        <v>0</v>
      </c>
      <c r="S36" s="19">
        <v>0</v>
      </c>
      <c r="T36" s="19">
        <v>0</v>
      </c>
      <c r="U36" s="19">
        <v>0</v>
      </c>
      <c r="V36" s="19">
        <v>5</v>
      </c>
      <c r="W36" s="19">
        <v>12744.75</v>
      </c>
      <c r="X36" s="19">
        <v>750</v>
      </c>
      <c r="Y36" s="19">
        <v>13494.75</v>
      </c>
      <c r="Z36" s="19">
        <v>0</v>
      </c>
      <c r="AA36" s="19" t="s">
        <v>209</v>
      </c>
      <c r="AB36" s="19" t="s">
        <v>1289</v>
      </c>
      <c r="AC36" s="19">
        <v>58079010</v>
      </c>
      <c r="AD36" s="19" t="s">
        <v>1092</v>
      </c>
      <c r="AE36" s="19">
        <v>1</v>
      </c>
      <c r="AF36" s="19">
        <v>1699.3</v>
      </c>
      <c r="AG36" s="19" t="s">
        <v>1093</v>
      </c>
      <c r="AH36" s="19" t="s">
        <v>29</v>
      </c>
    </row>
    <row r="37" spans="2:34" x14ac:dyDescent="0.35">
      <c r="B37" s="76">
        <v>46205</v>
      </c>
      <c r="C37" s="19" t="s">
        <v>205</v>
      </c>
      <c r="D37" s="19" t="s">
        <v>173</v>
      </c>
      <c r="E37" s="19" t="s">
        <v>203</v>
      </c>
      <c r="F37" s="19" t="s">
        <v>123</v>
      </c>
      <c r="G37" s="19" t="s">
        <v>204</v>
      </c>
      <c r="H37" s="76">
        <v>46203</v>
      </c>
      <c r="I37" s="19" t="s">
        <v>28</v>
      </c>
      <c r="J37" s="19" t="s">
        <v>1173</v>
      </c>
      <c r="K37" s="19" t="s">
        <v>33</v>
      </c>
      <c r="L37" s="19" t="s">
        <v>1186</v>
      </c>
      <c r="M37" s="19" t="s">
        <v>1358</v>
      </c>
      <c r="N37" s="19">
        <v>500</v>
      </c>
      <c r="O37" s="19">
        <v>89000</v>
      </c>
      <c r="P37" s="19" t="s">
        <v>1358</v>
      </c>
      <c r="Q37" s="19">
        <v>105020</v>
      </c>
      <c r="R37" s="19">
        <v>9</v>
      </c>
      <c r="S37" s="19">
        <v>8010</v>
      </c>
      <c r="T37" s="19">
        <v>9</v>
      </c>
      <c r="U37" s="19">
        <v>8010</v>
      </c>
      <c r="V37" s="19">
        <v>0</v>
      </c>
      <c r="W37" s="19">
        <v>0</v>
      </c>
      <c r="X37" s="19">
        <v>0</v>
      </c>
      <c r="Y37" s="19">
        <v>16020</v>
      </c>
      <c r="Z37" s="19">
        <v>0</v>
      </c>
      <c r="AA37" s="19" t="s">
        <v>206</v>
      </c>
      <c r="AB37" s="19" t="s">
        <v>1289</v>
      </c>
      <c r="AC37" s="19">
        <v>32064990</v>
      </c>
      <c r="AD37" s="19" t="s">
        <v>1092</v>
      </c>
      <c r="AE37" s="19">
        <v>1</v>
      </c>
      <c r="AF37" s="19">
        <v>500</v>
      </c>
      <c r="AG37" s="19" t="s">
        <v>1093</v>
      </c>
      <c r="AH37" s="19" t="s">
        <v>33</v>
      </c>
    </row>
    <row r="38" spans="2:34" hidden="1" x14ac:dyDescent="0.35">
      <c r="B38" s="76">
        <v>46205</v>
      </c>
      <c r="C38" s="19" t="s">
        <v>138</v>
      </c>
      <c r="D38" s="19" t="s">
        <v>7</v>
      </c>
      <c r="E38" s="19" t="s">
        <v>189</v>
      </c>
      <c r="F38" s="19" t="s">
        <v>119</v>
      </c>
      <c r="G38" s="19" t="s">
        <v>190</v>
      </c>
      <c r="H38" s="76">
        <v>46204</v>
      </c>
      <c r="I38" s="19" t="s">
        <v>105</v>
      </c>
      <c r="J38" s="19" t="s">
        <v>1142</v>
      </c>
      <c r="K38" s="19" t="s">
        <v>1509</v>
      </c>
      <c r="L38" s="19" t="s">
        <v>1509</v>
      </c>
      <c r="M38" s="19" t="s">
        <v>1196</v>
      </c>
      <c r="N38" s="19">
        <v>255</v>
      </c>
      <c r="O38" s="19">
        <v>12240</v>
      </c>
      <c r="P38" s="19" t="s">
        <v>1196</v>
      </c>
      <c r="Q38" s="19">
        <v>14430.96</v>
      </c>
      <c r="R38" s="19">
        <v>9</v>
      </c>
      <c r="S38" s="19">
        <v>1101.5999999999999</v>
      </c>
      <c r="T38" s="19">
        <v>9</v>
      </c>
      <c r="U38" s="19">
        <v>1101.5999999999999</v>
      </c>
      <c r="V38" s="19">
        <v>0</v>
      </c>
      <c r="W38" s="19">
        <v>0</v>
      </c>
      <c r="X38" s="19">
        <v>0</v>
      </c>
      <c r="Y38" s="19">
        <v>2203.1999999999998</v>
      </c>
      <c r="Z38" s="19">
        <v>0</v>
      </c>
      <c r="AA38" s="19" t="s">
        <v>135</v>
      </c>
      <c r="AB38" s="19" t="s">
        <v>1289</v>
      </c>
      <c r="AC38" s="19">
        <v>73063090</v>
      </c>
      <c r="AD38" s="19" t="s">
        <v>1092</v>
      </c>
      <c r="AE38" s="19">
        <v>1</v>
      </c>
      <c r="AF38" s="19">
        <v>0</v>
      </c>
      <c r="AG38" s="19" t="s">
        <v>1093</v>
      </c>
      <c r="AH38" s="19" t="s">
        <v>2319</v>
      </c>
    </row>
    <row r="39" spans="2:34" x14ac:dyDescent="0.35">
      <c r="B39" s="76">
        <v>46205</v>
      </c>
      <c r="C39" s="19" t="s">
        <v>138</v>
      </c>
      <c r="D39" s="19" t="s">
        <v>173</v>
      </c>
      <c r="E39" s="19" t="s">
        <v>199</v>
      </c>
      <c r="F39" s="19" t="s">
        <v>123</v>
      </c>
      <c r="G39" s="19" t="s">
        <v>200</v>
      </c>
      <c r="H39" s="76">
        <v>46204</v>
      </c>
      <c r="I39" s="19" t="s">
        <v>28</v>
      </c>
      <c r="J39" s="19" t="s">
        <v>1173</v>
      </c>
      <c r="K39" s="19" t="s">
        <v>34</v>
      </c>
      <c r="L39" s="19" t="s">
        <v>1105</v>
      </c>
      <c r="M39" s="19" t="s">
        <v>1583</v>
      </c>
      <c r="N39" s="19">
        <v>2000</v>
      </c>
      <c r="O39" s="19">
        <v>300000</v>
      </c>
      <c r="P39" s="19" t="s">
        <v>1583</v>
      </c>
      <c r="Q39" s="19">
        <v>353700</v>
      </c>
      <c r="R39" s="19">
        <v>9</v>
      </c>
      <c r="S39" s="19">
        <v>27000</v>
      </c>
      <c r="T39" s="19">
        <v>9</v>
      </c>
      <c r="U39" s="19">
        <v>27000</v>
      </c>
      <c r="V39" s="19">
        <v>0</v>
      </c>
      <c r="W39" s="19">
        <v>0</v>
      </c>
      <c r="X39" s="19">
        <v>0</v>
      </c>
      <c r="Y39" s="19">
        <v>54000</v>
      </c>
      <c r="Z39" s="19">
        <v>0</v>
      </c>
      <c r="AA39" s="19" t="s">
        <v>135</v>
      </c>
      <c r="AB39" s="19" t="s">
        <v>1289</v>
      </c>
      <c r="AC39" s="19">
        <v>39021000</v>
      </c>
      <c r="AD39" s="19" t="s">
        <v>1092</v>
      </c>
      <c r="AE39" s="19">
        <v>1</v>
      </c>
      <c r="AF39" s="19">
        <v>2000</v>
      </c>
      <c r="AG39" s="19" t="s">
        <v>1093</v>
      </c>
      <c r="AH39" s="19" t="s">
        <v>34</v>
      </c>
    </row>
    <row r="40" spans="2:34" x14ac:dyDescent="0.35">
      <c r="B40" s="76">
        <v>46205</v>
      </c>
      <c r="C40" s="19" t="s">
        <v>138</v>
      </c>
      <c r="D40" s="19" t="s">
        <v>173</v>
      </c>
      <c r="E40" s="19" t="s">
        <v>201</v>
      </c>
      <c r="F40" s="19" t="s">
        <v>123</v>
      </c>
      <c r="G40" s="19" t="s">
        <v>202</v>
      </c>
      <c r="H40" s="76">
        <v>46204</v>
      </c>
      <c r="I40" s="19" t="s">
        <v>36</v>
      </c>
      <c r="J40" s="19" t="s">
        <v>1350</v>
      </c>
      <c r="K40" s="19" t="s">
        <v>39</v>
      </c>
      <c r="L40" s="19" t="s">
        <v>1351</v>
      </c>
      <c r="M40" s="19" t="s">
        <v>1352</v>
      </c>
      <c r="N40" s="19">
        <v>949</v>
      </c>
      <c r="O40" s="19">
        <v>175707.35</v>
      </c>
      <c r="P40" s="19" t="s">
        <v>1352</v>
      </c>
      <c r="Q40" s="19">
        <v>212925.5</v>
      </c>
      <c r="R40" s="19">
        <v>9</v>
      </c>
      <c r="S40" s="19">
        <v>15813.66</v>
      </c>
      <c r="T40" s="19">
        <v>9</v>
      </c>
      <c r="U40" s="19">
        <v>15813.66</v>
      </c>
      <c r="V40" s="19">
        <v>0</v>
      </c>
      <c r="W40" s="19">
        <v>0</v>
      </c>
      <c r="X40" s="19">
        <v>0</v>
      </c>
      <c r="Y40" s="19">
        <v>31627.32</v>
      </c>
      <c r="Z40" s="19">
        <v>0</v>
      </c>
      <c r="AA40" s="19" t="s">
        <v>135</v>
      </c>
      <c r="AB40" s="19" t="s">
        <v>1289</v>
      </c>
      <c r="AC40" s="19">
        <v>39200000</v>
      </c>
      <c r="AD40" s="19" t="s">
        <v>1092</v>
      </c>
      <c r="AE40" s="19">
        <v>1</v>
      </c>
      <c r="AF40" s="19">
        <v>949</v>
      </c>
      <c r="AG40" s="19" t="s">
        <v>1093</v>
      </c>
      <c r="AH40" s="19" t="s">
        <v>39</v>
      </c>
    </row>
    <row r="41" spans="2:34" x14ac:dyDescent="0.35">
      <c r="B41" s="76">
        <v>46205</v>
      </c>
      <c r="C41" s="19" t="s">
        <v>138</v>
      </c>
      <c r="D41" s="19" t="s">
        <v>173</v>
      </c>
      <c r="E41" s="19" t="s">
        <v>201</v>
      </c>
      <c r="F41" s="19" t="s">
        <v>123</v>
      </c>
      <c r="G41" s="19" t="s">
        <v>202</v>
      </c>
      <c r="H41" s="76">
        <v>46204</v>
      </c>
      <c r="I41" s="19" t="s">
        <v>36</v>
      </c>
      <c r="J41" s="19" t="s">
        <v>1350</v>
      </c>
      <c r="K41" s="19" t="s">
        <v>39</v>
      </c>
      <c r="L41" s="19" t="s">
        <v>1351</v>
      </c>
      <c r="M41" s="19" t="s">
        <v>1352</v>
      </c>
      <c r="N41" s="19">
        <v>27</v>
      </c>
      <c r="O41" s="19">
        <v>4891.05</v>
      </c>
      <c r="P41" s="19" t="s">
        <v>1352</v>
      </c>
      <c r="Q41" s="19">
        <v>0</v>
      </c>
      <c r="R41" s="19">
        <v>9</v>
      </c>
      <c r="S41" s="19">
        <v>440.19</v>
      </c>
      <c r="T41" s="19">
        <v>9</v>
      </c>
      <c r="U41" s="19">
        <v>440.19</v>
      </c>
      <c r="V41" s="19">
        <v>0</v>
      </c>
      <c r="W41" s="19">
        <v>0</v>
      </c>
      <c r="X41" s="19">
        <v>0</v>
      </c>
      <c r="Y41" s="19">
        <v>880.38</v>
      </c>
      <c r="Z41" s="19">
        <v>0</v>
      </c>
      <c r="AA41" s="19" t="s">
        <v>135</v>
      </c>
      <c r="AB41" s="19" t="s">
        <v>1289</v>
      </c>
      <c r="AC41" s="19">
        <v>39200000</v>
      </c>
      <c r="AD41" s="19" t="s">
        <v>1092</v>
      </c>
      <c r="AE41" s="19">
        <v>1</v>
      </c>
      <c r="AF41" s="19">
        <v>27</v>
      </c>
      <c r="AG41" s="19" t="s">
        <v>1093</v>
      </c>
      <c r="AH41" s="19" t="s">
        <v>39</v>
      </c>
    </row>
    <row r="42" spans="2:34" hidden="1" x14ac:dyDescent="0.35">
      <c r="B42" s="76">
        <v>46205</v>
      </c>
      <c r="C42" s="19" t="s">
        <v>130</v>
      </c>
      <c r="D42" s="19" t="s">
        <v>126</v>
      </c>
      <c r="E42" s="19" t="s">
        <v>188</v>
      </c>
      <c r="F42" s="19" t="s">
        <v>118</v>
      </c>
      <c r="G42" s="19">
        <v>1214</v>
      </c>
      <c r="H42" s="76">
        <v>46202</v>
      </c>
      <c r="I42" s="19" t="s">
        <v>102</v>
      </c>
      <c r="J42" s="19" t="s">
        <v>1570</v>
      </c>
      <c r="K42" s="19" t="s">
        <v>1127</v>
      </c>
      <c r="L42" s="19" t="s">
        <v>102</v>
      </c>
      <c r="M42" s="19" t="s">
        <v>1571</v>
      </c>
      <c r="N42" s="19">
        <v>1</v>
      </c>
      <c r="O42" s="19">
        <v>2832.9</v>
      </c>
      <c r="P42" s="19" t="s">
        <v>1571</v>
      </c>
      <c r="Q42" s="19">
        <v>5785</v>
      </c>
      <c r="R42" s="19">
        <v>9</v>
      </c>
      <c r="S42" s="19">
        <v>254.96</v>
      </c>
      <c r="T42" s="19">
        <v>9</v>
      </c>
      <c r="U42" s="19">
        <v>254.96</v>
      </c>
      <c r="V42" s="19">
        <v>0</v>
      </c>
      <c r="W42" s="19">
        <v>0</v>
      </c>
      <c r="X42" s="19">
        <v>0</v>
      </c>
      <c r="Y42" s="19">
        <v>509.92</v>
      </c>
      <c r="Z42" s="19">
        <v>0</v>
      </c>
      <c r="AA42" s="19" t="s">
        <v>131</v>
      </c>
      <c r="AB42" s="19" t="s">
        <v>1572</v>
      </c>
      <c r="AC42" s="19">
        <v>400200</v>
      </c>
      <c r="AD42" s="19" t="s">
        <v>1092</v>
      </c>
      <c r="AE42" s="19">
        <v>1</v>
      </c>
      <c r="AF42" s="19">
        <v>0</v>
      </c>
      <c r="AG42" s="19" t="s">
        <v>1093</v>
      </c>
      <c r="AH42" s="19" t="s">
        <v>2319</v>
      </c>
    </row>
    <row r="43" spans="2:34" hidden="1" x14ac:dyDescent="0.35">
      <c r="B43" s="76">
        <v>46205</v>
      </c>
      <c r="C43" s="19" t="s">
        <v>130</v>
      </c>
      <c r="D43" s="19" t="s">
        <v>126</v>
      </c>
      <c r="E43" s="19" t="s">
        <v>188</v>
      </c>
      <c r="F43" s="19" t="s">
        <v>118</v>
      </c>
      <c r="G43" s="19">
        <v>1214</v>
      </c>
      <c r="H43" s="76">
        <v>46202</v>
      </c>
      <c r="I43" s="19" t="s">
        <v>102</v>
      </c>
      <c r="J43" s="19" t="s">
        <v>1570</v>
      </c>
      <c r="K43" s="19" t="s">
        <v>1127</v>
      </c>
      <c r="L43" s="19" t="s">
        <v>102</v>
      </c>
      <c r="M43" s="19" t="s">
        <v>1571</v>
      </c>
      <c r="N43" s="19">
        <v>1</v>
      </c>
      <c r="O43" s="19">
        <v>2069.5500000000002</v>
      </c>
      <c r="P43" s="19" t="s">
        <v>1571</v>
      </c>
      <c r="Q43" s="19">
        <v>0</v>
      </c>
      <c r="R43" s="19">
        <v>9</v>
      </c>
      <c r="S43" s="19">
        <v>186.26</v>
      </c>
      <c r="T43" s="19">
        <v>9</v>
      </c>
      <c r="U43" s="19">
        <v>186.26</v>
      </c>
      <c r="V43" s="19">
        <v>0</v>
      </c>
      <c r="W43" s="19">
        <v>0</v>
      </c>
      <c r="X43" s="19">
        <v>0</v>
      </c>
      <c r="Y43" s="19">
        <v>372.52</v>
      </c>
      <c r="Z43" s="19">
        <v>0</v>
      </c>
      <c r="AA43" s="19" t="s">
        <v>131</v>
      </c>
      <c r="AB43" s="19" t="s">
        <v>1572</v>
      </c>
      <c r="AC43" s="19">
        <v>400200</v>
      </c>
      <c r="AD43" s="19" t="s">
        <v>1092</v>
      </c>
      <c r="AE43" s="19">
        <v>1</v>
      </c>
      <c r="AF43" s="19">
        <v>0</v>
      </c>
      <c r="AG43" s="19" t="s">
        <v>1093</v>
      </c>
      <c r="AH43" s="19" t="s">
        <v>2319</v>
      </c>
    </row>
    <row r="44" spans="2:34" hidden="1" x14ac:dyDescent="0.35">
      <c r="B44" s="76">
        <v>46205</v>
      </c>
      <c r="C44" s="19" t="s">
        <v>197</v>
      </c>
      <c r="D44" s="19" t="s">
        <v>126</v>
      </c>
      <c r="E44" s="19" t="s">
        <v>195</v>
      </c>
      <c r="F44" s="19" t="s">
        <v>118</v>
      </c>
      <c r="G44" s="19" t="s">
        <v>196</v>
      </c>
      <c r="H44" s="76">
        <v>46197</v>
      </c>
      <c r="I44" s="19" t="s">
        <v>105</v>
      </c>
      <c r="J44" s="19" t="s">
        <v>1584</v>
      </c>
      <c r="K44" s="19" t="s">
        <v>1127</v>
      </c>
      <c r="L44" s="19" t="s">
        <v>1389</v>
      </c>
      <c r="M44" s="19" t="s">
        <v>1585</v>
      </c>
      <c r="N44" s="19">
        <v>20</v>
      </c>
      <c r="O44" s="19">
        <v>1100</v>
      </c>
      <c r="P44" s="19" t="s">
        <v>1585</v>
      </c>
      <c r="Q44" s="19">
        <v>8575</v>
      </c>
      <c r="R44" s="19">
        <v>9</v>
      </c>
      <c r="S44" s="19">
        <v>99</v>
      </c>
      <c r="T44" s="19">
        <v>9</v>
      </c>
      <c r="U44" s="19">
        <v>99</v>
      </c>
      <c r="V44" s="19">
        <v>0</v>
      </c>
      <c r="W44" s="19">
        <v>0</v>
      </c>
      <c r="X44" s="19">
        <v>36</v>
      </c>
      <c r="Y44" s="19">
        <v>234</v>
      </c>
      <c r="Z44" s="19">
        <v>0</v>
      </c>
      <c r="AA44" s="19" t="s">
        <v>198</v>
      </c>
      <c r="AB44" s="19" t="s">
        <v>1555</v>
      </c>
      <c r="AC44" s="19">
        <v>85176990</v>
      </c>
      <c r="AD44" s="19" t="s">
        <v>1092</v>
      </c>
      <c r="AE44" s="19">
        <v>1</v>
      </c>
      <c r="AF44" s="19">
        <v>0</v>
      </c>
      <c r="AG44" s="19" t="s">
        <v>1093</v>
      </c>
      <c r="AH44" s="19" t="s">
        <v>2319</v>
      </c>
    </row>
    <row r="45" spans="2:34" hidden="1" x14ac:dyDescent="0.35">
      <c r="B45" s="76">
        <v>46205</v>
      </c>
      <c r="C45" s="19" t="s">
        <v>197</v>
      </c>
      <c r="D45" s="19" t="s">
        <v>126</v>
      </c>
      <c r="E45" s="19" t="s">
        <v>195</v>
      </c>
      <c r="F45" s="19" t="s">
        <v>118</v>
      </c>
      <c r="G45" s="19" t="s">
        <v>196</v>
      </c>
      <c r="H45" s="76">
        <v>46197</v>
      </c>
      <c r="I45" s="19" t="s">
        <v>105</v>
      </c>
      <c r="J45" s="19" t="s">
        <v>1584</v>
      </c>
      <c r="K45" s="19" t="s">
        <v>1127</v>
      </c>
      <c r="L45" s="19" t="s">
        <v>1389</v>
      </c>
      <c r="M45" s="19" t="s">
        <v>1585</v>
      </c>
      <c r="N45" s="19">
        <v>6</v>
      </c>
      <c r="O45" s="19">
        <v>342</v>
      </c>
      <c r="P45" s="19" t="s">
        <v>1585</v>
      </c>
      <c r="Q45" s="19">
        <v>0</v>
      </c>
      <c r="R45" s="19">
        <v>9</v>
      </c>
      <c r="S45" s="19">
        <v>30.78</v>
      </c>
      <c r="T45" s="19">
        <v>9</v>
      </c>
      <c r="U45" s="19">
        <v>30.78</v>
      </c>
      <c r="V45" s="19">
        <v>0</v>
      </c>
      <c r="W45" s="19">
        <v>0</v>
      </c>
      <c r="X45" s="19">
        <v>36</v>
      </c>
      <c r="Y45" s="19">
        <v>97.56</v>
      </c>
      <c r="Z45" s="19">
        <v>0</v>
      </c>
      <c r="AA45" s="19" t="s">
        <v>198</v>
      </c>
      <c r="AB45" s="19" t="s">
        <v>1555</v>
      </c>
      <c r="AC45" s="19">
        <v>85176990</v>
      </c>
      <c r="AD45" s="19" t="s">
        <v>1092</v>
      </c>
      <c r="AE45" s="19">
        <v>1</v>
      </c>
      <c r="AF45" s="19">
        <v>0</v>
      </c>
      <c r="AG45" s="19" t="s">
        <v>1093</v>
      </c>
      <c r="AH45" s="19" t="s">
        <v>2319</v>
      </c>
    </row>
    <row r="46" spans="2:34" hidden="1" x14ac:dyDescent="0.35">
      <c r="B46" s="76">
        <v>46205</v>
      </c>
      <c r="C46" s="19" t="s">
        <v>197</v>
      </c>
      <c r="D46" s="19" t="s">
        <v>126</v>
      </c>
      <c r="E46" s="19" t="s">
        <v>195</v>
      </c>
      <c r="F46" s="19" t="s">
        <v>118</v>
      </c>
      <c r="G46" s="19" t="s">
        <v>196</v>
      </c>
      <c r="H46" s="76">
        <v>46197</v>
      </c>
      <c r="I46" s="19" t="s">
        <v>105</v>
      </c>
      <c r="J46" s="19" t="s">
        <v>1584</v>
      </c>
      <c r="K46" s="19" t="s">
        <v>1127</v>
      </c>
      <c r="L46" s="19" t="s">
        <v>1389</v>
      </c>
      <c r="M46" s="19" t="s">
        <v>1585</v>
      </c>
      <c r="N46" s="19">
        <v>45</v>
      </c>
      <c r="O46" s="19">
        <v>5625</v>
      </c>
      <c r="P46" s="19" t="s">
        <v>1585</v>
      </c>
      <c r="Q46" s="19">
        <v>0</v>
      </c>
      <c r="R46" s="19">
        <v>9</v>
      </c>
      <c r="S46" s="19">
        <v>506.25</v>
      </c>
      <c r="T46" s="19">
        <v>9</v>
      </c>
      <c r="U46" s="19">
        <v>506.25</v>
      </c>
      <c r="V46" s="19">
        <v>0</v>
      </c>
      <c r="W46" s="19">
        <v>0</v>
      </c>
      <c r="X46" s="19">
        <v>36</v>
      </c>
      <c r="Y46" s="19">
        <v>1048.5</v>
      </c>
      <c r="Z46" s="19">
        <v>0</v>
      </c>
      <c r="AA46" s="19" t="s">
        <v>198</v>
      </c>
      <c r="AB46" s="19" t="s">
        <v>1555</v>
      </c>
      <c r="AC46" s="19">
        <v>85176990</v>
      </c>
      <c r="AD46" s="19" t="s">
        <v>1092</v>
      </c>
      <c r="AE46" s="19">
        <v>1</v>
      </c>
      <c r="AF46" s="19">
        <v>0</v>
      </c>
      <c r="AG46" s="19" t="s">
        <v>1093</v>
      </c>
      <c r="AH46" s="19" t="s">
        <v>2319</v>
      </c>
    </row>
    <row r="47" spans="2:34" hidden="1" x14ac:dyDescent="0.35">
      <c r="B47" s="76">
        <v>46206</v>
      </c>
      <c r="C47" s="19" t="s">
        <v>218</v>
      </c>
      <c r="D47" s="19" t="s">
        <v>126</v>
      </c>
      <c r="E47" s="19" t="s">
        <v>216</v>
      </c>
      <c r="F47" s="19" t="s">
        <v>118</v>
      </c>
      <c r="G47" s="19" t="s">
        <v>217</v>
      </c>
      <c r="H47" s="76">
        <v>46204</v>
      </c>
      <c r="I47" s="19" t="s">
        <v>105</v>
      </c>
      <c r="J47" s="19" t="s">
        <v>1586</v>
      </c>
      <c r="K47" s="19" t="s">
        <v>1127</v>
      </c>
      <c r="L47" s="19" t="s">
        <v>1389</v>
      </c>
      <c r="M47" s="19" t="s">
        <v>1587</v>
      </c>
      <c r="N47" s="19">
        <v>30</v>
      </c>
      <c r="O47" s="19">
        <v>407.23200000000003</v>
      </c>
      <c r="P47" s="19" t="s">
        <v>1587</v>
      </c>
      <c r="Q47" s="19">
        <v>3507</v>
      </c>
      <c r="R47" s="19">
        <v>9</v>
      </c>
      <c r="S47" s="19">
        <v>36.6509</v>
      </c>
      <c r="T47" s="19">
        <v>9</v>
      </c>
      <c r="U47" s="19">
        <v>36.6509</v>
      </c>
      <c r="V47" s="19">
        <v>0</v>
      </c>
      <c r="W47" s="19">
        <v>0</v>
      </c>
      <c r="X47" s="19">
        <v>32.4</v>
      </c>
      <c r="Y47" s="19">
        <v>105.70176000000001</v>
      </c>
      <c r="Z47" s="19">
        <v>0</v>
      </c>
      <c r="AA47" s="19" t="s">
        <v>219</v>
      </c>
      <c r="AB47" s="19" t="s">
        <v>1572</v>
      </c>
      <c r="AC47" s="19">
        <v>73181500</v>
      </c>
      <c r="AD47" s="19" t="s">
        <v>1092</v>
      </c>
      <c r="AE47" s="19">
        <v>1</v>
      </c>
      <c r="AF47" s="19">
        <v>0</v>
      </c>
      <c r="AG47" s="19" t="s">
        <v>1093</v>
      </c>
      <c r="AH47" s="19" t="s">
        <v>2319</v>
      </c>
    </row>
    <row r="48" spans="2:34" hidden="1" x14ac:dyDescent="0.35">
      <c r="B48" s="76">
        <v>46206</v>
      </c>
      <c r="C48" s="19" t="s">
        <v>218</v>
      </c>
      <c r="D48" s="19" t="s">
        <v>126</v>
      </c>
      <c r="E48" s="19" t="s">
        <v>216</v>
      </c>
      <c r="F48" s="19" t="s">
        <v>118</v>
      </c>
      <c r="G48" s="19" t="s">
        <v>217</v>
      </c>
      <c r="H48" s="76">
        <v>46204</v>
      </c>
      <c r="I48" s="19" t="s">
        <v>105</v>
      </c>
      <c r="J48" s="19" t="s">
        <v>1586</v>
      </c>
      <c r="K48" s="19" t="s">
        <v>1127</v>
      </c>
      <c r="L48" s="19" t="s">
        <v>1389</v>
      </c>
      <c r="M48" s="19" t="s">
        <v>1588</v>
      </c>
      <c r="N48" s="19">
        <v>50</v>
      </c>
      <c r="O48" s="19">
        <v>422.52</v>
      </c>
      <c r="P48" s="19" t="s">
        <v>1588</v>
      </c>
      <c r="Q48" s="19">
        <v>0</v>
      </c>
      <c r="R48" s="19">
        <v>9</v>
      </c>
      <c r="S48" s="19">
        <v>38.026800000000001</v>
      </c>
      <c r="T48" s="19">
        <v>9</v>
      </c>
      <c r="U48" s="19">
        <v>38.026800000000001</v>
      </c>
      <c r="V48" s="19">
        <v>0</v>
      </c>
      <c r="W48" s="19">
        <v>0</v>
      </c>
      <c r="X48" s="19">
        <v>32.4</v>
      </c>
      <c r="Y48" s="19">
        <v>108.45359999999999</v>
      </c>
      <c r="Z48" s="19">
        <v>0</v>
      </c>
      <c r="AA48" s="19" t="s">
        <v>219</v>
      </c>
      <c r="AB48" s="19" t="s">
        <v>1555</v>
      </c>
      <c r="AC48" s="19">
        <v>73181900</v>
      </c>
      <c r="AD48" s="19" t="s">
        <v>1092</v>
      </c>
      <c r="AE48" s="19">
        <v>1</v>
      </c>
      <c r="AF48" s="19">
        <v>0</v>
      </c>
      <c r="AG48" s="19" t="s">
        <v>1093</v>
      </c>
      <c r="AH48" s="19" t="s">
        <v>2319</v>
      </c>
    </row>
    <row r="49" spans="2:34" hidden="1" x14ac:dyDescent="0.35">
      <c r="B49" s="76">
        <v>46206</v>
      </c>
      <c r="C49" s="19" t="s">
        <v>218</v>
      </c>
      <c r="D49" s="19" t="s">
        <v>126</v>
      </c>
      <c r="E49" s="19" t="s">
        <v>216</v>
      </c>
      <c r="F49" s="19" t="s">
        <v>118</v>
      </c>
      <c r="G49" s="19" t="s">
        <v>217</v>
      </c>
      <c r="H49" s="76">
        <v>46204</v>
      </c>
      <c r="I49" s="19" t="s">
        <v>105</v>
      </c>
      <c r="J49" s="19" t="s">
        <v>1586</v>
      </c>
      <c r="K49" s="19" t="s">
        <v>1127</v>
      </c>
      <c r="L49" s="19" t="s">
        <v>1389</v>
      </c>
      <c r="M49" s="19" t="s">
        <v>1589</v>
      </c>
      <c r="N49" s="19">
        <v>30</v>
      </c>
      <c r="O49" s="19">
        <v>923.45399999999995</v>
      </c>
      <c r="P49" s="19" t="s">
        <v>1589</v>
      </c>
      <c r="Q49" s="19">
        <v>0</v>
      </c>
      <c r="R49" s="19">
        <v>9</v>
      </c>
      <c r="S49" s="19">
        <v>83.110900000000001</v>
      </c>
      <c r="T49" s="19">
        <v>9</v>
      </c>
      <c r="U49" s="19">
        <v>83.110900000000001</v>
      </c>
      <c r="V49" s="19">
        <v>0</v>
      </c>
      <c r="W49" s="19">
        <v>0</v>
      </c>
      <c r="X49" s="19">
        <v>32.4</v>
      </c>
      <c r="Y49" s="19">
        <v>198.62172000000001</v>
      </c>
      <c r="Z49" s="19">
        <v>0</v>
      </c>
      <c r="AA49" s="19" t="s">
        <v>219</v>
      </c>
      <c r="AB49" s="19" t="s">
        <v>1555</v>
      </c>
      <c r="AC49" s="19">
        <v>731819</v>
      </c>
      <c r="AD49" s="19" t="s">
        <v>1092</v>
      </c>
      <c r="AE49" s="19">
        <v>1</v>
      </c>
      <c r="AF49" s="19">
        <v>0</v>
      </c>
      <c r="AG49" s="19" t="s">
        <v>1093</v>
      </c>
      <c r="AH49" s="19" t="s">
        <v>2319</v>
      </c>
    </row>
    <row r="50" spans="2:34" hidden="1" x14ac:dyDescent="0.35">
      <c r="B50" s="76">
        <v>46206</v>
      </c>
      <c r="C50" s="19" t="s">
        <v>218</v>
      </c>
      <c r="D50" s="19" t="s">
        <v>126</v>
      </c>
      <c r="E50" s="19" t="s">
        <v>216</v>
      </c>
      <c r="F50" s="19" t="s">
        <v>118</v>
      </c>
      <c r="G50" s="19" t="s">
        <v>217</v>
      </c>
      <c r="H50" s="76">
        <v>46204</v>
      </c>
      <c r="I50" s="19" t="s">
        <v>105</v>
      </c>
      <c r="J50" s="19" t="s">
        <v>1586</v>
      </c>
      <c r="K50" s="19" t="s">
        <v>1127</v>
      </c>
      <c r="L50" s="19" t="s">
        <v>1389</v>
      </c>
      <c r="M50" s="19" t="s">
        <v>1590</v>
      </c>
      <c r="N50" s="19">
        <v>3</v>
      </c>
      <c r="O50" s="19">
        <v>66</v>
      </c>
      <c r="P50" s="19" t="s">
        <v>1590</v>
      </c>
      <c r="Q50" s="19">
        <v>0</v>
      </c>
      <c r="R50" s="19">
        <v>9</v>
      </c>
      <c r="S50" s="19">
        <v>5.94</v>
      </c>
      <c r="T50" s="19">
        <v>9</v>
      </c>
      <c r="U50" s="19">
        <v>5.94</v>
      </c>
      <c r="V50" s="19">
        <v>0</v>
      </c>
      <c r="W50" s="19">
        <v>0</v>
      </c>
      <c r="X50" s="19">
        <v>32.4</v>
      </c>
      <c r="Y50" s="19">
        <v>44.28</v>
      </c>
      <c r="Z50" s="19">
        <v>0</v>
      </c>
      <c r="AA50" s="19" t="s">
        <v>219</v>
      </c>
      <c r="AB50" s="19" t="s">
        <v>1572</v>
      </c>
      <c r="AC50" s="19">
        <v>730799</v>
      </c>
      <c r="AD50" s="19" t="s">
        <v>1092</v>
      </c>
      <c r="AE50" s="19">
        <v>1</v>
      </c>
      <c r="AF50" s="19">
        <v>0</v>
      </c>
      <c r="AG50" s="19" t="s">
        <v>1093</v>
      </c>
      <c r="AH50" s="19" t="s">
        <v>2319</v>
      </c>
    </row>
    <row r="51" spans="2:34" hidden="1" x14ac:dyDescent="0.35">
      <c r="B51" s="76">
        <v>46206</v>
      </c>
      <c r="C51" s="19" t="s">
        <v>218</v>
      </c>
      <c r="D51" s="19" t="s">
        <v>126</v>
      </c>
      <c r="E51" s="19" t="s">
        <v>216</v>
      </c>
      <c r="F51" s="19" t="s">
        <v>118</v>
      </c>
      <c r="G51" s="19" t="s">
        <v>217</v>
      </c>
      <c r="H51" s="76">
        <v>46204</v>
      </c>
      <c r="I51" s="19" t="s">
        <v>105</v>
      </c>
      <c r="J51" s="19" t="s">
        <v>1586</v>
      </c>
      <c r="K51" s="19" t="s">
        <v>1127</v>
      </c>
      <c r="L51" s="19" t="s">
        <v>1389</v>
      </c>
      <c r="M51" s="19" t="s">
        <v>1591</v>
      </c>
      <c r="N51" s="19">
        <v>3</v>
      </c>
      <c r="O51" s="19">
        <v>126</v>
      </c>
      <c r="P51" s="19" t="s">
        <v>1591</v>
      </c>
      <c r="Q51" s="19">
        <v>0</v>
      </c>
      <c r="R51" s="19">
        <v>9</v>
      </c>
      <c r="S51" s="19">
        <v>11.34</v>
      </c>
      <c r="T51" s="19">
        <v>9</v>
      </c>
      <c r="U51" s="19">
        <v>11.34</v>
      </c>
      <c r="V51" s="19">
        <v>0</v>
      </c>
      <c r="W51" s="19">
        <v>0</v>
      </c>
      <c r="X51" s="19">
        <v>32.4</v>
      </c>
      <c r="Y51" s="19">
        <v>55.08</v>
      </c>
      <c r="Z51" s="19">
        <v>0</v>
      </c>
      <c r="AA51" s="19" t="s">
        <v>219</v>
      </c>
      <c r="AB51" s="19" t="s">
        <v>1555</v>
      </c>
      <c r="AC51" s="19">
        <v>73079190</v>
      </c>
      <c r="AD51" s="19" t="s">
        <v>1092</v>
      </c>
      <c r="AE51" s="19">
        <v>1</v>
      </c>
      <c r="AF51" s="19">
        <v>0</v>
      </c>
      <c r="AG51" s="19" t="s">
        <v>1093</v>
      </c>
      <c r="AH51" s="19" t="s">
        <v>2319</v>
      </c>
    </row>
    <row r="52" spans="2:34" hidden="1" x14ac:dyDescent="0.35">
      <c r="B52" s="76">
        <v>46206</v>
      </c>
      <c r="C52" s="19" t="s">
        <v>218</v>
      </c>
      <c r="D52" s="19" t="s">
        <v>126</v>
      </c>
      <c r="E52" s="19" t="s">
        <v>216</v>
      </c>
      <c r="F52" s="19" t="s">
        <v>118</v>
      </c>
      <c r="G52" s="19" t="s">
        <v>217</v>
      </c>
      <c r="H52" s="76">
        <v>46204</v>
      </c>
      <c r="I52" s="19" t="s">
        <v>105</v>
      </c>
      <c r="J52" s="19" t="s">
        <v>1586</v>
      </c>
      <c r="K52" s="19" t="s">
        <v>1127</v>
      </c>
      <c r="L52" s="19" t="s">
        <v>1389</v>
      </c>
      <c r="M52" s="19" t="s">
        <v>1592</v>
      </c>
      <c r="N52" s="19">
        <v>3</v>
      </c>
      <c r="O52" s="19">
        <v>525</v>
      </c>
      <c r="P52" s="19" t="s">
        <v>1592</v>
      </c>
      <c r="Q52" s="19">
        <v>0</v>
      </c>
      <c r="R52" s="19">
        <v>9</v>
      </c>
      <c r="S52" s="19">
        <v>47.25</v>
      </c>
      <c r="T52" s="19">
        <v>9</v>
      </c>
      <c r="U52" s="19">
        <v>47.25</v>
      </c>
      <c r="V52" s="19">
        <v>0</v>
      </c>
      <c r="W52" s="19">
        <v>0</v>
      </c>
      <c r="X52" s="19">
        <v>32.4</v>
      </c>
      <c r="Y52" s="19">
        <v>126.9</v>
      </c>
      <c r="Z52" s="19">
        <v>0</v>
      </c>
      <c r="AA52" s="19" t="s">
        <v>219</v>
      </c>
      <c r="AB52" s="19" t="s">
        <v>1555</v>
      </c>
      <c r="AC52" s="19">
        <v>730700</v>
      </c>
      <c r="AD52" s="19" t="s">
        <v>1092</v>
      </c>
      <c r="AE52" s="19">
        <v>1</v>
      </c>
      <c r="AF52" s="19">
        <v>0</v>
      </c>
      <c r="AG52" s="19" t="s">
        <v>1093</v>
      </c>
      <c r="AH52" s="19" t="s">
        <v>2319</v>
      </c>
    </row>
    <row r="53" spans="2:34" hidden="1" x14ac:dyDescent="0.35">
      <c r="B53" s="76">
        <v>46206</v>
      </c>
      <c r="C53" s="19" t="s">
        <v>218</v>
      </c>
      <c r="D53" s="19" t="s">
        <v>126</v>
      </c>
      <c r="E53" s="19" t="s">
        <v>216</v>
      </c>
      <c r="F53" s="19" t="s">
        <v>118</v>
      </c>
      <c r="G53" s="19" t="s">
        <v>217</v>
      </c>
      <c r="H53" s="76">
        <v>46204</v>
      </c>
      <c r="I53" s="19" t="s">
        <v>105</v>
      </c>
      <c r="J53" s="19" t="s">
        <v>1586</v>
      </c>
      <c r="K53" s="19" t="s">
        <v>1127</v>
      </c>
      <c r="L53" s="19" t="s">
        <v>1389</v>
      </c>
      <c r="M53" s="19" t="s">
        <v>1593</v>
      </c>
      <c r="N53" s="19">
        <v>100</v>
      </c>
      <c r="O53" s="19">
        <v>322.14</v>
      </c>
      <c r="P53" s="19" t="s">
        <v>1593</v>
      </c>
      <c r="Q53" s="19">
        <v>0</v>
      </c>
      <c r="R53" s="19">
        <v>9</v>
      </c>
      <c r="S53" s="19">
        <v>28.992599999999999</v>
      </c>
      <c r="T53" s="19">
        <v>9</v>
      </c>
      <c r="U53" s="19">
        <v>28.992599999999999</v>
      </c>
      <c r="V53" s="19">
        <v>0</v>
      </c>
      <c r="W53" s="19">
        <v>0</v>
      </c>
      <c r="X53" s="19">
        <v>32.4</v>
      </c>
      <c r="Y53" s="19">
        <v>90.385199999999998</v>
      </c>
      <c r="Z53" s="19">
        <v>0</v>
      </c>
      <c r="AA53" s="19" t="s">
        <v>219</v>
      </c>
      <c r="AB53" s="19" t="s">
        <v>1555</v>
      </c>
      <c r="AC53" s="19">
        <v>73181900</v>
      </c>
      <c r="AD53" s="19" t="s">
        <v>1092</v>
      </c>
      <c r="AE53" s="19">
        <v>1</v>
      </c>
      <c r="AF53" s="19">
        <v>0</v>
      </c>
      <c r="AG53" s="19" t="s">
        <v>1093</v>
      </c>
      <c r="AH53" s="19" t="s">
        <v>2319</v>
      </c>
    </row>
    <row r="54" spans="2:34" x14ac:dyDescent="0.35">
      <c r="B54" s="76">
        <v>46206</v>
      </c>
      <c r="C54" s="19" t="s">
        <v>178</v>
      </c>
      <c r="D54" s="19" t="s">
        <v>173</v>
      </c>
      <c r="E54" s="19" t="s">
        <v>224</v>
      </c>
      <c r="F54" s="19" t="s">
        <v>123</v>
      </c>
      <c r="G54" s="19" t="s">
        <v>225</v>
      </c>
      <c r="H54" s="76">
        <v>46206</v>
      </c>
      <c r="I54" s="19" t="s">
        <v>36</v>
      </c>
      <c r="J54" s="19" t="s">
        <v>1350</v>
      </c>
      <c r="K54" s="19" t="s">
        <v>39</v>
      </c>
      <c r="L54" s="19" t="s">
        <v>1351</v>
      </c>
      <c r="M54" s="19" t="s">
        <v>1594</v>
      </c>
      <c r="N54" s="19">
        <v>627</v>
      </c>
      <c r="O54" s="19">
        <v>121004.73</v>
      </c>
      <c r="P54" s="19" t="s">
        <v>1594</v>
      </c>
      <c r="Q54" s="19">
        <v>1452008.81</v>
      </c>
      <c r="R54" s="19">
        <v>9</v>
      </c>
      <c r="S54" s="19">
        <v>10890.43</v>
      </c>
      <c r="T54" s="19">
        <v>9</v>
      </c>
      <c r="U54" s="19">
        <v>10890.43</v>
      </c>
      <c r="V54" s="19">
        <v>0</v>
      </c>
      <c r="W54" s="19">
        <v>0</v>
      </c>
      <c r="X54" s="19">
        <v>0</v>
      </c>
      <c r="Y54" s="19">
        <v>21780.86</v>
      </c>
      <c r="Z54" s="19">
        <v>0</v>
      </c>
      <c r="AA54" s="19" t="s">
        <v>179</v>
      </c>
      <c r="AB54" s="19" t="s">
        <v>1289</v>
      </c>
      <c r="AC54" s="19">
        <v>39232100</v>
      </c>
      <c r="AD54" s="19" t="s">
        <v>1092</v>
      </c>
      <c r="AE54" s="19">
        <v>1</v>
      </c>
      <c r="AF54" s="19">
        <v>627</v>
      </c>
      <c r="AG54" s="19" t="s">
        <v>1093</v>
      </c>
      <c r="AH54" s="19" t="s">
        <v>39</v>
      </c>
    </row>
    <row r="55" spans="2:34" x14ac:dyDescent="0.35">
      <c r="B55" s="76">
        <v>46206</v>
      </c>
      <c r="C55" s="19" t="s">
        <v>178</v>
      </c>
      <c r="D55" s="19" t="s">
        <v>173</v>
      </c>
      <c r="E55" s="19" t="s">
        <v>224</v>
      </c>
      <c r="F55" s="19" t="s">
        <v>123</v>
      </c>
      <c r="G55" s="19" t="s">
        <v>225</v>
      </c>
      <c r="H55" s="76">
        <v>46206</v>
      </c>
      <c r="I55" s="19" t="s">
        <v>36</v>
      </c>
      <c r="J55" s="19" t="s">
        <v>1117</v>
      </c>
      <c r="K55" s="19" t="s">
        <v>44</v>
      </c>
      <c r="L55" s="19" t="s">
        <v>1118</v>
      </c>
      <c r="M55" s="19" t="s">
        <v>1119</v>
      </c>
      <c r="N55" s="19">
        <v>5320</v>
      </c>
      <c r="O55" s="19">
        <v>861308</v>
      </c>
      <c r="P55" s="19" t="s">
        <v>1119</v>
      </c>
      <c r="Q55" s="19">
        <v>0</v>
      </c>
      <c r="R55" s="19">
        <v>9</v>
      </c>
      <c r="S55" s="19">
        <v>77517.72</v>
      </c>
      <c r="T55" s="19">
        <v>9</v>
      </c>
      <c r="U55" s="19">
        <v>77517.72</v>
      </c>
      <c r="V55" s="19">
        <v>0</v>
      </c>
      <c r="W55" s="19">
        <v>0</v>
      </c>
      <c r="X55" s="19">
        <v>0</v>
      </c>
      <c r="Y55" s="19">
        <v>155035.44</v>
      </c>
      <c r="Z55" s="19">
        <v>0</v>
      </c>
      <c r="AA55" s="19" t="s">
        <v>179</v>
      </c>
      <c r="AB55" s="19" t="s">
        <v>1289</v>
      </c>
      <c r="AC55" s="19">
        <v>39269080</v>
      </c>
      <c r="AD55" s="19" t="s">
        <v>1092</v>
      </c>
      <c r="AE55" s="19">
        <v>1</v>
      </c>
      <c r="AF55" s="19">
        <v>5320</v>
      </c>
      <c r="AG55" s="19" t="s">
        <v>1093</v>
      </c>
      <c r="AH55" s="19" t="s">
        <v>44</v>
      </c>
    </row>
    <row r="56" spans="2:34" x14ac:dyDescent="0.35">
      <c r="B56" s="76">
        <v>46206</v>
      </c>
      <c r="C56" s="19" t="s">
        <v>178</v>
      </c>
      <c r="D56" s="19" t="s">
        <v>173</v>
      </c>
      <c r="E56" s="19" t="s">
        <v>224</v>
      </c>
      <c r="F56" s="19" t="s">
        <v>123</v>
      </c>
      <c r="G56" s="19" t="s">
        <v>225</v>
      </c>
      <c r="H56" s="76">
        <v>46206</v>
      </c>
      <c r="I56" s="19" t="s">
        <v>36</v>
      </c>
      <c r="J56" s="19" t="s">
        <v>1117</v>
      </c>
      <c r="K56" s="19" t="s">
        <v>44</v>
      </c>
      <c r="L56" s="19" t="s">
        <v>1118</v>
      </c>
      <c r="M56" s="19" t="s">
        <v>1119</v>
      </c>
      <c r="N56" s="19">
        <v>672</v>
      </c>
      <c r="O56" s="19">
        <v>107452.8</v>
      </c>
      <c r="P56" s="19" t="s">
        <v>1119</v>
      </c>
      <c r="Q56" s="19">
        <v>0</v>
      </c>
      <c r="R56" s="19">
        <v>9</v>
      </c>
      <c r="S56" s="19">
        <v>9670.75</v>
      </c>
      <c r="T56" s="19">
        <v>9</v>
      </c>
      <c r="U56" s="19">
        <v>9670.75</v>
      </c>
      <c r="V56" s="19">
        <v>0</v>
      </c>
      <c r="W56" s="19">
        <v>0</v>
      </c>
      <c r="X56" s="19">
        <v>0</v>
      </c>
      <c r="Y56" s="19">
        <v>19341.5</v>
      </c>
      <c r="Z56" s="19">
        <v>0</v>
      </c>
      <c r="AA56" s="19" t="s">
        <v>179</v>
      </c>
      <c r="AB56" s="19" t="s">
        <v>1289</v>
      </c>
      <c r="AC56" s="19">
        <v>39269080</v>
      </c>
      <c r="AD56" s="19" t="s">
        <v>1092</v>
      </c>
      <c r="AE56" s="19">
        <v>1</v>
      </c>
      <c r="AF56" s="19">
        <v>672</v>
      </c>
      <c r="AG56" s="19" t="s">
        <v>1093</v>
      </c>
      <c r="AH56" s="19" t="s">
        <v>44</v>
      </c>
    </row>
    <row r="57" spans="2:34" x14ac:dyDescent="0.35">
      <c r="B57" s="76">
        <v>46206</v>
      </c>
      <c r="C57" s="19" t="s">
        <v>178</v>
      </c>
      <c r="D57" s="19" t="s">
        <v>173</v>
      </c>
      <c r="E57" s="19" t="s">
        <v>224</v>
      </c>
      <c r="F57" s="19" t="s">
        <v>123</v>
      </c>
      <c r="G57" s="19" t="s">
        <v>225</v>
      </c>
      <c r="H57" s="76">
        <v>46206</v>
      </c>
      <c r="I57" s="19" t="s">
        <v>36</v>
      </c>
      <c r="J57" s="19" t="s">
        <v>1117</v>
      </c>
      <c r="K57" s="19" t="s">
        <v>44</v>
      </c>
      <c r="L57" s="19" t="s">
        <v>1118</v>
      </c>
      <c r="M57" s="19" t="s">
        <v>1119</v>
      </c>
      <c r="N57" s="19">
        <v>639</v>
      </c>
      <c r="O57" s="19">
        <v>141794.1</v>
      </c>
      <c r="P57" s="19" t="s">
        <v>1119</v>
      </c>
      <c r="Q57" s="19">
        <v>0</v>
      </c>
      <c r="R57" s="19">
        <v>9</v>
      </c>
      <c r="S57" s="19">
        <v>12761.47</v>
      </c>
      <c r="T57" s="19">
        <v>9</v>
      </c>
      <c r="U57" s="19">
        <v>12761.47</v>
      </c>
      <c r="V57" s="19">
        <v>0</v>
      </c>
      <c r="W57" s="19">
        <v>0</v>
      </c>
      <c r="X57" s="19">
        <v>0</v>
      </c>
      <c r="Y57" s="19">
        <v>25522.94</v>
      </c>
      <c r="Z57" s="19">
        <v>0</v>
      </c>
      <c r="AA57" s="19" t="s">
        <v>179</v>
      </c>
      <c r="AB57" s="19" t="s">
        <v>1289</v>
      </c>
      <c r="AC57" s="19">
        <v>39269080</v>
      </c>
      <c r="AD57" s="19" t="s">
        <v>1092</v>
      </c>
      <c r="AE57" s="19">
        <v>1</v>
      </c>
      <c r="AF57" s="19">
        <v>639</v>
      </c>
      <c r="AG57" s="19" t="s">
        <v>1093</v>
      </c>
      <c r="AH57" s="19" t="s">
        <v>44</v>
      </c>
    </row>
    <row r="58" spans="2:34" x14ac:dyDescent="0.35">
      <c r="B58" s="76">
        <v>46206</v>
      </c>
      <c r="C58" s="19" t="s">
        <v>228</v>
      </c>
      <c r="D58" s="19" t="s">
        <v>227</v>
      </c>
      <c r="E58" s="19" t="s">
        <v>226</v>
      </c>
      <c r="F58" s="19" t="s">
        <v>122</v>
      </c>
      <c r="G58" s="19" t="s">
        <v>1595</v>
      </c>
      <c r="H58" s="76">
        <v>46076</v>
      </c>
      <c r="I58" s="19" t="s">
        <v>28</v>
      </c>
      <c r="J58" s="19" t="s">
        <v>1173</v>
      </c>
      <c r="K58" s="19" t="s">
        <v>34</v>
      </c>
      <c r="L58" s="19" t="s">
        <v>1105</v>
      </c>
      <c r="M58" s="19" t="s">
        <v>1174</v>
      </c>
      <c r="N58" s="19">
        <v>49500</v>
      </c>
      <c r="O58" s="19">
        <v>3821053.5</v>
      </c>
      <c r="P58" s="19" t="s">
        <v>1174</v>
      </c>
      <c r="Q58" s="19">
        <v>3821053.5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 t="s">
        <v>229</v>
      </c>
      <c r="AB58" s="19" t="s">
        <v>1289</v>
      </c>
      <c r="AC58" s="19">
        <v>39021000</v>
      </c>
      <c r="AD58" s="19" t="s">
        <v>1092</v>
      </c>
      <c r="AE58" s="19">
        <v>1</v>
      </c>
      <c r="AF58" s="19">
        <v>49500</v>
      </c>
      <c r="AG58" s="19" t="s">
        <v>1596</v>
      </c>
      <c r="AH58" s="19" t="s">
        <v>34</v>
      </c>
    </row>
    <row r="59" spans="2:34" x14ac:dyDescent="0.35">
      <c r="B59" s="76">
        <v>46206</v>
      </c>
      <c r="C59" s="19" t="s">
        <v>228</v>
      </c>
      <c r="D59" s="19" t="s">
        <v>227</v>
      </c>
      <c r="E59" s="19" t="s">
        <v>230</v>
      </c>
      <c r="F59" s="19" t="s">
        <v>122</v>
      </c>
      <c r="G59" s="19" t="s">
        <v>1595</v>
      </c>
      <c r="H59" s="76">
        <v>46076</v>
      </c>
      <c r="I59" s="19" t="s">
        <v>28</v>
      </c>
      <c r="J59" s="19" t="s">
        <v>1173</v>
      </c>
      <c r="K59" s="19" t="s">
        <v>34</v>
      </c>
      <c r="L59" s="19" t="s">
        <v>1105</v>
      </c>
      <c r="M59" s="19" t="s">
        <v>1174</v>
      </c>
      <c r="N59" s="19">
        <v>24750</v>
      </c>
      <c r="O59" s="19">
        <v>1910526.75</v>
      </c>
      <c r="P59" s="19" t="s">
        <v>1174</v>
      </c>
      <c r="Q59" s="19">
        <v>1910526.75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 t="s">
        <v>229</v>
      </c>
      <c r="AB59" s="19" t="s">
        <v>1289</v>
      </c>
      <c r="AC59" s="19">
        <v>39021000</v>
      </c>
      <c r="AD59" s="19" t="s">
        <v>1092</v>
      </c>
      <c r="AE59" s="19">
        <v>1</v>
      </c>
      <c r="AF59" s="19">
        <v>24750</v>
      </c>
      <c r="AG59" s="19" t="s">
        <v>1596</v>
      </c>
      <c r="AH59" s="19" t="s">
        <v>34</v>
      </c>
    </row>
    <row r="60" spans="2:34" x14ac:dyDescent="0.35">
      <c r="B60" s="76">
        <v>46206</v>
      </c>
      <c r="C60" s="19" t="s">
        <v>228</v>
      </c>
      <c r="D60" s="19" t="s">
        <v>227</v>
      </c>
      <c r="E60" s="19" t="s">
        <v>231</v>
      </c>
      <c r="F60" s="19" t="s">
        <v>122</v>
      </c>
      <c r="G60" s="19" t="s">
        <v>1597</v>
      </c>
      <c r="H60" s="76">
        <v>46076</v>
      </c>
      <c r="I60" s="19" t="s">
        <v>28</v>
      </c>
      <c r="J60" s="19" t="s">
        <v>1173</v>
      </c>
      <c r="K60" s="19" t="s">
        <v>34</v>
      </c>
      <c r="L60" s="19" t="s">
        <v>1105</v>
      </c>
      <c r="M60" s="19" t="s">
        <v>1174</v>
      </c>
      <c r="N60" s="19">
        <v>24750</v>
      </c>
      <c r="O60" s="19">
        <v>1910526.75</v>
      </c>
      <c r="P60" s="19" t="s">
        <v>1174</v>
      </c>
      <c r="Q60" s="19">
        <v>1910526.75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 t="s">
        <v>229</v>
      </c>
      <c r="AB60" s="19" t="s">
        <v>1289</v>
      </c>
      <c r="AC60" s="19">
        <v>39021000</v>
      </c>
      <c r="AD60" s="19" t="s">
        <v>1092</v>
      </c>
      <c r="AE60" s="19">
        <v>1</v>
      </c>
      <c r="AF60" s="19">
        <v>24750</v>
      </c>
      <c r="AG60" s="19" t="s">
        <v>1596</v>
      </c>
      <c r="AH60" s="19" t="s">
        <v>34</v>
      </c>
    </row>
    <row r="61" spans="2:34" x14ac:dyDescent="0.35">
      <c r="B61" s="76">
        <v>46206</v>
      </c>
      <c r="C61" s="19" t="s">
        <v>228</v>
      </c>
      <c r="D61" s="19" t="s">
        <v>227</v>
      </c>
      <c r="E61" s="19" t="s">
        <v>232</v>
      </c>
      <c r="F61" s="19" t="s">
        <v>122</v>
      </c>
      <c r="G61" s="19" t="s">
        <v>1598</v>
      </c>
      <c r="H61" s="76">
        <v>46076</v>
      </c>
      <c r="I61" s="19" t="s">
        <v>28</v>
      </c>
      <c r="J61" s="19" t="s">
        <v>1173</v>
      </c>
      <c r="K61" s="19" t="s">
        <v>34</v>
      </c>
      <c r="L61" s="19" t="s">
        <v>1105</v>
      </c>
      <c r="M61" s="19" t="s">
        <v>1174</v>
      </c>
      <c r="N61" s="19">
        <v>24750</v>
      </c>
      <c r="O61" s="19">
        <v>1910526.75</v>
      </c>
      <c r="P61" s="19" t="s">
        <v>1174</v>
      </c>
      <c r="Q61" s="19">
        <v>1910526.75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 t="s">
        <v>229</v>
      </c>
      <c r="AB61" s="19" t="s">
        <v>1289</v>
      </c>
      <c r="AC61" s="19">
        <v>39021000</v>
      </c>
      <c r="AD61" s="19" t="s">
        <v>1092</v>
      </c>
      <c r="AE61" s="19">
        <v>1</v>
      </c>
      <c r="AF61" s="19">
        <v>24750</v>
      </c>
      <c r="AG61" s="19" t="s">
        <v>1596</v>
      </c>
      <c r="AH61" s="19" t="s">
        <v>34</v>
      </c>
    </row>
    <row r="62" spans="2:34" hidden="1" x14ac:dyDescent="0.35">
      <c r="B62" s="76">
        <v>46206</v>
      </c>
      <c r="C62" s="19" t="s">
        <v>138</v>
      </c>
      <c r="D62" s="19" t="s">
        <v>7</v>
      </c>
      <c r="E62" s="19" t="s">
        <v>210</v>
      </c>
      <c r="F62" s="19" t="s">
        <v>119</v>
      </c>
      <c r="G62" s="19" t="s">
        <v>211</v>
      </c>
      <c r="H62" s="76">
        <v>46205</v>
      </c>
      <c r="I62" s="19" t="s">
        <v>105</v>
      </c>
      <c r="J62" s="19" t="s">
        <v>1142</v>
      </c>
      <c r="K62" s="19" t="s">
        <v>1509</v>
      </c>
      <c r="L62" s="19" t="s">
        <v>1509</v>
      </c>
      <c r="M62" s="19" t="s">
        <v>1196</v>
      </c>
      <c r="N62" s="19">
        <v>230</v>
      </c>
      <c r="O62" s="19">
        <v>11040</v>
      </c>
      <c r="P62" s="19" t="s">
        <v>1196</v>
      </c>
      <c r="Q62" s="19">
        <v>13016.16</v>
      </c>
      <c r="R62" s="19">
        <v>9</v>
      </c>
      <c r="S62" s="19">
        <v>993.6</v>
      </c>
      <c r="T62" s="19">
        <v>9</v>
      </c>
      <c r="U62" s="19">
        <v>993.6</v>
      </c>
      <c r="V62" s="19">
        <v>0</v>
      </c>
      <c r="W62" s="19">
        <v>0</v>
      </c>
      <c r="X62" s="19">
        <v>0</v>
      </c>
      <c r="Y62" s="19">
        <v>1987.2</v>
      </c>
      <c r="Z62" s="19">
        <v>0</v>
      </c>
      <c r="AA62" s="19" t="s">
        <v>135</v>
      </c>
      <c r="AB62" s="19" t="s">
        <v>1289</v>
      </c>
      <c r="AC62" s="19">
        <v>73063090</v>
      </c>
      <c r="AD62" s="19" t="s">
        <v>1092</v>
      </c>
      <c r="AE62" s="19">
        <v>1</v>
      </c>
      <c r="AF62" s="19">
        <v>0</v>
      </c>
      <c r="AG62" s="19" t="s">
        <v>1093</v>
      </c>
      <c r="AH62" s="19" t="s">
        <v>2319</v>
      </c>
    </row>
    <row r="63" spans="2:34" hidden="1" x14ac:dyDescent="0.35">
      <c r="B63" s="76">
        <v>46206</v>
      </c>
      <c r="C63" s="19" t="s">
        <v>214</v>
      </c>
      <c r="D63" s="19" t="s">
        <v>126</v>
      </c>
      <c r="E63" s="19" t="s">
        <v>212</v>
      </c>
      <c r="F63" s="19" t="s">
        <v>118</v>
      </c>
      <c r="G63" s="19" t="s">
        <v>213</v>
      </c>
      <c r="H63" s="76">
        <v>46160</v>
      </c>
      <c r="I63" s="19" t="s">
        <v>105</v>
      </c>
      <c r="J63" s="19" t="s">
        <v>1599</v>
      </c>
      <c r="K63" s="19" t="s">
        <v>1127</v>
      </c>
      <c r="L63" s="19" t="s">
        <v>1389</v>
      </c>
      <c r="M63" s="19" t="s">
        <v>1600</v>
      </c>
      <c r="N63" s="19">
        <v>8</v>
      </c>
      <c r="O63" s="19">
        <v>11600</v>
      </c>
      <c r="P63" s="19" t="s">
        <v>1600</v>
      </c>
      <c r="Q63" s="19">
        <v>13771</v>
      </c>
      <c r="R63" s="19">
        <v>9</v>
      </c>
      <c r="S63" s="19">
        <v>1044</v>
      </c>
      <c r="T63" s="19">
        <v>9</v>
      </c>
      <c r="U63" s="19">
        <v>1044</v>
      </c>
      <c r="V63" s="19">
        <v>0</v>
      </c>
      <c r="W63" s="19">
        <v>0</v>
      </c>
      <c r="X63" s="19">
        <v>12.6</v>
      </c>
      <c r="Y63" s="19">
        <v>2100.6</v>
      </c>
      <c r="Z63" s="19">
        <v>0</v>
      </c>
      <c r="AA63" s="19" t="s">
        <v>215</v>
      </c>
      <c r="AB63" s="19" t="s">
        <v>1555</v>
      </c>
      <c r="AC63" s="19">
        <v>841989</v>
      </c>
      <c r="AD63" s="19" t="s">
        <v>1092</v>
      </c>
      <c r="AE63" s="19">
        <v>1</v>
      </c>
      <c r="AF63" s="19">
        <v>0</v>
      </c>
      <c r="AG63" s="19" t="s">
        <v>1093</v>
      </c>
      <c r="AH63" s="19" t="s">
        <v>2319</v>
      </c>
    </row>
    <row r="64" spans="2:34" hidden="1" x14ac:dyDescent="0.35">
      <c r="B64" s="76">
        <v>46206</v>
      </c>
      <c r="C64" s="19" t="s">
        <v>222</v>
      </c>
      <c r="D64" s="19" t="s">
        <v>126</v>
      </c>
      <c r="E64" s="19" t="s">
        <v>220</v>
      </c>
      <c r="F64" s="19" t="s">
        <v>118</v>
      </c>
      <c r="G64" s="19" t="s">
        <v>221</v>
      </c>
      <c r="H64" s="76">
        <v>46204</v>
      </c>
      <c r="I64" s="19" t="s">
        <v>105</v>
      </c>
      <c r="J64" s="19" t="s">
        <v>1601</v>
      </c>
      <c r="K64" s="19" t="s">
        <v>1127</v>
      </c>
      <c r="L64" s="19" t="s">
        <v>1389</v>
      </c>
      <c r="M64" s="19" t="s">
        <v>1602</v>
      </c>
      <c r="N64" s="19">
        <v>1</v>
      </c>
      <c r="O64" s="19">
        <v>7500</v>
      </c>
      <c r="P64" s="19" t="s">
        <v>1602</v>
      </c>
      <c r="Q64" s="19">
        <v>9204</v>
      </c>
      <c r="R64" s="19">
        <v>9</v>
      </c>
      <c r="S64" s="19">
        <v>702</v>
      </c>
      <c r="T64" s="19">
        <v>9</v>
      </c>
      <c r="U64" s="19">
        <v>702</v>
      </c>
      <c r="V64" s="19">
        <v>0</v>
      </c>
      <c r="W64" s="19">
        <v>0</v>
      </c>
      <c r="X64" s="19">
        <v>0</v>
      </c>
      <c r="Y64" s="19">
        <v>1404</v>
      </c>
      <c r="Z64" s="19">
        <v>0</v>
      </c>
      <c r="AA64" s="19" t="s">
        <v>223</v>
      </c>
      <c r="AB64" s="19" t="s">
        <v>1555</v>
      </c>
      <c r="AC64" s="19">
        <v>848340</v>
      </c>
      <c r="AD64" s="19" t="s">
        <v>1092</v>
      </c>
      <c r="AE64" s="19">
        <v>1</v>
      </c>
      <c r="AF64" s="19">
        <v>0</v>
      </c>
      <c r="AG64" s="19" t="s">
        <v>1093</v>
      </c>
      <c r="AH64" s="19" t="s">
        <v>2319</v>
      </c>
    </row>
    <row r="65" spans="2:34" hidden="1" x14ac:dyDescent="0.35">
      <c r="B65" s="76">
        <v>46207</v>
      </c>
      <c r="C65" s="19" t="s">
        <v>237</v>
      </c>
      <c r="D65" s="19" t="s">
        <v>126</v>
      </c>
      <c r="E65" s="19" t="s">
        <v>236</v>
      </c>
      <c r="F65" s="19" t="s">
        <v>118</v>
      </c>
      <c r="G65" s="19">
        <v>278</v>
      </c>
      <c r="H65" s="76">
        <v>46205</v>
      </c>
      <c r="I65" s="19" t="s">
        <v>36</v>
      </c>
      <c r="J65" s="19" t="s">
        <v>1350</v>
      </c>
      <c r="K65" s="19" t="s">
        <v>39</v>
      </c>
      <c r="L65" s="19" t="s">
        <v>102</v>
      </c>
      <c r="M65" s="19" t="s">
        <v>1603</v>
      </c>
      <c r="N65" s="19">
        <v>29.1</v>
      </c>
      <c r="O65" s="19">
        <v>11479</v>
      </c>
      <c r="P65" s="19" t="s">
        <v>1603</v>
      </c>
      <c r="Q65" s="19">
        <v>69229</v>
      </c>
      <c r="R65" s="19">
        <v>9</v>
      </c>
      <c r="S65" s="19">
        <v>1033.1099999999999</v>
      </c>
      <c r="T65" s="19">
        <v>9</v>
      </c>
      <c r="U65" s="19">
        <v>1033.1099999999999</v>
      </c>
      <c r="V65" s="19">
        <v>0</v>
      </c>
      <c r="W65" s="19">
        <v>0</v>
      </c>
      <c r="X65" s="19">
        <v>0</v>
      </c>
      <c r="Y65" s="19">
        <v>2066.2199999999998</v>
      </c>
      <c r="Z65" s="19">
        <v>0</v>
      </c>
      <c r="AA65" s="19" t="s">
        <v>238</v>
      </c>
      <c r="AB65" s="19" t="s">
        <v>1289</v>
      </c>
      <c r="AC65" s="19">
        <v>392300</v>
      </c>
      <c r="AD65" s="19" t="s">
        <v>1092</v>
      </c>
      <c r="AE65" s="19">
        <v>1</v>
      </c>
      <c r="AF65" s="19">
        <v>29.1</v>
      </c>
      <c r="AG65" s="19"/>
      <c r="AH65" s="19" t="s">
        <v>2319</v>
      </c>
    </row>
    <row r="66" spans="2:34" hidden="1" x14ac:dyDescent="0.35">
      <c r="B66" s="76">
        <v>46207</v>
      </c>
      <c r="C66" s="19" t="s">
        <v>237</v>
      </c>
      <c r="D66" s="19" t="s">
        <v>126</v>
      </c>
      <c r="E66" s="19" t="s">
        <v>236</v>
      </c>
      <c r="F66" s="19" t="s">
        <v>118</v>
      </c>
      <c r="G66" s="19">
        <v>278</v>
      </c>
      <c r="H66" s="76">
        <v>46205</v>
      </c>
      <c r="I66" s="19" t="s">
        <v>36</v>
      </c>
      <c r="J66" s="19" t="s">
        <v>1350</v>
      </c>
      <c r="K66" s="19" t="s">
        <v>39</v>
      </c>
      <c r="L66" s="19" t="s">
        <v>102</v>
      </c>
      <c r="M66" s="19" t="s">
        <v>1603</v>
      </c>
      <c r="N66" s="19">
        <v>101.5</v>
      </c>
      <c r="O66" s="19">
        <v>39988</v>
      </c>
      <c r="P66" s="19" t="s">
        <v>1603</v>
      </c>
      <c r="Q66" s="19">
        <v>0</v>
      </c>
      <c r="R66" s="19">
        <v>9</v>
      </c>
      <c r="S66" s="19">
        <v>3598.92</v>
      </c>
      <c r="T66" s="19">
        <v>9</v>
      </c>
      <c r="U66" s="19">
        <v>3598.92</v>
      </c>
      <c r="V66" s="19">
        <v>0</v>
      </c>
      <c r="W66" s="19">
        <v>0</v>
      </c>
      <c r="X66" s="19">
        <v>0</v>
      </c>
      <c r="Y66" s="19">
        <v>7197.84</v>
      </c>
      <c r="Z66" s="19">
        <v>0</v>
      </c>
      <c r="AA66" s="19" t="s">
        <v>238</v>
      </c>
      <c r="AB66" s="19" t="s">
        <v>1289</v>
      </c>
      <c r="AC66" s="19">
        <v>392300</v>
      </c>
      <c r="AD66" s="19" t="s">
        <v>1092</v>
      </c>
      <c r="AE66" s="19">
        <v>1</v>
      </c>
      <c r="AF66" s="19">
        <v>101.5</v>
      </c>
      <c r="AG66" s="19"/>
      <c r="AH66" s="19" t="s">
        <v>2319</v>
      </c>
    </row>
    <row r="67" spans="2:34" hidden="1" x14ac:dyDescent="0.35">
      <c r="B67" s="76">
        <v>46207</v>
      </c>
      <c r="C67" s="19" t="s">
        <v>237</v>
      </c>
      <c r="D67" s="19" t="s">
        <v>126</v>
      </c>
      <c r="E67" s="19" t="s">
        <v>236</v>
      </c>
      <c r="F67" s="19" t="s">
        <v>118</v>
      </c>
      <c r="G67" s="19">
        <v>278</v>
      </c>
      <c r="H67" s="76">
        <v>46205</v>
      </c>
      <c r="I67" s="19" t="s">
        <v>36</v>
      </c>
      <c r="J67" s="19" t="s">
        <v>1350</v>
      </c>
      <c r="K67" s="19" t="s">
        <v>39</v>
      </c>
      <c r="L67" s="19" t="s">
        <v>102</v>
      </c>
      <c r="M67" s="19" t="s">
        <v>1603</v>
      </c>
      <c r="N67" s="19">
        <v>8.5</v>
      </c>
      <c r="O67" s="19">
        <v>3367</v>
      </c>
      <c r="P67" s="19" t="s">
        <v>1603</v>
      </c>
      <c r="Q67" s="19">
        <v>0</v>
      </c>
      <c r="R67" s="19">
        <v>9</v>
      </c>
      <c r="S67" s="19">
        <v>303.02999999999997</v>
      </c>
      <c r="T67" s="19">
        <v>9</v>
      </c>
      <c r="U67" s="19">
        <v>303.02999999999997</v>
      </c>
      <c r="V67" s="19">
        <v>0</v>
      </c>
      <c r="W67" s="19">
        <v>0</v>
      </c>
      <c r="X67" s="19">
        <v>0</v>
      </c>
      <c r="Y67" s="19">
        <v>606.05999999999995</v>
      </c>
      <c r="Z67" s="19">
        <v>0</v>
      </c>
      <c r="AA67" s="19" t="s">
        <v>238</v>
      </c>
      <c r="AB67" s="19" t="s">
        <v>1289</v>
      </c>
      <c r="AC67" s="19">
        <v>392300</v>
      </c>
      <c r="AD67" s="19" t="s">
        <v>1092</v>
      </c>
      <c r="AE67" s="19">
        <v>1</v>
      </c>
      <c r="AF67" s="19">
        <v>8.5</v>
      </c>
      <c r="AG67" s="19"/>
      <c r="AH67" s="19" t="s">
        <v>2319</v>
      </c>
    </row>
    <row r="68" spans="2:34" hidden="1" x14ac:dyDescent="0.35">
      <c r="B68" s="76">
        <v>46207</v>
      </c>
      <c r="C68" s="19" t="s">
        <v>237</v>
      </c>
      <c r="D68" s="19" t="s">
        <v>126</v>
      </c>
      <c r="E68" s="19" t="s">
        <v>236</v>
      </c>
      <c r="F68" s="19" t="s">
        <v>118</v>
      </c>
      <c r="G68" s="19">
        <v>278</v>
      </c>
      <c r="H68" s="76">
        <v>46205</v>
      </c>
      <c r="I68" s="19" t="s">
        <v>36</v>
      </c>
      <c r="J68" s="19" t="s">
        <v>1350</v>
      </c>
      <c r="K68" s="19" t="s">
        <v>39</v>
      </c>
      <c r="L68" s="19" t="s">
        <v>102</v>
      </c>
      <c r="M68" s="19" t="s">
        <v>1603</v>
      </c>
      <c r="N68" s="19">
        <v>8.5</v>
      </c>
      <c r="O68" s="19">
        <v>3835</v>
      </c>
      <c r="P68" s="19" t="s">
        <v>1603</v>
      </c>
      <c r="Q68" s="19">
        <v>0</v>
      </c>
      <c r="R68" s="19">
        <v>9</v>
      </c>
      <c r="S68" s="19">
        <v>345.15</v>
      </c>
      <c r="T68" s="19">
        <v>9</v>
      </c>
      <c r="U68" s="19">
        <v>345.15</v>
      </c>
      <c r="V68" s="19">
        <v>0</v>
      </c>
      <c r="W68" s="19">
        <v>0</v>
      </c>
      <c r="X68" s="19">
        <v>0</v>
      </c>
      <c r="Y68" s="19">
        <v>690.3</v>
      </c>
      <c r="Z68" s="19">
        <v>0</v>
      </c>
      <c r="AA68" s="19" t="s">
        <v>238</v>
      </c>
      <c r="AB68" s="19" t="s">
        <v>1289</v>
      </c>
      <c r="AC68" s="19">
        <v>392300</v>
      </c>
      <c r="AD68" s="19" t="s">
        <v>1092</v>
      </c>
      <c r="AE68" s="19">
        <v>1</v>
      </c>
      <c r="AF68" s="19">
        <v>8.5</v>
      </c>
      <c r="AG68" s="19"/>
      <c r="AH68" s="19" t="s">
        <v>2319</v>
      </c>
    </row>
    <row r="69" spans="2:34" hidden="1" x14ac:dyDescent="0.35">
      <c r="B69" s="76">
        <v>46207</v>
      </c>
      <c r="C69" s="19" t="s">
        <v>234</v>
      </c>
      <c r="D69" s="19" t="s">
        <v>126</v>
      </c>
      <c r="E69" s="19" t="s">
        <v>233</v>
      </c>
      <c r="F69" s="19" t="s">
        <v>118</v>
      </c>
      <c r="G69" s="19">
        <v>304</v>
      </c>
      <c r="H69" s="76">
        <v>46205</v>
      </c>
      <c r="I69" s="19" t="s">
        <v>57</v>
      </c>
      <c r="J69" s="19" t="s">
        <v>29</v>
      </c>
      <c r="K69" s="19" t="s">
        <v>29</v>
      </c>
      <c r="L69" s="19" t="s">
        <v>102</v>
      </c>
      <c r="M69" s="19" t="s">
        <v>1604</v>
      </c>
      <c r="N69" s="19">
        <v>600</v>
      </c>
      <c r="O69" s="19">
        <v>840</v>
      </c>
      <c r="P69" s="19" t="s">
        <v>1604</v>
      </c>
      <c r="Q69" s="19">
        <v>4531</v>
      </c>
      <c r="R69" s="19">
        <v>9</v>
      </c>
      <c r="S69" s="19">
        <v>75.599999999999994</v>
      </c>
      <c r="T69" s="19">
        <v>9</v>
      </c>
      <c r="U69" s="19">
        <v>75.599999999999994</v>
      </c>
      <c r="V69" s="19">
        <v>0</v>
      </c>
      <c r="W69" s="19">
        <v>0</v>
      </c>
      <c r="X69" s="19">
        <v>90</v>
      </c>
      <c r="Y69" s="19">
        <v>241.2</v>
      </c>
      <c r="Z69" s="19">
        <v>0</v>
      </c>
      <c r="AA69" s="19" t="s">
        <v>235</v>
      </c>
      <c r="AB69" s="19" t="s">
        <v>1555</v>
      </c>
      <c r="AC69" s="19">
        <v>58079010</v>
      </c>
      <c r="AD69" s="19" t="s">
        <v>1092</v>
      </c>
      <c r="AE69" s="19">
        <v>1</v>
      </c>
      <c r="AF69" s="19">
        <v>1.9</v>
      </c>
      <c r="AG69" s="19" t="s">
        <v>1093</v>
      </c>
      <c r="AH69" s="19" t="s">
        <v>2319</v>
      </c>
    </row>
    <row r="70" spans="2:34" hidden="1" x14ac:dyDescent="0.35">
      <c r="B70" s="76">
        <v>46207</v>
      </c>
      <c r="C70" s="19" t="s">
        <v>234</v>
      </c>
      <c r="D70" s="19" t="s">
        <v>126</v>
      </c>
      <c r="E70" s="19" t="s">
        <v>233</v>
      </c>
      <c r="F70" s="19" t="s">
        <v>118</v>
      </c>
      <c r="G70" s="19">
        <v>304</v>
      </c>
      <c r="H70" s="76">
        <v>46205</v>
      </c>
      <c r="I70" s="19" t="s">
        <v>57</v>
      </c>
      <c r="J70" s="19" t="s">
        <v>29</v>
      </c>
      <c r="K70" s="19" t="s">
        <v>29</v>
      </c>
      <c r="L70" s="19" t="s">
        <v>102</v>
      </c>
      <c r="M70" s="19" t="s">
        <v>1604</v>
      </c>
      <c r="N70" s="19">
        <v>5000</v>
      </c>
      <c r="O70" s="19">
        <v>2500</v>
      </c>
      <c r="P70" s="19" t="s">
        <v>1604</v>
      </c>
      <c r="Q70" s="19">
        <v>0</v>
      </c>
      <c r="R70" s="19">
        <v>9</v>
      </c>
      <c r="S70" s="19">
        <v>225</v>
      </c>
      <c r="T70" s="19">
        <v>9</v>
      </c>
      <c r="U70" s="19">
        <v>225</v>
      </c>
      <c r="V70" s="19">
        <v>0</v>
      </c>
      <c r="W70" s="19">
        <v>0</v>
      </c>
      <c r="X70" s="19">
        <v>90</v>
      </c>
      <c r="Y70" s="19">
        <v>540</v>
      </c>
      <c r="Z70" s="19">
        <v>0</v>
      </c>
      <c r="AA70" s="19" t="s">
        <v>235</v>
      </c>
      <c r="AB70" s="19" t="s">
        <v>1555</v>
      </c>
      <c r="AC70" s="19">
        <v>58079010</v>
      </c>
      <c r="AD70" s="19" t="s">
        <v>1092</v>
      </c>
      <c r="AE70" s="19">
        <v>1</v>
      </c>
      <c r="AF70" s="19">
        <v>16.5</v>
      </c>
      <c r="AG70" s="19" t="s">
        <v>1093</v>
      </c>
      <c r="AH70" s="19" t="s">
        <v>2319</v>
      </c>
    </row>
    <row r="71" spans="2:34" x14ac:dyDescent="0.35">
      <c r="B71" s="76">
        <v>46207</v>
      </c>
      <c r="C71" s="19" t="s">
        <v>178</v>
      </c>
      <c r="D71" s="19" t="s">
        <v>173</v>
      </c>
      <c r="E71" s="19" t="s">
        <v>246</v>
      </c>
      <c r="F71" s="19" t="s">
        <v>123</v>
      </c>
      <c r="G71" s="19" t="s">
        <v>247</v>
      </c>
      <c r="H71" s="76">
        <v>46207</v>
      </c>
      <c r="I71" s="19" t="s">
        <v>49</v>
      </c>
      <c r="J71" s="19" t="s">
        <v>50</v>
      </c>
      <c r="K71" s="19" t="s">
        <v>50</v>
      </c>
      <c r="L71" s="19" t="s">
        <v>1095</v>
      </c>
      <c r="M71" s="19" t="s">
        <v>1098</v>
      </c>
      <c r="N71" s="19">
        <v>19817.400000000001</v>
      </c>
      <c r="O71" s="19">
        <v>3885003.0959999999</v>
      </c>
      <c r="P71" s="19" t="s">
        <v>1098</v>
      </c>
      <c r="Q71" s="19">
        <v>4580418.66</v>
      </c>
      <c r="R71" s="19">
        <v>9</v>
      </c>
      <c r="S71" s="19">
        <v>349650.28</v>
      </c>
      <c r="T71" s="19">
        <v>9</v>
      </c>
      <c r="U71" s="19">
        <v>349650.28</v>
      </c>
      <c r="V71" s="19">
        <v>0</v>
      </c>
      <c r="W71" s="19">
        <v>0</v>
      </c>
      <c r="X71" s="19">
        <v>0</v>
      </c>
      <c r="Y71" s="19">
        <v>699300.56</v>
      </c>
      <c r="Z71" s="19">
        <v>0</v>
      </c>
      <c r="AA71" s="19" t="s">
        <v>179</v>
      </c>
      <c r="AB71" s="19" t="s">
        <v>1289</v>
      </c>
      <c r="AC71" s="19">
        <v>63053200</v>
      </c>
      <c r="AD71" s="19" t="s">
        <v>1092</v>
      </c>
      <c r="AE71" s="19">
        <v>1</v>
      </c>
      <c r="AF71" s="19">
        <v>19817.400000000001</v>
      </c>
      <c r="AG71" s="19" t="s">
        <v>1093</v>
      </c>
      <c r="AH71" s="19" t="s">
        <v>50</v>
      </c>
    </row>
    <row r="72" spans="2:34" x14ac:dyDescent="0.35">
      <c r="B72" s="76">
        <v>46207</v>
      </c>
      <c r="C72" s="19" t="s">
        <v>245</v>
      </c>
      <c r="D72" s="19" t="s">
        <v>173</v>
      </c>
      <c r="E72" s="19" t="s">
        <v>243</v>
      </c>
      <c r="F72" s="19" t="s">
        <v>123</v>
      </c>
      <c r="G72" s="19" t="s">
        <v>244</v>
      </c>
      <c r="H72" s="76">
        <v>46207</v>
      </c>
      <c r="I72" s="19" t="s">
        <v>49</v>
      </c>
      <c r="J72" s="19" t="s">
        <v>50</v>
      </c>
      <c r="K72" s="19" t="s">
        <v>50</v>
      </c>
      <c r="L72" s="19" t="s">
        <v>1095</v>
      </c>
      <c r="M72" s="19" t="s">
        <v>1098</v>
      </c>
      <c r="N72" s="19">
        <v>279.5</v>
      </c>
      <c r="O72" s="19">
        <v>68625.634999999995</v>
      </c>
      <c r="P72" s="19" t="s">
        <v>1098</v>
      </c>
      <c r="Q72" s="19">
        <v>80978.259999999995</v>
      </c>
      <c r="R72" s="19">
        <v>9</v>
      </c>
      <c r="S72" s="19">
        <v>6176.31</v>
      </c>
      <c r="T72" s="19">
        <v>9</v>
      </c>
      <c r="U72" s="19">
        <v>6176.31</v>
      </c>
      <c r="V72" s="19">
        <v>0</v>
      </c>
      <c r="W72" s="19">
        <v>0</v>
      </c>
      <c r="X72" s="19">
        <v>0</v>
      </c>
      <c r="Y72" s="19">
        <v>12352.62</v>
      </c>
      <c r="Z72" s="19">
        <v>0</v>
      </c>
      <c r="AA72" s="19" t="s">
        <v>179</v>
      </c>
      <c r="AB72" s="19" t="s">
        <v>1289</v>
      </c>
      <c r="AC72" s="19">
        <v>63053200</v>
      </c>
      <c r="AD72" s="19" t="s">
        <v>1092</v>
      </c>
      <c r="AE72" s="19">
        <v>1</v>
      </c>
      <c r="AF72" s="19">
        <f>N72</f>
        <v>279.5</v>
      </c>
      <c r="AG72" s="19" t="s">
        <v>1093</v>
      </c>
      <c r="AH72" s="19" t="s">
        <v>50</v>
      </c>
    </row>
    <row r="73" spans="2:34" hidden="1" x14ac:dyDescent="0.35">
      <c r="B73" s="76">
        <v>46207</v>
      </c>
      <c r="C73" s="19" t="s">
        <v>241</v>
      </c>
      <c r="D73" s="19" t="s">
        <v>126</v>
      </c>
      <c r="E73" s="19" t="s">
        <v>239</v>
      </c>
      <c r="F73" s="19" t="s">
        <v>118</v>
      </c>
      <c r="G73" s="19" t="s">
        <v>240</v>
      </c>
      <c r="H73" s="76">
        <v>46188</v>
      </c>
      <c r="I73" s="19" t="s">
        <v>105</v>
      </c>
      <c r="J73" s="19" t="s">
        <v>1605</v>
      </c>
      <c r="K73" s="19" t="s">
        <v>1127</v>
      </c>
      <c r="L73" s="19" t="s">
        <v>1389</v>
      </c>
      <c r="M73" s="19" t="s">
        <v>1606</v>
      </c>
      <c r="N73" s="19">
        <v>2</v>
      </c>
      <c r="O73" s="19">
        <v>21090</v>
      </c>
      <c r="P73" s="19" t="s">
        <v>1606</v>
      </c>
      <c r="Q73" s="19">
        <v>25181</v>
      </c>
      <c r="R73" s="19">
        <v>9</v>
      </c>
      <c r="S73" s="19">
        <v>1920.6</v>
      </c>
      <c r="T73" s="19">
        <v>9</v>
      </c>
      <c r="U73" s="19">
        <v>1920.6</v>
      </c>
      <c r="V73" s="19">
        <v>0</v>
      </c>
      <c r="W73" s="19">
        <v>0</v>
      </c>
      <c r="X73" s="19">
        <v>0</v>
      </c>
      <c r="Y73" s="19">
        <v>3841.2</v>
      </c>
      <c r="Z73" s="19">
        <v>0</v>
      </c>
      <c r="AA73" s="19" t="s">
        <v>242</v>
      </c>
      <c r="AB73" s="19" t="s">
        <v>1555</v>
      </c>
      <c r="AC73" s="19">
        <v>8413812</v>
      </c>
      <c r="AD73" s="19" t="s">
        <v>1092</v>
      </c>
      <c r="AE73" s="19">
        <v>1</v>
      </c>
      <c r="AF73" s="19">
        <v>0</v>
      </c>
      <c r="AG73" s="19" t="s">
        <v>1093</v>
      </c>
      <c r="AH73" s="19" t="s">
        <v>2319</v>
      </c>
    </row>
    <row r="74" spans="2:34" x14ac:dyDescent="0.35">
      <c r="B74" s="76">
        <v>46207</v>
      </c>
      <c r="C74" s="19" t="s">
        <v>228</v>
      </c>
      <c r="D74" s="19" t="s">
        <v>227</v>
      </c>
      <c r="E74" s="19" t="s">
        <v>248</v>
      </c>
      <c r="F74" s="19" t="s">
        <v>122</v>
      </c>
      <c r="G74" s="19" t="s">
        <v>1607</v>
      </c>
      <c r="H74" s="76">
        <v>46076</v>
      </c>
      <c r="I74" s="19" t="s">
        <v>28</v>
      </c>
      <c r="J74" s="19" t="s">
        <v>1173</v>
      </c>
      <c r="K74" s="19" t="s">
        <v>34</v>
      </c>
      <c r="L74" s="19" t="s">
        <v>1105</v>
      </c>
      <c r="M74" s="19" t="s">
        <v>1174</v>
      </c>
      <c r="N74" s="19">
        <v>24750</v>
      </c>
      <c r="O74" s="19">
        <v>1910526.75</v>
      </c>
      <c r="P74" s="19" t="s">
        <v>1174</v>
      </c>
      <c r="Q74" s="19">
        <v>1910526.75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 t="s">
        <v>229</v>
      </c>
      <c r="AB74" s="19" t="s">
        <v>1289</v>
      </c>
      <c r="AC74" s="19">
        <v>39021000</v>
      </c>
      <c r="AD74" s="19" t="s">
        <v>1092</v>
      </c>
      <c r="AE74" s="19">
        <v>1</v>
      </c>
      <c r="AF74" s="19">
        <v>24750</v>
      </c>
      <c r="AG74" s="19" t="s">
        <v>1596</v>
      </c>
      <c r="AH74" s="19" t="s">
        <v>34</v>
      </c>
    </row>
    <row r="75" spans="2:34" x14ac:dyDescent="0.35">
      <c r="B75" s="76">
        <v>46207</v>
      </c>
      <c r="C75" s="19" t="s">
        <v>228</v>
      </c>
      <c r="D75" s="19" t="s">
        <v>227</v>
      </c>
      <c r="E75" s="19" t="s">
        <v>249</v>
      </c>
      <c r="F75" s="19" t="s">
        <v>122</v>
      </c>
      <c r="G75" s="19" t="s">
        <v>1608</v>
      </c>
      <c r="H75" s="76">
        <v>46076</v>
      </c>
      <c r="I75" s="19" t="s">
        <v>28</v>
      </c>
      <c r="J75" s="19" t="s">
        <v>1173</v>
      </c>
      <c r="K75" s="19" t="s">
        <v>34</v>
      </c>
      <c r="L75" s="19" t="s">
        <v>1105</v>
      </c>
      <c r="M75" s="19" t="s">
        <v>1174</v>
      </c>
      <c r="N75" s="19">
        <v>24750</v>
      </c>
      <c r="O75" s="19">
        <v>1910526.75</v>
      </c>
      <c r="P75" s="19" t="s">
        <v>1174</v>
      </c>
      <c r="Q75" s="19">
        <v>1910526.75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 t="s">
        <v>229</v>
      </c>
      <c r="AB75" s="19" t="s">
        <v>1289</v>
      </c>
      <c r="AC75" s="19">
        <v>39021000</v>
      </c>
      <c r="AD75" s="19" t="s">
        <v>1092</v>
      </c>
      <c r="AE75" s="19">
        <v>1</v>
      </c>
      <c r="AF75" s="19">
        <v>24750</v>
      </c>
      <c r="AG75" s="19" t="s">
        <v>1596</v>
      </c>
      <c r="AH75" s="19" t="s">
        <v>34</v>
      </c>
    </row>
    <row r="76" spans="2:34" x14ac:dyDescent="0.35">
      <c r="B76" s="76">
        <v>46207</v>
      </c>
      <c r="C76" s="19" t="s">
        <v>228</v>
      </c>
      <c r="D76" s="19" t="s">
        <v>227</v>
      </c>
      <c r="E76" s="19" t="s">
        <v>250</v>
      </c>
      <c r="F76" s="19" t="s">
        <v>122</v>
      </c>
      <c r="G76" s="19" t="s">
        <v>1595</v>
      </c>
      <c r="H76" s="76">
        <v>46076</v>
      </c>
      <c r="I76" s="19" t="s">
        <v>28</v>
      </c>
      <c r="J76" s="19" t="s">
        <v>1173</v>
      </c>
      <c r="K76" s="19" t="s">
        <v>34</v>
      </c>
      <c r="L76" s="19" t="s">
        <v>1105</v>
      </c>
      <c r="M76" s="19" t="s">
        <v>1174</v>
      </c>
      <c r="N76" s="19">
        <v>123750</v>
      </c>
      <c r="O76" s="19">
        <v>9552633.75</v>
      </c>
      <c r="P76" s="19" t="s">
        <v>1174</v>
      </c>
      <c r="Q76" s="19">
        <v>9552633.75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 t="s">
        <v>229</v>
      </c>
      <c r="AB76" s="19" t="s">
        <v>1289</v>
      </c>
      <c r="AC76" s="19">
        <v>39021000</v>
      </c>
      <c r="AD76" s="19" t="s">
        <v>1092</v>
      </c>
      <c r="AE76" s="19">
        <v>1</v>
      </c>
      <c r="AF76" s="19">
        <v>123750</v>
      </c>
      <c r="AG76" s="19" t="s">
        <v>1596</v>
      </c>
      <c r="AH76" s="19" t="s">
        <v>34</v>
      </c>
    </row>
    <row r="77" spans="2:34" hidden="1" x14ac:dyDescent="0.35">
      <c r="B77" s="76">
        <v>46208</v>
      </c>
      <c r="C77" s="19" t="s">
        <v>193</v>
      </c>
      <c r="D77" s="19" t="s">
        <v>126</v>
      </c>
      <c r="E77" s="19" t="s">
        <v>253</v>
      </c>
      <c r="F77" s="19" t="s">
        <v>118</v>
      </c>
      <c r="G77" s="19" t="s">
        <v>254</v>
      </c>
      <c r="H77" s="76">
        <v>46205</v>
      </c>
      <c r="I77" s="19" t="s">
        <v>105</v>
      </c>
      <c r="J77" s="19" t="s">
        <v>1579</v>
      </c>
      <c r="K77" s="19" t="s">
        <v>1127</v>
      </c>
      <c r="L77" s="19" t="s">
        <v>1389</v>
      </c>
      <c r="M77" s="19" t="s">
        <v>1609</v>
      </c>
      <c r="N77" s="19">
        <v>15</v>
      </c>
      <c r="O77" s="19">
        <v>5775</v>
      </c>
      <c r="P77" s="19" t="s">
        <v>1609</v>
      </c>
      <c r="Q77" s="19">
        <v>6874</v>
      </c>
      <c r="R77" s="19">
        <v>9</v>
      </c>
      <c r="S77" s="19">
        <v>524.25</v>
      </c>
      <c r="T77" s="19">
        <v>9</v>
      </c>
      <c r="U77" s="19">
        <v>524.25</v>
      </c>
      <c r="V77" s="19">
        <v>0</v>
      </c>
      <c r="W77" s="19">
        <v>0</v>
      </c>
      <c r="X77" s="19">
        <v>0</v>
      </c>
      <c r="Y77" s="19">
        <v>1048.5</v>
      </c>
      <c r="Z77" s="19">
        <v>0</v>
      </c>
      <c r="AA77" s="19" t="s">
        <v>194</v>
      </c>
      <c r="AB77" s="19" t="s">
        <v>1555</v>
      </c>
      <c r="AC77" s="19">
        <v>844810</v>
      </c>
      <c r="AD77" s="19" t="s">
        <v>1092</v>
      </c>
      <c r="AE77" s="19">
        <v>1</v>
      </c>
      <c r="AF77" s="19">
        <v>0</v>
      </c>
      <c r="AG77" s="19" t="s">
        <v>1093</v>
      </c>
      <c r="AH77" s="19" t="s">
        <v>2319</v>
      </c>
    </row>
    <row r="78" spans="2:34" hidden="1" x14ac:dyDescent="0.35">
      <c r="B78" s="76">
        <v>46208</v>
      </c>
      <c r="C78" s="19" t="s">
        <v>193</v>
      </c>
      <c r="D78" s="19" t="s">
        <v>126</v>
      </c>
      <c r="E78" s="19" t="s">
        <v>255</v>
      </c>
      <c r="F78" s="19" t="s">
        <v>118</v>
      </c>
      <c r="G78" s="19" t="s">
        <v>256</v>
      </c>
      <c r="H78" s="76">
        <v>46205</v>
      </c>
      <c r="I78" s="19" t="s">
        <v>105</v>
      </c>
      <c r="J78" s="19" t="s">
        <v>1579</v>
      </c>
      <c r="K78" s="19" t="s">
        <v>1127</v>
      </c>
      <c r="L78" s="19" t="s">
        <v>1389</v>
      </c>
      <c r="M78" s="19" t="s">
        <v>1610</v>
      </c>
      <c r="N78" s="19">
        <v>3</v>
      </c>
      <c r="O78" s="19">
        <v>2175</v>
      </c>
      <c r="P78" s="19" t="s">
        <v>1610</v>
      </c>
      <c r="Q78" s="19">
        <v>5381</v>
      </c>
      <c r="R78" s="19">
        <v>9</v>
      </c>
      <c r="S78" s="19">
        <v>195.75</v>
      </c>
      <c r="T78" s="19">
        <v>9</v>
      </c>
      <c r="U78" s="19">
        <v>195.75</v>
      </c>
      <c r="V78" s="19">
        <v>0</v>
      </c>
      <c r="W78" s="19">
        <v>0</v>
      </c>
      <c r="X78" s="19">
        <v>0</v>
      </c>
      <c r="Y78" s="19">
        <v>391.5</v>
      </c>
      <c r="Z78" s="19">
        <v>0</v>
      </c>
      <c r="AA78" s="19" t="s">
        <v>194</v>
      </c>
      <c r="AB78" s="19" t="s">
        <v>1555</v>
      </c>
      <c r="AC78" s="19">
        <v>844849</v>
      </c>
      <c r="AD78" s="19" t="s">
        <v>1092</v>
      </c>
      <c r="AE78" s="19">
        <v>1</v>
      </c>
      <c r="AF78" s="19">
        <v>0</v>
      </c>
      <c r="AG78" s="19" t="s">
        <v>1093</v>
      </c>
      <c r="AH78" s="19" t="s">
        <v>2319</v>
      </c>
    </row>
    <row r="79" spans="2:34" hidden="1" x14ac:dyDescent="0.35">
      <c r="B79" s="76">
        <v>46208</v>
      </c>
      <c r="C79" s="19" t="s">
        <v>193</v>
      </c>
      <c r="D79" s="19" t="s">
        <v>126</v>
      </c>
      <c r="E79" s="19" t="s">
        <v>255</v>
      </c>
      <c r="F79" s="19" t="s">
        <v>118</v>
      </c>
      <c r="G79" s="19" t="s">
        <v>256</v>
      </c>
      <c r="H79" s="76">
        <v>46205</v>
      </c>
      <c r="I79" s="19" t="s">
        <v>105</v>
      </c>
      <c r="J79" s="19" t="s">
        <v>1579</v>
      </c>
      <c r="K79" s="19" t="s">
        <v>1127</v>
      </c>
      <c r="L79" s="19" t="s">
        <v>1389</v>
      </c>
      <c r="M79" s="19" t="s">
        <v>1610</v>
      </c>
      <c r="N79" s="19">
        <v>3</v>
      </c>
      <c r="O79" s="19">
        <v>2085</v>
      </c>
      <c r="P79" s="19" t="s">
        <v>1610</v>
      </c>
      <c r="Q79" s="19">
        <v>0</v>
      </c>
      <c r="R79" s="19">
        <v>9</v>
      </c>
      <c r="S79" s="19">
        <v>214.65</v>
      </c>
      <c r="T79" s="19">
        <v>9</v>
      </c>
      <c r="U79" s="19">
        <v>214.65</v>
      </c>
      <c r="V79" s="19">
        <v>0</v>
      </c>
      <c r="W79" s="19">
        <v>0</v>
      </c>
      <c r="X79" s="19">
        <v>0</v>
      </c>
      <c r="Y79" s="19">
        <v>429.3</v>
      </c>
      <c r="Z79" s="19">
        <v>0</v>
      </c>
      <c r="AA79" s="19" t="s">
        <v>194</v>
      </c>
      <c r="AB79" s="19" t="s">
        <v>1555</v>
      </c>
      <c r="AC79" s="19">
        <v>844849</v>
      </c>
      <c r="AD79" s="19" t="s">
        <v>1092</v>
      </c>
      <c r="AE79" s="19">
        <v>1</v>
      </c>
      <c r="AF79" s="19">
        <v>0</v>
      </c>
      <c r="AG79" s="19" t="s">
        <v>1093</v>
      </c>
      <c r="AH79" s="19" t="s">
        <v>2319</v>
      </c>
    </row>
    <row r="80" spans="2:34" hidden="1" x14ac:dyDescent="0.35">
      <c r="B80" s="76">
        <v>46208</v>
      </c>
      <c r="C80" s="19" t="s">
        <v>259</v>
      </c>
      <c r="D80" s="19" t="s">
        <v>126</v>
      </c>
      <c r="E80" s="19" t="s">
        <v>257</v>
      </c>
      <c r="F80" s="19" t="s">
        <v>118</v>
      </c>
      <c r="G80" s="19" t="s">
        <v>258</v>
      </c>
      <c r="H80" s="76">
        <v>46205</v>
      </c>
      <c r="I80" s="19" t="s">
        <v>105</v>
      </c>
      <c r="J80" s="19" t="s">
        <v>1611</v>
      </c>
      <c r="K80" s="19" t="s">
        <v>1127</v>
      </c>
      <c r="L80" s="19" t="s">
        <v>1389</v>
      </c>
      <c r="M80" s="19" t="s">
        <v>1612</v>
      </c>
      <c r="N80" s="19">
        <v>30</v>
      </c>
      <c r="O80" s="19">
        <v>6570</v>
      </c>
      <c r="P80" s="19" t="s">
        <v>1612</v>
      </c>
      <c r="Q80" s="19">
        <v>18169</v>
      </c>
      <c r="R80" s="19">
        <v>9</v>
      </c>
      <c r="S80" s="19">
        <v>591.29999999999995</v>
      </c>
      <c r="T80" s="19">
        <v>9</v>
      </c>
      <c r="U80" s="19">
        <v>591.29999999999995</v>
      </c>
      <c r="V80" s="19">
        <v>0</v>
      </c>
      <c r="W80" s="19">
        <v>0</v>
      </c>
      <c r="X80" s="19">
        <v>0</v>
      </c>
      <c r="Y80" s="19">
        <v>1182.5999999999999</v>
      </c>
      <c r="Z80" s="19">
        <v>0</v>
      </c>
      <c r="AA80" s="19" t="s">
        <v>260</v>
      </c>
      <c r="AB80" s="19" t="s">
        <v>1572</v>
      </c>
      <c r="AC80" s="19">
        <v>844630</v>
      </c>
      <c r="AD80" s="19" t="s">
        <v>1092</v>
      </c>
      <c r="AE80" s="19">
        <v>1</v>
      </c>
      <c r="AF80" s="19">
        <v>0</v>
      </c>
      <c r="AG80" s="19" t="s">
        <v>1093</v>
      </c>
      <c r="AH80" s="19" t="s">
        <v>2319</v>
      </c>
    </row>
    <row r="81" spans="2:34" hidden="1" x14ac:dyDescent="0.35">
      <c r="B81" s="76">
        <v>46208</v>
      </c>
      <c r="C81" s="19" t="s">
        <v>259</v>
      </c>
      <c r="D81" s="19" t="s">
        <v>126</v>
      </c>
      <c r="E81" s="19" t="s">
        <v>257</v>
      </c>
      <c r="F81" s="19" t="s">
        <v>118</v>
      </c>
      <c r="G81" s="19" t="s">
        <v>258</v>
      </c>
      <c r="H81" s="76">
        <v>46205</v>
      </c>
      <c r="I81" s="19" t="s">
        <v>105</v>
      </c>
      <c r="J81" s="19" t="s">
        <v>1611</v>
      </c>
      <c r="K81" s="19" t="s">
        <v>1127</v>
      </c>
      <c r="L81" s="19" t="s">
        <v>1389</v>
      </c>
      <c r="M81" s="19" t="s">
        <v>1613</v>
      </c>
      <c r="N81" s="19">
        <v>10</v>
      </c>
      <c r="O81" s="19">
        <v>5110</v>
      </c>
      <c r="P81" s="19" t="s">
        <v>1613</v>
      </c>
      <c r="Q81" s="19">
        <v>0</v>
      </c>
      <c r="R81" s="19">
        <v>9</v>
      </c>
      <c r="S81" s="19">
        <v>459.9</v>
      </c>
      <c r="T81" s="19">
        <v>9</v>
      </c>
      <c r="U81" s="19">
        <v>459.9</v>
      </c>
      <c r="V81" s="19">
        <v>0</v>
      </c>
      <c r="W81" s="19">
        <v>0</v>
      </c>
      <c r="X81" s="19">
        <v>0</v>
      </c>
      <c r="Y81" s="19">
        <v>919.8</v>
      </c>
      <c r="Z81" s="19">
        <v>0</v>
      </c>
      <c r="AA81" s="19" t="s">
        <v>260</v>
      </c>
      <c r="AB81" s="19" t="s">
        <v>1555</v>
      </c>
      <c r="AC81" s="19">
        <v>844649</v>
      </c>
      <c r="AD81" s="19" t="s">
        <v>1092</v>
      </c>
      <c r="AE81" s="19">
        <v>1</v>
      </c>
      <c r="AF81" s="19">
        <v>0</v>
      </c>
      <c r="AG81" s="19" t="s">
        <v>1093</v>
      </c>
      <c r="AH81" s="19" t="s">
        <v>2319</v>
      </c>
    </row>
    <row r="82" spans="2:34" hidden="1" x14ac:dyDescent="0.35">
      <c r="B82" s="76">
        <v>46208</v>
      </c>
      <c r="C82" s="19" t="s">
        <v>259</v>
      </c>
      <c r="D82" s="19" t="s">
        <v>126</v>
      </c>
      <c r="E82" s="19" t="s">
        <v>257</v>
      </c>
      <c r="F82" s="19" t="s">
        <v>118</v>
      </c>
      <c r="G82" s="19" t="s">
        <v>258</v>
      </c>
      <c r="H82" s="76">
        <v>46205</v>
      </c>
      <c r="I82" s="19" t="s">
        <v>105</v>
      </c>
      <c r="J82" s="19" t="s">
        <v>1611</v>
      </c>
      <c r="K82" s="19" t="s">
        <v>1127</v>
      </c>
      <c r="L82" s="19" t="s">
        <v>1389</v>
      </c>
      <c r="M82" s="19" t="s">
        <v>1614</v>
      </c>
      <c r="N82" s="19">
        <v>100</v>
      </c>
      <c r="O82" s="19">
        <v>1460</v>
      </c>
      <c r="P82" s="19" t="s">
        <v>1614</v>
      </c>
      <c r="Q82" s="19">
        <v>0</v>
      </c>
      <c r="R82" s="19">
        <v>9</v>
      </c>
      <c r="S82" s="19">
        <v>131.4</v>
      </c>
      <c r="T82" s="19">
        <v>9</v>
      </c>
      <c r="U82" s="19">
        <v>131.4</v>
      </c>
      <c r="V82" s="19">
        <v>0</v>
      </c>
      <c r="W82" s="19">
        <v>0</v>
      </c>
      <c r="X82" s="19">
        <v>0</v>
      </c>
      <c r="Y82" s="19">
        <v>262.8</v>
      </c>
      <c r="Z82" s="19">
        <v>0</v>
      </c>
      <c r="AA82" s="19" t="s">
        <v>260</v>
      </c>
      <c r="AB82" s="19" t="s">
        <v>1555</v>
      </c>
      <c r="AC82" s="19">
        <v>844630</v>
      </c>
      <c r="AD82" s="19" t="s">
        <v>1092</v>
      </c>
      <c r="AE82" s="19">
        <v>1</v>
      </c>
      <c r="AF82" s="19">
        <v>0</v>
      </c>
      <c r="AG82" s="19" t="s">
        <v>1093</v>
      </c>
      <c r="AH82" s="19" t="s">
        <v>2319</v>
      </c>
    </row>
    <row r="83" spans="2:34" hidden="1" x14ac:dyDescent="0.35">
      <c r="B83" s="76">
        <v>46208</v>
      </c>
      <c r="C83" s="19" t="s">
        <v>259</v>
      </c>
      <c r="D83" s="19" t="s">
        <v>126</v>
      </c>
      <c r="E83" s="19" t="s">
        <v>257</v>
      </c>
      <c r="F83" s="19" t="s">
        <v>118</v>
      </c>
      <c r="G83" s="19" t="s">
        <v>258</v>
      </c>
      <c r="H83" s="76">
        <v>46205</v>
      </c>
      <c r="I83" s="19" t="s">
        <v>105</v>
      </c>
      <c r="J83" s="19" t="s">
        <v>1611</v>
      </c>
      <c r="K83" s="19" t="s">
        <v>1127</v>
      </c>
      <c r="L83" s="19" t="s">
        <v>1389</v>
      </c>
      <c r="M83" s="19" t="s">
        <v>1615</v>
      </c>
      <c r="N83" s="19">
        <v>5</v>
      </c>
      <c r="O83" s="19">
        <v>2007.5</v>
      </c>
      <c r="P83" s="19" t="s">
        <v>1615</v>
      </c>
      <c r="Q83" s="19">
        <v>0</v>
      </c>
      <c r="R83" s="19">
        <v>9</v>
      </c>
      <c r="S83" s="19">
        <v>203.18</v>
      </c>
      <c r="T83" s="19">
        <v>9</v>
      </c>
      <c r="U83" s="19">
        <v>203.18</v>
      </c>
      <c r="V83" s="19">
        <v>0</v>
      </c>
      <c r="W83" s="19">
        <v>0</v>
      </c>
      <c r="X83" s="19">
        <v>0</v>
      </c>
      <c r="Y83" s="19">
        <v>406.36</v>
      </c>
      <c r="Z83" s="19">
        <v>0</v>
      </c>
      <c r="AA83" s="19" t="s">
        <v>260</v>
      </c>
      <c r="AB83" s="19" t="s">
        <v>1555</v>
      </c>
      <c r="AC83" s="19">
        <v>84490000</v>
      </c>
      <c r="AD83" s="19" t="s">
        <v>1092</v>
      </c>
      <c r="AE83" s="19">
        <v>1</v>
      </c>
      <c r="AF83" s="19">
        <v>0</v>
      </c>
      <c r="AG83" s="19" t="s">
        <v>1093</v>
      </c>
      <c r="AH83" s="19" t="s">
        <v>2319</v>
      </c>
    </row>
    <row r="84" spans="2:34" x14ac:dyDescent="0.35">
      <c r="B84" s="76">
        <v>46208</v>
      </c>
      <c r="C84" s="19" t="s">
        <v>178</v>
      </c>
      <c r="D84" s="19" t="s">
        <v>173</v>
      </c>
      <c r="E84" s="19" t="s">
        <v>267</v>
      </c>
      <c r="F84" s="19" t="s">
        <v>123</v>
      </c>
      <c r="G84" s="19" t="s">
        <v>268</v>
      </c>
      <c r="H84" s="76">
        <v>46207</v>
      </c>
      <c r="I84" s="19" t="s">
        <v>36</v>
      </c>
      <c r="J84" s="19" t="s">
        <v>1117</v>
      </c>
      <c r="K84" s="19" t="s">
        <v>44</v>
      </c>
      <c r="L84" s="19" t="s">
        <v>1118</v>
      </c>
      <c r="M84" s="19" t="s">
        <v>1119</v>
      </c>
      <c r="N84" s="19">
        <v>858</v>
      </c>
      <c r="O84" s="19">
        <v>190390.2</v>
      </c>
      <c r="P84" s="19" t="s">
        <v>1119</v>
      </c>
      <c r="Q84" s="19">
        <v>1253765.44</v>
      </c>
      <c r="R84" s="19">
        <v>9</v>
      </c>
      <c r="S84" s="19">
        <v>17135.12</v>
      </c>
      <c r="T84" s="19">
        <v>9</v>
      </c>
      <c r="U84" s="19">
        <v>17135.12</v>
      </c>
      <c r="V84" s="19">
        <v>0</v>
      </c>
      <c r="W84" s="19">
        <v>0</v>
      </c>
      <c r="X84" s="19">
        <v>0</v>
      </c>
      <c r="Y84" s="19">
        <v>34270.239999999998</v>
      </c>
      <c r="Z84" s="19">
        <v>0</v>
      </c>
      <c r="AA84" s="19" t="s">
        <v>179</v>
      </c>
      <c r="AB84" s="19" t="s">
        <v>1289</v>
      </c>
      <c r="AC84" s="19">
        <v>39269080</v>
      </c>
      <c r="AD84" s="19" t="s">
        <v>1092</v>
      </c>
      <c r="AE84" s="19">
        <v>1</v>
      </c>
      <c r="AF84" s="19">
        <f t="shared" ref="AF84:AF88" si="0">N84</f>
        <v>858</v>
      </c>
      <c r="AG84" s="19" t="s">
        <v>1093</v>
      </c>
      <c r="AH84" s="19" t="s">
        <v>44</v>
      </c>
    </row>
    <row r="85" spans="2:34" x14ac:dyDescent="0.35">
      <c r="B85" s="76">
        <v>46208</v>
      </c>
      <c r="C85" s="19" t="s">
        <v>178</v>
      </c>
      <c r="D85" s="19" t="s">
        <v>173</v>
      </c>
      <c r="E85" s="19" t="s">
        <v>267</v>
      </c>
      <c r="F85" s="19" t="s">
        <v>123</v>
      </c>
      <c r="G85" s="19" t="s">
        <v>268</v>
      </c>
      <c r="H85" s="76">
        <v>46207</v>
      </c>
      <c r="I85" s="19" t="s">
        <v>36</v>
      </c>
      <c r="J85" s="19" t="s">
        <v>1117</v>
      </c>
      <c r="K85" s="19" t="s">
        <v>44</v>
      </c>
      <c r="L85" s="19" t="s">
        <v>1118</v>
      </c>
      <c r="M85" s="19" t="s">
        <v>1119</v>
      </c>
      <c r="N85" s="19">
        <v>327</v>
      </c>
      <c r="O85" s="19">
        <v>52287.3</v>
      </c>
      <c r="P85" s="19" t="s">
        <v>1119</v>
      </c>
      <c r="Q85" s="19">
        <v>0</v>
      </c>
      <c r="R85" s="19">
        <v>9</v>
      </c>
      <c r="S85" s="19">
        <v>4705.8599999999997</v>
      </c>
      <c r="T85" s="19">
        <v>9</v>
      </c>
      <c r="U85" s="19">
        <v>4705.8599999999997</v>
      </c>
      <c r="V85" s="19">
        <v>0</v>
      </c>
      <c r="W85" s="19">
        <v>0</v>
      </c>
      <c r="X85" s="19">
        <v>0</v>
      </c>
      <c r="Y85" s="19">
        <v>9411.7199999999993</v>
      </c>
      <c r="Z85" s="19">
        <v>0</v>
      </c>
      <c r="AA85" s="19" t="s">
        <v>179</v>
      </c>
      <c r="AB85" s="19" t="s">
        <v>1289</v>
      </c>
      <c r="AC85" s="19">
        <v>39269080</v>
      </c>
      <c r="AD85" s="19" t="s">
        <v>1092</v>
      </c>
      <c r="AE85" s="19">
        <v>1</v>
      </c>
      <c r="AF85" s="19">
        <f t="shared" si="0"/>
        <v>327</v>
      </c>
      <c r="AG85" s="19" t="s">
        <v>1093</v>
      </c>
      <c r="AH85" s="19" t="s">
        <v>44</v>
      </c>
    </row>
    <row r="86" spans="2:34" x14ac:dyDescent="0.35">
      <c r="B86" s="76">
        <v>46208</v>
      </c>
      <c r="C86" s="19" t="s">
        <v>178</v>
      </c>
      <c r="D86" s="19" t="s">
        <v>173</v>
      </c>
      <c r="E86" s="19" t="s">
        <v>267</v>
      </c>
      <c r="F86" s="19" t="s">
        <v>123</v>
      </c>
      <c r="G86" s="19" t="s">
        <v>268</v>
      </c>
      <c r="H86" s="76">
        <v>46207</v>
      </c>
      <c r="I86" s="19" t="s">
        <v>36</v>
      </c>
      <c r="J86" s="19" t="s">
        <v>1117</v>
      </c>
      <c r="K86" s="19" t="s">
        <v>44</v>
      </c>
      <c r="L86" s="19" t="s">
        <v>1118</v>
      </c>
      <c r="M86" s="19" t="s">
        <v>1119</v>
      </c>
      <c r="N86" s="19">
        <v>4559</v>
      </c>
      <c r="O86" s="19">
        <v>738102.1</v>
      </c>
      <c r="P86" s="19" t="s">
        <v>1119</v>
      </c>
      <c r="Q86" s="19">
        <v>0</v>
      </c>
      <c r="R86" s="19">
        <v>9</v>
      </c>
      <c r="S86" s="19">
        <v>66429.19</v>
      </c>
      <c r="T86" s="19">
        <v>9</v>
      </c>
      <c r="U86" s="19">
        <v>66429.19</v>
      </c>
      <c r="V86" s="19">
        <v>0</v>
      </c>
      <c r="W86" s="19">
        <v>0</v>
      </c>
      <c r="X86" s="19">
        <v>0</v>
      </c>
      <c r="Y86" s="19">
        <v>132858.38</v>
      </c>
      <c r="Z86" s="19">
        <v>0</v>
      </c>
      <c r="AA86" s="19" t="s">
        <v>179</v>
      </c>
      <c r="AB86" s="19" t="s">
        <v>1289</v>
      </c>
      <c r="AC86" s="19">
        <v>39269080</v>
      </c>
      <c r="AD86" s="19" t="s">
        <v>1092</v>
      </c>
      <c r="AE86" s="19">
        <v>1</v>
      </c>
      <c r="AF86" s="19">
        <f t="shared" si="0"/>
        <v>4559</v>
      </c>
      <c r="AG86" s="19" t="s">
        <v>1093</v>
      </c>
      <c r="AH86" s="19" t="s">
        <v>44</v>
      </c>
    </row>
    <row r="87" spans="2:34" x14ac:dyDescent="0.35">
      <c r="B87" s="76">
        <v>46208</v>
      </c>
      <c r="C87" s="19" t="s">
        <v>178</v>
      </c>
      <c r="D87" s="19" t="s">
        <v>173</v>
      </c>
      <c r="E87" s="19" t="s">
        <v>267</v>
      </c>
      <c r="F87" s="19" t="s">
        <v>123</v>
      </c>
      <c r="G87" s="19" t="s">
        <v>268</v>
      </c>
      <c r="H87" s="76">
        <v>46207</v>
      </c>
      <c r="I87" s="19" t="s">
        <v>36</v>
      </c>
      <c r="J87" s="19" t="s">
        <v>1350</v>
      </c>
      <c r="K87" s="19" t="s">
        <v>39</v>
      </c>
      <c r="L87" s="19" t="s">
        <v>1616</v>
      </c>
      <c r="M87" s="19" t="s">
        <v>1594</v>
      </c>
      <c r="N87" s="19">
        <v>247</v>
      </c>
      <c r="O87" s="19">
        <v>47668.53</v>
      </c>
      <c r="P87" s="19" t="s">
        <v>1594</v>
      </c>
      <c r="Q87" s="19">
        <v>0</v>
      </c>
      <c r="R87" s="19">
        <v>9</v>
      </c>
      <c r="S87" s="19">
        <v>4290.17</v>
      </c>
      <c r="T87" s="19">
        <v>9</v>
      </c>
      <c r="U87" s="19">
        <v>4290.17</v>
      </c>
      <c r="V87" s="19">
        <v>0</v>
      </c>
      <c r="W87" s="19">
        <v>0</v>
      </c>
      <c r="X87" s="19">
        <v>0</v>
      </c>
      <c r="Y87" s="19">
        <v>8580.34</v>
      </c>
      <c r="Z87" s="19">
        <v>0</v>
      </c>
      <c r="AA87" s="19" t="s">
        <v>179</v>
      </c>
      <c r="AB87" s="19" t="s">
        <v>1289</v>
      </c>
      <c r="AC87" s="19">
        <v>39232100</v>
      </c>
      <c r="AD87" s="19" t="s">
        <v>1092</v>
      </c>
      <c r="AE87" s="19">
        <v>1</v>
      </c>
      <c r="AF87" s="19">
        <f t="shared" si="0"/>
        <v>247</v>
      </c>
      <c r="AG87" s="19" t="s">
        <v>1093</v>
      </c>
      <c r="AH87" s="19" t="s">
        <v>39</v>
      </c>
    </row>
    <row r="88" spans="2:34" x14ac:dyDescent="0.35">
      <c r="B88" s="76">
        <v>46208</v>
      </c>
      <c r="C88" s="19" t="s">
        <v>178</v>
      </c>
      <c r="D88" s="19" t="s">
        <v>173</v>
      </c>
      <c r="E88" s="19" t="s">
        <v>267</v>
      </c>
      <c r="F88" s="19" t="s">
        <v>123</v>
      </c>
      <c r="G88" s="19" t="s">
        <v>268</v>
      </c>
      <c r="H88" s="76">
        <v>46207</v>
      </c>
      <c r="I88" s="19" t="s">
        <v>36</v>
      </c>
      <c r="J88" s="19" t="s">
        <v>1617</v>
      </c>
      <c r="K88" s="19" t="s">
        <v>40</v>
      </c>
      <c r="L88" s="19" t="s">
        <v>1616</v>
      </c>
      <c r="M88" s="19" t="s">
        <v>1618</v>
      </c>
      <c r="N88" s="19">
        <v>186</v>
      </c>
      <c r="O88" s="19">
        <v>34966.14</v>
      </c>
      <c r="P88" s="19" t="s">
        <v>1618</v>
      </c>
      <c r="Q88" s="19">
        <v>0</v>
      </c>
      <c r="R88" s="19">
        <v>9</v>
      </c>
      <c r="S88" s="19">
        <v>3146.95</v>
      </c>
      <c r="T88" s="19">
        <v>9</v>
      </c>
      <c r="U88" s="19">
        <v>3146.95</v>
      </c>
      <c r="V88" s="19">
        <v>0</v>
      </c>
      <c r="W88" s="19">
        <v>0</v>
      </c>
      <c r="X88" s="19">
        <v>0</v>
      </c>
      <c r="Y88" s="19">
        <v>6293.9</v>
      </c>
      <c r="Z88" s="19">
        <v>0</v>
      </c>
      <c r="AA88" s="19" t="s">
        <v>179</v>
      </c>
      <c r="AB88" s="19" t="s">
        <v>1289</v>
      </c>
      <c r="AC88" s="19">
        <v>39201019</v>
      </c>
      <c r="AD88" s="19" t="s">
        <v>1092</v>
      </c>
      <c r="AE88" s="19">
        <v>1</v>
      </c>
      <c r="AF88" s="19">
        <f t="shared" si="0"/>
        <v>186</v>
      </c>
      <c r="AG88" s="19" t="s">
        <v>1093</v>
      </c>
      <c r="AH88" s="19" t="s">
        <v>40</v>
      </c>
    </row>
    <row r="89" spans="2:34" x14ac:dyDescent="0.35">
      <c r="B89" s="76">
        <v>46208</v>
      </c>
      <c r="C89" s="19" t="s">
        <v>186</v>
      </c>
      <c r="D89" s="19" t="s">
        <v>173</v>
      </c>
      <c r="E89" s="19" t="s">
        <v>265</v>
      </c>
      <c r="F89" s="19" t="s">
        <v>123</v>
      </c>
      <c r="G89" s="19" t="s">
        <v>266</v>
      </c>
      <c r="H89" s="76">
        <v>46207</v>
      </c>
      <c r="I89" s="19" t="s">
        <v>36</v>
      </c>
      <c r="J89" s="19" t="s">
        <v>1087</v>
      </c>
      <c r="K89" s="19" t="s">
        <v>46</v>
      </c>
      <c r="L89" s="19" t="s">
        <v>1213</v>
      </c>
      <c r="M89" s="19" t="s">
        <v>1564</v>
      </c>
      <c r="N89" s="19">
        <v>3055.84</v>
      </c>
      <c r="O89" s="19">
        <v>626431.92079999996</v>
      </c>
      <c r="P89" s="19" t="s">
        <v>1564</v>
      </c>
      <c r="Q89" s="19">
        <v>657754</v>
      </c>
      <c r="R89" s="19">
        <v>2.5</v>
      </c>
      <c r="S89" s="19">
        <v>15660.8</v>
      </c>
      <c r="T89" s="19">
        <v>2.5</v>
      </c>
      <c r="U89" s="19">
        <v>15660.8</v>
      </c>
      <c r="V89" s="19">
        <v>0</v>
      </c>
      <c r="W89" s="19">
        <v>0</v>
      </c>
      <c r="X89" s="19">
        <v>0</v>
      </c>
      <c r="Y89" s="19">
        <v>31321.599999999999</v>
      </c>
      <c r="Z89" s="19">
        <v>0</v>
      </c>
      <c r="AA89" s="19" t="s">
        <v>187</v>
      </c>
      <c r="AB89" s="19" t="s">
        <v>1289</v>
      </c>
      <c r="AC89" s="19">
        <v>12345678</v>
      </c>
      <c r="AD89" s="19" t="s">
        <v>1092</v>
      </c>
      <c r="AE89" s="19">
        <v>1</v>
      </c>
      <c r="AF89" s="19">
        <v>3055.6</v>
      </c>
      <c r="AG89" s="19" t="s">
        <v>1093</v>
      </c>
      <c r="AH89" s="19" t="s">
        <v>46</v>
      </c>
    </row>
    <row r="90" spans="2:34" hidden="1" x14ac:dyDescent="0.35">
      <c r="B90" s="76">
        <v>46208</v>
      </c>
      <c r="C90" s="19" t="s">
        <v>138</v>
      </c>
      <c r="D90" s="19" t="s">
        <v>7</v>
      </c>
      <c r="E90" s="19" t="s">
        <v>251</v>
      </c>
      <c r="F90" s="19" t="s">
        <v>119</v>
      </c>
      <c r="G90" s="19" t="s">
        <v>252</v>
      </c>
      <c r="H90" s="76">
        <v>46207</v>
      </c>
      <c r="I90" s="19" t="s">
        <v>105</v>
      </c>
      <c r="J90" s="19" t="s">
        <v>1142</v>
      </c>
      <c r="K90" s="19" t="s">
        <v>1509</v>
      </c>
      <c r="L90" s="19" t="s">
        <v>1509</v>
      </c>
      <c r="M90" s="19" t="s">
        <v>1196</v>
      </c>
      <c r="N90" s="19">
        <v>278</v>
      </c>
      <c r="O90" s="19">
        <v>13344</v>
      </c>
      <c r="P90" s="19" t="s">
        <v>1196</v>
      </c>
      <c r="Q90" s="19">
        <v>15732.58</v>
      </c>
      <c r="R90" s="19">
        <v>9</v>
      </c>
      <c r="S90" s="19">
        <v>1200.96</v>
      </c>
      <c r="T90" s="19">
        <v>9</v>
      </c>
      <c r="U90" s="19">
        <v>1200.96</v>
      </c>
      <c r="V90" s="19">
        <v>0</v>
      </c>
      <c r="W90" s="19">
        <v>0</v>
      </c>
      <c r="X90" s="19">
        <v>0</v>
      </c>
      <c r="Y90" s="19">
        <v>2401.92</v>
      </c>
      <c r="Z90" s="19">
        <v>0</v>
      </c>
      <c r="AA90" s="19" t="s">
        <v>135</v>
      </c>
      <c r="AB90" s="19" t="s">
        <v>1289</v>
      </c>
      <c r="AC90" s="19">
        <v>73063090</v>
      </c>
      <c r="AD90" s="19" t="s">
        <v>1092</v>
      </c>
      <c r="AE90" s="19">
        <v>1</v>
      </c>
      <c r="AF90" s="19">
        <v>0</v>
      </c>
      <c r="AG90" s="19" t="s">
        <v>1093</v>
      </c>
      <c r="AH90" s="19" t="s">
        <v>2319</v>
      </c>
    </row>
    <row r="91" spans="2:34" x14ac:dyDescent="0.35">
      <c r="B91" s="76">
        <v>46208</v>
      </c>
      <c r="C91" s="19" t="s">
        <v>138</v>
      </c>
      <c r="D91" s="19" t="s">
        <v>173</v>
      </c>
      <c r="E91" s="19" t="s">
        <v>263</v>
      </c>
      <c r="F91" s="19" t="s">
        <v>123</v>
      </c>
      <c r="G91" s="19" t="s">
        <v>264</v>
      </c>
      <c r="H91" s="76">
        <v>46207</v>
      </c>
      <c r="I91" s="19" t="s">
        <v>36</v>
      </c>
      <c r="J91" s="19" t="s">
        <v>1350</v>
      </c>
      <c r="K91" s="19" t="s">
        <v>39</v>
      </c>
      <c r="L91" s="19" t="s">
        <v>1351</v>
      </c>
      <c r="M91" s="19" t="s">
        <v>1352</v>
      </c>
      <c r="N91" s="19">
        <v>878</v>
      </c>
      <c r="O91" s="19">
        <v>163992.84</v>
      </c>
      <c r="P91" s="19" t="s">
        <v>1352</v>
      </c>
      <c r="Q91" s="19">
        <v>193347.57</v>
      </c>
      <c r="R91" s="19">
        <v>9</v>
      </c>
      <c r="S91" s="19">
        <v>14759.36</v>
      </c>
      <c r="T91" s="19">
        <v>9</v>
      </c>
      <c r="U91" s="19">
        <v>14759.36</v>
      </c>
      <c r="V91" s="19">
        <v>0</v>
      </c>
      <c r="W91" s="19">
        <v>0</v>
      </c>
      <c r="X91" s="19">
        <v>0</v>
      </c>
      <c r="Y91" s="19">
        <v>29518.720000000001</v>
      </c>
      <c r="Z91" s="19">
        <v>0</v>
      </c>
      <c r="AA91" s="19" t="s">
        <v>135</v>
      </c>
      <c r="AB91" s="19" t="s">
        <v>1289</v>
      </c>
      <c r="AC91" s="19">
        <v>39200000</v>
      </c>
      <c r="AD91" s="19" t="s">
        <v>1092</v>
      </c>
      <c r="AE91" s="19">
        <v>1</v>
      </c>
      <c r="AF91" s="19">
        <v>878</v>
      </c>
      <c r="AG91" s="19" t="s">
        <v>1093</v>
      </c>
      <c r="AH91" s="19" t="s">
        <v>39</v>
      </c>
    </row>
    <row r="92" spans="2:34" x14ac:dyDescent="0.35">
      <c r="B92" s="76">
        <v>46208</v>
      </c>
      <c r="C92" s="19" t="s">
        <v>134</v>
      </c>
      <c r="D92" s="19" t="s">
        <v>173</v>
      </c>
      <c r="E92" s="19" t="s">
        <v>261</v>
      </c>
      <c r="F92" s="19" t="s">
        <v>123</v>
      </c>
      <c r="G92" s="19" t="s">
        <v>262</v>
      </c>
      <c r="H92" s="76">
        <v>46207</v>
      </c>
      <c r="I92" s="19" t="s">
        <v>28</v>
      </c>
      <c r="J92" s="19" t="s">
        <v>1173</v>
      </c>
      <c r="K92" s="19" t="s">
        <v>34</v>
      </c>
      <c r="L92" s="19" t="s">
        <v>1105</v>
      </c>
      <c r="M92" s="19" t="s">
        <v>1619</v>
      </c>
      <c r="N92" s="19">
        <v>5000</v>
      </c>
      <c r="O92" s="19">
        <v>696750</v>
      </c>
      <c r="P92" s="19" t="s">
        <v>1619</v>
      </c>
      <c r="Q92" s="19">
        <v>821468.25</v>
      </c>
      <c r="R92" s="19">
        <v>9</v>
      </c>
      <c r="S92" s="19">
        <v>62707.5</v>
      </c>
      <c r="T92" s="19">
        <v>9</v>
      </c>
      <c r="U92" s="19">
        <v>62707.5</v>
      </c>
      <c r="V92" s="19">
        <v>0</v>
      </c>
      <c r="W92" s="19">
        <v>0</v>
      </c>
      <c r="X92" s="19">
        <v>0</v>
      </c>
      <c r="Y92" s="19">
        <v>125415</v>
      </c>
      <c r="Z92" s="19">
        <v>0</v>
      </c>
      <c r="AA92" s="19" t="s">
        <v>135</v>
      </c>
      <c r="AB92" s="19" t="s">
        <v>1289</v>
      </c>
      <c r="AC92" s="19">
        <v>39021000</v>
      </c>
      <c r="AD92" s="19" t="s">
        <v>1092</v>
      </c>
      <c r="AE92" s="19">
        <v>1</v>
      </c>
      <c r="AF92" s="19">
        <v>5000</v>
      </c>
      <c r="AG92" s="19" t="s">
        <v>1093</v>
      </c>
      <c r="AH92" s="19" t="s">
        <v>34</v>
      </c>
    </row>
    <row r="93" spans="2:34" x14ac:dyDescent="0.35">
      <c r="B93" s="76">
        <v>46209</v>
      </c>
      <c r="C93" s="19" t="s">
        <v>292</v>
      </c>
      <c r="D93" s="19" t="s">
        <v>173</v>
      </c>
      <c r="E93" s="19" t="s">
        <v>290</v>
      </c>
      <c r="F93" s="19" t="s">
        <v>120</v>
      </c>
      <c r="G93" s="19" t="s">
        <v>291</v>
      </c>
      <c r="H93" s="76">
        <v>46205</v>
      </c>
      <c r="I93" s="19" t="s">
        <v>28</v>
      </c>
      <c r="J93" s="19" t="s">
        <v>1173</v>
      </c>
      <c r="K93" s="19" t="s">
        <v>33</v>
      </c>
      <c r="L93" s="19" t="s">
        <v>1186</v>
      </c>
      <c r="M93" s="19" t="s">
        <v>1620</v>
      </c>
      <c r="N93" s="19">
        <v>250</v>
      </c>
      <c r="O93" s="19">
        <v>124500</v>
      </c>
      <c r="P93" s="19" t="s">
        <v>1620</v>
      </c>
      <c r="Q93" s="19">
        <v>146910</v>
      </c>
      <c r="R93" s="19">
        <v>0</v>
      </c>
      <c r="S93" s="19">
        <v>0</v>
      </c>
      <c r="T93" s="19">
        <v>0</v>
      </c>
      <c r="U93" s="19">
        <v>0</v>
      </c>
      <c r="V93" s="19">
        <v>18</v>
      </c>
      <c r="W93" s="19">
        <v>22410</v>
      </c>
      <c r="X93" s="19">
        <v>0</v>
      </c>
      <c r="Y93" s="19">
        <v>22410</v>
      </c>
      <c r="Z93" s="19">
        <v>0</v>
      </c>
      <c r="AA93" s="19" t="s">
        <v>293</v>
      </c>
      <c r="AB93" s="19" t="s">
        <v>1289</v>
      </c>
      <c r="AC93" s="19">
        <v>32041990</v>
      </c>
      <c r="AD93" s="19" t="s">
        <v>1092</v>
      </c>
      <c r="AE93" s="19">
        <v>1</v>
      </c>
      <c r="AF93" s="19">
        <v>250</v>
      </c>
      <c r="AG93" s="19" t="s">
        <v>1093</v>
      </c>
      <c r="AH93" s="19" t="s">
        <v>33</v>
      </c>
    </row>
    <row r="94" spans="2:34" hidden="1" x14ac:dyDescent="0.35">
      <c r="B94" s="76">
        <v>46209</v>
      </c>
      <c r="C94" s="19" t="s">
        <v>284</v>
      </c>
      <c r="D94" s="19" t="s">
        <v>126</v>
      </c>
      <c r="E94" s="19" t="s">
        <v>282</v>
      </c>
      <c r="F94" s="19" t="s">
        <v>118</v>
      </c>
      <c r="G94" s="19" t="s">
        <v>283</v>
      </c>
      <c r="H94" s="76">
        <v>46205</v>
      </c>
      <c r="I94" s="19" t="s">
        <v>102</v>
      </c>
      <c r="J94" s="19" t="s">
        <v>1621</v>
      </c>
      <c r="K94" s="19" t="s">
        <v>1127</v>
      </c>
      <c r="L94" s="19" t="s">
        <v>1389</v>
      </c>
      <c r="M94" s="19" t="s">
        <v>1622</v>
      </c>
      <c r="N94" s="19">
        <v>100</v>
      </c>
      <c r="O94" s="19">
        <v>5000</v>
      </c>
      <c r="P94" s="19" t="s">
        <v>1622</v>
      </c>
      <c r="Q94" s="19">
        <v>5994</v>
      </c>
      <c r="R94" s="19">
        <v>9</v>
      </c>
      <c r="S94" s="19">
        <v>450</v>
      </c>
      <c r="T94" s="19">
        <v>9</v>
      </c>
      <c r="U94" s="19">
        <v>450</v>
      </c>
      <c r="V94" s="19">
        <v>0</v>
      </c>
      <c r="W94" s="19">
        <v>0</v>
      </c>
      <c r="X94" s="19">
        <v>14.4</v>
      </c>
      <c r="Y94" s="19">
        <v>914.4</v>
      </c>
      <c r="Z94" s="19">
        <v>0</v>
      </c>
      <c r="AA94" s="19" t="s">
        <v>285</v>
      </c>
      <c r="AB94" s="19" t="s">
        <v>1555</v>
      </c>
      <c r="AC94" s="19">
        <v>40169330</v>
      </c>
      <c r="AD94" s="19" t="s">
        <v>1092</v>
      </c>
      <c r="AE94" s="19">
        <v>1</v>
      </c>
      <c r="AF94" s="19">
        <v>0</v>
      </c>
      <c r="AG94" s="19" t="s">
        <v>1093</v>
      </c>
      <c r="AH94" s="19" t="s">
        <v>2319</v>
      </c>
    </row>
    <row r="95" spans="2:34" hidden="1" x14ac:dyDescent="0.35">
      <c r="B95" s="76">
        <v>46209</v>
      </c>
      <c r="C95" s="19" t="s">
        <v>280</v>
      </c>
      <c r="D95" s="19" t="s">
        <v>126</v>
      </c>
      <c r="E95" s="19" t="s">
        <v>278</v>
      </c>
      <c r="F95" s="19" t="s">
        <v>118</v>
      </c>
      <c r="G95" s="19" t="s">
        <v>279</v>
      </c>
      <c r="H95" s="76">
        <v>46151</v>
      </c>
      <c r="I95" s="19" t="s">
        <v>105</v>
      </c>
      <c r="J95" s="19" t="s">
        <v>1623</v>
      </c>
      <c r="K95" s="19" t="s">
        <v>1127</v>
      </c>
      <c r="L95" s="19" t="s">
        <v>1389</v>
      </c>
      <c r="M95" s="19" t="s">
        <v>1624</v>
      </c>
      <c r="N95" s="19">
        <v>3</v>
      </c>
      <c r="O95" s="19">
        <v>4644</v>
      </c>
      <c r="P95" s="19" t="s">
        <v>1624</v>
      </c>
      <c r="Q95" s="19">
        <v>11074</v>
      </c>
      <c r="R95" s="19">
        <v>9</v>
      </c>
      <c r="S95" s="19">
        <v>417.96</v>
      </c>
      <c r="T95" s="19">
        <v>9</v>
      </c>
      <c r="U95" s="19">
        <v>417.96</v>
      </c>
      <c r="V95" s="19">
        <v>0</v>
      </c>
      <c r="W95" s="19">
        <v>0</v>
      </c>
      <c r="X95" s="19">
        <v>0</v>
      </c>
      <c r="Y95" s="19">
        <v>835.92</v>
      </c>
      <c r="Z95" s="19">
        <v>0</v>
      </c>
      <c r="AA95" s="19" t="s">
        <v>281</v>
      </c>
      <c r="AB95" s="19" t="s">
        <v>1572</v>
      </c>
      <c r="AC95" s="19">
        <v>853610</v>
      </c>
      <c r="AD95" s="19" t="s">
        <v>1092</v>
      </c>
      <c r="AE95" s="19">
        <v>1</v>
      </c>
      <c r="AF95" s="19">
        <v>0</v>
      </c>
      <c r="AG95" s="19" t="s">
        <v>1093</v>
      </c>
      <c r="AH95" s="19" t="s">
        <v>2319</v>
      </c>
    </row>
    <row r="96" spans="2:34" hidden="1" x14ac:dyDescent="0.35">
      <c r="B96" s="76">
        <v>46209</v>
      </c>
      <c r="C96" s="19" t="s">
        <v>280</v>
      </c>
      <c r="D96" s="19" t="s">
        <v>126</v>
      </c>
      <c r="E96" s="19" t="s">
        <v>278</v>
      </c>
      <c r="F96" s="19" t="s">
        <v>118</v>
      </c>
      <c r="G96" s="19" t="s">
        <v>279</v>
      </c>
      <c r="H96" s="76">
        <v>46151</v>
      </c>
      <c r="I96" s="19" t="s">
        <v>105</v>
      </c>
      <c r="J96" s="19" t="s">
        <v>1623</v>
      </c>
      <c r="K96" s="19" t="s">
        <v>1127</v>
      </c>
      <c r="L96" s="19" t="s">
        <v>1389</v>
      </c>
      <c r="M96" s="19" t="s">
        <v>1625</v>
      </c>
      <c r="N96" s="19">
        <v>3</v>
      </c>
      <c r="O96" s="19">
        <v>4740.96</v>
      </c>
      <c r="P96" s="19" t="s">
        <v>1625</v>
      </c>
      <c r="Q96" s="19">
        <v>0</v>
      </c>
      <c r="R96" s="19">
        <v>9</v>
      </c>
      <c r="S96" s="19">
        <v>426.69</v>
      </c>
      <c r="T96" s="19">
        <v>9</v>
      </c>
      <c r="U96" s="19">
        <v>426.69</v>
      </c>
      <c r="V96" s="19">
        <v>0</v>
      </c>
      <c r="W96" s="19">
        <v>0</v>
      </c>
      <c r="X96" s="19">
        <v>0</v>
      </c>
      <c r="Y96" s="19">
        <v>853.38</v>
      </c>
      <c r="Z96" s="19">
        <v>0</v>
      </c>
      <c r="AA96" s="19" t="s">
        <v>281</v>
      </c>
      <c r="AB96" s="19" t="s">
        <v>1555</v>
      </c>
      <c r="AC96" s="19">
        <v>853690</v>
      </c>
      <c r="AD96" s="19" t="s">
        <v>1092</v>
      </c>
      <c r="AE96" s="19">
        <v>1</v>
      </c>
      <c r="AF96" s="19">
        <v>0</v>
      </c>
      <c r="AG96" s="19" t="s">
        <v>1093</v>
      </c>
      <c r="AH96" s="19" t="s">
        <v>2319</v>
      </c>
    </row>
    <row r="97" spans="2:34" x14ac:dyDescent="0.35">
      <c r="B97" s="76">
        <v>46209</v>
      </c>
      <c r="C97" s="19" t="s">
        <v>228</v>
      </c>
      <c r="D97" s="19" t="s">
        <v>227</v>
      </c>
      <c r="E97" s="19" t="s">
        <v>298</v>
      </c>
      <c r="F97" s="19" t="s">
        <v>122</v>
      </c>
      <c r="G97" s="19" t="s">
        <v>1626</v>
      </c>
      <c r="H97" s="76">
        <v>46076</v>
      </c>
      <c r="I97" s="19" t="s">
        <v>28</v>
      </c>
      <c r="J97" s="19" t="s">
        <v>1173</v>
      </c>
      <c r="K97" s="19" t="s">
        <v>34</v>
      </c>
      <c r="L97" s="19" t="s">
        <v>1105</v>
      </c>
      <c r="M97" s="19" t="s">
        <v>1174</v>
      </c>
      <c r="N97" s="19">
        <v>99000</v>
      </c>
      <c r="O97" s="19">
        <v>7642107</v>
      </c>
      <c r="P97" s="19" t="s">
        <v>1174</v>
      </c>
      <c r="Q97" s="19">
        <v>7642107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 t="s">
        <v>229</v>
      </c>
      <c r="AB97" s="19" t="s">
        <v>1289</v>
      </c>
      <c r="AC97" s="19">
        <v>39021000</v>
      </c>
      <c r="AD97" s="19" t="s">
        <v>1092</v>
      </c>
      <c r="AE97" s="19">
        <v>1</v>
      </c>
      <c r="AF97" s="19">
        <v>99000</v>
      </c>
      <c r="AG97" s="19" t="s">
        <v>1596</v>
      </c>
      <c r="AH97" s="19" t="s">
        <v>34</v>
      </c>
    </row>
    <row r="98" spans="2:34" x14ac:dyDescent="0.35">
      <c r="B98" s="76">
        <v>46209</v>
      </c>
      <c r="C98" s="19" t="s">
        <v>296</v>
      </c>
      <c r="D98" s="19" t="s">
        <v>173</v>
      </c>
      <c r="E98" s="19" t="s">
        <v>294</v>
      </c>
      <c r="F98" s="19" t="s">
        <v>123</v>
      </c>
      <c r="G98" s="19" t="s">
        <v>295</v>
      </c>
      <c r="H98" s="76">
        <v>46209</v>
      </c>
      <c r="I98" s="19" t="s">
        <v>28</v>
      </c>
      <c r="J98" s="19" t="s">
        <v>1173</v>
      </c>
      <c r="K98" s="19" t="s">
        <v>33</v>
      </c>
      <c r="L98" s="19" t="s">
        <v>1186</v>
      </c>
      <c r="M98" s="19" t="s">
        <v>1627</v>
      </c>
      <c r="N98" s="19">
        <v>100</v>
      </c>
      <c r="O98" s="19">
        <v>23280</v>
      </c>
      <c r="P98" s="19" t="s">
        <v>1627</v>
      </c>
      <c r="Q98" s="19">
        <v>488916</v>
      </c>
      <c r="R98" s="19">
        <v>9</v>
      </c>
      <c r="S98" s="19">
        <v>2095.1999999999998</v>
      </c>
      <c r="T98" s="19">
        <v>9</v>
      </c>
      <c r="U98" s="19">
        <v>2095.1999999999998</v>
      </c>
      <c r="V98" s="19">
        <v>0</v>
      </c>
      <c r="W98" s="19">
        <v>0</v>
      </c>
      <c r="X98" s="19">
        <v>0</v>
      </c>
      <c r="Y98" s="19">
        <v>4190.3999999999996</v>
      </c>
      <c r="Z98" s="19">
        <v>0</v>
      </c>
      <c r="AA98" s="19" t="s">
        <v>297</v>
      </c>
      <c r="AB98" s="19" t="s">
        <v>1289</v>
      </c>
      <c r="AC98" s="19">
        <v>32064990</v>
      </c>
      <c r="AD98" s="19" t="s">
        <v>1092</v>
      </c>
      <c r="AE98" s="19">
        <v>1</v>
      </c>
      <c r="AF98" s="19">
        <v>100</v>
      </c>
      <c r="AG98" s="19" t="s">
        <v>1093</v>
      </c>
      <c r="AH98" s="19" t="s">
        <v>33</v>
      </c>
    </row>
    <row r="99" spans="2:34" x14ac:dyDescent="0.35">
      <c r="B99" s="76">
        <v>46209</v>
      </c>
      <c r="C99" s="19" t="s">
        <v>296</v>
      </c>
      <c r="D99" s="19" t="s">
        <v>173</v>
      </c>
      <c r="E99" s="19" t="s">
        <v>294</v>
      </c>
      <c r="F99" s="19" t="s">
        <v>123</v>
      </c>
      <c r="G99" s="19" t="s">
        <v>295</v>
      </c>
      <c r="H99" s="76">
        <v>46209</v>
      </c>
      <c r="I99" s="19" t="s">
        <v>28</v>
      </c>
      <c r="J99" s="19" t="s">
        <v>1173</v>
      </c>
      <c r="K99" s="19" t="s">
        <v>33</v>
      </c>
      <c r="L99" s="19" t="s">
        <v>1186</v>
      </c>
      <c r="M99" s="19" t="s">
        <v>1628</v>
      </c>
      <c r="N99" s="19">
        <v>300</v>
      </c>
      <c r="O99" s="19">
        <v>68385</v>
      </c>
      <c r="P99" s="19" t="s">
        <v>1628</v>
      </c>
      <c r="Q99" s="19">
        <v>0</v>
      </c>
      <c r="R99" s="19">
        <v>9</v>
      </c>
      <c r="S99" s="19">
        <v>6154.65</v>
      </c>
      <c r="T99" s="19">
        <v>9</v>
      </c>
      <c r="U99" s="19">
        <v>6154.65</v>
      </c>
      <c r="V99" s="19">
        <v>0</v>
      </c>
      <c r="W99" s="19">
        <v>0</v>
      </c>
      <c r="X99" s="19">
        <v>0</v>
      </c>
      <c r="Y99" s="19">
        <v>12309.3</v>
      </c>
      <c r="Z99" s="19">
        <v>0</v>
      </c>
      <c r="AA99" s="19" t="s">
        <v>297</v>
      </c>
      <c r="AB99" s="19" t="s">
        <v>1289</v>
      </c>
      <c r="AC99" s="19">
        <v>32064990</v>
      </c>
      <c r="AD99" s="19" t="s">
        <v>1092</v>
      </c>
      <c r="AE99" s="19">
        <v>1</v>
      </c>
      <c r="AF99" s="19">
        <v>300</v>
      </c>
      <c r="AG99" s="19" t="s">
        <v>1093</v>
      </c>
      <c r="AH99" s="19" t="s">
        <v>33</v>
      </c>
    </row>
    <row r="100" spans="2:34" x14ac:dyDescent="0.35">
      <c r="B100" s="76">
        <v>46209</v>
      </c>
      <c r="C100" s="19" t="s">
        <v>296</v>
      </c>
      <c r="D100" s="19" t="s">
        <v>173</v>
      </c>
      <c r="E100" s="19" t="s">
        <v>294</v>
      </c>
      <c r="F100" s="19" t="s">
        <v>123</v>
      </c>
      <c r="G100" s="19" t="s">
        <v>295</v>
      </c>
      <c r="H100" s="76">
        <v>46209</v>
      </c>
      <c r="I100" s="19" t="s">
        <v>28</v>
      </c>
      <c r="J100" s="19" t="s">
        <v>1173</v>
      </c>
      <c r="K100" s="19" t="s">
        <v>33</v>
      </c>
      <c r="L100" s="19" t="s">
        <v>1186</v>
      </c>
      <c r="M100" s="19" t="s">
        <v>1629</v>
      </c>
      <c r="N100" s="19">
        <v>500</v>
      </c>
      <c r="O100" s="19">
        <v>127555</v>
      </c>
      <c r="P100" s="19" t="s">
        <v>1629</v>
      </c>
      <c r="Q100" s="19">
        <v>0</v>
      </c>
      <c r="R100" s="19">
        <v>9</v>
      </c>
      <c r="S100" s="19">
        <v>11479.95</v>
      </c>
      <c r="T100" s="19">
        <v>9</v>
      </c>
      <c r="U100" s="19">
        <v>11479.95</v>
      </c>
      <c r="V100" s="19">
        <v>0</v>
      </c>
      <c r="W100" s="19">
        <v>0</v>
      </c>
      <c r="X100" s="19">
        <v>0</v>
      </c>
      <c r="Y100" s="19">
        <v>22959.9</v>
      </c>
      <c r="Z100" s="19">
        <v>0</v>
      </c>
      <c r="AA100" s="19" t="s">
        <v>297</v>
      </c>
      <c r="AB100" s="19" t="s">
        <v>1289</v>
      </c>
      <c r="AC100" s="19">
        <v>320649</v>
      </c>
      <c r="AD100" s="19" t="s">
        <v>1092</v>
      </c>
      <c r="AE100" s="19">
        <v>1</v>
      </c>
      <c r="AF100" s="19">
        <v>500</v>
      </c>
      <c r="AG100" s="19" t="s">
        <v>1093</v>
      </c>
      <c r="AH100" s="19" t="s">
        <v>33</v>
      </c>
    </row>
    <row r="101" spans="2:34" x14ac:dyDescent="0.35">
      <c r="B101" s="76">
        <v>46209</v>
      </c>
      <c r="C101" s="19" t="s">
        <v>296</v>
      </c>
      <c r="D101" s="19" t="s">
        <v>173</v>
      </c>
      <c r="E101" s="19" t="s">
        <v>294</v>
      </c>
      <c r="F101" s="19" t="s">
        <v>123</v>
      </c>
      <c r="G101" s="19" t="s">
        <v>295</v>
      </c>
      <c r="H101" s="76">
        <v>46209</v>
      </c>
      <c r="I101" s="19" t="s">
        <v>28</v>
      </c>
      <c r="J101" s="19" t="s">
        <v>1173</v>
      </c>
      <c r="K101" s="19" t="s">
        <v>33</v>
      </c>
      <c r="L101" s="19" t="s">
        <v>1186</v>
      </c>
      <c r="M101" s="19" t="s">
        <v>1630</v>
      </c>
      <c r="N101" s="19">
        <v>150</v>
      </c>
      <c r="O101" s="19">
        <v>29245.5</v>
      </c>
      <c r="P101" s="19" t="s">
        <v>1630</v>
      </c>
      <c r="Q101" s="19">
        <v>0</v>
      </c>
      <c r="R101" s="19">
        <v>9</v>
      </c>
      <c r="S101" s="19">
        <v>2632.1</v>
      </c>
      <c r="T101" s="19">
        <v>9</v>
      </c>
      <c r="U101" s="19">
        <v>2632.1</v>
      </c>
      <c r="V101" s="19">
        <v>0</v>
      </c>
      <c r="W101" s="19">
        <v>0</v>
      </c>
      <c r="X101" s="19">
        <v>0</v>
      </c>
      <c r="Y101" s="19">
        <v>5264.2</v>
      </c>
      <c r="Z101" s="19">
        <v>0</v>
      </c>
      <c r="AA101" s="19" t="s">
        <v>297</v>
      </c>
      <c r="AB101" s="19" t="s">
        <v>1289</v>
      </c>
      <c r="AC101" s="19">
        <v>32064990</v>
      </c>
      <c r="AD101" s="19" t="s">
        <v>1092</v>
      </c>
      <c r="AE101" s="19">
        <v>1</v>
      </c>
      <c r="AF101" s="19">
        <v>150</v>
      </c>
      <c r="AG101" s="19" t="s">
        <v>1093</v>
      </c>
      <c r="AH101" s="19" t="s">
        <v>33</v>
      </c>
    </row>
    <row r="102" spans="2:34" x14ac:dyDescent="0.35">
      <c r="B102" s="76">
        <v>46209</v>
      </c>
      <c r="C102" s="19" t="s">
        <v>296</v>
      </c>
      <c r="D102" s="19" t="s">
        <v>173</v>
      </c>
      <c r="E102" s="19" t="s">
        <v>294</v>
      </c>
      <c r="F102" s="19" t="s">
        <v>123</v>
      </c>
      <c r="G102" s="19" t="s">
        <v>295</v>
      </c>
      <c r="H102" s="76">
        <v>46209</v>
      </c>
      <c r="I102" s="19" t="s">
        <v>28</v>
      </c>
      <c r="J102" s="19" t="s">
        <v>1173</v>
      </c>
      <c r="K102" s="19" t="s">
        <v>33</v>
      </c>
      <c r="L102" s="19" t="s">
        <v>1186</v>
      </c>
      <c r="M102" s="19" t="s">
        <v>1631</v>
      </c>
      <c r="N102" s="19">
        <v>1000</v>
      </c>
      <c r="O102" s="19">
        <v>165870</v>
      </c>
      <c r="P102" s="19" t="s">
        <v>1631</v>
      </c>
      <c r="Q102" s="19">
        <v>0</v>
      </c>
      <c r="R102" s="19">
        <v>9</v>
      </c>
      <c r="S102" s="19">
        <v>14928.3</v>
      </c>
      <c r="T102" s="19">
        <v>9</v>
      </c>
      <c r="U102" s="19">
        <v>14928.3</v>
      </c>
      <c r="V102" s="19">
        <v>0</v>
      </c>
      <c r="W102" s="19">
        <v>0</v>
      </c>
      <c r="X102" s="19">
        <v>0</v>
      </c>
      <c r="Y102" s="19">
        <v>29856.6</v>
      </c>
      <c r="Z102" s="19">
        <v>0</v>
      </c>
      <c r="AA102" s="19" t="s">
        <v>297</v>
      </c>
      <c r="AB102" s="19" t="s">
        <v>1289</v>
      </c>
      <c r="AC102" s="19">
        <v>32064990</v>
      </c>
      <c r="AD102" s="19" t="s">
        <v>1092</v>
      </c>
      <c r="AE102" s="19">
        <v>1</v>
      </c>
      <c r="AF102" s="19">
        <v>1000</v>
      </c>
      <c r="AG102" s="19" t="s">
        <v>1093</v>
      </c>
      <c r="AH102" s="19" t="s">
        <v>33</v>
      </c>
    </row>
    <row r="103" spans="2:34" hidden="1" x14ac:dyDescent="0.35">
      <c r="B103" s="76">
        <v>46209</v>
      </c>
      <c r="C103" s="19" t="s">
        <v>138</v>
      </c>
      <c r="D103" s="19" t="s">
        <v>7</v>
      </c>
      <c r="E103" s="19" t="s">
        <v>273</v>
      </c>
      <c r="F103" s="19" t="s">
        <v>119</v>
      </c>
      <c r="G103" s="19" t="s">
        <v>274</v>
      </c>
      <c r="H103" s="76">
        <v>46208</v>
      </c>
      <c r="I103" s="19" t="s">
        <v>105</v>
      </c>
      <c r="J103" s="19" t="s">
        <v>1142</v>
      </c>
      <c r="K103" s="19" t="s">
        <v>1509</v>
      </c>
      <c r="L103" s="19" t="s">
        <v>1509</v>
      </c>
      <c r="M103" s="19" t="s">
        <v>1196</v>
      </c>
      <c r="N103" s="19">
        <v>106</v>
      </c>
      <c r="O103" s="19">
        <v>5088</v>
      </c>
      <c r="P103" s="19" t="s">
        <v>1196</v>
      </c>
      <c r="Q103" s="19">
        <v>5998.75</v>
      </c>
      <c r="R103" s="19">
        <v>9</v>
      </c>
      <c r="S103" s="19">
        <v>457.92</v>
      </c>
      <c r="T103" s="19">
        <v>9</v>
      </c>
      <c r="U103" s="19">
        <v>457.92</v>
      </c>
      <c r="V103" s="19">
        <v>0</v>
      </c>
      <c r="W103" s="19">
        <v>0</v>
      </c>
      <c r="X103" s="19">
        <v>0</v>
      </c>
      <c r="Y103" s="19">
        <v>915.84</v>
      </c>
      <c r="Z103" s="19">
        <v>0</v>
      </c>
      <c r="AA103" s="19" t="s">
        <v>135</v>
      </c>
      <c r="AB103" s="19" t="s">
        <v>1289</v>
      </c>
      <c r="AC103" s="19">
        <v>73063090</v>
      </c>
      <c r="AD103" s="19" t="s">
        <v>1092</v>
      </c>
      <c r="AE103" s="19">
        <v>1</v>
      </c>
      <c r="AF103" s="19">
        <v>0</v>
      </c>
      <c r="AG103" s="19" t="s">
        <v>1093</v>
      </c>
      <c r="AH103" s="19" t="s">
        <v>2319</v>
      </c>
    </row>
    <row r="104" spans="2:34" x14ac:dyDescent="0.35">
      <c r="B104" s="76">
        <v>46209</v>
      </c>
      <c r="C104" s="19" t="s">
        <v>138</v>
      </c>
      <c r="D104" s="19" t="s">
        <v>173</v>
      </c>
      <c r="E104" s="19" t="s">
        <v>288</v>
      </c>
      <c r="F104" s="19" t="s">
        <v>123</v>
      </c>
      <c r="G104" s="19" t="s">
        <v>289</v>
      </c>
      <c r="H104" s="76">
        <v>46208</v>
      </c>
      <c r="I104" s="19" t="s">
        <v>36</v>
      </c>
      <c r="J104" s="19" t="s">
        <v>1350</v>
      </c>
      <c r="K104" s="19" t="s">
        <v>39</v>
      </c>
      <c r="L104" s="19" t="s">
        <v>1351</v>
      </c>
      <c r="M104" s="19" t="s">
        <v>1352</v>
      </c>
      <c r="N104" s="19">
        <v>1731.8</v>
      </c>
      <c r="O104" s="19">
        <v>358101.60399999999</v>
      </c>
      <c r="P104" s="19" t="s">
        <v>1352</v>
      </c>
      <c r="Q104" s="19">
        <v>1239152.3999999999</v>
      </c>
      <c r="R104" s="19">
        <v>9</v>
      </c>
      <c r="S104" s="19">
        <v>32229.14</v>
      </c>
      <c r="T104" s="19">
        <v>9</v>
      </c>
      <c r="U104" s="19">
        <v>32229.14</v>
      </c>
      <c r="V104" s="19">
        <v>0</v>
      </c>
      <c r="W104" s="19">
        <v>0</v>
      </c>
      <c r="X104" s="19">
        <v>0</v>
      </c>
      <c r="Y104" s="19">
        <v>64458.28</v>
      </c>
      <c r="Z104" s="19">
        <v>0</v>
      </c>
      <c r="AA104" s="19" t="s">
        <v>135</v>
      </c>
      <c r="AB104" s="19" t="s">
        <v>1289</v>
      </c>
      <c r="AC104" s="19">
        <v>39200000</v>
      </c>
      <c r="AD104" s="19" t="s">
        <v>1092</v>
      </c>
      <c r="AE104" s="19">
        <v>1</v>
      </c>
      <c r="AF104" s="19">
        <f t="shared" ref="AF104:AF106" si="1">N104</f>
        <v>1731.8</v>
      </c>
      <c r="AG104" s="19" t="s">
        <v>1093</v>
      </c>
      <c r="AH104" s="19" t="s">
        <v>39</v>
      </c>
    </row>
    <row r="105" spans="2:34" x14ac:dyDescent="0.35">
      <c r="B105" s="76">
        <v>46209</v>
      </c>
      <c r="C105" s="19" t="s">
        <v>138</v>
      </c>
      <c r="D105" s="19" t="s">
        <v>173</v>
      </c>
      <c r="E105" s="19" t="s">
        <v>288</v>
      </c>
      <c r="F105" s="19" t="s">
        <v>123</v>
      </c>
      <c r="G105" s="19" t="s">
        <v>289</v>
      </c>
      <c r="H105" s="76">
        <v>46208</v>
      </c>
      <c r="I105" s="19" t="s">
        <v>36</v>
      </c>
      <c r="J105" s="19" t="s">
        <v>1350</v>
      </c>
      <c r="K105" s="19" t="s">
        <v>39</v>
      </c>
      <c r="L105" s="19" t="s">
        <v>1351</v>
      </c>
      <c r="M105" s="19" t="s">
        <v>1352</v>
      </c>
      <c r="N105" s="19">
        <v>1376.8</v>
      </c>
      <c r="O105" s="19">
        <v>339642.79200000002</v>
      </c>
      <c r="P105" s="19" t="s">
        <v>1352</v>
      </c>
      <c r="Q105" s="19">
        <v>0</v>
      </c>
      <c r="R105" s="19">
        <v>9</v>
      </c>
      <c r="S105" s="19">
        <v>30567.85</v>
      </c>
      <c r="T105" s="19">
        <v>9</v>
      </c>
      <c r="U105" s="19">
        <v>30567.85</v>
      </c>
      <c r="V105" s="19">
        <v>0</v>
      </c>
      <c r="W105" s="19">
        <v>0</v>
      </c>
      <c r="X105" s="19">
        <v>0</v>
      </c>
      <c r="Y105" s="19">
        <v>61135.7</v>
      </c>
      <c r="Z105" s="19">
        <v>0</v>
      </c>
      <c r="AA105" s="19" t="s">
        <v>135</v>
      </c>
      <c r="AB105" s="19" t="s">
        <v>1289</v>
      </c>
      <c r="AC105" s="19">
        <v>39200000</v>
      </c>
      <c r="AD105" s="19" t="s">
        <v>1092</v>
      </c>
      <c r="AE105" s="19">
        <v>1</v>
      </c>
      <c r="AF105" s="19">
        <f t="shared" si="1"/>
        <v>1376.8</v>
      </c>
      <c r="AG105" s="19" t="s">
        <v>1093</v>
      </c>
      <c r="AH105" s="19" t="s">
        <v>39</v>
      </c>
    </row>
    <row r="106" spans="2:34" x14ac:dyDescent="0.35">
      <c r="B106" s="76">
        <v>46209</v>
      </c>
      <c r="C106" s="19" t="s">
        <v>138</v>
      </c>
      <c r="D106" s="19" t="s">
        <v>173</v>
      </c>
      <c r="E106" s="19" t="s">
        <v>288</v>
      </c>
      <c r="F106" s="19" t="s">
        <v>123</v>
      </c>
      <c r="G106" s="19" t="s">
        <v>289</v>
      </c>
      <c r="H106" s="76">
        <v>46208</v>
      </c>
      <c r="I106" s="19" t="s">
        <v>36</v>
      </c>
      <c r="J106" s="19" t="s">
        <v>1350</v>
      </c>
      <c r="K106" s="19" t="s">
        <v>39</v>
      </c>
      <c r="L106" s="19" t="s">
        <v>1351</v>
      </c>
      <c r="M106" s="19" t="s">
        <v>1352</v>
      </c>
      <c r="N106" s="19">
        <v>1861.5</v>
      </c>
      <c r="O106" s="19">
        <v>353275.47</v>
      </c>
      <c r="P106" s="19" t="s">
        <v>1352</v>
      </c>
      <c r="Q106" s="19">
        <v>0</v>
      </c>
      <c r="R106" s="19">
        <v>9</v>
      </c>
      <c r="S106" s="19">
        <v>31794.79</v>
      </c>
      <c r="T106" s="19">
        <v>9</v>
      </c>
      <c r="U106" s="19">
        <v>31794.79</v>
      </c>
      <c r="V106" s="19">
        <v>0</v>
      </c>
      <c r="W106" s="19">
        <v>0</v>
      </c>
      <c r="X106" s="19">
        <v>0</v>
      </c>
      <c r="Y106" s="19">
        <v>63589.58</v>
      </c>
      <c r="Z106" s="19">
        <v>0</v>
      </c>
      <c r="AA106" s="19" t="s">
        <v>135</v>
      </c>
      <c r="AB106" s="19" t="s">
        <v>1289</v>
      </c>
      <c r="AC106" s="19">
        <v>39200000</v>
      </c>
      <c r="AD106" s="19" t="s">
        <v>1092</v>
      </c>
      <c r="AE106" s="19">
        <v>1</v>
      </c>
      <c r="AF106" s="19">
        <f t="shared" si="1"/>
        <v>1861.5</v>
      </c>
      <c r="AG106" s="19" t="s">
        <v>1093</v>
      </c>
      <c r="AH106" s="19" t="s">
        <v>39</v>
      </c>
    </row>
    <row r="107" spans="2:34" hidden="1" x14ac:dyDescent="0.35">
      <c r="B107" s="76">
        <v>46209</v>
      </c>
      <c r="C107" s="19" t="s">
        <v>134</v>
      </c>
      <c r="D107" s="19" t="s">
        <v>7</v>
      </c>
      <c r="E107" s="19" t="s">
        <v>271</v>
      </c>
      <c r="F107" s="19" t="s">
        <v>119</v>
      </c>
      <c r="G107" s="19" t="s">
        <v>272</v>
      </c>
      <c r="H107" s="76">
        <v>46208</v>
      </c>
      <c r="I107" s="19" t="s">
        <v>105</v>
      </c>
      <c r="J107" s="19" t="s">
        <v>1142</v>
      </c>
      <c r="K107" s="19" t="s">
        <v>1509</v>
      </c>
      <c r="L107" s="19" t="s">
        <v>1509</v>
      </c>
      <c r="M107" s="19" t="s">
        <v>1145</v>
      </c>
      <c r="N107" s="19">
        <v>196</v>
      </c>
      <c r="O107" s="19">
        <v>9408</v>
      </c>
      <c r="P107" s="19" t="s">
        <v>1145</v>
      </c>
      <c r="Q107" s="19">
        <v>11092.03</v>
      </c>
      <c r="R107" s="19">
        <v>9</v>
      </c>
      <c r="S107" s="19">
        <v>846.72</v>
      </c>
      <c r="T107" s="19">
        <v>9</v>
      </c>
      <c r="U107" s="19">
        <v>846.72</v>
      </c>
      <c r="V107" s="19">
        <v>0</v>
      </c>
      <c r="W107" s="19">
        <v>0</v>
      </c>
      <c r="X107" s="19">
        <v>0</v>
      </c>
      <c r="Y107" s="19">
        <v>1693.44</v>
      </c>
      <c r="Z107" s="19">
        <v>0</v>
      </c>
      <c r="AA107" s="19" t="s">
        <v>135</v>
      </c>
      <c r="AB107" s="19" t="s">
        <v>1091</v>
      </c>
      <c r="AC107" s="19">
        <v>7306309</v>
      </c>
      <c r="AD107" s="19" t="s">
        <v>1092</v>
      </c>
      <c r="AE107" s="19">
        <v>1</v>
      </c>
      <c r="AF107" s="19">
        <v>0</v>
      </c>
      <c r="AG107" s="19" t="s">
        <v>1093</v>
      </c>
      <c r="AH107" s="19" t="s">
        <v>2319</v>
      </c>
    </row>
    <row r="108" spans="2:34" x14ac:dyDescent="0.35">
      <c r="B108" s="76">
        <v>46209</v>
      </c>
      <c r="C108" s="19" t="s">
        <v>134</v>
      </c>
      <c r="D108" s="19" t="s">
        <v>173</v>
      </c>
      <c r="E108" s="19" t="s">
        <v>286</v>
      </c>
      <c r="F108" s="19" t="s">
        <v>123</v>
      </c>
      <c r="G108" s="19" t="s">
        <v>287</v>
      </c>
      <c r="H108" s="76">
        <v>46209</v>
      </c>
      <c r="I108" s="19" t="s">
        <v>36</v>
      </c>
      <c r="J108" s="19" t="s">
        <v>1117</v>
      </c>
      <c r="K108" s="19" t="s">
        <v>44</v>
      </c>
      <c r="L108" s="19" t="s">
        <v>1118</v>
      </c>
      <c r="M108" s="19" t="s">
        <v>1119</v>
      </c>
      <c r="N108" s="19">
        <v>5793</v>
      </c>
      <c r="O108" s="19">
        <v>617533.80000000005</v>
      </c>
      <c r="P108" s="19" t="s">
        <v>1119</v>
      </c>
      <c r="Q108" s="19">
        <v>883040.49</v>
      </c>
      <c r="R108" s="19">
        <v>9</v>
      </c>
      <c r="S108" s="19">
        <v>55578.04</v>
      </c>
      <c r="T108" s="19">
        <v>9</v>
      </c>
      <c r="U108" s="19">
        <v>55578.04</v>
      </c>
      <c r="V108" s="19">
        <v>0</v>
      </c>
      <c r="W108" s="19">
        <v>0</v>
      </c>
      <c r="X108" s="19">
        <v>0</v>
      </c>
      <c r="Y108" s="19">
        <v>111156.08</v>
      </c>
      <c r="Z108" s="19">
        <v>0</v>
      </c>
      <c r="AA108" s="19" t="s">
        <v>135</v>
      </c>
      <c r="AB108" s="19" t="s">
        <v>1289</v>
      </c>
      <c r="AC108" s="19">
        <v>39269080</v>
      </c>
      <c r="AD108" s="19" t="s">
        <v>1092</v>
      </c>
      <c r="AE108" s="19">
        <v>1</v>
      </c>
      <c r="AF108" s="19">
        <f t="shared" ref="AF108:AF109" si="2">N108</f>
        <v>5793</v>
      </c>
      <c r="AG108" s="19" t="s">
        <v>1093</v>
      </c>
      <c r="AH108" s="19" t="s">
        <v>44</v>
      </c>
    </row>
    <row r="109" spans="2:34" x14ac:dyDescent="0.35">
      <c r="B109" s="76">
        <v>46209</v>
      </c>
      <c r="C109" s="19" t="s">
        <v>134</v>
      </c>
      <c r="D109" s="19" t="s">
        <v>173</v>
      </c>
      <c r="E109" s="19" t="s">
        <v>286</v>
      </c>
      <c r="F109" s="19" t="s">
        <v>123</v>
      </c>
      <c r="G109" s="19" t="s">
        <v>287</v>
      </c>
      <c r="H109" s="76">
        <v>46209</v>
      </c>
      <c r="I109" s="19" t="s">
        <v>36</v>
      </c>
      <c r="J109" s="19" t="s">
        <v>1156</v>
      </c>
      <c r="K109" s="19" t="s">
        <v>45</v>
      </c>
      <c r="L109" s="19" t="s">
        <v>1157</v>
      </c>
      <c r="M109" s="19" t="s">
        <v>1567</v>
      </c>
      <c r="N109" s="19">
        <v>1014.2</v>
      </c>
      <c r="O109" s="19">
        <v>131440.32000000001</v>
      </c>
      <c r="P109" s="19" t="s">
        <v>1567</v>
      </c>
      <c r="Q109" s="19">
        <v>0</v>
      </c>
      <c r="R109" s="19">
        <v>9</v>
      </c>
      <c r="S109" s="19">
        <v>11829.63</v>
      </c>
      <c r="T109" s="19">
        <v>9</v>
      </c>
      <c r="U109" s="19">
        <v>11829.63</v>
      </c>
      <c r="V109" s="19">
        <v>0</v>
      </c>
      <c r="W109" s="19">
        <v>0</v>
      </c>
      <c r="X109" s="19">
        <v>0</v>
      </c>
      <c r="Y109" s="19">
        <v>23659.26</v>
      </c>
      <c r="Z109" s="19">
        <v>0</v>
      </c>
      <c r="AA109" s="19" t="s">
        <v>135</v>
      </c>
      <c r="AB109" s="19" t="s">
        <v>1289</v>
      </c>
      <c r="AC109" s="19">
        <v>39269080</v>
      </c>
      <c r="AD109" s="19" t="s">
        <v>1092</v>
      </c>
      <c r="AE109" s="19">
        <v>1</v>
      </c>
      <c r="AF109" s="19">
        <f t="shared" si="2"/>
        <v>1014.2</v>
      </c>
      <c r="AG109" s="19" t="s">
        <v>1093</v>
      </c>
      <c r="AH109" s="19" t="s">
        <v>45</v>
      </c>
    </row>
    <row r="110" spans="2:34" hidden="1" x14ac:dyDescent="0.35">
      <c r="B110" s="76">
        <v>46209</v>
      </c>
      <c r="C110" s="19" t="s">
        <v>153</v>
      </c>
      <c r="D110" s="19" t="s">
        <v>126</v>
      </c>
      <c r="E110" s="19" t="s">
        <v>269</v>
      </c>
      <c r="F110" s="19" t="s">
        <v>118</v>
      </c>
      <c r="G110" s="19" t="s">
        <v>270</v>
      </c>
      <c r="H110" s="76">
        <v>46207</v>
      </c>
      <c r="I110" s="19" t="s">
        <v>105</v>
      </c>
      <c r="J110" s="19" t="s">
        <v>1568</v>
      </c>
      <c r="K110" s="19" t="s">
        <v>1127</v>
      </c>
      <c r="L110" s="19" t="s">
        <v>1389</v>
      </c>
      <c r="M110" s="19" t="s">
        <v>1632</v>
      </c>
      <c r="N110" s="19">
        <v>1000</v>
      </c>
      <c r="O110" s="19">
        <v>7150</v>
      </c>
      <c r="P110" s="19" t="s">
        <v>1632</v>
      </c>
      <c r="Q110" s="19">
        <v>8437</v>
      </c>
      <c r="R110" s="19">
        <v>9</v>
      </c>
      <c r="S110" s="19">
        <v>643.5</v>
      </c>
      <c r="T110" s="19">
        <v>9</v>
      </c>
      <c r="U110" s="19">
        <v>643.5</v>
      </c>
      <c r="V110" s="19">
        <v>0</v>
      </c>
      <c r="W110" s="19">
        <v>0</v>
      </c>
      <c r="X110" s="19">
        <v>0</v>
      </c>
      <c r="Y110" s="19">
        <v>1287</v>
      </c>
      <c r="Z110" s="19">
        <v>0</v>
      </c>
      <c r="AA110" s="19" t="s">
        <v>154</v>
      </c>
      <c r="AB110" s="19" t="s">
        <v>1555</v>
      </c>
      <c r="AC110" s="19">
        <v>82089090</v>
      </c>
      <c r="AD110" s="19" t="s">
        <v>1092</v>
      </c>
      <c r="AE110" s="19">
        <v>1</v>
      </c>
      <c r="AF110" s="19">
        <v>0</v>
      </c>
      <c r="AG110" s="19" t="s">
        <v>1093</v>
      </c>
      <c r="AH110" s="19" t="s">
        <v>2319</v>
      </c>
    </row>
    <row r="111" spans="2:34" hidden="1" x14ac:dyDescent="0.35">
      <c r="B111" s="76">
        <v>46209</v>
      </c>
      <c r="C111" s="19" t="s">
        <v>276</v>
      </c>
      <c r="D111" s="19" t="s">
        <v>126</v>
      </c>
      <c r="E111" s="19" t="s">
        <v>275</v>
      </c>
      <c r="F111" s="19" t="s">
        <v>118</v>
      </c>
      <c r="G111" s="19">
        <v>445</v>
      </c>
      <c r="H111" s="76">
        <v>46205</v>
      </c>
      <c r="I111" s="19" t="s">
        <v>105</v>
      </c>
      <c r="J111" s="19" t="s">
        <v>1599</v>
      </c>
      <c r="K111" s="19" t="s">
        <v>1127</v>
      </c>
      <c r="L111" s="19" t="s">
        <v>1389</v>
      </c>
      <c r="M111" s="19" t="s">
        <v>1600</v>
      </c>
      <c r="N111" s="19">
        <v>10</v>
      </c>
      <c r="O111" s="19">
        <v>24200</v>
      </c>
      <c r="P111" s="19" t="s">
        <v>1600</v>
      </c>
      <c r="Q111" s="19">
        <v>29028</v>
      </c>
      <c r="R111" s="19">
        <v>9</v>
      </c>
      <c r="S111" s="19">
        <v>2178</v>
      </c>
      <c r="T111" s="19">
        <v>9</v>
      </c>
      <c r="U111" s="19">
        <v>2178</v>
      </c>
      <c r="V111" s="19">
        <v>0</v>
      </c>
      <c r="W111" s="19">
        <v>0</v>
      </c>
      <c r="X111" s="19">
        <v>72</v>
      </c>
      <c r="Y111" s="19">
        <v>4428</v>
      </c>
      <c r="Z111" s="19">
        <v>0</v>
      </c>
      <c r="AA111" s="19" t="s">
        <v>277</v>
      </c>
      <c r="AB111" s="19" t="s">
        <v>1555</v>
      </c>
      <c r="AC111" s="19">
        <v>841989</v>
      </c>
      <c r="AD111" s="19" t="s">
        <v>1092</v>
      </c>
      <c r="AE111" s="19">
        <v>1</v>
      </c>
      <c r="AF111" s="19">
        <v>0</v>
      </c>
      <c r="AG111" s="19" t="s">
        <v>1093</v>
      </c>
      <c r="AH111" s="19" t="s">
        <v>2319</v>
      </c>
    </row>
    <row r="112" spans="2:34" hidden="1" x14ac:dyDescent="0.35">
      <c r="B112" s="76">
        <v>46210</v>
      </c>
      <c r="C112" s="19" t="s">
        <v>193</v>
      </c>
      <c r="D112" s="19" t="s">
        <v>126</v>
      </c>
      <c r="E112" s="19" t="s">
        <v>334</v>
      </c>
      <c r="F112" s="19" t="s">
        <v>118</v>
      </c>
      <c r="G112" s="19" t="s">
        <v>335</v>
      </c>
      <c r="H112" s="76">
        <v>46200</v>
      </c>
      <c r="I112" s="19" t="s">
        <v>105</v>
      </c>
      <c r="J112" s="19" t="s">
        <v>1579</v>
      </c>
      <c r="K112" s="19" t="s">
        <v>1127</v>
      </c>
      <c r="L112" s="19" t="s">
        <v>1389</v>
      </c>
      <c r="M112" s="19" t="s">
        <v>1633</v>
      </c>
      <c r="N112" s="19">
        <v>5</v>
      </c>
      <c r="O112" s="19">
        <v>840</v>
      </c>
      <c r="P112" s="19" t="s">
        <v>1633</v>
      </c>
      <c r="Q112" s="19">
        <v>4171</v>
      </c>
      <c r="R112" s="19">
        <v>9</v>
      </c>
      <c r="S112" s="19">
        <v>75.599999999999994</v>
      </c>
      <c r="T112" s="19">
        <v>9</v>
      </c>
      <c r="U112" s="19">
        <v>75.599999999999994</v>
      </c>
      <c r="V112" s="19">
        <v>0</v>
      </c>
      <c r="W112" s="19">
        <v>0</v>
      </c>
      <c r="X112" s="19">
        <v>18</v>
      </c>
      <c r="Y112" s="19">
        <v>169.2</v>
      </c>
      <c r="Z112" s="19">
        <v>0</v>
      </c>
      <c r="AA112" s="19" t="s">
        <v>194</v>
      </c>
      <c r="AB112" s="19" t="s">
        <v>1634</v>
      </c>
      <c r="AC112" s="19">
        <v>84484990</v>
      </c>
      <c r="AD112" s="19" t="s">
        <v>1092</v>
      </c>
      <c r="AE112" s="19">
        <v>1</v>
      </c>
      <c r="AF112" s="19">
        <v>0</v>
      </c>
      <c r="AG112" s="19" t="s">
        <v>1093</v>
      </c>
      <c r="AH112" s="19" t="s">
        <v>2319</v>
      </c>
    </row>
    <row r="113" spans="2:34" hidden="1" x14ac:dyDescent="0.35">
      <c r="B113" s="76">
        <v>46210</v>
      </c>
      <c r="C113" s="19" t="s">
        <v>193</v>
      </c>
      <c r="D113" s="19" t="s">
        <v>126</v>
      </c>
      <c r="E113" s="19" t="s">
        <v>334</v>
      </c>
      <c r="F113" s="19" t="s">
        <v>118</v>
      </c>
      <c r="G113" s="19" t="s">
        <v>335</v>
      </c>
      <c r="H113" s="76">
        <v>46200</v>
      </c>
      <c r="I113" s="19" t="s">
        <v>105</v>
      </c>
      <c r="J113" s="19" t="s">
        <v>1579</v>
      </c>
      <c r="K113" s="19" t="s">
        <v>1127</v>
      </c>
      <c r="L113" s="19" t="s">
        <v>1389</v>
      </c>
      <c r="M113" s="19" t="s">
        <v>1635</v>
      </c>
      <c r="N113" s="19">
        <v>10</v>
      </c>
      <c r="O113" s="19">
        <v>120</v>
      </c>
      <c r="P113" s="19" t="s">
        <v>1635</v>
      </c>
      <c r="Q113" s="19">
        <v>0</v>
      </c>
      <c r="R113" s="19">
        <v>9</v>
      </c>
      <c r="S113" s="19">
        <v>10.8</v>
      </c>
      <c r="T113" s="19">
        <v>9</v>
      </c>
      <c r="U113" s="19">
        <v>10.8</v>
      </c>
      <c r="V113" s="19">
        <v>0</v>
      </c>
      <c r="W113" s="19">
        <v>0</v>
      </c>
      <c r="X113" s="19">
        <v>18</v>
      </c>
      <c r="Y113" s="19">
        <v>39.6</v>
      </c>
      <c r="Z113" s="19">
        <v>0</v>
      </c>
      <c r="AA113" s="19" t="s">
        <v>194</v>
      </c>
      <c r="AB113" s="19" t="s">
        <v>1634</v>
      </c>
      <c r="AC113" s="19">
        <v>84484990</v>
      </c>
      <c r="AD113" s="19" t="s">
        <v>1092</v>
      </c>
      <c r="AE113" s="19">
        <v>1</v>
      </c>
      <c r="AF113" s="19">
        <v>0</v>
      </c>
      <c r="AG113" s="19" t="s">
        <v>1093</v>
      </c>
      <c r="AH113" s="19" t="s">
        <v>2319</v>
      </c>
    </row>
    <row r="114" spans="2:34" hidden="1" x14ac:dyDescent="0.35">
      <c r="B114" s="76">
        <v>46210</v>
      </c>
      <c r="C114" s="19" t="s">
        <v>193</v>
      </c>
      <c r="D114" s="19" t="s">
        <v>126</v>
      </c>
      <c r="E114" s="19" t="s">
        <v>334</v>
      </c>
      <c r="F114" s="19" t="s">
        <v>118</v>
      </c>
      <c r="G114" s="19" t="s">
        <v>335</v>
      </c>
      <c r="H114" s="76">
        <v>46200</v>
      </c>
      <c r="I114" s="19" t="s">
        <v>105</v>
      </c>
      <c r="J114" s="19" t="s">
        <v>1579</v>
      </c>
      <c r="K114" s="19" t="s">
        <v>1127</v>
      </c>
      <c r="L114" s="19" t="s">
        <v>1389</v>
      </c>
      <c r="M114" s="19" t="s">
        <v>1636</v>
      </c>
      <c r="N114" s="19">
        <v>5</v>
      </c>
      <c r="O114" s="19">
        <v>1210</v>
      </c>
      <c r="P114" s="19" t="s">
        <v>1636</v>
      </c>
      <c r="Q114" s="19">
        <v>0</v>
      </c>
      <c r="R114" s="19">
        <v>9</v>
      </c>
      <c r="S114" s="19">
        <v>108.9</v>
      </c>
      <c r="T114" s="19">
        <v>9</v>
      </c>
      <c r="U114" s="19">
        <v>108.9</v>
      </c>
      <c r="V114" s="19">
        <v>0</v>
      </c>
      <c r="W114" s="19">
        <v>0</v>
      </c>
      <c r="X114" s="19">
        <v>18</v>
      </c>
      <c r="Y114" s="19">
        <v>235.8</v>
      </c>
      <c r="Z114" s="19">
        <v>0</v>
      </c>
      <c r="AA114" s="19" t="s">
        <v>194</v>
      </c>
      <c r="AB114" s="19" t="s">
        <v>1634</v>
      </c>
      <c r="AC114" s="19">
        <v>84484990</v>
      </c>
      <c r="AD114" s="19" t="s">
        <v>1092</v>
      </c>
      <c r="AE114" s="19">
        <v>1</v>
      </c>
      <c r="AF114" s="19">
        <v>0</v>
      </c>
      <c r="AG114" s="19" t="s">
        <v>1093</v>
      </c>
      <c r="AH114" s="19" t="s">
        <v>2319</v>
      </c>
    </row>
    <row r="115" spans="2:34" hidden="1" x14ac:dyDescent="0.35">
      <c r="B115" s="76">
        <v>46210</v>
      </c>
      <c r="C115" s="19" t="s">
        <v>193</v>
      </c>
      <c r="D115" s="19" t="s">
        <v>126</v>
      </c>
      <c r="E115" s="19" t="s">
        <v>334</v>
      </c>
      <c r="F115" s="19" t="s">
        <v>118</v>
      </c>
      <c r="G115" s="19" t="s">
        <v>335</v>
      </c>
      <c r="H115" s="76">
        <v>46200</v>
      </c>
      <c r="I115" s="19" t="s">
        <v>105</v>
      </c>
      <c r="J115" s="19" t="s">
        <v>1579</v>
      </c>
      <c r="K115" s="19" t="s">
        <v>1127</v>
      </c>
      <c r="L115" s="19" t="s">
        <v>1389</v>
      </c>
      <c r="M115" s="19" t="s">
        <v>1637</v>
      </c>
      <c r="N115" s="19">
        <v>5</v>
      </c>
      <c r="O115" s="19">
        <v>840</v>
      </c>
      <c r="P115" s="19" t="s">
        <v>1637</v>
      </c>
      <c r="Q115" s="19">
        <v>0</v>
      </c>
      <c r="R115" s="19">
        <v>9</v>
      </c>
      <c r="S115" s="19">
        <v>75.599999999999994</v>
      </c>
      <c r="T115" s="19">
        <v>9</v>
      </c>
      <c r="U115" s="19">
        <v>75.599999999999994</v>
      </c>
      <c r="V115" s="19">
        <v>0</v>
      </c>
      <c r="W115" s="19">
        <v>0</v>
      </c>
      <c r="X115" s="19">
        <v>18</v>
      </c>
      <c r="Y115" s="19">
        <v>169.2</v>
      </c>
      <c r="Z115" s="19">
        <v>0</v>
      </c>
      <c r="AA115" s="19" t="s">
        <v>194</v>
      </c>
      <c r="AB115" s="19" t="s">
        <v>1634</v>
      </c>
      <c r="AC115" s="19">
        <v>84484990</v>
      </c>
      <c r="AD115" s="19" t="s">
        <v>1092</v>
      </c>
      <c r="AE115" s="19">
        <v>1</v>
      </c>
      <c r="AF115" s="19">
        <v>0</v>
      </c>
      <c r="AG115" s="19" t="s">
        <v>1093</v>
      </c>
      <c r="AH115" s="19" t="s">
        <v>2319</v>
      </c>
    </row>
    <row r="116" spans="2:34" hidden="1" x14ac:dyDescent="0.35">
      <c r="B116" s="76">
        <v>46210</v>
      </c>
      <c r="C116" s="19" t="s">
        <v>193</v>
      </c>
      <c r="D116" s="19" t="s">
        <v>126</v>
      </c>
      <c r="E116" s="19" t="s">
        <v>334</v>
      </c>
      <c r="F116" s="19" t="s">
        <v>118</v>
      </c>
      <c r="G116" s="19" t="s">
        <v>335</v>
      </c>
      <c r="H116" s="76">
        <v>46200</v>
      </c>
      <c r="I116" s="19" t="s">
        <v>105</v>
      </c>
      <c r="J116" s="19" t="s">
        <v>1579</v>
      </c>
      <c r="K116" s="19" t="s">
        <v>1127</v>
      </c>
      <c r="L116" s="19" t="s">
        <v>1389</v>
      </c>
      <c r="M116" s="19" t="s">
        <v>1638</v>
      </c>
      <c r="N116" s="19">
        <v>5</v>
      </c>
      <c r="O116" s="19">
        <v>425</v>
      </c>
      <c r="P116" s="19" t="s">
        <v>1638</v>
      </c>
      <c r="Q116" s="19">
        <v>0</v>
      </c>
      <c r="R116" s="19">
        <v>9</v>
      </c>
      <c r="S116" s="19">
        <v>38.25</v>
      </c>
      <c r="T116" s="19">
        <v>9</v>
      </c>
      <c r="U116" s="19">
        <v>38.25</v>
      </c>
      <c r="V116" s="19">
        <v>0</v>
      </c>
      <c r="W116" s="19">
        <v>0</v>
      </c>
      <c r="X116" s="19">
        <v>18</v>
      </c>
      <c r="Y116" s="19">
        <v>94.5</v>
      </c>
      <c r="Z116" s="19">
        <v>0</v>
      </c>
      <c r="AA116" s="19" t="s">
        <v>194</v>
      </c>
      <c r="AB116" s="19" t="s">
        <v>1634</v>
      </c>
      <c r="AC116" s="19">
        <v>84484990</v>
      </c>
      <c r="AD116" s="19" t="s">
        <v>1092</v>
      </c>
      <c r="AE116" s="19">
        <v>1</v>
      </c>
      <c r="AF116" s="19">
        <v>0</v>
      </c>
      <c r="AG116" s="19" t="s">
        <v>1093</v>
      </c>
      <c r="AH116" s="19" t="s">
        <v>2319</v>
      </c>
    </row>
    <row r="117" spans="2:34" hidden="1" x14ac:dyDescent="0.35">
      <c r="B117" s="76">
        <v>46210</v>
      </c>
      <c r="C117" s="19" t="s">
        <v>193</v>
      </c>
      <c r="D117" s="19" t="s">
        <v>126</v>
      </c>
      <c r="E117" s="19" t="s">
        <v>347</v>
      </c>
      <c r="F117" s="19" t="s">
        <v>118</v>
      </c>
      <c r="G117" s="19" t="s">
        <v>348</v>
      </c>
      <c r="H117" s="76">
        <v>46200</v>
      </c>
      <c r="I117" s="19" t="s">
        <v>105</v>
      </c>
      <c r="J117" s="19" t="s">
        <v>1579</v>
      </c>
      <c r="K117" s="19" t="s">
        <v>1127</v>
      </c>
      <c r="L117" s="19" t="s">
        <v>1389</v>
      </c>
      <c r="M117" s="19" t="s">
        <v>1639</v>
      </c>
      <c r="N117" s="19">
        <v>2000</v>
      </c>
      <c r="O117" s="19">
        <v>21300</v>
      </c>
      <c r="P117" s="19" t="s">
        <v>1639</v>
      </c>
      <c r="Q117" s="19">
        <v>33512</v>
      </c>
      <c r="R117" s="19">
        <v>9</v>
      </c>
      <c r="S117" s="19">
        <v>1917</v>
      </c>
      <c r="T117" s="19">
        <v>9</v>
      </c>
      <c r="U117" s="19">
        <v>1917</v>
      </c>
      <c r="V117" s="19">
        <v>0</v>
      </c>
      <c r="W117" s="19">
        <v>0</v>
      </c>
      <c r="X117" s="19">
        <v>0</v>
      </c>
      <c r="Y117" s="19">
        <v>3834</v>
      </c>
      <c r="Z117" s="19">
        <v>0</v>
      </c>
      <c r="AA117" s="19" t="s">
        <v>194</v>
      </c>
      <c r="AB117" s="19" t="s">
        <v>1555</v>
      </c>
      <c r="AC117" s="19">
        <v>844810</v>
      </c>
      <c r="AD117" s="19" t="s">
        <v>1092</v>
      </c>
      <c r="AE117" s="19">
        <v>1</v>
      </c>
      <c r="AF117" s="19">
        <v>0</v>
      </c>
      <c r="AG117" s="19" t="s">
        <v>1093</v>
      </c>
      <c r="AH117" s="19" t="s">
        <v>2319</v>
      </c>
    </row>
    <row r="118" spans="2:34" hidden="1" x14ac:dyDescent="0.35">
      <c r="B118" s="76">
        <v>46210</v>
      </c>
      <c r="C118" s="19" t="s">
        <v>193</v>
      </c>
      <c r="D118" s="19" t="s">
        <v>126</v>
      </c>
      <c r="E118" s="19" t="s">
        <v>347</v>
      </c>
      <c r="F118" s="19" t="s">
        <v>118</v>
      </c>
      <c r="G118" s="19" t="s">
        <v>348</v>
      </c>
      <c r="H118" s="76">
        <v>46200</v>
      </c>
      <c r="I118" s="19" t="s">
        <v>105</v>
      </c>
      <c r="J118" s="19" t="s">
        <v>1579</v>
      </c>
      <c r="K118" s="19" t="s">
        <v>1127</v>
      </c>
      <c r="L118" s="19" t="s">
        <v>1389</v>
      </c>
      <c r="M118" s="19" t="s">
        <v>1640</v>
      </c>
      <c r="N118" s="19">
        <v>100</v>
      </c>
      <c r="O118" s="19">
        <v>3400</v>
      </c>
      <c r="P118" s="19" t="s">
        <v>1640</v>
      </c>
      <c r="Q118" s="19">
        <v>0</v>
      </c>
      <c r="R118" s="19">
        <v>9</v>
      </c>
      <c r="S118" s="19">
        <v>333</v>
      </c>
      <c r="T118" s="19">
        <v>9</v>
      </c>
      <c r="U118" s="19">
        <v>333</v>
      </c>
      <c r="V118" s="19">
        <v>0</v>
      </c>
      <c r="W118" s="19">
        <v>0</v>
      </c>
      <c r="X118" s="19">
        <v>0</v>
      </c>
      <c r="Y118" s="19">
        <v>666</v>
      </c>
      <c r="Z118" s="19">
        <v>0</v>
      </c>
      <c r="AA118" s="19" t="s">
        <v>194</v>
      </c>
      <c r="AB118" s="19" t="s">
        <v>1572</v>
      </c>
      <c r="AC118" s="19">
        <v>844849</v>
      </c>
      <c r="AD118" s="19" t="s">
        <v>1092</v>
      </c>
      <c r="AE118" s="19">
        <v>1</v>
      </c>
      <c r="AF118" s="19">
        <v>0</v>
      </c>
      <c r="AG118" s="19" t="s">
        <v>1093</v>
      </c>
      <c r="AH118" s="19" t="s">
        <v>2319</v>
      </c>
    </row>
    <row r="119" spans="2:34" hidden="1" x14ac:dyDescent="0.35">
      <c r="B119" s="76">
        <v>46210</v>
      </c>
      <c r="C119" s="19" t="s">
        <v>193</v>
      </c>
      <c r="D119" s="19" t="s">
        <v>126</v>
      </c>
      <c r="E119" s="19" t="s">
        <v>347</v>
      </c>
      <c r="F119" s="19" t="s">
        <v>118</v>
      </c>
      <c r="G119" s="19" t="s">
        <v>348</v>
      </c>
      <c r="H119" s="76">
        <v>46200</v>
      </c>
      <c r="I119" s="19" t="s">
        <v>105</v>
      </c>
      <c r="J119" s="19" t="s">
        <v>1579</v>
      </c>
      <c r="K119" s="19" t="s">
        <v>1127</v>
      </c>
      <c r="L119" s="19" t="s">
        <v>1389</v>
      </c>
      <c r="M119" s="19" t="s">
        <v>1640</v>
      </c>
      <c r="N119" s="19">
        <v>100</v>
      </c>
      <c r="O119" s="19">
        <v>3400</v>
      </c>
      <c r="P119" s="19" t="s">
        <v>1640</v>
      </c>
      <c r="Q119" s="19">
        <v>0</v>
      </c>
      <c r="R119" s="19">
        <v>9</v>
      </c>
      <c r="S119" s="19">
        <v>306</v>
      </c>
      <c r="T119" s="19">
        <v>9</v>
      </c>
      <c r="U119" s="19">
        <v>306</v>
      </c>
      <c r="V119" s="19">
        <v>0</v>
      </c>
      <c r="W119" s="19">
        <v>0</v>
      </c>
      <c r="X119" s="19">
        <v>0</v>
      </c>
      <c r="Y119" s="19">
        <v>612</v>
      </c>
      <c r="Z119" s="19">
        <v>0</v>
      </c>
      <c r="AA119" s="19" t="s">
        <v>194</v>
      </c>
      <c r="AB119" s="19" t="s">
        <v>1572</v>
      </c>
      <c r="AC119" s="19">
        <v>844849</v>
      </c>
      <c r="AD119" s="19" t="s">
        <v>1092</v>
      </c>
      <c r="AE119" s="19">
        <v>1</v>
      </c>
      <c r="AF119" s="19">
        <v>0</v>
      </c>
      <c r="AG119" s="19" t="s">
        <v>1093</v>
      </c>
      <c r="AH119" s="19" t="s">
        <v>2319</v>
      </c>
    </row>
    <row r="120" spans="2:34" hidden="1" x14ac:dyDescent="0.35">
      <c r="B120" s="76">
        <v>46210</v>
      </c>
      <c r="C120" s="19" t="s">
        <v>193</v>
      </c>
      <c r="D120" s="19" t="s">
        <v>126</v>
      </c>
      <c r="E120" s="19" t="s">
        <v>349</v>
      </c>
      <c r="F120" s="19" t="s">
        <v>118</v>
      </c>
      <c r="G120" s="19" t="s">
        <v>350</v>
      </c>
      <c r="H120" s="76">
        <v>46200</v>
      </c>
      <c r="I120" s="19" t="s">
        <v>105</v>
      </c>
      <c r="J120" s="19" t="s">
        <v>1579</v>
      </c>
      <c r="K120" s="19" t="s">
        <v>1127</v>
      </c>
      <c r="L120" s="19" t="s">
        <v>1389</v>
      </c>
      <c r="M120" s="19" t="s">
        <v>1641</v>
      </c>
      <c r="N120" s="19">
        <v>30</v>
      </c>
      <c r="O120" s="19">
        <v>360</v>
      </c>
      <c r="P120" s="19" t="s">
        <v>1641</v>
      </c>
      <c r="Q120" s="19">
        <v>1841</v>
      </c>
      <c r="R120" s="19">
        <v>9</v>
      </c>
      <c r="S120" s="19">
        <v>36.9</v>
      </c>
      <c r="T120" s="19">
        <v>9</v>
      </c>
      <c r="U120" s="19">
        <v>36.9</v>
      </c>
      <c r="V120" s="19">
        <v>0</v>
      </c>
      <c r="W120" s="19">
        <v>0</v>
      </c>
      <c r="X120" s="19">
        <v>0</v>
      </c>
      <c r="Y120" s="19">
        <v>73.8</v>
      </c>
      <c r="Z120" s="19">
        <v>0</v>
      </c>
      <c r="AA120" s="19" t="s">
        <v>194</v>
      </c>
      <c r="AB120" s="19" t="s">
        <v>1634</v>
      </c>
      <c r="AC120" s="19">
        <v>84484990</v>
      </c>
      <c r="AD120" s="19" t="s">
        <v>1092</v>
      </c>
      <c r="AE120" s="19">
        <v>1</v>
      </c>
      <c r="AF120" s="19">
        <v>0</v>
      </c>
      <c r="AG120" s="19" t="s">
        <v>1093</v>
      </c>
      <c r="AH120" s="19" t="s">
        <v>2319</v>
      </c>
    </row>
    <row r="121" spans="2:34" hidden="1" x14ac:dyDescent="0.35">
      <c r="B121" s="76">
        <v>46210</v>
      </c>
      <c r="C121" s="19" t="s">
        <v>193</v>
      </c>
      <c r="D121" s="19" t="s">
        <v>126</v>
      </c>
      <c r="E121" s="19" t="s">
        <v>349</v>
      </c>
      <c r="F121" s="19" t="s">
        <v>118</v>
      </c>
      <c r="G121" s="19" t="s">
        <v>350</v>
      </c>
      <c r="H121" s="76">
        <v>46200</v>
      </c>
      <c r="I121" s="19" t="s">
        <v>105</v>
      </c>
      <c r="J121" s="19" t="s">
        <v>1579</v>
      </c>
      <c r="K121" s="19" t="s">
        <v>1127</v>
      </c>
      <c r="L121" s="19" t="s">
        <v>1389</v>
      </c>
      <c r="M121" s="19" t="s">
        <v>1642</v>
      </c>
      <c r="N121" s="19">
        <v>5</v>
      </c>
      <c r="O121" s="19">
        <v>575</v>
      </c>
      <c r="P121" s="19" t="s">
        <v>1642</v>
      </c>
      <c r="Q121" s="19">
        <v>0</v>
      </c>
      <c r="R121" s="19">
        <v>9</v>
      </c>
      <c r="S121" s="19">
        <v>51.75</v>
      </c>
      <c r="T121" s="19">
        <v>9</v>
      </c>
      <c r="U121" s="19">
        <v>51.75</v>
      </c>
      <c r="V121" s="19">
        <v>0</v>
      </c>
      <c r="W121" s="19">
        <v>0</v>
      </c>
      <c r="X121" s="19">
        <v>0</v>
      </c>
      <c r="Y121" s="19">
        <v>103.5</v>
      </c>
      <c r="Z121" s="19">
        <v>0</v>
      </c>
      <c r="AA121" s="19" t="s">
        <v>194</v>
      </c>
      <c r="AB121" s="19" t="s">
        <v>1634</v>
      </c>
      <c r="AC121" s="19">
        <v>84484990</v>
      </c>
      <c r="AD121" s="19" t="s">
        <v>1092</v>
      </c>
      <c r="AE121" s="19">
        <v>1</v>
      </c>
      <c r="AF121" s="19">
        <v>0</v>
      </c>
      <c r="AG121" s="19" t="s">
        <v>1093</v>
      </c>
      <c r="AH121" s="19" t="s">
        <v>2319</v>
      </c>
    </row>
    <row r="122" spans="2:34" hidden="1" x14ac:dyDescent="0.35">
      <c r="B122" s="76">
        <v>46210</v>
      </c>
      <c r="C122" s="19" t="s">
        <v>193</v>
      </c>
      <c r="D122" s="19" t="s">
        <v>126</v>
      </c>
      <c r="E122" s="19" t="s">
        <v>349</v>
      </c>
      <c r="F122" s="19" t="s">
        <v>118</v>
      </c>
      <c r="G122" s="19" t="s">
        <v>350</v>
      </c>
      <c r="H122" s="76">
        <v>46200</v>
      </c>
      <c r="I122" s="19" t="s">
        <v>105</v>
      </c>
      <c r="J122" s="19" t="s">
        <v>1579</v>
      </c>
      <c r="K122" s="19" t="s">
        <v>1127</v>
      </c>
      <c r="L122" s="19" t="s">
        <v>1389</v>
      </c>
      <c r="M122" s="19" t="s">
        <v>1643</v>
      </c>
      <c r="N122" s="19">
        <v>5</v>
      </c>
      <c r="O122" s="19">
        <v>575</v>
      </c>
      <c r="P122" s="19" t="s">
        <v>1643</v>
      </c>
      <c r="Q122" s="19">
        <v>0</v>
      </c>
      <c r="R122" s="19">
        <v>9</v>
      </c>
      <c r="S122" s="19">
        <v>51.75</v>
      </c>
      <c r="T122" s="19">
        <v>9</v>
      </c>
      <c r="U122" s="19">
        <v>51.75</v>
      </c>
      <c r="V122" s="19">
        <v>0</v>
      </c>
      <c r="W122" s="19">
        <v>0</v>
      </c>
      <c r="X122" s="19">
        <v>0</v>
      </c>
      <c r="Y122" s="19">
        <v>103.5</v>
      </c>
      <c r="Z122" s="19">
        <v>0</v>
      </c>
      <c r="AA122" s="19" t="s">
        <v>194</v>
      </c>
      <c r="AB122" s="19" t="s">
        <v>1634</v>
      </c>
      <c r="AC122" s="19">
        <v>84484990</v>
      </c>
      <c r="AD122" s="19" t="s">
        <v>1092</v>
      </c>
      <c r="AE122" s="19">
        <v>1</v>
      </c>
      <c r="AF122" s="19">
        <v>0</v>
      </c>
      <c r="AG122" s="19" t="s">
        <v>1093</v>
      </c>
      <c r="AH122" s="19" t="s">
        <v>2319</v>
      </c>
    </row>
    <row r="123" spans="2:34" hidden="1" x14ac:dyDescent="0.35">
      <c r="B123" s="76">
        <v>46210</v>
      </c>
      <c r="C123" s="19" t="s">
        <v>193</v>
      </c>
      <c r="D123" s="19" t="s">
        <v>126</v>
      </c>
      <c r="E123" s="19" t="s">
        <v>351</v>
      </c>
      <c r="F123" s="19" t="s">
        <v>118</v>
      </c>
      <c r="G123" s="19" t="s">
        <v>352</v>
      </c>
      <c r="H123" s="76">
        <v>46200</v>
      </c>
      <c r="I123" s="19" t="s">
        <v>105</v>
      </c>
      <c r="J123" s="19" t="s">
        <v>1579</v>
      </c>
      <c r="K123" s="19" t="s">
        <v>1127</v>
      </c>
      <c r="L123" s="19" t="s">
        <v>1389</v>
      </c>
      <c r="M123" s="19" t="s">
        <v>1644</v>
      </c>
      <c r="N123" s="19">
        <v>200</v>
      </c>
      <c r="O123" s="19">
        <v>400</v>
      </c>
      <c r="P123" s="19" t="s">
        <v>1644</v>
      </c>
      <c r="Q123" s="19">
        <v>472</v>
      </c>
      <c r="R123" s="19">
        <v>9</v>
      </c>
      <c r="S123" s="19">
        <v>36</v>
      </c>
      <c r="T123" s="19">
        <v>9</v>
      </c>
      <c r="U123" s="19">
        <v>36</v>
      </c>
      <c r="V123" s="19">
        <v>0</v>
      </c>
      <c r="W123" s="19">
        <v>0</v>
      </c>
      <c r="X123" s="19">
        <v>0</v>
      </c>
      <c r="Y123" s="19">
        <v>72</v>
      </c>
      <c r="Z123" s="19">
        <v>0</v>
      </c>
      <c r="AA123" s="19" t="s">
        <v>194</v>
      </c>
      <c r="AB123" s="19" t="s">
        <v>1555</v>
      </c>
      <c r="AC123" s="19">
        <v>844810</v>
      </c>
      <c r="AD123" s="19" t="s">
        <v>1092</v>
      </c>
      <c r="AE123" s="19">
        <v>1</v>
      </c>
      <c r="AF123" s="19">
        <v>0</v>
      </c>
      <c r="AG123" s="19" t="s">
        <v>1093</v>
      </c>
      <c r="AH123" s="19" t="s">
        <v>2319</v>
      </c>
    </row>
    <row r="124" spans="2:34" hidden="1" x14ac:dyDescent="0.35">
      <c r="B124" s="76">
        <v>46210</v>
      </c>
      <c r="C124" s="19" t="s">
        <v>338</v>
      </c>
      <c r="D124" s="19" t="s">
        <v>126</v>
      </c>
      <c r="E124" s="19" t="s">
        <v>336</v>
      </c>
      <c r="F124" s="19" t="s">
        <v>121</v>
      </c>
      <c r="G124" s="19" t="s">
        <v>337</v>
      </c>
      <c r="H124" s="76">
        <v>46193</v>
      </c>
      <c r="I124" s="19" t="s">
        <v>105</v>
      </c>
      <c r="J124" s="19" t="s">
        <v>1579</v>
      </c>
      <c r="K124" s="19" t="s">
        <v>1127</v>
      </c>
      <c r="L124" s="19" t="s">
        <v>1389</v>
      </c>
      <c r="M124" s="19" t="s">
        <v>1645</v>
      </c>
      <c r="N124" s="19">
        <v>5</v>
      </c>
      <c r="O124" s="19">
        <v>17500</v>
      </c>
      <c r="P124" s="19" t="s">
        <v>1645</v>
      </c>
      <c r="Q124" s="19">
        <v>20650</v>
      </c>
      <c r="R124" s="19">
        <v>0</v>
      </c>
      <c r="S124" s="19">
        <v>0</v>
      </c>
      <c r="T124" s="19">
        <v>0</v>
      </c>
      <c r="U124" s="19">
        <v>0</v>
      </c>
      <c r="V124" s="19">
        <v>18</v>
      </c>
      <c r="W124" s="19">
        <v>3150</v>
      </c>
      <c r="X124" s="19">
        <v>0</v>
      </c>
      <c r="Y124" s="19">
        <v>3150</v>
      </c>
      <c r="Z124" s="19">
        <v>0</v>
      </c>
      <c r="AA124" s="19" t="s">
        <v>339</v>
      </c>
      <c r="AB124" s="19" t="s">
        <v>1555</v>
      </c>
      <c r="AC124" s="19">
        <v>844810</v>
      </c>
      <c r="AD124" s="19" t="s">
        <v>1092</v>
      </c>
      <c r="AE124" s="19">
        <v>1</v>
      </c>
      <c r="AF124" s="19">
        <v>0</v>
      </c>
      <c r="AG124" s="19" t="s">
        <v>1093</v>
      </c>
      <c r="AH124" s="19" t="s">
        <v>2319</v>
      </c>
    </row>
    <row r="125" spans="2:34" x14ac:dyDescent="0.35">
      <c r="B125" s="76">
        <v>46210</v>
      </c>
      <c r="C125" s="19" t="s">
        <v>178</v>
      </c>
      <c r="D125" s="19" t="s">
        <v>173</v>
      </c>
      <c r="E125" s="19" t="s">
        <v>359</v>
      </c>
      <c r="F125" s="19" t="s">
        <v>123</v>
      </c>
      <c r="G125" s="19" t="s">
        <v>360</v>
      </c>
      <c r="H125" s="76">
        <v>46210</v>
      </c>
      <c r="I125" s="19" t="s">
        <v>36</v>
      </c>
      <c r="J125" s="19" t="s">
        <v>1117</v>
      </c>
      <c r="K125" s="19" t="s">
        <v>44</v>
      </c>
      <c r="L125" s="19" t="s">
        <v>1118</v>
      </c>
      <c r="M125" s="19" t="s">
        <v>1119</v>
      </c>
      <c r="N125" s="19">
        <v>468</v>
      </c>
      <c r="O125" s="19">
        <v>77173.2</v>
      </c>
      <c r="P125" s="19" t="s">
        <v>1119</v>
      </c>
      <c r="Q125" s="19">
        <v>1128527.3</v>
      </c>
      <c r="R125" s="19">
        <v>9</v>
      </c>
      <c r="S125" s="19">
        <v>6945.59</v>
      </c>
      <c r="T125" s="19">
        <v>9</v>
      </c>
      <c r="U125" s="19">
        <v>6945.59</v>
      </c>
      <c r="V125" s="19">
        <v>0</v>
      </c>
      <c r="W125" s="19">
        <v>0</v>
      </c>
      <c r="X125" s="19">
        <v>0</v>
      </c>
      <c r="Y125" s="19">
        <v>13891.18</v>
      </c>
      <c r="Z125" s="19">
        <v>0</v>
      </c>
      <c r="AA125" s="19" t="s">
        <v>179</v>
      </c>
      <c r="AB125" s="19" t="s">
        <v>1289</v>
      </c>
      <c r="AC125" s="19">
        <v>39269080</v>
      </c>
      <c r="AD125" s="19" t="s">
        <v>1092</v>
      </c>
      <c r="AE125" s="19">
        <v>1</v>
      </c>
      <c r="AF125" s="19">
        <f t="shared" ref="AF125:AF129" si="3">N125</f>
        <v>468</v>
      </c>
      <c r="AG125" s="19" t="s">
        <v>1093</v>
      </c>
      <c r="AH125" s="19" t="s">
        <v>44</v>
      </c>
    </row>
    <row r="126" spans="2:34" x14ac:dyDescent="0.35">
      <c r="B126" s="76">
        <v>46210</v>
      </c>
      <c r="C126" s="19" t="s">
        <v>178</v>
      </c>
      <c r="D126" s="19" t="s">
        <v>173</v>
      </c>
      <c r="E126" s="19" t="s">
        <v>359</v>
      </c>
      <c r="F126" s="19" t="s">
        <v>123</v>
      </c>
      <c r="G126" s="19" t="s">
        <v>360</v>
      </c>
      <c r="H126" s="76">
        <v>46210</v>
      </c>
      <c r="I126" s="19" t="s">
        <v>36</v>
      </c>
      <c r="J126" s="19" t="s">
        <v>1117</v>
      </c>
      <c r="K126" s="19" t="s">
        <v>44</v>
      </c>
      <c r="L126" s="19" t="s">
        <v>1118</v>
      </c>
      <c r="M126" s="19" t="s">
        <v>1119</v>
      </c>
      <c r="N126" s="19">
        <v>2955</v>
      </c>
      <c r="O126" s="19">
        <v>478414.5</v>
      </c>
      <c r="P126" s="19" t="s">
        <v>1119</v>
      </c>
      <c r="Q126" s="19">
        <v>0</v>
      </c>
      <c r="R126" s="19">
        <v>9</v>
      </c>
      <c r="S126" s="19">
        <v>43057.3</v>
      </c>
      <c r="T126" s="19">
        <v>9</v>
      </c>
      <c r="U126" s="19">
        <v>43057.3</v>
      </c>
      <c r="V126" s="19">
        <v>0</v>
      </c>
      <c r="W126" s="19">
        <v>0</v>
      </c>
      <c r="X126" s="19">
        <v>0</v>
      </c>
      <c r="Y126" s="19">
        <v>86114.6</v>
      </c>
      <c r="Z126" s="19">
        <v>0</v>
      </c>
      <c r="AA126" s="19" t="s">
        <v>179</v>
      </c>
      <c r="AB126" s="19" t="s">
        <v>1289</v>
      </c>
      <c r="AC126" s="19">
        <v>39269080</v>
      </c>
      <c r="AD126" s="19" t="s">
        <v>1092</v>
      </c>
      <c r="AE126" s="19">
        <v>1</v>
      </c>
      <c r="AF126" s="19">
        <f t="shared" si="3"/>
        <v>2955</v>
      </c>
      <c r="AG126" s="19" t="s">
        <v>1093</v>
      </c>
      <c r="AH126" s="19" t="s">
        <v>44</v>
      </c>
    </row>
    <row r="127" spans="2:34" x14ac:dyDescent="0.35">
      <c r="B127" s="76">
        <v>46210</v>
      </c>
      <c r="C127" s="19" t="s">
        <v>178</v>
      </c>
      <c r="D127" s="19" t="s">
        <v>173</v>
      </c>
      <c r="E127" s="19" t="s">
        <v>359</v>
      </c>
      <c r="F127" s="19" t="s">
        <v>123</v>
      </c>
      <c r="G127" s="19" t="s">
        <v>360</v>
      </c>
      <c r="H127" s="76">
        <v>46210</v>
      </c>
      <c r="I127" s="19" t="s">
        <v>36</v>
      </c>
      <c r="J127" s="19" t="s">
        <v>1117</v>
      </c>
      <c r="K127" s="19" t="s">
        <v>44</v>
      </c>
      <c r="L127" s="19" t="s">
        <v>1118</v>
      </c>
      <c r="M127" s="19" t="s">
        <v>1119</v>
      </c>
      <c r="N127" s="19">
        <v>876</v>
      </c>
      <c r="O127" s="19">
        <v>140072.4</v>
      </c>
      <c r="P127" s="19" t="s">
        <v>1119</v>
      </c>
      <c r="Q127" s="19">
        <v>0</v>
      </c>
      <c r="R127" s="19">
        <v>9</v>
      </c>
      <c r="S127" s="19">
        <v>12606.52</v>
      </c>
      <c r="T127" s="19">
        <v>9</v>
      </c>
      <c r="U127" s="19">
        <v>12606.52</v>
      </c>
      <c r="V127" s="19">
        <v>0</v>
      </c>
      <c r="W127" s="19">
        <v>0</v>
      </c>
      <c r="X127" s="19">
        <v>0</v>
      </c>
      <c r="Y127" s="19">
        <v>25213.040000000001</v>
      </c>
      <c r="Z127" s="19">
        <v>0</v>
      </c>
      <c r="AA127" s="19" t="s">
        <v>179</v>
      </c>
      <c r="AB127" s="19" t="s">
        <v>1289</v>
      </c>
      <c r="AC127" s="19">
        <v>39269080</v>
      </c>
      <c r="AD127" s="19" t="s">
        <v>1092</v>
      </c>
      <c r="AE127" s="19">
        <v>1</v>
      </c>
      <c r="AF127" s="19">
        <f t="shared" si="3"/>
        <v>876</v>
      </c>
      <c r="AG127" s="19" t="s">
        <v>1093</v>
      </c>
      <c r="AH127" s="19" t="s">
        <v>44</v>
      </c>
    </row>
    <row r="128" spans="2:34" x14ac:dyDescent="0.35">
      <c r="B128" s="76">
        <v>46210</v>
      </c>
      <c r="C128" s="19" t="s">
        <v>178</v>
      </c>
      <c r="D128" s="19" t="s">
        <v>173</v>
      </c>
      <c r="E128" s="19" t="s">
        <v>359</v>
      </c>
      <c r="F128" s="19" t="s">
        <v>123</v>
      </c>
      <c r="G128" s="19" t="s">
        <v>360</v>
      </c>
      <c r="H128" s="76">
        <v>46210</v>
      </c>
      <c r="I128" s="19" t="s">
        <v>36</v>
      </c>
      <c r="J128" s="19" t="s">
        <v>1117</v>
      </c>
      <c r="K128" s="19" t="s">
        <v>44</v>
      </c>
      <c r="L128" s="19" t="s">
        <v>1118</v>
      </c>
      <c r="M128" s="19" t="s">
        <v>1119</v>
      </c>
      <c r="N128" s="19">
        <v>1009</v>
      </c>
      <c r="O128" s="19">
        <v>223897.1</v>
      </c>
      <c r="P128" s="19" t="s">
        <v>1119</v>
      </c>
      <c r="Q128" s="19">
        <v>0</v>
      </c>
      <c r="R128" s="19">
        <v>9</v>
      </c>
      <c r="S128" s="19">
        <v>20150.740000000002</v>
      </c>
      <c r="T128" s="19">
        <v>9</v>
      </c>
      <c r="U128" s="19">
        <v>20150.740000000002</v>
      </c>
      <c r="V128" s="19">
        <v>0</v>
      </c>
      <c r="W128" s="19">
        <v>0</v>
      </c>
      <c r="X128" s="19">
        <v>0</v>
      </c>
      <c r="Y128" s="19">
        <v>40301.480000000003</v>
      </c>
      <c r="Z128" s="19">
        <v>0</v>
      </c>
      <c r="AA128" s="19" t="s">
        <v>179</v>
      </c>
      <c r="AB128" s="19" t="s">
        <v>1289</v>
      </c>
      <c r="AC128" s="19">
        <v>39269080</v>
      </c>
      <c r="AD128" s="19" t="s">
        <v>1092</v>
      </c>
      <c r="AE128" s="19">
        <v>1</v>
      </c>
      <c r="AF128" s="19">
        <f t="shared" si="3"/>
        <v>1009</v>
      </c>
      <c r="AG128" s="19" t="s">
        <v>1093</v>
      </c>
      <c r="AH128" s="19" t="s">
        <v>44</v>
      </c>
    </row>
    <row r="129" spans="2:34" x14ac:dyDescent="0.35">
      <c r="B129" s="76">
        <v>46210</v>
      </c>
      <c r="C129" s="19" t="s">
        <v>178</v>
      </c>
      <c r="D129" s="19" t="s">
        <v>173</v>
      </c>
      <c r="E129" s="19" t="s">
        <v>359</v>
      </c>
      <c r="F129" s="19" t="s">
        <v>123</v>
      </c>
      <c r="G129" s="19" t="s">
        <v>360</v>
      </c>
      <c r="H129" s="76">
        <v>46210</v>
      </c>
      <c r="I129" s="19" t="s">
        <v>36</v>
      </c>
      <c r="J129" s="19" t="s">
        <v>1350</v>
      </c>
      <c r="K129" s="19" t="s">
        <v>39</v>
      </c>
      <c r="L129" s="19" t="s">
        <v>1616</v>
      </c>
      <c r="M129" s="19" t="s">
        <v>1594</v>
      </c>
      <c r="N129" s="19">
        <v>195</v>
      </c>
      <c r="O129" s="19">
        <v>37633.050000000003</v>
      </c>
      <c r="P129" s="19" t="s">
        <v>1594</v>
      </c>
      <c r="Q129" s="19">
        <v>0</v>
      </c>
      <c r="R129" s="19">
        <v>9</v>
      </c>
      <c r="S129" s="19">
        <v>3386.97</v>
      </c>
      <c r="T129" s="19">
        <v>9</v>
      </c>
      <c r="U129" s="19">
        <v>3386.97</v>
      </c>
      <c r="V129" s="19">
        <v>0</v>
      </c>
      <c r="W129" s="19">
        <v>0</v>
      </c>
      <c r="X129" s="19">
        <v>0</v>
      </c>
      <c r="Y129" s="19">
        <v>6773.94</v>
      </c>
      <c r="Z129" s="19">
        <v>0</v>
      </c>
      <c r="AA129" s="19" t="s">
        <v>179</v>
      </c>
      <c r="AB129" s="19" t="s">
        <v>1289</v>
      </c>
      <c r="AC129" s="19">
        <v>39232100</v>
      </c>
      <c r="AD129" s="19" t="s">
        <v>1092</v>
      </c>
      <c r="AE129" s="19">
        <v>1</v>
      </c>
      <c r="AF129" s="19">
        <f t="shared" si="3"/>
        <v>195</v>
      </c>
      <c r="AG129" s="19" t="s">
        <v>1093</v>
      </c>
      <c r="AH129" s="19" t="s">
        <v>39</v>
      </c>
    </row>
    <row r="130" spans="2:34" x14ac:dyDescent="0.35">
      <c r="B130" s="76">
        <v>46210</v>
      </c>
      <c r="C130" s="19" t="s">
        <v>178</v>
      </c>
      <c r="D130" s="19" t="s">
        <v>173</v>
      </c>
      <c r="E130" s="19" t="s">
        <v>361</v>
      </c>
      <c r="F130" s="19" t="s">
        <v>123</v>
      </c>
      <c r="G130" s="19" t="s">
        <v>362</v>
      </c>
      <c r="H130" s="76">
        <v>46210</v>
      </c>
      <c r="I130" s="19" t="s">
        <v>28</v>
      </c>
      <c r="J130" s="19" t="s">
        <v>1173</v>
      </c>
      <c r="K130" s="19" t="s">
        <v>34</v>
      </c>
      <c r="L130" s="19" t="s">
        <v>1105</v>
      </c>
      <c r="M130" s="19" t="s">
        <v>1646</v>
      </c>
      <c r="N130" s="19">
        <v>800</v>
      </c>
      <c r="O130" s="19">
        <v>120000</v>
      </c>
      <c r="P130" s="19" t="s">
        <v>1646</v>
      </c>
      <c r="Q130" s="19">
        <v>141480</v>
      </c>
      <c r="R130" s="19">
        <v>9</v>
      </c>
      <c r="S130" s="19">
        <v>10800</v>
      </c>
      <c r="T130" s="19">
        <v>9</v>
      </c>
      <c r="U130" s="19">
        <v>10800</v>
      </c>
      <c r="V130" s="19">
        <v>0</v>
      </c>
      <c r="W130" s="19">
        <v>0</v>
      </c>
      <c r="X130" s="19">
        <v>0</v>
      </c>
      <c r="Y130" s="19">
        <v>21600</v>
      </c>
      <c r="Z130" s="19">
        <v>0</v>
      </c>
      <c r="AA130" s="19" t="s">
        <v>179</v>
      </c>
      <c r="AB130" s="19" t="s">
        <v>1289</v>
      </c>
      <c r="AC130" s="19">
        <v>39021000</v>
      </c>
      <c r="AD130" s="19" t="s">
        <v>1092</v>
      </c>
      <c r="AE130" s="19">
        <v>1</v>
      </c>
      <c r="AF130" s="19">
        <v>800</v>
      </c>
      <c r="AG130" s="19" t="s">
        <v>1093</v>
      </c>
      <c r="AH130" s="19" t="s">
        <v>34</v>
      </c>
    </row>
    <row r="131" spans="2:34" hidden="1" x14ac:dyDescent="0.35">
      <c r="B131" s="76">
        <v>46210</v>
      </c>
      <c r="C131" s="19" t="s">
        <v>321</v>
      </c>
      <c r="D131" s="19" t="s">
        <v>126</v>
      </c>
      <c r="E131" s="19" t="s">
        <v>319</v>
      </c>
      <c r="F131" s="19" t="s">
        <v>118</v>
      </c>
      <c r="G131" s="19" t="s">
        <v>320</v>
      </c>
      <c r="H131" s="76">
        <v>46207</v>
      </c>
      <c r="I131" s="19" t="s">
        <v>105</v>
      </c>
      <c r="J131" s="19" t="s">
        <v>1647</v>
      </c>
      <c r="K131" s="19" t="s">
        <v>1127</v>
      </c>
      <c r="L131" s="19" t="s">
        <v>1389</v>
      </c>
      <c r="M131" s="19" t="s">
        <v>1648</v>
      </c>
      <c r="N131" s="19">
        <v>10</v>
      </c>
      <c r="O131" s="19">
        <v>29950</v>
      </c>
      <c r="P131" s="19" t="s">
        <v>1648</v>
      </c>
      <c r="Q131" s="19">
        <v>50976</v>
      </c>
      <c r="R131" s="19">
        <v>9</v>
      </c>
      <c r="S131" s="19">
        <v>2695.5</v>
      </c>
      <c r="T131" s="19">
        <v>9</v>
      </c>
      <c r="U131" s="19">
        <v>2695.5</v>
      </c>
      <c r="V131" s="19">
        <v>0</v>
      </c>
      <c r="W131" s="19">
        <v>0</v>
      </c>
      <c r="X131" s="19">
        <v>54</v>
      </c>
      <c r="Y131" s="19">
        <v>5445</v>
      </c>
      <c r="Z131" s="19">
        <v>0</v>
      </c>
      <c r="AA131" s="19" t="s">
        <v>322</v>
      </c>
      <c r="AB131" s="19" t="s">
        <v>1555</v>
      </c>
      <c r="AC131" s="19">
        <v>853620</v>
      </c>
      <c r="AD131" s="19" t="s">
        <v>1092</v>
      </c>
      <c r="AE131" s="19">
        <v>1</v>
      </c>
      <c r="AF131" s="19">
        <v>0</v>
      </c>
      <c r="AG131" s="19" t="s">
        <v>1093</v>
      </c>
      <c r="AH131" s="19" t="s">
        <v>2319</v>
      </c>
    </row>
    <row r="132" spans="2:34" hidden="1" x14ac:dyDescent="0.35">
      <c r="B132" s="76">
        <v>46210</v>
      </c>
      <c r="C132" s="19" t="s">
        <v>321</v>
      </c>
      <c r="D132" s="19" t="s">
        <v>126</v>
      </c>
      <c r="E132" s="19" t="s">
        <v>319</v>
      </c>
      <c r="F132" s="19" t="s">
        <v>118</v>
      </c>
      <c r="G132" s="19" t="s">
        <v>320</v>
      </c>
      <c r="H132" s="76">
        <v>46207</v>
      </c>
      <c r="I132" s="19" t="s">
        <v>105</v>
      </c>
      <c r="J132" s="19" t="s">
        <v>1647</v>
      </c>
      <c r="K132" s="19" t="s">
        <v>1127</v>
      </c>
      <c r="L132" s="19" t="s">
        <v>1389</v>
      </c>
      <c r="M132" s="19" t="s">
        <v>1648</v>
      </c>
      <c r="N132" s="19">
        <v>10</v>
      </c>
      <c r="O132" s="19">
        <v>12950</v>
      </c>
      <c r="P132" s="19" t="s">
        <v>1648</v>
      </c>
      <c r="Q132" s="19">
        <v>0</v>
      </c>
      <c r="R132" s="19">
        <v>9</v>
      </c>
      <c r="S132" s="19">
        <v>1165.5</v>
      </c>
      <c r="T132" s="19">
        <v>9</v>
      </c>
      <c r="U132" s="19">
        <v>1165.5</v>
      </c>
      <c r="V132" s="19">
        <v>0</v>
      </c>
      <c r="W132" s="19">
        <v>0</v>
      </c>
      <c r="X132" s="19">
        <v>54</v>
      </c>
      <c r="Y132" s="19">
        <v>2385</v>
      </c>
      <c r="Z132" s="19">
        <v>0</v>
      </c>
      <c r="AA132" s="19" t="s">
        <v>322</v>
      </c>
      <c r="AB132" s="19" t="s">
        <v>1555</v>
      </c>
      <c r="AC132" s="19">
        <v>853620</v>
      </c>
      <c r="AD132" s="19" t="s">
        <v>1092</v>
      </c>
      <c r="AE132" s="19">
        <v>1</v>
      </c>
      <c r="AF132" s="19">
        <v>0</v>
      </c>
      <c r="AG132" s="19" t="s">
        <v>1093</v>
      </c>
      <c r="AH132" s="19" t="s">
        <v>2319</v>
      </c>
    </row>
    <row r="133" spans="2:34" hidden="1" x14ac:dyDescent="0.35">
      <c r="B133" s="76">
        <v>46210</v>
      </c>
      <c r="C133" s="19" t="s">
        <v>328</v>
      </c>
      <c r="D133" s="19" t="s">
        <v>126</v>
      </c>
      <c r="E133" s="19" t="s">
        <v>326</v>
      </c>
      <c r="F133" s="19" t="s">
        <v>118</v>
      </c>
      <c r="G133" s="19" t="s">
        <v>327</v>
      </c>
      <c r="H133" s="76">
        <v>46205</v>
      </c>
      <c r="I133" s="19" t="s">
        <v>105</v>
      </c>
      <c r="J133" s="19" t="s">
        <v>1649</v>
      </c>
      <c r="K133" s="19" t="s">
        <v>1127</v>
      </c>
      <c r="L133" s="19" t="s">
        <v>1389</v>
      </c>
      <c r="M133" s="19" t="s">
        <v>1650</v>
      </c>
      <c r="N133" s="19">
        <v>2</v>
      </c>
      <c r="O133" s="19">
        <v>11540</v>
      </c>
      <c r="P133" s="19" t="s">
        <v>1650</v>
      </c>
      <c r="Q133" s="19">
        <v>13617</v>
      </c>
      <c r="R133" s="19">
        <v>9</v>
      </c>
      <c r="S133" s="19">
        <v>1038.5999999999999</v>
      </c>
      <c r="T133" s="19">
        <v>9</v>
      </c>
      <c r="U133" s="19">
        <v>1038.5999999999999</v>
      </c>
      <c r="V133" s="19">
        <v>0</v>
      </c>
      <c r="W133" s="19">
        <v>0</v>
      </c>
      <c r="X133" s="19">
        <v>0</v>
      </c>
      <c r="Y133" s="19">
        <v>2077.1999999999998</v>
      </c>
      <c r="Z133" s="19">
        <v>0</v>
      </c>
      <c r="AA133" s="19" t="s">
        <v>329</v>
      </c>
      <c r="AB133" s="19" t="s">
        <v>1555</v>
      </c>
      <c r="AC133" s="19">
        <v>73071900</v>
      </c>
      <c r="AD133" s="19" t="s">
        <v>1092</v>
      </c>
      <c r="AE133" s="19">
        <v>1</v>
      </c>
      <c r="AF133" s="19">
        <v>0</v>
      </c>
      <c r="AG133" s="19" t="s">
        <v>1093</v>
      </c>
      <c r="AH133" s="19" t="s">
        <v>2319</v>
      </c>
    </row>
    <row r="134" spans="2:34" hidden="1" x14ac:dyDescent="0.35">
      <c r="B134" s="76">
        <v>46210</v>
      </c>
      <c r="C134" s="19" t="s">
        <v>342</v>
      </c>
      <c r="D134" s="19" t="s">
        <v>126</v>
      </c>
      <c r="E134" s="19" t="s">
        <v>340</v>
      </c>
      <c r="F134" s="19" t="s">
        <v>121</v>
      </c>
      <c r="G134" s="19" t="s">
        <v>341</v>
      </c>
      <c r="H134" s="76">
        <v>46201</v>
      </c>
      <c r="I134" s="19" t="s">
        <v>105</v>
      </c>
      <c r="J134" s="19" t="s">
        <v>1579</v>
      </c>
      <c r="K134" s="19" t="s">
        <v>1127</v>
      </c>
      <c r="L134" s="19" t="s">
        <v>1389</v>
      </c>
      <c r="M134" s="19" t="s">
        <v>1651</v>
      </c>
      <c r="N134" s="19">
        <v>2</v>
      </c>
      <c r="O134" s="19">
        <v>27000</v>
      </c>
      <c r="P134" s="19" t="s">
        <v>1651</v>
      </c>
      <c r="Q134" s="19">
        <v>64900</v>
      </c>
      <c r="R134" s="19">
        <v>0</v>
      </c>
      <c r="S134" s="19">
        <v>0</v>
      </c>
      <c r="T134" s="19">
        <v>0</v>
      </c>
      <c r="U134" s="19">
        <v>0</v>
      </c>
      <c r="V134" s="19">
        <v>18</v>
      </c>
      <c r="W134" s="19">
        <v>4860</v>
      </c>
      <c r="X134" s="19">
        <v>0</v>
      </c>
      <c r="Y134" s="19">
        <v>4860</v>
      </c>
      <c r="Z134" s="19">
        <v>0</v>
      </c>
      <c r="AA134" s="19" t="s">
        <v>343</v>
      </c>
      <c r="AB134" s="19" t="s">
        <v>1555</v>
      </c>
      <c r="AC134" s="19">
        <v>84484990</v>
      </c>
      <c r="AD134" s="19" t="s">
        <v>1092</v>
      </c>
      <c r="AE134" s="19">
        <v>1</v>
      </c>
      <c r="AF134" s="19">
        <v>0</v>
      </c>
      <c r="AG134" s="19" t="s">
        <v>1093</v>
      </c>
      <c r="AH134" s="19" t="s">
        <v>2319</v>
      </c>
    </row>
    <row r="135" spans="2:34" hidden="1" x14ac:dyDescent="0.35">
      <c r="B135" s="76">
        <v>46210</v>
      </c>
      <c r="C135" s="19" t="s">
        <v>342</v>
      </c>
      <c r="D135" s="19" t="s">
        <v>126</v>
      </c>
      <c r="E135" s="19" t="s">
        <v>340</v>
      </c>
      <c r="F135" s="19" t="s">
        <v>121</v>
      </c>
      <c r="G135" s="19" t="s">
        <v>341</v>
      </c>
      <c r="H135" s="76">
        <v>46201</v>
      </c>
      <c r="I135" s="19" t="s">
        <v>105</v>
      </c>
      <c r="J135" s="19" t="s">
        <v>1579</v>
      </c>
      <c r="K135" s="19" t="s">
        <v>1127</v>
      </c>
      <c r="L135" s="19" t="s">
        <v>1389</v>
      </c>
      <c r="M135" s="19" t="s">
        <v>1652</v>
      </c>
      <c r="N135" s="19">
        <v>2</v>
      </c>
      <c r="O135" s="19">
        <v>28000</v>
      </c>
      <c r="P135" s="19" t="s">
        <v>1652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18</v>
      </c>
      <c r="W135" s="19">
        <v>5040</v>
      </c>
      <c r="X135" s="19">
        <v>0</v>
      </c>
      <c r="Y135" s="19">
        <v>5040</v>
      </c>
      <c r="Z135" s="19">
        <v>0</v>
      </c>
      <c r="AA135" s="19" t="s">
        <v>343</v>
      </c>
      <c r="AB135" s="19" t="s">
        <v>1555</v>
      </c>
      <c r="AC135" s="19">
        <v>84484990</v>
      </c>
      <c r="AD135" s="19" t="s">
        <v>1092</v>
      </c>
      <c r="AE135" s="19">
        <v>1</v>
      </c>
      <c r="AF135" s="19">
        <v>0</v>
      </c>
      <c r="AG135" s="19" t="s">
        <v>1093</v>
      </c>
      <c r="AH135" s="19" t="s">
        <v>2319</v>
      </c>
    </row>
    <row r="136" spans="2:34" hidden="1" x14ac:dyDescent="0.35">
      <c r="B136" s="76">
        <v>46210</v>
      </c>
      <c r="C136" s="19" t="s">
        <v>301</v>
      </c>
      <c r="D136" s="19" t="s">
        <v>126</v>
      </c>
      <c r="E136" s="19" t="s">
        <v>299</v>
      </c>
      <c r="F136" s="19" t="s">
        <v>118</v>
      </c>
      <c r="G136" s="19" t="s">
        <v>300</v>
      </c>
      <c r="H136" s="76">
        <v>46202</v>
      </c>
      <c r="I136" s="19" t="s">
        <v>102</v>
      </c>
      <c r="J136" s="19" t="s">
        <v>102</v>
      </c>
      <c r="K136" s="19" t="s">
        <v>1127</v>
      </c>
      <c r="L136" s="19" t="s">
        <v>102</v>
      </c>
      <c r="M136" s="19" t="s">
        <v>1653</v>
      </c>
      <c r="N136" s="19">
        <v>5000</v>
      </c>
      <c r="O136" s="19">
        <v>34000</v>
      </c>
      <c r="P136" s="19" t="s">
        <v>1653</v>
      </c>
      <c r="Q136" s="19">
        <v>35700</v>
      </c>
      <c r="R136" s="19">
        <v>2.5</v>
      </c>
      <c r="S136" s="19">
        <v>850</v>
      </c>
      <c r="T136" s="19">
        <v>2.5</v>
      </c>
      <c r="U136" s="19">
        <v>850</v>
      </c>
      <c r="V136" s="19">
        <v>0</v>
      </c>
      <c r="W136" s="19">
        <v>0</v>
      </c>
      <c r="X136" s="19">
        <v>0</v>
      </c>
      <c r="Y136" s="19">
        <v>1700</v>
      </c>
      <c r="Z136" s="19">
        <v>0</v>
      </c>
      <c r="AA136" s="19" t="s">
        <v>302</v>
      </c>
      <c r="AB136" s="19" t="s">
        <v>1654</v>
      </c>
      <c r="AC136" s="19">
        <v>401699</v>
      </c>
      <c r="AD136" s="19" t="s">
        <v>1092</v>
      </c>
      <c r="AE136" s="19">
        <v>1</v>
      </c>
      <c r="AF136" s="19">
        <v>0</v>
      </c>
      <c r="AG136" s="19" t="s">
        <v>1093</v>
      </c>
      <c r="AH136" s="19" t="s">
        <v>2319</v>
      </c>
    </row>
    <row r="137" spans="2:34" hidden="1" x14ac:dyDescent="0.35">
      <c r="B137" s="76">
        <v>46210</v>
      </c>
      <c r="C137" s="19" t="s">
        <v>315</v>
      </c>
      <c r="D137" s="19" t="s">
        <v>126</v>
      </c>
      <c r="E137" s="19" t="s">
        <v>313</v>
      </c>
      <c r="F137" s="19" t="s">
        <v>121</v>
      </c>
      <c r="G137" s="19" t="s">
        <v>314</v>
      </c>
      <c r="H137" s="76">
        <v>46203</v>
      </c>
      <c r="I137" s="19" t="s">
        <v>102</v>
      </c>
      <c r="J137" s="19" t="s">
        <v>1655</v>
      </c>
      <c r="K137" s="19" t="s">
        <v>1127</v>
      </c>
      <c r="L137" s="19" t="s">
        <v>102</v>
      </c>
      <c r="M137" s="19" t="s">
        <v>1656</v>
      </c>
      <c r="N137" s="19">
        <v>900</v>
      </c>
      <c r="O137" s="19">
        <v>7425</v>
      </c>
      <c r="P137" s="19" t="s">
        <v>1656</v>
      </c>
      <c r="Q137" s="19">
        <v>29736</v>
      </c>
      <c r="R137" s="19">
        <v>0</v>
      </c>
      <c r="S137" s="19">
        <v>0</v>
      </c>
      <c r="T137" s="19">
        <v>0</v>
      </c>
      <c r="U137" s="19">
        <v>0</v>
      </c>
      <c r="V137" s="19">
        <v>18</v>
      </c>
      <c r="W137" s="19">
        <v>1336.5</v>
      </c>
      <c r="X137" s="19">
        <v>0</v>
      </c>
      <c r="Y137" s="19">
        <v>1336.5</v>
      </c>
      <c r="Z137" s="19">
        <v>0</v>
      </c>
      <c r="AA137" s="19" t="s">
        <v>316</v>
      </c>
      <c r="AB137" s="19" t="s">
        <v>1572</v>
      </c>
      <c r="AC137" s="19">
        <v>73141410</v>
      </c>
      <c r="AD137" s="19" t="s">
        <v>1092</v>
      </c>
      <c r="AE137" s="19">
        <v>1</v>
      </c>
      <c r="AF137" s="19">
        <v>0</v>
      </c>
      <c r="AG137" s="19" t="s">
        <v>1093</v>
      </c>
      <c r="AH137" s="19" t="s">
        <v>2319</v>
      </c>
    </row>
    <row r="138" spans="2:34" hidden="1" x14ac:dyDescent="0.35">
      <c r="B138" s="76">
        <v>46210</v>
      </c>
      <c r="C138" s="19" t="s">
        <v>315</v>
      </c>
      <c r="D138" s="19" t="s">
        <v>126</v>
      </c>
      <c r="E138" s="19" t="s">
        <v>313</v>
      </c>
      <c r="F138" s="19" t="s">
        <v>121</v>
      </c>
      <c r="G138" s="19" t="s">
        <v>314</v>
      </c>
      <c r="H138" s="76">
        <v>46203</v>
      </c>
      <c r="I138" s="19" t="s">
        <v>102</v>
      </c>
      <c r="J138" s="19" t="s">
        <v>1655</v>
      </c>
      <c r="K138" s="19" t="s">
        <v>1127</v>
      </c>
      <c r="L138" s="19" t="s">
        <v>102</v>
      </c>
      <c r="M138" s="19" t="s">
        <v>1657</v>
      </c>
      <c r="N138" s="19">
        <v>900</v>
      </c>
      <c r="O138" s="19">
        <v>10350</v>
      </c>
      <c r="P138" s="19" t="s">
        <v>1657</v>
      </c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18</v>
      </c>
      <c r="W138" s="19">
        <v>1863</v>
      </c>
      <c r="X138" s="19">
        <v>0</v>
      </c>
      <c r="Y138" s="19">
        <v>1863</v>
      </c>
      <c r="Z138" s="19">
        <v>0</v>
      </c>
      <c r="AA138" s="19" t="s">
        <v>316</v>
      </c>
      <c r="AB138" s="19" t="s">
        <v>1572</v>
      </c>
      <c r="AC138" s="19">
        <v>73141410</v>
      </c>
      <c r="AD138" s="19" t="s">
        <v>1092</v>
      </c>
      <c r="AE138" s="19">
        <v>1</v>
      </c>
      <c r="AF138" s="19">
        <v>0</v>
      </c>
      <c r="AG138" s="19" t="s">
        <v>1093</v>
      </c>
      <c r="AH138" s="19" t="s">
        <v>2319</v>
      </c>
    </row>
    <row r="139" spans="2:34" hidden="1" x14ac:dyDescent="0.35">
      <c r="B139" s="76">
        <v>46210</v>
      </c>
      <c r="C139" s="19" t="s">
        <v>315</v>
      </c>
      <c r="D139" s="19" t="s">
        <v>126</v>
      </c>
      <c r="E139" s="19" t="s">
        <v>313</v>
      </c>
      <c r="F139" s="19" t="s">
        <v>121</v>
      </c>
      <c r="G139" s="19" t="s">
        <v>314</v>
      </c>
      <c r="H139" s="76">
        <v>46203</v>
      </c>
      <c r="I139" s="19" t="s">
        <v>102</v>
      </c>
      <c r="J139" s="19" t="s">
        <v>1655</v>
      </c>
      <c r="K139" s="19" t="s">
        <v>1127</v>
      </c>
      <c r="L139" s="19" t="s">
        <v>102</v>
      </c>
      <c r="M139" s="19" t="s">
        <v>1658</v>
      </c>
      <c r="N139" s="19">
        <v>900</v>
      </c>
      <c r="O139" s="19">
        <v>7425</v>
      </c>
      <c r="P139" s="19" t="s">
        <v>1658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18</v>
      </c>
      <c r="W139" s="19">
        <v>1336.5</v>
      </c>
      <c r="X139" s="19">
        <v>0</v>
      </c>
      <c r="Y139" s="19">
        <v>1336.5</v>
      </c>
      <c r="Z139" s="19">
        <v>0</v>
      </c>
      <c r="AA139" s="19" t="s">
        <v>316</v>
      </c>
      <c r="AB139" s="19" t="s">
        <v>1572</v>
      </c>
      <c r="AC139" s="19">
        <v>73141410</v>
      </c>
      <c r="AD139" s="19" t="s">
        <v>1092</v>
      </c>
      <c r="AE139" s="19">
        <v>1</v>
      </c>
      <c r="AF139" s="19">
        <v>0</v>
      </c>
      <c r="AG139" s="19" t="s">
        <v>1093</v>
      </c>
      <c r="AH139" s="19" t="s">
        <v>2319</v>
      </c>
    </row>
    <row r="140" spans="2:34" hidden="1" x14ac:dyDescent="0.35">
      <c r="B140" s="76">
        <v>46210</v>
      </c>
      <c r="C140" s="19" t="s">
        <v>308</v>
      </c>
      <c r="D140" s="19" t="s">
        <v>126</v>
      </c>
      <c r="E140" s="19" t="s">
        <v>307</v>
      </c>
      <c r="F140" s="19" t="s">
        <v>118</v>
      </c>
      <c r="G140" s="19">
        <v>979</v>
      </c>
      <c r="H140" s="76">
        <v>46205</v>
      </c>
      <c r="I140" s="19" t="s">
        <v>102</v>
      </c>
      <c r="J140" s="19" t="s">
        <v>102</v>
      </c>
      <c r="K140" s="19" t="s">
        <v>1127</v>
      </c>
      <c r="L140" s="19" t="s">
        <v>102</v>
      </c>
      <c r="M140" s="19" t="s">
        <v>1659</v>
      </c>
      <c r="N140" s="19">
        <v>5</v>
      </c>
      <c r="O140" s="19">
        <v>1475</v>
      </c>
      <c r="P140" s="19" t="s">
        <v>1659</v>
      </c>
      <c r="Q140" s="19">
        <v>1741</v>
      </c>
      <c r="R140" s="19">
        <v>9</v>
      </c>
      <c r="S140" s="19">
        <v>132.75</v>
      </c>
      <c r="T140" s="19">
        <v>9</v>
      </c>
      <c r="U140" s="19">
        <v>132.75</v>
      </c>
      <c r="V140" s="19">
        <v>0</v>
      </c>
      <c r="W140" s="19">
        <v>0</v>
      </c>
      <c r="X140" s="19">
        <v>0</v>
      </c>
      <c r="Y140" s="19">
        <v>265.5</v>
      </c>
      <c r="Z140" s="19">
        <v>0</v>
      </c>
      <c r="AA140" s="19" t="s">
        <v>309</v>
      </c>
      <c r="AB140" s="19" t="s">
        <v>1555</v>
      </c>
      <c r="AC140" s="19">
        <v>84836010</v>
      </c>
      <c r="AD140" s="19" t="s">
        <v>1092</v>
      </c>
      <c r="AE140" s="19">
        <v>1</v>
      </c>
      <c r="AF140" s="19">
        <v>0</v>
      </c>
      <c r="AG140" s="19" t="s">
        <v>1093</v>
      </c>
      <c r="AH140" s="19" t="s">
        <v>2319</v>
      </c>
    </row>
    <row r="141" spans="2:34" hidden="1" x14ac:dyDescent="0.35">
      <c r="B141" s="76">
        <v>46210</v>
      </c>
      <c r="C141" s="19" t="s">
        <v>308</v>
      </c>
      <c r="D141" s="19" t="s">
        <v>126</v>
      </c>
      <c r="E141" s="19" t="s">
        <v>325</v>
      </c>
      <c r="F141" s="19" t="s">
        <v>118</v>
      </c>
      <c r="G141" s="19">
        <v>978</v>
      </c>
      <c r="H141" s="76">
        <v>46205</v>
      </c>
      <c r="I141" s="19" t="s">
        <v>105</v>
      </c>
      <c r="J141" s="19" t="s">
        <v>1586</v>
      </c>
      <c r="K141" s="19" t="s">
        <v>1127</v>
      </c>
      <c r="L141" s="19" t="s">
        <v>1389</v>
      </c>
      <c r="M141" s="19" t="s">
        <v>1660</v>
      </c>
      <c r="N141" s="19">
        <v>5</v>
      </c>
      <c r="O141" s="19">
        <v>17.786999999999999</v>
      </c>
      <c r="P141" s="19" t="s">
        <v>1660</v>
      </c>
      <c r="Q141" s="19">
        <v>8834</v>
      </c>
      <c r="R141" s="19">
        <v>9</v>
      </c>
      <c r="S141" s="19">
        <v>1.6</v>
      </c>
      <c r="T141" s="19">
        <v>9</v>
      </c>
      <c r="U141" s="19">
        <v>1.6</v>
      </c>
      <c r="V141" s="19">
        <v>0</v>
      </c>
      <c r="W141" s="19">
        <v>0</v>
      </c>
      <c r="X141" s="19">
        <v>0</v>
      </c>
      <c r="Y141" s="19">
        <v>3.2</v>
      </c>
      <c r="Z141" s="19">
        <v>0</v>
      </c>
      <c r="AA141" s="19" t="s">
        <v>309</v>
      </c>
      <c r="AB141" s="19" t="s">
        <v>1555</v>
      </c>
      <c r="AC141" s="19">
        <v>84529000</v>
      </c>
      <c r="AD141" s="19" t="s">
        <v>1092</v>
      </c>
      <c r="AE141" s="19">
        <v>1</v>
      </c>
      <c r="AF141" s="19">
        <v>0</v>
      </c>
      <c r="AG141" s="19" t="s">
        <v>1093</v>
      </c>
      <c r="AH141" s="19" t="s">
        <v>2319</v>
      </c>
    </row>
    <row r="142" spans="2:34" hidden="1" x14ac:dyDescent="0.35">
      <c r="B142" s="76">
        <v>46210</v>
      </c>
      <c r="C142" s="19" t="s">
        <v>308</v>
      </c>
      <c r="D142" s="19" t="s">
        <v>126</v>
      </c>
      <c r="E142" s="19" t="s">
        <v>325</v>
      </c>
      <c r="F142" s="19" t="s">
        <v>118</v>
      </c>
      <c r="G142" s="19">
        <v>978</v>
      </c>
      <c r="H142" s="76">
        <v>46205</v>
      </c>
      <c r="I142" s="19" t="s">
        <v>105</v>
      </c>
      <c r="J142" s="19" t="s">
        <v>1586</v>
      </c>
      <c r="K142" s="19" t="s">
        <v>1127</v>
      </c>
      <c r="L142" s="19" t="s">
        <v>1389</v>
      </c>
      <c r="M142" s="19" t="s">
        <v>1661</v>
      </c>
      <c r="N142" s="19">
        <v>2</v>
      </c>
      <c r="O142" s="19">
        <v>240</v>
      </c>
      <c r="P142" s="19" t="s">
        <v>1661</v>
      </c>
      <c r="Q142" s="19">
        <v>0</v>
      </c>
      <c r="R142" s="19">
        <v>9</v>
      </c>
      <c r="S142" s="19">
        <v>21.6</v>
      </c>
      <c r="T142" s="19">
        <v>9</v>
      </c>
      <c r="U142" s="19">
        <v>21.6</v>
      </c>
      <c r="V142" s="19">
        <v>0</v>
      </c>
      <c r="W142" s="19">
        <v>0</v>
      </c>
      <c r="X142" s="19">
        <v>0</v>
      </c>
      <c r="Y142" s="19">
        <v>43.2</v>
      </c>
      <c r="Z142" s="19">
        <v>0</v>
      </c>
      <c r="AA142" s="19" t="s">
        <v>309</v>
      </c>
      <c r="AB142" s="19" t="s">
        <v>1091</v>
      </c>
      <c r="AC142" s="19">
        <v>84529000</v>
      </c>
      <c r="AD142" s="19" t="s">
        <v>1092</v>
      </c>
      <c r="AE142" s="19">
        <v>1</v>
      </c>
      <c r="AF142" s="19">
        <v>0</v>
      </c>
      <c r="AG142" s="19" t="s">
        <v>1093</v>
      </c>
      <c r="AH142" s="19" t="s">
        <v>2319</v>
      </c>
    </row>
    <row r="143" spans="2:34" hidden="1" x14ac:dyDescent="0.35">
      <c r="B143" s="76">
        <v>46210</v>
      </c>
      <c r="C143" s="19" t="s">
        <v>308</v>
      </c>
      <c r="D143" s="19" t="s">
        <v>126</v>
      </c>
      <c r="E143" s="19" t="s">
        <v>325</v>
      </c>
      <c r="F143" s="19" t="s">
        <v>118</v>
      </c>
      <c r="G143" s="19">
        <v>978</v>
      </c>
      <c r="H143" s="76">
        <v>46205</v>
      </c>
      <c r="I143" s="19" t="s">
        <v>105</v>
      </c>
      <c r="J143" s="19" t="s">
        <v>1586</v>
      </c>
      <c r="K143" s="19" t="s">
        <v>1127</v>
      </c>
      <c r="L143" s="19" t="s">
        <v>1389</v>
      </c>
      <c r="M143" s="19" t="s">
        <v>1662</v>
      </c>
      <c r="N143" s="19">
        <v>2</v>
      </c>
      <c r="O143" s="19">
        <v>2178.56</v>
      </c>
      <c r="P143" s="19" t="s">
        <v>1662</v>
      </c>
      <c r="Q143" s="19">
        <v>0</v>
      </c>
      <c r="R143" s="19">
        <v>9</v>
      </c>
      <c r="S143" s="19">
        <v>196.07</v>
      </c>
      <c r="T143" s="19">
        <v>9</v>
      </c>
      <c r="U143" s="19">
        <v>196.07</v>
      </c>
      <c r="V143" s="19">
        <v>0</v>
      </c>
      <c r="W143" s="19">
        <v>0</v>
      </c>
      <c r="X143" s="19">
        <v>0</v>
      </c>
      <c r="Y143" s="19">
        <v>392.14</v>
      </c>
      <c r="Z143" s="19">
        <v>0</v>
      </c>
      <c r="AA143" s="19" t="s">
        <v>309</v>
      </c>
      <c r="AB143" s="19" t="s">
        <v>1663</v>
      </c>
      <c r="AC143" s="19">
        <v>73151100</v>
      </c>
      <c r="AD143" s="19" t="s">
        <v>1092</v>
      </c>
      <c r="AE143" s="19">
        <v>1</v>
      </c>
      <c r="AF143" s="19">
        <v>0</v>
      </c>
      <c r="AG143" s="19" t="s">
        <v>1093</v>
      </c>
      <c r="AH143" s="19" t="s">
        <v>2319</v>
      </c>
    </row>
    <row r="144" spans="2:34" hidden="1" x14ac:dyDescent="0.35">
      <c r="B144" s="76">
        <v>46210</v>
      </c>
      <c r="C144" s="19" t="s">
        <v>308</v>
      </c>
      <c r="D144" s="19" t="s">
        <v>126</v>
      </c>
      <c r="E144" s="19" t="s">
        <v>325</v>
      </c>
      <c r="F144" s="19" t="s">
        <v>118</v>
      </c>
      <c r="G144" s="19">
        <v>978</v>
      </c>
      <c r="H144" s="76">
        <v>46205</v>
      </c>
      <c r="I144" s="19" t="s">
        <v>105</v>
      </c>
      <c r="J144" s="19" t="s">
        <v>1586</v>
      </c>
      <c r="K144" s="19" t="s">
        <v>1127</v>
      </c>
      <c r="L144" s="19" t="s">
        <v>1389</v>
      </c>
      <c r="M144" s="19" t="s">
        <v>1664</v>
      </c>
      <c r="N144" s="19">
        <v>4</v>
      </c>
      <c r="O144" s="19">
        <v>849.92</v>
      </c>
      <c r="P144" s="19" t="s">
        <v>1664</v>
      </c>
      <c r="Q144" s="19">
        <v>0</v>
      </c>
      <c r="R144" s="19">
        <v>9</v>
      </c>
      <c r="S144" s="19">
        <v>76.489999999999995</v>
      </c>
      <c r="T144" s="19">
        <v>9</v>
      </c>
      <c r="U144" s="19">
        <v>76.489999999999995</v>
      </c>
      <c r="V144" s="19">
        <v>0</v>
      </c>
      <c r="W144" s="19">
        <v>0</v>
      </c>
      <c r="X144" s="19">
        <v>0</v>
      </c>
      <c r="Y144" s="19">
        <v>152.97999999999999</v>
      </c>
      <c r="Z144" s="19">
        <v>0</v>
      </c>
      <c r="AA144" s="19" t="s">
        <v>309</v>
      </c>
      <c r="AB144" s="19" t="s">
        <v>1572</v>
      </c>
      <c r="AC144" s="19">
        <v>84821011</v>
      </c>
      <c r="AD144" s="19" t="s">
        <v>1092</v>
      </c>
      <c r="AE144" s="19">
        <v>1</v>
      </c>
      <c r="AF144" s="19">
        <v>0</v>
      </c>
      <c r="AG144" s="19" t="s">
        <v>1093</v>
      </c>
      <c r="AH144" s="19" t="s">
        <v>2319</v>
      </c>
    </row>
    <row r="145" spans="2:34" hidden="1" x14ac:dyDescent="0.35">
      <c r="B145" s="76">
        <v>46210</v>
      </c>
      <c r="C145" s="19" t="s">
        <v>308</v>
      </c>
      <c r="D145" s="19" t="s">
        <v>126</v>
      </c>
      <c r="E145" s="19" t="s">
        <v>325</v>
      </c>
      <c r="F145" s="19" t="s">
        <v>118</v>
      </c>
      <c r="G145" s="19">
        <v>978</v>
      </c>
      <c r="H145" s="76">
        <v>46205</v>
      </c>
      <c r="I145" s="19" t="s">
        <v>105</v>
      </c>
      <c r="J145" s="19" t="s">
        <v>1665</v>
      </c>
      <c r="K145" s="19" t="s">
        <v>1127</v>
      </c>
      <c r="L145" s="19" t="s">
        <v>1389</v>
      </c>
      <c r="M145" s="19" t="s">
        <v>1666</v>
      </c>
      <c r="N145" s="19">
        <v>6</v>
      </c>
      <c r="O145" s="19">
        <v>4200</v>
      </c>
      <c r="P145" s="19" t="s">
        <v>1666</v>
      </c>
      <c r="Q145" s="19">
        <v>0</v>
      </c>
      <c r="R145" s="19">
        <v>9</v>
      </c>
      <c r="S145" s="19">
        <v>378</v>
      </c>
      <c r="T145" s="19">
        <v>9</v>
      </c>
      <c r="U145" s="19">
        <v>378</v>
      </c>
      <c r="V145" s="19">
        <v>0</v>
      </c>
      <c r="W145" s="19">
        <v>0</v>
      </c>
      <c r="X145" s="19">
        <v>0</v>
      </c>
      <c r="Y145" s="19">
        <v>756</v>
      </c>
      <c r="Z145" s="19">
        <v>0</v>
      </c>
      <c r="AA145" s="19" t="s">
        <v>309</v>
      </c>
      <c r="AB145" s="19" t="s">
        <v>1663</v>
      </c>
      <c r="AC145" s="19">
        <v>83113090</v>
      </c>
      <c r="AD145" s="19" t="s">
        <v>1092</v>
      </c>
      <c r="AE145" s="19">
        <v>1</v>
      </c>
      <c r="AF145" s="19">
        <v>0</v>
      </c>
      <c r="AG145" s="19" t="s">
        <v>1093</v>
      </c>
      <c r="AH145" s="19" t="s">
        <v>2319</v>
      </c>
    </row>
    <row r="146" spans="2:34" hidden="1" x14ac:dyDescent="0.35">
      <c r="B146" s="76">
        <v>46210</v>
      </c>
      <c r="C146" s="19" t="s">
        <v>355</v>
      </c>
      <c r="D146" s="19" t="s">
        <v>126</v>
      </c>
      <c r="E146" s="19" t="s">
        <v>353</v>
      </c>
      <c r="F146" s="19" t="s">
        <v>118</v>
      </c>
      <c r="G146" s="19" t="s">
        <v>354</v>
      </c>
      <c r="H146" s="76">
        <v>46209</v>
      </c>
      <c r="I146" s="19" t="s">
        <v>100</v>
      </c>
      <c r="J146" s="19" t="s">
        <v>1667</v>
      </c>
      <c r="K146" s="19" t="s">
        <v>1127</v>
      </c>
      <c r="L146" s="19" t="s">
        <v>1389</v>
      </c>
      <c r="M146" s="19" t="s">
        <v>1668</v>
      </c>
      <c r="N146" s="19">
        <v>2</v>
      </c>
      <c r="O146" s="19">
        <v>1900</v>
      </c>
      <c r="P146" s="19" t="s">
        <v>1668</v>
      </c>
      <c r="Q146" s="19">
        <v>2242</v>
      </c>
      <c r="R146" s="19">
        <v>9</v>
      </c>
      <c r="S146" s="19">
        <v>171</v>
      </c>
      <c r="T146" s="19">
        <v>9</v>
      </c>
      <c r="U146" s="19">
        <v>171</v>
      </c>
      <c r="V146" s="19">
        <v>0</v>
      </c>
      <c r="W146" s="19">
        <v>0</v>
      </c>
      <c r="X146" s="19">
        <v>0</v>
      </c>
      <c r="Y146" s="19">
        <v>342</v>
      </c>
      <c r="Z146" s="19">
        <v>0</v>
      </c>
      <c r="AA146" s="19" t="s">
        <v>356</v>
      </c>
      <c r="AB146" s="19" t="s">
        <v>1669</v>
      </c>
      <c r="AC146" s="19">
        <v>139020</v>
      </c>
      <c r="AD146" s="19" t="s">
        <v>1092</v>
      </c>
      <c r="AE146" s="19">
        <v>1</v>
      </c>
      <c r="AF146" s="19">
        <v>0</v>
      </c>
      <c r="AG146" s="19" t="s">
        <v>1093</v>
      </c>
      <c r="AH146" s="19" t="s">
        <v>2319</v>
      </c>
    </row>
    <row r="147" spans="2:34" hidden="1" x14ac:dyDescent="0.35">
      <c r="B147" s="76">
        <v>46210</v>
      </c>
      <c r="C147" s="19" t="s">
        <v>138</v>
      </c>
      <c r="D147" s="19" t="s">
        <v>126</v>
      </c>
      <c r="E147" s="19" t="s">
        <v>317</v>
      </c>
      <c r="F147" s="19" t="s">
        <v>119</v>
      </c>
      <c r="G147" s="19" t="s">
        <v>318</v>
      </c>
      <c r="H147" s="76">
        <v>46209</v>
      </c>
      <c r="I147" s="19" t="s">
        <v>105</v>
      </c>
      <c r="J147" s="19" t="s">
        <v>1142</v>
      </c>
      <c r="K147" s="19" t="s">
        <v>1509</v>
      </c>
      <c r="L147" s="19" t="s">
        <v>1509</v>
      </c>
      <c r="M147" s="19" t="s">
        <v>1196</v>
      </c>
      <c r="N147" s="19">
        <v>76</v>
      </c>
      <c r="O147" s="19">
        <v>3648</v>
      </c>
      <c r="P147" s="19" t="s">
        <v>1196</v>
      </c>
      <c r="Q147" s="19">
        <v>12450.24</v>
      </c>
      <c r="R147" s="19">
        <v>9</v>
      </c>
      <c r="S147" s="19">
        <v>328.32</v>
      </c>
      <c r="T147" s="19">
        <v>9</v>
      </c>
      <c r="U147" s="19">
        <v>328.32</v>
      </c>
      <c r="V147" s="19">
        <v>0</v>
      </c>
      <c r="W147" s="19">
        <v>0</v>
      </c>
      <c r="X147" s="19">
        <v>0</v>
      </c>
      <c r="Y147" s="19">
        <v>656.64</v>
      </c>
      <c r="Z147" s="19">
        <v>0</v>
      </c>
      <c r="AA147" s="19" t="s">
        <v>135</v>
      </c>
      <c r="AB147" s="19" t="s">
        <v>1289</v>
      </c>
      <c r="AC147" s="19">
        <v>73063090</v>
      </c>
      <c r="AD147" s="19" t="s">
        <v>1092</v>
      </c>
      <c r="AE147" s="19">
        <v>1</v>
      </c>
      <c r="AF147" s="19">
        <v>0</v>
      </c>
      <c r="AG147" s="19" t="s">
        <v>1093</v>
      </c>
      <c r="AH147" s="19" t="s">
        <v>2319</v>
      </c>
    </row>
    <row r="148" spans="2:34" hidden="1" x14ac:dyDescent="0.35">
      <c r="B148" s="76">
        <v>46210</v>
      </c>
      <c r="C148" s="19" t="s">
        <v>138</v>
      </c>
      <c r="D148" s="19" t="s">
        <v>126</v>
      </c>
      <c r="E148" s="19" t="s">
        <v>317</v>
      </c>
      <c r="F148" s="19" t="s">
        <v>119</v>
      </c>
      <c r="G148" s="19" t="s">
        <v>318</v>
      </c>
      <c r="H148" s="76">
        <v>46209</v>
      </c>
      <c r="I148" s="19" t="s">
        <v>105</v>
      </c>
      <c r="J148" s="19" t="s">
        <v>1142</v>
      </c>
      <c r="K148" s="19" t="s">
        <v>1509</v>
      </c>
      <c r="L148" s="19" t="s">
        <v>1509</v>
      </c>
      <c r="M148" s="19" t="s">
        <v>1196</v>
      </c>
      <c r="N148" s="19">
        <v>144</v>
      </c>
      <c r="O148" s="19">
        <v>6912</v>
      </c>
      <c r="P148" s="19" t="s">
        <v>1196</v>
      </c>
      <c r="Q148" s="19">
        <v>0</v>
      </c>
      <c r="R148" s="19">
        <v>9</v>
      </c>
      <c r="S148" s="19">
        <v>622.08000000000004</v>
      </c>
      <c r="T148" s="19">
        <v>9</v>
      </c>
      <c r="U148" s="19">
        <v>622.08000000000004</v>
      </c>
      <c r="V148" s="19">
        <v>0</v>
      </c>
      <c r="W148" s="19">
        <v>0</v>
      </c>
      <c r="X148" s="19">
        <v>0</v>
      </c>
      <c r="Y148" s="19">
        <v>1244.1600000000001</v>
      </c>
      <c r="Z148" s="19">
        <v>0</v>
      </c>
      <c r="AA148" s="19" t="s">
        <v>135</v>
      </c>
      <c r="AB148" s="19" t="s">
        <v>1289</v>
      </c>
      <c r="AC148" s="19">
        <v>73063090</v>
      </c>
      <c r="AD148" s="19" t="s">
        <v>1092</v>
      </c>
      <c r="AE148" s="19">
        <v>1</v>
      </c>
      <c r="AF148" s="19">
        <v>0</v>
      </c>
      <c r="AG148" s="19" t="s">
        <v>1093</v>
      </c>
      <c r="AH148" s="19" t="s">
        <v>2319</v>
      </c>
    </row>
    <row r="149" spans="2:34" x14ac:dyDescent="0.35">
      <c r="B149" s="76">
        <v>46210</v>
      </c>
      <c r="C149" s="19" t="s">
        <v>138</v>
      </c>
      <c r="D149" s="19" t="s">
        <v>173</v>
      </c>
      <c r="E149" s="19" t="s">
        <v>357</v>
      </c>
      <c r="F149" s="19" t="s">
        <v>123</v>
      </c>
      <c r="G149" s="19" t="s">
        <v>358</v>
      </c>
      <c r="H149" s="76">
        <v>46209</v>
      </c>
      <c r="I149" s="19" t="s">
        <v>36</v>
      </c>
      <c r="J149" s="19" t="s">
        <v>1350</v>
      </c>
      <c r="K149" s="19" t="s">
        <v>39</v>
      </c>
      <c r="L149" s="19" t="s">
        <v>1351</v>
      </c>
      <c r="M149" s="19" t="s">
        <v>1352</v>
      </c>
      <c r="N149" s="19">
        <v>542.6</v>
      </c>
      <c r="O149" s="19">
        <v>99176.428</v>
      </c>
      <c r="P149" s="19" t="s">
        <v>1352</v>
      </c>
      <c r="Q149" s="19">
        <v>194120.26</v>
      </c>
      <c r="R149" s="19">
        <v>9</v>
      </c>
      <c r="S149" s="19">
        <v>8925.8799999999992</v>
      </c>
      <c r="T149" s="19">
        <v>9</v>
      </c>
      <c r="U149" s="19">
        <v>8925.8799999999992</v>
      </c>
      <c r="V149" s="19">
        <v>0</v>
      </c>
      <c r="W149" s="19">
        <v>0</v>
      </c>
      <c r="X149" s="19">
        <v>0</v>
      </c>
      <c r="Y149" s="19">
        <v>17851.759999999998</v>
      </c>
      <c r="Z149" s="19">
        <v>0</v>
      </c>
      <c r="AA149" s="19" t="s">
        <v>135</v>
      </c>
      <c r="AB149" s="19" t="s">
        <v>1289</v>
      </c>
      <c r="AC149" s="19">
        <v>39200000</v>
      </c>
      <c r="AD149" s="19" t="s">
        <v>1092</v>
      </c>
      <c r="AE149" s="19">
        <v>1</v>
      </c>
      <c r="AF149" s="19">
        <f t="shared" ref="AF149:AF150" si="4">N149</f>
        <v>542.6</v>
      </c>
      <c r="AG149" s="19" t="s">
        <v>1093</v>
      </c>
      <c r="AH149" s="19" t="s">
        <v>39</v>
      </c>
    </row>
    <row r="150" spans="2:34" x14ac:dyDescent="0.35">
      <c r="B150" s="76">
        <v>46210</v>
      </c>
      <c r="C150" s="19" t="s">
        <v>138</v>
      </c>
      <c r="D150" s="19" t="s">
        <v>173</v>
      </c>
      <c r="E150" s="19" t="s">
        <v>357</v>
      </c>
      <c r="F150" s="19" t="s">
        <v>123</v>
      </c>
      <c r="G150" s="19" t="s">
        <v>358</v>
      </c>
      <c r="H150" s="76">
        <v>46209</v>
      </c>
      <c r="I150" s="19" t="s">
        <v>36</v>
      </c>
      <c r="J150" s="19" t="s">
        <v>1350</v>
      </c>
      <c r="K150" s="19" t="s">
        <v>39</v>
      </c>
      <c r="L150" s="19" t="s">
        <v>1351</v>
      </c>
      <c r="M150" s="19" t="s">
        <v>1352</v>
      </c>
      <c r="N150" s="19">
        <v>358.2</v>
      </c>
      <c r="O150" s="19">
        <v>65471.796000000002</v>
      </c>
      <c r="P150" s="19" t="s">
        <v>1352</v>
      </c>
      <c r="Q150" s="19">
        <v>0</v>
      </c>
      <c r="R150" s="19">
        <v>9</v>
      </c>
      <c r="S150" s="19">
        <v>5892.46</v>
      </c>
      <c r="T150" s="19">
        <v>9</v>
      </c>
      <c r="U150" s="19">
        <v>5892.46</v>
      </c>
      <c r="V150" s="19">
        <v>0</v>
      </c>
      <c r="W150" s="19">
        <v>0</v>
      </c>
      <c r="X150" s="19">
        <v>0</v>
      </c>
      <c r="Y150" s="19">
        <v>11784.92</v>
      </c>
      <c r="Z150" s="19">
        <v>0</v>
      </c>
      <c r="AA150" s="19" t="s">
        <v>135</v>
      </c>
      <c r="AB150" s="19" t="s">
        <v>1289</v>
      </c>
      <c r="AC150" s="19">
        <v>39200000</v>
      </c>
      <c r="AD150" s="19" t="s">
        <v>1092</v>
      </c>
      <c r="AE150" s="19">
        <v>1</v>
      </c>
      <c r="AF150" s="19">
        <f t="shared" si="4"/>
        <v>358.2</v>
      </c>
      <c r="AG150" s="19" t="s">
        <v>1093</v>
      </c>
      <c r="AH150" s="19" t="s">
        <v>39</v>
      </c>
    </row>
    <row r="151" spans="2:34" hidden="1" x14ac:dyDescent="0.35">
      <c r="B151" s="76">
        <v>46210</v>
      </c>
      <c r="C151" s="19" t="s">
        <v>130</v>
      </c>
      <c r="D151" s="19" t="s">
        <v>126</v>
      </c>
      <c r="E151" s="19" t="s">
        <v>310</v>
      </c>
      <c r="F151" s="19" t="s">
        <v>118</v>
      </c>
      <c r="G151" s="19">
        <v>1302</v>
      </c>
      <c r="H151" s="76">
        <v>46206</v>
      </c>
      <c r="I151" s="19" t="s">
        <v>102</v>
      </c>
      <c r="J151" s="19" t="s">
        <v>1570</v>
      </c>
      <c r="K151" s="19" t="s">
        <v>1127</v>
      </c>
      <c r="L151" s="19" t="s">
        <v>102</v>
      </c>
      <c r="M151" s="19" t="s">
        <v>1571</v>
      </c>
      <c r="N151" s="19">
        <v>1</v>
      </c>
      <c r="O151" s="19">
        <v>261.8</v>
      </c>
      <c r="P151" s="19" t="s">
        <v>1571</v>
      </c>
      <c r="Q151" s="19">
        <v>4459</v>
      </c>
      <c r="R151" s="19">
        <v>9</v>
      </c>
      <c r="S151" s="19">
        <v>23.56</v>
      </c>
      <c r="T151" s="19">
        <v>9</v>
      </c>
      <c r="U151" s="19">
        <v>23.56</v>
      </c>
      <c r="V151" s="19">
        <v>0</v>
      </c>
      <c r="W151" s="19">
        <v>0</v>
      </c>
      <c r="X151" s="19">
        <v>0</v>
      </c>
      <c r="Y151" s="19">
        <v>47.12</v>
      </c>
      <c r="Z151" s="19">
        <v>0</v>
      </c>
      <c r="AA151" s="19" t="s">
        <v>131</v>
      </c>
      <c r="AB151" s="19" t="s">
        <v>1572</v>
      </c>
      <c r="AC151" s="19">
        <v>400200</v>
      </c>
      <c r="AD151" s="19" t="s">
        <v>1092</v>
      </c>
      <c r="AE151" s="19">
        <v>1</v>
      </c>
      <c r="AF151" s="19">
        <v>0</v>
      </c>
      <c r="AG151" s="19" t="s">
        <v>1093</v>
      </c>
      <c r="AH151" s="19" t="s">
        <v>2319</v>
      </c>
    </row>
    <row r="152" spans="2:34" hidden="1" x14ac:dyDescent="0.35">
      <c r="B152" s="76">
        <v>46210</v>
      </c>
      <c r="C152" s="19" t="s">
        <v>130</v>
      </c>
      <c r="D152" s="19" t="s">
        <v>126</v>
      </c>
      <c r="E152" s="19" t="s">
        <v>310</v>
      </c>
      <c r="F152" s="19" t="s">
        <v>118</v>
      </c>
      <c r="G152" s="19">
        <v>1302</v>
      </c>
      <c r="H152" s="76">
        <v>46206</v>
      </c>
      <c r="I152" s="19" t="s">
        <v>102</v>
      </c>
      <c r="J152" s="19" t="s">
        <v>1570</v>
      </c>
      <c r="K152" s="19" t="s">
        <v>1127</v>
      </c>
      <c r="L152" s="19" t="s">
        <v>102</v>
      </c>
      <c r="M152" s="19" t="s">
        <v>1571</v>
      </c>
      <c r="N152" s="19">
        <v>1</v>
      </c>
      <c r="O152" s="19">
        <v>800.8</v>
      </c>
      <c r="P152" s="19" t="s">
        <v>1571</v>
      </c>
      <c r="Q152" s="19">
        <v>0</v>
      </c>
      <c r="R152" s="19">
        <v>9</v>
      </c>
      <c r="S152" s="19">
        <v>72.069999999999993</v>
      </c>
      <c r="T152" s="19">
        <v>9</v>
      </c>
      <c r="U152" s="19">
        <v>72.069999999999993</v>
      </c>
      <c r="V152" s="19">
        <v>0</v>
      </c>
      <c r="W152" s="19">
        <v>0</v>
      </c>
      <c r="X152" s="19">
        <v>0</v>
      </c>
      <c r="Y152" s="19">
        <v>144.13999999999999</v>
      </c>
      <c r="Z152" s="19">
        <v>0</v>
      </c>
      <c r="AA152" s="19" t="s">
        <v>131</v>
      </c>
      <c r="AB152" s="19" t="s">
        <v>1572</v>
      </c>
      <c r="AC152" s="19">
        <v>400200</v>
      </c>
      <c r="AD152" s="19" t="s">
        <v>1092</v>
      </c>
      <c r="AE152" s="19">
        <v>1</v>
      </c>
      <c r="AF152" s="19">
        <v>0</v>
      </c>
      <c r="AG152" s="19" t="s">
        <v>1093</v>
      </c>
      <c r="AH152" s="19" t="s">
        <v>2319</v>
      </c>
    </row>
    <row r="153" spans="2:34" hidden="1" x14ac:dyDescent="0.35">
      <c r="B153" s="76">
        <v>46210</v>
      </c>
      <c r="C153" s="19" t="s">
        <v>130</v>
      </c>
      <c r="D153" s="19" t="s">
        <v>126</v>
      </c>
      <c r="E153" s="19" t="s">
        <v>310</v>
      </c>
      <c r="F153" s="19" t="s">
        <v>118</v>
      </c>
      <c r="G153" s="19">
        <v>1302</v>
      </c>
      <c r="H153" s="76">
        <v>46206</v>
      </c>
      <c r="I153" s="19" t="s">
        <v>102</v>
      </c>
      <c r="J153" s="19" t="s">
        <v>1570</v>
      </c>
      <c r="K153" s="19" t="s">
        <v>1127</v>
      </c>
      <c r="L153" s="19" t="s">
        <v>102</v>
      </c>
      <c r="M153" s="19" t="s">
        <v>1571</v>
      </c>
      <c r="N153" s="19">
        <v>1</v>
      </c>
      <c r="O153" s="19">
        <v>123.2</v>
      </c>
      <c r="P153" s="19" t="s">
        <v>1571</v>
      </c>
      <c r="Q153" s="19">
        <v>0</v>
      </c>
      <c r="R153" s="19">
        <v>9</v>
      </c>
      <c r="S153" s="19">
        <v>11.09</v>
      </c>
      <c r="T153" s="19">
        <v>9</v>
      </c>
      <c r="U153" s="19">
        <v>11.09</v>
      </c>
      <c r="V153" s="19">
        <v>0</v>
      </c>
      <c r="W153" s="19">
        <v>0</v>
      </c>
      <c r="X153" s="19">
        <v>0</v>
      </c>
      <c r="Y153" s="19">
        <v>22.18</v>
      </c>
      <c r="Z153" s="19">
        <v>0</v>
      </c>
      <c r="AA153" s="19" t="s">
        <v>131</v>
      </c>
      <c r="AB153" s="19" t="s">
        <v>1572</v>
      </c>
      <c r="AC153" s="19">
        <v>400200</v>
      </c>
      <c r="AD153" s="19" t="s">
        <v>1092</v>
      </c>
      <c r="AE153" s="19">
        <v>1</v>
      </c>
      <c r="AF153" s="19">
        <v>0</v>
      </c>
      <c r="AG153" s="19" t="s">
        <v>1093</v>
      </c>
      <c r="AH153" s="19" t="s">
        <v>2319</v>
      </c>
    </row>
    <row r="154" spans="2:34" hidden="1" x14ac:dyDescent="0.35">
      <c r="B154" s="76">
        <v>46210</v>
      </c>
      <c r="C154" s="19" t="s">
        <v>130</v>
      </c>
      <c r="D154" s="19" t="s">
        <v>126</v>
      </c>
      <c r="E154" s="19" t="s">
        <v>310</v>
      </c>
      <c r="F154" s="19" t="s">
        <v>118</v>
      </c>
      <c r="G154" s="19">
        <v>1302</v>
      </c>
      <c r="H154" s="76">
        <v>46206</v>
      </c>
      <c r="I154" s="19" t="s">
        <v>102</v>
      </c>
      <c r="J154" s="19" t="s">
        <v>1570</v>
      </c>
      <c r="K154" s="19" t="s">
        <v>1127</v>
      </c>
      <c r="L154" s="19" t="s">
        <v>102</v>
      </c>
      <c r="M154" s="19" t="s">
        <v>1571</v>
      </c>
      <c r="N154" s="19">
        <v>1</v>
      </c>
      <c r="O154" s="19">
        <v>890.4</v>
      </c>
      <c r="P154" s="19" t="s">
        <v>1571</v>
      </c>
      <c r="Q154" s="19">
        <v>0</v>
      </c>
      <c r="R154" s="19">
        <v>9</v>
      </c>
      <c r="S154" s="19">
        <v>80.14</v>
      </c>
      <c r="T154" s="19">
        <v>9</v>
      </c>
      <c r="U154" s="19">
        <v>80.14</v>
      </c>
      <c r="V154" s="19">
        <v>0</v>
      </c>
      <c r="W154" s="19">
        <v>0</v>
      </c>
      <c r="X154" s="19">
        <v>0</v>
      </c>
      <c r="Y154" s="19">
        <v>160.28</v>
      </c>
      <c r="Z154" s="19">
        <v>0</v>
      </c>
      <c r="AA154" s="19" t="s">
        <v>131</v>
      </c>
      <c r="AB154" s="19" t="s">
        <v>1572</v>
      </c>
      <c r="AC154" s="19">
        <v>400200</v>
      </c>
      <c r="AD154" s="19" t="s">
        <v>1092</v>
      </c>
      <c r="AE154" s="19">
        <v>1</v>
      </c>
      <c r="AF154" s="19">
        <v>0</v>
      </c>
      <c r="AG154" s="19" t="s">
        <v>1093</v>
      </c>
      <c r="AH154" s="19" t="s">
        <v>2319</v>
      </c>
    </row>
    <row r="155" spans="2:34" hidden="1" x14ac:dyDescent="0.35">
      <c r="B155" s="76">
        <v>46210</v>
      </c>
      <c r="C155" s="19" t="s">
        <v>130</v>
      </c>
      <c r="D155" s="19" t="s">
        <v>126</v>
      </c>
      <c r="E155" s="19" t="s">
        <v>310</v>
      </c>
      <c r="F155" s="19" t="s">
        <v>118</v>
      </c>
      <c r="G155" s="19">
        <v>1302</v>
      </c>
      <c r="H155" s="76">
        <v>46206</v>
      </c>
      <c r="I155" s="19" t="s">
        <v>102</v>
      </c>
      <c r="J155" s="19" t="s">
        <v>1570</v>
      </c>
      <c r="K155" s="19" t="s">
        <v>1127</v>
      </c>
      <c r="L155" s="19" t="s">
        <v>102</v>
      </c>
      <c r="M155" s="19" t="s">
        <v>1571</v>
      </c>
      <c r="N155" s="19">
        <v>1</v>
      </c>
      <c r="O155" s="19">
        <v>1702.4</v>
      </c>
      <c r="P155" s="19" t="s">
        <v>1571</v>
      </c>
      <c r="Q155" s="19">
        <v>0</v>
      </c>
      <c r="R155" s="19">
        <v>9</v>
      </c>
      <c r="S155" s="19">
        <v>153.22</v>
      </c>
      <c r="T155" s="19">
        <v>9</v>
      </c>
      <c r="U155" s="19">
        <v>153.22</v>
      </c>
      <c r="V155" s="19">
        <v>0</v>
      </c>
      <c r="W155" s="19">
        <v>0</v>
      </c>
      <c r="X155" s="19">
        <v>0</v>
      </c>
      <c r="Y155" s="19">
        <v>306.44</v>
      </c>
      <c r="Z155" s="19">
        <v>0</v>
      </c>
      <c r="AA155" s="19" t="s">
        <v>131</v>
      </c>
      <c r="AB155" s="19" t="s">
        <v>1572</v>
      </c>
      <c r="AC155" s="19">
        <v>400200</v>
      </c>
      <c r="AD155" s="19" t="s">
        <v>1092</v>
      </c>
      <c r="AE155" s="19">
        <v>1</v>
      </c>
      <c r="AF155" s="19">
        <v>0</v>
      </c>
      <c r="AG155" s="19" t="s">
        <v>1093</v>
      </c>
      <c r="AH155" s="19" t="s">
        <v>2319</v>
      </c>
    </row>
    <row r="156" spans="2:34" hidden="1" x14ac:dyDescent="0.35">
      <c r="B156" s="76">
        <v>46210</v>
      </c>
      <c r="C156" s="19" t="s">
        <v>130</v>
      </c>
      <c r="D156" s="19" t="s">
        <v>126</v>
      </c>
      <c r="E156" s="19" t="s">
        <v>311</v>
      </c>
      <c r="F156" s="19" t="s">
        <v>118</v>
      </c>
      <c r="G156" s="19">
        <v>1272</v>
      </c>
      <c r="H156" s="76">
        <v>46205</v>
      </c>
      <c r="I156" s="19" t="s">
        <v>102</v>
      </c>
      <c r="J156" s="19" t="s">
        <v>1570</v>
      </c>
      <c r="K156" s="19" t="s">
        <v>1127</v>
      </c>
      <c r="L156" s="19" t="s">
        <v>102</v>
      </c>
      <c r="M156" s="19" t="s">
        <v>1571</v>
      </c>
      <c r="N156" s="19">
        <v>1</v>
      </c>
      <c r="O156" s="19">
        <v>94.5</v>
      </c>
      <c r="P156" s="19" t="s">
        <v>1571</v>
      </c>
      <c r="Q156" s="19">
        <v>706</v>
      </c>
      <c r="R156" s="19">
        <v>9</v>
      </c>
      <c r="S156" s="19">
        <v>8.51</v>
      </c>
      <c r="T156" s="19">
        <v>9</v>
      </c>
      <c r="U156" s="19">
        <v>8.51</v>
      </c>
      <c r="V156" s="19">
        <v>0</v>
      </c>
      <c r="W156" s="19">
        <v>0</v>
      </c>
      <c r="X156" s="19">
        <v>0</v>
      </c>
      <c r="Y156" s="19">
        <v>17.02</v>
      </c>
      <c r="Z156" s="19">
        <v>0</v>
      </c>
      <c r="AA156" s="19" t="s">
        <v>131</v>
      </c>
      <c r="AB156" s="19" t="s">
        <v>1572</v>
      </c>
      <c r="AC156" s="19">
        <v>400200</v>
      </c>
      <c r="AD156" s="19" t="s">
        <v>1092</v>
      </c>
      <c r="AE156" s="19">
        <v>1</v>
      </c>
      <c r="AF156" s="19">
        <v>0</v>
      </c>
      <c r="AG156" s="19" t="s">
        <v>1093</v>
      </c>
      <c r="AH156" s="19" t="s">
        <v>2319</v>
      </c>
    </row>
    <row r="157" spans="2:34" hidden="1" x14ac:dyDescent="0.35">
      <c r="B157" s="76">
        <v>46210</v>
      </c>
      <c r="C157" s="19" t="s">
        <v>130</v>
      </c>
      <c r="D157" s="19" t="s">
        <v>126</v>
      </c>
      <c r="E157" s="19" t="s">
        <v>311</v>
      </c>
      <c r="F157" s="19" t="s">
        <v>118</v>
      </c>
      <c r="G157" s="19">
        <v>1272</v>
      </c>
      <c r="H157" s="76">
        <v>46205</v>
      </c>
      <c r="I157" s="19" t="s">
        <v>102</v>
      </c>
      <c r="J157" s="19" t="s">
        <v>1570</v>
      </c>
      <c r="K157" s="19" t="s">
        <v>1127</v>
      </c>
      <c r="L157" s="19" t="s">
        <v>102</v>
      </c>
      <c r="M157" s="19" t="s">
        <v>1571</v>
      </c>
      <c r="N157" s="19">
        <v>1</v>
      </c>
      <c r="O157" s="19">
        <v>504</v>
      </c>
      <c r="P157" s="19" t="s">
        <v>1571</v>
      </c>
      <c r="Q157" s="19">
        <v>0</v>
      </c>
      <c r="R157" s="19">
        <v>9</v>
      </c>
      <c r="S157" s="19">
        <v>45.36</v>
      </c>
      <c r="T157" s="19">
        <v>9</v>
      </c>
      <c r="U157" s="19">
        <v>45.36</v>
      </c>
      <c r="V157" s="19">
        <v>0</v>
      </c>
      <c r="W157" s="19">
        <v>0</v>
      </c>
      <c r="X157" s="19">
        <v>0</v>
      </c>
      <c r="Y157" s="19">
        <v>90.72</v>
      </c>
      <c r="Z157" s="19">
        <v>0</v>
      </c>
      <c r="AA157" s="19" t="s">
        <v>131</v>
      </c>
      <c r="AB157" s="19" t="s">
        <v>1572</v>
      </c>
      <c r="AC157" s="19">
        <v>400200</v>
      </c>
      <c r="AD157" s="19" t="s">
        <v>1092</v>
      </c>
      <c r="AE157" s="19">
        <v>1</v>
      </c>
      <c r="AF157" s="19">
        <v>0</v>
      </c>
      <c r="AG157" s="19" t="s">
        <v>1093</v>
      </c>
      <c r="AH157" s="19" t="s">
        <v>2319</v>
      </c>
    </row>
    <row r="158" spans="2:34" hidden="1" x14ac:dyDescent="0.35">
      <c r="B158" s="76">
        <v>46210</v>
      </c>
      <c r="C158" s="19" t="s">
        <v>130</v>
      </c>
      <c r="D158" s="19" t="s">
        <v>126</v>
      </c>
      <c r="E158" s="19" t="s">
        <v>312</v>
      </c>
      <c r="F158" s="19" t="s">
        <v>118</v>
      </c>
      <c r="G158" s="19">
        <v>1285</v>
      </c>
      <c r="H158" s="76">
        <v>46205</v>
      </c>
      <c r="I158" s="19" t="s">
        <v>102</v>
      </c>
      <c r="J158" s="19" t="s">
        <v>1570</v>
      </c>
      <c r="K158" s="19" t="s">
        <v>1127</v>
      </c>
      <c r="L158" s="19" t="s">
        <v>102</v>
      </c>
      <c r="M158" s="19" t="s">
        <v>1571</v>
      </c>
      <c r="N158" s="19">
        <v>1</v>
      </c>
      <c r="O158" s="19">
        <v>1881.6</v>
      </c>
      <c r="P158" s="19" t="s">
        <v>1571</v>
      </c>
      <c r="Q158" s="19">
        <v>4980</v>
      </c>
      <c r="R158" s="19">
        <v>9</v>
      </c>
      <c r="S158" s="19">
        <v>169.34</v>
      </c>
      <c r="T158" s="19">
        <v>9</v>
      </c>
      <c r="U158" s="19">
        <v>169.34</v>
      </c>
      <c r="V158" s="19">
        <v>0</v>
      </c>
      <c r="W158" s="19">
        <v>0</v>
      </c>
      <c r="X158" s="19">
        <v>0</v>
      </c>
      <c r="Y158" s="19">
        <v>338.68</v>
      </c>
      <c r="Z158" s="19">
        <v>0</v>
      </c>
      <c r="AA158" s="19" t="s">
        <v>131</v>
      </c>
      <c r="AB158" s="19" t="s">
        <v>1572</v>
      </c>
      <c r="AC158" s="19">
        <v>400200</v>
      </c>
      <c r="AD158" s="19" t="s">
        <v>1092</v>
      </c>
      <c r="AE158" s="19">
        <v>1</v>
      </c>
      <c r="AF158" s="19">
        <v>0</v>
      </c>
      <c r="AG158" s="19" t="s">
        <v>1093</v>
      </c>
      <c r="AH158" s="19" t="s">
        <v>2319</v>
      </c>
    </row>
    <row r="159" spans="2:34" hidden="1" x14ac:dyDescent="0.35">
      <c r="B159" s="76">
        <v>46210</v>
      </c>
      <c r="C159" s="19" t="s">
        <v>130</v>
      </c>
      <c r="D159" s="19" t="s">
        <v>126</v>
      </c>
      <c r="E159" s="19" t="s">
        <v>312</v>
      </c>
      <c r="F159" s="19" t="s">
        <v>118</v>
      </c>
      <c r="G159" s="19">
        <v>1285</v>
      </c>
      <c r="H159" s="76">
        <v>46205</v>
      </c>
      <c r="I159" s="19" t="s">
        <v>102</v>
      </c>
      <c r="J159" s="19" t="s">
        <v>1570</v>
      </c>
      <c r="K159" s="19" t="s">
        <v>1127</v>
      </c>
      <c r="L159" s="19" t="s">
        <v>102</v>
      </c>
      <c r="M159" s="19" t="s">
        <v>1571</v>
      </c>
      <c r="N159" s="19">
        <v>1</v>
      </c>
      <c r="O159" s="19">
        <v>1356.6</v>
      </c>
      <c r="P159" s="19" t="s">
        <v>1571</v>
      </c>
      <c r="Q159" s="19">
        <v>0</v>
      </c>
      <c r="R159" s="19">
        <v>9</v>
      </c>
      <c r="S159" s="19">
        <v>122.09</v>
      </c>
      <c r="T159" s="19">
        <v>9</v>
      </c>
      <c r="U159" s="19">
        <v>122.09</v>
      </c>
      <c r="V159" s="19">
        <v>0</v>
      </c>
      <c r="W159" s="19">
        <v>0</v>
      </c>
      <c r="X159" s="19">
        <v>0</v>
      </c>
      <c r="Y159" s="19">
        <v>244.18</v>
      </c>
      <c r="Z159" s="19">
        <v>0</v>
      </c>
      <c r="AA159" s="19" t="s">
        <v>131</v>
      </c>
      <c r="AB159" s="19" t="s">
        <v>1572</v>
      </c>
      <c r="AC159" s="19">
        <v>400200</v>
      </c>
      <c r="AD159" s="19" t="s">
        <v>1092</v>
      </c>
      <c r="AE159" s="19">
        <v>1</v>
      </c>
      <c r="AF159" s="19">
        <v>0</v>
      </c>
      <c r="AG159" s="19" t="s">
        <v>1093</v>
      </c>
      <c r="AH159" s="19" t="s">
        <v>2319</v>
      </c>
    </row>
    <row r="160" spans="2:34" hidden="1" x14ac:dyDescent="0.35">
      <c r="B160" s="76">
        <v>46210</v>
      </c>
      <c r="C160" s="19" t="s">
        <v>130</v>
      </c>
      <c r="D160" s="19" t="s">
        <v>126</v>
      </c>
      <c r="E160" s="19" t="s">
        <v>312</v>
      </c>
      <c r="F160" s="19" t="s">
        <v>118</v>
      </c>
      <c r="G160" s="19">
        <v>1285</v>
      </c>
      <c r="H160" s="76">
        <v>46205</v>
      </c>
      <c r="I160" s="19" t="s">
        <v>102</v>
      </c>
      <c r="J160" s="19" t="s">
        <v>1570</v>
      </c>
      <c r="K160" s="19" t="s">
        <v>1127</v>
      </c>
      <c r="L160" s="19" t="s">
        <v>102</v>
      </c>
      <c r="M160" s="19" t="s">
        <v>1571</v>
      </c>
      <c r="N160" s="19">
        <v>1</v>
      </c>
      <c r="O160" s="19">
        <v>982.1</v>
      </c>
      <c r="P160" s="19" t="s">
        <v>1571</v>
      </c>
      <c r="Q160" s="19">
        <v>0</v>
      </c>
      <c r="R160" s="19">
        <v>9</v>
      </c>
      <c r="S160" s="19">
        <v>88.39</v>
      </c>
      <c r="T160" s="19">
        <v>9</v>
      </c>
      <c r="U160" s="19">
        <v>88.39</v>
      </c>
      <c r="V160" s="19">
        <v>0</v>
      </c>
      <c r="W160" s="19">
        <v>0</v>
      </c>
      <c r="X160" s="19">
        <v>0</v>
      </c>
      <c r="Y160" s="19">
        <v>176.78</v>
      </c>
      <c r="Z160" s="19">
        <v>0</v>
      </c>
      <c r="AA160" s="19" t="s">
        <v>131</v>
      </c>
      <c r="AB160" s="19" t="s">
        <v>1572</v>
      </c>
      <c r="AC160" s="19">
        <v>400200</v>
      </c>
      <c r="AD160" s="19" t="s">
        <v>1092</v>
      </c>
      <c r="AE160" s="19">
        <v>1</v>
      </c>
      <c r="AF160" s="19">
        <v>0</v>
      </c>
      <c r="AG160" s="19" t="s">
        <v>1093</v>
      </c>
      <c r="AH160" s="19" t="s">
        <v>2319</v>
      </c>
    </row>
    <row r="161" spans="2:34" hidden="1" x14ac:dyDescent="0.35">
      <c r="B161" s="76">
        <v>46210</v>
      </c>
      <c r="C161" s="19" t="s">
        <v>197</v>
      </c>
      <c r="D161" s="19" t="s">
        <v>126</v>
      </c>
      <c r="E161" s="19" t="s">
        <v>323</v>
      </c>
      <c r="F161" s="19" t="s">
        <v>118</v>
      </c>
      <c r="G161" s="19" t="s">
        <v>324</v>
      </c>
      <c r="H161" s="76">
        <v>46200</v>
      </c>
      <c r="I161" s="19" t="s">
        <v>105</v>
      </c>
      <c r="J161" s="19" t="s">
        <v>1670</v>
      </c>
      <c r="K161" s="19" t="s">
        <v>1127</v>
      </c>
      <c r="L161" s="19" t="s">
        <v>1389</v>
      </c>
      <c r="M161" s="19" t="s">
        <v>1671</v>
      </c>
      <c r="N161" s="19">
        <v>2</v>
      </c>
      <c r="O161" s="19">
        <v>6000</v>
      </c>
      <c r="P161" s="19" t="s">
        <v>1671</v>
      </c>
      <c r="Q161" s="19">
        <v>7080</v>
      </c>
      <c r="R161" s="19">
        <v>9</v>
      </c>
      <c r="S161" s="19">
        <v>540</v>
      </c>
      <c r="T161" s="19">
        <v>9</v>
      </c>
      <c r="U161" s="19">
        <v>540</v>
      </c>
      <c r="V161" s="19">
        <v>0</v>
      </c>
      <c r="W161" s="19">
        <v>0</v>
      </c>
      <c r="X161" s="19">
        <v>0</v>
      </c>
      <c r="Y161" s="19">
        <v>1080</v>
      </c>
      <c r="Z161" s="19">
        <v>0</v>
      </c>
      <c r="AA161" s="19" t="s">
        <v>198</v>
      </c>
      <c r="AB161" s="19" t="s">
        <v>1672</v>
      </c>
      <c r="AC161" s="19">
        <v>853931</v>
      </c>
      <c r="AD161" s="19" t="s">
        <v>1092</v>
      </c>
      <c r="AE161" s="19">
        <v>1</v>
      </c>
      <c r="AF161" s="19">
        <v>0</v>
      </c>
      <c r="AG161" s="19" t="s">
        <v>1093</v>
      </c>
      <c r="AH161" s="19" t="s">
        <v>2319</v>
      </c>
    </row>
    <row r="162" spans="2:34" hidden="1" x14ac:dyDescent="0.35">
      <c r="B162" s="76">
        <v>46210</v>
      </c>
      <c r="C162" s="19" t="s">
        <v>305</v>
      </c>
      <c r="D162" s="19" t="s">
        <v>126</v>
      </c>
      <c r="E162" s="19" t="s">
        <v>303</v>
      </c>
      <c r="F162" s="19" t="s">
        <v>118</v>
      </c>
      <c r="G162" s="19" t="s">
        <v>304</v>
      </c>
      <c r="H162" s="76">
        <v>46203</v>
      </c>
      <c r="I162" s="19" t="s">
        <v>102</v>
      </c>
      <c r="J162" s="19" t="s">
        <v>1673</v>
      </c>
      <c r="K162" s="19" t="s">
        <v>1127</v>
      </c>
      <c r="L162" s="19" t="s">
        <v>102</v>
      </c>
      <c r="M162" s="19" t="s">
        <v>1674</v>
      </c>
      <c r="N162" s="19">
        <v>73</v>
      </c>
      <c r="O162" s="19">
        <v>14235</v>
      </c>
      <c r="P162" s="19" t="s">
        <v>1674</v>
      </c>
      <c r="Q162" s="19">
        <v>14947</v>
      </c>
      <c r="R162" s="19">
        <v>2.5</v>
      </c>
      <c r="S162" s="19">
        <v>355.88</v>
      </c>
      <c r="T162" s="19">
        <v>2.5</v>
      </c>
      <c r="U162" s="19">
        <v>355.88</v>
      </c>
      <c r="V162" s="19">
        <v>0</v>
      </c>
      <c r="W162" s="19">
        <v>0</v>
      </c>
      <c r="X162" s="19">
        <v>0</v>
      </c>
      <c r="Y162" s="19">
        <v>711.76</v>
      </c>
      <c r="Z162" s="19">
        <v>0</v>
      </c>
      <c r="AA162" s="19" t="s">
        <v>306</v>
      </c>
      <c r="AB162" s="19" t="s">
        <v>1555</v>
      </c>
      <c r="AC162" s="19">
        <v>40159010</v>
      </c>
      <c r="AD162" s="19" t="s">
        <v>1092</v>
      </c>
      <c r="AE162" s="19">
        <v>1</v>
      </c>
      <c r="AF162" s="19">
        <v>0</v>
      </c>
      <c r="AG162" s="19" t="s">
        <v>1093</v>
      </c>
      <c r="AH162" s="19" t="s">
        <v>2319</v>
      </c>
    </row>
    <row r="163" spans="2:34" hidden="1" x14ac:dyDescent="0.35">
      <c r="B163" s="76">
        <v>46210</v>
      </c>
      <c r="C163" s="19" t="s">
        <v>332</v>
      </c>
      <c r="D163" s="19" t="s">
        <v>126</v>
      </c>
      <c r="E163" s="19" t="s">
        <v>330</v>
      </c>
      <c r="F163" s="19" t="s">
        <v>118</v>
      </c>
      <c r="G163" s="19" t="s">
        <v>331</v>
      </c>
      <c r="H163" s="76">
        <v>46205</v>
      </c>
      <c r="I163" s="19" t="s">
        <v>105</v>
      </c>
      <c r="J163" s="19" t="s">
        <v>1675</v>
      </c>
      <c r="K163" s="19" t="s">
        <v>1127</v>
      </c>
      <c r="L163" s="19" t="s">
        <v>1389</v>
      </c>
      <c r="M163" s="19" t="s">
        <v>1676</v>
      </c>
      <c r="N163" s="19">
        <v>15</v>
      </c>
      <c r="O163" s="19">
        <v>4140</v>
      </c>
      <c r="P163" s="19" t="s">
        <v>1676</v>
      </c>
      <c r="Q163" s="19">
        <v>19848</v>
      </c>
      <c r="R163" s="19">
        <v>9</v>
      </c>
      <c r="S163" s="19">
        <v>372.6</v>
      </c>
      <c r="T163" s="19">
        <v>9</v>
      </c>
      <c r="U163" s="19">
        <v>372.6</v>
      </c>
      <c r="V163" s="19">
        <v>0</v>
      </c>
      <c r="W163" s="19">
        <v>0</v>
      </c>
      <c r="X163" s="19">
        <v>0</v>
      </c>
      <c r="Y163" s="19">
        <v>745.2</v>
      </c>
      <c r="Z163" s="19">
        <v>0</v>
      </c>
      <c r="AA163" s="19" t="s">
        <v>333</v>
      </c>
      <c r="AB163" s="19" t="s">
        <v>1555</v>
      </c>
      <c r="AC163" s="19">
        <v>85030029</v>
      </c>
      <c r="AD163" s="19" t="s">
        <v>1092</v>
      </c>
      <c r="AE163" s="19">
        <v>1</v>
      </c>
      <c r="AF163" s="19">
        <v>0</v>
      </c>
      <c r="AG163" s="19" t="s">
        <v>1093</v>
      </c>
      <c r="AH163" s="19" t="s">
        <v>2319</v>
      </c>
    </row>
    <row r="164" spans="2:34" hidden="1" x14ac:dyDescent="0.35">
      <c r="B164" s="76">
        <v>46210</v>
      </c>
      <c r="C164" s="19" t="s">
        <v>332</v>
      </c>
      <c r="D164" s="19" t="s">
        <v>126</v>
      </c>
      <c r="E164" s="19" t="s">
        <v>330</v>
      </c>
      <c r="F164" s="19" t="s">
        <v>118</v>
      </c>
      <c r="G164" s="19" t="s">
        <v>331</v>
      </c>
      <c r="H164" s="76">
        <v>46205</v>
      </c>
      <c r="I164" s="19" t="s">
        <v>105</v>
      </c>
      <c r="J164" s="19" t="s">
        <v>1586</v>
      </c>
      <c r="K164" s="19" t="s">
        <v>1127</v>
      </c>
      <c r="L164" s="19" t="s">
        <v>1389</v>
      </c>
      <c r="M164" s="19" t="s">
        <v>1677</v>
      </c>
      <c r="N164" s="19">
        <v>30</v>
      </c>
      <c r="O164" s="19">
        <v>2160</v>
      </c>
      <c r="P164" s="19" t="s">
        <v>1677</v>
      </c>
      <c r="Q164" s="19">
        <v>0</v>
      </c>
      <c r="R164" s="19">
        <v>9</v>
      </c>
      <c r="S164" s="19">
        <v>194.4</v>
      </c>
      <c r="T164" s="19">
        <v>9</v>
      </c>
      <c r="U164" s="19">
        <v>194.4</v>
      </c>
      <c r="V164" s="19">
        <v>0</v>
      </c>
      <c r="W164" s="19">
        <v>0</v>
      </c>
      <c r="X164" s="19">
        <v>0</v>
      </c>
      <c r="Y164" s="19">
        <v>388.8</v>
      </c>
      <c r="Z164" s="19">
        <v>0</v>
      </c>
      <c r="AA164" s="19" t="s">
        <v>333</v>
      </c>
      <c r="AB164" s="19" t="s">
        <v>1572</v>
      </c>
      <c r="AC164" s="19">
        <v>85030090</v>
      </c>
      <c r="AD164" s="19" t="s">
        <v>1092</v>
      </c>
      <c r="AE164" s="19">
        <v>1</v>
      </c>
      <c r="AF164" s="19">
        <v>0</v>
      </c>
      <c r="AG164" s="19" t="s">
        <v>1093</v>
      </c>
      <c r="AH164" s="19" t="s">
        <v>2319</v>
      </c>
    </row>
    <row r="165" spans="2:34" hidden="1" x14ac:dyDescent="0.35">
      <c r="B165" s="76">
        <v>46210</v>
      </c>
      <c r="C165" s="19" t="s">
        <v>332</v>
      </c>
      <c r="D165" s="19" t="s">
        <v>126</v>
      </c>
      <c r="E165" s="19" t="s">
        <v>330</v>
      </c>
      <c r="F165" s="19" t="s">
        <v>118</v>
      </c>
      <c r="G165" s="19" t="s">
        <v>331</v>
      </c>
      <c r="H165" s="76">
        <v>46205</v>
      </c>
      <c r="I165" s="19" t="s">
        <v>105</v>
      </c>
      <c r="J165" s="19" t="s">
        <v>1553</v>
      </c>
      <c r="K165" s="19" t="s">
        <v>1127</v>
      </c>
      <c r="L165" s="19" t="s">
        <v>1389</v>
      </c>
      <c r="M165" s="19" t="s">
        <v>1678</v>
      </c>
      <c r="N165" s="19">
        <v>30</v>
      </c>
      <c r="O165" s="19">
        <v>3120</v>
      </c>
      <c r="P165" s="19" t="s">
        <v>1678</v>
      </c>
      <c r="Q165" s="19">
        <v>0</v>
      </c>
      <c r="R165" s="19">
        <v>9</v>
      </c>
      <c r="S165" s="19">
        <v>280.8</v>
      </c>
      <c r="T165" s="19">
        <v>9</v>
      </c>
      <c r="U165" s="19">
        <v>280.8</v>
      </c>
      <c r="V165" s="19">
        <v>0</v>
      </c>
      <c r="W165" s="19">
        <v>0</v>
      </c>
      <c r="X165" s="19">
        <v>0</v>
      </c>
      <c r="Y165" s="19">
        <v>561.6</v>
      </c>
      <c r="Z165" s="19">
        <v>0</v>
      </c>
      <c r="AA165" s="19" t="s">
        <v>333</v>
      </c>
      <c r="AB165" s="19" t="s">
        <v>1572</v>
      </c>
      <c r="AC165" s="19">
        <v>87089300</v>
      </c>
      <c r="AD165" s="19" t="s">
        <v>1092</v>
      </c>
      <c r="AE165" s="19">
        <v>1</v>
      </c>
      <c r="AF165" s="19">
        <v>0</v>
      </c>
      <c r="AG165" s="19" t="s">
        <v>1093</v>
      </c>
      <c r="AH165" s="19" t="s">
        <v>2319</v>
      </c>
    </row>
    <row r="166" spans="2:34" hidden="1" x14ac:dyDescent="0.35">
      <c r="B166" s="76">
        <v>46210</v>
      </c>
      <c r="C166" s="19" t="s">
        <v>332</v>
      </c>
      <c r="D166" s="19" t="s">
        <v>126</v>
      </c>
      <c r="E166" s="19" t="s">
        <v>330</v>
      </c>
      <c r="F166" s="19" t="s">
        <v>118</v>
      </c>
      <c r="G166" s="19" t="s">
        <v>331</v>
      </c>
      <c r="H166" s="76">
        <v>46205</v>
      </c>
      <c r="I166" s="19" t="s">
        <v>105</v>
      </c>
      <c r="J166" s="19" t="s">
        <v>1553</v>
      </c>
      <c r="K166" s="19" t="s">
        <v>1127</v>
      </c>
      <c r="L166" s="19" t="s">
        <v>1389</v>
      </c>
      <c r="M166" s="19" t="s">
        <v>1679</v>
      </c>
      <c r="N166" s="19">
        <v>25</v>
      </c>
      <c r="O166" s="19">
        <v>7400</v>
      </c>
      <c r="P166" s="19" t="s">
        <v>1679</v>
      </c>
      <c r="Q166" s="19">
        <v>0</v>
      </c>
      <c r="R166" s="19">
        <v>9</v>
      </c>
      <c r="S166" s="19">
        <v>666</v>
      </c>
      <c r="T166" s="19">
        <v>9</v>
      </c>
      <c r="U166" s="19">
        <v>666</v>
      </c>
      <c r="V166" s="19">
        <v>0</v>
      </c>
      <c r="W166" s="19">
        <v>0</v>
      </c>
      <c r="X166" s="19">
        <v>0</v>
      </c>
      <c r="Y166" s="19">
        <v>1332</v>
      </c>
      <c r="Z166" s="19">
        <v>0</v>
      </c>
      <c r="AA166" s="19" t="s">
        <v>333</v>
      </c>
      <c r="AB166" s="19" t="s">
        <v>1572</v>
      </c>
      <c r="AC166" s="19">
        <v>85330900</v>
      </c>
      <c r="AD166" s="19" t="s">
        <v>1092</v>
      </c>
      <c r="AE166" s="19">
        <v>1</v>
      </c>
      <c r="AF166" s="19">
        <v>0</v>
      </c>
      <c r="AG166" s="19" t="s">
        <v>1093</v>
      </c>
      <c r="AH166" s="19" t="s">
        <v>2319</v>
      </c>
    </row>
    <row r="167" spans="2:34" hidden="1" x14ac:dyDescent="0.35">
      <c r="B167" s="76">
        <v>46210</v>
      </c>
      <c r="C167" s="19" t="s">
        <v>345</v>
      </c>
      <c r="D167" s="19" t="s">
        <v>126</v>
      </c>
      <c r="E167" s="19" t="s">
        <v>344</v>
      </c>
      <c r="F167" s="19" t="s">
        <v>121</v>
      </c>
      <c r="G167" s="19">
        <v>274</v>
      </c>
      <c r="H167" s="76">
        <v>46201</v>
      </c>
      <c r="I167" s="19" t="s">
        <v>105</v>
      </c>
      <c r="J167" s="19" t="s">
        <v>1579</v>
      </c>
      <c r="K167" s="19" t="s">
        <v>1127</v>
      </c>
      <c r="L167" s="19" t="s">
        <v>1389</v>
      </c>
      <c r="M167" s="19" t="s">
        <v>1680</v>
      </c>
      <c r="N167" s="19">
        <v>1</v>
      </c>
      <c r="O167" s="19">
        <v>6500</v>
      </c>
      <c r="P167" s="19" t="s">
        <v>1680</v>
      </c>
      <c r="Q167" s="19">
        <v>15340</v>
      </c>
      <c r="R167" s="19">
        <v>0</v>
      </c>
      <c r="S167" s="19">
        <v>0</v>
      </c>
      <c r="T167" s="19">
        <v>0</v>
      </c>
      <c r="U167" s="19">
        <v>0</v>
      </c>
      <c r="V167" s="19">
        <v>18</v>
      </c>
      <c r="W167" s="19">
        <v>1170</v>
      </c>
      <c r="X167" s="19">
        <v>0</v>
      </c>
      <c r="Y167" s="19">
        <v>1170</v>
      </c>
      <c r="Z167" s="19">
        <v>0</v>
      </c>
      <c r="AA167" s="19" t="s">
        <v>346</v>
      </c>
      <c r="AB167" s="19" t="s">
        <v>1555</v>
      </c>
      <c r="AC167" s="19">
        <v>84463090</v>
      </c>
      <c r="AD167" s="19" t="s">
        <v>1092</v>
      </c>
      <c r="AE167" s="19">
        <v>1</v>
      </c>
      <c r="AF167" s="19">
        <v>0</v>
      </c>
      <c r="AG167" s="19" t="s">
        <v>1093</v>
      </c>
      <c r="AH167" s="19" t="s">
        <v>2319</v>
      </c>
    </row>
    <row r="168" spans="2:34" hidden="1" x14ac:dyDescent="0.35">
      <c r="B168" s="76">
        <v>46210</v>
      </c>
      <c r="C168" s="19" t="s">
        <v>345</v>
      </c>
      <c r="D168" s="19" t="s">
        <v>126</v>
      </c>
      <c r="E168" s="19" t="s">
        <v>344</v>
      </c>
      <c r="F168" s="19" t="s">
        <v>121</v>
      </c>
      <c r="G168" s="19">
        <v>274</v>
      </c>
      <c r="H168" s="76">
        <v>46201</v>
      </c>
      <c r="I168" s="19" t="s">
        <v>105</v>
      </c>
      <c r="J168" s="19" t="s">
        <v>1579</v>
      </c>
      <c r="K168" s="19" t="s">
        <v>1127</v>
      </c>
      <c r="L168" s="19" t="s">
        <v>1389</v>
      </c>
      <c r="M168" s="19" t="s">
        <v>1681</v>
      </c>
      <c r="N168" s="19">
        <v>1</v>
      </c>
      <c r="O168" s="19">
        <v>6500</v>
      </c>
      <c r="P168" s="19" t="s">
        <v>1681</v>
      </c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18</v>
      </c>
      <c r="W168" s="19">
        <v>1170</v>
      </c>
      <c r="X168" s="19">
        <v>0</v>
      </c>
      <c r="Y168" s="19">
        <v>1170</v>
      </c>
      <c r="Z168" s="19">
        <v>0</v>
      </c>
      <c r="AA168" s="19" t="s">
        <v>346</v>
      </c>
      <c r="AB168" s="19" t="s">
        <v>1555</v>
      </c>
      <c r="AC168" s="19">
        <v>84463090</v>
      </c>
      <c r="AD168" s="19" t="s">
        <v>1092</v>
      </c>
      <c r="AE168" s="19">
        <v>1</v>
      </c>
      <c r="AF168" s="19">
        <v>0</v>
      </c>
      <c r="AG168" s="19" t="s">
        <v>1093</v>
      </c>
      <c r="AH168" s="19" t="s">
        <v>2319</v>
      </c>
    </row>
    <row r="169" spans="2:34" hidden="1" x14ac:dyDescent="0.35">
      <c r="B169" s="76">
        <v>46211</v>
      </c>
      <c r="C169" s="19" t="s">
        <v>193</v>
      </c>
      <c r="D169" s="19" t="s">
        <v>126</v>
      </c>
      <c r="E169" s="19" t="s">
        <v>370</v>
      </c>
      <c r="F169" s="19" t="s">
        <v>118</v>
      </c>
      <c r="G169" s="19" t="s">
        <v>371</v>
      </c>
      <c r="H169" s="76">
        <v>46209</v>
      </c>
      <c r="I169" s="19" t="s">
        <v>105</v>
      </c>
      <c r="J169" s="19" t="s">
        <v>1579</v>
      </c>
      <c r="K169" s="19" t="s">
        <v>1127</v>
      </c>
      <c r="L169" s="19" t="s">
        <v>1389</v>
      </c>
      <c r="M169" s="19" t="s">
        <v>1682</v>
      </c>
      <c r="N169" s="19">
        <v>20</v>
      </c>
      <c r="O169" s="19">
        <v>6300</v>
      </c>
      <c r="P169" s="19" t="s">
        <v>1682</v>
      </c>
      <c r="Q169" s="19">
        <v>7481</v>
      </c>
      <c r="R169" s="19">
        <v>9</v>
      </c>
      <c r="S169" s="19">
        <v>570.6</v>
      </c>
      <c r="T169" s="19">
        <v>9</v>
      </c>
      <c r="U169" s="19">
        <v>570.6</v>
      </c>
      <c r="V169" s="19">
        <v>0</v>
      </c>
      <c r="W169" s="19">
        <v>0</v>
      </c>
      <c r="X169" s="19">
        <v>0</v>
      </c>
      <c r="Y169" s="19">
        <v>1141.2</v>
      </c>
      <c r="Z169" s="19">
        <v>0</v>
      </c>
      <c r="AA169" s="19" t="s">
        <v>194</v>
      </c>
      <c r="AB169" s="19" t="s">
        <v>1555</v>
      </c>
      <c r="AC169" s="19">
        <v>844849</v>
      </c>
      <c r="AD169" s="19" t="s">
        <v>1092</v>
      </c>
      <c r="AE169" s="19">
        <v>1</v>
      </c>
      <c r="AF169" s="19">
        <v>0</v>
      </c>
      <c r="AG169" s="19" t="s">
        <v>1093</v>
      </c>
      <c r="AH169" s="19" t="s">
        <v>2319</v>
      </c>
    </row>
    <row r="170" spans="2:34" x14ac:dyDescent="0.35">
      <c r="B170" s="76">
        <v>46211</v>
      </c>
      <c r="C170" s="19" t="s">
        <v>390</v>
      </c>
      <c r="D170" s="19" t="s">
        <v>173</v>
      </c>
      <c r="E170" s="19" t="s">
        <v>388</v>
      </c>
      <c r="F170" s="19" t="s">
        <v>123</v>
      </c>
      <c r="G170" s="19" t="s">
        <v>389</v>
      </c>
      <c r="H170" s="76">
        <v>46201</v>
      </c>
      <c r="I170" s="19" t="s">
        <v>36</v>
      </c>
      <c r="J170" s="19" t="s">
        <v>1117</v>
      </c>
      <c r="K170" s="19" t="s">
        <v>37</v>
      </c>
      <c r="L170" s="19" t="s">
        <v>1242</v>
      </c>
      <c r="M170" s="19" t="s">
        <v>1683</v>
      </c>
      <c r="N170" s="19">
        <v>1166</v>
      </c>
      <c r="O170" s="19">
        <v>213378</v>
      </c>
      <c r="P170" s="19" t="s">
        <v>1683</v>
      </c>
      <c r="Q170" s="19">
        <v>251786</v>
      </c>
      <c r="R170" s="19">
        <v>9</v>
      </c>
      <c r="S170" s="19">
        <v>19204.02</v>
      </c>
      <c r="T170" s="19">
        <v>9</v>
      </c>
      <c r="U170" s="19">
        <v>19204.02</v>
      </c>
      <c r="V170" s="19">
        <v>0</v>
      </c>
      <c r="W170" s="19">
        <v>0</v>
      </c>
      <c r="X170" s="19">
        <v>0</v>
      </c>
      <c r="Y170" s="19">
        <v>38408.04</v>
      </c>
      <c r="Z170" s="19">
        <v>0</v>
      </c>
      <c r="AA170" s="19" t="s">
        <v>391</v>
      </c>
      <c r="AB170" s="19" t="s">
        <v>1289</v>
      </c>
      <c r="AC170" s="19">
        <v>39269099</v>
      </c>
      <c r="AD170" s="19" t="s">
        <v>1092</v>
      </c>
      <c r="AE170" s="19">
        <v>1</v>
      </c>
      <c r="AF170" s="19">
        <f t="shared" ref="AF170" si="5">N170</f>
        <v>1166</v>
      </c>
      <c r="AG170" s="19" t="s">
        <v>1093</v>
      </c>
      <c r="AH170" s="19" t="s">
        <v>37</v>
      </c>
    </row>
    <row r="171" spans="2:34" x14ac:dyDescent="0.35">
      <c r="B171" s="76">
        <v>46211</v>
      </c>
      <c r="C171" s="19" t="s">
        <v>178</v>
      </c>
      <c r="D171" s="19" t="s">
        <v>173</v>
      </c>
      <c r="E171" s="19" t="s">
        <v>386</v>
      </c>
      <c r="F171" s="19" t="s">
        <v>123</v>
      </c>
      <c r="G171" s="19" t="s">
        <v>387</v>
      </c>
      <c r="H171" s="76">
        <v>46211</v>
      </c>
      <c r="I171" s="19" t="s">
        <v>49</v>
      </c>
      <c r="J171" s="19" t="s">
        <v>50</v>
      </c>
      <c r="K171" s="19" t="s">
        <v>50</v>
      </c>
      <c r="L171" s="19" t="s">
        <v>1095</v>
      </c>
      <c r="M171" s="19" t="s">
        <v>1098</v>
      </c>
      <c r="N171" s="19">
        <v>2259.6</v>
      </c>
      <c r="O171" s="19">
        <v>522803.652</v>
      </c>
      <c r="P171" s="19" t="s">
        <v>1098</v>
      </c>
      <c r="Q171" s="19">
        <v>5541882.25</v>
      </c>
      <c r="R171" s="19">
        <v>9</v>
      </c>
      <c r="S171" s="19">
        <v>47052.33</v>
      </c>
      <c r="T171" s="19">
        <v>9</v>
      </c>
      <c r="U171" s="19">
        <v>47052.33</v>
      </c>
      <c r="V171" s="19">
        <v>0</v>
      </c>
      <c r="W171" s="19">
        <v>0</v>
      </c>
      <c r="X171" s="19">
        <v>0</v>
      </c>
      <c r="Y171" s="19">
        <v>94104.66</v>
      </c>
      <c r="Z171" s="19">
        <v>0</v>
      </c>
      <c r="AA171" s="19" t="s">
        <v>179</v>
      </c>
      <c r="AB171" s="19" t="s">
        <v>1289</v>
      </c>
      <c r="AC171" s="19">
        <v>63053200</v>
      </c>
      <c r="AD171" s="19" t="s">
        <v>1092</v>
      </c>
      <c r="AE171" s="19">
        <v>1</v>
      </c>
      <c r="AF171" s="19">
        <v>2259.6</v>
      </c>
      <c r="AG171" s="19" t="s">
        <v>1093</v>
      </c>
      <c r="AH171" s="19" t="s">
        <v>50</v>
      </c>
    </row>
    <row r="172" spans="2:34" x14ac:dyDescent="0.35">
      <c r="B172" s="76">
        <v>46211</v>
      </c>
      <c r="C172" s="19" t="s">
        <v>178</v>
      </c>
      <c r="D172" s="19" t="s">
        <v>173</v>
      </c>
      <c r="E172" s="19" t="s">
        <v>386</v>
      </c>
      <c r="F172" s="19" t="s">
        <v>123</v>
      </c>
      <c r="G172" s="19" t="s">
        <v>387</v>
      </c>
      <c r="H172" s="76">
        <v>46211</v>
      </c>
      <c r="I172" s="19" t="s">
        <v>49</v>
      </c>
      <c r="J172" s="19" t="s">
        <v>50</v>
      </c>
      <c r="K172" s="19" t="s">
        <v>50</v>
      </c>
      <c r="L172" s="19" t="s">
        <v>1095</v>
      </c>
      <c r="M172" s="19" t="s">
        <v>1098</v>
      </c>
      <c r="N172" s="19">
        <v>928.3</v>
      </c>
      <c r="O172" s="19">
        <v>203734.00099999999</v>
      </c>
      <c r="P172" s="19" t="s">
        <v>1098</v>
      </c>
      <c r="Q172" s="19">
        <v>0</v>
      </c>
      <c r="R172" s="19">
        <v>9</v>
      </c>
      <c r="S172" s="19">
        <v>18336.060000000001</v>
      </c>
      <c r="T172" s="19">
        <v>9</v>
      </c>
      <c r="U172" s="19">
        <v>18336.060000000001</v>
      </c>
      <c r="V172" s="19">
        <v>0</v>
      </c>
      <c r="W172" s="19">
        <v>0</v>
      </c>
      <c r="X172" s="19">
        <v>0</v>
      </c>
      <c r="Y172" s="19">
        <v>36672.120000000003</v>
      </c>
      <c r="Z172" s="19">
        <v>0</v>
      </c>
      <c r="AA172" s="19" t="s">
        <v>179</v>
      </c>
      <c r="AB172" s="19" t="s">
        <v>1289</v>
      </c>
      <c r="AC172" s="19">
        <v>63053200</v>
      </c>
      <c r="AD172" s="19" t="s">
        <v>1092</v>
      </c>
      <c r="AE172" s="19">
        <v>1</v>
      </c>
      <c r="AF172" s="19">
        <v>928.3</v>
      </c>
      <c r="AG172" s="19" t="s">
        <v>1093</v>
      </c>
      <c r="AH172" s="19" t="s">
        <v>50</v>
      </c>
    </row>
    <row r="173" spans="2:34" x14ac:dyDescent="0.35">
      <c r="B173" s="76">
        <v>46211</v>
      </c>
      <c r="C173" s="19" t="s">
        <v>178</v>
      </c>
      <c r="D173" s="19" t="s">
        <v>173</v>
      </c>
      <c r="E173" s="19" t="s">
        <v>386</v>
      </c>
      <c r="F173" s="19" t="s">
        <v>123</v>
      </c>
      <c r="G173" s="19" t="s">
        <v>387</v>
      </c>
      <c r="H173" s="76">
        <v>46211</v>
      </c>
      <c r="I173" s="19" t="s">
        <v>49</v>
      </c>
      <c r="J173" s="19" t="s">
        <v>50</v>
      </c>
      <c r="K173" s="19" t="s">
        <v>50</v>
      </c>
      <c r="L173" s="19" t="s">
        <v>1095</v>
      </c>
      <c r="M173" s="19" t="s">
        <v>1098</v>
      </c>
      <c r="N173" s="19">
        <v>926.3</v>
      </c>
      <c r="O173" s="19">
        <v>203758.21100000001</v>
      </c>
      <c r="P173" s="19" t="s">
        <v>1098</v>
      </c>
      <c r="Q173" s="19">
        <v>0</v>
      </c>
      <c r="R173" s="19">
        <v>9</v>
      </c>
      <c r="S173" s="19">
        <v>18338.240000000002</v>
      </c>
      <c r="T173" s="19">
        <v>9</v>
      </c>
      <c r="U173" s="19">
        <v>18338.240000000002</v>
      </c>
      <c r="V173" s="19">
        <v>0</v>
      </c>
      <c r="W173" s="19">
        <v>0</v>
      </c>
      <c r="X173" s="19">
        <v>0</v>
      </c>
      <c r="Y173" s="19">
        <v>36676.480000000003</v>
      </c>
      <c r="Z173" s="19">
        <v>0</v>
      </c>
      <c r="AA173" s="19" t="s">
        <v>179</v>
      </c>
      <c r="AB173" s="19" t="s">
        <v>1289</v>
      </c>
      <c r="AC173" s="19">
        <v>63053200</v>
      </c>
      <c r="AD173" s="19" t="s">
        <v>1092</v>
      </c>
      <c r="AE173" s="19">
        <v>1</v>
      </c>
      <c r="AF173" s="19">
        <v>926.3</v>
      </c>
      <c r="AG173" s="19" t="s">
        <v>1093</v>
      </c>
      <c r="AH173" s="19" t="s">
        <v>50</v>
      </c>
    </row>
    <row r="174" spans="2:34" x14ac:dyDescent="0.35">
      <c r="B174" s="76">
        <v>46211</v>
      </c>
      <c r="C174" s="19" t="s">
        <v>178</v>
      </c>
      <c r="D174" s="19" t="s">
        <v>173</v>
      </c>
      <c r="E174" s="19" t="s">
        <v>386</v>
      </c>
      <c r="F174" s="19" t="s">
        <v>123</v>
      </c>
      <c r="G174" s="19" t="s">
        <v>387</v>
      </c>
      <c r="H174" s="76">
        <v>46211</v>
      </c>
      <c r="I174" s="19" t="s">
        <v>49</v>
      </c>
      <c r="J174" s="19" t="s">
        <v>50</v>
      </c>
      <c r="K174" s="19" t="s">
        <v>50</v>
      </c>
      <c r="L174" s="19" t="s">
        <v>1095</v>
      </c>
      <c r="M174" s="19" t="s">
        <v>1098</v>
      </c>
      <c r="N174" s="19">
        <v>1379.9</v>
      </c>
      <c r="O174" s="19">
        <v>305772.04100000003</v>
      </c>
      <c r="P174" s="19" t="s">
        <v>1098</v>
      </c>
      <c r="Q174" s="19">
        <v>0</v>
      </c>
      <c r="R174" s="19">
        <v>9</v>
      </c>
      <c r="S174" s="19">
        <v>27519.48</v>
      </c>
      <c r="T174" s="19">
        <v>9</v>
      </c>
      <c r="U174" s="19">
        <v>27519.48</v>
      </c>
      <c r="V174" s="19">
        <v>0</v>
      </c>
      <c r="W174" s="19">
        <v>0</v>
      </c>
      <c r="X174" s="19">
        <v>0</v>
      </c>
      <c r="Y174" s="19">
        <v>55038.96</v>
      </c>
      <c r="Z174" s="19">
        <v>0</v>
      </c>
      <c r="AA174" s="19" t="s">
        <v>179</v>
      </c>
      <c r="AB174" s="19" t="s">
        <v>1289</v>
      </c>
      <c r="AC174" s="19">
        <v>63053200</v>
      </c>
      <c r="AD174" s="19" t="s">
        <v>1092</v>
      </c>
      <c r="AE174" s="19">
        <v>1</v>
      </c>
      <c r="AF174" s="19">
        <v>1379.9</v>
      </c>
      <c r="AG174" s="19" t="s">
        <v>1093</v>
      </c>
      <c r="AH174" s="19" t="s">
        <v>50</v>
      </c>
    </row>
    <row r="175" spans="2:34" x14ac:dyDescent="0.35">
      <c r="B175" s="76">
        <v>46211</v>
      </c>
      <c r="C175" s="19" t="s">
        <v>178</v>
      </c>
      <c r="D175" s="19" t="s">
        <v>173</v>
      </c>
      <c r="E175" s="19" t="s">
        <v>386</v>
      </c>
      <c r="F175" s="19" t="s">
        <v>123</v>
      </c>
      <c r="G175" s="19" t="s">
        <v>387</v>
      </c>
      <c r="H175" s="76">
        <v>46211</v>
      </c>
      <c r="I175" s="19" t="s">
        <v>49</v>
      </c>
      <c r="J175" s="19" t="s">
        <v>50</v>
      </c>
      <c r="K175" s="19" t="s">
        <v>50</v>
      </c>
      <c r="L175" s="19" t="s">
        <v>1095</v>
      </c>
      <c r="M175" s="19" t="s">
        <v>1098</v>
      </c>
      <c r="N175" s="19">
        <v>12960.85</v>
      </c>
      <c r="O175" s="19">
        <v>2658011.1179999998</v>
      </c>
      <c r="P175" s="19" t="s">
        <v>1098</v>
      </c>
      <c r="Q175" s="19">
        <v>0</v>
      </c>
      <c r="R175" s="19">
        <v>9</v>
      </c>
      <c r="S175" s="19">
        <v>239221</v>
      </c>
      <c r="T175" s="19">
        <v>9</v>
      </c>
      <c r="U175" s="19">
        <v>239221</v>
      </c>
      <c r="V175" s="19">
        <v>0</v>
      </c>
      <c r="W175" s="19">
        <v>0</v>
      </c>
      <c r="X175" s="19">
        <v>0</v>
      </c>
      <c r="Y175" s="19">
        <v>478442</v>
      </c>
      <c r="Z175" s="19">
        <v>0</v>
      </c>
      <c r="AA175" s="19" t="s">
        <v>179</v>
      </c>
      <c r="AB175" s="19" t="s">
        <v>1289</v>
      </c>
      <c r="AC175" s="19">
        <v>63053200</v>
      </c>
      <c r="AD175" s="19" t="s">
        <v>1092</v>
      </c>
      <c r="AE175" s="19">
        <v>1</v>
      </c>
      <c r="AF175" s="19">
        <v>12960.85</v>
      </c>
      <c r="AG175" s="19" t="s">
        <v>1093</v>
      </c>
      <c r="AH175" s="19" t="s">
        <v>50</v>
      </c>
    </row>
    <row r="176" spans="2:34" x14ac:dyDescent="0.35">
      <c r="B176" s="76">
        <v>46211</v>
      </c>
      <c r="C176" s="19" t="s">
        <v>178</v>
      </c>
      <c r="D176" s="19" t="s">
        <v>173</v>
      </c>
      <c r="E176" s="19" t="s">
        <v>386</v>
      </c>
      <c r="F176" s="19" t="s">
        <v>123</v>
      </c>
      <c r="G176" s="19" t="s">
        <v>387</v>
      </c>
      <c r="H176" s="76">
        <v>46211</v>
      </c>
      <c r="I176" s="19" t="s">
        <v>49</v>
      </c>
      <c r="J176" s="19" t="s">
        <v>50</v>
      </c>
      <c r="K176" s="19" t="s">
        <v>50</v>
      </c>
      <c r="L176" s="19" t="s">
        <v>1095</v>
      </c>
      <c r="M176" s="19" t="s">
        <v>1098</v>
      </c>
      <c r="N176" s="19">
        <v>2762.9</v>
      </c>
      <c r="O176" s="19">
        <v>600129.50899999996</v>
      </c>
      <c r="P176" s="19" t="s">
        <v>1098</v>
      </c>
      <c r="Q176" s="19">
        <v>0</v>
      </c>
      <c r="R176" s="19">
        <v>9</v>
      </c>
      <c r="S176" s="19">
        <v>54011.66</v>
      </c>
      <c r="T176" s="19">
        <v>9</v>
      </c>
      <c r="U176" s="19">
        <v>54011.66</v>
      </c>
      <c r="V176" s="19">
        <v>0</v>
      </c>
      <c r="W176" s="19">
        <v>0</v>
      </c>
      <c r="X176" s="19">
        <v>0</v>
      </c>
      <c r="Y176" s="19">
        <v>108023.32</v>
      </c>
      <c r="Z176" s="19">
        <v>0</v>
      </c>
      <c r="AA176" s="19" t="s">
        <v>179</v>
      </c>
      <c r="AB176" s="19" t="s">
        <v>1289</v>
      </c>
      <c r="AC176" s="19">
        <v>63053200</v>
      </c>
      <c r="AD176" s="19" t="s">
        <v>1092</v>
      </c>
      <c r="AE176" s="19">
        <v>1</v>
      </c>
      <c r="AF176" s="19">
        <v>2762.9</v>
      </c>
      <c r="AG176" s="19" t="s">
        <v>1093</v>
      </c>
      <c r="AH176" s="19" t="s">
        <v>50</v>
      </c>
    </row>
    <row r="177" spans="2:34" x14ac:dyDescent="0.35">
      <c r="B177" s="76">
        <v>46211</v>
      </c>
      <c r="C177" s="19" t="s">
        <v>178</v>
      </c>
      <c r="D177" s="19" t="s">
        <v>173</v>
      </c>
      <c r="E177" s="19" t="s">
        <v>386</v>
      </c>
      <c r="F177" s="19" t="s">
        <v>123</v>
      </c>
      <c r="G177" s="19" t="s">
        <v>387</v>
      </c>
      <c r="H177" s="76">
        <v>46211</v>
      </c>
      <c r="I177" s="19" t="s">
        <v>49</v>
      </c>
      <c r="J177" s="19" t="s">
        <v>50</v>
      </c>
      <c r="K177" s="19" t="s">
        <v>50</v>
      </c>
      <c r="L177" s="19" t="s">
        <v>1095</v>
      </c>
      <c r="M177" s="19" t="s">
        <v>1098</v>
      </c>
      <c r="N177" s="19">
        <v>927</v>
      </c>
      <c r="O177" s="19">
        <v>206285.31</v>
      </c>
      <c r="P177" s="19" t="s">
        <v>1098</v>
      </c>
      <c r="Q177" s="19">
        <v>0</v>
      </c>
      <c r="R177" s="19">
        <v>9</v>
      </c>
      <c r="S177" s="19">
        <v>18565.68</v>
      </c>
      <c r="T177" s="19">
        <v>9</v>
      </c>
      <c r="U177" s="19">
        <v>18565.68</v>
      </c>
      <c r="V177" s="19">
        <v>0</v>
      </c>
      <c r="W177" s="19">
        <v>0</v>
      </c>
      <c r="X177" s="19">
        <v>0</v>
      </c>
      <c r="Y177" s="19">
        <v>37131.360000000001</v>
      </c>
      <c r="Z177" s="19">
        <v>0</v>
      </c>
      <c r="AA177" s="19" t="s">
        <v>179</v>
      </c>
      <c r="AB177" s="19" t="s">
        <v>1289</v>
      </c>
      <c r="AC177" s="19">
        <v>63053200</v>
      </c>
      <c r="AD177" s="19" t="s">
        <v>1092</v>
      </c>
      <c r="AE177" s="19">
        <v>1</v>
      </c>
      <c r="AF177" s="19">
        <v>927</v>
      </c>
      <c r="AG177" s="19" t="s">
        <v>1093</v>
      </c>
      <c r="AH177" s="19" t="s">
        <v>50</v>
      </c>
    </row>
    <row r="178" spans="2:34" x14ac:dyDescent="0.35">
      <c r="B178" s="76">
        <v>46211</v>
      </c>
      <c r="C178" s="19" t="s">
        <v>245</v>
      </c>
      <c r="D178" s="19" t="s">
        <v>173</v>
      </c>
      <c r="E178" s="19" t="s">
        <v>382</v>
      </c>
      <c r="F178" s="19" t="s">
        <v>123</v>
      </c>
      <c r="G178" s="19" t="s">
        <v>383</v>
      </c>
      <c r="H178" s="76">
        <v>46210</v>
      </c>
      <c r="I178" s="19" t="s">
        <v>49</v>
      </c>
      <c r="J178" s="19" t="s">
        <v>50</v>
      </c>
      <c r="K178" s="19" t="s">
        <v>50</v>
      </c>
      <c r="L178" s="19" t="s">
        <v>1095</v>
      </c>
      <c r="M178" s="19" t="s">
        <v>1098</v>
      </c>
      <c r="N178" s="19">
        <v>2492.4</v>
      </c>
      <c r="O178" s="19">
        <v>641718.228</v>
      </c>
      <c r="P178" s="19" t="s">
        <v>1098</v>
      </c>
      <c r="Q178" s="19">
        <v>757227.51</v>
      </c>
      <c r="R178" s="19">
        <v>9</v>
      </c>
      <c r="S178" s="19">
        <v>57754.64</v>
      </c>
      <c r="T178" s="19">
        <v>9</v>
      </c>
      <c r="U178" s="19">
        <v>57754.64</v>
      </c>
      <c r="V178" s="19">
        <v>0</v>
      </c>
      <c r="W178" s="19">
        <v>0</v>
      </c>
      <c r="X178" s="19">
        <v>0</v>
      </c>
      <c r="Y178" s="19">
        <v>115509.28</v>
      </c>
      <c r="Z178" s="19">
        <v>0</v>
      </c>
      <c r="AA178" s="19" t="s">
        <v>179</v>
      </c>
      <c r="AB178" s="19" t="s">
        <v>1289</v>
      </c>
      <c r="AC178" s="19">
        <v>63053200</v>
      </c>
      <c r="AD178" s="19" t="s">
        <v>1092</v>
      </c>
      <c r="AE178" s="19">
        <v>1</v>
      </c>
      <c r="AF178" s="19">
        <f t="shared" ref="AF178:AF179" si="6">N178</f>
        <v>2492.4</v>
      </c>
      <c r="AG178" s="19" t="s">
        <v>1093</v>
      </c>
      <c r="AH178" s="19" t="s">
        <v>50</v>
      </c>
    </row>
    <row r="179" spans="2:34" x14ac:dyDescent="0.35">
      <c r="B179" s="76">
        <v>46211</v>
      </c>
      <c r="C179" s="19" t="s">
        <v>245</v>
      </c>
      <c r="D179" s="19" t="s">
        <v>173</v>
      </c>
      <c r="E179" s="19" t="s">
        <v>384</v>
      </c>
      <c r="F179" s="19" t="s">
        <v>123</v>
      </c>
      <c r="G179" s="19" t="s">
        <v>385</v>
      </c>
      <c r="H179" s="76">
        <v>46210</v>
      </c>
      <c r="I179" s="19" t="s">
        <v>36</v>
      </c>
      <c r="J179" s="19" t="s">
        <v>1117</v>
      </c>
      <c r="K179" s="19" t="s">
        <v>44</v>
      </c>
      <c r="L179" s="19" t="s">
        <v>1118</v>
      </c>
      <c r="M179" s="19" t="s">
        <v>1119</v>
      </c>
      <c r="N179" s="19">
        <v>836.3</v>
      </c>
      <c r="O179" s="19">
        <v>153168.345</v>
      </c>
      <c r="P179" s="19" t="s">
        <v>1119</v>
      </c>
      <c r="Q179" s="19">
        <v>180738.65</v>
      </c>
      <c r="R179" s="19">
        <v>9</v>
      </c>
      <c r="S179" s="19">
        <v>13785.15</v>
      </c>
      <c r="T179" s="19">
        <v>9</v>
      </c>
      <c r="U179" s="19">
        <v>13785.15</v>
      </c>
      <c r="V179" s="19">
        <v>0</v>
      </c>
      <c r="W179" s="19">
        <v>0</v>
      </c>
      <c r="X179" s="19">
        <v>0</v>
      </c>
      <c r="Y179" s="19">
        <v>27570.3</v>
      </c>
      <c r="Z179" s="19">
        <v>0</v>
      </c>
      <c r="AA179" s="19" t="s">
        <v>179</v>
      </c>
      <c r="AB179" s="19" t="s">
        <v>1289</v>
      </c>
      <c r="AC179" s="19">
        <v>39269080</v>
      </c>
      <c r="AD179" s="19" t="s">
        <v>1092</v>
      </c>
      <c r="AE179" s="19">
        <v>1</v>
      </c>
      <c r="AF179" s="19">
        <f t="shared" si="6"/>
        <v>836.3</v>
      </c>
      <c r="AG179" s="19" t="s">
        <v>1093</v>
      </c>
      <c r="AH179" s="19" t="s">
        <v>44</v>
      </c>
    </row>
    <row r="180" spans="2:34" x14ac:dyDescent="0.35">
      <c r="B180" s="76">
        <v>46211</v>
      </c>
      <c r="C180" s="19" t="s">
        <v>228</v>
      </c>
      <c r="D180" s="19" t="s">
        <v>227</v>
      </c>
      <c r="E180" s="19" t="s">
        <v>392</v>
      </c>
      <c r="F180" s="19" t="s">
        <v>122</v>
      </c>
      <c r="G180" s="19" t="s">
        <v>1598</v>
      </c>
      <c r="H180" s="76">
        <v>46076</v>
      </c>
      <c r="I180" s="19" t="s">
        <v>28</v>
      </c>
      <c r="J180" s="19" t="s">
        <v>1173</v>
      </c>
      <c r="K180" s="19" t="s">
        <v>34</v>
      </c>
      <c r="L180" s="19" t="s">
        <v>1105</v>
      </c>
      <c r="M180" s="19" t="s">
        <v>1174</v>
      </c>
      <c r="N180" s="19">
        <v>99000</v>
      </c>
      <c r="O180" s="19">
        <v>7642107</v>
      </c>
      <c r="P180" s="19" t="s">
        <v>1174</v>
      </c>
      <c r="Q180" s="19">
        <v>7642107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 t="s">
        <v>229</v>
      </c>
      <c r="AB180" s="19" t="s">
        <v>1289</v>
      </c>
      <c r="AC180" s="19">
        <v>39021000</v>
      </c>
      <c r="AD180" s="19" t="s">
        <v>1092</v>
      </c>
      <c r="AE180" s="19">
        <v>1</v>
      </c>
      <c r="AF180" s="19">
        <v>99000</v>
      </c>
      <c r="AG180" s="19" t="s">
        <v>1596</v>
      </c>
      <c r="AH180" s="19" t="s">
        <v>34</v>
      </c>
    </row>
    <row r="181" spans="2:34" hidden="1" x14ac:dyDescent="0.35">
      <c r="B181" s="76">
        <v>46211</v>
      </c>
      <c r="C181" s="19" t="s">
        <v>374</v>
      </c>
      <c r="D181" s="19" t="s">
        <v>126</v>
      </c>
      <c r="E181" s="19" t="s">
        <v>372</v>
      </c>
      <c r="F181" s="19" t="s">
        <v>118</v>
      </c>
      <c r="G181" s="19" t="s">
        <v>373</v>
      </c>
      <c r="H181" s="76">
        <v>46210</v>
      </c>
      <c r="I181" s="19" t="s">
        <v>105</v>
      </c>
      <c r="J181" s="19" t="s">
        <v>1684</v>
      </c>
      <c r="K181" s="19" t="s">
        <v>1127</v>
      </c>
      <c r="L181" s="19" t="s">
        <v>1389</v>
      </c>
      <c r="M181" s="19" t="s">
        <v>1685</v>
      </c>
      <c r="N181" s="19">
        <v>50</v>
      </c>
      <c r="O181" s="19">
        <v>3000</v>
      </c>
      <c r="P181" s="19" t="s">
        <v>1685</v>
      </c>
      <c r="Q181" s="19">
        <v>29500</v>
      </c>
      <c r="R181" s="19">
        <v>9</v>
      </c>
      <c r="S181" s="19">
        <v>270</v>
      </c>
      <c r="T181" s="19">
        <v>9</v>
      </c>
      <c r="U181" s="19">
        <v>270</v>
      </c>
      <c r="V181" s="19">
        <v>0</v>
      </c>
      <c r="W181" s="19">
        <v>0</v>
      </c>
      <c r="X181" s="19">
        <v>0</v>
      </c>
      <c r="Y181" s="19">
        <v>540</v>
      </c>
      <c r="Z181" s="19">
        <v>0</v>
      </c>
      <c r="AA181" s="19" t="s">
        <v>375</v>
      </c>
      <c r="AB181" s="19" t="s">
        <v>1555</v>
      </c>
      <c r="AC181" s="19">
        <v>848210</v>
      </c>
      <c r="AD181" s="19" t="s">
        <v>1092</v>
      </c>
      <c r="AE181" s="19">
        <v>1</v>
      </c>
      <c r="AF181" s="19">
        <v>0</v>
      </c>
      <c r="AG181" s="19" t="s">
        <v>1093</v>
      </c>
      <c r="AH181" s="19" t="s">
        <v>2319</v>
      </c>
    </row>
    <row r="182" spans="2:34" hidden="1" x14ac:dyDescent="0.35">
      <c r="B182" s="76">
        <v>46211</v>
      </c>
      <c r="C182" s="19" t="s">
        <v>374</v>
      </c>
      <c r="D182" s="19" t="s">
        <v>126</v>
      </c>
      <c r="E182" s="19" t="s">
        <v>372</v>
      </c>
      <c r="F182" s="19" t="s">
        <v>118</v>
      </c>
      <c r="G182" s="19" t="s">
        <v>373</v>
      </c>
      <c r="H182" s="76">
        <v>46210</v>
      </c>
      <c r="I182" s="19" t="s">
        <v>105</v>
      </c>
      <c r="J182" s="19" t="s">
        <v>1684</v>
      </c>
      <c r="K182" s="19" t="s">
        <v>1127</v>
      </c>
      <c r="L182" s="19" t="s">
        <v>1389</v>
      </c>
      <c r="M182" s="19" t="s">
        <v>1686</v>
      </c>
      <c r="N182" s="19">
        <v>20</v>
      </c>
      <c r="O182" s="19">
        <v>18000</v>
      </c>
      <c r="P182" s="19" t="s">
        <v>1686</v>
      </c>
      <c r="Q182" s="19">
        <v>0</v>
      </c>
      <c r="R182" s="19">
        <v>9</v>
      </c>
      <c r="S182" s="19">
        <v>1620</v>
      </c>
      <c r="T182" s="19">
        <v>9</v>
      </c>
      <c r="U182" s="19">
        <v>1620</v>
      </c>
      <c r="V182" s="19">
        <v>0</v>
      </c>
      <c r="W182" s="19">
        <v>0</v>
      </c>
      <c r="X182" s="19">
        <v>0</v>
      </c>
      <c r="Y182" s="19">
        <v>3240</v>
      </c>
      <c r="Z182" s="19">
        <v>0</v>
      </c>
      <c r="AA182" s="19" t="s">
        <v>375</v>
      </c>
      <c r="AB182" s="19" t="s">
        <v>1572</v>
      </c>
      <c r="AC182" s="19">
        <v>73141410</v>
      </c>
      <c r="AD182" s="19" t="s">
        <v>1092</v>
      </c>
      <c r="AE182" s="19">
        <v>1</v>
      </c>
      <c r="AF182" s="19">
        <v>0</v>
      </c>
      <c r="AG182" s="19" t="s">
        <v>1093</v>
      </c>
      <c r="AH182" s="19" t="s">
        <v>2319</v>
      </c>
    </row>
    <row r="183" spans="2:34" hidden="1" x14ac:dyDescent="0.35">
      <c r="B183" s="76">
        <v>46211</v>
      </c>
      <c r="C183" s="19" t="s">
        <v>374</v>
      </c>
      <c r="D183" s="19" t="s">
        <v>126</v>
      </c>
      <c r="E183" s="19" t="s">
        <v>372</v>
      </c>
      <c r="F183" s="19" t="s">
        <v>118</v>
      </c>
      <c r="G183" s="19" t="s">
        <v>373</v>
      </c>
      <c r="H183" s="76">
        <v>46210</v>
      </c>
      <c r="I183" s="19" t="s">
        <v>105</v>
      </c>
      <c r="J183" s="19" t="s">
        <v>1684</v>
      </c>
      <c r="K183" s="19" t="s">
        <v>1127</v>
      </c>
      <c r="L183" s="19" t="s">
        <v>1389</v>
      </c>
      <c r="M183" s="19" t="s">
        <v>1687</v>
      </c>
      <c r="N183" s="19">
        <v>50</v>
      </c>
      <c r="O183" s="19">
        <v>4000</v>
      </c>
      <c r="P183" s="19" t="s">
        <v>1687</v>
      </c>
      <c r="Q183" s="19">
        <v>0</v>
      </c>
      <c r="R183" s="19">
        <v>9</v>
      </c>
      <c r="S183" s="19">
        <v>360</v>
      </c>
      <c r="T183" s="19">
        <v>9</v>
      </c>
      <c r="U183" s="19">
        <v>360</v>
      </c>
      <c r="V183" s="19">
        <v>0</v>
      </c>
      <c r="W183" s="19">
        <v>0</v>
      </c>
      <c r="X183" s="19">
        <v>0</v>
      </c>
      <c r="Y183" s="19">
        <v>720</v>
      </c>
      <c r="Z183" s="19">
        <v>0</v>
      </c>
      <c r="AA183" s="19" t="s">
        <v>375</v>
      </c>
      <c r="AB183" s="19" t="s">
        <v>1555</v>
      </c>
      <c r="AC183" s="19">
        <v>84822090</v>
      </c>
      <c r="AD183" s="19" t="s">
        <v>1092</v>
      </c>
      <c r="AE183" s="19">
        <v>1</v>
      </c>
      <c r="AF183" s="19">
        <v>0</v>
      </c>
      <c r="AG183" s="19" t="s">
        <v>1093</v>
      </c>
      <c r="AH183" s="19" t="s">
        <v>2319</v>
      </c>
    </row>
    <row r="184" spans="2:34" hidden="1" x14ac:dyDescent="0.35">
      <c r="B184" s="76">
        <v>46211</v>
      </c>
      <c r="C184" s="19" t="s">
        <v>138</v>
      </c>
      <c r="D184" s="19" t="s">
        <v>7</v>
      </c>
      <c r="E184" s="19" t="s">
        <v>364</v>
      </c>
      <c r="F184" s="19" t="s">
        <v>119</v>
      </c>
      <c r="G184" s="19" t="s">
        <v>365</v>
      </c>
      <c r="H184" s="76">
        <v>46210</v>
      </c>
      <c r="I184" s="19" t="s">
        <v>105</v>
      </c>
      <c r="J184" s="19" t="s">
        <v>1142</v>
      </c>
      <c r="K184" s="19" t="s">
        <v>1509</v>
      </c>
      <c r="L184" s="19" t="s">
        <v>1509</v>
      </c>
      <c r="M184" s="19" t="s">
        <v>1196</v>
      </c>
      <c r="N184" s="19">
        <v>121</v>
      </c>
      <c r="O184" s="19">
        <v>5808</v>
      </c>
      <c r="P184" s="19" t="s">
        <v>1196</v>
      </c>
      <c r="Q184" s="19">
        <v>6847.63</v>
      </c>
      <c r="R184" s="19">
        <v>9</v>
      </c>
      <c r="S184" s="19">
        <v>522.72</v>
      </c>
      <c r="T184" s="19">
        <v>9</v>
      </c>
      <c r="U184" s="19">
        <v>522.72</v>
      </c>
      <c r="V184" s="19">
        <v>0</v>
      </c>
      <c r="W184" s="19">
        <v>0</v>
      </c>
      <c r="X184" s="19">
        <v>0</v>
      </c>
      <c r="Y184" s="19">
        <v>1045.44</v>
      </c>
      <c r="Z184" s="19">
        <v>0</v>
      </c>
      <c r="AA184" s="19" t="s">
        <v>135</v>
      </c>
      <c r="AB184" s="19" t="s">
        <v>1289</v>
      </c>
      <c r="AC184" s="19">
        <v>73063090</v>
      </c>
      <c r="AD184" s="19" t="s">
        <v>1092</v>
      </c>
      <c r="AE184" s="19">
        <v>1</v>
      </c>
      <c r="AF184" s="19">
        <v>0</v>
      </c>
      <c r="AG184" s="19" t="s">
        <v>1093</v>
      </c>
      <c r="AH184" s="19" t="s">
        <v>2319</v>
      </c>
    </row>
    <row r="185" spans="2:34" x14ac:dyDescent="0.35">
      <c r="B185" s="76">
        <v>46211</v>
      </c>
      <c r="C185" s="19" t="s">
        <v>138</v>
      </c>
      <c r="D185" s="19" t="s">
        <v>173</v>
      </c>
      <c r="E185" s="19" t="s">
        <v>376</v>
      </c>
      <c r="F185" s="19" t="s">
        <v>123</v>
      </c>
      <c r="G185" s="19" t="s">
        <v>377</v>
      </c>
      <c r="H185" s="76">
        <v>46210</v>
      </c>
      <c r="I185" s="19" t="s">
        <v>28</v>
      </c>
      <c r="J185" s="19" t="s">
        <v>1173</v>
      </c>
      <c r="K185" s="19" t="s">
        <v>32</v>
      </c>
      <c r="L185" s="19" t="s">
        <v>1688</v>
      </c>
      <c r="M185" s="19" t="s">
        <v>1689</v>
      </c>
      <c r="N185" s="19">
        <v>5000</v>
      </c>
      <c r="O185" s="19">
        <v>666000</v>
      </c>
      <c r="P185" s="19" t="s">
        <v>1689</v>
      </c>
      <c r="Q185" s="19">
        <v>785214</v>
      </c>
      <c r="R185" s="19">
        <v>9</v>
      </c>
      <c r="S185" s="19">
        <v>59940</v>
      </c>
      <c r="T185" s="19">
        <v>9</v>
      </c>
      <c r="U185" s="19">
        <v>59940</v>
      </c>
      <c r="V185" s="19">
        <v>0</v>
      </c>
      <c r="W185" s="19">
        <v>0</v>
      </c>
      <c r="X185" s="19">
        <v>0</v>
      </c>
      <c r="Y185" s="19">
        <v>119880</v>
      </c>
      <c r="Z185" s="19">
        <v>0</v>
      </c>
      <c r="AA185" s="19" t="s">
        <v>135</v>
      </c>
      <c r="AB185" s="19" t="s">
        <v>1289</v>
      </c>
      <c r="AC185" s="19">
        <v>39014010</v>
      </c>
      <c r="AD185" s="19" t="s">
        <v>1092</v>
      </c>
      <c r="AE185" s="19">
        <v>1</v>
      </c>
      <c r="AF185" s="19">
        <v>5000</v>
      </c>
      <c r="AG185" s="19" t="s">
        <v>1093</v>
      </c>
      <c r="AH185" s="19" t="s">
        <v>32</v>
      </c>
    </row>
    <row r="186" spans="2:34" x14ac:dyDescent="0.35">
      <c r="B186" s="76">
        <v>46211</v>
      </c>
      <c r="C186" s="19" t="s">
        <v>138</v>
      </c>
      <c r="D186" s="19" t="s">
        <v>173</v>
      </c>
      <c r="E186" s="19" t="s">
        <v>378</v>
      </c>
      <c r="F186" s="19" t="s">
        <v>123</v>
      </c>
      <c r="G186" s="19" t="s">
        <v>379</v>
      </c>
      <c r="H186" s="76">
        <v>46210</v>
      </c>
      <c r="I186" s="19" t="s">
        <v>36</v>
      </c>
      <c r="J186" s="19" t="s">
        <v>1117</v>
      </c>
      <c r="K186" s="19" t="s">
        <v>44</v>
      </c>
      <c r="L186" s="19" t="s">
        <v>1118</v>
      </c>
      <c r="M186" s="19" t="s">
        <v>1119</v>
      </c>
      <c r="N186" s="19">
        <v>311</v>
      </c>
      <c r="O186" s="19">
        <v>122845</v>
      </c>
      <c r="P186" s="19" t="s">
        <v>1119</v>
      </c>
      <c r="Q186" s="19">
        <v>144834.16</v>
      </c>
      <c r="R186" s="19">
        <v>9</v>
      </c>
      <c r="S186" s="19">
        <v>11056.05</v>
      </c>
      <c r="T186" s="19">
        <v>9</v>
      </c>
      <c r="U186" s="19">
        <v>11056.05</v>
      </c>
      <c r="V186" s="19">
        <v>0</v>
      </c>
      <c r="W186" s="19">
        <v>0</v>
      </c>
      <c r="X186" s="19">
        <v>0</v>
      </c>
      <c r="Y186" s="19">
        <v>22112.1</v>
      </c>
      <c r="Z186" s="19">
        <v>0</v>
      </c>
      <c r="AA186" s="19" t="s">
        <v>135</v>
      </c>
      <c r="AB186" s="19" t="s">
        <v>1289</v>
      </c>
      <c r="AC186" s="19">
        <v>39269080</v>
      </c>
      <c r="AD186" s="19" t="s">
        <v>1092</v>
      </c>
      <c r="AE186" s="19">
        <v>1</v>
      </c>
      <c r="AF186" s="19">
        <f t="shared" ref="AF186:AF188" si="7">N186</f>
        <v>311</v>
      </c>
      <c r="AG186" s="19" t="s">
        <v>1093</v>
      </c>
      <c r="AH186" s="19" t="s">
        <v>44</v>
      </c>
    </row>
    <row r="187" spans="2:34" x14ac:dyDescent="0.35">
      <c r="B187" s="76">
        <v>46211</v>
      </c>
      <c r="C187" s="19" t="s">
        <v>138</v>
      </c>
      <c r="D187" s="19" t="s">
        <v>173</v>
      </c>
      <c r="E187" s="19" t="s">
        <v>380</v>
      </c>
      <c r="F187" s="19" t="s">
        <v>123</v>
      </c>
      <c r="G187" s="19" t="s">
        <v>381</v>
      </c>
      <c r="H187" s="76">
        <v>46210</v>
      </c>
      <c r="I187" s="19" t="s">
        <v>36</v>
      </c>
      <c r="J187" s="19" t="s">
        <v>1350</v>
      </c>
      <c r="K187" s="19" t="s">
        <v>39</v>
      </c>
      <c r="L187" s="19" t="s">
        <v>1351</v>
      </c>
      <c r="M187" s="19" t="s">
        <v>1352</v>
      </c>
      <c r="N187" s="19">
        <v>6</v>
      </c>
      <c r="O187" s="19">
        <v>2235.7800000000002</v>
      </c>
      <c r="P187" s="19" t="s">
        <v>1352</v>
      </c>
      <c r="Q187" s="19">
        <v>256674.32</v>
      </c>
      <c r="R187" s="19">
        <v>9</v>
      </c>
      <c r="S187" s="19">
        <v>201.22</v>
      </c>
      <c r="T187" s="19">
        <v>9</v>
      </c>
      <c r="U187" s="19">
        <v>201.22</v>
      </c>
      <c r="V187" s="19">
        <v>0</v>
      </c>
      <c r="W187" s="19">
        <v>0</v>
      </c>
      <c r="X187" s="19">
        <v>0</v>
      </c>
      <c r="Y187" s="19">
        <v>402.44</v>
      </c>
      <c r="Z187" s="19">
        <v>0</v>
      </c>
      <c r="AA187" s="19" t="s">
        <v>135</v>
      </c>
      <c r="AB187" s="19" t="s">
        <v>1289</v>
      </c>
      <c r="AC187" s="19">
        <v>39200000</v>
      </c>
      <c r="AD187" s="19" t="s">
        <v>1092</v>
      </c>
      <c r="AE187" s="19">
        <v>1</v>
      </c>
      <c r="AF187" s="19">
        <f t="shared" si="7"/>
        <v>6</v>
      </c>
      <c r="AG187" s="19" t="s">
        <v>1093</v>
      </c>
      <c r="AH187" s="19" t="s">
        <v>39</v>
      </c>
    </row>
    <row r="188" spans="2:34" x14ac:dyDescent="0.35">
      <c r="B188" s="76">
        <v>46211</v>
      </c>
      <c r="C188" s="19" t="s">
        <v>138</v>
      </c>
      <c r="D188" s="19" t="s">
        <v>173</v>
      </c>
      <c r="E188" s="19" t="s">
        <v>380</v>
      </c>
      <c r="F188" s="19" t="s">
        <v>123</v>
      </c>
      <c r="G188" s="19" t="s">
        <v>381</v>
      </c>
      <c r="H188" s="76">
        <v>46210</v>
      </c>
      <c r="I188" s="19" t="s">
        <v>36</v>
      </c>
      <c r="J188" s="19" t="s">
        <v>1350</v>
      </c>
      <c r="K188" s="19" t="s">
        <v>39</v>
      </c>
      <c r="L188" s="19" t="s">
        <v>1351</v>
      </c>
      <c r="M188" s="19" t="s">
        <v>1352</v>
      </c>
      <c r="N188" s="19">
        <v>909.23</v>
      </c>
      <c r="O188" s="19">
        <v>215469.3254</v>
      </c>
      <c r="P188" s="19" t="s">
        <v>1352</v>
      </c>
      <c r="Q188" s="19">
        <v>0</v>
      </c>
      <c r="R188" s="19">
        <v>9</v>
      </c>
      <c r="S188" s="19">
        <v>19392.240000000002</v>
      </c>
      <c r="T188" s="19">
        <v>9</v>
      </c>
      <c r="U188" s="19">
        <v>19392.240000000002</v>
      </c>
      <c r="V188" s="19">
        <v>0</v>
      </c>
      <c r="W188" s="19">
        <v>0</v>
      </c>
      <c r="X188" s="19">
        <v>0</v>
      </c>
      <c r="Y188" s="19">
        <v>38784.480000000003</v>
      </c>
      <c r="Z188" s="19">
        <v>0</v>
      </c>
      <c r="AA188" s="19" t="s">
        <v>135</v>
      </c>
      <c r="AB188" s="19" t="s">
        <v>1289</v>
      </c>
      <c r="AC188" s="19">
        <v>39200000</v>
      </c>
      <c r="AD188" s="19" t="s">
        <v>1092</v>
      </c>
      <c r="AE188" s="19">
        <v>1</v>
      </c>
      <c r="AF188" s="19">
        <f t="shared" si="7"/>
        <v>909.23</v>
      </c>
      <c r="AG188" s="19" t="s">
        <v>1093</v>
      </c>
      <c r="AH188" s="19" t="s">
        <v>39</v>
      </c>
    </row>
    <row r="189" spans="2:34" hidden="1" x14ac:dyDescent="0.35">
      <c r="B189" s="76">
        <v>46211</v>
      </c>
      <c r="C189" s="19" t="s">
        <v>130</v>
      </c>
      <c r="D189" s="19" t="s">
        <v>126</v>
      </c>
      <c r="E189" s="19" t="s">
        <v>363</v>
      </c>
      <c r="F189" s="19" t="s">
        <v>118</v>
      </c>
      <c r="G189" s="19">
        <v>1311</v>
      </c>
      <c r="H189" s="76">
        <v>46116</v>
      </c>
      <c r="I189" s="19" t="s">
        <v>102</v>
      </c>
      <c r="J189" s="19" t="s">
        <v>1570</v>
      </c>
      <c r="K189" s="19" t="s">
        <v>1127</v>
      </c>
      <c r="L189" s="19" t="s">
        <v>102</v>
      </c>
      <c r="M189" s="19" t="s">
        <v>1571</v>
      </c>
      <c r="N189" s="19">
        <v>1</v>
      </c>
      <c r="O189" s="19">
        <v>2375.1</v>
      </c>
      <c r="P189" s="19" t="s">
        <v>1571</v>
      </c>
      <c r="Q189" s="19">
        <v>2902</v>
      </c>
      <c r="R189" s="19">
        <v>9</v>
      </c>
      <c r="S189" s="19">
        <v>213.76</v>
      </c>
      <c r="T189" s="19">
        <v>9</v>
      </c>
      <c r="U189" s="19">
        <v>213.76</v>
      </c>
      <c r="V189" s="19">
        <v>0</v>
      </c>
      <c r="W189" s="19">
        <v>0</v>
      </c>
      <c r="X189" s="19">
        <v>0</v>
      </c>
      <c r="Y189" s="19">
        <v>427.52</v>
      </c>
      <c r="Z189" s="19">
        <v>0</v>
      </c>
      <c r="AA189" s="19" t="s">
        <v>131</v>
      </c>
      <c r="AB189" s="19" t="s">
        <v>1572</v>
      </c>
      <c r="AC189" s="19">
        <v>400200</v>
      </c>
      <c r="AD189" s="19" t="s">
        <v>1092</v>
      </c>
      <c r="AE189" s="19">
        <v>1</v>
      </c>
      <c r="AF189" s="19">
        <v>0</v>
      </c>
      <c r="AG189" s="19" t="s">
        <v>1093</v>
      </c>
      <c r="AH189" s="19" t="s">
        <v>2319</v>
      </c>
    </row>
    <row r="190" spans="2:34" hidden="1" x14ac:dyDescent="0.35">
      <c r="B190" s="76">
        <v>46211</v>
      </c>
      <c r="C190" s="19" t="s">
        <v>130</v>
      </c>
      <c r="D190" s="19" t="s">
        <v>126</v>
      </c>
      <c r="E190" s="19" t="s">
        <v>363</v>
      </c>
      <c r="F190" s="19" t="s">
        <v>118</v>
      </c>
      <c r="G190" s="19">
        <v>1311</v>
      </c>
      <c r="H190" s="76">
        <v>46116</v>
      </c>
      <c r="I190" s="19" t="s">
        <v>102</v>
      </c>
      <c r="J190" s="19" t="s">
        <v>1570</v>
      </c>
      <c r="K190" s="19" t="s">
        <v>1127</v>
      </c>
      <c r="L190" s="19" t="s">
        <v>102</v>
      </c>
      <c r="M190" s="19" t="s">
        <v>1571</v>
      </c>
      <c r="N190" s="19">
        <v>1</v>
      </c>
      <c r="O190" s="19">
        <v>84</v>
      </c>
      <c r="P190" s="19" t="s">
        <v>1571</v>
      </c>
      <c r="Q190" s="19">
        <v>0</v>
      </c>
      <c r="R190" s="19">
        <v>9</v>
      </c>
      <c r="S190" s="19">
        <v>7.56</v>
      </c>
      <c r="T190" s="19">
        <v>9</v>
      </c>
      <c r="U190" s="19">
        <v>7.56</v>
      </c>
      <c r="V190" s="19">
        <v>0</v>
      </c>
      <c r="W190" s="19">
        <v>0</v>
      </c>
      <c r="X190" s="19">
        <v>0</v>
      </c>
      <c r="Y190" s="19">
        <v>15.12</v>
      </c>
      <c r="Z190" s="19">
        <v>0</v>
      </c>
      <c r="AA190" s="19" t="s">
        <v>131</v>
      </c>
      <c r="AB190" s="19" t="s">
        <v>1572</v>
      </c>
      <c r="AC190" s="19">
        <v>400200</v>
      </c>
      <c r="AD190" s="19" t="s">
        <v>1092</v>
      </c>
      <c r="AE190" s="19">
        <v>1</v>
      </c>
      <c r="AF190" s="19">
        <v>0</v>
      </c>
      <c r="AG190" s="19" t="s">
        <v>1093</v>
      </c>
      <c r="AH190" s="19" t="s">
        <v>2319</v>
      </c>
    </row>
    <row r="191" spans="2:34" hidden="1" x14ac:dyDescent="0.35">
      <c r="B191" s="76">
        <v>46211</v>
      </c>
      <c r="C191" s="19" t="s">
        <v>368</v>
      </c>
      <c r="D191" s="19" t="s">
        <v>126</v>
      </c>
      <c r="E191" s="19" t="s">
        <v>366</v>
      </c>
      <c r="F191" s="19" t="s">
        <v>118</v>
      </c>
      <c r="G191" s="19" t="s">
        <v>367</v>
      </c>
      <c r="H191" s="76">
        <v>46206</v>
      </c>
      <c r="I191" s="19" t="s">
        <v>105</v>
      </c>
      <c r="J191" s="19" t="s">
        <v>1690</v>
      </c>
      <c r="K191" s="19" t="s">
        <v>1127</v>
      </c>
      <c r="L191" s="19" t="s">
        <v>1389</v>
      </c>
      <c r="M191" s="19" t="s">
        <v>1691</v>
      </c>
      <c r="N191" s="19">
        <v>6</v>
      </c>
      <c r="O191" s="19">
        <v>2499.36</v>
      </c>
      <c r="P191" s="19" t="s">
        <v>1691</v>
      </c>
      <c r="Q191" s="19">
        <v>2949</v>
      </c>
      <c r="R191" s="19">
        <v>9</v>
      </c>
      <c r="S191" s="19">
        <v>224.94</v>
      </c>
      <c r="T191" s="19">
        <v>9</v>
      </c>
      <c r="U191" s="19">
        <v>224.94</v>
      </c>
      <c r="V191" s="19">
        <v>0</v>
      </c>
      <c r="W191" s="19">
        <v>0</v>
      </c>
      <c r="X191" s="19">
        <v>0</v>
      </c>
      <c r="Y191" s="19">
        <v>449.88</v>
      </c>
      <c r="Z191" s="19">
        <v>0</v>
      </c>
      <c r="AA191" s="19" t="s">
        <v>369</v>
      </c>
      <c r="AB191" s="19" t="s">
        <v>1692</v>
      </c>
      <c r="AC191" s="19">
        <v>84123100</v>
      </c>
      <c r="AD191" s="19" t="s">
        <v>1092</v>
      </c>
      <c r="AE191" s="19">
        <v>1</v>
      </c>
      <c r="AF191" s="19">
        <v>0</v>
      </c>
      <c r="AG191" s="19" t="s">
        <v>1093</v>
      </c>
      <c r="AH191" s="19" t="s">
        <v>2319</v>
      </c>
    </row>
    <row r="192" spans="2:34" x14ac:dyDescent="0.35">
      <c r="B192" s="76">
        <v>46212</v>
      </c>
      <c r="C192" s="19" t="s">
        <v>178</v>
      </c>
      <c r="D192" s="19" t="s">
        <v>173</v>
      </c>
      <c r="E192" s="19" t="s">
        <v>408</v>
      </c>
      <c r="F192" s="19" t="s">
        <v>123</v>
      </c>
      <c r="G192" s="19" t="s">
        <v>409</v>
      </c>
      <c r="H192" s="76">
        <v>46212</v>
      </c>
      <c r="I192" s="19" t="s">
        <v>36</v>
      </c>
      <c r="J192" s="19" t="s">
        <v>1117</v>
      </c>
      <c r="K192" s="19" t="s">
        <v>44</v>
      </c>
      <c r="L192" s="19" t="s">
        <v>1118</v>
      </c>
      <c r="M192" s="19" t="s">
        <v>1119</v>
      </c>
      <c r="N192" s="19">
        <v>2752</v>
      </c>
      <c r="O192" s="19">
        <v>430660.48</v>
      </c>
      <c r="P192" s="19" t="s">
        <v>1119</v>
      </c>
      <c r="Q192" s="19">
        <v>1059932.6399999999</v>
      </c>
      <c r="R192" s="19">
        <v>9</v>
      </c>
      <c r="S192" s="19">
        <v>38759.440000000002</v>
      </c>
      <c r="T192" s="19">
        <v>9</v>
      </c>
      <c r="U192" s="19">
        <v>38759.440000000002</v>
      </c>
      <c r="V192" s="19">
        <v>0</v>
      </c>
      <c r="W192" s="19">
        <v>0</v>
      </c>
      <c r="X192" s="19">
        <v>0</v>
      </c>
      <c r="Y192" s="19">
        <v>77518.880000000005</v>
      </c>
      <c r="Z192" s="19">
        <v>0</v>
      </c>
      <c r="AA192" s="19" t="s">
        <v>179</v>
      </c>
      <c r="AB192" s="19" t="s">
        <v>1289</v>
      </c>
      <c r="AC192" s="19">
        <v>39269080</v>
      </c>
      <c r="AD192" s="19" t="s">
        <v>1092</v>
      </c>
      <c r="AE192" s="19">
        <v>1</v>
      </c>
      <c r="AF192" s="19">
        <f t="shared" ref="AF192:AF194" si="8">N192</f>
        <v>2752</v>
      </c>
      <c r="AG192" s="19" t="s">
        <v>1093</v>
      </c>
      <c r="AH192" s="19" t="s">
        <v>44</v>
      </c>
    </row>
    <row r="193" spans="2:34" x14ac:dyDescent="0.35">
      <c r="B193" s="76">
        <v>46212</v>
      </c>
      <c r="C193" s="19" t="s">
        <v>178</v>
      </c>
      <c r="D193" s="19" t="s">
        <v>173</v>
      </c>
      <c r="E193" s="19" t="s">
        <v>408</v>
      </c>
      <c r="F193" s="19" t="s">
        <v>123</v>
      </c>
      <c r="G193" s="19" t="s">
        <v>409</v>
      </c>
      <c r="H193" s="76">
        <v>46212</v>
      </c>
      <c r="I193" s="19" t="s">
        <v>36</v>
      </c>
      <c r="J193" s="19" t="s">
        <v>1117</v>
      </c>
      <c r="K193" s="19" t="s">
        <v>44</v>
      </c>
      <c r="L193" s="19" t="s">
        <v>1118</v>
      </c>
      <c r="M193" s="19" t="s">
        <v>1119</v>
      </c>
      <c r="N193" s="19">
        <v>1048</v>
      </c>
      <c r="O193" s="19">
        <v>226881.52</v>
      </c>
      <c r="P193" s="19" t="s">
        <v>1119</v>
      </c>
      <c r="Q193" s="19">
        <v>0</v>
      </c>
      <c r="R193" s="19">
        <v>9</v>
      </c>
      <c r="S193" s="19">
        <v>20419.34</v>
      </c>
      <c r="T193" s="19">
        <v>9</v>
      </c>
      <c r="U193" s="19">
        <v>20419.34</v>
      </c>
      <c r="V193" s="19">
        <v>0</v>
      </c>
      <c r="W193" s="19">
        <v>0</v>
      </c>
      <c r="X193" s="19">
        <v>0</v>
      </c>
      <c r="Y193" s="19">
        <v>40838.68</v>
      </c>
      <c r="Z193" s="19">
        <v>0</v>
      </c>
      <c r="AA193" s="19" t="s">
        <v>179</v>
      </c>
      <c r="AB193" s="19" t="s">
        <v>1289</v>
      </c>
      <c r="AC193" s="19">
        <v>39269080</v>
      </c>
      <c r="AD193" s="19" t="s">
        <v>1092</v>
      </c>
      <c r="AE193" s="19">
        <v>1</v>
      </c>
      <c r="AF193" s="19">
        <f t="shared" si="8"/>
        <v>1048</v>
      </c>
      <c r="AG193" s="19" t="s">
        <v>1093</v>
      </c>
      <c r="AH193" s="19" t="s">
        <v>44</v>
      </c>
    </row>
    <row r="194" spans="2:34" x14ac:dyDescent="0.35">
      <c r="B194" s="76">
        <v>46212</v>
      </c>
      <c r="C194" s="19" t="s">
        <v>178</v>
      </c>
      <c r="D194" s="19" t="s">
        <v>173</v>
      </c>
      <c r="E194" s="19" t="s">
        <v>408</v>
      </c>
      <c r="F194" s="19" t="s">
        <v>123</v>
      </c>
      <c r="G194" s="19" t="s">
        <v>409</v>
      </c>
      <c r="H194" s="76">
        <v>46212</v>
      </c>
      <c r="I194" s="19" t="s">
        <v>36</v>
      </c>
      <c r="J194" s="19" t="s">
        <v>1117</v>
      </c>
      <c r="K194" s="19" t="s">
        <v>44</v>
      </c>
      <c r="L194" s="19" t="s">
        <v>1118</v>
      </c>
      <c r="M194" s="19" t="s">
        <v>1119</v>
      </c>
      <c r="N194" s="19">
        <v>1563</v>
      </c>
      <c r="O194" s="19">
        <v>241467.87</v>
      </c>
      <c r="P194" s="19" t="s">
        <v>1119</v>
      </c>
      <c r="Q194" s="19">
        <v>0</v>
      </c>
      <c r="R194" s="19">
        <v>9</v>
      </c>
      <c r="S194" s="19">
        <v>21732.11</v>
      </c>
      <c r="T194" s="19">
        <v>9</v>
      </c>
      <c r="U194" s="19">
        <v>21732.11</v>
      </c>
      <c r="V194" s="19">
        <v>0</v>
      </c>
      <c r="W194" s="19">
        <v>0</v>
      </c>
      <c r="X194" s="19">
        <v>0</v>
      </c>
      <c r="Y194" s="19">
        <v>43464.22</v>
      </c>
      <c r="Z194" s="19">
        <v>0</v>
      </c>
      <c r="AA194" s="19" t="s">
        <v>179</v>
      </c>
      <c r="AB194" s="19" t="s">
        <v>1289</v>
      </c>
      <c r="AC194" s="19">
        <v>39269080</v>
      </c>
      <c r="AD194" s="19" t="s">
        <v>1092</v>
      </c>
      <c r="AE194" s="19">
        <v>1</v>
      </c>
      <c r="AF194" s="19">
        <f t="shared" si="8"/>
        <v>1563</v>
      </c>
      <c r="AG194" s="19" t="s">
        <v>1093</v>
      </c>
      <c r="AH194" s="19" t="s">
        <v>44</v>
      </c>
    </row>
    <row r="195" spans="2:34" x14ac:dyDescent="0.35">
      <c r="B195" s="76">
        <v>46212</v>
      </c>
      <c r="C195" s="19" t="s">
        <v>412</v>
      </c>
      <c r="D195" s="19" t="s">
        <v>173</v>
      </c>
      <c r="E195" s="19" t="s">
        <v>410</v>
      </c>
      <c r="F195" s="19" t="s">
        <v>123</v>
      </c>
      <c r="G195" s="19" t="s">
        <v>411</v>
      </c>
      <c r="H195" s="76">
        <v>46210</v>
      </c>
      <c r="I195" s="19" t="s">
        <v>28</v>
      </c>
      <c r="J195" s="19" t="s">
        <v>1173</v>
      </c>
      <c r="K195" s="19" t="s">
        <v>34</v>
      </c>
      <c r="L195" s="19" t="s">
        <v>1105</v>
      </c>
      <c r="M195" s="19" t="s">
        <v>1646</v>
      </c>
      <c r="N195" s="19">
        <v>10000</v>
      </c>
      <c r="O195" s="19">
        <v>1357500</v>
      </c>
      <c r="P195" s="19" t="s">
        <v>1646</v>
      </c>
      <c r="Q195" s="19">
        <v>1600492.5</v>
      </c>
      <c r="R195" s="19">
        <v>9</v>
      </c>
      <c r="S195" s="19">
        <v>122175</v>
      </c>
      <c r="T195" s="19">
        <v>9</v>
      </c>
      <c r="U195" s="19">
        <v>122175</v>
      </c>
      <c r="V195" s="19">
        <v>0</v>
      </c>
      <c r="W195" s="19">
        <v>0</v>
      </c>
      <c r="X195" s="19">
        <v>0</v>
      </c>
      <c r="Y195" s="19">
        <v>244350</v>
      </c>
      <c r="Z195" s="19">
        <v>0</v>
      </c>
      <c r="AA195" s="19" t="s">
        <v>413</v>
      </c>
      <c r="AB195" s="19" t="s">
        <v>1289</v>
      </c>
      <c r="AC195" s="19">
        <v>39021000</v>
      </c>
      <c r="AD195" s="19" t="s">
        <v>1092</v>
      </c>
      <c r="AE195" s="19">
        <v>1</v>
      </c>
      <c r="AF195" s="19">
        <v>10000</v>
      </c>
      <c r="AG195" s="19" t="s">
        <v>1093</v>
      </c>
      <c r="AH195" s="19" t="s">
        <v>34</v>
      </c>
    </row>
    <row r="196" spans="2:34" hidden="1" x14ac:dyDescent="0.35">
      <c r="B196" s="76">
        <v>46212</v>
      </c>
      <c r="C196" s="19" t="s">
        <v>141</v>
      </c>
      <c r="D196" s="19" t="s">
        <v>7</v>
      </c>
      <c r="E196" s="19" t="s">
        <v>400</v>
      </c>
      <c r="F196" s="19" t="s">
        <v>119</v>
      </c>
      <c r="G196" s="19" t="s">
        <v>401</v>
      </c>
      <c r="H196" s="76">
        <v>46189</v>
      </c>
      <c r="I196" s="19" t="s">
        <v>101</v>
      </c>
      <c r="J196" s="19" t="s">
        <v>1559</v>
      </c>
      <c r="K196" s="19" t="s">
        <v>1509</v>
      </c>
      <c r="L196" s="19" t="s">
        <v>1509</v>
      </c>
      <c r="M196" s="19" t="s">
        <v>1560</v>
      </c>
      <c r="N196" s="19">
        <v>16.5</v>
      </c>
      <c r="O196" s="19">
        <v>594</v>
      </c>
      <c r="P196" s="19" t="s">
        <v>1560</v>
      </c>
      <c r="Q196" s="19">
        <v>7455</v>
      </c>
      <c r="R196" s="19">
        <v>9</v>
      </c>
      <c r="S196" s="19">
        <v>53.46</v>
      </c>
      <c r="T196" s="19">
        <v>9</v>
      </c>
      <c r="U196" s="19">
        <v>53.46</v>
      </c>
      <c r="V196" s="19">
        <v>0</v>
      </c>
      <c r="W196" s="19">
        <v>0</v>
      </c>
      <c r="X196" s="19">
        <v>0</v>
      </c>
      <c r="Y196" s="19">
        <v>106.92</v>
      </c>
      <c r="Z196" s="19">
        <v>0</v>
      </c>
      <c r="AA196" s="19" t="s">
        <v>142</v>
      </c>
      <c r="AB196" s="19" t="s">
        <v>1289</v>
      </c>
      <c r="AC196" s="19">
        <v>482290</v>
      </c>
      <c r="AD196" s="19" t="s">
        <v>1092</v>
      </c>
      <c r="AE196" s="19">
        <v>1</v>
      </c>
      <c r="AF196" s="19">
        <v>0</v>
      </c>
      <c r="AG196" s="19" t="s">
        <v>1093</v>
      </c>
      <c r="AH196" s="19" t="s">
        <v>2319</v>
      </c>
    </row>
    <row r="197" spans="2:34" hidden="1" x14ac:dyDescent="0.35">
      <c r="B197" s="76">
        <v>46212</v>
      </c>
      <c r="C197" s="19" t="s">
        <v>141</v>
      </c>
      <c r="D197" s="19" t="s">
        <v>7</v>
      </c>
      <c r="E197" s="19" t="s">
        <v>400</v>
      </c>
      <c r="F197" s="19" t="s">
        <v>119</v>
      </c>
      <c r="G197" s="19" t="s">
        <v>401</v>
      </c>
      <c r="H197" s="76">
        <v>46189</v>
      </c>
      <c r="I197" s="19" t="s">
        <v>101</v>
      </c>
      <c r="J197" s="19" t="s">
        <v>1559</v>
      </c>
      <c r="K197" s="19" t="s">
        <v>1509</v>
      </c>
      <c r="L197" s="19" t="s">
        <v>1509</v>
      </c>
      <c r="M197" s="19" t="s">
        <v>1560</v>
      </c>
      <c r="N197" s="19">
        <v>12</v>
      </c>
      <c r="O197" s="19">
        <v>432</v>
      </c>
      <c r="P197" s="19" t="s">
        <v>1560</v>
      </c>
      <c r="Q197" s="19">
        <v>0</v>
      </c>
      <c r="R197" s="19">
        <v>9</v>
      </c>
      <c r="S197" s="19">
        <v>38.880000000000003</v>
      </c>
      <c r="T197" s="19">
        <v>9</v>
      </c>
      <c r="U197" s="19">
        <v>38.880000000000003</v>
      </c>
      <c r="V197" s="19">
        <v>0</v>
      </c>
      <c r="W197" s="19">
        <v>0</v>
      </c>
      <c r="X197" s="19">
        <v>0</v>
      </c>
      <c r="Y197" s="19">
        <v>77.760000000000005</v>
      </c>
      <c r="Z197" s="19">
        <v>0</v>
      </c>
      <c r="AA197" s="19" t="s">
        <v>142</v>
      </c>
      <c r="AB197" s="19" t="s">
        <v>1289</v>
      </c>
      <c r="AC197" s="19">
        <v>482290</v>
      </c>
      <c r="AD197" s="19" t="s">
        <v>1092</v>
      </c>
      <c r="AE197" s="19">
        <v>1</v>
      </c>
      <c r="AF197" s="19">
        <v>0</v>
      </c>
      <c r="AG197" s="19" t="s">
        <v>1093</v>
      </c>
      <c r="AH197" s="19" t="s">
        <v>2319</v>
      </c>
    </row>
    <row r="198" spans="2:34" hidden="1" x14ac:dyDescent="0.35">
      <c r="B198" s="76">
        <v>46212</v>
      </c>
      <c r="C198" s="19" t="s">
        <v>141</v>
      </c>
      <c r="D198" s="19" t="s">
        <v>7</v>
      </c>
      <c r="E198" s="19" t="s">
        <v>400</v>
      </c>
      <c r="F198" s="19" t="s">
        <v>119</v>
      </c>
      <c r="G198" s="19" t="s">
        <v>401</v>
      </c>
      <c r="H198" s="76">
        <v>46189</v>
      </c>
      <c r="I198" s="19" t="s">
        <v>101</v>
      </c>
      <c r="J198" s="19" t="s">
        <v>1559</v>
      </c>
      <c r="K198" s="19" t="s">
        <v>1509</v>
      </c>
      <c r="L198" s="19" t="s">
        <v>1509</v>
      </c>
      <c r="M198" s="19" t="s">
        <v>1560</v>
      </c>
      <c r="N198" s="19">
        <v>75</v>
      </c>
      <c r="O198" s="19">
        <v>2700</v>
      </c>
      <c r="P198" s="19" t="s">
        <v>1560</v>
      </c>
      <c r="Q198" s="19">
        <v>0</v>
      </c>
      <c r="R198" s="19">
        <v>9</v>
      </c>
      <c r="S198" s="19">
        <v>243</v>
      </c>
      <c r="T198" s="19">
        <v>9</v>
      </c>
      <c r="U198" s="19">
        <v>243</v>
      </c>
      <c r="V198" s="19">
        <v>0</v>
      </c>
      <c r="W198" s="19">
        <v>0</v>
      </c>
      <c r="X198" s="19">
        <v>0</v>
      </c>
      <c r="Y198" s="19">
        <v>486</v>
      </c>
      <c r="Z198" s="19">
        <v>0</v>
      </c>
      <c r="AA198" s="19" t="s">
        <v>142</v>
      </c>
      <c r="AB198" s="19" t="s">
        <v>1289</v>
      </c>
      <c r="AC198" s="19">
        <v>482290</v>
      </c>
      <c r="AD198" s="19" t="s">
        <v>1092</v>
      </c>
      <c r="AE198" s="19">
        <v>1</v>
      </c>
      <c r="AF198" s="19">
        <v>0</v>
      </c>
      <c r="AG198" s="19" t="s">
        <v>1093</v>
      </c>
      <c r="AH198" s="19" t="s">
        <v>2319</v>
      </c>
    </row>
    <row r="199" spans="2:34" hidden="1" x14ac:dyDescent="0.35">
      <c r="B199" s="76">
        <v>46212</v>
      </c>
      <c r="C199" s="19" t="s">
        <v>141</v>
      </c>
      <c r="D199" s="19" t="s">
        <v>7</v>
      </c>
      <c r="E199" s="19" t="s">
        <v>400</v>
      </c>
      <c r="F199" s="19" t="s">
        <v>119</v>
      </c>
      <c r="G199" s="19" t="s">
        <v>401</v>
      </c>
      <c r="H199" s="76">
        <v>46189</v>
      </c>
      <c r="I199" s="19" t="s">
        <v>101</v>
      </c>
      <c r="J199" s="19" t="s">
        <v>1559</v>
      </c>
      <c r="K199" s="19" t="s">
        <v>1509</v>
      </c>
      <c r="L199" s="19" t="s">
        <v>1509</v>
      </c>
      <c r="M199" s="19" t="s">
        <v>1560</v>
      </c>
      <c r="N199" s="19">
        <v>72</v>
      </c>
      <c r="O199" s="19">
        <v>2592</v>
      </c>
      <c r="P199" s="19" t="s">
        <v>1560</v>
      </c>
      <c r="Q199" s="19">
        <v>0</v>
      </c>
      <c r="R199" s="19">
        <v>9</v>
      </c>
      <c r="S199" s="19">
        <v>233.28</v>
      </c>
      <c r="T199" s="19">
        <v>9</v>
      </c>
      <c r="U199" s="19">
        <v>233.28</v>
      </c>
      <c r="V199" s="19">
        <v>0</v>
      </c>
      <c r="W199" s="19">
        <v>0</v>
      </c>
      <c r="X199" s="19">
        <v>0</v>
      </c>
      <c r="Y199" s="19">
        <v>466.56</v>
      </c>
      <c r="Z199" s="19">
        <v>0</v>
      </c>
      <c r="AA199" s="19" t="s">
        <v>142</v>
      </c>
      <c r="AB199" s="19" t="s">
        <v>1289</v>
      </c>
      <c r="AC199" s="19">
        <v>482290</v>
      </c>
      <c r="AD199" s="19" t="s">
        <v>1092</v>
      </c>
      <c r="AE199" s="19">
        <v>1</v>
      </c>
      <c r="AF199" s="19">
        <v>0</v>
      </c>
      <c r="AG199" s="19" t="s">
        <v>1093</v>
      </c>
      <c r="AH199" s="19" t="s">
        <v>2319</v>
      </c>
    </row>
    <row r="200" spans="2:34" hidden="1" x14ac:dyDescent="0.35">
      <c r="B200" s="76">
        <v>46212</v>
      </c>
      <c r="C200" s="19" t="s">
        <v>355</v>
      </c>
      <c r="D200" s="19" t="s">
        <v>126</v>
      </c>
      <c r="E200" s="19" t="s">
        <v>398</v>
      </c>
      <c r="F200" s="19" t="s">
        <v>118</v>
      </c>
      <c r="G200" s="19" t="s">
        <v>399</v>
      </c>
      <c r="H200" s="76">
        <v>46211</v>
      </c>
      <c r="I200" s="19" t="s">
        <v>57</v>
      </c>
      <c r="J200" s="19" t="s">
        <v>58</v>
      </c>
      <c r="K200" s="19" t="s">
        <v>59</v>
      </c>
      <c r="L200" s="19" t="s">
        <v>1218</v>
      </c>
      <c r="M200" s="19" t="s">
        <v>1693</v>
      </c>
      <c r="N200" s="19">
        <v>1</v>
      </c>
      <c r="O200" s="19">
        <v>260</v>
      </c>
      <c r="P200" s="19" t="s">
        <v>1693</v>
      </c>
      <c r="Q200" s="19">
        <v>1204</v>
      </c>
      <c r="R200" s="19">
        <v>9</v>
      </c>
      <c r="S200" s="19">
        <v>23.4</v>
      </c>
      <c r="T200" s="19">
        <v>9</v>
      </c>
      <c r="U200" s="19">
        <v>23.4</v>
      </c>
      <c r="V200" s="19">
        <v>0</v>
      </c>
      <c r="W200" s="19">
        <v>0</v>
      </c>
      <c r="X200" s="19">
        <v>0</v>
      </c>
      <c r="Y200" s="19">
        <v>46.8</v>
      </c>
      <c r="Z200" s="19">
        <v>0</v>
      </c>
      <c r="AA200" s="19" t="s">
        <v>356</v>
      </c>
      <c r="AB200" s="19" t="s">
        <v>1694</v>
      </c>
      <c r="AC200" s="19">
        <v>381400</v>
      </c>
      <c r="AD200" s="19" t="s">
        <v>1092</v>
      </c>
      <c r="AE200" s="19">
        <v>1</v>
      </c>
      <c r="AF200" s="19">
        <v>1</v>
      </c>
      <c r="AG200" s="19" t="s">
        <v>1093</v>
      </c>
      <c r="AH200" s="19" t="s">
        <v>2319</v>
      </c>
    </row>
    <row r="201" spans="2:34" hidden="1" x14ac:dyDescent="0.35">
      <c r="B201" s="76">
        <v>46212</v>
      </c>
      <c r="C201" s="19" t="s">
        <v>355</v>
      </c>
      <c r="D201" s="19" t="s">
        <v>126</v>
      </c>
      <c r="E201" s="19" t="s">
        <v>398</v>
      </c>
      <c r="F201" s="19" t="s">
        <v>118</v>
      </c>
      <c r="G201" s="19" t="s">
        <v>399</v>
      </c>
      <c r="H201" s="76">
        <v>46211</v>
      </c>
      <c r="I201" s="19" t="s">
        <v>105</v>
      </c>
      <c r="J201" s="19" t="s">
        <v>1695</v>
      </c>
      <c r="K201" s="19" t="s">
        <v>1127</v>
      </c>
      <c r="L201" s="19" t="s">
        <v>102</v>
      </c>
      <c r="M201" s="19" t="s">
        <v>1696</v>
      </c>
      <c r="N201" s="19">
        <v>2</v>
      </c>
      <c r="O201" s="19">
        <v>760</v>
      </c>
      <c r="P201" s="19" t="s">
        <v>1696</v>
      </c>
      <c r="Q201" s="19">
        <v>0</v>
      </c>
      <c r="R201" s="19">
        <v>9</v>
      </c>
      <c r="S201" s="19">
        <v>68.400000000000006</v>
      </c>
      <c r="T201" s="19">
        <v>9</v>
      </c>
      <c r="U201" s="19">
        <v>68.400000000000006</v>
      </c>
      <c r="V201" s="19">
        <v>0</v>
      </c>
      <c r="W201" s="19">
        <v>0</v>
      </c>
      <c r="X201" s="19">
        <v>0</v>
      </c>
      <c r="Y201" s="19">
        <v>136.80000000000001</v>
      </c>
      <c r="Z201" s="19">
        <v>0</v>
      </c>
      <c r="AA201" s="19" t="s">
        <v>356</v>
      </c>
      <c r="AB201" s="19" t="s">
        <v>1555</v>
      </c>
      <c r="AC201" s="19">
        <v>391740</v>
      </c>
      <c r="AD201" s="19" t="s">
        <v>1092</v>
      </c>
      <c r="AE201" s="19">
        <v>1</v>
      </c>
      <c r="AF201" s="19">
        <v>2</v>
      </c>
      <c r="AG201" s="19" t="s">
        <v>1093</v>
      </c>
      <c r="AH201" s="19" t="s">
        <v>2319</v>
      </c>
    </row>
    <row r="202" spans="2:34" hidden="1" x14ac:dyDescent="0.35">
      <c r="B202" s="76">
        <v>46212</v>
      </c>
      <c r="C202" s="19" t="s">
        <v>153</v>
      </c>
      <c r="D202" s="19" t="s">
        <v>126</v>
      </c>
      <c r="E202" s="19" t="s">
        <v>396</v>
      </c>
      <c r="F202" s="19" t="s">
        <v>118</v>
      </c>
      <c r="G202" s="19" t="s">
        <v>397</v>
      </c>
      <c r="H202" s="76">
        <v>46212</v>
      </c>
      <c r="I202" s="19" t="s">
        <v>105</v>
      </c>
      <c r="J202" s="19" t="s">
        <v>1697</v>
      </c>
      <c r="K202" s="19" t="s">
        <v>1127</v>
      </c>
      <c r="L202" s="19" t="s">
        <v>102</v>
      </c>
      <c r="M202" s="19" t="s">
        <v>1698</v>
      </c>
      <c r="N202" s="19">
        <v>1000</v>
      </c>
      <c r="O202" s="19">
        <v>9500</v>
      </c>
      <c r="P202" s="19" t="s">
        <v>1698</v>
      </c>
      <c r="Q202" s="19">
        <v>11210</v>
      </c>
      <c r="R202" s="19">
        <v>9</v>
      </c>
      <c r="S202" s="19">
        <v>855</v>
      </c>
      <c r="T202" s="19">
        <v>9</v>
      </c>
      <c r="U202" s="19">
        <v>855</v>
      </c>
      <c r="V202" s="19">
        <v>0</v>
      </c>
      <c r="W202" s="19">
        <v>0</v>
      </c>
      <c r="X202" s="19">
        <v>0</v>
      </c>
      <c r="Y202" s="19">
        <v>1710</v>
      </c>
      <c r="Z202" s="19">
        <v>0</v>
      </c>
      <c r="AA202" s="19" t="s">
        <v>154</v>
      </c>
      <c r="AB202" s="19" t="s">
        <v>1699</v>
      </c>
      <c r="AC202" s="19">
        <v>40169970</v>
      </c>
      <c r="AD202" s="19" t="s">
        <v>1092</v>
      </c>
      <c r="AE202" s="19">
        <v>1</v>
      </c>
      <c r="AF202" s="19">
        <v>0</v>
      </c>
      <c r="AG202" s="19" t="s">
        <v>1093</v>
      </c>
      <c r="AH202" s="19" t="s">
        <v>2319</v>
      </c>
    </row>
    <row r="203" spans="2:34" hidden="1" x14ac:dyDescent="0.35">
      <c r="B203" s="76">
        <v>46212</v>
      </c>
      <c r="C203" s="19" t="s">
        <v>153</v>
      </c>
      <c r="D203" s="19" t="s">
        <v>7</v>
      </c>
      <c r="E203" s="19" t="s">
        <v>406</v>
      </c>
      <c r="F203" s="19" t="s">
        <v>119</v>
      </c>
      <c r="G203" s="19" t="s">
        <v>407</v>
      </c>
      <c r="H203" s="76">
        <v>46211</v>
      </c>
      <c r="I203" s="19" t="s">
        <v>105</v>
      </c>
      <c r="J203" s="19" t="s">
        <v>1568</v>
      </c>
      <c r="K203" s="19" t="s">
        <v>1509</v>
      </c>
      <c r="L203" s="19" t="s">
        <v>1509</v>
      </c>
      <c r="M203" s="19" t="s">
        <v>1700</v>
      </c>
      <c r="N203" s="19">
        <v>20</v>
      </c>
      <c r="O203" s="19">
        <v>280</v>
      </c>
      <c r="P203" s="19" t="s">
        <v>1700</v>
      </c>
      <c r="Q203" s="19">
        <v>330</v>
      </c>
      <c r="R203" s="19">
        <v>9</v>
      </c>
      <c r="S203" s="19">
        <v>25.2</v>
      </c>
      <c r="T203" s="19">
        <v>9</v>
      </c>
      <c r="U203" s="19">
        <v>25.2</v>
      </c>
      <c r="V203" s="19">
        <v>0</v>
      </c>
      <c r="W203" s="19">
        <v>0</v>
      </c>
      <c r="X203" s="19">
        <v>0</v>
      </c>
      <c r="Y203" s="19">
        <v>50.4</v>
      </c>
      <c r="Z203" s="19">
        <v>0</v>
      </c>
      <c r="AA203" s="19" t="s">
        <v>154</v>
      </c>
      <c r="AB203" s="19" t="s">
        <v>1572</v>
      </c>
      <c r="AC203" s="19">
        <v>820770</v>
      </c>
      <c r="AD203" s="19" t="s">
        <v>1092</v>
      </c>
      <c r="AE203" s="19">
        <v>1</v>
      </c>
      <c r="AF203" s="19">
        <v>0</v>
      </c>
      <c r="AG203" s="19" t="s">
        <v>1093</v>
      </c>
      <c r="AH203" s="19" t="s">
        <v>2319</v>
      </c>
    </row>
    <row r="204" spans="2:34" hidden="1" x14ac:dyDescent="0.35">
      <c r="B204" s="76">
        <v>46212</v>
      </c>
      <c r="C204" s="19" t="s">
        <v>145</v>
      </c>
      <c r="D204" s="19" t="s">
        <v>7</v>
      </c>
      <c r="E204" s="19" t="s">
        <v>402</v>
      </c>
      <c r="F204" s="19" t="s">
        <v>119</v>
      </c>
      <c r="G204" s="19" t="s">
        <v>403</v>
      </c>
      <c r="H204" s="76">
        <v>46209</v>
      </c>
      <c r="I204" s="19" t="s">
        <v>101</v>
      </c>
      <c r="J204" s="19" t="s">
        <v>1575</v>
      </c>
      <c r="K204" s="19" t="s">
        <v>1575</v>
      </c>
      <c r="L204" s="19" t="s">
        <v>1509</v>
      </c>
      <c r="M204" s="19" t="s">
        <v>1576</v>
      </c>
      <c r="N204" s="19">
        <v>50</v>
      </c>
      <c r="O204" s="19">
        <v>36250</v>
      </c>
      <c r="P204" s="19" t="s">
        <v>1576</v>
      </c>
      <c r="Q204" s="19">
        <v>38063</v>
      </c>
      <c r="R204" s="19">
        <v>2.5</v>
      </c>
      <c r="S204" s="19">
        <v>906.25</v>
      </c>
      <c r="T204" s="19">
        <v>2.5</v>
      </c>
      <c r="U204" s="19">
        <v>906.25</v>
      </c>
      <c r="V204" s="19">
        <v>0</v>
      </c>
      <c r="W204" s="19">
        <v>0</v>
      </c>
      <c r="X204" s="19">
        <v>0</v>
      </c>
      <c r="Y204" s="19">
        <v>1812.5</v>
      </c>
      <c r="Z204" s="19">
        <v>0</v>
      </c>
      <c r="AA204" s="19" t="s">
        <v>146</v>
      </c>
      <c r="AB204" s="19" t="s">
        <v>1555</v>
      </c>
      <c r="AC204" s="19">
        <v>44152000</v>
      </c>
      <c r="AD204" s="19" t="s">
        <v>1092</v>
      </c>
      <c r="AE204" s="19">
        <v>1</v>
      </c>
      <c r="AF204" s="19">
        <v>0</v>
      </c>
      <c r="AG204" s="19" t="s">
        <v>1093</v>
      </c>
      <c r="AH204" s="19" t="s">
        <v>2319</v>
      </c>
    </row>
    <row r="205" spans="2:34" hidden="1" x14ac:dyDescent="0.35">
      <c r="B205" s="76">
        <v>46212</v>
      </c>
      <c r="C205" s="19" t="s">
        <v>145</v>
      </c>
      <c r="D205" s="19" t="s">
        <v>7</v>
      </c>
      <c r="E205" s="19" t="s">
        <v>404</v>
      </c>
      <c r="F205" s="19" t="s">
        <v>119</v>
      </c>
      <c r="G205" s="19" t="s">
        <v>405</v>
      </c>
      <c r="H205" s="76">
        <v>46212</v>
      </c>
      <c r="I205" s="19" t="s">
        <v>101</v>
      </c>
      <c r="J205" s="19" t="s">
        <v>1575</v>
      </c>
      <c r="K205" s="19" t="s">
        <v>1575</v>
      </c>
      <c r="L205" s="19" t="s">
        <v>1509</v>
      </c>
      <c r="M205" s="19" t="s">
        <v>1576</v>
      </c>
      <c r="N205" s="19">
        <v>50</v>
      </c>
      <c r="O205" s="19">
        <v>36250</v>
      </c>
      <c r="P205" s="19" t="s">
        <v>1576</v>
      </c>
      <c r="Q205" s="19">
        <v>38062.5</v>
      </c>
      <c r="R205" s="19">
        <v>2.5</v>
      </c>
      <c r="S205" s="19">
        <v>906.25</v>
      </c>
      <c r="T205" s="19">
        <v>2.5</v>
      </c>
      <c r="U205" s="19">
        <v>906.25</v>
      </c>
      <c r="V205" s="19">
        <v>0</v>
      </c>
      <c r="W205" s="19">
        <v>0</v>
      </c>
      <c r="X205" s="19">
        <v>0</v>
      </c>
      <c r="Y205" s="19">
        <v>1812.5</v>
      </c>
      <c r="Z205" s="19">
        <v>0</v>
      </c>
      <c r="AA205" s="19" t="s">
        <v>146</v>
      </c>
      <c r="AB205" s="19" t="s">
        <v>1555</v>
      </c>
      <c r="AC205" s="19">
        <v>44152000</v>
      </c>
      <c r="AD205" s="19" t="s">
        <v>1092</v>
      </c>
      <c r="AE205" s="19">
        <v>1</v>
      </c>
      <c r="AF205" s="19">
        <v>0</v>
      </c>
      <c r="AG205" s="19" t="s">
        <v>1093</v>
      </c>
      <c r="AH205" s="19" t="s">
        <v>2319</v>
      </c>
    </row>
    <row r="206" spans="2:34" hidden="1" x14ac:dyDescent="0.35">
      <c r="B206" s="76">
        <v>46212</v>
      </c>
      <c r="C206" s="19" t="s">
        <v>394</v>
      </c>
      <c r="D206" s="19" t="s">
        <v>126</v>
      </c>
      <c r="E206" s="19" t="s">
        <v>393</v>
      </c>
      <c r="F206" s="19" t="s">
        <v>118</v>
      </c>
      <c r="G206" s="19">
        <v>729</v>
      </c>
      <c r="H206" s="76">
        <v>46211</v>
      </c>
      <c r="I206" s="19" t="s">
        <v>102</v>
      </c>
      <c r="J206" s="19" t="s">
        <v>1126</v>
      </c>
      <c r="K206" s="19" t="s">
        <v>1127</v>
      </c>
      <c r="L206" s="19" t="s">
        <v>102</v>
      </c>
      <c r="M206" s="19" t="s">
        <v>1128</v>
      </c>
      <c r="N206" s="19">
        <v>2100</v>
      </c>
      <c r="O206" s="19">
        <v>239400</v>
      </c>
      <c r="P206" s="19" t="s">
        <v>1128</v>
      </c>
      <c r="Q206" s="19">
        <v>282492</v>
      </c>
      <c r="R206" s="19">
        <v>9</v>
      </c>
      <c r="S206" s="19">
        <v>21546</v>
      </c>
      <c r="T206" s="19">
        <v>9</v>
      </c>
      <c r="U206" s="19">
        <v>21546</v>
      </c>
      <c r="V206" s="19">
        <v>0</v>
      </c>
      <c r="W206" s="19">
        <v>0</v>
      </c>
      <c r="X206" s="19">
        <v>0</v>
      </c>
      <c r="Y206" s="19">
        <v>43092</v>
      </c>
      <c r="Z206" s="19">
        <v>0</v>
      </c>
      <c r="AA206" s="19" t="s">
        <v>395</v>
      </c>
      <c r="AB206" s="19" t="s">
        <v>1694</v>
      </c>
      <c r="AC206" s="19">
        <v>27101990</v>
      </c>
      <c r="AD206" s="19" t="s">
        <v>1092</v>
      </c>
      <c r="AE206" s="19">
        <v>1</v>
      </c>
      <c r="AF206" s="19">
        <v>0</v>
      </c>
      <c r="AG206" s="19" t="s">
        <v>1093</v>
      </c>
      <c r="AH206" s="19" t="s">
        <v>2319</v>
      </c>
    </row>
    <row r="207" spans="2:34" x14ac:dyDescent="0.35">
      <c r="B207" s="76">
        <v>46213</v>
      </c>
      <c r="C207" s="19" t="s">
        <v>292</v>
      </c>
      <c r="D207" s="19" t="s">
        <v>173</v>
      </c>
      <c r="E207" s="19" t="s">
        <v>447</v>
      </c>
      <c r="F207" s="19" t="s">
        <v>120</v>
      </c>
      <c r="G207" s="19" t="s">
        <v>448</v>
      </c>
      <c r="H207" s="76">
        <v>46210</v>
      </c>
      <c r="I207" s="19" t="s">
        <v>28</v>
      </c>
      <c r="J207" s="19" t="s">
        <v>1173</v>
      </c>
      <c r="K207" s="19" t="s">
        <v>33</v>
      </c>
      <c r="L207" s="19" t="s">
        <v>1186</v>
      </c>
      <c r="M207" s="19" t="s">
        <v>1441</v>
      </c>
      <c r="N207" s="19">
        <v>100</v>
      </c>
      <c r="O207" s="19">
        <v>38500</v>
      </c>
      <c r="P207" s="19" t="s">
        <v>1441</v>
      </c>
      <c r="Q207" s="19">
        <v>45430</v>
      </c>
      <c r="R207" s="19">
        <v>0</v>
      </c>
      <c r="S207" s="19">
        <v>0</v>
      </c>
      <c r="T207" s="19">
        <v>0</v>
      </c>
      <c r="U207" s="19">
        <v>0</v>
      </c>
      <c r="V207" s="19">
        <v>18</v>
      </c>
      <c r="W207" s="19">
        <v>6930</v>
      </c>
      <c r="X207" s="19">
        <v>0</v>
      </c>
      <c r="Y207" s="19">
        <v>6930</v>
      </c>
      <c r="Z207" s="19">
        <v>0</v>
      </c>
      <c r="AA207" s="19" t="s">
        <v>293</v>
      </c>
      <c r="AB207" s="19" t="s">
        <v>1289</v>
      </c>
      <c r="AC207" s="19">
        <v>32064990</v>
      </c>
      <c r="AD207" s="19" t="s">
        <v>1092</v>
      </c>
      <c r="AE207" s="19">
        <v>1</v>
      </c>
      <c r="AF207" s="19">
        <v>100</v>
      </c>
      <c r="AG207" s="19" t="s">
        <v>1093</v>
      </c>
      <c r="AH207" s="19" t="s">
        <v>33</v>
      </c>
    </row>
    <row r="208" spans="2:34" hidden="1" x14ac:dyDescent="0.35">
      <c r="B208" s="76">
        <v>46213</v>
      </c>
      <c r="C208" s="19" t="s">
        <v>435</v>
      </c>
      <c r="D208" s="19" t="s">
        <v>126</v>
      </c>
      <c r="E208" s="19" t="s">
        <v>433</v>
      </c>
      <c r="F208" s="19" t="s">
        <v>118</v>
      </c>
      <c r="G208" s="19" t="s">
        <v>434</v>
      </c>
      <c r="H208" s="76">
        <v>46212</v>
      </c>
      <c r="I208" s="19" t="s">
        <v>105</v>
      </c>
      <c r="J208" s="19" t="s">
        <v>1586</v>
      </c>
      <c r="K208" s="19" t="s">
        <v>1127</v>
      </c>
      <c r="L208" s="19" t="s">
        <v>1389</v>
      </c>
      <c r="M208" s="19" t="s">
        <v>1701</v>
      </c>
      <c r="N208" s="19">
        <v>30</v>
      </c>
      <c r="O208" s="19">
        <v>2880</v>
      </c>
      <c r="P208" s="19" t="s">
        <v>1701</v>
      </c>
      <c r="Q208" s="19">
        <v>8832</v>
      </c>
      <c r="R208" s="19">
        <v>9</v>
      </c>
      <c r="S208" s="19">
        <v>259.2</v>
      </c>
      <c r="T208" s="19">
        <v>9</v>
      </c>
      <c r="U208" s="19">
        <v>259.2</v>
      </c>
      <c r="V208" s="19">
        <v>0</v>
      </c>
      <c r="W208" s="19">
        <v>0</v>
      </c>
      <c r="X208" s="19">
        <v>0</v>
      </c>
      <c r="Y208" s="19">
        <v>518.4</v>
      </c>
      <c r="Z208" s="19">
        <v>0</v>
      </c>
      <c r="AA208" s="19" t="s">
        <v>436</v>
      </c>
      <c r="AB208" s="19" t="s">
        <v>1555</v>
      </c>
      <c r="AC208" s="19">
        <v>73181500</v>
      </c>
      <c r="AD208" s="19" t="s">
        <v>1092</v>
      </c>
      <c r="AE208" s="19">
        <v>1</v>
      </c>
      <c r="AF208" s="19">
        <v>0</v>
      </c>
      <c r="AG208" s="19" t="s">
        <v>1093</v>
      </c>
      <c r="AH208" s="19" t="s">
        <v>2319</v>
      </c>
    </row>
    <row r="209" spans="2:34" hidden="1" x14ac:dyDescent="0.35">
      <c r="B209" s="76">
        <v>46213</v>
      </c>
      <c r="C209" s="19" t="s">
        <v>435</v>
      </c>
      <c r="D209" s="19" t="s">
        <v>126</v>
      </c>
      <c r="E209" s="19" t="s">
        <v>433</v>
      </c>
      <c r="F209" s="19" t="s">
        <v>118</v>
      </c>
      <c r="G209" s="19" t="s">
        <v>434</v>
      </c>
      <c r="H209" s="76">
        <v>46212</v>
      </c>
      <c r="I209" s="19" t="s">
        <v>105</v>
      </c>
      <c r="J209" s="19" t="s">
        <v>1586</v>
      </c>
      <c r="K209" s="19" t="s">
        <v>1127</v>
      </c>
      <c r="L209" s="19" t="s">
        <v>1389</v>
      </c>
      <c r="M209" s="19" t="s">
        <v>1702</v>
      </c>
      <c r="N209" s="19">
        <v>30</v>
      </c>
      <c r="O209" s="19">
        <v>4560</v>
      </c>
      <c r="P209" s="19" t="s">
        <v>1702</v>
      </c>
      <c r="Q209" s="19">
        <v>0</v>
      </c>
      <c r="R209" s="19">
        <v>9</v>
      </c>
      <c r="S209" s="19">
        <v>414.45</v>
      </c>
      <c r="T209" s="19">
        <v>9</v>
      </c>
      <c r="U209" s="19">
        <v>414.45</v>
      </c>
      <c r="V209" s="19">
        <v>0</v>
      </c>
      <c r="W209" s="19">
        <v>0</v>
      </c>
      <c r="X209" s="19">
        <v>0</v>
      </c>
      <c r="Y209" s="19">
        <v>828.9</v>
      </c>
      <c r="Z209" s="19">
        <v>0</v>
      </c>
      <c r="AA209" s="19" t="s">
        <v>436</v>
      </c>
      <c r="AB209" s="19" t="s">
        <v>1555</v>
      </c>
      <c r="AC209" s="19">
        <v>73181500</v>
      </c>
      <c r="AD209" s="19" t="s">
        <v>1092</v>
      </c>
      <c r="AE209" s="19">
        <v>1</v>
      </c>
      <c r="AF209" s="19">
        <v>0</v>
      </c>
      <c r="AG209" s="19" t="s">
        <v>1093</v>
      </c>
      <c r="AH209" s="19" t="s">
        <v>2319</v>
      </c>
    </row>
    <row r="210" spans="2:34" hidden="1" x14ac:dyDescent="0.35">
      <c r="B210" s="76">
        <v>46213</v>
      </c>
      <c r="C210" s="19" t="s">
        <v>280</v>
      </c>
      <c r="D210" s="19" t="s">
        <v>126</v>
      </c>
      <c r="E210" s="19" t="s">
        <v>431</v>
      </c>
      <c r="F210" s="19" t="s">
        <v>118</v>
      </c>
      <c r="G210" s="19" t="s">
        <v>432</v>
      </c>
      <c r="H210" s="76">
        <v>46209</v>
      </c>
      <c r="I210" s="19" t="s">
        <v>105</v>
      </c>
      <c r="J210" s="19" t="s">
        <v>1703</v>
      </c>
      <c r="K210" s="19" t="s">
        <v>1127</v>
      </c>
      <c r="L210" s="19" t="s">
        <v>1389</v>
      </c>
      <c r="M210" s="19" t="s">
        <v>1704</v>
      </c>
      <c r="N210" s="19">
        <v>2</v>
      </c>
      <c r="O210" s="19">
        <v>1080</v>
      </c>
      <c r="P210" s="19" t="s">
        <v>1704</v>
      </c>
      <c r="Q210" s="19">
        <v>1451</v>
      </c>
      <c r="R210" s="19">
        <v>9</v>
      </c>
      <c r="S210" s="19">
        <v>97.2</v>
      </c>
      <c r="T210" s="19">
        <v>9</v>
      </c>
      <c r="U210" s="19">
        <v>97.2</v>
      </c>
      <c r="V210" s="19">
        <v>0</v>
      </c>
      <c r="W210" s="19">
        <v>0</v>
      </c>
      <c r="X210" s="19">
        <v>27</v>
      </c>
      <c r="Y210" s="19">
        <v>221.4</v>
      </c>
      <c r="Z210" s="19">
        <v>0</v>
      </c>
      <c r="AA210" s="19" t="s">
        <v>281</v>
      </c>
      <c r="AB210" s="19" t="s">
        <v>1555</v>
      </c>
      <c r="AC210" s="19">
        <v>85131010</v>
      </c>
      <c r="AD210" s="19" t="s">
        <v>1092</v>
      </c>
      <c r="AE210" s="19">
        <v>1</v>
      </c>
      <c r="AF210" s="19">
        <v>0</v>
      </c>
      <c r="AG210" s="19" t="s">
        <v>1093</v>
      </c>
      <c r="AH210" s="19" t="s">
        <v>2319</v>
      </c>
    </row>
    <row r="211" spans="2:34" x14ac:dyDescent="0.35">
      <c r="B211" s="76">
        <v>46213</v>
      </c>
      <c r="C211" s="19" t="s">
        <v>178</v>
      </c>
      <c r="D211" s="19" t="s">
        <v>173</v>
      </c>
      <c r="E211" s="19" t="s">
        <v>439</v>
      </c>
      <c r="F211" s="19" t="s">
        <v>123</v>
      </c>
      <c r="G211" s="19" t="s">
        <v>440</v>
      </c>
      <c r="H211" s="76">
        <v>46213</v>
      </c>
      <c r="I211" s="19" t="s">
        <v>49</v>
      </c>
      <c r="J211" s="19" t="s">
        <v>50</v>
      </c>
      <c r="K211" s="19" t="s">
        <v>50</v>
      </c>
      <c r="L211" s="19" t="s">
        <v>1095</v>
      </c>
      <c r="M211" s="19" t="s">
        <v>1098</v>
      </c>
      <c r="N211" s="19">
        <v>3074</v>
      </c>
      <c r="O211" s="19">
        <v>611541.56000000006</v>
      </c>
      <c r="P211" s="19" t="s">
        <v>1098</v>
      </c>
      <c r="Q211" s="19">
        <v>721007.5</v>
      </c>
      <c r="R211" s="19">
        <v>9</v>
      </c>
      <c r="S211" s="19">
        <v>55038.74</v>
      </c>
      <c r="T211" s="19">
        <v>9</v>
      </c>
      <c r="U211" s="19">
        <v>55038.74</v>
      </c>
      <c r="V211" s="19">
        <v>0</v>
      </c>
      <c r="W211" s="19">
        <v>0</v>
      </c>
      <c r="X211" s="19">
        <v>0</v>
      </c>
      <c r="Y211" s="19">
        <v>110077.48</v>
      </c>
      <c r="Z211" s="19">
        <v>0</v>
      </c>
      <c r="AA211" s="19" t="s">
        <v>179</v>
      </c>
      <c r="AB211" s="19" t="s">
        <v>1289</v>
      </c>
      <c r="AC211" s="19">
        <v>63053200</v>
      </c>
      <c r="AD211" s="19" t="s">
        <v>1092</v>
      </c>
      <c r="AE211" s="19">
        <v>1</v>
      </c>
      <c r="AF211" s="19">
        <v>3074</v>
      </c>
      <c r="AG211" s="19" t="s">
        <v>1093</v>
      </c>
      <c r="AH211" s="19" t="s">
        <v>50</v>
      </c>
    </row>
    <row r="212" spans="2:34" x14ac:dyDescent="0.35">
      <c r="B212" s="76">
        <v>46213</v>
      </c>
      <c r="C212" s="19" t="s">
        <v>178</v>
      </c>
      <c r="D212" s="19" t="s">
        <v>173</v>
      </c>
      <c r="E212" s="19" t="s">
        <v>441</v>
      </c>
      <c r="F212" s="19" t="s">
        <v>123</v>
      </c>
      <c r="G212" s="19" t="s">
        <v>442</v>
      </c>
      <c r="H212" s="76">
        <v>46213</v>
      </c>
      <c r="I212" s="19" t="s">
        <v>36</v>
      </c>
      <c r="J212" s="19" t="s">
        <v>1350</v>
      </c>
      <c r="K212" s="19" t="s">
        <v>39</v>
      </c>
      <c r="L212" s="19" t="s">
        <v>1616</v>
      </c>
      <c r="M212" s="19" t="s">
        <v>1594</v>
      </c>
      <c r="N212" s="19">
        <v>388</v>
      </c>
      <c r="O212" s="19">
        <v>65141.32</v>
      </c>
      <c r="P212" s="19" t="s">
        <v>1594</v>
      </c>
      <c r="Q212" s="19">
        <v>661812.21</v>
      </c>
      <c r="R212" s="19">
        <v>9</v>
      </c>
      <c r="S212" s="19">
        <v>5862.72</v>
      </c>
      <c r="T212" s="19">
        <v>9</v>
      </c>
      <c r="U212" s="19">
        <v>5862.72</v>
      </c>
      <c r="V212" s="19">
        <v>0</v>
      </c>
      <c r="W212" s="19">
        <v>0</v>
      </c>
      <c r="X212" s="19">
        <v>0</v>
      </c>
      <c r="Y212" s="19">
        <v>11725.44</v>
      </c>
      <c r="Z212" s="19">
        <v>0</v>
      </c>
      <c r="AA212" s="19" t="s">
        <v>179</v>
      </c>
      <c r="AB212" s="19" t="s">
        <v>1289</v>
      </c>
      <c r="AC212" s="19">
        <v>39232100</v>
      </c>
      <c r="AD212" s="19" t="s">
        <v>1092</v>
      </c>
      <c r="AE212" s="19">
        <v>1</v>
      </c>
      <c r="AF212" s="19">
        <f t="shared" ref="AF212:AF215" si="9">N212</f>
        <v>388</v>
      </c>
      <c r="AG212" s="19" t="s">
        <v>1093</v>
      </c>
      <c r="AH212" s="19" t="s">
        <v>39</v>
      </c>
    </row>
    <row r="213" spans="2:34" x14ac:dyDescent="0.35">
      <c r="B213" s="76">
        <v>46213</v>
      </c>
      <c r="C213" s="19" t="s">
        <v>178</v>
      </c>
      <c r="D213" s="19" t="s">
        <v>173</v>
      </c>
      <c r="E213" s="19" t="s">
        <v>441</v>
      </c>
      <c r="F213" s="19" t="s">
        <v>123</v>
      </c>
      <c r="G213" s="19" t="s">
        <v>442</v>
      </c>
      <c r="H213" s="76">
        <v>46213</v>
      </c>
      <c r="I213" s="19" t="s">
        <v>36</v>
      </c>
      <c r="J213" s="19" t="s">
        <v>1117</v>
      </c>
      <c r="K213" s="19" t="s">
        <v>44</v>
      </c>
      <c r="L213" s="19" t="s">
        <v>1118</v>
      </c>
      <c r="M213" s="19" t="s">
        <v>1119</v>
      </c>
      <c r="N213" s="19">
        <v>375</v>
      </c>
      <c r="O213" s="19">
        <v>57933.75</v>
      </c>
      <c r="P213" s="19" t="s">
        <v>1119</v>
      </c>
      <c r="Q213" s="19">
        <v>0</v>
      </c>
      <c r="R213" s="19">
        <v>9</v>
      </c>
      <c r="S213" s="19">
        <v>5214.04</v>
      </c>
      <c r="T213" s="19">
        <v>9</v>
      </c>
      <c r="U213" s="19">
        <v>5214.04</v>
      </c>
      <c r="V213" s="19">
        <v>0</v>
      </c>
      <c r="W213" s="19">
        <v>0</v>
      </c>
      <c r="X213" s="19">
        <v>0</v>
      </c>
      <c r="Y213" s="19">
        <v>10428.08</v>
      </c>
      <c r="Z213" s="19">
        <v>0</v>
      </c>
      <c r="AA213" s="19" t="s">
        <v>179</v>
      </c>
      <c r="AB213" s="19" t="s">
        <v>1289</v>
      </c>
      <c r="AC213" s="19">
        <v>39269080</v>
      </c>
      <c r="AD213" s="19" t="s">
        <v>1092</v>
      </c>
      <c r="AE213" s="19">
        <v>1</v>
      </c>
      <c r="AF213" s="19">
        <f t="shared" si="9"/>
        <v>375</v>
      </c>
      <c r="AG213" s="19" t="s">
        <v>1093</v>
      </c>
      <c r="AH213" s="19" t="s">
        <v>44</v>
      </c>
    </row>
    <row r="214" spans="2:34" x14ac:dyDescent="0.35">
      <c r="B214" s="76">
        <v>46213</v>
      </c>
      <c r="C214" s="19" t="s">
        <v>178</v>
      </c>
      <c r="D214" s="19" t="s">
        <v>173</v>
      </c>
      <c r="E214" s="19" t="s">
        <v>441</v>
      </c>
      <c r="F214" s="19" t="s">
        <v>123</v>
      </c>
      <c r="G214" s="19" t="s">
        <v>442</v>
      </c>
      <c r="H214" s="76">
        <v>46213</v>
      </c>
      <c r="I214" s="19" t="s">
        <v>36</v>
      </c>
      <c r="J214" s="19" t="s">
        <v>1117</v>
      </c>
      <c r="K214" s="19" t="s">
        <v>44</v>
      </c>
      <c r="L214" s="19" t="s">
        <v>1118</v>
      </c>
      <c r="M214" s="19" t="s">
        <v>1119</v>
      </c>
      <c r="N214" s="19">
        <v>2463</v>
      </c>
      <c r="O214" s="19">
        <v>385434.87</v>
      </c>
      <c r="P214" s="19" t="s">
        <v>1119</v>
      </c>
      <c r="Q214" s="19">
        <v>0</v>
      </c>
      <c r="R214" s="19">
        <v>9</v>
      </c>
      <c r="S214" s="19">
        <v>34689.14</v>
      </c>
      <c r="T214" s="19">
        <v>9</v>
      </c>
      <c r="U214" s="19">
        <v>34689.14</v>
      </c>
      <c r="V214" s="19">
        <v>0</v>
      </c>
      <c r="W214" s="19">
        <v>0</v>
      </c>
      <c r="X214" s="19">
        <v>0</v>
      </c>
      <c r="Y214" s="19">
        <v>69378.28</v>
      </c>
      <c r="Z214" s="19">
        <v>0</v>
      </c>
      <c r="AA214" s="19" t="s">
        <v>179</v>
      </c>
      <c r="AB214" s="19" t="s">
        <v>1289</v>
      </c>
      <c r="AC214" s="19">
        <v>39269080</v>
      </c>
      <c r="AD214" s="19" t="s">
        <v>1092</v>
      </c>
      <c r="AE214" s="19">
        <v>1</v>
      </c>
      <c r="AF214" s="19">
        <f t="shared" si="9"/>
        <v>2463</v>
      </c>
      <c r="AG214" s="19" t="s">
        <v>1093</v>
      </c>
      <c r="AH214" s="19" t="s">
        <v>44</v>
      </c>
    </row>
    <row r="215" spans="2:34" x14ac:dyDescent="0.35">
      <c r="B215" s="76">
        <v>46213</v>
      </c>
      <c r="C215" s="19" t="s">
        <v>178</v>
      </c>
      <c r="D215" s="19" t="s">
        <v>173</v>
      </c>
      <c r="E215" s="19" t="s">
        <v>441</v>
      </c>
      <c r="F215" s="19" t="s">
        <v>123</v>
      </c>
      <c r="G215" s="19" t="s">
        <v>442</v>
      </c>
      <c r="H215" s="76">
        <v>46213</v>
      </c>
      <c r="I215" s="19" t="s">
        <v>36</v>
      </c>
      <c r="J215" s="19" t="s">
        <v>1117</v>
      </c>
      <c r="K215" s="19" t="s">
        <v>44</v>
      </c>
      <c r="L215" s="19" t="s">
        <v>1118</v>
      </c>
      <c r="M215" s="19" t="s">
        <v>1119</v>
      </c>
      <c r="N215" s="19">
        <v>244</v>
      </c>
      <c r="O215" s="19">
        <v>52823.56</v>
      </c>
      <c r="P215" s="19" t="s">
        <v>1119</v>
      </c>
      <c r="Q215" s="19">
        <v>0</v>
      </c>
      <c r="R215" s="19">
        <v>9</v>
      </c>
      <c r="S215" s="19">
        <v>4754.12</v>
      </c>
      <c r="T215" s="19">
        <v>9</v>
      </c>
      <c r="U215" s="19">
        <v>4754.12</v>
      </c>
      <c r="V215" s="19">
        <v>0</v>
      </c>
      <c r="W215" s="19">
        <v>0</v>
      </c>
      <c r="X215" s="19">
        <v>0</v>
      </c>
      <c r="Y215" s="19">
        <v>9508.24</v>
      </c>
      <c r="Z215" s="19">
        <v>0</v>
      </c>
      <c r="AA215" s="19" t="s">
        <v>179</v>
      </c>
      <c r="AB215" s="19" t="s">
        <v>1289</v>
      </c>
      <c r="AC215" s="19">
        <v>39269080</v>
      </c>
      <c r="AD215" s="19" t="s">
        <v>1092</v>
      </c>
      <c r="AE215" s="19">
        <v>1</v>
      </c>
      <c r="AF215" s="19">
        <f t="shared" si="9"/>
        <v>244</v>
      </c>
      <c r="AG215" s="19" t="s">
        <v>1093</v>
      </c>
      <c r="AH215" s="19" t="s">
        <v>44</v>
      </c>
    </row>
    <row r="216" spans="2:34" hidden="1" x14ac:dyDescent="0.35">
      <c r="B216" s="76">
        <v>46213</v>
      </c>
      <c r="C216" s="19" t="s">
        <v>321</v>
      </c>
      <c r="D216" s="19" t="s">
        <v>126</v>
      </c>
      <c r="E216" s="19" t="s">
        <v>424</v>
      </c>
      <c r="F216" s="19" t="s">
        <v>118</v>
      </c>
      <c r="G216" s="19" t="s">
        <v>425</v>
      </c>
      <c r="H216" s="76">
        <v>46211</v>
      </c>
      <c r="I216" s="19" t="s">
        <v>105</v>
      </c>
      <c r="J216" s="19" t="s">
        <v>1705</v>
      </c>
      <c r="K216" s="19" t="s">
        <v>1127</v>
      </c>
      <c r="L216" s="19" t="s">
        <v>1389</v>
      </c>
      <c r="M216" s="19" t="s">
        <v>1706</v>
      </c>
      <c r="N216" s="19">
        <v>5</v>
      </c>
      <c r="O216" s="19">
        <v>2225</v>
      </c>
      <c r="P216" s="19" t="s">
        <v>1706</v>
      </c>
      <c r="Q216" s="19">
        <v>2802</v>
      </c>
      <c r="R216" s="19">
        <v>9</v>
      </c>
      <c r="S216" s="19">
        <v>200.25</v>
      </c>
      <c r="T216" s="19">
        <v>9</v>
      </c>
      <c r="U216" s="19">
        <v>200.25</v>
      </c>
      <c r="V216" s="19">
        <v>0</v>
      </c>
      <c r="W216" s="19">
        <v>0</v>
      </c>
      <c r="X216" s="19">
        <v>27</v>
      </c>
      <c r="Y216" s="19">
        <v>427.5</v>
      </c>
      <c r="Z216" s="19">
        <v>0</v>
      </c>
      <c r="AA216" s="19" t="s">
        <v>322</v>
      </c>
      <c r="AB216" s="19" t="s">
        <v>1555</v>
      </c>
      <c r="AC216" s="19">
        <v>853620</v>
      </c>
      <c r="AD216" s="19" t="s">
        <v>1092</v>
      </c>
      <c r="AE216" s="19">
        <v>1</v>
      </c>
      <c r="AF216" s="19">
        <v>0</v>
      </c>
      <c r="AG216" s="19" t="s">
        <v>1093</v>
      </c>
      <c r="AH216" s="19" t="s">
        <v>2319</v>
      </c>
    </row>
    <row r="217" spans="2:34" hidden="1" x14ac:dyDescent="0.35">
      <c r="B217" s="76">
        <v>46213</v>
      </c>
      <c r="C217" s="19" t="s">
        <v>157</v>
      </c>
      <c r="D217" s="19" t="s">
        <v>126</v>
      </c>
      <c r="E217" s="19" t="s">
        <v>429</v>
      </c>
      <c r="F217" s="19" t="s">
        <v>121</v>
      </c>
      <c r="G217" s="19" t="s">
        <v>430</v>
      </c>
      <c r="H217" s="76">
        <v>46207</v>
      </c>
      <c r="I217" s="19" t="s">
        <v>105</v>
      </c>
      <c r="J217" s="19" t="s">
        <v>1561</v>
      </c>
      <c r="K217" s="19" t="s">
        <v>1127</v>
      </c>
      <c r="L217" s="19" t="s">
        <v>1389</v>
      </c>
      <c r="M217" s="19" t="s">
        <v>1707</v>
      </c>
      <c r="N217" s="19">
        <v>3</v>
      </c>
      <c r="O217" s="19">
        <v>342</v>
      </c>
      <c r="P217" s="19" t="s">
        <v>1707</v>
      </c>
      <c r="Q217" s="19">
        <v>420.55</v>
      </c>
      <c r="R217" s="19">
        <v>0</v>
      </c>
      <c r="S217" s="19">
        <v>0</v>
      </c>
      <c r="T217" s="19">
        <v>0</v>
      </c>
      <c r="U217" s="19">
        <v>0</v>
      </c>
      <c r="V217" s="19">
        <v>18</v>
      </c>
      <c r="W217" s="19">
        <v>61.56</v>
      </c>
      <c r="X217" s="19">
        <v>2.59</v>
      </c>
      <c r="Y217" s="19">
        <v>64.150000000000006</v>
      </c>
      <c r="Z217" s="19">
        <v>0</v>
      </c>
      <c r="AA217" s="19" t="s">
        <v>158</v>
      </c>
      <c r="AB217" s="19" t="s">
        <v>1555</v>
      </c>
      <c r="AC217" s="19">
        <v>84799090</v>
      </c>
      <c r="AD217" s="19" t="s">
        <v>1092</v>
      </c>
      <c r="AE217" s="19">
        <v>1</v>
      </c>
      <c r="AF217" s="19">
        <v>0</v>
      </c>
      <c r="AG217" s="19" t="s">
        <v>1093</v>
      </c>
      <c r="AH217" s="19" t="s">
        <v>2319</v>
      </c>
    </row>
    <row r="218" spans="2:34" hidden="1" x14ac:dyDescent="0.35">
      <c r="B218" s="76">
        <v>46213</v>
      </c>
      <c r="C218" s="19" t="s">
        <v>427</v>
      </c>
      <c r="D218" s="19" t="s">
        <v>126</v>
      </c>
      <c r="E218" s="19" t="s">
        <v>426</v>
      </c>
      <c r="F218" s="19" t="s">
        <v>121</v>
      </c>
      <c r="G218" s="19">
        <v>61810</v>
      </c>
      <c r="H218" s="76">
        <v>46210</v>
      </c>
      <c r="I218" s="19" t="s">
        <v>102</v>
      </c>
      <c r="J218" s="19" t="s">
        <v>1621</v>
      </c>
      <c r="K218" s="19" t="s">
        <v>1127</v>
      </c>
      <c r="L218" s="19" t="s">
        <v>1389</v>
      </c>
      <c r="M218" s="19" t="s">
        <v>1621</v>
      </c>
      <c r="N218" s="19">
        <v>5</v>
      </c>
      <c r="O218" s="19">
        <v>1460</v>
      </c>
      <c r="P218" s="19" t="s">
        <v>1621</v>
      </c>
      <c r="Q218" s="19">
        <v>1770</v>
      </c>
      <c r="R218" s="19">
        <v>0</v>
      </c>
      <c r="S218" s="19">
        <v>0</v>
      </c>
      <c r="T218" s="19">
        <v>0</v>
      </c>
      <c r="U218" s="19">
        <v>0</v>
      </c>
      <c r="V218" s="19">
        <v>18</v>
      </c>
      <c r="W218" s="19">
        <v>262.8</v>
      </c>
      <c r="X218" s="19">
        <v>7.2</v>
      </c>
      <c r="Y218" s="19">
        <v>270</v>
      </c>
      <c r="Z218" s="19">
        <v>0</v>
      </c>
      <c r="AA218" s="19" t="s">
        <v>428</v>
      </c>
      <c r="AB218" s="19" t="s">
        <v>1555</v>
      </c>
      <c r="AC218" s="19">
        <v>40169330</v>
      </c>
      <c r="AD218" s="19" t="s">
        <v>1092</v>
      </c>
      <c r="AE218" s="19">
        <v>1</v>
      </c>
      <c r="AF218" s="19">
        <v>0</v>
      </c>
      <c r="AG218" s="19" t="s">
        <v>1093</v>
      </c>
      <c r="AH218" s="19" t="s">
        <v>2319</v>
      </c>
    </row>
    <row r="219" spans="2:34" hidden="1" x14ac:dyDescent="0.35">
      <c r="B219" s="76">
        <v>46213</v>
      </c>
      <c r="C219" s="19" t="s">
        <v>138</v>
      </c>
      <c r="D219" s="19" t="s">
        <v>126</v>
      </c>
      <c r="E219" s="19" t="s">
        <v>418</v>
      </c>
      <c r="F219" s="19" t="s">
        <v>119</v>
      </c>
      <c r="G219" s="19" t="s">
        <v>419</v>
      </c>
      <c r="H219" s="76">
        <v>46212</v>
      </c>
      <c r="I219" s="19" t="s">
        <v>105</v>
      </c>
      <c r="J219" s="19" t="s">
        <v>1142</v>
      </c>
      <c r="K219" s="19" t="s">
        <v>1509</v>
      </c>
      <c r="L219" s="19" t="s">
        <v>1509</v>
      </c>
      <c r="M219" s="19" t="s">
        <v>1196</v>
      </c>
      <c r="N219" s="19">
        <v>166</v>
      </c>
      <c r="O219" s="19">
        <v>7968</v>
      </c>
      <c r="P219" s="19" t="s">
        <v>1196</v>
      </c>
      <c r="Q219" s="19">
        <v>9394.27</v>
      </c>
      <c r="R219" s="19">
        <v>9</v>
      </c>
      <c r="S219" s="19">
        <v>717.12</v>
      </c>
      <c r="T219" s="19">
        <v>9</v>
      </c>
      <c r="U219" s="19">
        <v>717.12</v>
      </c>
      <c r="V219" s="19">
        <v>0</v>
      </c>
      <c r="W219" s="19">
        <v>0</v>
      </c>
      <c r="X219" s="19">
        <v>0</v>
      </c>
      <c r="Y219" s="19">
        <v>1434.24</v>
      </c>
      <c r="Z219" s="19">
        <v>0</v>
      </c>
      <c r="AA219" s="19" t="s">
        <v>135</v>
      </c>
      <c r="AB219" s="19" t="s">
        <v>1289</v>
      </c>
      <c r="AC219" s="19">
        <v>73063090</v>
      </c>
      <c r="AD219" s="19" t="s">
        <v>1092</v>
      </c>
      <c r="AE219" s="19">
        <v>1</v>
      </c>
      <c r="AF219" s="19">
        <v>166</v>
      </c>
      <c r="AG219" s="19" t="s">
        <v>1093</v>
      </c>
      <c r="AH219" s="19" t="s">
        <v>2319</v>
      </c>
    </row>
    <row r="220" spans="2:34" x14ac:dyDescent="0.35">
      <c r="B220" s="76">
        <v>46213</v>
      </c>
      <c r="C220" s="19" t="s">
        <v>138</v>
      </c>
      <c r="D220" s="19" t="s">
        <v>173</v>
      </c>
      <c r="E220" s="19" t="s">
        <v>437</v>
      </c>
      <c r="F220" s="19" t="s">
        <v>123</v>
      </c>
      <c r="G220" s="19" t="s">
        <v>438</v>
      </c>
      <c r="H220" s="76">
        <v>46212</v>
      </c>
      <c r="I220" s="19" t="s">
        <v>36</v>
      </c>
      <c r="J220" s="19" t="s">
        <v>1350</v>
      </c>
      <c r="K220" s="19" t="s">
        <v>39</v>
      </c>
      <c r="L220" s="19" t="s">
        <v>1351</v>
      </c>
      <c r="M220" s="19" t="s">
        <v>1352</v>
      </c>
      <c r="N220" s="19">
        <v>501</v>
      </c>
      <c r="O220" s="19">
        <v>91572.78</v>
      </c>
      <c r="P220" s="19" t="s">
        <v>1352</v>
      </c>
      <c r="Q220" s="19">
        <v>413625.34</v>
      </c>
      <c r="R220" s="19">
        <v>9</v>
      </c>
      <c r="S220" s="19">
        <v>8241.5499999999993</v>
      </c>
      <c r="T220" s="19">
        <v>9</v>
      </c>
      <c r="U220" s="19">
        <v>8241.5499999999993</v>
      </c>
      <c r="V220" s="19">
        <v>0</v>
      </c>
      <c r="W220" s="19">
        <v>0</v>
      </c>
      <c r="X220" s="19">
        <v>0</v>
      </c>
      <c r="Y220" s="19">
        <v>16483.099999999999</v>
      </c>
      <c r="Z220" s="19">
        <v>0</v>
      </c>
      <c r="AA220" s="19" t="s">
        <v>135</v>
      </c>
      <c r="AB220" s="19" t="s">
        <v>1289</v>
      </c>
      <c r="AC220" s="19">
        <v>39200000</v>
      </c>
      <c r="AD220" s="19" t="s">
        <v>1092</v>
      </c>
      <c r="AE220" s="19">
        <v>1</v>
      </c>
      <c r="AF220" s="19">
        <f t="shared" ref="AF220:AF222" si="10">N220</f>
        <v>501</v>
      </c>
      <c r="AG220" s="19" t="s">
        <v>1093</v>
      </c>
      <c r="AH220" s="19" t="s">
        <v>39</v>
      </c>
    </row>
    <row r="221" spans="2:34" x14ac:dyDescent="0.35">
      <c r="B221" s="76">
        <v>46213</v>
      </c>
      <c r="C221" s="19" t="s">
        <v>138</v>
      </c>
      <c r="D221" s="19" t="s">
        <v>173</v>
      </c>
      <c r="E221" s="19" t="s">
        <v>437</v>
      </c>
      <c r="F221" s="19" t="s">
        <v>123</v>
      </c>
      <c r="G221" s="19" t="s">
        <v>438</v>
      </c>
      <c r="H221" s="76">
        <v>46212</v>
      </c>
      <c r="I221" s="19" t="s">
        <v>36</v>
      </c>
      <c r="J221" s="19" t="s">
        <v>1117</v>
      </c>
      <c r="K221" s="19" t="s">
        <v>44</v>
      </c>
      <c r="L221" s="19" t="s">
        <v>1118</v>
      </c>
      <c r="M221" s="19" t="s">
        <v>1119</v>
      </c>
      <c r="N221" s="19">
        <v>969.86</v>
      </c>
      <c r="O221" s="19">
        <v>144984.3714</v>
      </c>
      <c r="P221" s="19" t="s">
        <v>1119</v>
      </c>
      <c r="Q221" s="19">
        <v>0</v>
      </c>
      <c r="R221" s="19">
        <v>9</v>
      </c>
      <c r="S221" s="19">
        <v>13048.59</v>
      </c>
      <c r="T221" s="19">
        <v>9</v>
      </c>
      <c r="U221" s="19">
        <v>13048.59</v>
      </c>
      <c r="V221" s="19">
        <v>0</v>
      </c>
      <c r="W221" s="19">
        <v>0</v>
      </c>
      <c r="X221" s="19">
        <v>0</v>
      </c>
      <c r="Y221" s="19">
        <v>26097.18</v>
      </c>
      <c r="Z221" s="19">
        <v>0</v>
      </c>
      <c r="AA221" s="19" t="s">
        <v>135</v>
      </c>
      <c r="AB221" s="19" t="s">
        <v>1289</v>
      </c>
      <c r="AC221" s="19">
        <v>39269080</v>
      </c>
      <c r="AD221" s="19" t="s">
        <v>1092</v>
      </c>
      <c r="AE221" s="19">
        <v>1</v>
      </c>
      <c r="AF221" s="19">
        <f t="shared" si="10"/>
        <v>969.86</v>
      </c>
      <c r="AG221" s="19" t="s">
        <v>1093</v>
      </c>
      <c r="AH221" s="19" t="s">
        <v>44</v>
      </c>
    </row>
    <row r="222" spans="2:34" x14ac:dyDescent="0.35">
      <c r="B222" s="76">
        <v>46213</v>
      </c>
      <c r="C222" s="19" t="s">
        <v>138</v>
      </c>
      <c r="D222" s="19" t="s">
        <v>173</v>
      </c>
      <c r="E222" s="19" t="s">
        <v>437</v>
      </c>
      <c r="F222" s="19" t="s">
        <v>123</v>
      </c>
      <c r="G222" s="19" t="s">
        <v>438</v>
      </c>
      <c r="H222" s="76">
        <v>46212</v>
      </c>
      <c r="I222" s="19" t="s">
        <v>36</v>
      </c>
      <c r="J222" s="19" t="s">
        <v>1087</v>
      </c>
      <c r="K222" s="19" t="s">
        <v>46</v>
      </c>
      <c r="L222" s="19" t="s">
        <v>1213</v>
      </c>
      <c r="M222" s="19" t="s">
        <v>1214</v>
      </c>
      <c r="N222" s="19">
        <v>820.7</v>
      </c>
      <c r="O222" s="19">
        <v>128431.34299999999</v>
      </c>
      <c r="P222" s="19" t="s">
        <v>1214</v>
      </c>
      <c r="Q222" s="19">
        <v>0</v>
      </c>
      <c r="R222" s="19">
        <v>2.5</v>
      </c>
      <c r="S222" s="19">
        <v>3210.78</v>
      </c>
      <c r="T222" s="19">
        <v>2.5</v>
      </c>
      <c r="U222" s="19">
        <v>3210.78</v>
      </c>
      <c r="V222" s="19">
        <v>0</v>
      </c>
      <c r="W222" s="19">
        <v>0</v>
      </c>
      <c r="X222" s="19">
        <v>0</v>
      </c>
      <c r="Y222" s="19">
        <v>6421.56</v>
      </c>
      <c r="Z222" s="19">
        <v>0</v>
      </c>
      <c r="AA222" s="19" t="s">
        <v>135</v>
      </c>
      <c r="AB222" s="19" t="s">
        <v>1091</v>
      </c>
      <c r="AC222" s="19">
        <v>540248</v>
      </c>
      <c r="AD222" s="19" t="s">
        <v>1092</v>
      </c>
      <c r="AE222" s="19">
        <v>1</v>
      </c>
      <c r="AF222" s="19">
        <f t="shared" si="10"/>
        <v>820.7</v>
      </c>
      <c r="AG222" s="19" t="s">
        <v>1093</v>
      </c>
      <c r="AH222" s="19" t="s">
        <v>46</v>
      </c>
    </row>
    <row r="223" spans="2:34" hidden="1" x14ac:dyDescent="0.35">
      <c r="B223" s="76">
        <v>46213</v>
      </c>
      <c r="C223" s="19" t="s">
        <v>134</v>
      </c>
      <c r="D223" s="19" t="s">
        <v>126</v>
      </c>
      <c r="E223" s="19" t="s">
        <v>414</v>
      </c>
      <c r="F223" s="19" t="s">
        <v>118</v>
      </c>
      <c r="G223" s="19" t="s">
        <v>415</v>
      </c>
      <c r="H223" s="76">
        <v>46212</v>
      </c>
      <c r="I223" s="19" t="s">
        <v>36</v>
      </c>
      <c r="J223" s="19" t="s">
        <v>1350</v>
      </c>
      <c r="K223" s="19" t="s">
        <v>39</v>
      </c>
      <c r="L223" s="19" t="s">
        <v>102</v>
      </c>
      <c r="M223" s="19" t="s">
        <v>1603</v>
      </c>
      <c r="N223" s="19">
        <v>31.4</v>
      </c>
      <c r="O223" s="19">
        <v>9400</v>
      </c>
      <c r="P223" s="19" t="s">
        <v>1603</v>
      </c>
      <c r="Q223" s="19">
        <v>11082.6</v>
      </c>
      <c r="R223" s="19">
        <v>9</v>
      </c>
      <c r="S223" s="19">
        <v>846</v>
      </c>
      <c r="T223" s="19">
        <v>9</v>
      </c>
      <c r="U223" s="19">
        <v>846</v>
      </c>
      <c r="V223" s="19">
        <v>0</v>
      </c>
      <c r="W223" s="19">
        <v>0</v>
      </c>
      <c r="X223" s="19">
        <v>0</v>
      </c>
      <c r="Y223" s="19">
        <v>1692</v>
      </c>
      <c r="Z223" s="19">
        <v>0</v>
      </c>
      <c r="AA223" s="19" t="s">
        <v>135</v>
      </c>
      <c r="AB223" s="19" t="s">
        <v>1289</v>
      </c>
      <c r="AC223" s="19">
        <v>392300</v>
      </c>
      <c r="AD223" s="19" t="s">
        <v>1092</v>
      </c>
      <c r="AE223" s="19">
        <v>1</v>
      </c>
      <c r="AF223" s="19">
        <v>31.4</v>
      </c>
      <c r="AG223" s="19" t="s">
        <v>1093</v>
      </c>
      <c r="AH223" s="19" t="s">
        <v>2319</v>
      </c>
    </row>
    <row r="224" spans="2:34" hidden="1" x14ac:dyDescent="0.35">
      <c r="B224" s="76">
        <v>46213</v>
      </c>
      <c r="C224" s="19" t="s">
        <v>134</v>
      </c>
      <c r="D224" s="19" t="s">
        <v>7</v>
      </c>
      <c r="E224" s="19" t="s">
        <v>420</v>
      </c>
      <c r="F224" s="19" t="s">
        <v>119</v>
      </c>
      <c r="G224" s="19" t="s">
        <v>421</v>
      </c>
      <c r="H224" s="76">
        <v>46212</v>
      </c>
      <c r="I224" s="19" t="s">
        <v>101</v>
      </c>
      <c r="J224" s="19" t="s">
        <v>1575</v>
      </c>
      <c r="K224" s="19" t="s">
        <v>1509</v>
      </c>
      <c r="L224" s="19" t="s">
        <v>1509</v>
      </c>
      <c r="M224" s="19" t="s">
        <v>1708</v>
      </c>
      <c r="N224" s="19">
        <v>5</v>
      </c>
      <c r="O224" s="19">
        <v>2610</v>
      </c>
      <c r="P224" s="19" t="s">
        <v>1708</v>
      </c>
      <c r="Q224" s="19">
        <v>4977.99</v>
      </c>
      <c r="R224" s="19">
        <v>2.5</v>
      </c>
      <c r="S224" s="19">
        <v>65.25</v>
      </c>
      <c r="T224" s="19">
        <v>2.5</v>
      </c>
      <c r="U224" s="19">
        <v>65.25</v>
      </c>
      <c r="V224" s="19">
        <v>0</v>
      </c>
      <c r="W224" s="19">
        <v>0</v>
      </c>
      <c r="X224" s="19">
        <v>0</v>
      </c>
      <c r="Y224" s="19">
        <v>130.5</v>
      </c>
      <c r="Z224" s="19">
        <v>0</v>
      </c>
      <c r="AA224" s="19" t="s">
        <v>135</v>
      </c>
      <c r="AB224" s="19" t="s">
        <v>1555</v>
      </c>
      <c r="AC224" s="19">
        <v>44152000</v>
      </c>
      <c r="AD224" s="19" t="s">
        <v>1092</v>
      </c>
      <c r="AE224" s="19">
        <v>1</v>
      </c>
      <c r="AF224" s="19">
        <v>0</v>
      </c>
      <c r="AG224" s="19" t="s">
        <v>1093</v>
      </c>
      <c r="AH224" s="19" t="s">
        <v>2319</v>
      </c>
    </row>
    <row r="225" spans="2:34" hidden="1" x14ac:dyDescent="0.35">
      <c r="B225" s="76">
        <v>46213</v>
      </c>
      <c r="C225" s="19" t="s">
        <v>134</v>
      </c>
      <c r="D225" s="19" t="s">
        <v>7</v>
      </c>
      <c r="E225" s="19" t="s">
        <v>420</v>
      </c>
      <c r="F225" s="19" t="s">
        <v>119</v>
      </c>
      <c r="G225" s="19" t="s">
        <v>421</v>
      </c>
      <c r="H225" s="76">
        <v>46212</v>
      </c>
      <c r="I225" s="19" t="s">
        <v>101</v>
      </c>
      <c r="J225" s="19" t="s">
        <v>1508</v>
      </c>
      <c r="K225" s="19" t="s">
        <v>1509</v>
      </c>
      <c r="L225" s="19" t="s">
        <v>1509</v>
      </c>
      <c r="M225" s="19" t="s">
        <v>1510</v>
      </c>
      <c r="N225" s="19">
        <v>2</v>
      </c>
      <c r="O225" s="19">
        <v>1900</v>
      </c>
      <c r="P225" s="19" t="s">
        <v>1510</v>
      </c>
      <c r="Q225" s="19">
        <v>0</v>
      </c>
      <c r="R225" s="19">
        <v>9</v>
      </c>
      <c r="S225" s="19">
        <v>171</v>
      </c>
      <c r="T225" s="19">
        <v>9</v>
      </c>
      <c r="U225" s="19">
        <v>171</v>
      </c>
      <c r="V225" s="19">
        <v>0</v>
      </c>
      <c r="W225" s="19">
        <v>0</v>
      </c>
      <c r="X225" s="19">
        <v>0</v>
      </c>
      <c r="Y225" s="19">
        <v>342</v>
      </c>
      <c r="Z225" s="19">
        <v>0</v>
      </c>
      <c r="AA225" s="19" t="s">
        <v>135</v>
      </c>
      <c r="AB225" s="19" t="s">
        <v>1555</v>
      </c>
      <c r="AC225" s="19">
        <v>39239090</v>
      </c>
      <c r="AD225" s="19" t="s">
        <v>1092</v>
      </c>
      <c r="AE225" s="19">
        <v>1</v>
      </c>
      <c r="AF225" s="19">
        <v>0</v>
      </c>
      <c r="AG225" s="19" t="s">
        <v>1093</v>
      </c>
      <c r="AH225" s="19" t="s">
        <v>2319</v>
      </c>
    </row>
    <row r="226" spans="2:34" hidden="1" x14ac:dyDescent="0.35">
      <c r="B226" s="76">
        <v>46213</v>
      </c>
      <c r="C226" s="19" t="s">
        <v>145</v>
      </c>
      <c r="D226" s="19" t="s">
        <v>7</v>
      </c>
      <c r="E226" s="19" t="s">
        <v>422</v>
      </c>
      <c r="F226" s="19" t="s">
        <v>119</v>
      </c>
      <c r="G226" s="19" t="s">
        <v>423</v>
      </c>
      <c r="H226" s="76">
        <v>46212</v>
      </c>
      <c r="I226" s="19" t="s">
        <v>101</v>
      </c>
      <c r="J226" s="19" t="s">
        <v>1575</v>
      </c>
      <c r="K226" s="19" t="s">
        <v>1575</v>
      </c>
      <c r="L226" s="19" t="s">
        <v>1509</v>
      </c>
      <c r="M226" s="19" t="s">
        <v>1576</v>
      </c>
      <c r="N226" s="19">
        <v>250</v>
      </c>
      <c r="O226" s="19">
        <v>181250</v>
      </c>
      <c r="P226" s="19" t="s">
        <v>1576</v>
      </c>
      <c r="Q226" s="19">
        <v>190312</v>
      </c>
      <c r="R226" s="19">
        <v>2.5</v>
      </c>
      <c r="S226" s="19">
        <v>4531.25</v>
      </c>
      <c r="T226" s="19">
        <v>2.5</v>
      </c>
      <c r="U226" s="19">
        <v>4531.25</v>
      </c>
      <c r="V226" s="19">
        <v>0</v>
      </c>
      <c r="W226" s="19">
        <v>0</v>
      </c>
      <c r="X226" s="19">
        <v>0</v>
      </c>
      <c r="Y226" s="19">
        <v>9062.5</v>
      </c>
      <c r="Z226" s="19">
        <v>0</v>
      </c>
      <c r="AA226" s="19" t="s">
        <v>146</v>
      </c>
      <c r="AB226" s="19" t="s">
        <v>1555</v>
      </c>
      <c r="AC226" s="19">
        <v>44152000</v>
      </c>
      <c r="AD226" s="19" t="s">
        <v>1092</v>
      </c>
      <c r="AE226" s="19">
        <v>1</v>
      </c>
      <c r="AF226" s="19">
        <v>0</v>
      </c>
      <c r="AG226" s="19" t="s">
        <v>1093</v>
      </c>
      <c r="AH226" s="19" t="s">
        <v>2319</v>
      </c>
    </row>
    <row r="227" spans="2:34" hidden="1" x14ac:dyDescent="0.35">
      <c r="B227" s="76">
        <v>46213</v>
      </c>
      <c r="C227" s="19" t="s">
        <v>305</v>
      </c>
      <c r="D227" s="19" t="s">
        <v>126</v>
      </c>
      <c r="E227" s="19" t="s">
        <v>416</v>
      </c>
      <c r="F227" s="19" t="s">
        <v>118</v>
      </c>
      <c r="G227" s="19" t="s">
        <v>417</v>
      </c>
      <c r="H227" s="76">
        <v>46212</v>
      </c>
      <c r="I227" s="19" t="s">
        <v>102</v>
      </c>
      <c r="J227" s="19" t="s">
        <v>1673</v>
      </c>
      <c r="K227" s="19" t="s">
        <v>1127</v>
      </c>
      <c r="L227" s="19" t="s">
        <v>102</v>
      </c>
      <c r="M227" s="19" t="s">
        <v>1674</v>
      </c>
      <c r="N227" s="19">
        <v>27</v>
      </c>
      <c r="O227" s="19">
        <v>5265</v>
      </c>
      <c r="P227" s="19" t="s">
        <v>1674</v>
      </c>
      <c r="Q227" s="19">
        <v>36036</v>
      </c>
      <c r="R227" s="19">
        <v>2.5</v>
      </c>
      <c r="S227" s="19">
        <v>131.62</v>
      </c>
      <c r="T227" s="19">
        <v>2.5</v>
      </c>
      <c r="U227" s="19">
        <v>131.62</v>
      </c>
      <c r="V227" s="19">
        <v>0</v>
      </c>
      <c r="W227" s="19">
        <v>0</v>
      </c>
      <c r="X227" s="19">
        <v>0</v>
      </c>
      <c r="Y227" s="19">
        <v>263.24</v>
      </c>
      <c r="Z227" s="19">
        <v>0</v>
      </c>
      <c r="AA227" s="19" t="s">
        <v>306</v>
      </c>
      <c r="AB227" s="19" t="s">
        <v>1555</v>
      </c>
      <c r="AC227" s="19">
        <v>40159010</v>
      </c>
      <c r="AD227" s="19" t="s">
        <v>1092</v>
      </c>
      <c r="AE227" s="19">
        <v>1</v>
      </c>
      <c r="AF227" s="19">
        <v>0</v>
      </c>
      <c r="AG227" s="19" t="s">
        <v>1093</v>
      </c>
      <c r="AH227" s="19" t="s">
        <v>2319</v>
      </c>
    </row>
    <row r="228" spans="2:34" hidden="1" x14ac:dyDescent="0.35">
      <c r="B228" s="76">
        <v>46213</v>
      </c>
      <c r="C228" s="19" t="s">
        <v>305</v>
      </c>
      <c r="D228" s="19" t="s">
        <v>126</v>
      </c>
      <c r="E228" s="19" t="s">
        <v>416</v>
      </c>
      <c r="F228" s="19" t="s">
        <v>118</v>
      </c>
      <c r="G228" s="19" t="s">
        <v>417</v>
      </c>
      <c r="H228" s="76">
        <v>46212</v>
      </c>
      <c r="I228" s="19" t="s">
        <v>102</v>
      </c>
      <c r="J228" s="19" t="s">
        <v>1673</v>
      </c>
      <c r="K228" s="19" t="s">
        <v>1127</v>
      </c>
      <c r="L228" s="19" t="s">
        <v>102</v>
      </c>
      <c r="M228" s="19" t="s">
        <v>1709</v>
      </c>
      <c r="N228" s="19">
        <v>149</v>
      </c>
      <c r="O228" s="19">
        <v>29055</v>
      </c>
      <c r="P228" s="19" t="s">
        <v>1709</v>
      </c>
      <c r="Q228" s="19">
        <v>0</v>
      </c>
      <c r="R228" s="19">
        <v>2.5</v>
      </c>
      <c r="S228" s="19">
        <v>726.38</v>
      </c>
      <c r="T228" s="19">
        <v>2.5</v>
      </c>
      <c r="U228" s="19">
        <v>726.38</v>
      </c>
      <c r="V228" s="19">
        <v>0</v>
      </c>
      <c r="W228" s="19">
        <v>0</v>
      </c>
      <c r="X228" s="19">
        <v>0</v>
      </c>
      <c r="Y228" s="19">
        <v>1452.76</v>
      </c>
      <c r="Z228" s="19">
        <v>0</v>
      </c>
      <c r="AA228" s="19" t="s">
        <v>306</v>
      </c>
      <c r="AB228" s="19" t="s">
        <v>1555</v>
      </c>
      <c r="AC228" s="19">
        <v>320414</v>
      </c>
      <c r="AD228" s="19" t="s">
        <v>1092</v>
      </c>
      <c r="AE228" s="19">
        <v>1</v>
      </c>
      <c r="AF228" s="19">
        <v>0</v>
      </c>
      <c r="AG228" s="19" t="s">
        <v>1093</v>
      </c>
      <c r="AH228" s="19" t="s">
        <v>2319</v>
      </c>
    </row>
    <row r="229" spans="2:34" hidden="1" x14ac:dyDescent="0.35">
      <c r="B229" s="76">
        <v>46213</v>
      </c>
      <c r="C229" s="19" t="s">
        <v>445</v>
      </c>
      <c r="D229" s="19" t="s">
        <v>173</v>
      </c>
      <c r="E229" s="19" t="s">
        <v>443</v>
      </c>
      <c r="F229" s="19" t="s">
        <v>120</v>
      </c>
      <c r="G229" s="19" t="s">
        <v>444</v>
      </c>
      <c r="H229" s="76">
        <v>46198</v>
      </c>
      <c r="I229" s="19" t="s">
        <v>57</v>
      </c>
      <c r="J229" s="19" t="s">
        <v>58</v>
      </c>
      <c r="K229" s="19" t="s">
        <v>58</v>
      </c>
      <c r="L229" s="19" t="s">
        <v>1218</v>
      </c>
      <c r="M229" s="19" t="s">
        <v>1710</v>
      </c>
      <c r="N229" s="19">
        <v>100</v>
      </c>
      <c r="O229" s="19">
        <v>27700</v>
      </c>
      <c r="P229" s="19" t="s">
        <v>1710</v>
      </c>
      <c r="Q229" s="19">
        <v>407749</v>
      </c>
      <c r="R229" s="19">
        <v>0</v>
      </c>
      <c r="S229" s="19">
        <v>0</v>
      </c>
      <c r="T229" s="19">
        <v>0</v>
      </c>
      <c r="U229" s="19">
        <v>0</v>
      </c>
      <c r="V229" s="19">
        <v>18</v>
      </c>
      <c r="W229" s="19">
        <v>4986</v>
      </c>
      <c r="X229" s="19">
        <v>0</v>
      </c>
      <c r="Y229" s="19">
        <v>4986</v>
      </c>
      <c r="Z229" s="19">
        <v>0</v>
      </c>
      <c r="AA229" s="19" t="s">
        <v>446</v>
      </c>
      <c r="AB229" s="19" t="s">
        <v>1289</v>
      </c>
      <c r="AC229" s="19">
        <v>32151910</v>
      </c>
      <c r="AD229" s="19" t="s">
        <v>1092</v>
      </c>
      <c r="AE229" s="19">
        <v>1</v>
      </c>
      <c r="AF229" s="19">
        <v>0</v>
      </c>
      <c r="AG229" s="19" t="s">
        <v>1093</v>
      </c>
      <c r="AH229" s="19" t="s">
        <v>2319</v>
      </c>
    </row>
    <row r="230" spans="2:34" hidden="1" x14ac:dyDescent="0.35">
      <c r="B230" s="76">
        <v>46213</v>
      </c>
      <c r="C230" s="19" t="s">
        <v>445</v>
      </c>
      <c r="D230" s="19" t="s">
        <v>173</v>
      </c>
      <c r="E230" s="19" t="s">
        <v>443</v>
      </c>
      <c r="F230" s="19" t="s">
        <v>120</v>
      </c>
      <c r="G230" s="19" t="s">
        <v>444</v>
      </c>
      <c r="H230" s="76">
        <v>46198</v>
      </c>
      <c r="I230" s="19" t="s">
        <v>57</v>
      </c>
      <c r="J230" s="19" t="s">
        <v>58</v>
      </c>
      <c r="K230" s="19" t="s">
        <v>58</v>
      </c>
      <c r="L230" s="19" t="s">
        <v>1218</v>
      </c>
      <c r="M230" s="19" t="s">
        <v>1711</v>
      </c>
      <c r="N230" s="19">
        <v>100</v>
      </c>
      <c r="O230" s="19">
        <v>28200</v>
      </c>
      <c r="P230" s="19" t="s">
        <v>1711</v>
      </c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18</v>
      </c>
      <c r="W230" s="19">
        <v>5076</v>
      </c>
      <c r="X230" s="19">
        <v>0</v>
      </c>
      <c r="Y230" s="19">
        <v>5076</v>
      </c>
      <c r="Z230" s="19">
        <v>0</v>
      </c>
      <c r="AA230" s="19" t="s">
        <v>446</v>
      </c>
      <c r="AB230" s="19" t="s">
        <v>1289</v>
      </c>
      <c r="AC230" s="19">
        <v>84485900</v>
      </c>
      <c r="AD230" s="19" t="s">
        <v>1092</v>
      </c>
      <c r="AE230" s="19">
        <v>1</v>
      </c>
      <c r="AF230" s="19">
        <v>0</v>
      </c>
      <c r="AG230" s="19" t="s">
        <v>1093</v>
      </c>
      <c r="AH230" s="19" t="s">
        <v>2319</v>
      </c>
    </row>
    <row r="231" spans="2:34" hidden="1" x14ac:dyDescent="0.35">
      <c r="B231" s="76">
        <v>46213</v>
      </c>
      <c r="C231" s="19" t="s">
        <v>445</v>
      </c>
      <c r="D231" s="19" t="s">
        <v>173</v>
      </c>
      <c r="E231" s="19" t="s">
        <v>443</v>
      </c>
      <c r="F231" s="19" t="s">
        <v>120</v>
      </c>
      <c r="G231" s="19" t="s">
        <v>444</v>
      </c>
      <c r="H231" s="76">
        <v>46198</v>
      </c>
      <c r="I231" s="19" t="s">
        <v>57</v>
      </c>
      <c r="J231" s="19" t="s">
        <v>58</v>
      </c>
      <c r="K231" s="19" t="s">
        <v>58</v>
      </c>
      <c r="L231" s="19" t="s">
        <v>1218</v>
      </c>
      <c r="M231" s="19" t="s">
        <v>1712</v>
      </c>
      <c r="N231" s="19">
        <v>50</v>
      </c>
      <c r="O231" s="19">
        <v>14250</v>
      </c>
      <c r="P231" s="19" t="s">
        <v>1712</v>
      </c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18</v>
      </c>
      <c r="W231" s="19">
        <v>2565</v>
      </c>
      <c r="X231" s="19">
        <v>0</v>
      </c>
      <c r="Y231" s="19">
        <v>2565</v>
      </c>
      <c r="Z231" s="19">
        <v>0</v>
      </c>
      <c r="AA231" s="19" t="s">
        <v>446</v>
      </c>
      <c r="AB231" s="19" t="s">
        <v>1289</v>
      </c>
      <c r="AC231" s="19">
        <v>32151910</v>
      </c>
      <c r="AD231" s="19" t="s">
        <v>1092</v>
      </c>
      <c r="AE231" s="19">
        <v>1</v>
      </c>
      <c r="AF231" s="19">
        <v>0</v>
      </c>
      <c r="AG231" s="19" t="s">
        <v>1093</v>
      </c>
      <c r="AH231" s="19" t="s">
        <v>2319</v>
      </c>
    </row>
    <row r="232" spans="2:34" hidden="1" x14ac:dyDescent="0.35">
      <c r="B232" s="76">
        <v>46213</v>
      </c>
      <c r="C232" s="19" t="s">
        <v>445</v>
      </c>
      <c r="D232" s="19" t="s">
        <v>173</v>
      </c>
      <c r="E232" s="19" t="s">
        <v>443</v>
      </c>
      <c r="F232" s="19" t="s">
        <v>120</v>
      </c>
      <c r="G232" s="19" t="s">
        <v>444</v>
      </c>
      <c r="H232" s="76">
        <v>46198</v>
      </c>
      <c r="I232" s="19" t="s">
        <v>57</v>
      </c>
      <c r="J232" s="19" t="s">
        <v>58</v>
      </c>
      <c r="K232" s="19" t="s">
        <v>59</v>
      </c>
      <c r="L232" s="19" t="s">
        <v>1305</v>
      </c>
      <c r="M232" s="19" t="s">
        <v>1306</v>
      </c>
      <c r="N232" s="19">
        <v>2550</v>
      </c>
      <c r="O232" s="19">
        <v>275400</v>
      </c>
      <c r="P232" s="19" t="s">
        <v>1306</v>
      </c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18</v>
      </c>
      <c r="W232" s="19">
        <v>49572</v>
      </c>
      <c r="X232" s="19">
        <v>0</v>
      </c>
      <c r="Y232" s="19">
        <v>49572</v>
      </c>
      <c r="Z232" s="19">
        <v>0</v>
      </c>
      <c r="AA232" s="19" t="s">
        <v>446</v>
      </c>
      <c r="AB232" s="19" t="s">
        <v>1289</v>
      </c>
      <c r="AC232" s="19">
        <v>38140010</v>
      </c>
      <c r="AD232" s="19" t="s">
        <v>1092</v>
      </c>
      <c r="AE232" s="19">
        <v>1</v>
      </c>
      <c r="AF232" s="19">
        <v>0</v>
      </c>
      <c r="AG232" s="19" t="s">
        <v>1093</v>
      </c>
      <c r="AH232" s="19" t="s">
        <v>2319</v>
      </c>
    </row>
    <row r="233" spans="2:34" hidden="1" x14ac:dyDescent="0.35">
      <c r="B233" s="76">
        <v>46214</v>
      </c>
      <c r="C233" s="19" t="s">
        <v>435</v>
      </c>
      <c r="D233" s="19" t="s">
        <v>126</v>
      </c>
      <c r="E233" s="19" t="s">
        <v>459</v>
      </c>
      <c r="F233" s="19" t="s">
        <v>118</v>
      </c>
      <c r="G233" s="19" t="s">
        <v>460</v>
      </c>
      <c r="H233" s="76">
        <v>46213</v>
      </c>
      <c r="I233" s="19" t="s">
        <v>105</v>
      </c>
      <c r="J233" s="19" t="s">
        <v>1553</v>
      </c>
      <c r="K233" s="19" t="s">
        <v>1127</v>
      </c>
      <c r="L233" s="19" t="s">
        <v>1389</v>
      </c>
      <c r="M233" s="19" t="s">
        <v>1713</v>
      </c>
      <c r="N233" s="19">
        <v>6</v>
      </c>
      <c r="O233" s="19">
        <v>16176</v>
      </c>
      <c r="P233" s="19" t="s">
        <v>1713</v>
      </c>
      <c r="Q233" s="19">
        <v>49898</v>
      </c>
      <c r="R233" s="19">
        <v>2.5</v>
      </c>
      <c r="S233" s="19">
        <v>404.4</v>
      </c>
      <c r="T233" s="19">
        <v>2.5</v>
      </c>
      <c r="U233" s="19">
        <v>404.4</v>
      </c>
      <c r="V233" s="19">
        <v>0</v>
      </c>
      <c r="W233" s="19">
        <v>0</v>
      </c>
      <c r="X233" s="19">
        <v>0</v>
      </c>
      <c r="Y233" s="19">
        <v>808.8</v>
      </c>
      <c r="Z233" s="19">
        <v>0</v>
      </c>
      <c r="AA233" s="19" t="s">
        <v>436</v>
      </c>
      <c r="AB233" s="19" t="s">
        <v>1555</v>
      </c>
      <c r="AC233" s="19">
        <v>84529099</v>
      </c>
      <c r="AD233" s="19" t="s">
        <v>1092</v>
      </c>
      <c r="AE233" s="19">
        <v>1</v>
      </c>
      <c r="AF233" s="19">
        <v>0</v>
      </c>
      <c r="AG233" s="19" t="s">
        <v>1093</v>
      </c>
      <c r="AH233" s="19" t="s">
        <v>2319</v>
      </c>
    </row>
    <row r="234" spans="2:34" hidden="1" x14ac:dyDescent="0.35">
      <c r="B234" s="76">
        <v>46214</v>
      </c>
      <c r="C234" s="19" t="s">
        <v>435</v>
      </c>
      <c r="D234" s="19" t="s">
        <v>126</v>
      </c>
      <c r="E234" s="19" t="s">
        <v>459</v>
      </c>
      <c r="F234" s="19" t="s">
        <v>118</v>
      </c>
      <c r="G234" s="19" t="s">
        <v>460</v>
      </c>
      <c r="H234" s="76">
        <v>46213</v>
      </c>
      <c r="I234" s="19" t="s">
        <v>105</v>
      </c>
      <c r="J234" s="19" t="s">
        <v>1553</v>
      </c>
      <c r="K234" s="19" t="s">
        <v>1127</v>
      </c>
      <c r="L234" s="19" t="s">
        <v>1389</v>
      </c>
      <c r="M234" s="19" t="s">
        <v>1714</v>
      </c>
      <c r="N234" s="19">
        <v>6</v>
      </c>
      <c r="O234" s="19">
        <v>15480</v>
      </c>
      <c r="P234" s="19" t="s">
        <v>1714</v>
      </c>
      <c r="Q234" s="19">
        <v>0</v>
      </c>
      <c r="R234" s="19">
        <v>2.5</v>
      </c>
      <c r="S234" s="19">
        <v>387</v>
      </c>
      <c r="T234" s="19">
        <v>2.5</v>
      </c>
      <c r="U234" s="19">
        <v>387</v>
      </c>
      <c r="V234" s="19">
        <v>0</v>
      </c>
      <c r="W234" s="19">
        <v>0</v>
      </c>
      <c r="X234" s="19">
        <v>0</v>
      </c>
      <c r="Y234" s="19">
        <v>774</v>
      </c>
      <c r="Z234" s="19">
        <v>0</v>
      </c>
      <c r="AA234" s="19" t="s">
        <v>436</v>
      </c>
      <c r="AB234" s="19" t="s">
        <v>1555</v>
      </c>
      <c r="AC234" s="19">
        <v>84529099</v>
      </c>
      <c r="AD234" s="19" t="s">
        <v>1092</v>
      </c>
      <c r="AE234" s="19">
        <v>1</v>
      </c>
      <c r="AF234" s="19">
        <v>0</v>
      </c>
      <c r="AG234" s="19" t="s">
        <v>1093</v>
      </c>
      <c r="AH234" s="19" t="s">
        <v>2319</v>
      </c>
    </row>
    <row r="235" spans="2:34" hidden="1" x14ac:dyDescent="0.35">
      <c r="B235" s="76">
        <v>46214</v>
      </c>
      <c r="C235" s="19" t="s">
        <v>435</v>
      </c>
      <c r="D235" s="19" t="s">
        <v>126</v>
      </c>
      <c r="E235" s="19" t="s">
        <v>459</v>
      </c>
      <c r="F235" s="19" t="s">
        <v>118</v>
      </c>
      <c r="G235" s="19" t="s">
        <v>460</v>
      </c>
      <c r="H235" s="76">
        <v>46213</v>
      </c>
      <c r="I235" s="19" t="s">
        <v>105</v>
      </c>
      <c r="J235" s="19" t="s">
        <v>1553</v>
      </c>
      <c r="K235" s="19" t="s">
        <v>1127</v>
      </c>
      <c r="L235" s="19" t="s">
        <v>1389</v>
      </c>
      <c r="M235" s="19" t="s">
        <v>1715</v>
      </c>
      <c r="N235" s="19">
        <v>17</v>
      </c>
      <c r="O235" s="19">
        <v>2584</v>
      </c>
      <c r="P235" s="19" t="s">
        <v>1715</v>
      </c>
      <c r="Q235" s="19">
        <v>0</v>
      </c>
      <c r="R235" s="19">
        <v>9</v>
      </c>
      <c r="S235" s="19">
        <v>232.56</v>
      </c>
      <c r="T235" s="19">
        <v>9</v>
      </c>
      <c r="U235" s="19">
        <v>232.56</v>
      </c>
      <c r="V235" s="19">
        <v>0</v>
      </c>
      <c r="W235" s="19">
        <v>0</v>
      </c>
      <c r="X235" s="19">
        <v>0</v>
      </c>
      <c r="Y235" s="19">
        <v>465.12</v>
      </c>
      <c r="Z235" s="19">
        <v>0</v>
      </c>
      <c r="AA235" s="19" t="s">
        <v>436</v>
      </c>
      <c r="AB235" s="19" t="s">
        <v>1555</v>
      </c>
      <c r="AC235" s="19">
        <v>84529099</v>
      </c>
      <c r="AD235" s="19" t="s">
        <v>1092</v>
      </c>
      <c r="AE235" s="19">
        <v>1</v>
      </c>
      <c r="AF235" s="19">
        <v>0</v>
      </c>
      <c r="AG235" s="19" t="s">
        <v>1093</v>
      </c>
      <c r="AH235" s="19" t="s">
        <v>2319</v>
      </c>
    </row>
    <row r="236" spans="2:34" hidden="1" x14ac:dyDescent="0.35">
      <c r="B236" s="76">
        <v>46214</v>
      </c>
      <c r="C236" s="19" t="s">
        <v>435</v>
      </c>
      <c r="D236" s="19" t="s">
        <v>126</v>
      </c>
      <c r="E236" s="19" t="s">
        <v>459</v>
      </c>
      <c r="F236" s="19" t="s">
        <v>118</v>
      </c>
      <c r="G236" s="19" t="s">
        <v>460</v>
      </c>
      <c r="H236" s="76">
        <v>46213</v>
      </c>
      <c r="I236" s="19" t="s">
        <v>105</v>
      </c>
      <c r="J236" s="19" t="s">
        <v>1553</v>
      </c>
      <c r="K236" s="19" t="s">
        <v>1127</v>
      </c>
      <c r="L236" s="19" t="s">
        <v>1389</v>
      </c>
      <c r="M236" s="19" t="s">
        <v>1716</v>
      </c>
      <c r="N236" s="19">
        <v>13</v>
      </c>
      <c r="O236" s="19">
        <v>1716</v>
      </c>
      <c r="P236" s="19" t="s">
        <v>1716</v>
      </c>
      <c r="Q236" s="19">
        <v>0</v>
      </c>
      <c r="R236" s="19">
        <v>9</v>
      </c>
      <c r="S236" s="19">
        <v>158.94</v>
      </c>
      <c r="T236" s="19">
        <v>9</v>
      </c>
      <c r="U236" s="19">
        <v>158.94</v>
      </c>
      <c r="V236" s="19">
        <v>0</v>
      </c>
      <c r="W236" s="19">
        <v>0</v>
      </c>
      <c r="X236" s="19">
        <v>0</v>
      </c>
      <c r="Y236" s="19">
        <v>317.88</v>
      </c>
      <c r="Z236" s="19">
        <v>0</v>
      </c>
      <c r="AA236" s="19" t="s">
        <v>436</v>
      </c>
      <c r="AB236" s="19" t="s">
        <v>1555</v>
      </c>
      <c r="AC236" s="19">
        <v>84529099</v>
      </c>
      <c r="AD236" s="19" t="s">
        <v>1092</v>
      </c>
      <c r="AE236" s="19">
        <v>1</v>
      </c>
      <c r="AF236" s="19">
        <v>0</v>
      </c>
      <c r="AG236" s="19" t="s">
        <v>1093</v>
      </c>
      <c r="AH236" s="19" t="s">
        <v>2319</v>
      </c>
    </row>
    <row r="237" spans="2:34" hidden="1" x14ac:dyDescent="0.35">
      <c r="B237" s="76">
        <v>46214</v>
      </c>
      <c r="C237" s="19" t="s">
        <v>435</v>
      </c>
      <c r="D237" s="19" t="s">
        <v>126</v>
      </c>
      <c r="E237" s="19" t="s">
        <v>459</v>
      </c>
      <c r="F237" s="19" t="s">
        <v>118</v>
      </c>
      <c r="G237" s="19" t="s">
        <v>460</v>
      </c>
      <c r="H237" s="76">
        <v>46213</v>
      </c>
      <c r="I237" s="19" t="s">
        <v>105</v>
      </c>
      <c r="J237" s="19" t="s">
        <v>1553</v>
      </c>
      <c r="K237" s="19" t="s">
        <v>1127</v>
      </c>
      <c r="L237" s="19" t="s">
        <v>1389</v>
      </c>
      <c r="M237" s="19" t="s">
        <v>1717</v>
      </c>
      <c r="N237" s="19">
        <v>20</v>
      </c>
      <c r="O237" s="19">
        <v>1920</v>
      </c>
      <c r="P237" s="19" t="s">
        <v>1717</v>
      </c>
      <c r="Q237" s="19">
        <v>0</v>
      </c>
      <c r="R237" s="19">
        <v>9</v>
      </c>
      <c r="S237" s="19">
        <v>172.8</v>
      </c>
      <c r="T237" s="19">
        <v>9</v>
      </c>
      <c r="U237" s="19">
        <v>172.8</v>
      </c>
      <c r="V237" s="19">
        <v>0</v>
      </c>
      <c r="W237" s="19">
        <v>0</v>
      </c>
      <c r="X237" s="19">
        <v>0</v>
      </c>
      <c r="Y237" s="19">
        <v>345.6</v>
      </c>
      <c r="Z237" s="19">
        <v>0</v>
      </c>
      <c r="AA237" s="19" t="s">
        <v>436</v>
      </c>
      <c r="AB237" s="19" t="s">
        <v>1555</v>
      </c>
      <c r="AC237" s="19">
        <v>84529099</v>
      </c>
      <c r="AD237" s="19" t="s">
        <v>1092</v>
      </c>
      <c r="AE237" s="19">
        <v>1</v>
      </c>
      <c r="AF237" s="19">
        <v>0</v>
      </c>
      <c r="AG237" s="19" t="s">
        <v>1093</v>
      </c>
      <c r="AH237" s="19" t="s">
        <v>2319</v>
      </c>
    </row>
    <row r="238" spans="2:34" hidden="1" x14ac:dyDescent="0.35">
      <c r="B238" s="76">
        <v>46214</v>
      </c>
      <c r="C238" s="19" t="s">
        <v>435</v>
      </c>
      <c r="D238" s="19" t="s">
        <v>126</v>
      </c>
      <c r="E238" s="19" t="s">
        <v>459</v>
      </c>
      <c r="F238" s="19" t="s">
        <v>118</v>
      </c>
      <c r="G238" s="19" t="s">
        <v>460</v>
      </c>
      <c r="H238" s="76">
        <v>46213</v>
      </c>
      <c r="I238" s="19" t="s">
        <v>105</v>
      </c>
      <c r="J238" s="19" t="s">
        <v>1553</v>
      </c>
      <c r="K238" s="19" t="s">
        <v>1127</v>
      </c>
      <c r="L238" s="19" t="s">
        <v>1389</v>
      </c>
      <c r="M238" s="19" t="s">
        <v>1718</v>
      </c>
      <c r="N238" s="19">
        <v>5</v>
      </c>
      <c r="O238" s="19">
        <v>8820</v>
      </c>
      <c r="P238" s="19" t="s">
        <v>1718</v>
      </c>
      <c r="Q238" s="19">
        <v>0</v>
      </c>
      <c r="R238" s="19">
        <v>2.5</v>
      </c>
      <c r="S238" s="19">
        <v>220.5</v>
      </c>
      <c r="T238" s="19">
        <v>2.5</v>
      </c>
      <c r="U238" s="19">
        <v>220.5</v>
      </c>
      <c r="V238" s="19">
        <v>0</v>
      </c>
      <c r="W238" s="19">
        <v>0</v>
      </c>
      <c r="X238" s="19">
        <v>0</v>
      </c>
      <c r="Y238" s="19">
        <v>441</v>
      </c>
      <c r="Z238" s="19">
        <v>0</v>
      </c>
      <c r="AA238" s="19" t="s">
        <v>436</v>
      </c>
      <c r="AB238" s="19" t="s">
        <v>1555</v>
      </c>
      <c r="AC238" s="19">
        <v>84529099</v>
      </c>
      <c r="AD238" s="19" t="s">
        <v>1092</v>
      </c>
      <c r="AE238" s="19">
        <v>1</v>
      </c>
      <c r="AF238" s="19">
        <v>0</v>
      </c>
      <c r="AG238" s="19" t="s">
        <v>1093</v>
      </c>
      <c r="AH238" s="19" t="s">
        <v>2319</v>
      </c>
    </row>
    <row r="239" spans="2:34" hidden="1" x14ac:dyDescent="0.35">
      <c r="B239" s="76">
        <v>46214</v>
      </c>
      <c r="C239" s="19" t="s">
        <v>218</v>
      </c>
      <c r="D239" s="19" t="s">
        <v>126</v>
      </c>
      <c r="E239" s="19" t="s">
        <v>457</v>
      </c>
      <c r="F239" s="19" t="s">
        <v>118</v>
      </c>
      <c r="G239" s="19" t="s">
        <v>458</v>
      </c>
      <c r="H239" s="76">
        <v>46213</v>
      </c>
      <c r="I239" s="19" t="s">
        <v>105</v>
      </c>
      <c r="J239" s="19" t="s">
        <v>1586</v>
      </c>
      <c r="K239" s="19" t="s">
        <v>1127</v>
      </c>
      <c r="L239" s="19" t="s">
        <v>1389</v>
      </c>
      <c r="M239" s="19" t="s">
        <v>1719</v>
      </c>
      <c r="N239" s="19">
        <v>100</v>
      </c>
      <c r="O239" s="19">
        <v>3576.3</v>
      </c>
      <c r="P239" s="19" t="s">
        <v>1719</v>
      </c>
      <c r="Q239" s="19">
        <v>4368</v>
      </c>
      <c r="R239" s="19">
        <v>9</v>
      </c>
      <c r="S239" s="19">
        <v>333.12</v>
      </c>
      <c r="T239" s="19">
        <v>9</v>
      </c>
      <c r="U239" s="19">
        <v>333.12</v>
      </c>
      <c r="V239" s="19">
        <v>0</v>
      </c>
      <c r="W239" s="19">
        <v>0</v>
      </c>
      <c r="X239" s="19">
        <v>0</v>
      </c>
      <c r="Y239" s="19">
        <v>666.24</v>
      </c>
      <c r="Z239" s="19">
        <v>0</v>
      </c>
      <c r="AA239" s="19" t="s">
        <v>219</v>
      </c>
      <c r="AB239" s="19" t="s">
        <v>1555</v>
      </c>
      <c r="AC239" s="19">
        <v>84529000</v>
      </c>
      <c r="AD239" s="19" t="s">
        <v>1092</v>
      </c>
      <c r="AE239" s="19">
        <v>1</v>
      </c>
      <c r="AF239" s="19">
        <v>0</v>
      </c>
      <c r="AG239" s="19" t="s">
        <v>1093</v>
      </c>
      <c r="AH239" s="19" t="s">
        <v>2319</v>
      </c>
    </row>
    <row r="240" spans="2:34" hidden="1" x14ac:dyDescent="0.35">
      <c r="B240" s="76">
        <v>46214</v>
      </c>
      <c r="C240" s="19" t="s">
        <v>237</v>
      </c>
      <c r="D240" s="19" t="s">
        <v>126</v>
      </c>
      <c r="E240" s="19" t="s">
        <v>453</v>
      </c>
      <c r="F240" s="19" t="s">
        <v>118</v>
      </c>
      <c r="G240" s="19">
        <v>302</v>
      </c>
      <c r="H240" s="76">
        <v>46210</v>
      </c>
      <c r="I240" s="19" t="s">
        <v>36</v>
      </c>
      <c r="J240" s="19" t="s">
        <v>1350</v>
      </c>
      <c r="K240" s="19" t="s">
        <v>39</v>
      </c>
      <c r="L240" s="19" t="s">
        <v>102</v>
      </c>
      <c r="M240" s="19" t="s">
        <v>1603</v>
      </c>
      <c r="N240" s="19">
        <v>2</v>
      </c>
      <c r="O240" s="19">
        <v>1634</v>
      </c>
      <c r="P240" s="19" t="s">
        <v>1603</v>
      </c>
      <c r="Q240" s="19">
        <v>24708</v>
      </c>
      <c r="R240" s="19">
        <v>9</v>
      </c>
      <c r="S240" s="19">
        <v>147.06</v>
      </c>
      <c r="T240" s="19">
        <v>9</v>
      </c>
      <c r="U240" s="19">
        <v>147.06</v>
      </c>
      <c r="V240" s="19">
        <v>0</v>
      </c>
      <c r="W240" s="19">
        <v>0</v>
      </c>
      <c r="X240" s="19">
        <v>90</v>
      </c>
      <c r="Y240" s="19">
        <v>384.12</v>
      </c>
      <c r="Z240" s="19">
        <v>0</v>
      </c>
      <c r="AA240" s="19" t="s">
        <v>238</v>
      </c>
      <c r="AB240" s="19" t="s">
        <v>1289</v>
      </c>
      <c r="AC240" s="19">
        <v>392300</v>
      </c>
      <c r="AD240" s="19" t="s">
        <v>1092</v>
      </c>
      <c r="AE240" s="19">
        <v>1</v>
      </c>
      <c r="AF240" s="19">
        <v>2</v>
      </c>
      <c r="AG240" s="19"/>
      <c r="AH240" s="19" t="s">
        <v>2319</v>
      </c>
    </row>
    <row r="241" spans="2:34" hidden="1" x14ac:dyDescent="0.35">
      <c r="B241" s="76">
        <v>46214</v>
      </c>
      <c r="C241" s="19" t="s">
        <v>237</v>
      </c>
      <c r="D241" s="19" t="s">
        <v>126</v>
      </c>
      <c r="E241" s="19" t="s">
        <v>453</v>
      </c>
      <c r="F241" s="19" t="s">
        <v>118</v>
      </c>
      <c r="G241" s="19">
        <v>302</v>
      </c>
      <c r="H241" s="76">
        <v>46210</v>
      </c>
      <c r="I241" s="19" t="s">
        <v>36</v>
      </c>
      <c r="J241" s="19" t="s">
        <v>1350</v>
      </c>
      <c r="K241" s="19" t="s">
        <v>39</v>
      </c>
      <c r="L241" s="19" t="s">
        <v>102</v>
      </c>
      <c r="M241" s="19" t="s">
        <v>1603</v>
      </c>
      <c r="N241" s="19">
        <f>AF241</f>
        <v>2.4</v>
      </c>
      <c r="O241" s="19">
        <v>1800</v>
      </c>
      <c r="P241" s="19" t="s">
        <v>1603</v>
      </c>
      <c r="Q241" s="19">
        <v>0</v>
      </c>
      <c r="R241" s="19">
        <v>9</v>
      </c>
      <c r="S241" s="19">
        <v>162</v>
      </c>
      <c r="T241" s="19">
        <v>9</v>
      </c>
      <c r="U241" s="19">
        <v>162</v>
      </c>
      <c r="V241" s="19">
        <v>0</v>
      </c>
      <c r="W241" s="19">
        <v>0</v>
      </c>
      <c r="X241" s="19">
        <v>90</v>
      </c>
      <c r="Y241" s="19">
        <v>414</v>
      </c>
      <c r="Z241" s="19">
        <v>0</v>
      </c>
      <c r="AA241" s="19" t="s">
        <v>238</v>
      </c>
      <c r="AB241" s="19" t="s">
        <v>1289</v>
      </c>
      <c r="AC241" s="19">
        <v>392300</v>
      </c>
      <c r="AD241" s="19" t="s">
        <v>1092</v>
      </c>
      <c r="AE241" s="19">
        <v>1</v>
      </c>
      <c r="AF241" s="19">
        <v>2.4</v>
      </c>
      <c r="AG241" s="19"/>
      <c r="AH241" s="19" t="s">
        <v>2319</v>
      </c>
    </row>
    <row r="242" spans="2:34" hidden="1" x14ac:dyDescent="0.35">
      <c r="B242" s="76">
        <v>46214</v>
      </c>
      <c r="C242" s="19" t="s">
        <v>237</v>
      </c>
      <c r="D242" s="19" t="s">
        <v>126</v>
      </c>
      <c r="E242" s="19" t="s">
        <v>453</v>
      </c>
      <c r="F242" s="19" t="s">
        <v>118</v>
      </c>
      <c r="G242" s="19">
        <v>302</v>
      </c>
      <c r="H242" s="76">
        <v>46210</v>
      </c>
      <c r="I242" s="19" t="s">
        <v>36</v>
      </c>
      <c r="J242" s="19" t="s">
        <v>1350</v>
      </c>
      <c r="K242" s="19" t="s">
        <v>39</v>
      </c>
      <c r="L242" s="19" t="s">
        <v>102</v>
      </c>
      <c r="M242" s="19" t="s">
        <v>1603</v>
      </c>
      <c r="N242" s="19">
        <f>AF242</f>
        <v>19.100000000000001</v>
      </c>
      <c r="O242" s="19">
        <v>5260</v>
      </c>
      <c r="P242" s="19" t="s">
        <v>1603</v>
      </c>
      <c r="Q242" s="19">
        <v>0</v>
      </c>
      <c r="R242" s="19">
        <v>9</v>
      </c>
      <c r="S242" s="19">
        <v>473.4</v>
      </c>
      <c r="T242" s="19">
        <v>9</v>
      </c>
      <c r="U242" s="19">
        <v>473.4</v>
      </c>
      <c r="V242" s="19">
        <v>0</v>
      </c>
      <c r="W242" s="19">
        <v>0</v>
      </c>
      <c r="X242" s="19">
        <v>90</v>
      </c>
      <c r="Y242" s="19">
        <v>1036.8</v>
      </c>
      <c r="Z242" s="19">
        <v>0</v>
      </c>
      <c r="AA242" s="19" t="s">
        <v>238</v>
      </c>
      <c r="AB242" s="19" t="s">
        <v>1289</v>
      </c>
      <c r="AC242" s="19">
        <v>392300</v>
      </c>
      <c r="AD242" s="19" t="s">
        <v>1092</v>
      </c>
      <c r="AE242" s="19">
        <v>1</v>
      </c>
      <c r="AF242" s="19">
        <v>19.100000000000001</v>
      </c>
      <c r="AG242" s="19"/>
      <c r="AH242" s="19" t="s">
        <v>2319</v>
      </c>
    </row>
    <row r="243" spans="2:34" hidden="1" x14ac:dyDescent="0.35">
      <c r="B243" s="76">
        <v>46214</v>
      </c>
      <c r="C243" s="19" t="s">
        <v>237</v>
      </c>
      <c r="D243" s="19" t="s">
        <v>126</v>
      </c>
      <c r="E243" s="19" t="s">
        <v>453</v>
      </c>
      <c r="F243" s="19" t="s">
        <v>118</v>
      </c>
      <c r="G243" s="19">
        <v>302</v>
      </c>
      <c r="H243" s="76">
        <v>46210</v>
      </c>
      <c r="I243" s="19" t="s">
        <v>36</v>
      </c>
      <c r="J243" s="19" t="s">
        <v>1350</v>
      </c>
      <c r="K243" s="19" t="s">
        <v>39</v>
      </c>
      <c r="L243" s="19" t="s">
        <v>102</v>
      </c>
      <c r="M243" s="19" t="s">
        <v>1603</v>
      </c>
      <c r="N243" s="19">
        <f>AF243</f>
        <v>28.7</v>
      </c>
      <c r="O243" s="19">
        <v>11745</v>
      </c>
      <c r="P243" s="19" t="s">
        <v>1603</v>
      </c>
      <c r="Q243" s="19">
        <v>0</v>
      </c>
      <c r="R243" s="19">
        <v>9</v>
      </c>
      <c r="S243" s="19">
        <v>1057.05</v>
      </c>
      <c r="T243" s="19">
        <v>9</v>
      </c>
      <c r="U243" s="19">
        <v>1057.05</v>
      </c>
      <c r="V243" s="19">
        <v>0</v>
      </c>
      <c r="W243" s="19">
        <v>0</v>
      </c>
      <c r="X243" s="19">
        <v>90</v>
      </c>
      <c r="Y243" s="19">
        <v>2204.1</v>
      </c>
      <c r="Z243" s="19">
        <v>0</v>
      </c>
      <c r="AA243" s="19" t="s">
        <v>238</v>
      </c>
      <c r="AB243" s="19" t="s">
        <v>1289</v>
      </c>
      <c r="AC243" s="19">
        <v>392300</v>
      </c>
      <c r="AD243" s="19" t="s">
        <v>1092</v>
      </c>
      <c r="AE243" s="19">
        <v>1</v>
      </c>
      <c r="AF243" s="19">
        <v>28.7</v>
      </c>
      <c r="AG243" s="19"/>
      <c r="AH243" s="19" t="s">
        <v>2319</v>
      </c>
    </row>
    <row r="244" spans="2:34" hidden="1" x14ac:dyDescent="0.35">
      <c r="B244" s="76">
        <v>46214</v>
      </c>
      <c r="C244" s="19" t="s">
        <v>234</v>
      </c>
      <c r="D244" s="19" t="s">
        <v>126</v>
      </c>
      <c r="E244" s="19" t="s">
        <v>452</v>
      </c>
      <c r="F244" s="19" t="s">
        <v>118</v>
      </c>
      <c r="G244" s="19">
        <v>312</v>
      </c>
      <c r="H244" s="76">
        <v>46210</v>
      </c>
      <c r="I244" s="19" t="s">
        <v>57</v>
      </c>
      <c r="J244" s="19" t="s">
        <v>29</v>
      </c>
      <c r="K244" s="19" t="s">
        <v>29</v>
      </c>
      <c r="L244" s="19" t="s">
        <v>102</v>
      </c>
      <c r="M244" s="19" t="s">
        <v>1604</v>
      </c>
      <c r="N244" s="19">
        <v>2000</v>
      </c>
      <c r="O244" s="19">
        <v>5200</v>
      </c>
      <c r="P244" s="19" t="s">
        <v>1604</v>
      </c>
      <c r="Q244" s="19">
        <v>6136</v>
      </c>
      <c r="R244" s="19">
        <v>9</v>
      </c>
      <c r="S244" s="19">
        <v>468</v>
      </c>
      <c r="T244" s="19">
        <v>9</v>
      </c>
      <c r="U244" s="19">
        <v>468</v>
      </c>
      <c r="V244" s="19">
        <v>0</v>
      </c>
      <c r="W244" s="19">
        <v>0</v>
      </c>
      <c r="X244" s="19">
        <v>0</v>
      </c>
      <c r="Y244" s="19">
        <v>936</v>
      </c>
      <c r="Z244" s="19">
        <v>0</v>
      </c>
      <c r="AA244" s="19" t="s">
        <v>235</v>
      </c>
      <c r="AB244" s="19" t="s">
        <v>1555</v>
      </c>
      <c r="AC244" s="19">
        <v>58079010</v>
      </c>
      <c r="AD244" s="19" t="s">
        <v>1092</v>
      </c>
      <c r="AE244" s="19">
        <v>1</v>
      </c>
      <c r="AF244" s="19">
        <v>6.6</v>
      </c>
      <c r="AG244" s="19" t="s">
        <v>1093</v>
      </c>
      <c r="AH244" s="19" t="s">
        <v>2319</v>
      </c>
    </row>
    <row r="245" spans="2:34" hidden="1" x14ac:dyDescent="0.35">
      <c r="B245" s="76">
        <v>46214</v>
      </c>
      <c r="C245" s="19" t="s">
        <v>308</v>
      </c>
      <c r="D245" s="19" t="s">
        <v>126</v>
      </c>
      <c r="E245" s="19" t="s">
        <v>456</v>
      </c>
      <c r="F245" s="19" t="s">
        <v>118</v>
      </c>
      <c r="G245" s="19">
        <v>1065</v>
      </c>
      <c r="H245" s="76">
        <v>46213</v>
      </c>
      <c r="I245" s="19" t="s">
        <v>105</v>
      </c>
      <c r="J245" s="19" t="s">
        <v>1586</v>
      </c>
      <c r="K245" s="19" t="s">
        <v>1127</v>
      </c>
      <c r="L245" s="19" t="s">
        <v>1389</v>
      </c>
      <c r="M245" s="19" t="s">
        <v>1720</v>
      </c>
      <c r="N245" s="19">
        <v>10</v>
      </c>
      <c r="O245" s="19">
        <v>224.196</v>
      </c>
      <c r="P245" s="19" t="s">
        <v>1720</v>
      </c>
      <c r="Q245" s="19">
        <v>548</v>
      </c>
      <c r="R245" s="19">
        <v>9</v>
      </c>
      <c r="S245" s="19">
        <v>20.18</v>
      </c>
      <c r="T245" s="19">
        <v>9</v>
      </c>
      <c r="U245" s="19">
        <v>20.18</v>
      </c>
      <c r="V245" s="19">
        <v>0</v>
      </c>
      <c r="W245" s="19">
        <v>0</v>
      </c>
      <c r="X245" s="19">
        <v>0</v>
      </c>
      <c r="Y245" s="19">
        <v>40.36</v>
      </c>
      <c r="Z245" s="19">
        <v>0</v>
      </c>
      <c r="AA245" s="19" t="s">
        <v>309</v>
      </c>
      <c r="AB245" s="19" t="s">
        <v>1572</v>
      </c>
      <c r="AC245" s="19">
        <v>84821011</v>
      </c>
      <c r="AD245" s="19" t="s">
        <v>1092</v>
      </c>
      <c r="AE245" s="19">
        <v>1</v>
      </c>
      <c r="AF245" s="19">
        <v>0</v>
      </c>
      <c r="AG245" s="19" t="s">
        <v>1093</v>
      </c>
      <c r="AH245" s="19" t="s">
        <v>2319</v>
      </c>
    </row>
    <row r="246" spans="2:34" hidden="1" x14ac:dyDescent="0.35">
      <c r="B246" s="76">
        <v>46214</v>
      </c>
      <c r="C246" s="19" t="s">
        <v>308</v>
      </c>
      <c r="D246" s="19" t="s">
        <v>126</v>
      </c>
      <c r="E246" s="19" t="s">
        <v>456</v>
      </c>
      <c r="F246" s="19" t="s">
        <v>118</v>
      </c>
      <c r="G246" s="19">
        <v>1065</v>
      </c>
      <c r="H246" s="76">
        <v>46213</v>
      </c>
      <c r="I246" s="19" t="s">
        <v>105</v>
      </c>
      <c r="J246" s="19" t="s">
        <v>1586</v>
      </c>
      <c r="K246" s="19" t="s">
        <v>1127</v>
      </c>
      <c r="L246" s="19" t="s">
        <v>1389</v>
      </c>
      <c r="M246" s="19" t="s">
        <v>1721</v>
      </c>
      <c r="N246" s="19">
        <v>5</v>
      </c>
      <c r="O246" s="19">
        <v>240</v>
      </c>
      <c r="P246" s="19" t="s">
        <v>1721</v>
      </c>
      <c r="Q246" s="19">
        <v>0</v>
      </c>
      <c r="R246" s="19">
        <v>9</v>
      </c>
      <c r="S246" s="19">
        <v>21.6</v>
      </c>
      <c r="T246" s="19">
        <v>9</v>
      </c>
      <c r="U246" s="19">
        <v>21.6</v>
      </c>
      <c r="V246" s="19">
        <v>0</v>
      </c>
      <c r="W246" s="19">
        <v>0</v>
      </c>
      <c r="X246" s="19">
        <v>0</v>
      </c>
      <c r="Y246" s="19">
        <v>43.2</v>
      </c>
      <c r="Z246" s="19">
        <v>0</v>
      </c>
      <c r="AA246" s="19" t="s">
        <v>309</v>
      </c>
      <c r="AB246" s="19" t="s">
        <v>1572</v>
      </c>
      <c r="AC246" s="19">
        <v>84821011</v>
      </c>
      <c r="AD246" s="19" t="s">
        <v>1092</v>
      </c>
      <c r="AE246" s="19">
        <v>1</v>
      </c>
      <c r="AF246" s="19">
        <v>0</v>
      </c>
      <c r="AG246" s="19" t="s">
        <v>1093</v>
      </c>
      <c r="AH246" s="19" t="s">
        <v>2319</v>
      </c>
    </row>
    <row r="247" spans="2:34" x14ac:dyDescent="0.35">
      <c r="B247" s="76">
        <v>46214</v>
      </c>
      <c r="C247" s="19" t="s">
        <v>138</v>
      </c>
      <c r="D247" s="19" t="s">
        <v>173</v>
      </c>
      <c r="E247" s="19" t="s">
        <v>461</v>
      </c>
      <c r="F247" s="19" t="s">
        <v>123</v>
      </c>
      <c r="G247" s="19" t="s">
        <v>462</v>
      </c>
      <c r="H247" s="76">
        <v>46214</v>
      </c>
      <c r="I247" s="19" t="s">
        <v>49</v>
      </c>
      <c r="J247" s="19" t="s">
        <v>50</v>
      </c>
      <c r="K247" s="19" t="s">
        <v>50</v>
      </c>
      <c r="L247" s="19" t="s">
        <v>1095</v>
      </c>
      <c r="M247" s="19" t="s">
        <v>1098</v>
      </c>
      <c r="N247" s="19">
        <v>8683.4</v>
      </c>
      <c r="O247" s="19">
        <v>3003501.2259999998</v>
      </c>
      <c r="P247" s="19" t="s">
        <v>1098</v>
      </c>
      <c r="Q247" s="19">
        <v>3003501.23</v>
      </c>
      <c r="R247" s="19">
        <v>0.05</v>
      </c>
      <c r="S247" s="19">
        <v>1501.75</v>
      </c>
      <c r="T247" s="19">
        <v>0.05</v>
      </c>
      <c r="U247" s="19">
        <v>1501.75</v>
      </c>
      <c r="V247" s="19">
        <v>0</v>
      </c>
      <c r="W247" s="19">
        <v>0</v>
      </c>
      <c r="X247" s="19">
        <v>0</v>
      </c>
      <c r="Y247" s="19">
        <v>3003.5</v>
      </c>
      <c r="Z247" s="19">
        <v>0</v>
      </c>
      <c r="AA247" s="19" t="s">
        <v>135</v>
      </c>
      <c r="AB247" s="19" t="s">
        <v>1289</v>
      </c>
      <c r="AC247" s="19">
        <v>63053200</v>
      </c>
      <c r="AD247" s="19" t="s">
        <v>1092</v>
      </c>
      <c r="AE247" s="19">
        <v>1</v>
      </c>
      <c r="AF247" s="19">
        <v>8683.4</v>
      </c>
      <c r="AG247" s="19" t="s">
        <v>1093</v>
      </c>
      <c r="AH247" s="19" t="s">
        <v>50</v>
      </c>
    </row>
    <row r="248" spans="2:34" hidden="1" x14ac:dyDescent="0.35">
      <c r="B248" s="76">
        <v>46214</v>
      </c>
      <c r="C248" s="19" t="s">
        <v>134</v>
      </c>
      <c r="D248" s="19" t="s">
        <v>7</v>
      </c>
      <c r="E248" s="19" t="s">
        <v>454</v>
      </c>
      <c r="F248" s="19" t="s">
        <v>119</v>
      </c>
      <c r="G248" s="19" t="s">
        <v>455</v>
      </c>
      <c r="H248" s="76">
        <v>46213</v>
      </c>
      <c r="I248" s="19" t="s">
        <v>105</v>
      </c>
      <c r="J248" s="19" t="s">
        <v>1142</v>
      </c>
      <c r="K248" s="19" t="s">
        <v>1509</v>
      </c>
      <c r="L248" s="19" t="s">
        <v>1509</v>
      </c>
      <c r="M248" s="19" t="s">
        <v>1145</v>
      </c>
      <c r="N248" s="19">
        <v>115</v>
      </c>
      <c r="O248" s="19">
        <v>5520</v>
      </c>
      <c r="P248" s="19" t="s">
        <v>1145</v>
      </c>
      <c r="Q248" s="19">
        <v>6507.78</v>
      </c>
      <c r="R248" s="19">
        <v>9</v>
      </c>
      <c r="S248" s="19">
        <v>496.8</v>
      </c>
      <c r="T248" s="19">
        <v>9</v>
      </c>
      <c r="U248" s="19">
        <v>496.8</v>
      </c>
      <c r="V248" s="19">
        <v>0</v>
      </c>
      <c r="W248" s="19">
        <v>0</v>
      </c>
      <c r="X248" s="19">
        <v>0</v>
      </c>
      <c r="Y248" s="19">
        <v>993.6</v>
      </c>
      <c r="Z248" s="19">
        <v>0</v>
      </c>
      <c r="AA248" s="19" t="s">
        <v>135</v>
      </c>
      <c r="AB248" s="19" t="s">
        <v>1091</v>
      </c>
      <c r="AC248" s="19">
        <v>7306309</v>
      </c>
      <c r="AD248" s="19" t="s">
        <v>1092</v>
      </c>
      <c r="AE248" s="19">
        <v>1</v>
      </c>
      <c r="AF248" s="19">
        <v>0</v>
      </c>
      <c r="AG248" s="19" t="s">
        <v>1093</v>
      </c>
      <c r="AH248" s="19" t="s">
        <v>2319</v>
      </c>
    </row>
    <row r="249" spans="2:34" x14ac:dyDescent="0.35">
      <c r="B249" s="76">
        <v>46214</v>
      </c>
      <c r="C249" s="19" t="s">
        <v>134</v>
      </c>
      <c r="D249" s="19" t="s">
        <v>173</v>
      </c>
      <c r="E249" s="19" t="s">
        <v>463</v>
      </c>
      <c r="F249" s="19" t="s">
        <v>123</v>
      </c>
      <c r="G249" s="19" t="s">
        <v>464</v>
      </c>
      <c r="H249" s="76">
        <v>46213</v>
      </c>
      <c r="I249" s="19" t="s">
        <v>28</v>
      </c>
      <c r="J249" s="19" t="s">
        <v>1173</v>
      </c>
      <c r="K249" s="19" t="s">
        <v>35</v>
      </c>
      <c r="L249" s="19" t="s">
        <v>1186</v>
      </c>
      <c r="M249" s="19" t="s">
        <v>1722</v>
      </c>
      <c r="N249" s="19">
        <v>2100</v>
      </c>
      <c r="O249" s="19">
        <v>504000</v>
      </c>
      <c r="P249" s="19" t="s">
        <v>1722</v>
      </c>
      <c r="Q249" s="19">
        <v>1354498.35</v>
      </c>
      <c r="R249" s="19">
        <v>9</v>
      </c>
      <c r="S249" s="19">
        <v>45360</v>
      </c>
      <c r="T249" s="19">
        <v>9</v>
      </c>
      <c r="U249" s="19">
        <v>45360</v>
      </c>
      <c r="V249" s="19">
        <v>0</v>
      </c>
      <c r="W249" s="19">
        <v>0</v>
      </c>
      <c r="X249" s="19">
        <v>0</v>
      </c>
      <c r="Y249" s="19">
        <v>90720</v>
      </c>
      <c r="Z249" s="19">
        <v>0</v>
      </c>
      <c r="AA249" s="19" t="s">
        <v>135</v>
      </c>
      <c r="AB249" s="19" t="s">
        <v>1289</v>
      </c>
      <c r="AC249" s="19">
        <v>32061190</v>
      </c>
      <c r="AD249" s="19" t="s">
        <v>1092</v>
      </c>
      <c r="AE249" s="19">
        <v>1</v>
      </c>
      <c r="AF249" s="19">
        <v>2100</v>
      </c>
      <c r="AG249" s="19" t="s">
        <v>1093</v>
      </c>
      <c r="AH249" s="19" t="s">
        <v>35</v>
      </c>
    </row>
    <row r="250" spans="2:34" x14ac:dyDescent="0.35">
      <c r="B250" s="76">
        <v>46214</v>
      </c>
      <c r="C250" s="19" t="s">
        <v>134</v>
      </c>
      <c r="D250" s="19" t="s">
        <v>173</v>
      </c>
      <c r="E250" s="19" t="s">
        <v>463</v>
      </c>
      <c r="F250" s="19" t="s">
        <v>123</v>
      </c>
      <c r="G250" s="19" t="s">
        <v>464</v>
      </c>
      <c r="H250" s="76">
        <v>46213</v>
      </c>
      <c r="I250" s="19" t="s">
        <v>36</v>
      </c>
      <c r="J250" s="19" t="s">
        <v>1117</v>
      </c>
      <c r="K250" s="19" t="s">
        <v>44</v>
      </c>
      <c r="L250" s="19" t="s">
        <v>1118</v>
      </c>
      <c r="M250" s="19" t="s">
        <v>1119</v>
      </c>
      <c r="N250" s="19">
        <v>3968</v>
      </c>
      <c r="O250" s="19">
        <v>422988.79999999999</v>
      </c>
      <c r="P250" s="19" t="s">
        <v>1119</v>
      </c>
      <c r="Q250" s="19">
        <v>0</v>
      </c>
      <c r="R250" s="19">
        <v>9</v>
      </c>
      <c r="S250" s="19">
        <v>38068.99</v>
      </c>
      <c r="T250" s="19">
        <v>9</v>
      </c>
      <c r="U250" s="19">
        <v>38068.99</v>
      </c>
      <c r="V250" s="19">
        <v>0</v>
      </c>
      <c r="W250" s="19">
        <v>0</v>
      </c>
      <c r="X250" s="19">
        <v>0</v>
      </c>
      <c r="Y250" s="19">
        <v>76137.98</v>
      </c>
      <c r="Z250" s="19">
        <v>0</v>
      </c>
      <c r="AA250" s="19" t="s">
        <v>135</v>
      </c>
      <c r="AB250" s="19" t="s">
        <v>1289</v>
      </c>
      <c r="AC250" s="19">
        <v>39269080</v>
      </c>
      <c r="AD250" s="19" t="s">
        <v>1092</v>
      </c>
      <c r="AE250" s="19">
        <v>1</v>
      </c>
      <c r="AF250" s="19">
        <f t="shared" ref="AF250:AF253" si="11">N250</f>
        <v>3968</v>
      </c>
      <c r="AG250" s="19" t="s">
        <v>1093</v>
      </c>
      <c r="AH250" s="19" t="s">
        <v>44</v>
      </c>
    </row>
    <row r="251" spans="2:34" x14ac:dyDescent="0.35">
      <c r="B251" s="76">
        <v>46214</v>
      </c>
      <c r="C251" s="19" t="s">
        <v>134</v>
      </c>
      <c r="D251" s="19" t="s">
        <v>173</v>
      </c>
      <c r="E251" s="19" t="s">
        <v>463</v>
      </c>
      <c r="F251" s="19" t="s">
        <v>123</v>
      </c>
      <c r="G251" s="19" t="s">
        <v>464</v>
      </c>
      <c r="H251" s="76">
        <v>46213</v>
      </c>
      <c r="I251" s="19" t="s">
        <v>36</v>
      </c>
      <c r="J251" s="19" t="s">
        <v>1156</v>
      </c>
      <c r="K251" s="19" t="s">
        <v>45</v>
      </c>
      <c r="L251" s="19" t="s">
        <v>1157</v>
      </c>
      <c r="M251" s="19" t="s">
        <v>1567</v>
      </c>
      <c r="N251" s="19">
        <v>546.20000000000005</v>
      </c>
      <c r="O251" s="19">
        <v>72426.12</v>
      </c>
      <c r="P251" s="19" t="s">
        <v>1567</v>
      </c>
      <c r="Q251" s="19">
        <v>0</v>
      </c>
      <c r="R251" s="19">
        <v>9</v>
      </c>
      <c r="S251" s="19">
        <v>6518.35</v>
      </c>
      <c r="T251" s="19">
        <v>9</v>
      </c>
      <c r="U251" s="19">
        <v>6518.35</v>
      </c>
      <c r="V251" s="19">
        <v>0</v>
      </c>
      <c r="W251" s="19">
        <v>0</v>
      </c>
      <c r="X251" s="19">
        <v>0</v>
      </c>
      <c r="Y251" s="19">
        <v>13036.7</v>
      </c>
      <c r="Z251" s="19">
        <v>0</v>
      </c>
      <c r="AA251" s="19" t="s">
        <v>135</v>
      </c>
      <c r="AB251" s="19" t="s">
        <v>1289</v>
      </c>
      <c r="AC251" s="19">
        <v>39269080</v>
      </c>
      <c r="AD251" s="19" t="s">
        <v>1092</v>
      </c>
      <c r="AE251" s="19">
        <v>1</v>
      </c>
      <c r="AF251" s="19">
        <f t="shared" si="11"/>
        <v>546.20000000000005</v>
      </c>
      <c r="AG251" s="19" t="s">
        <v>1093</v>
      </c>
      <c r="AH251" s="19" t="s">
        <v>45</v>
      </c>
    </row>
    <row r="252" spans="2:34" x14ac:dyDescent="0.35">
      <c r="B252" s="76">
        <v>46214</v>
      </c>
      <c r="C252" s="19" t="s">
        <v>134</v>
      </c>
      <c r="D252" s="19" t="s">
        <v>173</v>
      </c>
      <c r="E252" s="19" t="s">
        <v>463</v>
      </c>
      <c r="F252" s="19" t="s">
        <v>123</v>
      </c>
      <c r="G252" s="19" t="s">
        <v>464</v>
      </c>
      <c r="H252" s="76">
        <v>46213</v>
      </c>
      <c r="I252" s="19" t="s">
        <v>36</v>
      </c>
      <c r="J252" s="19" t="s">
        <v>1156</v>
      </c>
      <c r="K252" s="19" t="s">
        <v>45</v>
      </c>
      <c r="L252" s="19" t="s">
        <v>1157</v>
      </c>
      <c r="M252" s="19" t="s">
        <v>1567</v>
      </c>
      <c r="N252" s="19">
        <v>300.60000000000002</v>
      </c>
      <c r="O252" s="19">
        <v>38055.96</v>
      </c>
      <c r="P252" s="19" t="s">
        <v>1567</v>
      </c>
      <c r="Q252" s="19">
        <v>0</v>
      </c>
      <c r="R252" s="19">
        <v>9</v>
      </c>
      <c r="S252" s="19">
        <v>3425.04</v>
      </c>
      <c r="T252" s="19">
        <v>9</v>
      </c>
      <c r="U252" s="19">
        <v>3425.04</v>
      </c>
      <c r="V252" s="19">
        <v>0</v>
      </c>
      <c r="W252" s="19">
        <v>0</v>
      </c>
      <c r="X252" s="19">
        <v>0</v>
      </c>
      <c r="Y252" s="19">
        <v>6850.08</v>
      </c>
      <c r="Z252" s="19">
        <v>0</v>
      </c>
      <c r="AA252" s="19" t="s">
        <v>135</v>
      </c>
      <c r="AB252" s="19" t="s">
        <v>1289</v>
      </c>
      <c r="AC252" s="19">
        <v>39269080</v>
      </c>
      <c r="AD252" s="19" t="s">
        <v>1092</v>
      </c>
      <c r="AE252" s="19">
        <v>1</v>
      </c>
      <c r="AF252" s="19">
        <f t="shared" si="11"/>
        <v>300.60000000000002</v>
      </c>
      <c r="AG252" s="19" t="s">
        <v>1093</v>
      </c>
      <c r="AH252" s="19" t="s">
        <v>45</v>
      </c>
    </row>
    <row r="253" spans="2:34" x14ac:dyDescent="0.35">
      <c r="B253" s="76">
        <v>46214</v>
      </c>
      <c r="C253" s="19" t="s">
        <v>134</v>
      </c>
      <c r="D253" s="19" t="s">
        <v>173</v>
      </c>
      <c r="E253" s="19" t="s">
        <v>463</v>
      </c>
      <c r="F253" s="19" t="s">
        <v>123</v>
      </c>
      <c r="G253" s="19" t="s">
        <v>464</v>
      </c>
      <c r="H253" s="76">
        <v>46213</v>
      </c>
      <c r="I253" s="19" t="s">
        <v>36</v>
      </c>
      <c r="J253" s="19" t="s">
        <v>1156</v>
      </c>
      <c r="K253" s="19" t="s">
        <v>45</v>
      </c>
      <c r="L253" s="19" t="s">
        <v>1157</v>
      </c>
      <c r="M253" s="19" t="s">
        <v>1567</v>
      </c>
      <c r="N253" s="19">
        <v>879.8</v>
      </c>
      <c r="O253" s="19">
        <v>111382.68</v>
      </c>
      <c r="P253" s="19" t="s">
        <v>1567</v>
      </c>
      <c r="Q253" s="19">
        <v>0</v>
      </c>
      <c r="R253" s="19">
        <v>9</v>
      </c>
      <c r="S253" s="19">
        <v>10024.44</v>
      </c>
      <c r="T253" s="19">
        <v>9</v>
      </c>
      <c r="U253" s="19">
        <v>10024.44</v>
      </c>
      <c r="V253" s="19">
        <v>0</v>
      </c>
      <c r="W253" s="19">
        <v>0</v>
      </c>
      <c r="X253" s="19">
        <v>0</v>
      </c>
      <c r="Y253" s="19">
        <v>20048.88</v>
      </c>
      <c r="Z253" s="19">
        <v>0</v>
      </c>
      <c r="AA253" s="19" t="s">
        <v>135</v>
      </c>
      <c r="AB253" s="19" t="s">
        <v>1289</v>
      </c>
      <c r="AC253" s="19">
        <v>39269080</v>
      </c>
      <c r="AD253" s="19" t="s">
        <v>1092</v>
      </c>
      <c r="AE253" s="19">
        <v>1</v>
      </c>
      <c r="AF253" s="19">
        <f t="shared" si="11"/>
        <v>879.8</v>
      </c>
      <c r="AG253" s="19" t="s">
        <v>1093</v>
      </c>
      <c r="AH253" s="19" t="s">
        <v>45</v>
      </c>
    </row>
    <row r="254" spans="2:34" x14ac:dyDescent="0.35">
      <c r="B254" s="76">
        <v>46214</v>
      </c>
      <c r="C254" s="19" t="s">
        <v>134</v>
      </c>
      <c r="D254" s="19" t="s">
        <v>173</v>
      </c>
      <c r="E254" s="19" t="s">
        <v>465</v>
      </c>
      <c r="F254" s="19" t="s">
        <v>123</v>
      </c>
      <c r="G254" s="19" t="s">
        <v>466</v>
      </c>
      <c r="H254" s="76">
        <v>46214</v>
      </c>
      <c r="I254" s="19" t="s">
        <v>49</v>
      </c>
      <c r="J254" s="19" t="s">
        <v>50</v>
      </c>
      <c r="K254" s="19" t="s">
        <v>50</v>
      </c>
      <c r="L254" s="19" t="s">
        <v>1095</v>
      </c>
      <c r="M254" s="19" t="s">
        <v>1098</v>
      </c>
      <c r="N254" s="19">
        <v>20053</v>
      </c>
      <c r="O254" s="19">
        <v>4044088.51</v>
      </c>
      <c r="P254" s="19" t="s">
        <v>1098</v>
      </c>
      <c r="Q254" s="19">
        <v>4767980.3600000003</v>
      </c>
      <c r="R254" s="19">
        <v>9</v>
      </c>
      <c r="S254" s="19">
        <v>363967.97</v>
      </c>
      <c r="T254" s="19">
        <v>9</v>
      </c>
      <c r="U254" s="19">
        <v>363967.97</v>
      </c>
      <c r="V254" s="19">
        <v>0</v>
      </c>
      <c r="W254" s="19">
        <v>0</v>
      </c>
      <c r="X254" s="19">
        <v>0</v>
      </c>
      <c r="Y254" s="19">
        <v>727935.94</v>
      </c>
      <c r="Z254" s="19">
        <v>0</v>
      </c>
      <c r="AA254" s="19" t="s">
        <v>135</v>
      </c>
      <c r="AB254" s="19" t="s">
        <v>1289</v>
      </c>
      <c r="AC254" s="19">
        <v>63053200</v>
      </c>
      <c r="AD254" s="19" t="s">
        <v>1092</v>
      </c>
      <c r="AE254" s="19">
        <v>1</v>
      </c>
      <c r="AF254" s="19">
        <v>20053</v>
      </c>
      <c r="AG254" s="19" t="s">
        <v>1093</v>
      </c>
      <c r="AH254" s="19" t="s">
        <v>50</v>
      </c>
    </row>
    <row r="255" spans="2:34" hidden="1" x14ac:dyDescent="0.35">
      <c r="B255" s="76">
        <v>46214</v>
      </c>
      <c r="C255" s="19" t="s">
        <v>450</v>
      </c>
      <c r="D255" s="19" t="s">
        <v>126</v>
      </c>
      <c r="E255" s="19" t="s">
        <v>449</v>
      </c>
      <c r="F255" s="19" t="s">
        <v>118</v>
      </c>
      <c r="G255" s="19">
        <v>338</v>
      </c>
      <c r="H255" s="76">
        <v>46213</v>
      </c>
      <c r="I255" s="19" t="s">
        <v>57</v>
      </c>
      <c r="J255" s="19" t="s">
        <v>29</v>
      </c>
      <c r="K255" s="19" t="s">
        <v>1127</v>
      </c>
      <c r="L255" s="19" t="s">
        <v>102</v>
      </c>
      <c r="M255" s="19" t="s">
        <v>1723</v>
      </c>
      <c r="N255" s="19">
        <v>6500</v>
      </c>
      <c r="O255" s="19">
        <v>22425</v>
      </c>
      <c r="P255" s="19" t="s">
        <v>1723</v>
      </c>
      <c r="Q255" s="19">
        <v>56994</v>
      </c>
      <c r="R255" s="19">
        <v>9</v>
      </c>
      <c r="S255" s="19">
        <v>2018.25</v>
      </c>
      <c r="T255" s="19">
        <v>9</v>
      </c>
      <c r="U255" s="19">
        <v>2018.25</v>
      </c>
      <c r="V255" s="19">
        <v>0</v>
      </c>
      <c r="W255" s="19">
        <v>0</v>
      </c>
      <c r="X255" s="19">
        <v>0</v>
      </c>
      <c r="Y255" s="19">
        <v>4036.5</v>
      </c>
      <c r="Z255" s="19">
        <v>0</v>
      </c>
      <c r="AA255" s="19" t="s">
        <v>451</v>
      </c>
      <c r="AB255" s="19" t="s">
        <v>1555</v>
      </c>
      <c r="AC255" s="19">
        <v>39235090</v>
      </c>
      <c r="AD255" s="19" t="s">
        <v>1092</v>
      </c>
      <c r="AE255" s="19">
        <v>1</v>
      </c>
      <c r="AF255" s="19">
        <v>6500</v>
      </c>
      <c r="AG255" s="19" t="s">
        <v>1093</v>
      </c>
      <c r="AH255" s="19" t="s">
        <v>2319</v>
      </c>
    </row>
    <row r="256" spans="2:34" hidden="1" x14ac:dyDescent="0.35">
      <c r="B256" s="76">
        <v>46214</v>
      </c>
      <c r="C256" s="19" t="s">
        <v>450</v>
      </c>
      <c r="D256" s="19" t="s">
        <v>126</v>
      </c>
      <c r="E256" s="19" t="s">
        <v>449</v>
      </c>
      <c r="F256" s="19" t="s">
        <v>118</v>
      </c>
      <c r="G256" s="19">
        <v>338</v>
      </c>
      <c r="H256" s="76">
        <v>46213</v>
      </c>
      <c r="I256" s="19" t="s">
        <v>57</v>
      </c>
      <c r="J256" s="19" t="s">
        <v>29</v>
      </c>
      <c r="K256" s="19" t="s">
        <v>1127</v>
      </c>
      <c r="L256" s="19" t="s">
        <v>102</v>
      </c>
      <c r="M256" s="19" t="s">
        <v>1724</v>
      </c>
      <c r="N256" s="19">
        <v>7500</v>
      </c>
      <c r="O256" s="19">
        <v>25875</v>
      </c>
      <c r="P256" s="19" t="s">
        <v>1724</v>
      </c>
      <c r="Q256" s="19">
        <v>0</v>
      </c>
      <c r="R256" s="19">
        <v>9</v>
      </c>
      <c r="S256" s="19">
        <v>2328.75</v>
      </c>
      <c r="T256" s="19">
        <v>9</v>
      </c>
      <c r="U256" s="19">
        <v>2328.75</v>
      </c>
      <c r="V256" s="19">
        <v>0</v>
      </c>
      <c r="W256" s="19">
        <v>0</v>
      </c>
      <c r="X256" s="19">
        <v>0</v>
      </c>
      <c r="Y256" s="19">
        <v>4657.5</v>
      </c>
      <c r="Z256" s="19">
        <v>0</v>
      </c>
      <c r="AA256" s="19" t="s">
        <v>451</v>
      </c>
      <c r="AB256" s="19" t="s">
        <v>1555</v>
      </c>
      <c r="AC256" s="19">
        <v>39235090</v>
      </c>
      <c r="AD256" s="19" t="s">
        <v>1092</v>
      </c>
      <c r="AE256" s="19">
        <v>1</v>
      </c>
      <c r="AF256" s="19">
        <v>7500</v>
      </c>
      <c r="AG256" s="19" t="s">
        <v>1093</v>
      </c>
      <c r="AH256" s="19" t="s">
        <v>2319</v>
      </c>
    </row>
    <row r="257" spans="2:34" x14ac:dyDescent="0.35">
      <c r="B257" s="76">
        <v>46215</v>
      </c>
      <c r="C257" s="19" t="s">
        <v>178</v>
      </c>
      <c r="D257" s="19" t="s">
        <v>173</v>
      </c>
      <c r="E257" s="19" t="s">
        <v>488</v>
      </c>
      <c r="F257" s="19" t="s">
        <v>123</v>
      </c>
      <c r="G257" s="19" t="s">
        <v>489</v>
      </c>
      <c r="H257" s="76">
        <v>46215</v>
      </c>
      <c r="I257" s="19" t="s">
        <v>36</v>
      </c>
      <c r="J257" s="19" t="s">
        <v>1117</v>
      </c>
      <c r="K257" s="19" t="s">
        <v>44</v>
      </c>
      <c r="L257" s="19" t="s">
        <v>1118</v>
      </c>
      <c r="M257" s="19" t="s">
        <v>1119</v>
      </c>
      <c r="N257" s="19">
        <v>618</v>
      </c>
      <c r="O257" s="19">
        <v>133790.82</v>
      </c>
      <c r="P257" s="19" t="s">
        <v>1119</v>
      </c>
      <c r="Q257" s="19">
        <v>1269062.5900000001</v>
      </c>
      <c r="R257" s="19">
        <v>9</v>
      </c>
      <c r="S257" s="19">
        <v>12041.17</v>
      </c>
      <c r="T257" s="19">
        <v>9</v>
      </c>
      <c r="U257" s="19">
        <v>12041.17</v>
      </c>
      <c r="V257" s="19">
        <v>0</v>
      </c>
      <c r="W257" s="19">
        <v>0</v>
      </c>
      <c r="X257" s="19">
        <v>0</v>
      </c>
      <c r="Y257" s="19">
        <v>24082.34</v>
      </c>
      <c r="Z257" s="19">
        <v>0</v>
      </c>
      <c r="AA257" s="19" t="s">
        <v>179</v>
      </c>
      <c r="AB257" s="19" t="s">
        <v>1289</v>
      </c>
      <c r="AC257" s="19">
        <v>39269080</v>
      </c>
      <c r="AD257" s="19" t="s">
        <v>1092</v>
      </c>
      <c r="AE257" s="19">
        <v>1</v>
      </c>
      <c r="AF257" s="19">
        <f t="shared" ref="AF257:AF259" si="12">N257</f>
        <v>618</v>
      </c>
      <c r="AG257" s="19" t="s">
        <v>1093</v>
      </c>
      <c r="AH257" s="19" t="s">
        <v>44</v>
      </c>
    </row>
    <row r="258" spans="2:34" x14ac:dyDescent="0.35">
      <c r="B258" s="76">
        <v>46215</v>
      </c>
      <c r="C258" s="19" t="s">
        <v>178</v>
      </c>
      <c r="D258" s="19" t="s">
        <v>173</v>
      </c>
      <c r="E258" s="19" t="s">
        <v>488</v>
      </c>
      <c r="F258" s="19" t="s">
        <v>123</v>
      </c>
      <c r="G258" s="19" t="s">
        <v>489</v>
      </c>
      <c r="H258" s="76">
        <v>46215</v>
      </c>
      <c r="I258" s="19" t="s">
        <v>36</v>
      </c>
      <c r="J258" s="19" t="s">
        <v>1117</v>
      </c>
      <c r="K258" s="19" t="s">
        <v>44</v>
      </c>
      <c r="L258" s="19" t="s">
        <v>1118</v>
      </c>
      <c r="M258" s="19" t="s">
        <v>1119</v>
      </c>
      <c r="N258" s="19">
        <v>2903</v>
      </c>
      <c r="O258" s="19">
        <v>454290.47</v>
      </c>
      <c r="P258" s="19" t="s">
        <v>1119</v>
      </c>
      <c r="Q258" s="19">
        <v>0</v>
      </c>
      <c r="R258" s="19">
        <v>9</v>
      </c>
      <c r="S258" s="19">
        <v>40886.14</v>
      </c>
      <c r="T258" s="19">
        <v>9</v>
      </c>
      <c r="U258" s="19">
        <v>40886.14</v>
      </c>
      <c r="V258" s="19">
        <v>0</v>
      </c>
      <c r="W258" s="19">
        <v>0</v>
      </c>
      <c r="X258" s="19">
        <v>0</v>
      </c>
      <c r="Y258" s="19">
        <v>81772.28</v>
      </c>
      <c r="Z258" s="19">
        <v>0</v>
      </c>
      <c r="AA258" s="19" t="s">
        <v>179</v>
      </c>
      <c r="AB258" s="19" t="s">
        <v>1289</v>
      </c>
      <c r="AC258" s="19">
        <v>39269080</v>
      </c>
      <c r="AD258" s="19" t="s">
        <v>1092</v>
      </c>
      <c r="AE258" s="19">
        <v>1</v>
      </c>
      <c r="AF258" s="19">
        <f t="shared" si="12"/>
        <v>2903</v>
      </c>
      <c r="AG258" s="19" t="s">
        <v>1093</v>
      </c>
      <c r="AH258" s="19" t="s">
        <v>44</v>
      </c>
    </row>
    <row r="259" spans="2:34" x14ac:dyDescent="0.35">
      <c r="B259" s="76">
        <v>46215</v>
      </c>
      <c r="C259" s="19" t="s">
        <v>178</v>
      </c>
      <c r="D259" s="19" t="s">
        <v>173</v>
      </c>
      <c r="E259" s="19" t="s">
        <v>488</v>
      </c>
      <c r="F259" s="19" t="s">
        <v>123</v>
      </c>
      <c r="G259" s="19" t="s">
        <v>489</v>
      </c>
      <c r="H259" s="76">
        <v>46215</v>
      </c>
      <c r="I259" s="19" t="s">
        <v>36</v>
      </c>
      <c r="J259" s="19" t="s">
        <v>1117</v>
      </c>
      <c r="K259" s="19" t="s">
        <v>42</v>
      </c>
      <c r="L259" s="19" t="s">
        <v>1242</v>
      </c>
      <c r="M259" s="19" t="s">
        <v>1154</v>
      </c>
      <c r="N259" s="19">
        <v>3081</v>
      </c>
      <c r="O259" s="19">
        <v>488307.69</v>
      </c>
      <c r="P259" s="19" t="s">
        <v>1154</v>
      </c>
      <c r="Q259" s="19">
        <v>0</v>
      </c>
      <c r="R259" s="19">
        <v>9</v>
      </c>
      <c r="S259" s="19">
        <v>43947.69</v>
      </c>
      <c r="T259" s="19">
        <v>9</v>
      </c>
      <c r="U259" s="19">
        <v>43947.69</v>
      </c>
      <c r="V259" s="19">
        <v>0</v>
      </c>
      <c r="W259" s="19">
        <v>0</v>
      </c>
      <c r="X259" s="19">
        <v>0</v>
      </c>
      <c r="Y259" s="19">
        <v>87895.38</v>
      </c>
      <c r="Z259" s="19">
        <v>0</v>
      </c>
      <c r="AA259" s="19" t="s">
        <v>179</v>
      </c>
      <c r="AB259" s="19" t="s">
        <v>1289</v>
      </c>
      <c r="AC259" s="19">
        <v>63053300</v>
      </c>
      <c r="AD259" s="19" t="s">
        <v>1092</v>
      </c>
      <c r="AE259" s="19">
        <v>1</v>
      </c>
      <c r="AF259" s="19">
        <f t="shared" si="12"/>
        <v>3081</v>
      </c>
      <c r="AG259" s="19" t="s">
        <v>1093</v>
      </c>
      <c r="AH259" s="19" t="s">
        <v>42</v>
      </c>
    </row>
    <row r="260" spans="2:34" hidden="1" x14ac:dyDescent="0.35">
      <c r="B260" s="76">
        <v>46215</v>
      </c>
      <c r="C260" s="19" t="s">
        <v>482</v>
      </c>
      <c r="D260" s="19" t="s">
        <v>126</v>
      </c>
      <c r="E260" s="19" t="s">
        <v>480</v>
      </c>
      <c r="F260" s="19" t="s">
        <v>118</v>
      </c>
      <c r="G260" s="19" t="s">
        <v>481</v>
      </c>
      <c r="H260" s="76">
        <v>46212</v>
      </c>
      <c r="I260" s="19" t="s">
        <v>105</v>
      </c>
      <c r="J260" s="19" t="s">
        <v>1561</v>
      </c>
      <c r="K260" s="19" t="s">
        <v>1127</v>
      </c>
      <c r="L260" s="19" t="s">
        <v>1389</v>
      </c>
      <c r="M260" s="19" t="s">
        <v>1725</v>
      </c>
      <c r="N260" s="19">
        <v>3</v>
      </c>
      <c r="O260" s="19">
        <v>67.5</v>
      </c>
      <c r="P260" s="19" t="s">
        <v>1725</v>
      </c>
      <c r="Q260" s="19">
        <v>85.35</v>
      </c>
      <c r="R260" s="19">
        <v>9</v>
      </c>
      <c r="S260" s="19">
        <v>6.51</v>
      </c>
      <c r="T260" s="19">
        <v>9</v>
      </c>
      <c r="U260" s="19">
        <v>6.51</v>
      </c>
      <c r="V260" s="19">
        <v>0</v>
      </c>
      <c r="W260" s="19">
        <v>0</v>
      </c>
      <c r="X260" s="19">
        <v>0</v>
      </c>
      <c r="Y260" s="19">
        <v>13.02</v>
      </c>
      <c r="Z260" s="19">
        <v>0</v>
      </c>
      <c r="AA260" s="19" t="s">
        <v>483</v>
      </c>
      <c r="AB260" s="19" t="s">
        <v>1555</v>
      </c>
      <c r="AC260" s="19">
        <v>84798999</v>
      </c>
      <c r="AD260" s="19" t="s">
        <v>1092</v>
      </c>
      <c r="AE260" s="19">
        <v>1</v>
      </c>
      <c r="AF260" s="19">
        <v>0</v>
      </c>
      <c r="AG260" s="19" t="s">
        <v>1093</v>
      </c>
      <c r="AH260" s="19" t="s">
        <v>2319</v>
      </c>
    </row>
    <row r="261" spans="2:34" hidden="1" x14ac:dyDescent="0.35">
      <c r="B261" s="76">
        <v>46215</v>
      </c>
      <c r="C261" s="19" t="s">
        <v>482</v>
      </c>
      <c r="D261" s="19" t="s">
        <v>126</v>
      </c>
      <c r="E261" s="19" t="s">
        <v>484</v>
      </c>
      <c r="F261" s="19" t="s">
        <v>118</v>
      </c>
      <c r="G261" s="19" t="s">
        <v>485</v>
      </c>
      <c r="H261" s="76">
        <v>46212</v>
      </c>
      <c r="I261" s="19" t="s">
        <v>105</v>
      </c>
      <c r="J261" s="19" t="s">
        <v>1726</v>
      </c>
      <c r="K261" s="19" t="s">
        <v>1127</v>
      </c>
      <c r="L261" s="19" t="s">
        <v>1389</v>
      </c>
      <c r="M261" s="19" t="s">
        <v>1727</v>
      </c>
      <c r="N261" s="19">
        <v>6</v>
      </c>
      <c r="O261" s="19">
        <v>324</v>
      </c>
      <c r="P261" s="19" t="s">
        <v>1727</v>
      </c>
      <c r="Q261" s="19">
        <v>379.56</v>
      </c>
      <c r="R261" s="19">
        <v>9</v>
      </c>
      <c r="S261" s="19">
        <v>28.95</v>
      </c>
      <c r="T261" s="19">
        <v>9</v>
      </c>
      <c r="U261" s="19">
        <v>28.95</v>
      </c>
      <c r="V261" s="19">
        <v>0</v>
      </c>
      <c r="W261" s="19">
        <v>0</v>
      </c>
      <c r="X261" s="19">
        <v>0</v>
      </c>
      <c r="Y261" s="19">
        <v>57.9</v>
      </c>
      <c r="Z261" s="19">
        <v>0</v>
      </c>
      <c r="AA261" s="19" t="s">
        <v>483</v>
      </c>
      <c r="AB261" s="19" t="s">
        <v>1555</v>
      </c>
      <c r="AC261" s="19">
        <v>844820</v>
      </c>
      <c r="AD261" s="19" t="s">
        <v>1092</v>
      </c>
      <c r="AE261" s="19">
        <v>1</v>
      </c>
      <c r="AF261" s="19">
        <v>0</v>
      </c>
      <c r="AG261" s="19" t="s">
        <v>1093</v>
      </c>
      <c r="AH261" s="19" t="s">
        <v>2319</v>
      </c>
    </row>
    <row r="262" spans="2:34" hidden="1" x14ac:dyDescent="0.35">
      <c r="B262" s="76">
        <v>46215</v>
      </c>
      <c r="C262" s="19" t="s">
        <v>482</v>
      </c>
      <c r="D262" s="19" t="s">
        <v>126</v>
      </c>
      <c r="E262" s="19" t="s">
        <v>486</v>
      </c>
      <c r="F262" s="19" t="s">
        <v>118</v>
      </c>
      <c r="G262" s="19" t="s">
        <v>487</v>
      </c>
      <c r="H262" s="76">
        <v>46198</v>
      </c>
      <c r="I262" s="19" t="s">
        <v>105</v>
      </c>
      <c r="J262" s="19" t="s">
        <v>1728</v>
      </c>
      <c r="K262" s="19" t="s">
        <v>1127</v>
      </c>
      <c r="L262" s="19" t="s">
        <v>1389</v>
      </c>
      <c r="M262" s="19" t="s">
        <v>1729</v>
      </c>
      <c r="N262" s="19">
        <v>100</v>
      </c>
      <c r="O262" s="19">
        <v>12000</v>
      </c>
      <c r="P262" s="19" t="s">
        <v>1729</v>
      </c>
      <c r="Q262" s="19">
        <v>12579</v>
      </c>
      <c r="R262" s="19">
        <v>2.5</v>
      </c>
      <c r="S262" s="19">
        <v>299.5</v>
      </c>
      <c r="T262" s="19">
        <v>2.5</v>
      </c>
      <c r="U262" s="19">
        <v>299.5</v>
      </c>
      <c r="V262" s="19">
        <v>0</v>
      </c>
      <c r="W262" s="19">
        <v>0</v>
      </c>
      <c r="X262" s="19">
        <v>0</v>
      </c>
      <c r="Y262" s="19">
        <v>599</v>
      </c>
      <c r="Z262" s="19">
        <v>0</v>
      </c>
      <c r="AA262" s="19" t="s">
        <v>483</v>
      </c>
      <c r="AB262" s="19" t="s">
        <v>1654</v>
      </c>
      <c r="AC262" s="19">
        <v>844810</v>
      </c>
      <c r="AD262" s="19" t="s">
        <v>1092</v>
      </c>
      <c r="AE262" s="19">
        <v>1</v>
      </c>
      <c r="AF262" s="19">
        <v>0</v>
      </c>
      <c r="AG262" s="19" t="s">
        <v>1093</v>
      </c>
      <c r="AH262" s="19" t="s">
        <v>2319</v>
      </c>
    </row>
    <row r="263" spans="2:34" hidden="1" x14ac:dyDescent="0.35">
      <c r="B263" s="76">
        <v>46215</v>
      </c>
      <c r="C263" s="19" t="s">
        <v>138</v>
      </c>
      <c r="D263" s="19" t="s">
        <v>7</v>
      </c>
      <c r="E263" s="19" t="s">
        <v>474</v>
      </c>
      <c r="F263" s="19" t="s">
        <v>119</v>
      </c>
      <c r="G263" s="19" t="s">
        <v>475</v>
      </c>
      <c r="H263" s="76">
        <v>46215</v>
      </c>
      <c r="I263" s="19" t="s">
        <v>105</v>
      </c>
      <c r="J263" s="19" t="s">
        <v>1142</v>
      </c>
      <c r="K263" s="19" t="s">
        <v>1509</v>
      </c>
      <c r="L263" s="19" t="s">
        <v>1509</v>
      </c>
      <c r="M263" s="19" t="s">
        <v>1196</v>
      </c>
      <c r="N263" s="19">
        <v>218</v>
      </c>
      <c r="O263" s="19">
        <v>10464</v>
      </c>
      <c r="P263" s="19" t="s">
        <v>1196</v>
      </c>
      <c r="Q263" s="19">
        <v>12337.06</v>
      </c>
      <c r="R263" s="19">
        <v>9</v>
      </c>
      <c r="S263" s="19">
        <v>941.76</v>
      </c>
      <c r="T263" s="19">
        <v>9</v>
      </c>
      <c r="U263" s="19">
        <v>941.76</v>
      </c>
      <c r="V263" s="19">
        <v>0</v>
      </c>
      <c r="W263" s="19">
        <v>0</v>
      </c>
      <c r="X263" s="19">
        <v>0</v>
      </c>
      <c r="Y263" s="19">
        <v>1883.52</v>
      </c>
      <c r="Z263" s="19">
        <v>0</v>
      </c>
      <c r="AA263" s="19" t="s">
        <v>135</v>
      </c>
      <c r="AB263" s="19" t="s">
        <v>1289</v>
      </c>
      <c r="AC263" s="19">
        <v>73063090</v>
      </c>
      <c r="AD263" s="19" t="s">
        <v>1092</v>
      </c>
      <c r="AE263" s="19">
        <v>1</v>
      </c>
      <c r="AF263" s="19">
        <v>0</v>
      </c>
      <c r="AG263" s="19" t="s">
        <v>1093</v>
      </c>
      <c r="AH263" s="19" t="s">
        <v>2319</v>
      </c>
    </row>
    <row r="264" spans="2:34" x14ac:dyDescent="0.35">
      <c r="B264" s="76">
        <v>46215</v>
      </c>
      <c r="C264" s="19" t="s">
        <v>138</v>
      </c>
      <c r="D264" s="19" t="s">
        <v>173</v>
      </c>
      <c r="E264" s="19" t="s">
        <v>490</v>
      </c>
      <c r="F264" s="19" t="s">
        <v>123</v>
      </c>
      <c r="G264" s="19" t="s">
        <v>491</v>
      </c>
      <c r="H264" s="76">
        <v>46214</v>
      </c>
      <c r="I264" s="19" t="s">
        <v>36</v>
      </c>
      <c r="J264" s="19" t="s">
        <v>1117</v>
      </c>
      <c r="K264" s="19" t="s">
        <v>44</v>
      </c>
      <c r="L264" s="19" t="s">
        <v>1118</v>
      </c>
      <c r="M264" s="19" t="s">
        <v>1119</v>
      </c>
      <c r="N264" s="19">
        <v>579</v>
      </c>
      <c r="O264" s="19">
        <v>228705</v>
      </c>
      <c r="P264" s="19" t="s">
        <v>1119</v>
      </c>
      <c r="Q264" s="19">
        <v>269643.3</v>
      </c>
      <c r="R264" s="19">
        <v>9</v>
      </c>
      <c r="S264" s="19">
        <v>20583.45</v>
      </c>
      <c r="T264" s="19">
        <v>9</v>
      </c>
      <c r="U264" s="19">
        <v>20583.45</v>
      </c>
      <c r="V264" s="19">
        <v>0</v>
      </c>
      <c r="W264" s="19">
        <v>0</v>
      </c>
      <c r="X264" s="19">
        <v>0</v>
      </c>
      <c r="Y264" s="19">
        <v>41166.9</v>
      </c>
      <c r="Z264" s="19">
        <v>0</v>
      </c>
      <c r="AA264" s="19" t="s">
        <v>135</v>
      </c>
      <c r="AB264" s="19" t="s">
        <v>1289</v>
      </c>
      <c r="AC264" s="19">
        <v>39269080</v>
      </c>
      <c r="AD264" s="19" t="s">
        <v>1092</v>
      </c>
      <c r="AE264" s="19">
        <v>1</v>
      </c>
      <c r="AF264" s="19">
        <f t="shared" ref="AF264:AF271" si="13">N264</f>
        <v>579</v>
      </c>
      <c r="AG264" s="19" t="s">
        <v>1093</v>
      </c>
      <c r="AH264" s="19" t="s">
        <v>44</v>
      </c>
    </row>
    <row r="265" spans="2:34" x14ac:dyDescent="0.35">
      <c r="B265" s="76">
        <v>46215</v>
      </c>
      <c r="C265" s="19" t="s">
        <v>138</v>
      </c>
      <c r="D265" s="19" t="s">
        <v>173</v>
      </c>
      <c r="E265" s="19" t="s">
        <v>492</v>
      </c>
      <c r="F265" s="19" t="s">
        <v>123</v>
      </c>
      <c r="G265" s="19" t="s">
        <v>493</v>
      </c>
      <c r="H265" s="76">
        <v>46214</v>
      </c>
      <c r="I265" s="19" t="s">
        <v>36</v>
      </c>
      <c r="J265" s="19" t="s">
        <v>1350</v>
      </c>
      <c r="K265" s="19" t="s">
        <v>39</v>
      </c>
      <c r="L265" s="19" t="s">
        <v>1351</v>
      </c>
      <c r="M265" s="19" t="s">
        <v>1352</v>
      </c>
      <c r="N265" s="19">
        <v>3339.8</v>
      </c>
      <c r="O265" s="19">
        <v>690603.84400000004</v>
      </c>
      <c r="P265" s="19" t="s">
        <v>1352</v>
      </c>
      <c r="Q265" s="19">
        <v>2213207.33</v>
      </c>
      <c r="R265" s="19">
        <v>9</v>
      </c>
      <c r="S265" s="19">
        <v>62154.35</v>
      </c>
      <c r="T265" s="19">
        <v>9</v>
      </c>
      <c r="U265" s="19">
        <v>62154.35</v>
      </c>
      <c r="V265" s="19">
        <v>0</v>
      </c>
      <c r="W265" s="19">
        <v>0</v>
      </c>
      <c r="X265" s="19">
        <v>0</v>
      </c>
      <c r="Y265" s="19">
        <v>124308.7</v>
      </c>
      <c r="Z265" s="19">
        <v>0</v>
      </c>
      <c r="AA265" s="19" t="s">
        <v>135</v>
      </c>
      <c r="AB265" s="19" t="s">
        <v>1289</v>
      </c>
      <c r="AC265" s="19">
        <v>39200000</v>
      </c>
      <c r="AD265" s="19" t="s">
        <v>1092</v>
      </c>
      <c r="AE265" s="19">
        <v>1</v>
      </c>
      <c r="AF265" s="19">
        <f t="shared" si="13"/>
        <v>3339.8</v>
      </c>
      <c r="AG265" s="19" t="s">
        <v>1093</v>
      </c>
      <c r="AH265" s="19" t="s">
        <v>39</v>
      </c>
    </row>
    <row r="266" spans="2:34" x14ac:dyDescent="0.35">
      <c r="B266" s="76">
        <v>46215</v>
      </c>
      <c r="C266" s="19" t="s">
        <v>138</v>
      </c>
      <c r="D266" s="19" t="s">
        <v>173</v>
      </c>
      <c r="E266" s="19" t="s">
        <v>492</v>
      </c>
      <c r="F266" s="19" t="s">
        <v>123</v>
      </c>
      <c r="G266" s="19" t="s">
        <v>493</v>
      </c>
      <c r="H266" s="76">
        <v>46214</v>
      </c>
      <c r="I266" s="19" t="s">
        <v>36</v>
      </c>
      <c r="J266" s="19" t="s">
        <v>1350</v>
      </c>
      <c r="K266" s="19" t="s">
        <v>39</v>
      </c>
      <c r="L266" s="19" t="s">
        <v>1351</v>
      </c>
      <c r="M266" s="19" t="s">
        <v>1352</v>
      </c>
      <c r="N266" s="19">
        <v>565</v>
      </c>
      <c r="O266" s="19">
        <v>103270.7</v>
      </c>
      <c r="P266" s="19" t="s">
        <v>1352</v>
      </c>
      <c r="Q266" s="19">
        <v>0</v>
      </c>
      <c r="R266" s="19">
        <v>9</v>
      </c>
      <c r="S266" s="19">
        <v>9294.36</v>
      </c>
      <c r="T266" s="19">
        <v>9</v>
      </c>
      <c r="U266" s="19">
        <v>9294.36</v>
      </c>
      <c r="V266" s="19">
        <v>0</v>
      </c>
      <c r="W266" s="19">
        <v>0</v>
      </c>
      <c r="X266" s="19">
        <v>0</v>
      </c>
      <c r="Y266" s="19">
        <v>18588.72</v>
      </c>
      <c r="Z266" s="19">
        <v>0</v>
      </c>
      <c r="AA266" s="19" t="s">
        <v>135</v>
      </c>
      <c r="AB266" s="19" t="s">
        <v>1289</v>
      </c>
      <c r="AC266" s="19">
        <v>39200000</v>
      </c>
      <c r="AD266" s="19" t="s">
        <v>1092</v>
      </c>
      <c r="AE266" s="19">
        <v>1</v>
      </c>
      <c r="AF266" s="19">
        <f t="shared" si="13"/>
        <v>565</v>
      </c>
      <c r="AG266" s="19" t="s">
        <v>1093</v>
      </c>
      <c r="AH266" s="19" t="s">
        <v>39</v>
      </c>
    </row>
    <row r="267" spans="2:34" x14ac:dyDescent="0.35">
      <c r="B267" s="76">
        <v>46215</v>
      </c>
      <c r="C267" s="19" t="s">
        <v>138</v>
      </c>
      <c r="D267" s="19" t="s">
        <v>173</v>
      </c>
      <c r="E267" s="19" t="s">
        <v>492</v>
      </c>
      <c r="F267" s="19" t="s">
        <v>123</v>
      </c>
      <c r="G267" s="19" t="s">
        <v>493</v>
      </c>
      <c r="H267" s="76">
        <v>46214</v>
      </c>
      <c r="I267" s="19" t="s">
        <v>36</v>
      </c>
      <c r="J267" s="19" t="s">
        <v>1350</v>
      </c>
      <c r="K267" s="19" t="s">
        <v>39</v>
      </c>
      <c r="L267" s="19" t="s">
        <v>1351</v>
      </c>
      <c r="M267" s="19" t="s">
        <v>1352</v>
      </c>
      <c r="N267" s="19">
        <v>225</v>
      </c>
      <c r="O267" s="19">
        <v>42025.5</v>
      </c>
      <c r="P267" s="19" t="s">
        <v>1352</v>
      </c>
      <c r="Q267" s="19">
        <v>0</v>
      </c>
      <c r="R267" s="19">
        <v>9</v>
      </c>
      <c r="S267" s="19">
        <v>3782.3</v>
      </c>
      <c r="T267" s="19">
        <v>9</v>
      </c>
      <c r="U267" s="19">
        <v>3782.3</v>
      </c>
      <c r="V267" s="19">
        <v>0</v>
      </c>
      <c r="W267" s="19">
        <v>0</v>
      </c>
      <c r="X267" s="19">
        <v>0</v>
      </c>
      <c r="Y267" s="19">
        <v>7564.6</v>
      </c>
      <c r="Z267" s="19">
        <v>0</v>
      </c>
      <c r="AA267" s="19" t="s">
        <v>135</v>
      </c>
      <c r="AB267" s="19" t="s">
        <v>1289</v>
      </c>
      <c r="AC267" s="19">
        <v>39200000</v>
      </c>
      <c r="AD267" s="19" t="s">
        <v>1092</v>
      </c>
      <c r="AE267" s="19">
        <v>1</v>
      </c>
      <c r="AF267" s="19">
        <f t="shared" si="13"/>
        <v>225</v>
      </c>
      <c r="AG267" s="19" t="s">
        <v>1093</v>
      </c>
      <c r="AH267" s="19" t="s">
        <v>39</v>
      </c>
    </row>
    <row r="268" spans="2:34" x14ac:dyDescent="0.35">
      <c r="B268" s="76">
        <v>46215</v>
      </c>
      <c r="C268" s="19" t="s">
        <v>138</v>
      </c>
      <c r="D268" s="19" t="s">
        <v>173</v>
      </c>
      <c r="E268" s="19" t="s">
        <v>492</v>
      </c>
      <c r="F268" s="19" t="s">
        <v>123</v>
      </c>
      <c r="G268" s="19" t="s">
        <v>493</v>
      </c>
      <c r="H268" s="76">
        <v>46214</v>
      </c>
      <c r="I268" s="19" t="s">
        <v>36</v>
      </c>
      <c r="J268" s="19" t="s">
        <v>1117</v>
      </c>
      <c r="K268" s="19" t="s">
        <v>44</v>
      </c>
      <c r="L268" s="19" t="s">
        <v>1118</v>
      </c>
      <c r="M268" s="19" t="s">
        <v>1119</v>
      </c>
      <c r="N268" s="19">
        <v>1616</v>
      </c>
      <c r="O268" s="19">
        <v>233495.84</v>
      </c>
      <c r="P268" s="19" t="s">
        <v>1119</v>
      </c>
      <c r="Q268" s="19">
        <v>0</v>
      </c>
      <c r="R268" s="19">
        <v>9</v>
      </c>
      <c r="S268" s="19">
        <v>21014.63</v>
      </c>
      <c r="T268" s="19">
        <v>9</v>
      </c>
      <c r="U268" s="19">
        <v>21014.63</v>
      </c>
      <c r="V268" s="19">
        <v>0</v>
      </c>
      <c r="W268" s="19">
        <v>0</v>
      </c>
      <c r="X268" s="19">
        <v>0</v>
      </c>
      <c r="Y268" s="19">
        <v>42029.26</v>
      </c>
      <c r="Z268" s="19">
        <v>0</v>
      </c>
      <c r="AA268" s="19" t="s">
        <v>135</v>
      </c>
      <c r="AB268" s="19" t="s">
        <v>1289</v>
      </c>
      <c r="AC268" s="19">
        <v>39269080</v>
      </c>
      <c r="AD268" s="19" t="s">
        <v>1092</v>
      </c>
      <c r="AE268" s="19">
        <v>1</v>
      </c>
      <c r="AF268" s="19">
        <f t="shared" si="13"/>
        <v>1616</v>
      </c>
      <c r="AG268" s="19" t="s">
        <v>1093</v>
      </c>
      <c r="AH268" s="19" t="s">
        <v>44</v>
      </c>
    </row>
    <row r="269" spans="2:34" x14ac:dyDescent="0.35">
      <c r="B269" s="76">
        <v>46215</v>
      </c>
      <c r="C269" s="19" t="s">
        <v>138</v>
      </c>
      <c r="D269" s="19" t="s">
        <v>173</v>
      </c>
      <c r="E269" s="19" t="s">
        <v>492</v>
      </c>
      <c r="F269" s="19" t="s">
        <v>123</v>
      </c>
      <c r="G269" s="19" t="s">
        <v>493</v>
      </c>
      <c r="H269" s="76">
        <v>46214</v>
      </c>
      <c r="I269" s="19" t="s">
        <v>36</v>
      </c>
      <c r="J269" s="19" t="s">
        <v>1117</v>
      </c>
      <c r="K269" s="19" t="s">
        <v>44</v>
      </c>
      <c r="L269" s="19" t="s">
        <v>1118</v>
      </c>
      <c r="M269" s="19" t="s">
        <v>1119</v>
      </c>
      <c r="N269" s="19">
        <v>551</v>
      </c>
      <c r="O269" s="19">
        <v>81266.990000000005</v>
      </c>
      <c r="P269" s="19" t="s">
        <v>1119</v>
      </c>
      <c r="Q269" s="19">
        <v>0</v>
      </c>
      <c r="R269" s="19">
        <v>9</v>
      </c>
      <c r="S269" s="19">
        <v>7314.03</v>
      </c>
      <c r="T269" s="19">
        <v>9</v>
      </c>
      <c r="U269" s="19">
        <v>7314.03</v>
      </c>
      <c r="V269" s="19">
        <v>0</v>
      </c>
      <c r="W269" s="19">
        <v>0</v>
      </c>
      <c r="X269" s="19">
        <v>0</v>
      </c>
      <c r="Y269" s="19">
        <v>14628.06</v>
      </c>
      <c r="Z269" s="19">
        <v>0</v>
      </c>
      <c r="AA269" s="19" t="s">
        <v>135</v>
      </c>
      <c r="AB269" s="19" t="s">
        <v>1289</v>
      </c>
      <c r="AC269" s="19">
        <v>39269080</v>
      </c>
      <c r="AD269" s="19" t="s">
        <v>1092</v>
      </c>
      <c r="AE269" s="19">
        <v>1</v>
      </c>
      <c r="AF269" s="19">
        <f t="shared" si="13"/>
        <v>551</v>
      </c>
      <c r="AG269" s="19" t="s">
        <v>1093</v>
      </c>
      <c r="AH269" s="19" t="s">
        <v>44</v>
      </c>
    </row>
    <row r="270" spans="2:34" x14ac:dyDescent="0.35">
      <c r="B270" s="76">
        <v>46215</v>
      </c>
      <c r="C270" s="19" t="s">
        <v>138</v>
      </c>
      <c r="D270" s="19" t="s">
        <v>173</v>
      </c>
      <c r="E270" s="19" t="s">
        <v>492</v>
      </c>
      <c r="F270" s="19" t="s">
        <v>123</v>
      </c>
      <c r="G270" s="19" t="s">
        <v>493</v>
      </c>
      <c r="H270" s="76">
        <v>46214</v>
      </c>
      <c r="I270" s="19" t="s">
        <v>36</v>
      </c>
      <c r="J270" s="19" t="s">
        <v>1117</v>
      </c>
      <c r="K270" s="19" t="s">
        <v>44</v>
      </c>
      <c r="L270" s="19" t="s">
        <v>1118</v>
      </c>
      <c r="M270" s="19" t="s">
        <v>1119</v>
      </c>
      <c r="N270" s="19">
        <v>1297</v>
      </c>
      <c r="O270" s="19">
        <v>193888.53</v>
      </c>
      <c r="P270" s="19" t="s">
        <v>1119</v>
      </c>
      <c r="Q270" s="19">
        <v>0</v>
      </c>
      <c r="R270" s="19">
        <v>9</v>
      </c>
      <c r="S270" s="19">
        <v>17449.97</v>
      </c>
      <c r="T270" s="19">
        <v>9</v>
      </c>
      <c r="U270" s="19">
        <v>17449.97</v>
      </c>
      <c r="V270" s="19">
        <v>0</v>
      </c>
      <c r="W270" s="19">
        <v>0</v>
      </c>
      <c r="X270" s="19">
        <v>0</v>
      </c>
      <c r="Y270" s="19">
        <v>34899.94</v>
      </c>
      <c r="Z270" s="19">
        <v>0</v>
      </c>
      <c r="AA270" s="19" t="s">
        <v>135</v>
      </c>
      <c r="AB270" s="19" t="s">
        <v>1289</v>
      </c>
      <c r="AC270" s="19">
        <v>39269080</v>
      </c>
      <c r="AD270" s="19" t="s">
        <v>1092</v>
      </c>
      <c r="AE270" s="19">
        <v>1</v>
      </c>
      <c r="AF270" s="19">
        <f t="shared" si="13"/>
        <v>1297</v>
      </c>
      <c r="AG270" s="19" t="s">
        <v>1093</v>
      </c>
      <c r="AH270" s="19" t="s">
        <v>44</v>
      </c>
    </row>
    <row r="271" spans="2:34" x14ac:dyDescent="0.35">
      <c r="B271" s="76">
        <v>46215</v>
      </c>
      <c r="C271" s="19" t="s">
        <v>138</v>
      </c>
      <c r="D271" s="19" t="s">
        <v>173</v>
      </c>
      <c r="E271" s="19" t="s">
        <v>492</v>
      </c>
      <c r="F271" s="19" t="s">
        <v>123</v>
      </c>
      <c r="G271" s="19" t="s">
        <v>493</v>
      </c>
      <c r="H271" s="76">
        <v>46214</v>
      </c>
      <c r="I271" s="19" t="s">
        <v>36</v>
      </c>
      <c r="J271" s="19" t="s">
        <v>1117</v>
      </c>
      <c r="K271" s="19" t="s">
        <v>42</v>
      </c>
      <c r="L271" s="19" t="s">
        <v>1242</v>
      </c>
      <c r="M271" s="19" t="s">
        <v>1154</v>
      </c>
      <c r="N271" s="19">
        <v>3516</v>
      </c>
      <c r="O271" s="19">
        <v>532638.84</v>
      </c>
      <c r="P271" s="19" t="s">
        <v>1154</v>
      </c>
      <c r="Q271" s="19">
        <v>0</v>
      </c>
      <c r="R271" s="19">
        <v>9</v>
      </c>
      <c r="S271" s="19">
        <v>47937.5</v>
      </c>
      <c r="T271" s="19">
        <v>9</v>
      </c>
      <c r="U271" s="19">
        <v>47937.5</v>
      </c>
      <c r="V271" s="19">
        <v>0</v>
      </c>
      <c r="W271" s="19">
        <v>0</v>
      </c>
      <c r="X271" s="19">
        <v>0</v>
      </c>
      <c r="Y271" s="19">
        <v>95875</v>
      </c>
      <c r="Z271" s="19">
        <v>0</v>
      </c>
      <c r="AA271" s="19" t="s">
        <v>135</v>
      </c>
      <c r="AB271" s="19" t="s">
        <v>1289</v>
      </c>
      <c r="AC271" s="19">
        <v>63053300</v>
      </c>
      <c r="AD271" s="19" t="s">
        <v>1092</v>
      </c>
      <c r="AE271" s="19">
        <v>1</v>
      </c>
      <c r="AF271" s="19">
        <f t="shared" si="13"/>
        <v>3516</v>
      </c>
      <c r="AG271" s="19" t="s">
        <v>1093</v>
      </c>
      <c r="AH271" s="19" t="s">
        <v>42</v>
      </c>
    </row>
    <row r="272" spans="2:34" hidden="1" x14ac:dyDescent="0.35">
      <c r="B272" s="76">
        <v>46215</v>
      </c>
      <c r="C272" s="19" t="s">
        <v>153</v>
      </c>
      <c r="D272" s="19" t="s">
        <v>126</v>
      </c>
      <c r="E272" s="19" t="s">
        <v>468</v>
      </c>
      <c r="F272" s="19" t="s">
        <v>118</v>
      </c>
      <c r="G272" s="19" t="s">
        <v>469</v>
      </c>
      <c r="H272" s="76">
        <v>46214</v>
      </c>
      <c r="I272" s="19" t="s">
        <v>102</v>
      </c>
      <c r="J272" s="19" t="s">
        <v>102</v>
      </c>
      <c r="K272" s="19" t="s">
        <v>1127</v>
      </c>
      <c r="L272" s="19" t="s">
        <v>102</v>
      </c>
      <c r="M272" s="19" t="s">
        <v>1730</v>
      </c>
      <c r="N272" s="19">
        <v>10000</v>
      </c>
      <c r="O272" s="19">
        <v>6800</v>
      </c>
      <c r="P272" s="19" t="s">
        <v>1730</v>
      </c>
      <c r="Q272" s="19">
        <v>7140</v>
      </c>
      <c r="R272" s="19">
        <v>2.5</v>
      </c>
      <c r="S272" s="19">
        <v>170</v>
      </c>
      <c r="T272" s="19">
        <v>2.5</v>
      </c>
      <c r="U272" s="19">
        <v>170</v>
      </c>
      <c r="V272" s="19">
        <v>0</v>
      </c>
      <c r="W272" s="19">
        <v>0</v>
      </c>
      <c r="X272" s="19">
        <v>0</v>
      </c>
      <c r="Y272" s="19">
        <v>340</v>
      </c>
      <c r="Z272" s="19">
        <v>0</v>
      </c>
      <c r="AA272" s="19" t="s">
        <v>154</v>
      </c>
      <c r="AB272" s="19" t="s">
        <v>1555</v>
      </c>
      <c r="AC272" s="19">
        <v>62104090</v>
      </c>
      <c r="AD272" s="19" t="s">
        <v>1092</v>
      </c>
      <c r="AE272" s="19">
        <v>1</v>
      </c>
      <c r="AF272" s="19">
        <v>0</v>
      </c>
      <c r="AG272" s="19" t="s">
        <v>1093</v>
      </c>
      <c r="AH272" s="19" t="s">
        <v>2319</v>
      </c>
    </row>
    <row r="273" spans="2:34" hidden="1" x14ac:dyDescent="0.35">
      <c r="B273" s="76">
        <v>46215</v>
      </c>
      <c r="C273" s="19" t="s">
        <v>472</v>
      </c>
      <c r="D273" s="19" t="s">
        <v>7</v>
      </c>
      <c r="E273" s="19" t="s">
        <v>470</v>
      </c>
      <c r="F273" s="19" t="s">
        <v>119</v>
      </c>
      <c r="G273" s="19" t="s">
        <v>471</v>
      </c>
      <c r="H273" s="76">
        <v>46211</v>
      </c>
      <c r="I273" s="19" t="s">
        <v>101</v>
      </c>
      <c r="J273" s="19" t="s">
        <v>1575</v>
      </c>
      <c r="K273" s="19" t="s">
        <v>1575</v>
      </c>
      <c r="L273" s="19" t="s">
        <v>1509</v>
      </c>
      <c r="M273" s="19" t="s">
        <v>1576</v>
      </c>
      <c r="N273" s="19">
        <v>155</v>
      </c>
      <c r="O273" s="19">
        <v>124775</v>
      </c>
      <c r="P273" s="19" t="s">
        <v>1576</v>
      </c>
      <c r="Q273" s="19">
        <v>142814</v>
      </c>
      <c r="R273" s="19">
        <v>2.5</v>
      </c>
      <c r="S273" s="19">
        <v>4019.38</v>
      </c>
      <c r="T273" s="19">
        <v>2.5</v>
      </c>
      <c r="U273" s="19">
        <v>4019.38</v>
      </c>
      <c r="V273" s="19">
        <v>0</v>
      </c>
      <c r="W273" s="19">
        <v>0</v>
      </c>
      <c r="X273" s="19">
        <v>0</v>
      </c>
      <c r="Y273" s="19">
        <v>8038.76</v>
      </c>
      <c r="Z273" s="19">
        <v>0</v>
      </c>
      <c r="AA273" s="19" t="s">
        <v>473</v>
      </c>
      <c r="AB273" s="19" t="s">
        <v>1555</v>
      </c>
      <c r="AC273" s="19">
        <v>44152000</v>
      </c>
      <c r="AD273" s="19" t="s">
        <v>1092</v>
      </c>
      <c r="AE273" s="19">
        <v>1</v>
      </c>
      <c r="AF273" s="19">
        <v>0</v>
      </c>
      <c r="AG273" s="19" t="s">
        <v>1093</v>
      </c>
      <c r="AH273" s="19" t="s">
        <v>2319</v>
      </c>
    </row>
    <row r="274" spans="2:34" hidden="1" x14ac:dyDescent="0.35">
      <c r="B274" s="76">
        <v>46215</v>
      </c>
      <c r="C274" s="19" t="s">
        <v>130</v>
      </c>
      <c r="D274" s="19" t="s">
        <v>126</v>
      </c>
      <c r="E274" s="19" t="s">
        <v>467</v>
      </c>
      <c r="F274" s="19" t="s">
        <v>118</v>
      </c>
      <c r="G274" s="19">
        <v>1396</v>
      </c>
      <c r="H274" s="76">
        <v>46212</v>
      </c>
      <c r="I274" s="19" t="s">
        <v>102</v>
      </c>
      <c r="J274" s="19" t="s">
        <v>1570</v>
      </c>
      <c r="K274" s="19" t="s">
        <v>1127</v>
      </c>
      <c r="L274" s="19" t="s">
        <v>102</v>
      </c>
      <c r="M274" s="19" t="s">
        <v>1571</v>
      </c>
      <c r="N274" s="19">
        <v>1</v>
      </c>
      <c r="O274" s="19">
        <v>238.7</v>
      </c>
      <c r="P274" s="19" t="s">
        <v>1571</v>
      </c>
      <c r="Q274" s="19">
        <v>4096</v>
      </c>
      <c r="R274" s="19">
        <v>9</v>
      </c>
      <c r="S274" s="19">
        <v>21.48</v>
      </c>
      <c r="T274" s="19">
        <v>9</v>
      </c>
      <c r="U274" s="19">
        <v>21.48</v>
      </c>
      <c r="V274" s="19">
        <v>0</v>
      </c>
      <c r="W274" s="19">
        <v>0</v>
      </c>
      <c r="X274" s="19">
        <v>0</v>
      </c>
      <c r="Y274" s="19">
        <v>42.96</v>
      </c>
      <c r="Z274" s="19">
        <v>0</v>
      </c>
      <c r="AA274" s="19" t="s">
        <v>131</v>
      </c>
      <c r="AB274" s="19" t="s">
        <v>1572</v>
      </c>
      <c r="AC274" s="19">
        <v>400200</v>
      </c>
      <c r="AD274" s="19" t="s">
        <v>1092</v>
      </c>
      <c r="AE274" s="19">
        <v>1</v>
      </c>
      <c r="AF274" s="19">
        <v>0</v>
      </c>
      <c r="AG274" s="19" t="s">
        <v>1093</v>
      </c>
      <c r="AH274" s="19" t="s">
        <v>2319</v>
      </c>
    </row>
    <row r="275" spans="2:34" hidden="1" x14ac:dyDescent="0.35">
      <c r="B275" s="76">
        <v>46215</v>
      </c>
      <c r="C275" s="19" t="s">
        <v>130</v>
      </c>
      <c r="D275" s="19" t="s">
        <v>126</v>
      </c>
      <c r="E275" s="19" t="s">
        <v>467</v>
      </c>
      <c r="F275" s="19" t="s">
        <v>118</v>
      </c>
      <c r="G275" s="19">
        <v>1396</v>
      </c>
      <c r="H275" s="76">
        <v>46212</v>
      </c>
      <c r="I275" s="19" t="s">
        <v>102</v>
      </c>
      <c r="J275" s="19" t="s">
        <v>1570</v>
      </c>
      <c r="K275" s="19" t="s">
        <v>1127</v>
      </c>
      <c r="L275" s="19" t="s">
        <v>102</v>
      </c>
      <c r="M275" s="19" t="s">
        <v>1571</v>
      </c>
      <c r="N275" s="19">
        <v>1</v>
      </c>
      <c r="O275" s="19">
        <v>172.55</v>
      </c>
      <c r="P275" s="19" t="s">
        <v>1571</v>
      </c>
      <c r="Q275" s="19">
        <v>0</v>
      </c>
      <c r="R275" s="19">
        <v>9</v>
      </c>
      <c r="S275" s="19">
        <v>15.53</v>
      </c>
      <c r="T275" s="19">
        <v>9</v>
      </c>
      <c r="U275" s="19">
        <v>15.53</v>
      </c>
      <c r="V275" s="19">
        <v>0</v>
      </c>
      <c r="W275" s="19">
        <v>0</v>
      </c>
      <c r="X275" s="19">
        <v>0</v>
      </c>
      <c r="Y275" s="19">
        <v>31.06</v>
      </c>
      <c r="Z275" s="19">
        <v>0</v>
      </c>
      <c r="AA275" s="19" t="s">
        <v>131</v>
      </c>
      <c r="AB275" s="19" t="s">
        <v>1572</v>
      </c>
      <c r="AC275" s="19">
        <v>400200</v>
      </c>
      <c r="AD275" s="19" t="s">
        <v>1092</v>
      </c>
      <c r="AE275" s="19">
        <v>1</v>
      </c>
      <c r="AF275" s="19">
        <v>0</v>
      </c>
      <c r="AG275" s="19" t="s">
        <v>1093</v>
      </c>
      <c r="AH275" s="19" t="s">
        <v>2319</v>
      </c>
    </row>
    <row r="276" spans="2:34" hidden="1" x14ac:dyDescent="0.35">
      <c r="B276" s="76">
        <v>46215</v>
      </c>
      <c r="C276" s="19" t="s">
        <v>130</v>
      </c>
      <c r="D276" s="19" t="s">
        <v>126</v>
      </c>
      <c r="E276" s="19" t="s">
        <v>467</v>
      </c>
      <c r="F276" s="19" t="s">
        <v>118</v>
      </c>
      <c r="G276" s="19">
        <v>1396</v>
      </c>
      <c r="H276" s="76">
        <v>46212</v>
      </c>
      <c r="I276" s="19" t="s">
        <v>102</v>
      </c>
      <c r="J276" s="19" t="s">
        <v>1570</v>
      </c>
      <c r="K276" s="19" t="s">
        <v>1127</v>
      </c>
      <c r="L276" s="19" t="s">
        <v>102</v>
      </c>
      <c r="M276" s="19" t="s">
        <v>1571</v>
      </c>
      <c r="N276" s="19">
        <v>1</v>
      </c>
      <c r="O276" s="19">
        <v>252</v>
      </c>
      <c r="P276" s="19" t="s">
        <v>1571</v>
      </c>
      <c r="Q276" s="19">
        <v>0</v>
      </c>
      <c r="R276" s="19">
        <v>9</v>
      </c>
      <c r="S276" s="19">
        <v>22.68</v>
      </c>
      <c r="T276" s="19">
        <v>9</v>
      </c>
      <c r="U276" s="19">
        <v>22.68</v>
      </c>
      <c r="V276" s="19">
        <v>0</v>
      </c>
      <c r="W276" s="19">
        <v>0</v>
      </c>
      <c r="X276" s="19">
        <v>0</v>
      </c>
      <c r="Y276" s="19">
        <v>45.36</v>
      </c>
      <c r="Z276" s="19">
        <v>0</v>
      </c>
      <c r="AA276" s="19" t="s">
        <v>131</v>
      </c>
      <c r="AB276" s="19" t="s">
        <v>1572</v>
      </c>
      <c r="AC276" s="19">
        <v>400200</v>
      </c>
      <c r="AD276" s="19" t="s">
        <v>1092</v>
      </c>
      <c r="AE276" s="19">
        <v>1</v>
      </c>
      <c r="AF276" s="19">
        <v>0</v>
      </c>
      <c r="AG276" s="19" t="s">
        <v>1093</v>
      </c>
      <c r="AH276" s="19" t="s">
        <v>2319</v>
      </c>
    </row>
    <row r="277" spans="2:34" hidden="1" x14ac:dyDescent="0.35">
      <c r="B277" s="76">
        <v>46215</v>
      </c>
      <c r="C277" s="19" t="s">
        <v>130</v>
      </c>
      <c r="D277" s="19" t="s">
        <v>126</v>
      </c>
      <c r="E277" s="19" t="s">
        <v>467</v>
      </c>
      <c r="F277" s="19" t="s">
        <v>118</v>
      </c>
      <c r="G277" s="19">
        <v>1396</v>
      </c>
      <c r="H277" s="76">
        <v>46212</v>
      </c>
      <c r="I277" s="19" t="s">
        <v>102</v>
      </c>
      <c r="J277" s="19" t="s">
        <v>1570</v>
      </c>
      <c r="K277" s="19" t="s">
        <v>1127</v>
      </c>
      <c r="L277" s="19" t="s">
        <v>102</v>
      </c>
      <c r="M277" s="19" t="s">
        <v>1571</v>
      </c>
      <c r="N277" s="19">
        <v>1</v>
      </c>
      <c r="O277" s="19">
        <v>2808.05</v>
      </c>
      <c r="P277" s="19" t="s">
        <v>1571</v>
      </c>
      <c r="Q277" s="19">
        <v>0</v>
      </c>
      <c r="R277" s="19">
        <v>9</v>
      </c>
      <c r="S277" s="19">
        <v>252.72</v>
      </c>
      <c r="T277" s="19">
        <v>9</v>
      </c>
      <c r="U277" s="19">
        <v>252.72</v>
      </c>
      <c r="V277" s="19">
        <v>0</v>
      </c>
      <c r="W277" s="19">
        <v>0</v>
      </c>
      <c r="X277" s="19">
        <v>0</v>
      </c>
      <c r="Y277" s="19">
        <v>505.44</v>
      </c>
      <c r="Z277" s="19">
        <v>0</v>
      </c>
      <c r="AA277" s="19" t="s">
        <v>131</v>
      </c>
      <c r="AB277" s="19" t="s">
        <v>1572</v>
      </c>
      <c r="AC277" s="19">
        <v>400200</v>
      </c>
      <c r="AD277" s="19" t="s">
        <v>1092</v>
      </c>
      <c r="AE277" s="19">
        <v>1</v>
      </c>
      <c r="AF277" s="19">
        <v>0</v>
      </c>
      <c r="AG277" s="19" t="s">
        <v>1093</v>
      </c>
      <c r="AH277" s="19" t="s">
        <v>2319</v>
      </c>
    </row>
    <row r="278" spans="2:34" hidden="1" x14ac:dyDescent="0.35">
      <c r="B278" s="76">
        <v>46215</v>
      </c>
      <c r="C278" s="19" t="s">
        <v>478</v>
      </c>
      <c r="D278" s="19" t="s">
        <v>126</v>
      </c>
      <c r="E278" s="19" t="s">
        <v>476</v>
      </c>
      <c r="F278" s="19" t="s">
        <v>118</v>
      </c>
      <c r="G278" s="19" t="s">
        <v>477</v>
      </c>
      <c r="H278" s="76">
        <v>46211</v>
      </c>
      <c r="I278" s="19" t="s">
        <v>105</v>
      </c>
      <c r="J278" s="19" t="s">
        <v>1579</v>
      </c>
      <c r="K278" s="19" t="s">
        <v>1127</v>
      </c>
      <c r="L278" s="19" t="s">
        <v>1389</v>
      </c>
      <c r="M278" s="19" t="s">
        <v>1731</v>
      </c>
      <c r="N278" s="19">
        <v>5</v>
      </c>
      <c r="O278" s="19">
        <v>200</v>
      </c>
      <c r="P278" s="19" t="s">
        <v>1731</v>
      </c>
      <c r="Q278" s="19">
        <v>200181</v>
      </c>
      <c r="R278" s="19">
        <v>9</v>
      </c>
      <c r="S278" s="19">
        <v>18</v>
      </c>
      <c r="T278" s="19">
        <v>9</v>
      </c>
      <c r="U278" s="19">
        <v>18</v>
      </c>
      <c r="V278" s="19">
        <v>0</v>
      </c>
      <c r="W278" s="19">
        <v>0</v>
      </c>
      <c r="X278" s="19">
        <v>0</v>
      </c>
      <c r="Y278" s="19">
        <v>36</v>
      </c>
      <c r="Z278" s="19">
        <v>0</v>
      </c>
      <c r="AA278" s="19" t="s">
        <v>479</v>
      </c>
      <c r="AB278" s="19" t="s">
        <v>1555</v>
      </c>
      <c r="AC278" s="19">
        <v>84481900</v>
      </c>
      <c r="AD278" s="19" t="s">
        <v>1092</v>
      </c>
      <c r="AE278" s="19">
        <v>1</v>
      </c>
      <c r="AF278" s="19">
        <v>0</v>
      </c>
      <c r="AG278" s="19" t="s">
        <v>1093</v>
      </c>
      <c r="AH278" s="19" t="s">
        <v>2319</v>
      </c>
    </row>
    <row r="279" spans="2:34" hidden="1" x14ac:dyDescent="0.35">
      <c r="B279" s="76">
        <v>46215</v>
      </c>
      <c r="C279" s="19" t="s">
        <v>478</v>
      </c>
      <c r="D279" s="19" t="s">
        <v>126</v>
      </c>
      <c r="E279" s="19" t="s">
        <v>476</v>
      </c>
      <c r="F279" s="19" t="s">
        <v>118</v>
      </c>
      <c r="G279" s="19" t="s">
        <v>477</v>
      </c>
      <c r="H279" s="76">
        <v>46211</v>
      </c>
      <c r="I279" s="19" t="s">
        <v>105</v>
      </c>
      <c r="J279" s="19" t="s">
        <v>1579</v>
      </c>
      <c r="K279" s="19" t="s">
        <v>1127</v>
      </c>
      <c r="L279" s="19" t="s">
        <v>1389</v>
      </c>
      <c r="M279" s="19" t="s">
        <v>1732</v>
      </c>
      <c r="N279" s="19">
        <v>5</v>
      </c>
      <c r="O279" s="19">
        <v>250</v>
      </c>
      <c r="P279" s="19" t="s">
        <v>1732</v>
      </c>
      <c r="Q279" s="19">
        <v>0</v>
      </c>
      <c r="R279" s="19">
        <v>9</v>
      </c>
      <c r="S279" s="19">
        <v>22.5</v>
      </c>
      <c r="T279" s="19">
        <v>9</v>
      </c>
      <c r="U279" s="19">
        <v>22.5</v>
      </c>
      <c r="V279" s="19">
        <v>0</v>
      </c>
      <c r="W279" s="19">
        <v>0</v>
      </c>
      <c r="X279" s="19">
        <v>0</v>
      </c>
      <c r="Y279" s="19">
        <v>45</v>
      </c>
      <c r="Z279" s="19">
        <v>0</v>
      </c>
      <c r="AA279" s="19" t="s">
        <v>479</v>
      </c>
      <c r="AB279" s="19" t="s">
        <v>1555</v>
      </c>
      <c r="AC279" s="19">
        <v>84481900</v>
      </c>
      <c r="AD279" s="19" t="s">
        <v>1092</v>
      </c>
      <c r="AE279" s="19">
        <v>1</v>
      </c>
      <c r="AF279" s="19">
        <v>0</v>
      </c>
      <c r="AG279" s="19" t="s">
        <v>1093</v>
      </c>
      <c r="AH279" s="19" t="s">
        <v>2319</v>
      </c>
    </row>
    <row r="280" spans="2:34" hidden="1" x14ac:dyDescent="0.35">
      <c r="B280" s="76">
        <v>46215</v>
      </c>
      <c r="C280" s="19" t="s">
        <v>478</v>
      </c>
      <c r="D280" s="19" t="s">
        <v>126</v>
      </c>
      <c r="E280" s="19" t="s">
        <v>476</v>
      </c>
      <c r="F280" s="19" t="s">
        <v>118</v>
      </c>
      <c r="G280" s="19" t="s">
        <v>477</v>
      </c>
      <c r="H280" s="76">
        <v>46211</v>
      </c>
      <c r="I280" s="19" t="s">
        <v>105</v>
      </c>
      <c r="J280" s="19" t="s">
        <v>1579</v>
      </c>
      <c r="K280" s="19" t="s">
        <v>1127</v>
      </c>
      <c r="L280" s="19" t="s">
        <v>1389</v>
      </c>
      <c r="M280" s="19" t="s">
        <v>1733</v>
      </c>
      <c r="N280" s="19">
        <v>2</v>
      </c>
      <c r="O280" s="19">
        <v>1400</v>
      </c>
      <c r="P280" s="19" t="s">
        <v>1733</v>
      </c>
      <c r="Q280" s="19">
        <v>0</v>
      </c>
      <c r="R280" s="19">
        <v>9</v>
      </c>
      <c r="S280" s="19">
        <v>126</v>
      </c>
      <c r="T280" s="19">
        <v>9</v>
      </c>
      <c r="U280" s="19">
        <v>126</v>
      </c>
      <c r="V280" s="19">
        <v>0</v>
      </c>
      <c r="W280" s="19">
        <v>0</v>
      </c>
      <c r="X280" s="19">
        <v>0</v>
      </c>
      <c r="Y280" s="19">
        <v>252</v>
      </c>
      <c r="Z280" s="19">
        <v>0</v>
      </c>
      <c r="AA280" s="19" t="s">
        <v>479</v>
      </c>
      <c r="AB280" s="19" t="s">
        <v>1555</v>
      </c>
      <c r="AC280" s="19">
        <v>448190</v>
      </c>
      <c r="AD280" s="19" t="s">
        <v>1092</v>
      </c>
      <c r="AE280" s="19">
        <v>1</v>
      </c>
      <c r="AF280" s="19">
        <v>0</v>
      </c>
      <c r="AG280" s="19" t="s">
        <v>1093</v>
      </c>
      <c r="AH280" s="19" t="s">
        <v>2319</v>
      </c>
    </row>
    <row r="281" spans="2:34" hidden="1" x14ac:dyDescent="0.35">
      <c r="B281" s="76">
        <v>46215</v>
      </c>
      <c r="C281" s="19" t="s">
        <v>478</v>
      </c>
      <c r="D281" s="19" t="s">
        <v>126</v>
      </c>
      <c r="E281" s="19" t="s">
        <v>476</v>
      </c>
      <c r="F281" s="19" t="s">
        <v>118</v>
      </c>
      <c r="G281" s="19" t="s">
        <v>477</v>
      </c>
      <c r="H281" s="76">
        <v>46211</v>
      </c>
      <c r="I281" s="19" t="s">
        <v>105</v>
      </c>
      <c r="J281" s="19" t="s">
        <v>1734</v>
      </c>
      <c r="K281" s="19" t="s">
        <v>1127</v>
      </c>
      <c r="L281" s="19" t="s">
        <v>1389</v>
      </c>
      <c r="M281" s="19" t="s">
        <v>1735</v>
      </c>
      <c r="N281" s="19">
        <v>3</v>
      </c>
      <c r="O281" s="19">
        <v>255</v>
      </c>
      <c r="P281" s="19" t="s">
        <v>1735</v>
      </c>
      <c r="Q281" s="19">
        <v>0</v>
      </c>
      <c r="R281" s="19">
        <v>9</v>
      </c>
      <c r="S281" s="19">
        <v>22.95</v>
      </c>
      <c r="T281" s="19">
        <v>9</v>
      </c>
      <c r="U281" s="19">
        <v>22.95</v>
      </c>
      <c r="V281" s="19">
        <v>0</v>
      </c>
      <c r="W281" s="19">
        <v>0</v>
      </c>
      <c r="X281" s="19">
        <v>0</v>
      </c>
      <c r="Y281" s="19">
        <v>45.9</v>
      </c>
      <c r="Z281" s="19">
        <v>0</v>
      </c>
      <c r="AA281" s="19" t="s">
        <v>479</v>
      </c>
      <c r="AB281" s="19" t="s">
        <v>1555</v>
      </c>
      <c r="AC281" s="19">
        <v>8448</v>
      </c>
      <c r="AD281" s="19" t="s">
        <v>1092</v>
      </c>
      <c r="AE281" s="19">
        <v>1</v>
      </c>
      <c r="AF281" s="19">
        <v>0</v>
      </c>
      <c r="AG281" s="19" t="s">
        <v>1093</v>
      </c>
      <c r="AH281" s="19" t="s">
        <v>2319</v>
      </c>
    </row>
    <row r="282" spans="2:34" hidden="1" x14ac:dyDescent="0.35">
      <c r="B282" s="76">
        <v>46215</v>
      </c>
      <c r="C282" s="19" t="s">
        <v>478</v>
      </c>
      <c r="D282" s="19" t="s">
        <v>126</v>
      </c>
      <c r="E282" s="19" t="s">
        <v>476</v>
      </c>
      <c r="F282" s="19" t="s">
        <v>118</v>
      </c>
      <c r="G282" s="19" t="s">
        <v>477</v>
      </c>
      <c r="H282" s="76">
        <v>46211</v>
      </c>
      <c r="I282" s="19" t="s">
        <v>105</v>
      </c>
      <c r="J282" s="19" t="s">
        <v>1734</v>
      </c>
      <c r="K282" s="19" t="s">
        <v>1127</v>
      </c>
      <c r="L282" s="19" t="s">
        <v>1389</v>
      </c>
      <c r="M282" s="19" t="s">
        <v>1736</v>
      </c>
      <c r="N282" s="19">
        <v>2</v>
      </c>
      <c r="O282" s="19">
        <v>12400</v>
      </c>
      <c r="P282" s="19" t="s">
        <v>1736</v>
      </c>
      <c r="Q282" s="19">
        <v>0</v>
      </c>
      <c r="R282" s="19">
        <v>9</v>
      </c>
      <c r="S282" s="19">
        <v>1116</v>
      </c>
      <c r="T282" s="19">
        <v>9</v>
      </c>
      <c r="U282" s="19">
        <v>1116</v>
      </c>
      <c r="V282" s="19">
        <v>0</v>
      </c>
      <c r="W282" s="19">
        <v>0</v>
      </c>
      <c r="X282" s="19">
        <v>0</v>
      </c>
      <c r="Y282" s="19">
        <v>2232</v>
      </c>
      <c r="Z282" s="19">
        <v>0</v>
      </c>
      <c r="AA282" s="19" t="s">
        <v>479</v>
      </c>
      <c r="AB282" s="19" t="s">
        <v>1555</v>
      </c>
      <c r="AC282" s="19">
        <v>84481900</v>
      </c>
      <c r="AD282" s="19" t="s">
        <v>1092</v>
      </c>
      <c r="AE282" s="19">
        <v>1</v>
      </c>
      <c r="AF282" s="19">
        <v>0</v>
      </c>
      <c r="AG282" s="19" t="s">
        <v>1093</v>
      </c>
      <c r="AH282" s="19" t="s">
        <v>2319</v>
      </c>
    </row>
    <row r="283" spans="2:34" hidden="1" x14ac:dyDescent="0.35">
      <c r="B283" s="76">
        <v>46215</v>
      </c>
      <c r="C283" s="19" t="s">
        <v>478</v>
      </c>
      <c r="D283" s="19" t="s">
        <v>126</v>
      </c>
      <c r="E283" s="19" t="s">
        <v>476</v>
      </c>
      <c r="F283" s="19" t="s">
        <v>118</v>
      </c>
      <c r="G283" s="19" t="s">
        <v>477</v>
      </c>
      <c r="H283" s="76">
        <v>46211</v>
      </c>
      <c r="I283" s="19" t="s">
        <v>105</v>
      </c>
      <c r="J283" s="19" t="s">
        <v>1737</v>
      </c>
      <c r="K283" s="19" t="s">
        <v>105</v>
      </c>
      <c r="L283" s="19" t="s">
        <v>1389</v>
      </c>
      <c r="M283" s="19" t="s">
        <v>1738</v>
      </c>
      <c r="N283" s="19">
        <v>1</v>
      </c>
      <c r="O283" s="19">
        <v>13600</v>
      </c>
      <c r="P283" s="19" t="s">
        <v>1738</v>
      </c>
      <c r="Q283" s="19">
        <v>0</v>
      </c>
      <c r="R283" s="19">
        <v>9</v>
      </c>
      <c r="S283" s="19">
        <v>1224</v>
      </c>
      <c r="T283" s="19">
        <v>9</v>
      </c>
      <c r="U283" s="19">
        <v>1224</v>
      </c>
      <c r="V283" s="19">
        <v>0</v>
      </c>
      <c r="W283" s="19">
        <v>0</v>
      </c>
      <c r="X283" s="19">
        <v>0</v>
      </c>
      <c r="Y283" s="19">
        <v>2448</v>
      </c>
      <c r="Z283" s="19">
        <v>0</v>
      </c>
      <c r="AA283" s="19" t="s">
        <v>479</v>
      </c>
      <c r="AB283" s="19" t="s">
        <v>1555</v>
      </c>
      <c r="AC283" s="19">
        <v>84484990</v>
      </c>
      <c r="AD283" s="19" t="s">
        <v>1092</v>
      </c>
      <c r="AE283" s="19">
        <v>1</v>
      </c>
      <c r="AF283" s="19">
        <v>0</v>
      </c>
      <c r="AG283" s="19" t="s">
        <v>1093</v>
      </c>
      <c r="AH283" s="19" t="s">
        <v>2319</v>
      </c>
    </row>
    <row r="284" spans="2:34" hidden="1" x14ac:dyDescent="0.35">
      <c r="B284" s="76">
        <v>46215</v>
      </c>
      <c r="C284" s="19" t="s">
        <v>478</v>
      </c>
      <c r="D284" s="19" t="s">
        <v>126</v>
      </c>
      <c r="E284" s="19" t="s">
        <v>476</v>
      </c>
      <c r="F284" s="19" t="s">
        <v>118</v>
      </c>
      <c r="G284" s="19" t="s">
        <v>477</v>
      </c>
      <c r="H284" s="76">
        <v>46211</v>
      </c>
      <c r="I284" s="19" t="s">
        <v>105</v>
      </c>
      <c r="J284" s="19" t="s">
        <v>1579</v>
      </c>
      <c r="K284" s="19" t="s">
        <v>1127</v>
      </c>
      <c r="L284" s="19" t="s">
        <v>1389</v>
      </c>
      <c r="M284" s="19" t="s">
        <v>1739</v>
      </c>
      <c r="N284" s="19">
        <v>5</v>
      </c>
      <c r="O284" s="19">
        <v>425</v>
      </c>
      <c r="P284" s="19" t="s">
        <v>1739</v>
      </c>
      <c r="Q284" s="19">
        <v>0</v>
      </c>
      <c r="R284" s="19">
        <v>9</v>
      </c>
      <c r="S284" s="19">
        <v>38.25</v>
      </c>
      <c r="T284" s="19">
        <v>9</v>
      </c>
      <c r="U284" s="19">
        <v>38.25</v>
      </c>
      <c r="V284" s="19">
        <v>0</v>
      </c>
      <c r="W284" s="19">
        <v>0</v>
      </c>
      <c r="X284" s="19">
        <v>0</v>
      </c>
      <c r="Y284" s="19">
        <v>76.5</v>
      </c>
      <c r="Z284" s="19">
        <v>0</v>
      </c>
      <c r="AA284" s="19" t="s">
        <v>479</v>
      </c>
      <c r="AB284" s="19" t="s">
        <v>1555</v>
      </c>
      <c r="AC284" s="19">
        <v>84481900</v>
      </c>
      <c r="AD284" s="19" t="s">
        <v>1092</v>
      </c>
      <c r="AE284" s="19">
        <v>1</v>
      </c>
      <c r="AF284" s="19">
        <v>0</v>
      </c>
      <c r="AG284" s="19" t="s">
        <v>1093</v>
      </c>
      <c r="AH284" s="19" t="s">
        <v>2319</v>
      </c>
    </row>
    <row r="285" spans="2:34" hidden="1" x14ac:dyDescent="0.35">
      <c r="B285" s="76">
        <v>46215</v>
      </c>
      <c r="C285" s="19" t="s">
        <v>478</v>
      </c>
      <c r="D285" s="19" t="s">
        <v>126</v>
      </c>
      <c r="E285" s="19" t="s">
        <v>476</v>
      </c>
      <c r="F285" s="19" t="s">
        <v>118</v>
      </c>
      <c r="G285" s="19" t="s">
        <v>477</v>
      </c>
      <c r="H285" s="76">
        <v>46211</v>
      </c>
      <c r="I285" s="19" t="s">
        <v>105</v>
      </c>
      <c r="J285" s="19" t="s">
        <v>1579</v>
      </c>
      <c r="K285" s="19" t="s">
        <v>1127</v>
      </c>
      <c r="L285" s="19" t="s">
        <v>1389</v>
      </c>
      <c r="M285" s="19" t="s">
        <v>1740</v>
      </c>
      <c r="N285" s="19">
        <v>2</v>
      </c>
      <c r="O285" s="19">
        <v>1870</v>
      </c>
      <c r="P285" s="19" t="s">
        <v>1740</v>
      </c>
      <c r="Q285" s="19">
        <v>0</v>
      </c>
      <c r="R285" s="19">
        <v>9</v>
      </c>
      <c r="S285" s="19">
        <v>168.3</v>
      </c>
      <c r="T285" s="19">
        <v>9</v>
      </c>
      <c r="U285" s="19">
        <v>168.3</v>
      </c>
      <c r="V285" s="19">
        <v>0</v>
      </c>
      <c r="W285" s="19">
        <v>0</v>
      </c>
      <c r="X285" s="19">
        <v>0</v>
      </c>
      <c r="Y285" s="19">
        <v>336.6</v>
      </c>
      <c r="Z285" s="19">
        <v>0</v>
      </c>
      <c r="AA285" s="19" t="s">
        <v>479</v>
      </c>
      <c r="AB285" s="19" t="s">
        <v>1555</v>
      </c>
      <c r="AC285" s="19">
        <v>84481900</v>
      </c>
      <c r="AD285" s="19" t="s">
        <v>1092</v>
      </c>
      <c r="AE285" s="19">
        <v>1</v>
      </c>
      <c r="AF285" s="19">
        <v>0</v>
      </c>
      <c r="AG285" s="19" t="s">
        <v>1093</v>
      </c>
      <c r="AH285" s="19" t="s">
        <v>2319</v>
      </c>
    </row>
    <row r="286" spans="2:34" hidden="1" x14ac:dyDescent="0.35">
      <c r="B286" s="76">
        <v>46215</v>
      </c>
      <c r="C286" s="19" t="s">
        <v>478</v>
      </c>
      <c r="D286" s="19" t="s">
        <v>126</v>
      </c>
      <c r="E286" s="19" t="s">
        <v>476</v>
      </c>
      <c r="F286" s="19" t="s">
        <v>118</v>
      </c>
      <c r="G286" s="19" t="s">
        <v>477</v>
      </c>
      <c r="H286" s="76">
        <v>46211</v>
      </c>
      <c r="I286" s="19" t="s">
        <v>105</v>
      </c>
      <c r="J286" s="19" t="s">
        <v>1579</v>
      </c>
      <c r="K286" s="19" t="s">
        <v>1127</v>
      </c>
      <c r="L286" s="19" t="s">
        <v>1389</v>
      </c>
      <c r="M286" s="19" t="s">
        <v>1741</v>
      </c>
      <c r="N286" s="19">
        <v>1</v>
      </c>
      <c r="O286" s="19">
        <v>31800</v>
      </c>
      <c r="P286" s="19" t="s">
        <v>1741</v>
      </c>
      <c r="Q286" s="19">
        <v>0</v>
      </c>
      <c r="R286" s="19">
        <v>9</v>
      </c>
      <c r="S286" s="19">
        <v>2862</v>
      </c>
      <c r="T286" s="19">
        <v>9</v>
      </c>
      <c r="U286" s="19">
        <v>2862</v>
      </c>
      <c r="V286" s="19">
        <v>0</v>
      </c>
      <c r="W286" s="19">
        <v>0</v>
      </c>
      <c r="X286" s="19">
        <v>0</v>
      </c>
      <c r="Y286" s="19">
        <v>5724</v>
      </c>
      <c r="Z286" s="19">
        <v>0</v>
      </c>
      <c r="AA286" s="19" t="s">
        <v>479</v>
      </c>
      <c r="AB286" s="19" t="s">
        <v>1555</v>
      </c>
      <c r="AC286" s="19">
        <v>448190</v>
      </c>
      <c r="AD286" s="19" t="s">
        <v>1092</v>
      </c>
      <c r="AE286" s="19">
        <v>1</v>
      </c>
      <c r="AF286" s="19">
        <v>0</v>
      </c>
      <c r="AG286" s="19" t="s">
        <v>1093</v>
      </c>
      <c r="AH286" s="19" t="s">
        <v>2319</v>
      </c>
    </row>
    <row r="287" spans="2:34" hidden="1" x14ac:dyDescent="0.35">
      <c r="B287" s="76">
        <v>46215</v>
      </c>
      <c r="C287" s="19" t="s">
        <v>478</v>
      </c>
      <c r="D287" s="19" t="s">
        <v>126</v>
      </c>
      <c r="E287" s="19" t="s">
        <v>476</v>
      </c>
      <c r="F287" s="19" t="s">
        <v>118</v>
      </c>
      <c r="G287" s="19" t="s">
        <v>477</v>
      </c>
      <c r="H287" s="76">
        <v>46211</v>
      </c>
      <c r="I287" s="19" t="s">
        <v>105</v>
      </c>
      <c r="J287" s="19" t="s">
        <v>1579</v>
      </c>
      <c r="K287" s="19" t="s">
        <v>1127</v>
      </c>
      <c r="L287" s="19" t="s">
        <v>1389</v>
      </c>
      <c r="M287" s="19" t="s">
        <v>1742</v>
      </c>
      <c r="N287" s="19">
        <v>1</v>
      </c>
      <c r="O287" s="19">
        <v>13800</v>
      </c>
      <c r="P287" s="19" t="s">
        <v>1742</v>
      </c>
      <c r="Q287" s="19">
        <v>0</v>
      </c>
      <c r="R287" s="19">
        <v>9</v>
      </c>
      <c r="S287" s="19">
        <v>1242</v>
      </c>
      <c r="T287" s="19">
        <v>9</v>
      </c>
      <c r="U287" s="19">
        <v>1242</v>
      </c>
      <c r="V287" s="19">
        <v>0</v>
      </c>
      <c r="W287" s="19">
        <v>0</v>
      </c>
      <c r="X287" s="19">
        <v>0</v>
      </c>
      <c r="Y287" s="19">
        <v>2484</v>
      </c>
      <c r="Z287" s="19">
        <v>0</v>
      </c>
      <c r="AA287" s="19" t="s">
        <v>479</v>
      </c>
      <c r="AB287" s="19" t="s">
        <v>1555</v>
      </c>
      <c r="AC287" s="19">
        <v>448190</v>
      </c>
      <c r="AD287" s="19" t="s">
        <v>1092</v>
      </c>
      <c r="AE287" s="19">
        <v>1</v>
      </c>
      <c r="AF287" s="19">
        <v>0</v>
      </c>
      <c r="AG287" s="19" t="s">
        <v>1093</v>
      </c>
      <c r="AH287" s="19" t="s">
        <v>2319</v>
      </c>
    </row>
    <row r="288" spans="2:34" hidden="1" x14ac:dyDescent="0.35">
      <c r="B288" s="76">
        <v>46215</v>
      </c>
      <c r="C288" s="19" t="s">
        <v>478</v>
      </c>
      <c r="D288" s="19" t="s">
        <v>126</v>
      </c>
      <c r="E288" s="19" t="s">
        <v>476</v>
      </c>
      <c r="F288" s="19" t="s">
        <v>118</v>
      </c>
      <c r="G288" s="19" t="s">
        <v>477</v>
      </c>
      <c r="H288" s="76">
        <v>46211</v>
      </c>
      <c r="I288" s="19" t="s">
        <v>105</v>
      </c>
      <c r="J288" s="19" t="s">
        <v>1579</v>
      </c>
      <c r="K288" s="19" t="s">
        <v>1127</v>
      </c>
      <c r="L288" s="19" t="s">
        <v>1389</v>
      </c>
      <c r="M288" s="19" t="s">
        <v>1743</v>
      </c>
      <c r="N288" s="19">
        <v>3</v>
      </c>
      <c r="O288" s="19">
        <v>255</v>
      </c>
      <c r="P288" s="19" t="s">
        <v>1743</v>
      </c>
      <c r="Q288" s="19">
        <v>0</v>
      </c>
      <c r="R288" s="19">
        <v>9</v>
      </c>
      <c r="S288" s="19">
        <v>22.95</v>
      </c>
      <c r="T288" s="19">
        <v>9</v>
      </c>
      <c r="U288" s="19">
        <v>22.95</v>
      </c>
      <c r="V288" s="19">
        <v>0</v>
      </c>
      <c r="W288" s="19">
        <v>0</v>
      </c>
      <c r="X288" s="19">
        <v>0</v>
      </c>
      <c r="Y288" s="19">
        <v>45.9</v>
      </c>
      <c r="Z288" s="19">
        <v>0</v>
      </c>
      <c r="AA288" s="19" t="s">
        <v>479</v>
      </c>
      <c r="AB288" s="19" t="s">
        <v>1555</v>
      </c>
      <c r="AC288" s="19">
        <v>84484290</v>
      </c>
      <c r="AD288" s="19" t="s">
        <v>1092</v>
      </c>
      <c r="AE288" s="19">
        <v>1</v>
      </c>
      <c r="AF288" s="19">
        <v>0</v>
      </c>
      <c r="AG288" s="19" t="s">
        <v>1093</v>
      </c>
      <c r="AH288" s="19" t="s">
        <v>2319</v>
      </c>
    </row>
    <row r="289" spans="2:34" hidden="1" x14ac:dyDescent="0.35">
      <c r="B289" s="76">
        <v>46215</v>
      </c>
      <c r="C289" s="19" t="s">
        <v>478</v>
      </c>
      <c r="D289" s="19" t="s">
        <v>126</v>
      </c>
      <c r="E289" s="19" t="s">
        <v>476</v>
      </c>
      <c r="F289" s="19" t="s">
        <v>118</v>
      </c>
      <c r="G289" s="19" t="s">
        <v>477</v>
      </c>
      <c r="H289" s="76">
        <v>46211</v>
      </c>
      <c r="I289" s="19" t="s">
        <v>105</v>
      </c>
      <c r="J289" s="19" t="s">
        <v>1579</v>
      </c>
      <c r="K289" s="19" t="s">
        <v>1127</v>
      </c>
      <c r="L289" s="19" t="s">
        <v>1389</v>
      </c>
      <c r="M289" s="19" t="s">
        <v>1744</v>
      </c>
      <c r="N289" s="19">
        <v>1</v>
      </c>
      <c r="O289" s="19">
        <v>1165</v>
      </c>
      <c r="P289" s="19" t="s">
        <v>1744</v>
      </c>
      <c r="Q289" s="19">
        <v>0</v>
      </c>
      <c r="R289" s="19">
        <v>9</v>
      </c>
      <c r="S289" s="19">
        <v>104.85</v>
      </c>
      <c r="T289" s="19">
        <v>9</v>
      </c>
      <c r="U289" s="19">
        <v>104.85</v>
      </c>
      <c r="V289" s="19">
        <v>0</v>
      </c>
      <c r="W289" s="19">
        <v>0</v>
      </c>
      <c r="X289" s="19">
        <v>0</v>
      </c>
      <c r="Y289" s="19">
        <v>209.7</v>
      </c>
      <c r="Z289" s="19">
        <v>0</v>
      </c>
      <c r="AA289" s="19" t="s">
        <v>479</v>
      </c>
      <c r="AB289" s="19" t="s">
        <v>1555</v>
      </c>
      <c r="AC289" s="19">
        <v>84484290</v>
      </c>
      <c r="AD289" s="19" t="s">
        <v>1092</v>
      </c>
      <c r="AE289" s="19">
        <v>1</v>
      </c>
      <c r="AF289" s="19">
        <v>0</v>
      </c>
      <c r="AG289" s="19" t="s">
        <v>1093</v>
      </c>
      <c r="AH289" s="19" t="s">
        <v>2319</v>
      </c>
    </row>
    <row r="290" spans="2:34" hidden="1" x14ac:dyDescent="0.35">
      <c r="B290" s="76">
        <v>46215</v>
      </c>
      <c r="C290" s="19" t="s">
        <v>478</v>
      </c>
      <c r="D290" s="19" t="s">
        <v>126</v>
      </c>
      <c r="E290" s="19" t="s">
        <v>476</v>
      </c>
      <c r="F290" s="19" t="s">
        <v>118</v>
      </c>
      <c r="G290" s="19" t="s">
        <v>477</v>
      </c>
      <c r="H290" s="76">
        <v>46211</v>
      </c>
      <c r="I290" s="19" t="s">
        <v>105</v>
      </c>
      <c r="J290" s="19" t="s">
        <v>1579</v>
      </c>
      <c r="K290" s="19" t="s">
        <v>1127</v>
      </c>
      <c r="L290" s="19" t="s">
        <v>1389</v>
      </c>
      <c r="M290" s="19" t="s">
        <v>1745</v>
      </c>
      <c r="N290" s="19">
        <v>2</v>
      </c>
      <c r="O290" s="19">
        <v>8000</v>
      </c>
      <c r="P290" s="19" t="s">
        <v>1745</v>
      </c>
      <c r="Q290" s="19">
        <v>0</v>
      </c>
      <c r="R290" s="19">
        <v>9</v>
      </c>
      <c r="S290" s="19">
        <v>720</v>
      </c>
      <c r="T290" s="19">
        <v>9</v>
      </c>
      <c r="U290" s="19">
        <v>720</v>
      </c>
      <c r="V290" s="19">
        <v>0</v>
      </c>
      <c r="W290" s="19">
        <v>0</v>
      </c>
      <c r="X290" s="19">
        <v>0</v>
      </c>
      <c r="Y290" s="19">
        <v>1440</v>
      </c>
      <c r="Z290" s="19">
        <v>0</v>
      </c>
      <c r="AA290" s="19" t="s">
        <v>479</v>
      </c>
      <c r="AB290" s="19" t="s">
        <v>1555</v>
      </c>
      <c r="AC290" s="19">
        <v>84484290</v>
      </c>
      <c r="AD290" s="19" t="s">
        <v>1092</v>
      </c>
      <c r="AE290" s="19">
        <v>1</v>
      </c>
      <c r="AF290" s="19">
        <v>0</v>
      </c>
      <c r="AG290" s="19" t="s">
        <v>1093</v>
      </c>
      <c r="AH290" s="19" t="s">
        <v>2319</v>
      </c>
    </row>
    <row r="291" spans="2:34" hidden="1" x14ac:dyDescent="0.35">
      <c r="B291" s="76">
        <v>46215</v>
      </c>
      <c r="C291" s="19" t="s">
        <v>478</v>
      </c>
      <c r="D291" s="19" t="s">
        <v>126</v>
      </c>
      <c r="E291" s="19" t="s">
        <v>476</v>
      </c>
      <c r="F291" s="19" t="s">
        <v>118</v>
      </c>
      <c r="G291" s="19" t="s">
        <v>477</v>
      </c>
      <c r="H291" s="76">
        <v>46211</v>
      </c>
      <c r="I291" s="19" t="s">
        <v>105</v>
      </c>
      <c r="J291" s="19" t="s">
        <v>1579</v>
      </c>
      <c r="K291" s="19" t="s">
        <v>1127</v>
      </c>
      <c r="L291" s="19" t="s">
        <v>1389</v>
      </c>
      <c r="M291" s="19" t="s">
        <v>1746</v>
      </c>
      <c r="N291" s="19">
        <v>5</v>
      </c>
      <c r="O291" s="19">
        <v>500</v>
      </c>
      <c r="P291" s="19" t="s">
        <v>1746</v>
      </c>
      <c r="Q291" s="19">
        <v>0</v>
      </c>
      <c r="R291" s="19">
        <v>9</v>
      </c>
      <c r="S291" s="19">
        <v>45</v>
      </c>
      <c r="T291" s="19">
        <v>9</v>
      </c>
      <c r="U291" s="19">
        <v>45</v>
      </c>
      <c r="V291" s="19">
        <v>0</v>
      </c>
      <c r="W291" s="19">
        <v>0</v>
      </c>
      <c r="X291" s="19">
        <v>0</v>
      </c>
      <c r="Y291" s="19">
        <v>90</v>
      </c>
      <c r="Z291" s="19">
        <v>0</v>
      </c>
      <c r="AA291" s="19" t="s">
        <v>479</v>
      </c>
      <c r="AB291" s="19" t="s">
        <v>1555</v>
      </c>
      <c r="AC291" s="19">
        <v>84484290</v>
      </c>
      <c r="AD291" s="19" t="s">
        <v>1092</v>
      </c>
      <c r="AE291" s="19">
        <v>1</v>
      </c>
      <c r="AF291" s="19">
        <v>0</v>
      </c>
      <c r="AG291" s="19" t="s">
        <v>1093</v>
      </c>
      <c r="AH291" s="19" t="s">
        <v>2319</v>
      </c>
    </row>
    <row r="292" spans="2:34" hidden="1" x14ac:dyDescent="0.35">
      <c r="B292" s="76">
        <v>46215</v>
      </c>
      <c r="C292" s="19" t="s">
        <v>478</v>
      </c>
      <c r="D292" s="19" t="s">
        <v>126</v>
      </c>
      <c r="E292" s="19" t="s">
        <v>476</v>
      </c>
      <c r="F292" s="19" t="s">
        <v>118</v>
      </c>
      <c r="G292" s="19" t="s">
        <v>477</v>
      </c>
      <c r="H292" s="76">
        <v>46211</v>
      </c>
      <c r="I292" s="19" t="s">
        <v>105</v>
      </c>
      <c r="J292" s="19" t="s">
        <v>1579</v>
      </c>
      <c r="K292" s="19" t="s">
        <v>1127</v>
      </c>
      <c r="L292" s="19" t="s">
        <v>1389</v>
      </c>
      <c r="M292" s="19" t="s">
        <v>1747</v>
      </c>
      <c r="N292" s="19">
        <v>5</v>
      </c>
      <c r="O292" s="19">
        <v>21500</v>
      </c>
      <c r="P292" s="19" t="s">
        <v>1747</v>
      </c>
      <c r="Q292" s="19">
        <v>0</v>
      </c>
      <c r="R292" s="19">
        <v>9</v>
      </c>
      <c r="S292" s="19">
        <v>1935</v>
      </c>
      <c r="T292" s="19">
        <v>9</v>
      </c>
      <c r="U292" s="19">
        <v>1935</v>
      </c>
      <c r="V292" s="19">
        <v>0</v>
      </c>
      <c r="W292" s="19">
        <v>0</v>
      </c>
      <c r="X292" s="19">
        <v>0</v>
      </c>
      <c r="Y292" s="19">
        <v>3870</v>
      </c>
      <c r="Z292" s="19">
        <v>0</v>
      </c>
      <c r="AA292" s="19" t="s">
        <v>479</v>
      </c>
      <c r="AB292" s="19" t="s">
        <v>1555</v>
      </c>
      <c r="AC292" s="19">
        <v>84484290</v>
      </c>
      <c r="AD292" s="19" t="s">
        <v>1092</v>
      </c>
      <c r="AE292" s="19">
        <v>1</v>
      </c>
      <c r="AF292" s="19">
        <v>0</v>
      </c>
      <c r="AG292" s="19" t="s">
        <v>1093</v>
      </c>
      <c r="AH292" s="19" t="s">
        <v>2319</v>
      </c>
    </row>
    <row r="293" spans="2:34" hidden="1" x14ac:dyDescent="0.35">
      <c r="B293" s="76">
        <v>46215</v>
      </c>
      <c r="C293" s="19" t="s">
        <v>478</v>
      </c>
      <c r="D293" s="19" t="s">
        <v>126</v>
      </c>
      <c r="E293" s="19" t="s">
        <v>476</v>
      </c>
      <c r="F293" s="19" t="s">
        <v>118</v>
      </c>
      <c r="G293" s="19" t="s">
        <v>477</v>
      </c>
      <c r="H293" s="76">
        <v>46211</v>
      </c>
      <c r="I293" s="19" t="s">
        <v>105</v>
      </c>
      <c r="J293" s="19" t="s">
        <v>1579</v>
      </c>
      <c r="K293" s="19" t="s">
        <v>1127</v>
      </c>
      <c r="L293" s="19" t="s">
        <v>1389</v>
      </c>
      <c r="M293" s="19" t="s">
        <v>1748</v>
      </c>
      <c r="N293" s="19">
        <v>5</v>
      </c>
      <c r="O293" s="19">
        <v>4650</v>
      </c>
      <c r="P293" s="19" t="s">
        <v>1748</v>
      </c>
      <c r="Q293" s="19">
        <v>0</v>
      </c>
      <c r="R293" s="19">
        <v>9</v>
      </c>
      <c r="S293" s="19">
        <v>418.5</v>
      </c>
      <c r="T293" s="19">
        <v>9</v>
      </c>
      <c r="U293" s="19">
        <v>418.5</v>
      </c>
      <c r="V293" s="19">
        <v>0</v>
      </c>
      <c r="W293" s="19">
        <v>0</v>
      </c>
      <c r="X293" s="19">
        <v>0</v>
      </c>
      <c r="Y293" s="19">
        <v>837</v>
      </c>
      <c r="Z293" s="19">
        <v>0</v>
      </c>
      <c r="AA293" s="19" t="s">
        <v>479</v>
      </c>
      <c r="AB293" s="19" t="s">
        <v>1555</v>
      </c>
      <c r="AC293" s="19">
        <v>84484290</v>
      </c>
      <c r="AD293" s="19" t="s">
        <v>1092</v>
      </c>
      <c r="AE293" s="19">
        <v>1</v>
      </c>
      <c r="AF293" s="19">
        <v>0</v>
      </c>
      <c r="AG293" s="19" t="s">
        <v>1093</v>
      </c>
      <c r="AH293" s="19" t="s">
        <v>2319</v>
      </c>
    </row>
    <row r="294" spans="2:34" hidden="1" x14ac:dyDescent="0.35">
      <c r="B294" s="76">
        <v>46215</v>
      </c>
      <c r="C294" s="19" t="s">
        <v>478</v>
      </c>
      <c r="D294" s="19" t="s">
        <v>126</v>
      </c>
      <c r="E294" s="19" t="s">
        <v>476</v>
      </c>
      <c r="F294" s="19" t="s">
        <v>118</v>
      </c>
      <c r="G294" s="19" t="s">
        <v>477</v>
      </c>
      <c r="H294" s="76">
        <v>46211</v>
      </c>
      <c r="I294" s="19" t="s">
        <v>105</v>
      </c>
      <c r="J294" s="19" t="s">
        <v>1579</v>
      </c>
      <c r="K294" s="19" t="s">
        <v>1127</v>
      </c>
      <c r="L294" s="19" t="s">
        <v>1389</v>
      </c>
      <c r="M294" s="19" t="s">
        <v>1749</v>
      </c>
      <c r="N294" s="19">
        <v>1</v>
      </c>
      <c r="O294" s="19">
        <v>37000</v>
      </c>
      <c r="P294" s="19" t="s">
        <v>1749</v>
      </c>
      <c r="Q294" s="19">
        <v>0</v>
      </c>
      <c r="R294" s="19">
        <v>9</v>
      </c>
      <c r="S294" s="19">
        <v>3330</v>
      </c>
      <c r="T294" s="19">
        <v>9</v>
      </c>
      <c r="U294" s="19">
        <v>3330</v>
      </c>
      <c r="V294" s="19">
        <v>0</v>
      </c>
      <c r="W294" s="19">
        <v>0</v>
      </c>
      <c r="X294" s="19">
        <v>0</v>
      </c>
      <c r="Y294" s="19">
        <v>6660</v>
      </c>
      <c r="Z294" s="19">
        <v>0</v>
      </c>
      <c r="AA294" s="19" t="s">
        <v>479</v>
      </c>
      <c r="AB294" s="19" t="s">
        <v>1555</v>
      </c>
      <c r="AC294" s="19">
        <v>448190</v>
      </c>
      <c r="AD294" s="19" t="s">
        <v>1092</v>
      </c>
      <c r="AE294" s="19">
        <v>1</v>
      </c>
      <c r="AF294" s="19">
        <v>0</v>
      </c>
      <c r="AG294" s="19" t="s">
        <v>1093</v>
      </c>
      <c r="AH294" s="19" t="s">
        <v>2319</v>
      </c>
    </row>
    <row r="295" spans="2:34" hidden="1" x14ac:dyDescent="0.35">
      <c r="B295" s="76">
        <v>46215</v>
      </c>
      <c r="C295" s="19" t="s">
        <v>478</v>
      </c>
      <c r="D295" s="19" t="s">
        <v>126</v>
      </c>
      <c r="E295" s="19" t="s">
        <v>476</v>
      </c>
      <c r="F295" s="19" t="s">
        <v>118</v>
      </c>
      <c r="G295" s="19" t="s">
        <v>477</v>
      </c>
      <c r="H295" s="76">
        <v>46211</v>
      </c>
      <c r="I295" s="19" t="s">
        <v>105</v>
      </c>
      <c r="J295" s="19" t="s">
        <v>1579</v>
      </c>
      <c r="K295" s="19" t="s">
        <v>1127</v>
      </c>
      <c r="L295" s="19" t="s">
        <v>1389</v>
      </c>
      <c r="M295" s="19" t="s">
        <v>1750</v>
      </c>
      <c r="N295" s="19">
        <v>2</v>
      </c>
      <c r="O295" s="19">
        <v>16200</v>
      </c>
      <c r="P295" s="19" t="s">
        <v>1750</v>
      </c>
      <c r="Q295" s="19">
        <v>0</v>
      </c>
      <c r="R295" s="19">
        <v>9</v>
      </c>
      <c r="S295" s="19">
        <v>1512</v>
      </c>
      <c r="T295" s="19">
        <v>9</v>
      </c>
      <c r="U295" s="19">
        <v>1512</v>
      </c>
      <c r="V295" s="19">
        <v>0</v>
      </c>
      <c r="W295" s="19">
        <v>0</v>
      </c>
      <c r="X295" s="19">
        <v>0</v>
      </c>
      <c r="Y295" s="19">
        <v>3024</v>
      </c>
      <c r="Z295" s="19">
        <v>0</v>
      </c>
      <c r="AA295" s="19" t="s">
        <v>479</v>
      </c>
      <c r="AB295" s="19" t="s">
        <v>1672</v>
      </c>
      <c r="AC295" s="19">
        <v>84489019</v>
      </c>
      <c r="AD295" s="19" t="s">
        <v>1092</v>
      </c>
      <c r="AE295" s="19">
        <v>1</v>
      </c>
      <c r="AF295" s="19">
        <v>0</v>
      </c>
      <c r="AG295" s="19" t="s">
        <v>1093</v>
      </c>
      <c r="AH295" s="19" t="s">
        <v>2319</v>
      </c>
    </row>
    <row r="296" spans="2:34" hidden="1" x14ac:dyDescent="0.35">
      <c r="B296" s="76">
        <v>46215</v>
      </c>
      <c r="C296" s="19" t="s">
        <v>478</v>
      </c>
      <c r="D296" s="19" t="s">
        <v>126</v>
      </c>
      <c r="E296" s="19" t="s">
        <v>476</v>
      </c>
      <c r="F296" s="19" t="s">
        <v>118</v>
      </c>
      <c r="G296" s="19" t="s">
        <v>477</v>
      </c>
      <c r="H296" s="76">
        <v>46211</v>
      </c>
      <c r="I296" s="19" t="s">
        <v>105</v>
      </c>
      <c r="J296" s="19" t="s">
        <v>1579</v>
      </c>
      <c r="K296" s="19" t="s">
        <v>1127</v>
      </c>
      <c r="L296" s="19" t="s">
        <v>1389</v>
      </c>
      <c r="M296" s="19" t="s">
        <v>1751</v>
      </c>
      <c r="N296" s="19">
        <v>5</v>
      </c>
      <c r="O296" s="19">
        <v>375</v>
      </c>
      <c r="P296" s="19" t="s">
        <v>1751</v>
      </c>
      <c r="Q296" s="19">
        <v>0</v>
      </c>
      <c r="R296" s="19">
        <v>9</v>
      </c>
      <c r="S296" s="19">
        <v>33.75</v>
      </c>
      <c r="T296" s="19">
        <v>9</v>
      </c>
      <c r="U296" s="19">
        <v>33.75</v>
      </c>
      <c r="V296" s="19">
        <v>0</v>
      </c>
      <c r="W296" s="19">
        <v>0</v>
      </c>
      <c r="X296" s="19">
        <v>0</v>
      </c>
      <c r="Y296" s="19">
        <v>67.5</v>
      </c>
      <c r="Z296" s="19">
        <v>0</v>
      </c>
      <c r="AA296" s="19" t="s">
        <v>479</v>
      </c>
      <c r="AB296" s="19" t="s">
        <v>1555</v>
      </c>
      <c r="AC296" s="19">
        <v>84481900</v>
      </c>
      <c r="AD296" s="19" t="s">
        <v>1092</v>
      </c>
      <c r="AE296" s="19">
        <v>1</v>
      </c>
      <c r="AF296" s="19">
        <v>0</v>
      </c>
      <c r="AG296" s="19" t="s">
        <v>1093</v>
      </c>
      <c r="AH296" s="19" t="s">
        <v>2319</v>
      </c>
    </row>
    <row r="297" spans="2:34" hidden="1" x14ac:dyDescent="0.35">
      <c r="B297" s="76">
        <v>46215</v>
      </c>
      <c r="C297" s="19" t="s">
        <v>478</v>
      </c>
      <c r="D297" s="19" t="s">
        <v>126</v>
      </c>
      <c r="E297" s="19" t="s">
        <v>476</v>
      </c>
      <c r="F297" s="19" t="s">
        <v>118</v>
      </c>
      <c r="G297" s="19" t="s">
        <v>477</v>
      </c>
      <c r="H297" s="76">
        <v>46211</v>
      </c>
      <c r="I297" s="19" t="s">
        <v>105</v>
      </c>
      <c r="J297" s="19" t="s">
        <v>1579</v>
      </c>
      <c r="K297" s="19" t="s">
        <v>1127</v>
      </c>
      <c r="L297" s="19" t="s">
        <v>1389</v>
      </c>
      <c r="M297" s="19" t="s">
        <v>1752</v>
      </c>
      <c r="N297" s="19">
        <v>5</v>
      </c>
      <c r="O297" s="19">
        <v>1900</v>
      </c>
      <c r="P297" s="19" t="s">
        <v>1752</v>
      </c>
      <c r="Q297" s="19">
        <v>0</v>
      </c>
      <c r="R297" s="19">
        <v>9</v>
      </c>
      <c r="S297" s="19">
        <v>171</v>
      </c>
      <c r="T297" s="19">
        <v>9</v>
      </c>
      <c r="U297" s="19">
        <v>171</v>
      </c>
      <c r="V297" s="19">
        <v>0</v>
      </c>
      <c r="W297" s="19">
        <v>0</v>
      </c>
      <c r="X297" s="19">
        <v>0</v>
      </c>
      <c r="Y297" s="19">
        <v>342</v>
      </c>
      <c r="Z297" s="19">
        <v>0</v>
      </c>
      <c r="AA297" s="19" t="s">
        <v>479</v>
      </c>
      <c r="AB297" s="19" t="s">
        <v>1555</v>
      </c>
      <c r="AC297" s="19">
        <v>84484290</v>
      </c>
      <c r="AD297" s="19" t="s">
        <v>1092</v>
      </c>
      <c r="AE297" s="19">
        <v>1</v>
      </c>
      <c r="AF297" s="19">
        <v>0</v>
      </c>
      <c r="AG297" s="19" t="s">
        <v>1093</v>
      </c>
      <c r="AH297" s="19" t="s">
        <v>2319</v>
      </c>
    </row>
    <row r="298" spans="2:34" hidden="1" x14ac:dyDescent="0.35">
      <c r="B298" s="76">
        <v>46215</v>
      </c>
      <c r="C298" s="19" t="s">
        <v>478</v>
      </c>
      <c r="D298" s="19" t="s">
        <v>126</v>
      </c>
      <c r="E298" s="19" t="s">
        <v>476</v>
      </c>
      <c r="F298" s="19" t="s">
        <v>118</v>
      </c>
      <c r="G298" s="19" t="s">
        <v>477</v>
      </c>
      <c r="H298" s="76">
        <v>46211</v>
      </c>
      <c r="I298" s="19" t="s">
        <v>105</v>
      </c>
      <c r="J298" s="19" t="s">
        <v>1579</v>
      </c>
      <c r="K298" s="19" t="s">
        <v>1127</v>
      </c>
      <c r="L298" s="19" t="s">
        <v>1389</v>
      </c>
      <c r="M298" s="19" t="s">
        <v>1753</v>
      </c>
      <c r="N298" s="19">
        <v>3</v>
      </c>
      <c r="O298" s="19">
        <v>1500</v>
      </c>
      <c r="P298" s="19" t="s">
        <v>1753</v>
      </c>
      <c r="Q298" s="19">
        <v>0</v>
      </c>
      <c r="R298" s="19">
        <v>9</v>
      </c>
      <c r="S298" s="19">
        <v>135</v>
      </c>
      <c r="T298" s="19">
        <v>9</v>
      </c>
      <c r="U298" s="19">
        <v>135</v>
      </c>
      <c r="V298" s="19">
        <v>0</v>
      </c>
      <c r="W298" s="19">
        <v>0</v>
      </c>
      <c r="X298" s="19">
        <v>0</v>
      </c>
      <c r="Y298" s="19">
        <v>270</v>
      </c>
      <c r="Z298" s="19">
        <v>0</v>
      </c>
      <c r="AA298" s="19" t="s">
        <v>479</v>
      </c>
      <c r="AB298" s="19" t="s">
        <v>1555</v>
      </c>
      <c r="AC298" s="19">
        <v>844849</v>
      </c>
      <c r="AD298" s="19" t="s">
        <v>1092</v>
      </c>
      <c r="AE298" s="19">
        <v>1</v>
      </c>
      <c r="AF298" s="19">
        <v>0</v>
      </c>
      <c r="AG298" s="19" t="s">
        <v>1093</v>
      </c>
      <c r="AH298" s="19" t="s">
        <v>2319</v>
      </c>
    </row>
    <row r="299" spans="2:34" hidden="1" x14ac:dyDescent="0.35">
      <c r="B299" s="76">
        <v>46216</v>
      </c>
      <c r="C299" s="19" t="s">
        <v>515</v>
      </c>
      <c r="D299" s="19" t="s">
        <v>126</v>
      </c>
      <c r="E299" s="19" t="s">
        <v>513</v>
      </c>
      <c r="F299" s="19" t="s">
        <v>121</v>
      </c>
      <c r="G299" s="19" t="s">
        <v>514</v>
      </c>
      <c r="H299" s="76">
        <v>46200</v>
      </c>
      <c r="I299" s="19" t="s">
        <v>57</v>
      </c>
      <c r="J299" s="19" t="s">
        <v>29</v>
      </c>
      <c r="K299" s="19" t="s">
        <v>29</v>
      </c>
      <c r="L299" s="19" t="s">
        <v>102</v>
      </c>
      <c r="M299" s="19" t="s">
        <v>1604</v>
      </c>
      <c r="N299" s="19">
        <v>1180</v>
      </c>
      <c r="O299" s="19">
        <v>4720</v>
      </c>
      <c r="P299" s="19" t="s">
        <v>1604</v>
      </c>
      <c r="Q299" s="19">
        <v>76811</v>
      </c>
      <c r="R299" s="19">
        <v>0</v>
      </c>
      <c r="S299" s="19">
        <v>0</v>
      </c>
      <c r="T299" s="19">
        <v>0</v>
      </c>
      <c r="U299" s="19">
        <v>0</v>
      </c>
      <c r="V299" s="19">
        <v>18</v>
      </c>
      <c r="W299" s="19">
        <v>849.6</v>
      </c>
      <c r="X299" s="19">
        <v>0</v>
      </c>
      <c r="Y299" s="19">
        <v>849.6</v>
      </c>
      <c r="Z299" s="19">
        <v>0</v>
      </c>
      <c r="AA299" s="19" t="s">
        <v>516</v>
      </c>
      <c r="AB299" s="19" t="s">
        <v>1555</v>
      </c>
      <c r="AC299" s="19">
        <v>58079010</v>
      </c>
      <c r="AD299" s="19" t="s">
        <v>1092</v>
      </c>
      <c r="AE299" s="19">
        <v>1</v>
      </c>
      <c r="AF299" s="19">
        <v>3.8</v>
      </c>
      <c r="AG299" s="19" t="s">
        <v>1093</v>
      </c>
      <c r="AH299" s="19" t="s">
        <v>2319</v>
      </c>
    </row>
    <row r="300" spans="2:34" hidden="1" x14ac:dyDescent="0.35">
      <c r="B300" s="76">
        <v>46216</v>
      </c>
      <c r="C300" s="19" t="s">
        <v>515</v>
      </c>
      <c r="D300" s="19" t="s">
        <v>126</v>
      </c>
      <c r="E300" s="19" t="s">
        <v>513</v>
      </c>
      <c r="F300" s="19" t="s">
        <v>121</v>
      </c>
      <c r="G300" s="19" t="s">
        <v>514</v>
      </c>
      <c r="H300" s="76">
        <v>46200</v>
      </c>
      <c r="I300" s="19" t="s">
        <v>57</v>
      </c>
      <c r="J300" s="19" t="s">
        <v>29</v>
      </c>
      <c r="K300" s="19" t="s">
        <v>29</v>
      </c>
      <c r="L300" s="19" t="s">
        <v>102</v>
      </c>
      <c r="M300" s="19" t="s">
        <v>1604</v>
      </c>
      <c r="N300" s="19">
        <v>3210</v>
      </c>
      <c r="O300" s="19">
        <v>6420</v>
      </c>
      <c r="P300" s="19" t="s">
        <v>1604</v>
      </c>
      <c r="Q300" s="19">
        <v>0</v>
      </c>
      <c r="R300" s="19">
        <v>0</v>
      </c>
      <c r="S300" s="19">
        <v>0</v>
      </c>
      <c r="T300" s="19">
        <v>0</v>
      </c>
      <c r="U300" s="19">
        <v>0</v>
      </c>
      <c r="V300" s="19">
        <v>18</v>
      </c>
      <c r="W300" s="19">
        <v>1155.5999999999999</v>
      </c>
      <c r="X300" s="19">
        <v>0</v>
      </c>
      <c r="Y300" s="19">
        <v>1155.5999999999999</v>
      </c>
      <c r="Z300" s="19">
        <v>0</v>
      </c>
      <c r="AA300" s="19" t="s">
        <v>516</v>
      </c>
      <c r="AB300" s="19" t="s">
        <v>1555</v>
      </c>
      <c r="AC300" s="19">
        <v>58079010</v>
      </c>
      <c r="AD300" s="19" t="s">
        <v>1092</v>
      </c>
      <c r="AE300" s="19">
        <v>1</v>
      </c>
      <c r="AF300" s="19">
        <v>10.5</v>
      </c>
      <c r="AG300" s="19" t="s">
        <v>1093</v>
      </c>
      <c r="AH300" s="19" t="s">
        <v>2319</v>
      </c>
    </row>
    <row r="301" spans="2:34" hidden="1" x14ac:dyDescent="0.35">
      <c r="B301" s="76">
        <v>46216</v>
      </c>
      <c r="C301" s="19" t="s">
        <v>515</v>
      </c>
      <c r="D301" s="19" t="s">
        <v>126</v>
      </c>
      <c r="E301" s="19" t="s">
        <v>513</v>
      </c>
      <c r="F301" s="19" t="s">
        <v>121</v>
      </c>
      <c r="G301" s="19" t="s">
        <v>514</v>
      </c>
      <c r="H301" s="76">
        <v>46200</v>
      </c>
      <c r="I301" s="19" t="s">
        <v>57</v>
      </c>
      <c r="J301" s="19" t="s">
        <v>29</v>
      </c>
      <c r="K301" s="19" t="s">
        <v>29</v>
      </c>
      <c r="L301" s="19" t="s">
        <v>102</v>
      </c>
      <c r="M301" s="19" t="s">
        <v>1604</v>
      </c>
      <c r="N301" s="19">
        <v>3800</v>
      </c>
      <c r="O301" s="19">
        <v>6840</v>
      </c>
      <c r="P301" s="19" t="s">
        <v>1604</v>
      </c>
      <c r="Q301" s="19">
        <v>0</v>
      </c>
      <c r="R301" s="19">
        <v>0</v>
      </c>
      <c r="S301" s="19">
        <v>0</v>
      </c>
      <c r="T301" s="19">
        <v>0</v>
      </c>
      <c r="U301" s="19">
        <v>0</v>
      </c>
      <c r="V301" s="19">
        <v>18</v>
      </c>
      <c r="W301" s="19">
        <v>1231.2</v>
      </c>
      <c r="X301" s="19">
        <v>0</v>
      </c>
      <c r="Y301" s="19">
        <v>1231.2</v>
      </c>
      <c r="Z301" s="19">
        <v>0</v>
      </c>
      <c r="AA301" s="19" t="s">
        <v>516</v>
      </c>
      <c r="AB301" s="19" t="s">
        <v>1555</v>
      </c>
      <c r="AC301" s="19">
        <v>58079010</v>
      </c>
      <c r="AD301" s="19" t="s">
        <v>1092</v>
      </c>
      <c r="AE301" s="19">
        <v>1</v>
      </c>
      <c r="AF301" s="19">
        <v>12.5</v>
      </c>
      <c r="AG301" s="19" t="s">
        <v>1093</v>
      </c>
      <c r="AH301" s="19" t="s">
        <v>2319</v>
      </c>
    </row>
    <row r="302" spans="2:34" hidden="1" x14ac:dyDescent="0.35">
      <c r="B302" s="76">
        <v>46216</v>
      </c>
      <c r="C302" s="19" t="s">
        <v>515</v>
      </c>
      <c r="D302" s="19" t="s">
        <v>126</v>
      </c>
      <c r="E302" s="19" t="s">
        <v>513</v>
      </c>
      <c r="F302" s="19" t="s">
        <v>121</v>
      </c>
      <c r="G302" s="19" t="s">
        <v>514</v>
      </c>
      <c r="H302" s="76">
        <v>46200</v>
      </c>
      <c r="I302" s="19" t="s">
        <v>57</v>
      </c>
      <c r="J302" s="19" t="s">
        <v>29</v>
      </c>
      <c r="K302" s="19" t="s">
        <v>29</v>
      </c>
      <c r="L302" s="19" t="s">
        <v>102</v>
      </c>
      <c r="M302" s="19" t="s">
        <v>1604</v>
      </c>
      <c r="N302" s="19">
        <v>1015</v>
      </c>
      <c r="O302" s="19">
        <v>3349.5</v>
      </c>
      <c r="P302" s="19" t="s">
        <v>1604</v>
      </c>
      <c r="Q302" s="19">
        <v>0</v>
      </c>
      <c r="R302" s="19">
        <v>0</v>
      </c>
      <c r="S302" s="19">
        <v>0</v>
      </c>
      <c r="T302" s="19">
        <v>0</v>
      </c>
      <c r="U302" s="19">
        <v>0</v>
      </c>
      <c r="V302" s="19">
        <v>18</v>
      </c>
      <c r="W302" s="19">
        <v>602.91</v>
      </c>
      <c r="X302" s="19">
        <v>0</v>
      </c>
      <c r="Y302" s="19">
        <v>602.91</v>
      </c>
      <c r="Z302" s="19">
        <v>0</v>
      </c>
      <c r="AA302" s="19" t="s">
        <v>516</v>
      </c>
      <c r="AB302" s="19" t="s">
        <v>1555</v>
      </c>
      <c r="AC302" s="19">
        <v>58079010</v>
      </c>
      <c r="AD302" s="19" t="s">
        <v>1092</v>
      </c>
      <c r="AE302" s="19">
        <v>1</v>
      </c>
      <c r="AF302" s="19">
        <v>3.3</v>
      </c>
      <c r="AG302" s="19" t="s">
        <v>1093</v>
      </c>
      <c r="AH302" s="19" t="s">
        <v>2319</v>
      </c>
    </row>
    <row r="303" spans="2:34" hidden="1" x14ac:dyDescent="0.35">
      <c r="B303" s="76">
        <v>46216</v>
      </c>
      <c r="C303" s="19" t="s">
        <v>515</v>
      </c>
      <c r="D303" s="19" t="s">
        <v>126</v>
      </c>
      <c r="E303" s="19" t="s">
        <v>513</v>
      </c>
      <c r="F303" s="19" t="s">
        <v>121</v>
      </c>
      <c r="G303" s="19" t="s">
        <v>514</v>
      </c>
      <c r="H303" s="76">
        <v>46200</v>
      </c>
      <c r="I303" s="19" t="s">
        <v>57</v>
      </c>
      <c r="J303" s="19" t="s">
        <v>29</v>
      </c>
      <c r="K303" s="19" t="s">
        <v>29</v>
      </c>
      <c r="L303" s="19" t="s">
        <v>102</v>
      </c>
      <c r="M303" s="19" t="s">
        <v>1604</v>
      </c>
      <c r="N303" s="19">
        <v>3875</v>
      </c>
      <c r="O303" s="19">
        <v>14725</v>
      </c>
      <c r="P303" s="19" t="s">
        <v>1604</v>
      </c>
      <c r="Q303" s="19">
        <v>0</v>
      </c>
      <c r="R303" s="19">
        <v>0</v>
      </c>
      <c r="S303" s="19">
        <v>0</v>
      </c>
      <c r="T303" s="19">
        <v>0</v>
      </c>
      <c r="U303" s="19">
        <v>0</v>
      </c>
      <c r="V303" s="19">
        <v>18</v>
      </c>
      <c r="W303" s="19">
        <v>2650.5</v>
      </c>
      <c r="X303" s="19">
        <v>0</v>
      </c>
      <c r="Y303" s="19">
        <v>2650.5</v>
      </c>
      <c r="Z303" s="19">
        <v>0</v>
      </c>
      <c r="AA303" s="19" t="s">
        <v>516</v>
      </c>
      <c r="AB303" s="19" t="s">
        <v>1555</v>
      </c>
      <c r="AC303" s="19">
        <v>58079010</v>
      </c>
      <c r="AD303" s="19" t="s">
        <v>1092</v>
      </c>
      <c r="AE303" s="19">
        <v>1</v>
      </c>
      <c r="AF303" s="19">
        <v>12.7</v>
      </c>
      <c r="AG303" s="19" t="s">
        <v>1093</v>
      </c>
      <c r="AH303" s="19" t="s">
        <v>2319</v>
      </c>
    </row>
    <row r="304" spans="2:34" hidden="1" x14ac:dyDescent="0.35">
      <c r="B304" s="76">
        <v>46216</v>
      </c>
      <c r="C304" s="19" t="s">
        <v>515</v>
      </c>
      <c r="D304" s="19" t="s">
        <v>126</v>
      </c>
      <c r="E304" s="19" t="s">
        <v>513</v>
      </c>
      <c r="F304" s="19" t="s">
        <v>121</v>
      </c>
      <c r="G304" s="19" t="s">
        <v>514</v>
      </c>
      <c r="H304" s="76">
        <v>46200</v>
      </c>
      <c r="I304" s="19" t="s">
        <v>57</v>
      </c>
      <c r="J304" s="19" t="s">
        <v>29</v>
      </c>
      <c r="K304" s="19" t="s">
        <v>29</v>
      </c>
      <c r="L304" s="19" t="s">
        <v>102</v>
      </c>
      <c r="M304" s="19" t="s">
        <v>1604</v>
      </c>
      <c r="N304" s="19">
        <v>6540</v>
      </c>
      <c r="O304" s="19">
        <v>26160</v>
      </c>
      <c r="P304" s="19" t="s">
        <v>1604</v>
      </c>
      <c r="Q304" s="19">
        <v>0</v>
      </c>
      <c r="R304" s="19">
        <v>0</v>
      </c>
      <c r="S304" s="19">
        <v>0</v>
      </c>
      <c r="T304" s="19">
        <v>0</v>
      </c>
      <c r="U304" s="19">
        <v>0</v>
      </c>
      <c r="V304" s="19">
        <v>18</v>
      </c>
      <c r="W304" s="19">
        <v>4708.8</v>
      </c>
      <c r="X304" s="19">
        <v>0</v>
      </c>
      <c r="Y304" s="19">
        <v>4708.8</v>
      </c>
      <c r="Z304" s="19">
        <v>0</v>
      </c>
      <c r="AA304" s="19" t="s">
        <v>516</v>
      </c>
      <c r="AB304" s="19" t="s">
        <v>1555</v>
      </c>
      <c r="AC304" s="19">
        <v>58079010</v>
      </c>
      <c r="AD304" s="19" t="s">
        <v>1092</v>
      </c>
      <c r="AE304" s="19">
        <v>1</v>
      </c>
      <c r="AF304" s="19">
        <v>21.5</v>
      </c>
      <c r="AG304" s="19" t="s">
        <v>1093</v>
      </c>
      <c r="AH304" s="19" t="s">
        <v>2319</v>
      </c>
    </row>
    <row r="305" spans="2:34" hidden="1" x14ac:dyDescent="0.35">
      <c r="B305" s="76">
        <v>46216</v>
      </c>
      <c r="C305" s="19" t="s">
        <v>515</v>
      </c>
      <c r="D305" s="19" t="s">
        <v>126</v>
      </c>
      <c r="E305" s="19" t="s">
        <v>513</v>
      </c>
      <c r="F305" s="19" t="s">
        <v>121</v>
      </c>
      <c r="G305" s="19" t="s">
        <v>514</v>
      </c>
      <c r="H305" s="76">
        <v>46200</v>
      </c>
      <c r="I305" s="19" t="s">
        <v>57</v>
      </c>
      <c r="J305" s="19" t="s">
        <v>29</v>
      </c>
      <c r="K305" s="19" t="s">
        <v>29</v>
      </c>
      <c r="L305" s="19" t="s">
        <v>102</v>
      </c>
      <c r="M305" s="19" t="s">
        <v>1604</v>
      </c>
      <c r="N305" s="19">
        <v>720</v>
      </c>
      <c r="O305" s="19">
        <v>2880</v>
      </c>
      <c r="P305" s="19" t="s">
        <v>1604</v>
      </c>
      <c r="Q305" s="19">
        <v>0</v>
      </c>
      <c r="R305" s="19">
        <v>0</v>
      </c>
      <c r="S305" s="19">
        <v>0</v>
      </c>
      <c r="T305" s="19">
        <v>0</v>
      </c>
      <c r="U305" s="19">
        <v>0</v>
      </c>
      <c r="V305" s="19">
        <v>18</v>
      </c>
      <c r="W305" s="19">
        <v>518.4</v>
      </c>
      <c r="X305" s="19">
        <v>0</v>
      </c>
      <c r="Y305" s="19">
        <v>518.4</v>
      </c>
      <c r="Z305" s="19">
        <v>0</v>
      </c>
      <c r="AA305" s="19" t="s">
        <v>516</v>
      </c>
      <c r="AB305" s="19" t="s">
        <v>1555</v>
      </c>
      <c r="AC305" s="19">
        <v>58079010</v>
      </c>
      <c r="AD305" s="19" t="s">
        <v>1092</v>
      </c>
      <c r="AE305" s="19">
        <v>1</v>
      </c>
      <c r="AF305" s="19">
        <v>2.2999999999999998</v>
      </c>
      <c r="AG305" s="19" t="s">
        <v>1093</v>
      </c>
      <c r="AH305" s="19" t="s">
        <v>2319</v>
      </c>
    </row>
    <row r="306" spans="2:34" hidden="1" x14ac:dyDescent="0.35">
      <c r="B306" s="76">
        <v>46216</v>
      </c>
      <c r="C306" s="19" t="s">
        <v>193</v>
      </c>
      <c r="D306" s="19" t="s">
        <v>1754</v>
      </c>
      <c r="E306" s="19" t="s">
        <v>1755</v>
      </c>
      <c r="F306" s="19" t="s">
        <v>1756</v>
      </c>
      <c r="G306" s="19" t="s">
        <v>1755</v>
      </c>
      <c r="H306" s="76">
        <v>46216</v>
      </c>
      <c r="I306" s="19" t="s">
        <v>105</v>
      </c>
      <c r="J306" s="19" t="s">
        <v>1579</v>
      </c>
      <c r="K306" s="19" t="s">
        <v>1127</v>
      </c>
      <c r="L306" s="19" t="s">
        <v>1389</v>
      </c>
      <c r="M306" s="19" t="s">
        <v>1639</v>
      </c>
      <c r="N306" s="19">
        <v>-20</v>
      </c>
      <c r="O306" s="19">
        <v>-21300</v>
      </c>
      <c r="P306" s="19" t="s">
        <v>1639</v>
      </c>
      <c r="Q306" s="19">
        <v>-25134</v>
      </c>
      <c r="R306" s="19">
        <v>9</v>
      </c>
      <c r="S306" s="19">
        <v>1917</v>
      </c>
      <c r="T306" s="19">
        <v>9</v>
      </c>
      <c r="U306" s="19">
        <v>1917</v>
      </c>
      <c r="V306" s="19">
        <v>0</v>
      </c>
      <c r="W306" s="19">
        <v>0</v>
      </c>
      <c r="X306" s="19">
        <v>0</v>
      </c>
      <c r="Y306" s="19">
        <v>3834</v>
      </c>
      <c r="Z306" s="19">
        <v>0</v>
      </c>
      <c r="AA306" s="19" t="s">
        <v>194</v>
      </c>
      <c r="AB306" s="19" t="s">
        <v>1091</v>
      </c>
      <c r="AC306" s="19">
        <v>844610</v>
      </c>
      <c r="AD306" s="19" t="s">
        <v>1092</v>
      </c>
      <c r="AE306" s="19">
        <v>1</v>
      </c>
      <c r="AF306" s="19">
        <v>-20</v>
      </c>
      <c r="AG306" s="19" t="s">
        <v>1093</v>
      </c>
      <c r="AH306" s="19" t="s">
        <v>2319</v>
      </c>
    </row>
    <row r="307" spans="2:34" hidden="1" x14ac:dyDescent="0.35">
      <c r="B307" s="76">
        <v>46216</v>
      </c>
      <c r="C307" s="19" t="s">
        <v>535</v>
      </c>
      <c r="D307" s="19" t="s">
        <v>126</v>
      </c>
      <c r="E307" s="19" t="s">
        <v>534</v>
      </c>
      <c r="F307" s="19" t="s">
        <v>118</v>
      </c>
      <c r="G307" s="19">
        <v>2434</v>
      </c>
      <c r="H307" s="76">
        <v>46214</v>
      </c>
      <c r="I307" s="19" t="s">
        <v>105</v>
      </c>
      <c r="J307" s="19" t="s">
        <v>1586</v>
      </c>
      <c r="K307" s="19" t="s">
        <v>1127</v>
      </c>
      <c r="L307" s="19" t="s">
        <v>1389</v>
      </c>
      <c r="M307" s="19" t="s">
        <v>1757</v>
      </c>
      <c r="N307" s="19">
        <v>100</v>
      </c>
      <c r="O307" s="19">
        <v>1800</v>
      </c>
      <c r="P307" s="19" t="s">
        <v>1757</v>
      </c>
      <c r="Q307" s="19">
        <v>2124</v>
      </c>
      <c r="R307" s="19">
        <v>9</v>
      </c>
      <c r="S307" s="19">
        <v>162</v>
      </c>
      <c r="T307" s="19">
        <v>9</v>
      </c>
      <c r="U307" s="19">
        <v>162</v>
      </c>
      <c r="V307" s="19">
        <v>0</v>
      </c>
      <c r="W307" s="19">
        <v>0</v>
      </c>
      <c r="X307" s="19">
        <v>0</v>
      </c>
      <c r="Y307" s="19">
        <v>324</v>
      </c>
      <c r="Z307" s="19">
        <v>0</v>
      </c>
      <c r="AA307" s="19" t="s">
        <v>536</v>
      </c>
      <c r="AB307" s="19" t="s">
        <v>1572</v>
      </c>
      <c r="AC307" s="19">
        <v>83021090</v>
      </c>
      <c r="AD307" s="19" t="s">
        <v>1092</v>
      </c>
      <c r="AE307" s="19">
        <v>1</v>
      </c>
      <c r="AF307" s="19">
        <v>0</v>
      </c>
      <c r="AG307" s="19" t="s">
        <v>1093</v>
      </c>
      <c r="AH307" s="19" t="s">
        <v>2319</v>
      </c>
    </row>
    <row r="308" spans="2:34" hidden="1" x14ac:dyDescent="0.35">
      <c r="B308" s="76">
        <v>46216</v>
      </c>
      <c r="C308" s="19" t="s">
        <v>511</v>
      </c>
      <c r="D308" s="19" t="s">
        <v>126</v>
      </c>
      <c r="E308" s="19" t="s">
        <v>509</v>
      </c>
      <c r="F308" s="19" t="s">
        <v>118</v>
      </c>
      <c r="G308" s="19" t="s">
        <v>510</v>
      </c>
      <c r="H308" s="76">
        <v>46207</v>
      </c>
      <c r="I308" s="19" t="s">
        <v>102</v>
      </c>
      <c r="J308" s="19" t="s">
        <v>1570</v>
      </c>
      <c r="K308" s="19" t="s">
        <v>1127</v>
      </c>
      <c r="L308" s="19" t="s">
        <v>102</v>
      </c>
      <c r="M308" s="19" t="s">
        <v>1571</v>
      </c>
      <c r="N308" s="19">
        <v>1</v>
      </c>
      <c r="O308" s="19">
        <v>1968.4</v>
      </c>
      <c r="P308" s="19" t="s">
        <v>1571</v>
      </c>
      <c r="Q308" s="19">
        <v>4006</v>
      </c>
      <c r="R308" s="19">
        <v>9</v>
      </c>
      <c r="S308" s="19">
        <v>177.16</v>
      </c>
      <c r="T308" s="19">
        <v>9</v>
      </c>
      <c r="U308" s="19">
        <v>177.16</v>
      </c>
      <c r="V308" s="19">
        <v>0</v>
      </c>
      <c r="W308" s="19">
        <v>0</v>
      </c>
      <c r="X308" s="19">
        <v>0</v>
      </c>
      <c r="Y308" s="19">
        <v>354.32</v>
      </c>
      <c r="Z308" s="19">
        <v>0</v>
      </c>
      <c r="AA308" s="19" t="s">
        <v>512</v>
      </c>
      <c r="AB308" s="19" t="s">
        <v>1572</v>
      </c>
      <c r="AC308" s="19">
        <v>400200</v>
      </c>
      <c r="AD308" s="19" t="s">
        <v>1092</v>
      </c>
      <c r="AE308" s="19">
        <v>1</v>
      </c>
      <c r="AF308" s="19">
        <v>0</v>
      </c>
      <c r="AG308" s="19" t="s">
        <v>1093</v>
      </c>
      <c r="AH308" s="19" t="s">
        <v>2319</v>
      </c>
    </row>
    <row r="309" spans="2:34" hidden="1" x14ac:dyDescent="0.35">
      <c r="B309" s="76">
        <v>46216</v>
      </c>
      <c r="C309" s="19" t="s">
        <v>511</v>
      </c>
      <c r="D309" s="19" t="s">
        <v>126</v>
      </c>
      <c r="E309" s="19" t="s">
        <v>509</v>
      </c>
      <c r="F309" s="19" t="s">
        <v>118</v>
      </c>
      <c r="G309" s="19" t="s">
        <v>510</v>
      </c>
      <c r="H309" s="76">
        <v>46207</v>
      </c>
      <c r="I309" s="19" t="s">
        <v>102</v>
      </c>
      <c r="J309" s="19" t="s">
        <v>1570</v>
      </c>
      <c r="K309" s="19" t="s">
        <v>1127</v>
      </c>
      <c r="L309" s="19" t="s">
        <v>102</v>
      </c>
      <c r="M309" s="19" t="s">
        <v>1571</v>
      </c>
      <c r="N309" s="19">
        <v>1</v>
      </c>
      <c r="O309" s="19">
        <v>691.6</v>
      </c>
      <c r="P309" s="19" t="s">
        <v>1571</v>
      </c>
      <c r="Q309" s="19">
        <v>0</v>
      </c>
      <c r="R309" s="19">
        <v>9</v>
      </c>
      <c r="S309" s="19">
        <v>62.24</v>
      </c>
      <c r="T309" s="19">
        <v>9</v>
      </c>
      <c r="U309" s="19">
        <v>62.24</v>
      </c>
      <c r="V309" s="19">
        <v>0</v>
      </c>
      <c r="W309" s="19">
        <v>0</v>
      </c>
      <c r="X309" s="19">
        <v>0</v>
      </c>
      <c r="Y309" s="19">
        <v>124.48</v>
      </c>
      <c r="Z309" s="19">
        <v>0</v>
      </c>
      <c r="AA309" s="19" t="s">
        <v>512</v>
      </c>
      <c r="AB309" s="19" t="s">
        <v>1572</v>
      </c>
      <c r="AC309" s="19">
        <v>400200</v>
      </c>
      <c r="AD309" s="19" t="s">
        <v>1092</v>
      </c>
      <c r="AE309" s="19">
        <v>1</v>
      </c>
      <c r="AF309" s="19">
        <v>0</v>
      </c>
      <c r="AG309" s="19" t="s">
        <v>1093</v>
      </c>
      <c r="AH309" s="19" t="s">
        <v>2319</v>
      </c>
    </row>
    <row r="310" spans="2:34" hidden="1" x14ac:dyDescent="0.35">
      <c r="B310" s="76">
        <v>46216</v>
      </c>
      <c r="C310" s="19" t="s">
        <v>511</v>
      </c>
      <c r="D310" s="19" t="s">
        <v>126</v>
      </c>
      <c r="E310" s="19" t="s">
        <v>509</v>
      </c>
      <c r="F310" s="19" t="s">
        <v>118</v>
      </c>
      <c r="G310" s="19" t="s">
        <v>510</v>
      </c>
      <c r="H310" s="76">
        <v>46207</v>
      </c>
      <c r="I310" s="19" t="s">
        <v>102</v>
      </c>
      <c r="J310" s="19" t="s">
        <v>1570</v>
      </c>
      <c r="K310" s="19" t="s">
        <v>1127</v>
      </c>
      <c r="L310" s="19" t="s">
        <v>102</v>
      </c>
      <c r="M310" s="19" t="s">
        <v>1571</v>
      </c>
      <c r="N310" s="19">
        <v>1</v>
      </c>
      <c r="O310" s="19">
        <v>401.45</v>
      </c>
      <c r="P310" s="19" t="s">
        <v>1571</v>
      </c>
      <c r="Q310" s="19">
        <v>0</v>
      </c>
      <c r="R310" s="19">
        <v>9</v>
      </c>
      <c r="S310" s="19">
        <v>36.130000000000003</v>
      </c>
      <c r="T310" s="19">
        <v>9</v>
      </c>
      <c r="U310" s="19">
        <v>36.130000000000003</v>
      </c>
      <c r="V310" s="19">
        <v>0</v>
      </c>
      <c r="W310" s="19">
        <v>0</v>
      </c>
      <c r="X310" s="19">
        <v>0</v>
      </c>
      <c r="Y310" s="19">
        <v>72.260000000000005</v>
      </c>
      <c r="Z310" s="19">
        <v>0</v>
      </c>
      <c r="AA310" s="19" t="s">
        <v>512</v>
      </c>
      <c r="AB310" s="19" t="s">
        <v>1572</v>
      </c>
      <c r="AC310" s="19">
        <v>400200</v>
      </c>
      <c r="AD310" s="19" t="s">
        <v>1092</v>
      </c>
      <c r="AE310" s="19">
        <v>1</v>
      </c>
      <c r="AF310" s="19">
        <v>0</v>
      </c>
      <c r="AG310" s="19" t="s">
        <v>1093</v>
      </c>
      <c r="AH310" s="19" t="s">
        <v>2319</v>
      </c>
    </row>
    <row r="311" spans="2:34" hidden="1" x14ac:dyDescent="0.35">
      <c r="B311" s="76">
        <v>46216</v>
      </c>
      <c r="C311" s="19" t="s">
        <v>511</v>
      </c>
      <c r="D311" s="19" t="s">
        <v>126</v>
      </c>
      <c r="E311" s="19" t="s">
        <v>509</v>
      </c>
      <c r="F311" s="19" t="s">
        <v>118</v>
      </c>
      <c r="G311" s="19" t="s">
        <v>510</v>
      </c>
      <c r="H311" s="76">
        <v>46207</v>
      </c>
      <c r="I311" s="19" t="s">
        <v>102</v>
      </c>
      <c r="J311" s="19" t="s">
        <v>1570</v>
      </c>
      <c r="K311" s="19" t="s">
        <v>1127</v>
      </c>
      <c r="L311" s="19" t="s">
        <v>102</v>
      </c>
      <c r="M311" s="19" t="s">
        <v>1571</v>
      </c>
      <c r="N311" s="19">
        <v>1</v>
      </c>
      <c r="O311" s="19">
        <v>333.2</v>
      </c>
      <c r="P311" s="19" t="s">
        <v>1571</v>
      </c>
      <c r="Q311" s="19">
        <v>0</v>
      </c>
      <c r="R311" s="19">
        <v>9</v>
      </c>
      <c r="S311" s="19">
        <v>29.99</v>
      </c>
      <c r="T311" s="19">
        <v>9</v>
      </c>
      <c r="U311" s="19">
        <v>29.99</v>
      </c>
      <c r="V311" s="19">
        <v>0</v>
      </c>
      <c r="W311" s="19">
        <v>0</v>
      </c>
      <c r="X311" s="19">
        <v>0</v>
      </c>
      <c r="Y311" s="19">
        <v>59.98</v>
      </c>
      <c r="Z311" s="19">
        <v>0</v>
      </c>
      <c r="AA311" s="19" t="s">
        <v>512</v>
      </c>
      <c r="AB311" s="19" t="s">
        <v>1572</v>
      </c>
      <c r="AC311" s="19">
        <v>400200</v>
      </c>
      <c r="AD311" s="19" t="s">
        <v>1092</v>
      </c>
      <c r="AE311" s="19">
        <v>1</v>
      </c>
      <c r="AF311" s="19">
        <v>0</v>
      </c>
      <c r="AG311" s="19" t="s">
        <v>1093</v>
      </c>
      <c r="AH311" s="19" t="s">
        <v>2319</v>
      </c>
    </row>
    <row r="312" spans="2:34" hidden="1" x14ac:dyDescent="0.35">
      <c r="B312" s="76">
        <v>46216</v>
      </c>
      <c r="C312" s="19" t="s">
        <v>532</v>
      </c>
      <c r="D312" s="19" t="s">
        <v>126</v>
      </c>
      <c r="E312" s="19" t="s">
        <v>530</v>
      </c>
      <c r="F312" s="19" t="s">
        <v>118</v>
      </c>
      <c r="G312" s="19" t="s">
        <v>531</v>
      </c>
      <c r="H312" s="76">
        <v>46200</v>
      </c>
      <c r="I312" s="19" t="s">
        <v>100</v>
      </c>
      <c r="J312" s="19" t="s">
        <v>1758</v>
      </c>
      <c r="K312" s="19" t="s">
        <v>1127</v>
      </c>
      <c r="L312" s="19" t="s">
        <v>1389</v>
      </c>
      <c r="M312" s="19" t="s">
        <v>1759</v>
      </c>
      <c r="N312" s="19">
        <v>3</v>
      </c>
      <c r="O312" s="19">
        <v>14400</v>
      </c>
      <c r="P312" s="19" t="s">
        <v>1759</v>
      </c>
      <c r="Q312" s="19">
        <v>28320</v>
      </c>
      <c r="R312" s="19">
        <v>9</v>
      </c>
      <c r="S312" s="19">
        <v>1296</v>
      </c>
      <c r="T312" s="19">
        <v>9</v>
      </c>
      <c r="U312" s="19">
        <v>1296</v>
      </c>
      <c r="V312" s="19">
        <v>0</v>
      </c>
      <c r="W312" s="19">
        <v>0</v>
      </c>
      <c r="X312" s="19">
        <v>0</v>
      </c>
      <c r="Y312" s="19">
        <v>2592</v>
      </c>
      <c r="Z312" s="19">
        <v>0</v>
      </c>
      <c r="AA312" s="19" t="s">
        <v>533</v>
      </c>
      <c r="AB312" s="19" t="s">
        <v>1555</v>
      </c>
      <c r="AC312" s="19">
        <v>841459</v>
      </c>
      <c r="AD312" s="19" t="s">
        <v>1092</v>
      </c>
      <c r="AE312" s="19">
        <v>1</v>
      </c>
      <c r="AF312" s="19">
        <v>0</v>
      </c>
      <c r="AG312" s="19" t="s">
        <v>1093</v>
      </c>
      <c r="AH312" s="19" t="s">
        <v>2319</v>
      </c>
    </row>
    <row r="313" spans="2:34" hidden="1" x14ac:dyDescent="0.35">
      <c r="B313" s="76">
        <v>46216</v>
      </c>
      <c r="C313" s="19" t="s">
        <v>532</v>
      </c>
      <c r="D313" s="19" t="s">
        <v>126</v>
      </c>
      <c r="E313" s="19" t="s">
        <v>530</v>
      </c>
      <c r="F313" s="19" t="s">
        <v>118</v>
      </c>
      <c r="G313" s="19" t="s">
        <v>531</v>
      </c>
      <c r="H313" s="76">
        <v>46200</v>
      </c>
      <c r="I313" s="19" t="s">
        <v>100</v>
      </c>
      <c r="J313" s="19" t="s">
        <v>1758</v>
      </c>
      <c r="K313" s="19" t="s">
        <v>1127</v>
      </c>
      <c r="L313" s="19" t="s">
        <v>1389</v>
      </c>
      <c r="M313" s="19" t="s">
        <v>1759</v>
      </c>
      <c r="N313" s="19">
        <v>2</v>
      </c>
      <c r="O313" s="19">
        <v>9600</v>
      </c>
      <c r="P313" s="19" t="s">
        <v>1759</v>
      </c>
      <c r="Q313" s="19">
        <v>0</v>
      </c>
      <c r="R313" s="19">
        <v>9</v>
      </c>
      <c r="S313" s="19">
        <v>864</v>
      </c>
      <c r="T313" s="19">
        <v>9</v>
      </c>
      <c r="U313" s="19">
        <v>864</v>
      </c>
      <c r="V313" s="19">
        <v>0</v>
      </c>
      <c r="W313" s="19">
        <v>0</v>
      </c>
      <c r="X313" s="19">
        <v>0</v>
      </c>
      <c r="Y313" s="19">
        <v>1728</v>
      </c>
      <c r="Z313" s="19">
        <v>0</v>
      </c>
      <c r="AA313" s="19" t="s">
        <v>533</v>
      </c>
      <c r="AB313" s="19" t="s">
        <v>1555</v>
      </c>
      <c r="AC313" s="19">
        <v>841459</v>
      </c>
      <c r="AD313" s="19" t="s">
        <v>1092</v>
      </c>
      <c r="AE313" s="19">
        <v>1</v>
      </c>
      <c r="AF313" s="19">
        <v>0</v>
      </c>
      <c r="AG313" s="19" t="s">
        <v>1093</v>
      </c>
      <c r="AH313" s="19" t="s">
        <v>2319</v>
      </c>
    </row>
    <row r="314" spans="2:34" x14ac:dyDescent="0.35">
      <c r="B314" s="76">
        <v>46216</v>
      </c>
      <c r="C314" s="19" t="s">
        <v>178</v>
      </c>
      <c r="D314" s="19" t="s">
        <v>173</v>
      </c>
      <c r="E314" s="19" t="s">
        <v>541</v>
      </c>
      <c r="F314" s="19" t="s">
        <v>123</v>
      </c>
      <c r="G314" s="19" t="s">
        <v>542</v>
      </c>
      <c r="H314" s="76">
        <v>46216</v>
      </c>
      <c r="I314" s="19" t="s">
        <v>36</v>
      </c>
      <c r="J314" s="19" t="s">
        <v>1117</v>
      </c>
      <c r="K314" s="19" t="s">
        <v>42</v>
      </c>
      <c r="L314" s="19" t="s">
        <v>1242</v>
      </c>
      <c r="M314" s="19" t="s">
        <v>1154</v>
      </c>
      <c r="N314" s="19">
        <v>1793</v>
      </c>
      <c r="O314" s="19">
        <v>284172.57</v>
      </c>
      <c r="P314" s="19" t="s">
        <v>1154</v>
      </c>
      <c r="Q314" s="19">
        <v>997506.74</v>
      </c>
      <c r="R314" s="19">
        <v>9</v>
      </c>
      <c r="S314" s="19">
        <v>25575.53</v>
      </c>
      <c r="T314" s="19">
        <v>9</v>
      </c>
      <c r="U314" s="19">
        <v>25575.53</v>
      </c>
      <c r="V314" s="19">
        <v>0</v>
      </c>
      <c r="W314" s="19">
        <v>0</v>
      </c>
      <c r="X314" s="19">
        <v>0</v>
      </c>
      <c r="Y314" s="19">
        <v>51151.06</v>
      </c>
      <c r="Z314" s="19">
        <v>0</v>
      </c>
      <c r="AA314" s="19" t="s">
        <v>179</v>
      </c>
      <c r="AB314" s="19" t="s">
        <v>1289</v>
      </c>
      <c r="AC314" s="19">
        <v>63053300</v>
      </c>
      <c r="AD314" s="19" t="s">
        <v>1092</v>
      </c>
      <c r="AE314" s="19">
        <v>1</v>
      </c>
      <c r="AF314" s="19">
        <f t="shared" ref="AF314:AF320" si="14">N314</f>
        <v>1793</v>
      </c>
      <c r="AG314" s="19" t="s">
        <v>1093</v>
      </c>
      <c r="AH314" s="19" t="s">
        <v>42</v>
      </c>
    </row>
    <row r="315" spans="2:34" x14ac:dyDescent="0.35">
      <c r="B315" s="76">
        <v>46216</v>
      </c>
      <c r="C315" s="19" t="s">
        <v>178</v>
      </c>
      <c r="D315" s="19" t="s">
        <v>173</v>
      </c>
      <c r="E315" s="19" t="s">
        <v>541</v>
      </c>
      <c r="F315" s="19" t="s">
        <v>123</v>
      </c>
      <c r="G315" s="19" t="s">
        <v>542</v>
      </c>
      <c r="H315" s="76">
        <v>46216</v>
      </c>
      <c r="I315" s="19" t="s">
        <v>36</v>
      </c>
      <c r="J315" s="19" t="s">
        <v>1617</v>
      </c>
      <c r="K315" s="19" t="s">
        <v>40</v>
      </c>
      <c r="L315" s="19" t="s">
        <v>1616</v>
      </c>
      <c r="M315" s="19" t="s">
        <v>1618</v>
      </c>
      <c r="N315" s="19">
        <v>274</v>
      </c>
      <c r="O315" s="19">
        <v>44631.86</v>
      </c>
      <c r="P315" s="19" t="s">
        <v>1618</v>
      </c>
      <c r="Q315" s="19">
        <v>0</v>
      </c>
      <c r="R315" s="19">
        <v>9</v>
      </c>
      <c r="S315" s="19">
        <v>4016.87</v>
      </c>
      <c r="T315" s="19">
        <v>9</v>
      </c>
      <c r="U315" s="19">
        <v>4016.87</v>
      </c>
      <c r="V315" s="19">
        <v>0</v>
      </c>
      <c r="W315" s="19">
        <v>0</v>
      </c>
      <c r="X315" s="19">
        <v>0</v>
      </c>
      <c r="Y315" s="19">
        <v>8033.74</v>
      </c>
      <c r="Z315" s="19">
        <v>0</v>
      </c>
      <c r="AA315" s="19" t="s">
        <v>179</v>
      </c>
      <c r="AB315" s="19" t="s">
        <v>1289</v>
      </c>
      <c r="AC315" s="19">
        <v>39201019</v>
      </c>
      <c r="AD315" s="19" t="s">
        <v>1092</v>
      </c>
      <c r="AE315" s="19">
        <v>1</v>
      </c>
      <c r="AF315" s="19">
        <f t="shared" si="14"/>
        <v>274</v>
      </c>
      <c r="AG315" s="19" t="s">
        <v>1093</v>
      </c>
      <c r="AH315" s="19" t="s">
        <v>40</v>
      </c>
    </row>
    <row r="316" spans="2:34" x14ac:dyDescent="0.35">
      <c r="B316" s="76">
        <v>46216</v>
      </c>
      <c r="C316" s="19" t="s">
        <v>178</v>
      </c>
      <c r="D316" s="19" t="s">
        <v>173</v>
      </c>
      <c r="E316" s="19" t="s">
        <v>541</v>
      </c>
      <c r="F316" s="19" t="s">
        <v>123</v>
      </c>
      <c r="G316" s="19" t="s">
        <v>542</v>
      </c>
      <c r="H316" s="76">
        <v>46216</v>
      </c>
      <c r="I316" s="19" t="s">
        <v>36</v>
      </c>
      <c r="J316" s="19" t="s">
        <v>1117</v>
      </c>
      <c r="K316" s="19" t="s">
        <v>44</v>
      </c>
      <c r="L316" s="19" t="s">
        <v>1118</v>
      </c>
      <c r="M316" s="19" t="s">
        <v>1119</v>
      </c>
      <c r="N316" s="19">
        <v>514</v>
      </c>
      <c r="O316" s="19">
        <v>79407.86</v>
      </c>
      <c r="P316" s="19" t="s">
        <v>1119</v>
      </c>
      <c r="Q316" s="19">
        <v>0</v>
      </c>
      <c r="R316" s="19">
        <v>9</v>
      </c>
      <c r="S316" s="19">
        <v>7146.71</v>
      </c>
      <c r="T316" s="19">
        <v>9</v>
      </c>
      <c r="U316" s="19">
        <v>7146.71</v>
      </c>
      <c r="V316" s="19">
        <v>0</v>
      </c>
      <c r="W316" s="19">
        <v>0</v>
      </c>
      <c r="X316" s="19">
        <v>0</v>
      </c>
      <c r="Y316" s="19">
        <v>14293.42</v>
      </c>
      <c r="Z316" s="19">
        <v>0</v>
      </c>
      <c r="AA316" s="19" t="s">
        <v>179</v>
      </c>
      <c r="AB316" s="19" t="s">
        <v>1289</v>
      </c>
      <c r="AC316" s="19">
        <v>39269080</v>
      </c>
      <c r="AD316" s="19" t="s">
        <v>1092</v>
      </c>
      <c r="AE316" s="19">
        <v>1</v>
      </c>
      <c r="AF316" s="19">
        <f t="shared" si="14"/>
        <v>514</v>
      </c>
      <c r="AG316" s="19" t="s">
        <v>1093</v>
      </c>
      <c r="AH316" s="19" t="s">
        <v>44</v>
      </c>
    </row>
    <row r="317" spans="2:34" x14ac:dyDescent="0.35">
      <c r="B317" s="76">
        <v>46216</v>
      </c>
      <c r="C317" s="19" t="s">
        <v>178</v>
      </c>
      <c r="D317" s="19" t="s">
        <v>173</v>
      </c>
      <c r="E317" s="19" t="s">
        <v>541</v>
      </c>
      <c r="F317" s="19" t="s">
        <v>123</v>
      </c>
      <c r="G317" s="19" t="s">
        <v>542</v>
      </c>
      <c r="H317" s="76">
        <v>46216</v>
      </c>
      <c r="I317" s="19" t="s">
        <v>36</v>
      </c>
      <c r="J317" s="19" t="s">
        <v>1117</v>
      </c>
      <c r="K317" s="19" t="s">
        <v>44</v>
      </c>
      <c r="L317" s="19" t="s">
        <v>1118</v>
      </c>
      <c r="M317" s="19" t="s">
        <v>1119</v>
      </c>
      <c r="N317" s="19">
        <v>273</v>
      </c>
      <c r="O317" s="19">
        <v>59101.77</v>
      </c>
      <c r="P317" s="19" t="s">
        <v>1119</v>
      </c>
      <c r="Q317" s="19">
        <v>0</v>
      </c>
      <c r="R317" s="19">
        <v>9</v>
      </c>
      <c r="S317" s="19">
        <v>5319.16</v>
      </c>
      <c r="T317" s="19">
        <v>9</v>
      </c>
      <c r="U317" s="19">
        <v>5319.16</v>
      </c>
      <c r="V317" s="19">
        <v>0</v>
      </c>
      <c r="W317" s="19">
        <v>0</v>
      </c>
      <c r="X317" s="19">
        <v>0</v>
      </c>
      <c r="Y317" s="19">
        <v>10638.32</v>
      </c>
      <c r="Z317" s="19">
        <v>0</v>
      </c>
      <c r="AA317" s="19" t="s">
        <v>179</v>
      </c>
      <c r="AB317" s="19" t="s">
        <v>1289</v>
      </c>
      <c r="AC317" s="19">
        <v>39269080</v>
      </c>
      <c r="AD317" s="19" t="s">
        <v>1092</v>
      </c>
      <c r="AE317" s="19">
        <v>1</v>
      </c>
      <c r="AF317" s="19">
        <f t="shared" si="14"/>
        <v>273</v>
      </c>
      <c r="AG317" s="19" t="s">
        <v>1093</v>
      </c>
      <c r="AH317" s="19" t="s">
        <v>44</v>
      </c>
    </row>
    <row r="318" spans="2:34" x14ac:dyDescent="0.35">
      <c r="B318" s="76">
        <v>46216</v>
      </c>
      <c r="C318" s="19" t="s">
        <v>178</v>
      </c>
      <c r="D318" s="19" t="s">
        <v>173</v>
      </c>
      <c r="E318" s="19" t="s">
        <v>541</v>
      </c>
      <c r="F318" s="19" t="s">
        <v>123</v>
      </c>
      <c r="G318" s="19" t="s">
        <v>542</v>
      </c>
      <c r="H318" s="76">
        <v>46216</v>
      </c>
      <c r="I318" s="19" t="s">
        <v>36</v>
      </c>
      <c r="J318" s="19" t="s">
        <v>1117</v>
      </c>
      <c r="K318" s="19" t="s">
        <v>44</v>
      </c>
      <c r="L318" s="19" t="s">
        <v>1118</v>
      </c>
      <c r="M318" s="19" t="s">
        <v>1119</v>
      </c>
      <c r="N318" s="19">
        <v>472</v>
      </c>
      <c r="O318" s="19">
        <v>75279.28</v>
      </c>
      <c r="P318" s="19" t="s">
        <v>1119</v>
      </c>
      <c r="Q318" s="19">
        <v>0</v>
      </c>
      <c r="R318" s="19">
        <v>9</v>
      </c>
      <c r="S318" s="19">
        <v>6775.14</v>
      </c>
      <c r="T318" s="19">
        <v>9</v>
      </c>
      <c r="U318" s="19">
        <v>6775.14</v>
      </c>
      <c r="V318" s="19">
        <v>0</v>
      </c>
      <c r="W318" s="19">
        <v>0</v>
      </c>
      <c r="X318" s="19">
        <v>0</v>
      </c>
      <c r="Y318" s="19">
        <v>13550.28</v>
      </c>
      <c r="Z318" s="19">
        <v>0</v>
      </c>
      <c r="AA318" s="19" t="s">
        <v>179</v>
      </c>
      <c r="AB318" s="19" t="s">
        <v>1289</v>
      </c>
      <c r="AC318" s="19">
        <v>39269080</v>
      </c>
      <c r="AD318" s="19" t="s">
        <v>1092</v>
      </c>
      <c r="AE318" s="19">
        <v>1</v>
      </c>
      <c r="AF318" s="19">
        <f t="shared" si="14"/>
        <v>472</v>
      </c>
      <c r="AG318" s="19" t="s">
        <v>1093</v>
      </c>
      <c r="AH318" s="19" t="s">
        <v>44</v>
      </c>
    </row>
    <row r="319" spans="2:34" x14ac:dyDescent="0.35">
      <c r="B319" s="76">
        <v>46216</v>
      </c>
      <c r="C319" s="19" t="s">
        <v>178</v>
      </c>
      <c r="D319" s="19" t="s">
        <v>173</v>
      </c>
      <c r="E319" s="19" t="s">
        <v>541</v>
      </c>
      <c r="F319" s="19" t="s">
        <v>123</v>
      </c>
      <c r="G319" s="19" t="s">
        <v>542</v>
      </c>
      <c r="H319" s="76">
        <v>46216</v>
      </c>
      <c r="I319" s="19" t="s">
        <v>36</v>
      </c>
      <c r="J319" s="19" t="s">
        <v>1117</v>
      </c>
      <c r="K319" s="19" t="s">
        <v>44</v>
      </c>
      <c r="L319" s="19" t="s">
        <v>1118</v>
      </c>
      <c r="M319" s="19" t="s">
        <v>1119</v>
      </c>
      <c r="N319" s="19">
        <v>1450</v>
      </c>
      <c r="O319" s="19">
        <v>226910.5</v>
      </c>
      <c r="P319" s="19" t="s">
        <v>1119</v>
      </c>
      <c r="Q319" s="19">
        <v>0</v>
      </c>
      <c r="R319" s="19">
        <v>9</v>
      </c>
      <c r="S319" s="19">
        <v>20421.939999999999</v>
      </c>
      <c r="T319" s="19">
        <v>9</v>
      </c>
      <c r="U319" s="19">
        <v>20421.939999999999</v>
      </c>
      <c r="V319" s="19">
        <v>0</v>
      </c>
      <c r="W319" s="19">
        <v>0</v>
      </c>
      <c r="X319" s="19">
        <v>0</v>
      </c>
      <c r="Y319" s="19">
        <v>40843.879999999997</v>
      </c>
      <c r="Z319" s="19">
        <v>0</v>
      </c>
      <c r="AA319" s="19" t="s">
        <v>179</v>
      </c>
      <c r="AB319" s="19" t="s">
        <v>1289</v>
      </c>
      <c r="AC319" s="19">
        <v>39269080</v>
      </c>
      <c r="AD319" s="19" t="s">
        <v>1092</v>
      </c>
      <c r="AE319" s="19">
        <v>1</v>
      </c>
      <c r="AF319" s="19">
        <f t="shared" si="14"/>
        <v>1450</v>
      </c>
      <c r="AG319" s="19" t="s">
        <v>1093</v>
      </c>
      <c r="AH319" s="19" t="s">
        <v>44</v>
      </c>
    </row>
    <row r="320" spans="2:34" x14ac:dyDescent="0.35">
      <c r="B320" s="76">
        <v>46216</v>
      </c>
      <c r="C320" s="19" t="s">
        <v>178</v>
      </c>
      <c r="D320" s="19" t="s">
        <v>173</v>
      </c>
      <c r="E320" s="19" t="s">
        <v>541</v>
      </c>
      <c r="F320" s="19" t="s">
        <v>123</v>
      </c>
      <c r="G320" s="19" t="s">
        <v>542</v>
      </c>
      <c r="H320" s="76">
        <v>46216</v>
      </c>
      <c r="I320" s="19" t="s">
        <v>36</v>
      </c>
      <c r="J320" s="19" t="s">
        <v>1350</v>
      </c>
      <c r="K320" s="19" t="s">
        <v>39</v>
      </c>
      <c r="L320" s="19" t="s">
        <v>1616</v>
      </c>
      <c r="M320" s="19" t="s">
        <v>1594</v>
      </c>
      <c r="N320" s="19">
        <v>456</v>
      </c>
      <c r="O320" s="19">
        <v>76557.84</v>
      </c>
      <c r="P320" s="19" t="s">
        <v>1594</v>
      </c>
      <c r="Q320" s="19">
        <v>0</v>
      </c>
      <c r="R320" s="19">
        <v>9</v>
      </c>
      <c r="S320" s="19">
        <v>6890.21</v>
      </c>
      <c r="T320" s="19">
        <v>9</v>
      </c>
      <c r="U320" s="19">
        <v>6890.21</v>
      </c>
      <c r="V320" s="19">
        <v>0</v>
      </c>
      <c r="W320" s="19">
        <v>0</v>
      </c>
      <c r="X320" s="19">
        <v>0</v>
      </c>
      <c r="Y320" s="19">
        <v>13780.42</v>
      </c>
      <c r="Z320" s="19">
        <v>0</v>
      </c>
      <c r="AA320" s="19" t="s">
        <v>179</v>
      </c>
      <c r="AB320" s="19" t="s">
        <v>1289</v>
      </c>
      <c r="AC320" s="19">
        <v>39232100</v>
      </c>
      <c r="AD320" s="19" t="s">
        <v>1092</v>
      </c>
      <c r="AE320" s="19">
        <v>1</v>
      </c>
      <c r="AF320" s="19">
        <f t="shared" si="14"/>
        <v>456</v>
      </c>
      <c r="AG320" s="19" t="s">
        <v>1093</v>
      </c>
      <c r="AH320" s="19" t="s">
        <v>39</v>
      </c>
    </row>
    <row r="321" spans="2:34" hidden="1" x14ac:dyDescent="0.35">
      <c r="B321" s="76">
        <v>46216</v>
      </c>
      <c r="C321" s="19" t="s">
        <v>499</v>
      </c>
      <c r="D321" s="19" t="s">
        <v>126</v>
      </c>
      <c r="E321" s="19" t="s">
        <v>498</v>
      </c>
      <c r="F321" s="19" t="s">
        <v>118</v>
      </c>
      <c r="G321" s="19">
        <v>99</v>
      </c>
      <c r="H321" s="76">
        <v>46196</v>
      </c>
      <c r="I321" s="19" t="s">
        <v>102</v>
      </c>
      <c r="J321" s="19" t="s">
        <v>102</v>
      </c>
      <c r="K321" s="19" t="s">
        <v>1127</v>
      </c>
      <c r="L321" s="19" t="s">
        <v>102</v>
      </c>
      <c r="M321" s="19" t="s">
        <v>1760</v>
      </c>
      <c r="N321" s="19">
        <v>4</v>
      </c>
      <c r="O321" s="19">
        <v>2600</v>
      </c>
      <c r="P321" s="19" t="s">
        <v>1760</v>
      </c>
      <c r="Q321" s="19">
        <v>3068</v>
      </c>
      <c r="R321" s="19">
        <v>9</v>
      </c>
      <c r="S321" s="19">
        <v>234</v>
      </c>
      <c r="T321" s="19">
        <v>9</v>
      </c>
      <c r="U321" s="19">
        <v>234</v>
      </c>
      <c r="V321" s="19">
        <v>0</v>
      </c>
      <c r="W321" s="19">
        <v>0</v>
      </c>
      <c r="X321" s="19">
        <v>0</v>
      </c>
      <c r="Y321" s="19">
        <v>468</v>
      </c>
      <c r="Z321" s="19">
        <v>0</v>
      </c>
      <c r="AA321" s="19" t="s">
        <v>500</v>
      </c>
      <c r="AB321" s="19" t="s">
        <v>1555</v>
      </c>
      <c r="AC321" s="19">
        <v>7002390</v>
      </c>
      <c r="AD321" s="19" t="s">
        <v>1092</v>
      </c>
      <c r="AE321" s="19">
        <v>1</v>
      </c>
      <c r="AF321" s="19">
        <v>0</v>
      </c>
      <c r="AG321" s="19" t="s">
        <v>1093</v>
      </c>
      <c r="AH321" s="19" t="s">
        <v>2319</v>
      </c>
    </row>
    <row r="322" spans="2:34" hidden="1" x14ac:dyDescent="0.35">
      <c r="B322" s="76">
        <v>46216</v>
      </c>
      <c r="C322" s="19" t="s">
        <v>526</v>
      </c>
      <c r="D322" s="19" t="s">
        <v>126</v>
      </c>
      <c r="E322" s="19" t="s">
        <v>524</v>
      </c>
      <c r="F322" s="19" t="s">
        <v>118</v>
      </c>
      <c r="G322" s="19" t="s">
        <v>525</v>
      </c>
      <c r="H322" s="76">
        <v>46197</v>
      </c>
      <c r="I322" s="19" t="s">
        <v>105</v>
      </c>
      <c r="J322" s="19" t="s">
        <v>1703</v>
      </c>
      <c r="K322" s="19" t="s">
        <v>1127</v>
      </c>
      <c r="L322" s="19" t="s">
        <v>1389</v>
      </c>
      <c r="M322" s="19" t="s">
        <v>1761</v>
      </c>
      <c r="N322" s="19">
        <v>17</v>
      </c>
      <c r="O322" s="19">
        <v>6806.8</v>
      </c>
      <c r="P322" s="19" t="s">
        <v>1761</v>
      </c>
      <c r="Q322" s="19">
        <v>8032</v>
      </c>
      <c r="R322" s="19">
        <v>9</v>
      </c>
      <c r="S322" s="19">
        <v>612.61</v>
      </c>
      <c r="T322" s="19">
        <v>9</v>
      </c>
      <c r="U322" s="19">
        <v>612.61</v>
      </c>
      <c r="V322" s="19">
        <v>0</v>
      </c>
      <c r="W322" s="19">
        <v>0</v>
      </c>
      <c r="X322" s="19">
        <v>0</v>
      </c>
      <c r="Y322" s="19">
        <v>1225.22</v>
      </c>
      <c r="Z322" s="19">
        <v>0</v>
      </c>
      <c r="AA322" s="19" t="s">
        <v>527</v>
      </c>
      <c r="AB322" s="19" t="s">
        <v>1555</v>
      </c>
      <c r="AC322" s="19">
        <v>853650</v>
      </c>
      <c r="AD322" s="19" t="s">
        <v>1092</v>
      </c>
      <c r="AE322" s="19">
        <v>1</v>
      </c>
      <c r="AF322" s="19">
        <v>0</v>
      </c>
      <c r="AG322" s="19" t="s">
        <v>1093</v>
      </c>
      <c r="AH322" s="19" t="s">
        <v>2319</v>
      </c>
    </row>
    <row r="323" spans="2:34" hidden="1" x14ac:dyDescent="0.35">
      <c r="B323" s="76">
        <v>46216</v>
      </c>
      <c r="C323" s="19" t="s">
        <v>526</v>
      </c>
      <c r="D323" s="19" t="s">
        <v>126</v>
      </c>
      <c r="E323" s="19" t="s">
        <v>528</v>
      </c>
      <c r="F323" s="19" t="s">
        <v>118</v>
      </c>
      <c r="G323" s="19" t="s">
        <v>529</v>
      </c>
      <c r="H323" s="76">
        <v>46197</v>
      </c>
      <c r="I323" s="19" t="s">
        <v>105</v>
      </c>
      <c r="J323" s="19" t="s">
        <v>1703</v>
      </c>
      <c r="K323" s="19" t="s">
        <v>1127</v>
      </c>
      <c r="L323" s="19" t="s">
        <v>1389</v>
      </c>
      <c r="M323" s="19" t="s">
        <v>1761</v>
      </c>
      <c r="N323" s="19">
        <v>15</v>
      </c>
      <c r="O323" s="19">
        <v>7497</v>
      </c>
      <c r="P323" s="19" t="s">
        <v>1761</v>
      </c>
      <c r="Q323" s="19">
        <v>8846</v>
      </c>
      <c r="R323" s="19">
        <v>9</v>
      </c>
      <c r="S323" s="19">
        <v>674.73</v>
      </c>
      <c r="T323" s="19">
        <v>9</v>
      </c>
      <c r="U323" s="19">
        <v>674.73</v>
      </c>
      <c r="V323" s="19">
        <v>0</v>
      </c>
      <c r="W323" s="19">
        <v>0</v>
      </c>
      <c r="X323" s="19">
        <v>0</v>
      </c>
      <c r="Y323" s="19">
        <v>1349.46</v>
      </c>
      <c r="Z323" s="19">
        <v>0</v>
      </c>
      <c r="AA323" s="19" t="s">
        <v>527</v>
      </c>
      <c r="AB323" s="19" t="s">
        <v>1555</v>
      </c>
      <c r="AC323" s="19">
        <v>853650</v>
      </c>
      <c r="AD323" s="19" t="s">
        <v>1092</v>
      </c>
      <c r="AE323" s="19">
        <v>1</v>
      </c>
      <c r="AF323" s="19">
        <v>0</v>
      </c>
      <c r="AG323" s="19" t="s">
        <v>1093</v>
      </c>
      <c r="AH323" s="19" t="s">
        <v>2319</v>
      </c>
    </row>
    <row r="324" spans="2:34" hidden="1" x14ac:dyDescent="0.35">
      <c r="B324" s="76">
        <v>46216</v>
      </c>
      <c r="C324" s="19" t="s">
        <v>503</v>
      </c>
      <c r="D324" s="19" t="s">
        <v>126</v>
      </c>
      <c r="E324" s="19" t="s">
        <v>501</v>
      </c>
      <c r="F324" s="19" t="s">
        <v>118</v>
      </c>
      <c r="G324" s="19" t="s">
        <v>502</v>
      </c>
      <c r="H324" s="76">
        <v>46200</v>
      </c>
      <c r="I324" s="19" t="s">
        <v>105</v>
      </c>
      <c r="J324" s="19" t="s">
        <v>1579</v>
      </c>
      <c r="K324" s="19" t="s">
        <v>1127</v>
      </c>
      <c r="L324" s="19" t="s">
        <v>102</v>
      </c>
      <c r="M324" s="19" t="s">
        <v>1762</v>
      </c>
      <c r="N324" s="19">
        <v>50</v>
      </c>
      <c r="O324" s="19">
        <v>708</v>
      </c>
      <c r="P324" s="19" t="s">
        <v>1762</v>
      </c>
      <c r="Q324" s="19">
        <v>835</v>
      </c>
      <c r="R324" s="19">
        <v>9</v>
      </c>
      <c r="S324" s="19">
        <v>63.72</v>
      </c>
      <c r="T324" s="19">
        <v>9</v>
      </c>
      <c r="U324" s="19">
        <v>63.72</v>
      </c>
      <c r="V324" s="19">
        <v>0</v>
      </c>
      <c r="W324" s="19">
        <v>0</v>
      </c>
      <c r="X324" s="19">
        <v>0</v>
      </c>
      <c r="Y324" s="19">
        <v>127.44</v>
      </c>
      <c r="Z324" s="19">
        <v>0</v>
      </c>
      <c r="AA324" s="19" t="s">
        <v>504</v>
      </c>
      <c r="AB324" s="19" t="s">
        <v>1555</v>
      </c>
      <c r="AC324" s="19">
        <v>846170</v>
      </c>
      <c r="AD324" s="19" t="s">
        <v>1092</v>
      </c>
      <c r="AE324" s="19">
        <v>1</v>
      </c>
      <c r="AF324" s="19">
        <v>0</v>
      </c>
      <c r="AG324" s="19" t="s">
        <v>1093</v>
      </c>
      <c r="AH324" s="19" t="s">
        <v>2319</v>
      </c>
    </row>
    <row r="325" spans="2:34" hidden="1" x14ac:dyDescent="0.35">
      <c r="B325" s="76">
        <v>46216</v>
      </c>
      <c r="C325" s="19" t="s">
        <v>355</v>
      </c>
      <c r="D325" s="19" t="s">
        <v>126</v>
      </c>
      <c r="E325" s="19" t="s">
        <v>507</v>
      </c>
      <c r="F325" s="19" t="s">
        <v>118</v>
      </c>
      <c r="G325" s="19" t="s">
        <v>508</v>
      </c>
      <c r="H325" s="76">
        <v>46214</v>
      </c>
      <c r="I325" s="19" t="s">
        <v>102</v>
      </c>
      <c r="J325" s="19" t="s">
        <v>102</v>
      </c>
      <c r="K325" s="19" t="s">
        <v>1127</v>
      </c>
      <c r="L325" s="19" t="s">
        <v>102</v>
      </c>
      <c r="M325" s="19" t="s">
        <v>1763</v>
      </c>
      <c r="N325" s="19">
        <v>150</v>
      </c>
      <c r="O325" s="19">
        <v>1500</v>
      </c>
      <c r="P325" s="19" t="s">
        <v>1763</v>
      </c>
      <c r="Q325" s="19">
        <v>1770</v>
      </c>
      <c r="R325" s="19">
        <v>9</v>
      </c>
      <c r="S325" s="19">
        <v>135</v>
      </c>
      <c r="T325" s="19">
        <v>9</v>
      </c>
      <c r="U325" s="19">
        <v>135</v>
      </c>
      <c r="V325" s="19">
        <v>0</v>
      </c>
      <c r="W325" s="19">
        <v>0</v>
      </c>
      <c r="X325" s="19">
        <v>0</v>
      </c>
      <c r="Y325" s="19">
        <v>270</v>
      </c>
      <c r="Z325" s="19">
        <v>0</v>
      </c>
      <c r="AA325" s="19" t="s">
        <v>356</v>
      </c>
      <c r="AB325" s="19" t="s">
        <v>1764</v>
      </c>
      <c r="AC325" s="19">
        <v>28530010</v>
      </c>
      <c r="AD325" s="19" t="s">
        <v>1092</v>
      </c>
      <c r="AE325" s="19">
        <v>1</v>
      </c>
      <c r="AF325" s="19">
        <v>0</v>
      </c>
      <c r="AG325" s="19" t="s">
        <v>1093</v>
      </c>
      <c r="AH325" s="19" t="s">
        <v>2319</v>
      </c>
    </row>
    <row r="326" spans="2:34" hidden="1" x14ac:dyDescent="0.35">
      <c r="B326" s="76">
        <v>46216</v>
      </c>
      <c r="C326" s="19" t="s">
        <v>138</v>
      </c>
      <c r="D326" s="19" t="s">
        <v>7</v>
      </c>
      <c r="E326" s="19" t="s">
        <v>519</v>
      </c>
      <c r="F326" s="19" t="s">
        <v>119</v>
      </c>
      <c r="G326" s="19" t="s">
        <v>520</v>
      </c>
      <c r="H326" s="76">
        <v>46215</v>
      </c>
      <c r="I326" s="19" t="s">
        <v>105</v>
      </c>
      <c r="J326" s="19" t="s">
        <v>1142</v>
      </c>
      <c r="K326" s="19" t="s">
        <v>1509</v>
      </c>
      <c r="L326" s="19" t="s">
        <v>1509</v>
      </c>
      <c r="M326" s="19" t="s">
        <v>1196</v>
      </c>
      <c r="N326" s="19">
        <v>275</v>
      </c>
      <c r="O326" s="19">
        <v>13200</v>
      </c>
      <c r="P326" s="19" t="s">
        <v>1196</v>
      </c>
      <c r="Q326" s="19">
        <v>15562.8</v>
      </c>
      <c r="R326" s="19">
        <v>9</v>
      </c>
      <c r="S326" s="19">
        <v>1188</v>
      </c>
      <c r="T326" s="19">
        <v>9</v>
      </c>
      <c r="U326" s="19">
        <v>1188</v>
      </c>
      <c r="V326" s="19">
        <v>0</v>
      </c>
      <c r="W326" s="19">
        <v>0</v>
      </c>
      <c r="X326" s="19">
        <v>0</v>
      </c>
      <c r="Y326" s="19">
        <v>2376</v>
      </c>
      <c r="Z326" s="19">
        <v>0</v>
      </c>
      <c r="AA326" s="19" t="s">
        <v>135</v>
      </c>
      <c r="AB326" s="19" t="s">
        <v>1289</v>
      </c>
      <c r="AC326" s="19">
        <v>73063090</v>
      </c>
      <c r="AD326" s="19" t="s">
        <v>1092</v>
      </c>
      <c r="AE326" s="19">
        <v>1</v>
      </c>
      <c r="AF326" s="19">
        <v>275</v>
      </c>
      <c r="AG326" s="19" t="s">
        <v>1093</v>
      </c>
      <c r="AH326" s="19" t="s">
        <v>2319</v>
      </c>
    </row>
    <row r="327" spans="2:34" x14ac:dyDescent="0.35">
      <c r="B327" s="76">
        <v>46216</v>
      </c>
      <c r="C327" s="19" t="s">
        <v>138</v>
      </c>
      <c r="D327" s="19" t="s">
        <v>173</v>
      </c>
      <c r="E327" s="19" t="s">
        <v>537</v>
      </c>
      <c r="F327" s="19" t="s">
        <v>123</v>
      </c>
      <c r="G327" s="19" t="s">
        <v>538</v>
      </c>
      <c r="H327" s="76">
        <v>46215</v>
      </c>
      <c r="I327" s="19" t="s">
        <v>36</v>
      </c>
      <c r="J327" s="19" t="s">
        <v>1117</v>
      </c>
      <c r="K327" s="19" t="s">
        <v>42</v>
      </c>
      <c r="L327" s="19" t="s">
        <v>1242</v>
      </c>
      <c r="M327" s="19" t="s">
        <v>1154</v>
      </c>
      <c r="N327" s="19">
        <v>4342</v>
      </c>
      <c r="O327" s="19">
        <v>657769.57999999996</v>
      </c>
      <c r="P327" s="19" t="s">
        <v>1154</v>
      </c>
      <c r="Q327" s="19">
        <v>1934795.93</v>
      </c>
      <c r="R327" s="19">
        <v>9</v>
      </c>
      <c r="S327" s="19">
        <v>59199.26</v>
      </c>
      <c r="T327" s="19">
        <v>9</v>
      </c>
      <c r="U327" s="19">
        <v>59199.26</v>
      </c>
      <c r="V327" s="19">
        <v>0</v>
      </c>
      <c r="W327" s="19">
        <v>0</v>
      </c>
      <c r="X327" s="19">
        <v>0</v>
      </c>
      <c r="Y327" s="19">
        <v>118398.52</v>
      </c>
      <c r="Z327" s="19">
        <v>0</v>
      </c>
      <c r="AA327" s="19" t="s">
        <v>135</v>
      </c>
      <c r="AB327" s="19" t="s">
        <v>1289</v>
      </c>
      <c r="AC327" s="19">
        <v>63053300</v>
      </c>
      <c r="AD327" s="19" t="s">
        <v>1092</v>
      </c>
      <c r="AE327" s="19">
        <v>1</v>
      </c>
      <c r="AF327" s="19">
        <v>4342</v>
      </c>
      <c r="AG327" s="19" t="s">
        <v>1093</v>
      </c>
      <c r="AH327" s="19" t="s">
        <v>42</v>
      </c>
    </row>
    <row r="328" spans="2:34" x14ac:dyDescent="0.35">
      <c r="B328" s="76">
        <v>46216</v>
      </c>
      <c r="C328" s="19" t="s">
        <v>138</v>
      </c>
      <c r="D328" s="19" t="s">
        <v>173</v>
      </c>
      <c r="E328" s="19" t="s">
        <v>537</v>
      </c>
      <c r="F328" s="19" t="s">
        <v>123</v>
      </c>
      <c r="G328" s="19" t="s">
        <v>538</v>
      </c>
      <c r="H328" s="76">
        <v>46215</v>
      </c>
      <c r="I328" s="19" t="s">
        <v>36</v>
      </c>
      <c r="J328" s="19" t="s">
        <v>1350</v>
      </c>
      <c r="K328" s="19" t="s">
        <v>39</v>
      </c>
      <c r="L328" s="19" t="s">
        <v>1351</v>
      </c>
      <c r="M328" s="19" t="s">
        <v>1352</v>
      </c>
      <c r="N328" s="19">
        <v>529</v>
      </c>
      <c r="O328" s="19">
        <v>109386.62</v>
      </c>
      <c r="P328" s="19" t="s">
        <v>1352</v>
      </c>
      <c r="Q328" s="19">
        <v>0</v>
      </c>
      <c r="R328" s="19">
        <v>9</v>
      </c>
      <c r="S328" s="19">
        <v>9844.7999999999993</v>
      </c>
      <c r="T328" s="19">
        <v>9</v>
      </c>
      <c r="U328" s="19">
        <v>9844.7999999999993</v>
      </c>
      <c r="V328" s="19">
        <v>0</v>
      </c>
      <c r="W328" s="19">
        <v>0</v>
      </c>
      <c r="X328" s="19">
        <v>0</v>
      </c>
      <c r="Y328" s="19">
        <v>19689.599999999999</v>
      </c>
      <c r="Z328" s="19">
        <v>0</v>
      </c>
      <c r="AA328" s="19" t="s">
        <v>135</v>
      </c>
      <c r="AB328" s="19" t="s">
        <v>1289</v>
      </c>
      <c r="AC328" s="19">
        <v>39200000</v>
      </c>
      <c r="AD328" s="19" t="s">
        <v>1092</v>
      </c>
      <c r="AE328" s="19">
        <v>1</v>
      </c>
      <c r="AF328" s="19">
        <v>529</v>
      </c>
      <c r="AG328" s="19" t="s">
        <v>1093</v>
      </c>
      <c r="AH328" s="19" t="s">
        <v>39</v>
      </c>
    </row>
    <row r="329" spans="2:34" x14ac:dyDescent="0.35">
      <c r="B329" s="76">
        <v>46216</v>
      </c>
      <c r="C329" s="19" t="s">
        <v>138</v>
      </c>
      <c r="D329" s="19" t="s">
        <v>173</v>
      </c>
      <c r="E329" s="19" t="s">
        <v>537</v>
      </c>
      <c r="F329" s="19" t="s">
        <v>123</v>
      </c>
      <c r="G329" s="19" t="s">
        <v>538</v>
      </c>
      <c r="H329" s="76">
        <v>46215</v>
      </c>
      <c r="I329" s="19" t="s">
        <v>36</v>
      </c>
      <c r="J329" s="19" t="s">
        <v>1350</v>
      </c>
      <c r="K329" s="19" t="s">
        <v>39</v>
      </c>
      <c r="L329" s="19" t="s">
        <v>1351</v>
      </c>
      <c r="M329" s="19" t="s">
        <v>1352</v>
      </c>
      <c r="N329" s="19">
        <v>245</v>
      </c>
      <c r="O329" s="19">
        <v>44781.1</v>
      </c>
      <c r="P329" s="19" t="s">
        <v>1352</v>
      </c>
      <c r="Q329" s="19">
        <v>0</v>
      </c>
      <c r="R329" s="19">
        <v>9</v>
      </c>
      <c r="S329" s="19">
        <v>4030.3</v>
      </c>
      <c r="T329" s="19">
        <v>9</v>
      </c>
      <c r="U329" s="19">
        <v>4030.3</v>
      </c>
      <c r="V329" s="19">
        <v>0</v>
      </c>
      <c r="W329" s="19">
        <v>0</v>
      </c>
      <c r="X329" s="19">
        <v>0</v>
      </c>
      <c r="Y329" s="19">
        <v>8060.6</v>
      </c>
      <c r="Z329" s="19">
        <v>0</v>
      </c>
      <c r="AA329" s="19" t="s">
        <v>135</v>
      </c>
      <c r="AB329" s="19" t="s">
        <v>1289</v>
      </c>
      <c r="AC329" s="19">
        <v>39200000</v>
      </c>
      <c r="AD329" s="19" t="s">
        <v>1092</v>
      </c>
      <c r="AE329" s="19">
        <v>1</v>
      </c>
      <c r="AF329" s="19">
        <v>245</v>
      </c>
      <c r="AG329" s="19" t="s">
        <v>1093</v>
      </c>
      <c r="AH329" s="19" t="s">
        <v>39</v>
      </c>
    </row>
    <row r="330" spans="2:34" x14ac:dyDescent="0.35">
      <c r="B330" s="76">
        <v>46216</v>
      </c>
      <c r="C330" s="19" t="s">
        <v>138</v>
      </c>
      <c r="D330" s="19" t="s">
        <v>173</v>
      </c>
      <c r="E330" s="19" t="s">
        <v>537</v>
      </c>
      <c r="F330" s="19" t="s">
        <v>123</v>
      </c>
      <c r="G330" s="19" t="s">
        <v>538</v>
      </c>
      <c r="H330" s="76">
        <v>46215</v>
      </c>
      <c r="I330" s="19" t="s">
        <v>36</v>
      </c>
      <c r="J330" s="19" t="s">
        <v>1117</v>
      </c>
      <c r="K330" s="19" t="s">
        <v>44</v>
      </c>
      <c r="L330" s="19" t="s">
        <v>1118</v>
      </c>
      <c r="M330" s="19" t="s">
        <v>1119</v>
      </c>
      <c r="N330" s="19">
        <v>933</v>
      </c>
      <c r="O330" s="19">
        <v>134809.17000000001</v>
      </c>
      <c r="P330" s="19" t="s">
        <v>1119</v>
      </c>
      <c r="Q330" s="19">
        <v>0</v>
      </c>
      <c r="R330" s="19">
        <v>9</v>
      </c>
      <c r="S330" s="19">
        <v>12132.83</v>
      </c>
      <c r="T330" s="19">
        <v>9</v>
      </c>
      <c r="U330" s="19">
        <v>12132.83</v>
      </c>
      <c r="V330" s="19">
        <v>0</v>
      </c>
      <c r="W330" s="19">
        <v>0</v>
      </c>
      <c r="X330" s="19">
        <v>0</v>
      </c>
      <c r="Y330" s="19">
        <v>24265.66</v>
      </c>
      <c r="Z330" s="19">
        <v>0</v>
      </c>
      <c r="AA330" s="19" t="s">
        <v>135</v>
      </c>
      <c r="AB330" s="19" t="s">
        <v>1289</v>
      </c>
      <c r="AC330" s="19">
        <v>39269080</v>
      </c>
      <c r="AD330" s="19" t="s">
        <v>1092</v>
      </c>
      <c r="AE330" s="19">
        <v>1</v>
      </c>
      <c r="AF330" s="19">
        <v>933</v>
      </c>
      <c r="AG330" s="19" t="s">
        <v>1093</v>
      </c>
      <c r="AH330" s="19" t="s">
        <v>44</v>
      </c>
    </row>
    <row r="331" spans="2:34" x14ac:dyDescent="0.35">
      <c r="B331" s="76">
        <v>46216</v>
      </c>
      <c r="C331" s="19" t="s">
        <v>138</v>
      </c>
      <c r="D331" s="19" t="s">
        <v>173</v>
      </c>
      <c r="E331" s="19" t="s">
        <v>537</v>
      </c>
      <c r="F331" s="19" t="s">
        <v>123</v>
      </c>
      <c r="G331" s="19" t="s">
        <v>538</v>
      </c>
      <c r="H331" s="76">
        <v>46215</v>
      </c>
      <c r="I331" s="19" t="s">
        <v>36</v>
      </c>
      <c r="J331" s="19" t="s">
        <v>1117</v>
      </c>
      <c r="K331" s="19" t="s">
        <v>44</v>
      </c>
      <c r="L331" s="19" t="s">
        <v>1118</v>
      </c>
      <c r="M331" s="19" t="s">
        <v>1119</v>
      </c>
      <c r="N331" s="19">
        <v>1154</v>
      </c>
      <c r="O331" s="19">
        <v>170203.46</v>
      </c>
      <c r="P331" s="19" t="s">
        <v>1119</v>
      </c>
      <c r="Q331" s="19">
        <v>0</v>
      </c>
      <c r="R331" s="19">
        <v>9</v>
      </c>
      <c r="S331" s="19">
        <v>15318.31</v>
      </c>
      <c r="T331" s="19">
        <v>9</v>
      </c>
      <c r="U331" s="19">
        <v>15318.31</v>
      </c>
      <c r="V331" s="19">
        <v>0</v>
      </c>
      <c r="W331" s="19">
        <v>0</v>
      </c>
      <c r="X331" s="19">
        <v>0</v>
      </c>
      <c r="Y331" s="19">
        <v>30636.62</v>
      </c>
      <c r="Z331" s="19">
        <v>0</v>
      </c>
      <c r="AA331" s="19" t="s">
        <v>135</v>
      </c>
      <c r="AB331" s="19" t="s">
        <v>1289</v>
      </c>
      <c r="AC331" s="19">
        <v>39269080</v>
      </c>
      <c r="AD331" s="19" t="s">
        <v>1092</v>
      </c>
      <c r="AE331" s="19">
        <v>1</v>
      </c>
      <c r="AF331" s="19">
        <v>1154</v>
      </c>
      <c r="AG331" s="19" t="s">
        <v>1093</v>
      </c>
      <c r="AH331" s="19" t="s">
        <v>44</v>
      </c>
    </row>
    <row r="332" spans="2:34" x14ac:dyDescent="0.35">
      <c r="B332" s="76">
        <v>46216</v>
      </c>
      <c r="C332" s="19" t="s">
        <v>138</v>
      </c>
      <c r="D332" s="19" t="s">
        <v>173</v>
      </c>
      <c r="E332" s="19" t="s">
        <v>537</v>
      </c>
      <c r="F332" s="19" t="s">
        <v>123</v>
      </c>
      <c r="G332" s="19" t="s">
        <v>538</v>
      </c>
      <c r="H332" s="76">
        <v>46215</v>
      </c>
      <c r="I332" s="19" t="s">
        <v>36</v>
      </c>
      <c r="J332" s="19" t="s">
        <v>1117</v>
      </c>
      <c r="K332" s="19" t="s">
        <v>44</v>
      </c>
      <c r="L332" s="19" t="s">
        <v>1118</v>
      </c>
      <c r="M332" s="19" t="s">
        <v>1119</v>
      </c>
      <c r="N332" s="19">
        <v>2904</v>
      </c>
      <c r="O332" s="19">
        <v>434118.96</v>
      </c>
      <c r="P332" s="19" t="s">
        <v>1119</v>
      </c>
      <c r="Q332" s="19">
        <v>0</v>
      </c>
      <c r="R332" s="19">
        <v>9</v>
      </c>
      <c r="S332" s="19">
        <v>39070.71</v>
      </c>
      <c r="T332" s="19">
        <v>9</v>
      </c>
      <c r="U332" s="19">
        <v>39070.71</v>
      </c>
      <c r="V332" s="19">
        <v>0</v>
      </c>
      <c r="W332" s="19">
        <v>0</v>
      </c>
      <c r="X332" s="19">
        <v>0</v>
      </c>
      <c r="Y332" s="19">
        <v>78141.42</v>
      </c>
      <c r="Z332" s="19">
        <v>0</v>
      </c>
      <c r="AA332" s="19" t="s">
        <v>135</v>
      </c>
      <c r="AB332" s="19" t="s">
        <v>1289</v>
      </c>
      <c r="AC332" s="19">
        <v>39269080</v>
      </c>
      <c r="AD332" s="19" t="s">
        <v>1092</v>
      </c>
      <c r="AE332" s="19">
        <v>1</v>
      </c>
      <c r="AF332" s="19">
        <v>2904</v>
      </c>
      <c r="AG332" s="19" t="s">
        <v>1093</v>
      </c>
      <c r="AH332" s="19" t="s">
        <v>44</v>
      </c>
    </row>
    <row r="333" spans="2:34" x14ac:dyDescent="0.35">
      <c r="B333" s="76">
        <v>46216</v>
      </c>
      <c r="C333" s="19" t="s">
        <v>138</v>
      </c>
      <c r="D333" s="19" t="s">
        <v>173</v>
      </c>
      <c r="E333" s="19" t="s">
        <v>537</v>
      </c>
      <c r="F333" s="19" t="s">
        <v>123</v>
      </c>
      <c r="G333" s="19" t="s">
        <v>538</v>
      </c>
      <c r="H333" s="76">
        <v>46215</v>
      </c>
      <c r="I333" s="19" t="s">
        <v>36</v>
      </c>
      <c r="J333" s="19" t="s">
        <v>1087</v>
      </c>
      <c r="K333" s="19" t="s">
        <v>46</v>
      </c>
      <c r="L333" s="19" t="s">
        <v>1213</v>
      </c>
      <c r="M333" s="19" t="s">
        <v>1420</v>
      </c>
      <c r="N333" s="19">
        <v>114.9</v>
      </c>
      <c r="O333" s="19">
        <v>18325.401000000002</v>
      </c>
      <c r="P333" s="19" t="s">
        <v>1420</v>
      </c>
      <c r="Q333" s="19">
        <v>0</v>
      </c>
      <c r="R333" s="19">
        <v>2.5</v>
      </c>
      <c r="S333" s="19">
        <v>458.14</v>
      </c>
      <c r="T333" s="19">
        <v>2.5</v>
      </c>
      <c r="U333" s="19">
        <v>458.14</v>
      </c>
      <c r="V333" s="19">
        <v>0</v>
      </c>
      <c r="W333" s="19">
        <v>0</v>
      </c>
      <c r="X333" s="19">
        <v>0</v>
      </c>
      <c r="Y333" s="19">
        <v>916.28</v>
      </c>
      <c r="Z333" s="19">
        <v>0</v>
      </c>
      <c r="AA333" s="19" t="s">
        <v>135</v>
      </c>
      <c r="AB333" s="19" t="s">
        <v>1289</v>
      </c>
      <c r="AC333" s="19">
        <v>54026930</v>
      </c>
      <c r="AD333" s="19" t="s">
        <v>1092</v>
      </c>
      <c r="AE333" s="19">
        <v>1</v>
      </c>
      <c r="AF333" s="19">
        <v>114.9</v>
      </c>
      <c r="AG333" s="19" t="s">
        <v>1093</v>
      </c>
      <c r="AH333" s="19" t="s">
        <v>46</v>
      </c>
    </row>
    <row r="334" spans="2:34" x14ac:dyDescent="0.35">
      <c r="B334" s="76">
        <v>46216</v>
      </c>
      <c r="C334" s="19" t="s">
        <v>138</v>
      </c>
      <c r="D334" s="19" t="s">
        <v>173</v>
      </c>
      <c r="E334" s="19" t="s">
        <v>537</v>
      </c>
      <c r="F334" s="19" t="s">
        <v>123</v>
      </c>
      <c r="G334" s="19" t="s">
        <v>538</v>
      </c>
      <c r="H334" s="76">
        <v>46215</v>
      </c>
      <c r="I334" s="19" t="s">
        <v>36</v>
      </c>
      <c r="J334" s="19" t="s">
        <v>1087</v>
      </c>
      <c r="K334" s="19" t="s">
        <v>46</v>
      </c>
      <c r="L334" s="19" t="s">
        <v>1213</v>
      </c>
      <c r="M334" s="19" t="s">
        <v>1422</v>
      </c>
      <c r="N334" s="19">
        <v>509.6</v>
      </c>
      <c r="O334" s="19">
        <v>82804.903999999995</v>
      </c>
      <c r="P334" s="19" t="s">
        <v>1422</v>
      </c>
      <c r="Q334" s="19">
        <v>0</v>
      </c>
      <c r="R334" s="19">
        <v>2.5</v>
      </c>
      <c r="S334" s="19">
        <v>2070.12</v>
      </c>
      <c r="T334" s="19">
        <v>2.5</v>
      </c>
      <c r="U334" s="19">
        <v>2070.12</v>
      </c>
      <c r="V334" s="19">
        <v>0</v>
      </c>
      <c r="W334" s="19">
        <v>0</v>
      </c>
      <c r="X334" s="19">
        <v>0</v>
      </c>
      <c r="Y334" s="19">
        <v>4140.24</v>
      </c>
      <c r="Z334" s="19">
        <v>0</v>
      </c>
      <c r="AA334" s="19" t="s">
        <v>135</v>
      </c>
      <c r="AB334" s="19" t="s">
        <v>1289</v>
      </c>
      <c r="AC334" s="19">
        <v>54026930</v>
      </c>
      <c r="AD334" s="19" t="s">
        <v>1092</v>
      </c>
      <c r="AE334" s="19">
        <v>1</v>
      </c>
      <c r="AF334" s="19">
        <v>509.6</v>
      </c>
      <c r="AG334" s="19" t="s">
        <v>1093</v>
      </c>
      <c r="AH334" s="19" t="s">
        <v>46</v>
      </c>
    </row>
    <row r="335" spans="2:34" x14ac:dyDescent="0.35">
      <c r="B335" s="76">
        <v>46216</v>
      </c>
      <c r="C335" s="19" t="s">
        <v>138</v>
      </c>
      <c r="D335" s="19" t="s">
        <v>173</v>
      </c>
      <c r="E335" s="19" t="s">
        <v>539</v>
      </c>
      <c r="F335" s="19" t="s">
        <v>123</v>
      </c>
      <c r="G335" s="19" t="s">
        <v>540</v>
      </c>
      <c r="H335" s="76">
        <v>46216</v>
      </c>
      <c r="I335" s="19" t="s">
        <v>49</v>
      </c>
      <c r="J335" s="19" t="s">
        <v>50</v>
      </c>
      <c r="K335" s="19" t="s">
        <v>50</v>
      </c>
      <c r="L335" s="19" t="s">
        <v>1095</v>
      </c>
      <c r="M335" s="19" t="s">
        <v>1096</v>
      </c>
      <c r="N335" s="19">
        <v>4615</v>
      </c>
      <c r="O335" s="19">
        <v>984656.4</v>
      </c>
      <c r="P335" s="19" t="s">
        <v>1096</v>
      </c>
      <c r="Q335" s="19">
        <v>4773632.6399999997</v>
      </c>
      <c r="R335" s="19">
        <v>0.05</v>
      </c>
      <c r="S335" s="19">
        <v>492.33</v>
      </c>
      <c r="T335" s="19">
        <v>0.05</v>
      </c>
      <c r="U335" s="19">
        <v>492.33</v>
      </c>
      <c r="V335" s="19">
        <v>0</v>
      </c>
      <c r="W335" s="19">
        <v>0</v>
      </c>
      <c r="X335" s="19">
        <v>0</v>
      </c>
      <c r="Y335" s="19">
        <v>984.66</v>
      </c>
      <c r="Z335" s="19">
        <v>0</v>
      </c>
      <c r="AA335" s="19" t="s">
        <v>135</v>
      </c>
      <c r="AB335" s="19" t="s">
        <v>1289</v>
      </c>
      <c r="AC335" s="19">
        <v>63053200</v>
      </c>
      <c r="AD335" s="19" t="s">
        <v>1092</v>
      </c>
      <c r="AE335" s="19">
        <v>1</v>
      </c>
      <c r="AF335" s="19">
        <v>4615</v>
      </c>
      <c r="AG335" s="19" t="s">
        <v>1093</v>
      </c>
      <c r="AH335" s="19" t="s">
        <v>50</v>
      </c>
    </row>
    <row r="336" spans="2:34" x14ac:dyDescent="0.35">
      <c r="B336" s="76">
        <v>46216</v>
      </c>
      <c r="C336" s="19" t="s">
        <v>138</v>
      </c>
      <c r="D336" s="19" t="s">
        <v>173</v>
      </c>
      <c r="E336" s="19" t="s">
        <v>539</v>
      </c>
      <c r="F336" s="19" t="s">
        <v>123</v>
      </c>
      <c r="G336" s="19" t="s">
        <v>540</v>
      </c>
      <c r="H336" s="76">
        <v>46216</v>
      </c>
      <c r="I336" s="19" t="s">
        <v>49</v>
      </c>
      <c r="J336" s="19" t="s">
        <v>50</v>
      </c>
      <c r="K336" s="19" t="s">
        <v>50</v>
      </c>
      <c r="L336" s="19" t="s">
        <v>1095</v>
      </c>
      <c r="M336" s="19" t="s">
        <v>1096</v>
      </c>
      <c r="N336" s="19">
        <v>1725</v>
      </c>
      <c r="O336" s="19">
        <v>403339.5</v>
      </c>
      <c r="P336" s="19" t="s">
        <v>1096</v>
      </c>
      <c r="Q336" s="19">
        <v>0</v>
      </c>
      <c r="R336" s="19">
        <v>0.05</v>
      </c>
      <c r="S336" s="19">
        <v>201.67</v>
      </c>
      <c r="T336" s="19">
        <v>0.05</v>
      </c>
      <c r="U336" s="19">
        <v>201.67</v>
      </c>
      <c r="V336" s="19">
        <v>0</v>
      </c>
      <c r="W336" s="19">
        <v>0</v>
      </c>
      <c r="X336" s="19">
        <v>0</v>
      </c>
      <c r="Y336" s="19">
        <v>403.34</v>
      </c>
      <c r="Z336" s="19">
        <v>0</v>
      </c>
      <c r="AA336" s="19" t="s">
        <v>135</v>
      </c>
      <c r="AB336" s="19" t="s">
        <v>1289</v>
      </c>
      <c r="AC336" s="19">
        <v>63053200</v>
      </c>
      <c r="AD336" s="19" t="s">
        <v>1092</v>
      </c>
      <c r="AE336" s="19">
        <v>1</v>
      </c>
      <c r="AF336" s="19">
        <v>1725</v>
      </c>
      <c r="AG336" s="19" t="s">
        <v>1093</v>
      </c>
      <c r="AH336" s="19" t="s">
        <v>50</v>
      </c>
    </row>
    <row r="337" spans="2:34" x14ac:dyDescent="0.35">
      <c r="B337" s="76">
        <v>46216</v>
      </c>
      <c r="C337" s="19" t="s">
        <v>138</v>
      </c>
      <c r="D337" s="19" t="s">
        <v>173</v>
      </c>
      <c r="E337" s="19" t="s">
        <v>539</v>
      </c>
      <c r="F337" s="19" t="s">
        <v>123</v>
      </c>
      <c r="G337" s="19" t="s">
        <v>540</v>
      </c>
      <c r="H337" s="76">
        <v>46216</v>
      </c>
      <c r="I337" s="19" t="s">
        <v>49</v>
      </c>
      <c r="J337" s="19" t="s">
        <v>50</v>
      </c>
      <c r="K337" s="19" t="s">
        <v>50</v>
      </c>
      <c r="L337" s="19" t="s">
        <v>1095</v>
      </c>
      <c r="M337" s="19" t="s">
        <v>1096</v>
      </c>
      <c r="N337" s="19">
        <v>4525</v>
      </c>
      <c r="O337" s="19">
        <v>952467.25</v>
      </c>
      <c r="P337" s="19" t="s">
        <v>1096</v>
      </c>
      <c r="Q337" s="19">
        <v>0</v>
      </c>
      <c r="R337" s="19">
        <v>0.05</v>
      </c>
      <c r="S337" s="19">
        <v>476.23</v>
      </c>
      <c r="T337" s="19">
        <v>0.05</v>
      </c>
      <c r="U337" s="19">
        <v>476.23</v>
      </c>
      <c r="V337" s="19">
        <v>0</v>
      </c>
      <c r="W337" s="19">
        <v>0</v>
      </c>
      <c r="X337" s="19">
        <v>0</v>
      </c>
      <c r="Y337" s="19">
        <v>952.46</v>
      </c>
      <c r="Z337" s="19">
        <v>0</v>
      </c>
      <c r="AA337" s="19" t="s">
        <v>135</v>
      </c>
      <c r="AB337" s="19" t="s">
        <v>1289</v>
      </c>
      <c r="AC337" s="19">
        <v>63053200</v>
      </c>
      <c r="AD337" s="19" t="s">
        <v>1092</v>
      </c>
      <c r="AE337" s="19">
        <v>1</v>
      </c>
      <c r="AF337" s="19">
        <v>4525</v>
      </c>
      <c r="AG337" s="19" t="s">
        <v>1093</v>
      </c>
      <c r="AH337" s="19" t="s">
        <v>50</v>
      </c>
    </row>
    <row r="338" spans="2:34" x14ac:dyDescent="0.35">
      <c r="B338" s="76">
        <v>46216</v>
      </c>
      <c r="C338" s="19" t="s">
        <v>138</v>
      </c>
      <c r="D338" s="19" t="s">
        <v>173</v>
      </c>
      <c r="E338" s="19" t="s">
        <v>539</v>
      </c>
      <c r="F338" s="19" t="s">
        <v>123</v>
      </c>
      <c r="G338" s="19" t="s">
        <v>540</v>
      </c>
      <c r="H338" s="76">
        <v>46216</v>
      </c>
      <c r="I338" s="19" t="s">
        <v>49</v>
      </c>
      <c r="J338" s="19" t="s">
        <v>50</v>
      </c>
      <c r="K338" s="19" t="s">
        <v>50</v>
      </c>
      <c r="L338" s="19" t="s">
        <v>1095</v>
      </c>
      <c r="M338" s="19" t="s">
        <v>1096</v>
      </c>
      <c r="N338" s="19">
        <v>11559</v>
      </c>
      <c r="O338" s="19">
        <v>2433169.5</v>
      </c>
      <c r="P338" s="19" t="s">
        <v>1096</v>
      </c>
      <c r="Q338" s="19">
        <v>0</v>
      </c>
      <c r="R338" s="19">
        <v>0.05</v>
      </c>
      <c r="S338" s="19">
        <v>1216.58</v>
      </c>
      <c r="T338" s="19">
        <v>0.05</v>
      </c>
      <c r="U338" s="19">
        <v>1216.58</v>
      </c>
      <c r="V338" s="19">
        <v>0</v>
      </c>
      <c r="W338" s="19">
        <v>0</v>
      </c>
      <c r="X338" s="19">
        <v>0</v>
      </c>
      <c r="Y338" s="19">
        <v>2433.16</v>
      </c>
      <c r="Z338" s="19">
        <v>0</v>
      </c>
      <c r="AA338" s="19" t="s">
        <v>135</v>
      </c>
      <c r="AB338" s="19" t="s">
        <v>1289</v>
      </c>
      <c r="AC338" s="19">
        <v>63053200</v>
      </c>
      <c r="AD338" s="19" t="s">
        <v>1092</v>
      </c>
      <c r="AE338" s="19">
        <v>1</v>
      </c>
      <c r="AF338" s="19">
        <v>11559</v>
      </c>
      <c r="AG338" s="19" t="s">
        <v>1093</v>
      </c>
      <c r="AH338" s="19" t="s">
        <v>50</v>
      </c>
    </row>
    <row r="339" spans="2:34" hidden="1" x14ac:dyDescent="0.35">
      <c r="B339" s="76">
        <v>46216</v>
      </c>
      <c r="C339" s="19" t="s">
        <v>153</v>
      </c>
      <c r="D339" s="19" t="s">
        <v>126</v>
      </c>
      <c r="E339" s="19" t="s">
        <v>517</v>
      </c>
      <c r="F339" s="19" t="s">
        <v>118</v>
      </c>
      <c r="G339" s="19" t="s">
        <v>518</v>
      </c>
      <c r="H339" s="76">
        <v>46214</v>
      </c>
      <c r="I339" s="19" t="s">
        <v>103</v>
      </c>
      <c r="J339" s="19" t="s">
        <v>1765</v>
      </c>
      <c r="K339" s="19" t="s">
        <v>1127</v>
      </c>
      <c r="L339" s="19" t="s">
        <v>1389</v>
      </c>
      <c r="M339" s="19" t="s">
        <v>1766</v>
      </c>
      <c r="N339" s="19">
        <v>20</v>
      </c>
      <c r="O339" s="19">
        <v>2300</v>
      </c>
      <c r="P339" s="19" t="s">
        <v>1766</v>
      </c>
      <c r="Q339" s="19">
        <v>2714</v>
      </c>
      <c r="R339" s="19">
        <v>9</v>
      </c>
      <c r="S339" s="19">
        <v>207</v>
      </c>
      <c r="T339" s="19">
        <v>9</v>
      </c>
      <c r="U339" s="19">
        <v>207</v>
      </c>
      <c r="V339" s="19">
        <v>0</v>
      </c>
      <c r="W339" s="19">
        <v>0</v>
      </c>
      <c r="X339" s="19">
        <v>0</v>
      </c>
      <c r="Y339" s="19">
        <v>414</v>
      </c>
      <c r="Z339" s="19">
        <v>0</v>
      </c>
      <c r="AA339" s="19" t="s">
        <v>154</v>
      </c>
      <c r="AB339" s="19" t="s">
        <v>1767</v>
      </c>
      <c r="AC339" s="19">
        <v>4810100</v>
      </c>
      <c r="AD339" s="19" t="s">
        <v>1092</v>
      </c>
      <c r="AE339" s="19">
        <v>1</v>
      </c>
      <c r="AF339" s="19">
        <v>0</v>
      </c>
      <c r="AG339" s="19" t="s">
        <v>1093</v>
      </c>
      <c r="AH339" s="19" t="s">
        <v>2319</v>
      </c>
    </row>
    <row r="340" spans="2:34" hidden="1" x14ac:dyDescent="0.35">
      <c r="B340" s="76">
        <v>46216</v>
      </c>
      <c r="C340" s="19" t="s">
        <v>130</v>
      </c>
      <c r="D340" s="19" t="s">
        <v>126</v>
      </c>
      <c r="E340" s="19" t="s">
        <v>505</v>
      </c>
      <c r="F340" s="19" t="s">
        <v>118</v>
      </c>
      <c r="G340" s="19">
        <v>1419</v>
      </c>
      <c r="H340" s="76">
        <v>46213</v>
      </c>
      <c r="I340" s="19" t="s">
        <v>102</v>
      </c>
      <c r="J340" s="19" t="s">
        <v>1570</v>
      </c>
      <c r="K340" s="19" t="s">
        <v>1127</v>
      </c>
      <c r="L340" s="19" t="s">
        <v>102</v>
      </c>
      <c r="M340" s="19" t="s">
        <v>1571</v>
      </c>
      <c r="N340" s="19">
        <v>1</v>
      </c>
      <c r="O340" s="19">
        <v>281.05</v>
      </c>
      <c r="P340" s="19" t="s">
        <v>1571</v>
      </c>
      <c r="Q340" s="19">
        <v>2120</v>
      </c>
      <c r="R340" s="19">
        <v>9</v>
      </c>
      <c r="S340" s="19">
        <v>25.29</v>
      </c>
      <c r="T340" s="19">
        <v>9</v>
      </c>
      <c r="U340" s="19">
        <v>25.29</v>
      </c>
      <c r="V340" s="19">
        <v>0</v>
      </c>
      <c r="W340" s="19">
        <v>0</v>
      </c>
      <c r="X340" s="19">
        <v>0</v>
      </c>
      <c r="Y340" s="19">
        <v>50.58</v>
      </c>
      <c r="Z340" s="19">
        <v>0</v>
      </c>
      <c r="AA340" s="19" t="s">
        <v>131</v>
      </c>
      <c r="AB340" s="19" t="s">
        <v>1572</v>
      </c>
      <c r="AC340" s="19">
        <v>400200</v>
      </c>
      <c r="AD340" s="19" t="s">
        <v>1092</v>
      </c>
      <c r="AE340" s="19">
        <v>1</v>
      </c>
      <c r="AF340" s="19">
        <v>0</v>
      </c>
      <c r="AG340" s="19" t="s">
        <v>1093</v>
      </c>
      <c r="AH340" s="19" t="s">
        <v>2319</v>
      </c>
    </row>
    <row r="341" spans="2:34" hidden="1" x14ac:dyDescent="0.35">
      <c r="B341" s="76">
        <v>46216</v>
      </c>
      <c r="C341" s="19" t="s">
        <v>130</v>
      </c>
      <c r="D341" s="19" t="s">
        <v>126</v>
      </c>
      <c r="E341" s="19" t="s">
        <v>505</v>
      </c>
      <c r="F341" s="19" t="s">
        <v>118</v>
      </c>
      <c r="G341" s="19">
        <v>1419</v>
      </c>
      <c r="H341" s="76">
        <v>46213</v>
      </c>
      <c r="I341" s="19" t="s">
        <v>102</v>
      </c>
      <c r="J341" s="19" t="s">
        <v>1570</v>
      </c>
      <c r="K341" s="19" t="s">
        <v>1127</v>
      </c>
      <c r="L341" s="19" t="s">
        <v>102</v>
      </c>
      <c r="M341" s="19" t="s">
        <v>1571</v>
      </c>
      <c r="N341" s="19">
        <v>1</v>
      </c>
      <c r="O341" s="19">
        <v>1515.85</v>
      </c>
      <c r="P341" s="19" t="s">
        <v>1571</v>
      </c>
      <c r="Q341" s="19">
        <v>0</v>
      </c>
      <c r="R341" s="19">
        <v>9</v>
      </c>
      <c r="S341" s="19">
        <v>136.43</v>
      </c>
      <c r="T341" s="19">
        <v>9</v>
      </c>
      <c r="U341" s="19">
        <v>136.43</v>
      </c>
      <c r="V341" s="19">
        <v>0</v>
      </c>
      <c r="W341" s="19">
        <v>0</v>
      </c>
      <c r="X341" s="19">
        <v>0</v>
      </c>
      <c r="Y341" s="19">
        <v>272.86</v>
      </c>
      <c r="Z341" s="19">
        <v>0</v>
      </c>
      <c r="AA341" s="19" t="s">
        <v>131</v>
      </c>
      <c r="AB341" s="19" t="s">
        <v>1572</v>
      </c>
      <c r="AC341" s="19">
        <v>400200</v>
      </c>
      <c r="AD341" s="19" t="s">
        <v>1092</v>
      </c>
      <c r="AE341" s="19">
        <v>1</v>
      </c>
      <c r="AF341" s="19">
        <v>0</v>
      </c>
      <c r="AG341" s="19" t="s">
        <v>1093</v>
      </c>
      <c r="AH341" s="19" t="s">
        <v>2319</v>
      </c>
    </row>
    <row r="342" spans="2:34" hidden="1" x14ac:dyDescent="0.35">
      <c r="B342" s="76">
        <v>46216</v>
      </c>
      <c r="C342" s="19" t="s">
        <v>130</v>
      </c>
      <c r="D342" s="19" t="s">
        <v>126</v>
      </c>
      <c r="E342" s="19" t="s">
        <v>506</v>
      </c>
      <c r="F342" s="19" t="s">
        <v>118</v>
      </c>
      <c r="G342" s="19">
        <v>1408</v>
      </c>
      <c r="H342" s="76">
        <v>46213</v>
      </c>
      <c r="I342" s="19" t="s">
        <v>102</v>
      </c>
      <c r="J342" s="19" t="s">
        <v>1570</v>
      </c>
      <c r="K342" s="19" t="s">
        <v>1127</v>
      </c>
      <c r="L342" s="19" t="s">
        <v>102</v>
      </c>
      <c r="M342" s="19" t="s">
        <v>1571</v>
      </c>
      <c r="N342" s="19">
        <v>1</v>
      </c>
      <c r="O342" s="19">
        <v>315</v>
      </c>
      <c r="P342" s="19" t="s">
        <v>1571</v>
      </c>
      <c r="Q342" s="19">
        <v>2991</v>
      </c>
      <c r="R342" s="19">
        <v>9</v>
      </c>
      <c r="S342" s="19">
        <v>28.35</v>
      </c>
      <c r="T342" s="19">
        <v>9</v>
      </c>
      <c r="U342" s="19">
        <v>28.35</v>
      </c>
      <c r="V342" s="19">
        <v>0</v>
      </c>
      <c r="W342" s="19">
        <v>0</v>
      </c>
      <c r="X342" s="19">
        <v>0</v>
      </c>
      <c r="Y342" s="19">
        <v>56.7</v>
      </c>
      <c r="Z342" s="19">
        <v>0</v>
      </c>
      <c r="AA342" s="19" t="s">
        <v>131</v>
      </c>
      <c r="AB342" s="19" t="s">
        <v>1572</v>
      </c>
      <c r="AC342" s="19">
        <v>400200</v>
      </c>
      <c r="AD342" s="19" t="s">
        <v>1092</v>
      </c>
      <c r="AE342" s="19">
        <v>1</v>
      </c>
      <c r="AF342" s="19">
        <v>0</v>
      </c>
      <c r="AG342" s="19" t="s">
        <v>1093</v>
      </c>
      <c r="AH342" s="19" t="s">
        <v>2319</v>
      </c>
    </row>
    <row r="343" spans="2:34" hidden="1" x14ac:dyDescent="0.35">
      <c r="B343" s="76">
        <v>46216</v>
      </c>
      <c r="C343" s="19" t="s">
        <v>130</v>
      </c>
      <c r="D343" s="19" t="s">
        <v>126</v>
      </c>
      <c r="E343" s="19" t="s">
        <v>506</v>
      </c>
      <c r="F343" s="19" t="s">
        <v>118</v>
      </c>
      <c r="G343" s="19">
        <v>1408</v>
      </c>
      <c r="H343" s="76">
        <v>46213</v>
      </c>
      <c r="I343" s="19" t="s">
        <v>102</v>
      </c>
      <c r="J343" s="19" t="s">
        <v>1570</v>
      </c>
      <c r="K343" s="19" t="s">
        <v>1127</v>
      </c>
      <c r="L343" s="19" t="s">
        <v>102</v>
      </c>
      <c r="M343" s="19" t="s">
        <v>1571</v>
      </c>
      <c r="N343" s="19">
        <v>1</v>
      </c>
      <c r="O343" s="19">
        <v>817.5</v>
      </c>
      <c r="P343" s="19" t="s">
        <v>1571</v>
      </c>
      <c r="Q343" s="19">
        <v>0</v>
      </c>
      <c r="R343" s="19">
        <v>9</v>
      </c>
      <c r="S343" s="19">
        <v>73.58</v>
      </c>
      <c r="T343" s="19">
        <v>9</v>
      </c>
      <c r="U343" s="19">
        <v>73.58</v>
      </c>
      <c r="V343" s="19">
        <v>0</v>
      </c>
      <c r="W343" s="19">
        <v>0</v>
      </c>
      <c r="X343" s="19">
        <v>0</v>
      </c>
      <c r="Y343" s="19">
        <v>147.16</v>
      </c>
      <c r="Z343" s="19">
        <v>0</v>
      </c>
      <c r="AA343" s="19" t="s">
        <v>131</v>
      </c>
      <c r="AB343" s="19" t="s">
        <v>1572</v>
      </c>
      <c r="AC343" s="19">
        <v>400200</v>
      </c>
      <c r="AD343" s="19" t="s">
        <v>1092</v>
      </c>
      <c r="AE343" s="19">
        <v>1</v>
      </c>
      <c r="AF343" s="19">
        <v>0</v>
      </c>
      <c r="AG343" s="19" t="s">
        <v>1093</v>
      </c>
      <c r="AH343" s="19" t="s">
        <v>2319</v>
      </c>
    </row>
    <row r="344" spans="2:34" hidden="1" x14ac:dyDescent="0.35">
      <c r="B344" s="76">
        <v>46216</v>
      </c>
      <c r="C344" s="19" t="s">
        <v>130</v>
      </c>
      <c r="D344" s="19" t="s">
        <v>126</v>
      </c>
      <c r="E344" s="19" t="s">
        <v>506</v>
      </c>
      <c r="F344" s="19" t="s">
        <v>118</v>
      </c>
      <c r="G344" s="19">
        <v>1408</v>
      </c>
      <c r="H344" s="76">
        <v>46213</v>
      </c>
      <c r="I344" s="19" t="s">
        <v>102</v>
      </c>
      <c r="J344" s="19" t="s">
        <v>1570</v>
      </c>
      <c r="K344" s="19" t="s">
        <v>1127</v>
      </c>
      <c r="L344" s="19" t="s">
        <v>102</v>
      </c>
      <c r="M344" s="19" t="s">
        <v>1571</v>
      </c>
      <c r="N344" s="19">
        <v>1</v>
      </c>
      <c r="O344" s="19">
        <v>997.5</v>
      </c>
      <c r="P344" s="19" t="s">
        <v>1571</v>
      </c>
      <c r="Q344" s="19">
        <v>0</v>
      </c>
      <c r="R344" s="19">
        <v>9</v>
      </c>
      <c r="S344" s="19">
        <v>89.78</v>
      </c>
      <c r="T344" s="19">
        <v>9</v>
      </c>
      <c r="U344" s="19">
        <v>89.78</v>
      </c>
      <c r="V344" s="19">
        <v>0</v>
      </c>
      <c r="W344" s="19">
        <v>0</v>
      </c>
      <c r="X344" s="19">
        <v>0</v>
      </c>
      <c r="Y344" s="19">
        <v>179.56</v>
      </c>
      <c r="Z344" s="19">
        <v>0</v>
      </c>
      <c r="AA344" s="19" t="s">
        <v>131</v>
      </c>
      <c r="AB344" s="19" t="s">
        <v>1572</v>
      </c>
      <c r="AC344" s="19">
        <v>400200</v>
      </c>
      <c r="AD344" s="19" t="s">
        <v>1092</v>
      </c>
      <c r="AE344" s="19">
        <v>1</v>
      </c>
      <c r="AF344" s="19">
        <v>0</v>
      </c>
      <c r="AG344" s="19" t="s">
        <v>1093</v>
      </c>
      <c r="AH344" s="19" t="s">
        <v>2319</v>
      </c>
    </row>
    <row r="345" spans="2:34" hidden="1" x14ac:dyDescent="0.35">
      <c r="B345" s="76">
        <v>46216</v>
      </c>
      <c r="C345" s="19" t="s">
        <v>130</v>
      </c>
      <c r="D345" s="19" t="s">
        <v>126</v>
      </c>
      <c r="E345" s="19" t="s">
        <v>506</v>
      </c>
      <c r="F345" s="19" t="s">
        <v>118</v>
      </c>
      <c r="G345" s="19">
        <v>1408</v>
      </c>
      <c r="H345" s="76">
        <v>46213</v>
      </c>
      <c r="I345" s="19" t="s">
        <v>102</v>
      </c>
      <c r="J345" s="19" t="s">
        <v>1570</v>
      </c>
      <c r="K345" s="19" t="s">
        <v>1127</v>
      </c>
      <c r="L345" s="19" t="s">
        <v>102</v>
      </c>
      <c r="M345" s="19" t="s">
        <v>1571</v>
      </c>
      <c r="N345" s="19">
        <v>1</v>
      </c>
      <c r="O345" s="19">
        <v>404.6</v>
      </c>
      <c r="P345" s="19" t="s">
        <v>1571</v>
      </c>
      <c r="Q345" s="19">
        <v>0</v>
      </c>
      <c r="R345" s="19">
        <v>9</v>
      </c>
      <c r="S345" s="19">
        <v>36.409999999999997</v>
      </c>
      <c r="T345" s="19">
        <v>9</v>
      </c>
      <c r="U345" s="19">
        <v>36.409999999999997</v>
      </c>
      <c r="V345" s="19">
        <v>0</v>
      </c>
      <c r="W345" s="19">
        <v>0</v>
      </c>
      <c r="X345" s="19">
        <v>0</v>
      </c>
      <c r="Y345" s="19">
        <v>72.819999999999993</v>
      </c>
      <c r="Z345" s="19">
        <v>0</v>
      </c>
      <c r="AA345" s="19" t="s">
        <v>131</v>
      </c>
      <c r="AB345" s="19" t="s">
        <v>1572</v>
      </c>
      <c r="AC345" s="19">
        <v>400200</v>
      </c>
      <c r="AD345" s="19" t="s">
        <v>1092</v>
      </c>
      <c r="AE345" s="19">
        <v>1</v>
      </c>
      <c r="AF345" s="19">
        <v>0</v>
      </c>
      <c r="AG345" s="19" t="s">
        <v>1093</v>
      </c>
      <c r="AH345" s="19" t="s">
        <v>2319</v>
      </c>
    </row>
    <row r="346" spans="2:34" hidden="1" x14ac:dyDescent="0.35">
      <c r="B346" s="76">
        <v>46216</v>
      </c>
      <c r="C346" s="19" t="s">
        <v>522</v>
      </c>
      <c r="D346" s="19" t="s">
        <v>126</v>
      </c>
      <c r="E346" s="19" t="s">
        <v>521</v>
      </c>
      <c r="F346" s="19" t="s">
        <v>121</v>
      </c>
      <c r="G346" s="19">
        <v>268</v>
      </c>
      <c r="H346" s="76">
        <v>46211</v>
      </c>
      <c r="I346" s="19" t="s">
        <v>105</v>
      </c>
      <c r="J346" s="19" t="s">
        <v>1579</v>
      </c>
      <c r="K346" s="19" t="s">
        <v>1127</v>
      </c>
      <c r="L346" s="19" t="s">
        <v>1389</v>
      </c>
      <c r="M346" s="19" t="s">
        <v>1768</v>
      </c>
      <c r="N346" s="19">
        <v>10</v>
      </c>
      <c r="O346" s="19">
        <v>3700</v>
      </c>
      <c r="P346" s="19" t="s">
        <v>1768</v>
      </c>
      <c r="Q346" s="19">
        <v>4543</v>
      </c>
      <c r="R346" s="19">
        <v>0</v>
      </c>
      <c r="S346" s="19">
        <v>0</v>
      </c>
      <c r="T346" s="19">
        <v>0</v>
      </c>
      <c r="U346" s="19">
        <v>0</v>
      </c>
      <c r="V346" s="19">
        <v>18</v>
      </c>
      <c r="W346" s="19">
        <v>666</v>
      </c>
      <c r="X346" s="19">
        <v>27</v>
      </c>
      <c r="Y346" s="19">
        <v>693</v>
      </c>
      <c r="Z346" s="19">
        <v>0</v>
      </c>
      <c r="AA346" s="19" t="s">
        <v>523</v>
      </c>
      <c r="AB346" s="19" t="s">
        <v>1672</v>
      </c>
      <c r="AC346" s="19">
        <v>844849</v>
      </c>
      <c r="AD346" s="19" t="s">
        <v>1092</v>
      </c>
      <c r="AE346" s="19">
        <v>1</v>
      </c>
      <c r="AF346" s="19">
        <v>0</v>
      </c>
      <c r="AG346" s="19" t="s">
        <v>1093</v>
      </c>
      <c r="AH346" s="19" t="s">
        <v>2319</v>
      </c>
    </row>
    <row r="347" spans="2:34" hidden="1" x14ac:dyDescent="0.35">
      <c r="B347" s="76">
        <v>46216</v>
      </c>
      <c r="C347" s="19" t="s">
        <v>496</v>
      </c>
      <c r="D347" s="19" t="s">
        <v>126</v>
      </c>
      <c r="E347" s="19" t="s">
        <v>494</v>
      </c>
      <c r="F347" s="19" t="s">
        <v>118</v>
      </c>
      <c r="G347" s="19" t="s">
        <v>495</v>
      </c>
      <c r="H347" s="76">
        <v>46198</v>
      </c>
      <c r="I347" s="19" t="s">
        <v>57</v>
      </c>
      <c r="J347" s="19" t="s">
        <v>29</v>
      </c>
      <c r="K347" s="19" t="s">
        <v>29</v>
      </c>
      <c r="L347" s="19" t="s">
        <v>102</v>
      </c>
      <c r="M347" s="19" t="s">
        <v>1769</v>
      </c>
      <c r="N347" s="19">
        <v>990</v>
      </c>
      <c r="O347" s="19">
        <v>11325.6</v>
      </c>
      <c r="P347" s="19" t="s">
        <v>1769</v>
      </c>
      <c r="Q347" s="19">
        <v>12012</v>
      </c>
      <c r="R347" s="19">
        <v>2.5</v>
      </c>
      <c r="S347" s="19">
        <v>283.14</v>
      </c>
      <c r="T347" s="19">
        <v>2.5</v>
      </c>
      <c r="U347" s="19">
        <v>283.14</v>
      </c>
      <c r="V347" s="19">
        <v>0</v>
      </c>
      <c r="W347" s="19">
        <v>0</v>
      </c>
      <c r="X347" s="19">
        <v>0</v>
      </c>
      <c r="Y347" s="19">
        <v>566.28</v>
      </c>
      <c r="Z347" s="19">
        <v>0</v>
      </c>
      <c r="AA347" s="19" t="s">
        <v>497</v>
      </c>
      <c r="AB347" s="19" t="s">
        <v>1654</v>
      </c>
      <c r="AC347" s="19">
        <v>58061000</v>
      </c>
      <c r="AD347" s="19" t="s">
        <v>1092</v>
      </c>
      <c r="AE347" s="19">
        <v>1</v>
      </c>
      <c r="AF347" s="19">
        <v>990</v>
      </c>
      <c r="AG347" s="19" t="s">
        <v>1093</v>
      </c>
      <c r="AH347" s="19" t="s">
        <v>2319</v>
      </c>
    </row>
    <row r="348" spans="2:34" hidden="1" x14ac:dyDescent="0.35">
      <c r="B348" s="76">
        <v>46216</v>
      </c>
      <c r="C348" s="19" t="s">
        <v>496</v>
      </c>
      <c r="D348" s="19" t="s">
        <v>126</v>
      </c>
      <c r="E348" s="19" t="s">
        <v>494</v>
      </c>
      <c r="F348" s="19" t="s">
        <v>118</v>
      </c>
      <c r="G348" s="19" t="s">
        <v>495</v>
      </c>
      <c r="H348" s="76">
        <v>46198</v>
      </c>
      <c r="I348" s="19" t="s">
        <v>57</v>
      </c>
      <c r="J348" s="19" t="s">
        <v>29</v>
      </c>
      <c r="K348" s="19" t="s">
        <v>29</v>
      </c>
      <c r="L348" s="19" t="s">
        <v>102</v>
      </c>
      <c r="M348" s="19" t="s">
        <v>1770</v>
      </c>
      <c r="N348" s="19">
        <v>10</v>
      </c>
      <c r="O348" s="19">
        <v>57.2</v>
      </c>
      <c r="P348" s="19" t="s">
        <v>1770</v>
      </c>
      <c r="Q348" s="19">
        <v>0</v>
      </c>
      <c r="R348" s="19">
        <v>2.5</v>
      </c>
      <c r="S348" s="19">
        <v>1.43</v>
      </c>
      <c r="T348" s="19">
        <v>2.5</v>
      </c>
      <c r="U348" s="19">
        <v>1.43</v>
      </c>
      <c r="V348" s="19">
        <v>0</v>
      </c>
      <c r="W348" s="19">
        <v>0</v>
      </c>
      <c r="X348" s="19">
        <v>0</v>
      </c>
      <c r="Y348" s="19">
        <v>2.86</v>
      </c>
      <c r="Z348" s="19">
        <v>0</v>
      </c>
      <c r="AA348" s="19" t="s">
        <v>497</v>
      </c>
      <c r="AB348" s="19" t="s">
        <v>1654</v>
      </c>
      <c r="AC348" s="19">
        <v>580610</v>
      </c>
      <c r="AD348" s="19" t="s">
        <v>1092</v>
      </c>
      <c r="AE348" s="19">
        <v>1</v>
      </c>
      <c r="AF348" s="19">
        <v>10</v>
      </c>
      <c r="AG348" s="19" t="s">
        <v>1093</v>
      </c>
      <c r="AH348" s="19" t="s">
        <v>2319</v>
      </c>
    </row>
    <row r="349" spans="2:34" hidden="1" x14ac:dyDescent="0.35">
      <c r="B349" s="76">
        <v>46216</v>
      </c>
      <c r="C349" s="19" t="s">
        <v>496</v>
      </c>
      <c r="D349" s="19" t="s">
        <v>126</v>
      </c>
      <c r="E349" s="19" t="s">
        <v>494</v>
      </c>
      <c r="F349" s="19" t="s">
        <v>118</v>
      </c>
      <c r="G349" s="19" t="s">
        <v>495</v>
      </c>
      <c r="H349" s="76">
        <v>46198</v>
      </c>
      <c r="I349" s="19" t="s">
        <v>57</v>
      </c>
      <c r="J349" s="19" t="s">
        <v>29</v>
      </c>
      <c r="K349" s="19" t="s">
        <v>29</v>
      </c>
      <c r="L349" s="19" t="s">
        <v>102</v>
      </c>
      <c r="M349" s="19" t="s">
        <v>1771</v>
      </c>
      <c r="N349" s="19">
        <v>10</v>
      </c>
      <c r="O349" s="19">
        <v>57.2</v>
      </c>
      <c r="P349" s="19" t="s">
        <v>1771</v>
      </c>
      <c r="Q349" s="19">
        <v>0</v>
      </c>
      <c r="R349" s="19">
        <v>2.5</v>
      </c>
      <c r="S349" s="19">
        <v>1.43</v>
      </c>
      <c r="T349" s="19">
        <v>2.5</v>
      </c>
      <c r="U349" s="19">
        <v>1.43</v>
      </c>
      <c r="V349" s="19">
        <v>0</v>
      </c>
      <c r="W349" s="19">
        <v>0</v>
      </c>
      <c r="X349" s="19">
        <v>0</v>
      </c>
      <c r="Y349" s="19">
        <v>2.86</v>
      </c>
      <c r="Z349" s="19">
        <v>0</v>
      </c>
      <c r="AA349" s="19" t="s">
        <v>497</v>
      </c>
      <c r="AB349" s="19" t="s">
        <v>1654</v>
      </c>
      <c r="AC349" s="19">
        <v>580610</v>
      </c>
      <c r="AD349" s="19" t="s">
        <v>1092</v>
      </c>
      <c r="AE349" s="19">
        <v>1</v>
      </c>
      <c r="AF349" s="19">
        <v>10</v>
      </c>
      <c r="AG349" s="19" t="s">
        <v>1093</v>
      </c>
      <c r="AH349" s="19" t="s">
        <v>2319</v>
      </c>
    </row>
    <row r="350" spans="2:34" hidden="1" x14ac:dyDescent="0.35">
      <c r="B350" s="76">
        <v>46217</v>
      </c>
      <c r="C350" s="19" t="s">
        <v>237</v>
      </c>
      <c r="D350" s="19" t="s">
        <v>126</v>
      </c>
      <c r="E350" s="19" t="s">
        <v>548</v>
      </c>
      <c r="F350" s="19" t="s">
        <v>118</v>
      </c>
      <c r="G350" s="19">
        <v>323</v>
      </c>
      <c r="H350" s="76">
        <v>46215</v>
      </c>
      <c r="I350" s="19" t="s">
        <v>36</v>
      </c>
      <c r="J350" s="19" t="s">
        <v>1350</v>
      </c>
      <c r="K350" s="19" t="s">
        <v>39</v>
      </c>
      <c r="L350" s="19" t="s">
        <v>102</v>
      </c>
      <c r="M350" s="19" t="s">
        <v>1603</v>
      </c>
      <c r="N350" s="19">
        <f>AF350</f>
        <v>9.1999999999999993</v>
      </c>
      <c r="O350" s="19">
        <v>3640</v>
      </c>
      <c r="P350" s="19" t="s">
        <v>1603</v>
      </c>
      <c r="Q350" s="19">
        <v>32819</v>
      </c>
      <c r="R350" s="19">
        <v>9</v>
      </c>
      <c r="S350" s="19">
        <v>327.60000000000002</v>
      </c>
      <c r="T350" s="19">
        <v>9</v>
      </c>
      <c r="U350" s="19">
        <v>327.60000000000002</v>
      </c>
      <c r="V350" s="19">
        <v>0</v>
      </c>
      <c r="W350" s="19">
        <v>0</v>
      </c>
      <c r="X350" s="19">
        <v>90</v>
      </c>
      <c r="Y350" s="19">
        <v>745.2</v>
      </c>
      <c r="Z350" s="19">
        <v>0</v>
      </c>
      <c r="AA350" s="19" t="s">
        <v>238</v>
      </c>
      <c r="AB350" s="19" t="s">
        <v>1289</v>
      </c>
      <c r="AC350" s="19">
        <v>392300</v>
      </c>
      <c r="AD350" s="19" t="s">
        <v>1092</v>
      </c>
      <c r="AE350" s="19">
        <v>1</v>
      </c>
      <c r="AF350" s="19">
        <v>9.1999999999999993</v>
      </c>
      <c r="AG350" s="19"/>
      <c r="AH350" s="19" t="s">
        <v>2319</v>
      </c>
    </row>
    <row r="351" spans="2:34" hidden="1" x14ac:dyDescent="0.35">
      <c r="B351" s="76">
        <v>46217</v>
      </c>
      <c r="C351" s="19" t="s">
        <v>237</v>
      </c>
      <c r="D351" s="19" t="s">
        <v>126</v>
      </c>
      <c r="E351" s="19" t="s">
        <v>548</v>
      </c>
      <c r="F351" s="19" t="s">
        <v>118</v>
      </c>
      <c r="G351" s="19">
        <v>323</v>
      </c>
      <c r="H351" s="76">
        <v>46215</v>
      </c>
      <c r="I351" s="19" t="s">
        <v>36</v>
      </c>
      <c r="J351" s="19" t="s">
        <v>1350</v>
      </c>
      <c r="K351" s="19" t="s">
        <v>39</v>
      </c>
      <c r="L351" s="19" t="s">
        <v>102</v>
      </c>
      <c r="M351" s="19" t="s">
        <v>1603</v>
      </c>
      <c r="N351" s="19">
        <f t="shared" ref="N351:N354" si="15">AF351</f>
        <v>5.0999999999999996</v>
      </c>
      <c r="O351" s="19">
        <v>2207.5</v>
      </c>
      <c r="P351" s="19" t="s">
        <v>1603</v>
      </c>
      <c r="Q351" s="19">
        <v>0</v>
      </c>
      <c r="R351" s="19">
        <v>9</v>
      </c>
      <c r="S351" s="19">
        <v>198.67500000000001</v>
      </c>
      <c r="T351" s="19">
        <v>9</v>
      </c>
      <c r="U351" s="19">
        <v>198.67500000000001</v>
      </c>
      <c r="V351" s="19">
        <v>0</v>
      </c>
      <c r="W351" s="19">
        <v>0</v>
      </c>
      <c r="X351" s="19">
        <v>90</v>
      </c>
      <c r="Y351" s="19">
        <v>487.35</v>
      </c>
      <c r="Z351" s="19">
        <v>0</v>
      </c>
      <c r="AA351" s="19" t="s">
        <v>238</v>
      </c>
      <c r="AB351" s="19" t="s">
        <v>1289</v>
      </c>
      <c r="AC351" s="19">
        <v>392300</v>
      </c>
      <c r="AD351" s="19" t="s">
        <v>1092</v>
      </c>
      <c r="AE351" s="19">
        <v>1</v>
      </c>
      <c r="AF351" s="19">
        <v>5.0999999999999996</v>
      </c>
      <c r="AG351" s="19"/>
      <c r="AH351" s="19" t="s">
        <v>2319</v>
      </c>
    </row>
    <row r="352" spans="2:34" hidden="1" x14ac:dyDescent="0.35">
      <c r="B352" s="76">
        <v>46217</v>
      </c>
      <c r="C352" s="19" t="s">
        <v>237</v>
      </c>
      <c r="D352" s="19" t="s">
        <v>126</v>
      </c>
      <c r="E352" s="19" t="s">
        <v>548</v>
      </c>
      <c r="F352" s="19" t="s">
        <v>118</v>
      </c>
      <c r="G352" s="19">
        <v>323</v>
      </c>
      <c r="H352" s="76">
        <v>46215</v>
      </c>
      <c r="I352" s="19" t="s">
        <v>36</v>
      </c>
      <c r="J352" s="19" t="s">
        <v>1350</v>
      </c>
      <c r="K352" s="19" t="s">
        <v>39</v>
      </c>
      <c r="L352" s="19" t="s">
        <v>102</v>
      </c>
      <c r="M352" s="19" t="s">
        <v>1603</v>
      </c>
      <c r="N352" s="19">
        <f t="shared" si="15"/>
        <v>23.2</v>
      </c>
      <c r="O352" s="19">
        <v>8250</v>
      </c>
      <c r="P352" s="19" t="s">
        <v>1603</v>
      </c>
      <c r="Q352" s="19">
        <v>0</v>
      </c>
      <c r="R352" s="19">
        <v>9</v>
      </c>
      <c r="S352" s="19">
        <v>742.5</v>
      </c>
      <c r="T352" s="19">
        <v>9</v>
      </c>
      <c r="U352" s="19">
        <v>742.5</v>
      </c>
      <c r="V352" s="19">
        <v>0</v>
      </c>
      <c r="W352" s="19">
        <v>0</v>
      </c>
      <c r="X352" s="19">
        <v>90</v>
      </c>
      <c r="Y352" s="19">
        <v>1575</v>
      </c>
      <c r="Z352" s="19">
        <v>0</v>
      </c>
      <c r="AA352" s="19" t="s">
        <v>238</v>
      </c>
      <c r="AB352" s="19" t="s">
        <v>1289</v>
      </c>
      <c r="AC352" s="19">
        <v>392300</v>
      </c>
      <c r="AD352" s="19" t="s">
        <v>1092</v>
      </c>
      <c r="AE352" s="19">
        <v>1</v>
      </c>
      <c r="AF352" s="19">
        <v>23.2</v>
      </c>
      <c r="AG352" s="19"/>
      <c r="AH352" s="19" t="s">
        <v>2319</v>
      </c>
    </row>
    <row r="353" spans="2:34" hidden="1" x14ac:dyDescent="0.35">
      <c r="B353" s="76">
        <v>46217</v>
      </c>
      <c r="C353" s="19" t="s">
        <v>237</v>
      </c>
      <c r="D353" s="19" t="s">
        <v>126</v>
      </c>
      <c r="E353" s="19" t="s">
        <v>548</v>
      </c>
      <c r="F353" s="19" t="s">
        <v>118</v>
      </c>
      <c r="G353" s="19">
        <v>323</v>
      </c>
      <c r="H353" s="76">
        <v>46215</v>
      </c>
      <c r="I353" s="19" t="s">
        <v>36</v>
      </c>
      <c r="J353" s="19" t="s">
        <v>1350</v>
      </c>
      <c r="K353" s="19" t="s">
        <v>39</v>
      </c>
      <c r="L353" s="19" t="s">
        <v>102</v>
      </c>
      <c r="M353" s="19" t="s">
        <v>1603</v>
      </c>
      <c r="N353" s="19">
        <f t="shared" si="15"/>
        <v>7</v>
      </c>
      <c r="O353" s="19">
        <v>3995</v>
      </c>
      <c r="P353" s="19" t="s">
        <v>1603</v>
      </c>
      <c r="Q353" s="19">
        <v>0</v>
      </c>
      <c r="R353" s="19">
        <v>9</v>
      </c>
      <c r="S353" s="19">
        <v>359.55</v>
      </c>
      <c r="T353" s="19">
        <v>9</v>
      </c>
      <c r="U353" s="19">
        <v>359.55</v>
      </c>
      <c r="V353" s="19">
        <v>0</v>
      </c>
      <c r="W353" s="19">
        <v>0</v>
      </c>
      <c r="X353" s="19">
        <v>90</v>
      </c>
      <c r="Y353" s="19">
        <v>809.1</v>
      </c>
      <c r="Z353" s="19">
        <v>0</v>
      </c>
      <c r="AA353" s="19" t="s">
        <v>238</v>
      </c>
      <c r="AB353" s="19" t="s">
        <v>1289</v>
      </c>
      <c r="AC353" s="19">
        <v>392300</v>
      </c>
      <c r="AD353" s="19" t="s">
        <v>1092</v>
      </c>
      <c r="AE353" s="19">
        <v>1</v>
      </c>
      <c r="AF353" s="19">
        <v>7</v>
      </c>
      <c r="AG353" s="19"/>
      <c r="AH353" s="19" t="s">
        <v>2319</v>
      </c>
    </row>
    <row r="354" spans="2:34" hidden="1" x14ac:dyDescent="0.35">
      <c r="B354" s="76">
        <v>46217</v>
      </c>
      <c r="C354" s="19" t="s">
        <v>237</v>
      </c>
      <c r="D354" s="19" t="s">
        <v>126</v>
      </c>
      <c r="E354" s="19" t="s">
        <v>548</v>
      </c>
      <c r="F354" s="19" t="s">
        <v>118</v>
      </c>
      <c r="G354" s="19">
        <v>323</v>
      </c>
      <c r="H354" s="76">
        <v>46215</v>
      </c>
      <c r="I354" s="19" t="s">
        <v>36</v>
      </c>
      <c r="J354" s="19" t="s">
        <v>1350</v>
      </c>
      <c r="K354" s="19" t="s">
        <v>39</v>
      </c>
      <c r="L354" s="19" t="s">
        <v>102</v>
      </c>
      <c r="M354" s="19" t="s">
        <v>1603</v>
      </c>
      <c r="N354" s="19">
        <f t="shared" si="15"/>
        <v>11.8</v>
      </c>
      <c r="O354" s="19">
        <v>4080</v>
      </c>
      <c r="P354" s="19" t="s">
        <v>1603</v>
      </c>
      <c r="Q354" s="19">
        <v>0</v>
      </c>
      <c r="R354" s="19">
        <v>9</v>
      </c>
      <c r="S354" s="19">
        <v>367.2</v>
      </c>
      <c r="T354" s="19">
        <v>9</v>
      </c>
      <c r="U354" s="19">
        <v>367.2</v>
      </c>
      <c r="V354" s="19">
        <v>0</v>
      </c>
      <c r="W354" s="19">
        <v>0</v>
      </c>
      <c r="X354" s="19">
        <v>90</v>
      </c>
      <c r="Y354" s="19">
        <v>824.4</v>
      </c>
      <c r="Z354" s="19">
        <v>0</v>
      </c>
      <c r="AA354" s="19" t="s">
        <v>238</v>
      </c>
      <c r="AB354" s="19" t="s">
        <v>1289</v>
      </c>
      <c r="AC354" s="19">
        <v>392300</v>
      </c>
      <c r="AD354" s="19" t="s">
        <v>1092</v>
      </c>
      <c r="AE354" s="19">
        <v>1</v>
      </c>
      <c r="AF354" s="19">
        <v>11.8</v>
      </c>
      <c r="AG354" s="19"/>
      <c r="AH354" s="19" t="s">
        <v>2319</v>
      </c>
    </row>
    <row r="355" spans="2:34" hidden="1" x14ac:dyDescent="0.35">
      <c r="B355" s="76">
        <v>46217</v>
      </c>
      <c r="C355" s="19" t="s">
        <v>237</v>
      </c>
      <c r="D355" s="19" t="s">
        <v>126</v>
      </c>
      <c r="E355" s="19" t="s">
        <v>548</v>
      </c>
      <c r="F355" s="19" t="s">
        <v>118</v>
      </c>
      <c r="G355" s="19">
        <v>323</v>
      </c>
      <c r="H355" s="76">
        <v>46215</v>
      </c>
      <c r="I355" s="19" t="s">
        <v>36</v>
      </c>
      <c r="J355" s="19" t="s">
        <v>1350</v>
      </c>
      <c r="K355" s="19" t="s">
        <v>39</v>
      </c>
      <c r="L355" s="19" t="s">
        <v>102</v>
      </c>
      <c r="M355" s="19" t="s">
        <v>1603</v>
      </c>
      <c r="N355" s="19">
        <f>AF355</f>
        <v>17.8</v>
      </c>
      <c r="O355" s="19">
        <v>3780</v>
      </c>
      <c r="P355" s="19" t="s">
        <v>1603</v>
      </c>
      <c r="Q355" s="19">
        <v>0</v>
      </c>
      <c r="R355" s="19">
        <v>9</v>
      </c>
      <c r="S355" s="19">
        <v>340.2</v>
      </c>
      <c r="T355" s="19">
        <v>9</v>
      </c>
      <c r="U355" s="19">
        <v>340.2</v>
      </c>
      <c r="V355" s="19">
        <v>0</v>
      </c>
      <c r="W355" s="19">
        <v>0</v>
      </c>
      <c r="X355" s="19">
        <v>90</v>
      </c>
      <c r="Y355" s="19">
        <v>770.4</v>
      </c>
      <c r="Z355" s="19">
        <v>0</v>
      </c>
      <c r="AA355" s="19" t="s">
        <v>238</v>
      </c>
      <c r="AB355" s="19" t="s">
        <v>1289</v>
      </c>
      <c r="AC355" s="19">
        <v>392300</v>
      </c>
      <c r="AD355" s="19" t="s">
        <v>1092</v>
      </c>
      <c r="AE355" s="19">
        <v>1</v>
      </c>
      <c r="AF355" s="19">
        <v>17.8</v>
      </c>
      <c r="AG355" s="19"/>
      <c r="AH355" s="19" t="s">
        <v>2319</v>
      </c>
    </row>
    <row r="356" spans="2:34" hidden="1" x14ac:dyDescent="0.35">
      <c r="B356" s="76">
        <v>46217</v>
      </c>
      <c r="C356" s="19" t="s">
        <v>237</v>
      </c>
      <c r="D356" s="19" t="s">
        <v>126</v>
      </c>
      <c r="E356" s="19" t="s">
        <v>548</v>
      </c>
      <c r="F356" s="19" t="s">
        <v>118</v>
      </c>
      <c r="G356" s="19">
        <v>323</v>
      </c>
      <c r="H356" s="76">
        <v>46215</v>
      </c>
      <c r="I356" s="19" t="s">
        <v>36</v>
      </c>
      <c r="J356" s="19" t="s">
        <v>1350</v>
      </c>
      <c r="K356" s="19" t="s">
        <v>39</v>
      </c>
      <c r="L356" s="19" t="s">
        <v>102</v>
      </c>
      <c r="M356" s="19" t="s">
        <v>1603</v>
      </c>
      <c r="N356" s="19">
        <f>AF356</f>
        <v>0.66</v>
      </c>
      <c r="O356" s="19">
        <v>1360</v>
      </c>
      <c r="P356" s="19" t="s">
        <v>1603</v>
      </c>
      <c r="Q356" s="19">
        <v>0</v>
      </c>
      <c r="R356" s="19">
        <v>9</v>
      </c>
      <c r="S356" s="19">
        <v>122.4</v>
      </c>
      <c r="T356" s="19">
        <v>9</v>
      </c>
      <c r="U356" s="19">
        <v>122.4</v>
      </c>
      <c r="V356" s="19">
        <v>0</v>
      </c>
      <c r="W356" s="19">
        <v>0</v>
      </c>
      <c r="X356" s="19">
        <v>90</v>
      </c>
      <c r="Y356" s="19">
        <v>334.8</v>
      </c>
      <c r="Z356" s="19">
        <v>0</v>
      </c>
      <c r="AA356" s="19" t="s">
        <v>238</v>
      </c>
      <c r="AB356" s="19" t="s">
        <v>1289</v>
      </c>
      <c r="AC356" s="19">
        <v>392300</v>
      </c>
      <c r="AD356" s="19" t="s">
        <v>1092</v>
      </c>
      <c r="AE356" s="19">
        <v>1</v>
      </c>
      <c r="AF356" s="19">
        <v>0.66</v>
      </c>
      <c r="AG356" s="19"/>
      <c r="AH356" s="19" t="s">
        <v>2319</v>
      </c>
    </row>
    <row r="357" spans="2:34" hidden="1" x14ac:dyDescent="0.35">
      <c r="B357" s="76">
        <v>46217</v>
      </c>
      <c r="C357" s="19" t="s">
        <v>208</v>
      </c>
      <c r="D357" s="19" t="s">
        <v>126</v>
      </c>
      <c r="E357" s="19" t="s">
        <v>547</v>
      </c>
      <c r="F357" s="19" t="s">
        <v>121</v>
      </c>
      <c r="G357" s="19">
        <v>13548</v>
      </c>
      <c r="H357" s="76">
        <v>46211</v>
      </c>
      <c r="I357" s="19" t="s">
        <v>105</v>
      </c>
      <c r="J357" s="19" t="s">
        <v>1579</v>
      </c>
      <c r="K357" s="19" t="s">
        <v>1127</v>
      </c>
      <c r="L357" s="19" t="s">
        <v>102</v>
      </c>
      <c r="M357" s="19" t="s">
        <v>1772</v>
      </c>
      <c r="N357" s="19">
        <v>15.5</v>
      </c>
      <c r="O357" s="19">
        <v>2790</v>
      </c>
      <c r="P357" s="19" t="s">
        <v>1772</v>
      </c>
      <c r="Q357" s="19">
        <v>4189.5</v>
      </c>
      <c r="R357" s="19">
        <v>0</v>
      </c>
      <c r="S357" s="19">
        <v>0</v>
      </c>
      <c r="T357" s="19">
        <v>0</v>
      </c>
      <c r="U357" s="19">
        <v>0</v>
      </c>
      <c r="V357" s="19">
        <v>5</v>
      </c>
      <c r="W357" s="19">
        <v>139.5</v>
      </c>
      <c r="X357" s="19">
        <v>60</v>
      </c>
      <c r="Y357" s="19">
        <v>199.5</v>
      </c>
      <c r="Z357" s="19">
        <v>0</v>
      </c>
      <c r="AA357" s="19" t="s">
        <v>209</v>
      </c>
      <c r="AB357" s="19" t="s">
        <v>1091</v>
      </c>
      <c r="AC357" s="19">
        <v>844810</v>
      </c>
      <c r="AD357" s="19" t="s">
        <v>1092</v>
      </c>
      <c r="AE357" s="19">
        <v>1</v>
      </c>
      <c r="AF357" s="19">
        <v>0</v>
      </c>
      <c r="AG357" s="19" t="s">
        <v>1093</v>
      </c>
      <c r="AH357" s="19" t="s">
        <v>2319</v>
      </c>
    </row>
    <row r="358" spans="2:34" x14ac:dyDescent="0.35">
      <c r="B358" s="76">
        <v>46217</v>
      </c>
      <c r="C358" s="19" t="s">
        <v>580</v>
      </c>
      <c r="D358" s="19" t="s">
        <v>173</v>
      </c>
      <c r="E358" s="19" t="s">
        <v>579</v>
      </c>
      <c r="F358" s="19" t="s">
        <v>123</v>
      </c>
      <c r="G358" s="19" t="s">
        <v>1773</v>
      </c>
      <c r="H358" s="76">
        <v>46217</v>
      </c>
      <c r="I358" s="19" t="s">
        <v>28</v>
      </c>
      <c r="J358" s="19" t="s">
        <v>1173</v>
      </c>
      <c r="K358" s="19" t="s">
        <v>32</v>
      </c>
      <c r="L358" s="19" t="s">
        <v>1688</v>
      </c>
      <c r="M358" s="19" t="s">
        <v>1774</v>
      </c>
      <c r="N358" s="19">
        <v>28000</v>
      </c>
      <c r="O358" s="19">
        <v>3476200</v>
      </c>
      <c r="P358" s="19" t="s">
        <v>1774</v>
      </c>
      <c r="Q358" s="19">
        <v>4098439.8</v>
      </c>
      <c r="R358" s="19">
        <v>9</v>
      </c>
      <c r="S358" s="19">
        <v>312858</v>
      </c>
      <c r="T358" s="19">
        <v>9</v>
      </c>
      <c r="U358" s="19">
        <v>312858</v>
      </c>
      <c r="V358" s="19">
        <v>0</v>
      </c>
      <c r="W358" s="19">
        <v>0</v>
      </c>
      <c r="X358" s="19">
        <v>0</v>
      </c>
      <c r="Y358" s="19">
        <v>625716</v>
      </c>
      <c r="Z358" s="19">
        <v>0</v>
      </c>
      <c r="AA358" s="19" t="s">
        <v>581</v>
      </c>
      <c r="AB358" s="19" t="s">
        <v>1289</v>
      </c>
      <c r="AC358" s="19">
        <v>39014000</v>
      </c>
      <c r="AD358" s="19" t="s">
        <v>1092</v>
      </c>
      <c r="AE358" s="19">
        <v>1</v>
      </c>
      <c r="AF358" s="19">
        <v>28000</v>
      </c>
      <c r="AG358" s="19" t="s">
        <v>1093</v>
      </c>
      <c r="AH358" s="19" t="s">
        <v>32</v>
      </c>
    </row>
    <row r="359" spans="2:34" hidden="1" x14ac:dyDescent="0.35">
      <c r="B359" s="76">
        <v>46217</v>
      </c>
      <c r="C359" s="19" t="s">
        <v>559</v>
      </c>
      <c r="D359" s="19" t="s">
        <v>126</v>
      </c>
      <c r="E359" s="19" t="s">
        <v>557</v>
      </c>
      <c r="F359" s="19" t="s">
        <v>118</v>
      </c>
      <c r="G359" s="19" t="s">
        <v>558</v>
      </c>
      <c r="H359" s="76">
        <v>46209</v>
      </c>
      <c r="I359" s="19" t="s">
        <v>105</v>
      </c>
      <c r="J359" s="19" t="s">
        <v>1775</v>
      </c>
      <c r="K359" s="19" t="s">
        <v>1127</v>
      </c>
      <c r="L359" s="19" t="s">
        <v>1389</v>
      </c>
      <c r="M359" s="19" t="s">
        <v>1776</v>
      </c>
      <c r="N359" s="19">
        <v>60</v>
      </c>
      <c r="O359" s="19">
        <v>14742</v>
      </c>
      <c r="P359" s="19" t="s">
        <v>1776</v>
      </c>
      <c r="Q359" s="19">
        <v>17396</v>
      </c>
      <c r="R359" s="19">
        <v>9</v>
      </c>
      <c r="S359" s="19">
        <v>1326.78</v>
      </c>
      <c r="T359" s="19">
        <v>9</v>
      </c>
      <c r="U359" s="19">
        <v>1326.78</v>
      </c>
      <c r="V359" s="19">
        <v>0</v>
      </c>
      <c r="W359" s="19">
        <v>0</v>
      </c>
      <c r="X359" s="19">
        <v>0</v>
      </c>
      <c r="Y359" s="19">
        <v>2653.56</v>
      </c>
      <c r="Z359" s="19">
        <v>0</v>
      </c>
      <c r="AA359" s="19" t="s">
        <v>560</v>
      </c>
      <c r="AB359" s="19" t="s">
        <v>1555</v>
      </c>
      <c r="AC359" s="19">
        <v>84836090</v>
      </c>
      <c r="AD359" s="19" t="s">
        <v>1092</v>
      </c>
      <c r="AE359" s="19">
        <v>1</v>
      </c>
      <c r="AF359" s="19">
        <v>0</v>
      </c>
      <c r="AG359" s="19" t="s">
        <v>1093</v>
      </c>
      <c r="AH359" s="19" t="s">
        <v>2319</v>
      </c>
    </row>
    <row r="360" spans="2:34" hidden="1" x14ac:dyDescent="0.35">
      <c r="B360" s="76">
        <v>46217</v>
      </c>
      <c r="C360" s="19" t="s">
        <v>553</v>
      </c>
      <c r="D360" s="19" t="s">
        <v>126</v>
      </c>
      <c r="E360" s="19" t="s">
        <v>551</v>
      </c>
      <c r="F360" s="19" t="s">
        <v>118</v>
      </c>
      <c r="G360" s="19" t="s">
        <v>552</v>
      </c>
      <c r="H360" s="76">
        <v>46213</v>
      </c>
      <c r="I360" s="19" t="s">
        <v>105</v>
      </c>
      <c r="J360" s="19" t="s">
        <v>1568</v>
      </c>
      <c r="K360" s="19" t="s">
        <v>1127</v>
      </c>
      <c r="L360" s="19" t="s">
        <v>1389</v>
      </c>
      <c r="M360" s="19" t="s">
        <v>1569</v>
      </c>
      <c r="N360" s="19">
        <v>100</v>
      </c>
      <c r="O360" s="19">
        <v>3300</v>
      </c>
      <c r="P360" s="19" t="s">
        <v>1569</v>
      </c>
      <c r="Q360" s="19">
        <v>3894</v>
      </c>
      <c r="R360" s="19">
        <v>9</v>
      </c>
      <c r="S360" s="19">
        <v>297</v>
      </c>
      <c r="T360" s="19">
        <v>9</v>
      </c>
      <c r="U360" s="19">
        <v>297</v>
      </c>
      <c r="V360" s="19">
        <v>0</v>
      </c>
      <c r="W360" s="19">
        <v>0</v>
      </c>
      <c r="X360" s="19">
        <v>0</v>
      </c>
      <c r="Y360" s="19">
        <v>594</v>
      </c>
      <c r="Z360" s="19">
        <v>0</v>
      </c>
      <c r="AA360" s="19" t="s">
        <v>554</v>
      </c>
      <c r="AB360" s="19" t="s">
        <v>1555</v>
      </c>
      <c r="AC360" s="19">
        <v>82130000</v>
      </c>
      <c r="AD360" s="19" t="s">
        <v>1092</v>
      </c>
      <c r="AE360" s="19">
        <v>1</v>
      </c>
      <c r="AF360" s="19">
        <v>0</v>
      </c>
      <c r="AG360" s="19" t="s">
        <v>1093</v>
      </c>
      <c r="AH360" s="19" t="s">
        <v>2319</v>
      </c>
    </row>
    <row r="361" spans="2:34" hidden="1" x14ac:dyDescent="0.35">
      <c r="B361" s="76">
        <v>46217</v>
      </c>
      <c r="C361" s="19" t="s">
        <v>565</v>
      </c>
      <c r="D361" s="19" t="s">
        <v>126</v>
      </c>
      <c r="E361" s="19" t="s">
        <v>563</v>
      </c>
      <c r="F361" s="19" t="s">
        <v>118</v>
      </c>
      <c r="G361" s="19" t="s">
        <v>564</v>
      </c>
      <c r="H361" s="76">
        <v>46211</v>
      </c>
      <c r="I361" s="19" t="s">
        <v>105</v>
      </c>
      <c r="J361" s="19" t="s">
        <v>1684</v>
      </c>
      <c r="K361" s="19" t="s">
        <v>1127</v>
      </c>
      <c r="L361" s="19" t="s">
        <v>1389</v>
      </c>
      <c r="M361" s="19" t="s">
        <v>1777</v>
      </c>
      <c r="N361" s="19">
        <v>4</v>
      </c>
      <c r="O361" s="19">
        <v>7924</v>
      </c>
      <c r="P361" s="19" t="s">
        <v>1777</v>
      </c>
      <c r="Q361" s="19">
        <v>22649</v>
      </c>
      <c r="R361" s="19">
        <v>9</v>
      </c>
      <c r="S361" s="19">
        <v>713.16</v>
      </c>
      <c r="T361" s="19">
        <v>9</v>
      </c>
      <c r="U361" s="19">
        <v>713.16</v>
      </c>
      <c r="V361" s="19">
        <v>0</v>
      </c>
      <c r="W361" s="19">
        <v>0</v>
      </c>
      <c r="X361" s="19">
        <v>0</v>
      </c>
      <c r="Y361" s="19">
        <v>1426.32</v>
      </c>
      <c r="Z361" s="19">
        <v>0</v>
      </c>
      <c r="AA361" s="19" t="s">
        <v>566</v>
      </c>
      <c r="AB361" s="19" t="s">
        <v>1572</v>
      </c>
      <c r="AC361" s="19">
        <v>84823000</v>
      </c>
      <c r="AD361" s="19" t="s">
        <v>1092</v>
      </c>
      <c r="AE361" s="19">
        <v>1</v>
      </c>
      <c r="AF361" s="19">
        <v>0</v>
      </c>
      <c r="AG361" s="19" t="s">
        <v>1093</v>
      </c>
      <c r="AH361" s="19" t="s">
        <v>2319</v>
      </c>
    </row>
    <row r="362" spans="2:34" hidden="1" x14ac:dyDescent="0.35">
      <c r="B362" s="76">
        <v>46217</v>
      </c>
      <c r="C362" s="19" t="s">
        <v>565</v>
      </c>
      <c r="D362" s="19" t="s">
        <v>126</v>
      </c>
      <c r="E362" s="19" t="s">
        <v>563</v>
      </c>
      <c r="F362" s="19" t="s">
        <v>118</v>
      </c>
      <c r="G362" s="19" t="s">
        <v>564</v>
      </c>
      <c r="H362" s="76">
        <v>46211</v>
      </c>
      <c r="I362" s="19" t="s">
        <v>105</v>
      </c>
      <c r="J362" s="19" t="s">
        <v>1684</v>
      </c>
      <c r="K362" s="19" t="s">
        <v>1127</v>
      </c>
      <c r="L362" s="19" t="s">
        <v>1389</v>
      </c>
      <c r="M362" s="19" t="s">
        <v>1778</v>
      </c>
      <c r="N362" s="19">
        <v>10</v>
      </c>
      <c r="O362" s="19">
        <v>5920</v>
      </c>
      <c r="P362" s="19" t="s">
        <v>1778</v>
      </c>
      <c r="Q362" s="19">
        <v>0</v>
      </c>
      <c r="R362" s="19">
        <v>9</v>
      </c>
      <c r="S362" s="19">
        <v>532.79999999999995</v>
      </c>
      <c r="T362" s="19">
        <v>9</v>
      </c>
      <c r="U362" s="19">
        <v>532.79999999999995</v>
      </c>
      <c r="V362" s="19">
        <v>0</v>
      </c>
      <c r="W362" s="19">
        <v>0</v>
      </c>
      <c r="X362" s="19">
        <v>0</v>
      </c>
      <c r="Y362" s="19">
        <v>1065.5999999999999</v>
      </c>
      <c r="Z362" s="19">
        <v>0</v>
      </c>
      <c r="AA362" s="19" t="s">
        <v>566</v>
      </c>
      <c r="AB362" s="19" t="s">
        <v>1572</v>
      </c>
      <c r="AC362" s="19">
        <v>84821011</v>
      </c>
      <c r="AD362" s="19" t="s">
        <v>1092</v>
      </c>
      <c r="AE362" s="19">
        <v>1</v>
      </c>
      <c r="AF362" s="19">
        <v>0</v>
      </c>
      <c r="AG362" s="19" t="s">
        <v>1093</v>
      </c>
      <c r="AH362" s="19" t="s">
        <v>2319</v>
      </c>
    </row>
    <row r="363" spans="2:34" hidden="1" x14ac:dyDescent="0.35">
      <c r="B363" s="76">
        <v>46217</v>
      </c>
      <c r="C363" s="19" t="s">
        <v>565</v>
      </c>
      <c r="D363" s="19" t="s">
        <v>126</v>
      </c>
      <c r="E363" s="19" t="s">
        <v>563</v>
      </c>
      <c r="F363" s="19" t="s">
        <v>118</v>
      </c>
      <c r="G363" s="19" t="s">
        <v>564</v>
      </c>
      <c r="H363" s="76">
        <v>46211</v>
      </c>
      <c r="I363" s="19" t="s">
        <v>105</v>
      </c>
      <c r="J363" s="19" t="s">
        <v>1684</v>
      </c>
      <c r="K363" s="19" t="s">
        <v>1127</v>
      </c>
      <c r="L363" s="19" t="s">
        <v>1389</v>
      </c>
      <c r="M363" s="19" t="s">
        <v>1779</v>
      </c>
      <c r="N363" s="19">
        <v>50</v>
      </c>
      <c r="O363" s="19">
        <v>1650</v>
      </c>
      <c r="P363" s="19" t="s">
        <v>1779</v>
      </c>
      <c r="Q363" s="19">
        <v>0</v>
      </c>
      <c r="R363" s="19">
        <v>9</v>
      </c>
      <c r="S363" s="19">
        <v>148.5</v>
      </c>
      <c r="T363" s="19">
        <v>9</v>
      </c>
      <c r="U363" s="19">
        <v>148.5</v>
      </c>
      <c r="V363" s="19">
        <v>0</v>
      </c>
      <c r="W363" s="19">
        <v>0</v>
      </c>
      <c r="X363" s="19">
        <v>0</v>
      </c>
      <c r="Y363" s="19">
        <v>297</v>
      </c>
      <c r="Z363" s="19">
        <v>0</v>
      </c>
      <c r="AA363" s="19" t="s">
        <v>566</v>
      </c>
      <c r="AB363" s="19" t="s">
        <v>1555</v>
      </c>
      <c r="AC363" s="19">
        <v>84821011</v>
      </c>
      <c r="AD363" s="19" t="s">
        <v>1092</v>
      </c>
      <c r="AE363" s="19">
        <v>1</v>
      </c>
      <c r="AF363" s="19">
        <v>0</v>
      </c>
      <c r="AG363" s="19" t="s">
        <v>1093</v>
      </c>
      <c r="AH363" s="19" t="s">
        <v>2319</v>
      </c>
    </row>
    <row r="364" spans="2:34" hidden="1" x14ac:dyDescent="0.35">
      <c r="B364" s="76">
        <v>46217</v>
      </c>
      <c r="C364" s="19" t="s">
        <v>565</v>
      </c>
      <c r="D364" s="19" t="s">
        <v>126</v>
      </c>
      <c r="E364" s="19" t="s">
        <v>563</v>
      </c>
      <c r="F364" s="19" t="s">
        <v>118</v>
      </c>
      <c r="G364" s="19" t="s">
        <v>564</v>
      </c>
      <c r="H364" s="76">
        <v>46211</v>
      </c>
      <c r="I364" s="19" t="s">
        <v>105</v>
      </c>
      <c r="J364" s="19" t="s">
        <v>1684</v>
      </c>
      <c r="K364" s="19" t="s">
        <v>1127</v>
      </c>
      <c r="L364" s="19" t="s">
        <v>1389</v>
      </c>
      <c r="M364" s="19" t="s">
        <v>1780</v>
      </c>
      <c r="N364" s="19">
        <v>50</v>
      </c>
      <c r="O364" s="19">
        <v>3700</v>
      </c>
      <c r="P364" s="19" t="s">
        <v>1780</v>
      </c>
      <c r="Q364" s="19">
        <v>0</v>
      </c>
      <c r="R364" s="19">
        <v>9</v>
      </c>
      <c r="S364" s="19">
        <v>333</v>
      </c>
      <c r="T364" s="19">
        <v>9</v>
      </c>
      <c r="U364" s="19">
        <v>333</v>
      </c>
      <c r="V364" s="19">
        <v>0</v>
      </c>
      <c r="W364" s="19">
        <v>0</v>
      </c>
      <c r="X364" s="19">
        <v>0</v>
      </c>
      <c r="Y364" s="19">
        <v>666</v>
      </c>
      <c r="Z364" s="19">
        <v>0</v>
      </c>
      <c r="AA364" s="19" t="s">
        <v>566</v>
      </c>
      <c r="AB364" s="19" t="s">
        <v>1555</v>
      </c>
      <c r="AC364" s="19">
        <v>84821011</v>
      </c>
      <c r="AD364" s="19" t="s">
        <v>1092</v>
      </c>
      <c r="AE364" s="19">
        <v>1</v>
      </c>
      <c r="AF364" s="19">
        <v>0</v>
      </c>
      <c r="AG364" s="19" t="s">
        <v>1093</v>
      </c>
      <c r="AH364" s="19" t="s">
        <v>2319</v>
      </c>
    </row>
    <row r="365" spans="2:34" hidden="1" x14ac:dyDescent="0.35">
      <c r="B365" s="76">
        <v>46217</v>
      </c>
      <c r="C365" s="19" t="s">
        <v>545</v>
      </c>
      <c r="D365" s="19" t="s">
        <v>126</v>
      </c>
      <c r="E365" s="19" t="s">
        <v>543</v>
      </c>
      <c r="F365" s="19" t="s">
        <v>118</v>
      </c>
      <c r="G365" s="19" t="s">
        <v>544</v>
      </c>
      <c r="H365" s="76">
        <v>46210</v>
      </c>
      <c r="I365" s="19" t="s">
        <v>102</v>
      </c>
      <c r="J365" s="19" t="s">
        <v>102</v>
      </c>
      <c r="K365" s="19" t="s">
        <v>1127</v>
      </c>
      <c r="L365" s="19" t="s">
        <v>102</v>
      </c>
      <c r="M365" s="19" t="s">
        <v>1730</v>
      </c>
      <c r="N365" s="19">
        <v>20000</v>
      </c>
      <c r="O365" s="19">
        <v>10000</v>
      </c>
      <c r="P365" s="19" t="s">
        <v>1730</v>
      </c>
      <c r="Q365" s="19">
        <v>10500</v>
      </c>
      <c r="R365" s="19">
        <v>2.5</v>
      </c>
      <c r="S365" s="19">
        <v>250</v>
      </c>
      <c r="T365" s="19">
        <v>2.5</v>
      </c>
      <c r="U365" s="19">
        <v>250</v>
      </c>
      <c r="V365" s="19">
        <v>0</v>
      </c>
      <c r="W365" s="19">
        <v>0</v>
      </c>
      <c r="X365" s="19">
        <v>0</v>
      </c>
      <c r="Y365" s="19">
        <v>500</v>
      </c>
      <c r="Z365" s="19">
        <v>0</v>
      </c>
      <c r="AA365" s="19" t="s">
        <v>546</v>
      </c>
      <c r="AB365" s="19" t="s">
        <v>1555</v>
      </c>
      <c r="AC365" s="19">
        <v>62104090</v>
      </c>
      <c r="AD365" s="19" t="s">
        <v>1092</v>
      </c>
      <c r="AE365" s="19">
        <v>1</v>
      </c>
      <c r="AF365" s="19">
        <v>0</v>
      </c>
      <c r="AG365" s="19" t="s">
        <v>1093</v>
      </c>
      <c r="AH365" s="19" t="s">
        <v>2319</v>
      </c>
    </row>
    <row r="366" spans="2:34" x14ac:dyDescent="0.35">
      <c r="B366" s="76">
        <v>46217</v>
      </c>
      <c r="C366" s="19" t="s">
        <v>585</v>
      </c>
      <c r="D366" s="19" t="s">
        <v>227</v>
      </c>
      <c r="E366" s="19" t="s">
        <v>583</v>
      </c>
      <c r="F366" s="19" t="s">
        <v>122</v>
      </c>
      <c r="G366" s="19" t="s">
        <v>584</v>
      </c>
      <c r="H366" s="76">
        <v>46101</v>
      </c>
      <c r="I366" s="19" t="s">
        <v>28</v>
      </c>
      <c r="J366" s="19" t="s">
        <v>1173</v>
      </c>
      <c r="K366" s="19" t="s">
        <v>34</v>
      </c>
      <c r="L366" s="19" t="s">
        <v>1105</v>
      </c>
      <c r="M366" s="19" t="s">
        <v>1339</v>
      </c>
      <c r="N366" s="19">
        <v>8000</v>
      </c>
      <c r="O366" s="19">
        <v>612800</v>
      </c>
      <c r="P366" s="19" t="s">
        <v>1339</v>
      </c>
      <c r="Q366" s="19">
        <v>612187.19999999995</v>
      </c>
      <c r="R366" s="19">
        <v>0</v>
      </c>
      <c r="S366" s="19">
        <v>0</v>
      </c>
      <c r="T366" s="19">
        <v>0</v>
      </c>
      <c r="U366" s="19">
        <v>0</v>
      </c>
      <c r="V366" s="19">
        <v>0</v>
      </c>
      <c r="W366" s="19">
        <v>0</v>
      </c>
      <c r="X366" s="19">
        <v>0</v>
      </c>
      <c r="Y366" s="19">
        <v>0</v>
      </c>
      <c r="Z366" s="19">
        <v>0</v>
      </c>
      <c r="AA366" s="19" t="s">
        <v>586</v>
      </c>
      <c r="AB366" s="19" t="s">
        <v>1289</v>
      </c>
      <c r="AC366" s="19">
        <v>39021000</v>
      </c>
      <c r="AD366" s="19" t="s">
        <v>1092</v>
      </c>
      <c r="AE366" s="19">
        <v>1</v>
      </c>
      <c r="AF366" s="19">
        <v>8000</v>
      </c>
      <c r="AG366" s="19" t="s">
        <v>1093</v>
      </c>
      <c r="AH366" s="19" t="s">
        <v>34</v>
      </c>
    </row>
    <row r="367" spans="2:34" hidden="1" x14ac:dyDescent="0.35">
      <c r="B367" s="76">
        <v>46217</v>
      </c>
      <c r="C367" s="19" t="s">
        <v>138</v>
      </c>
      <c r="D367" s="19" t="s">
        <v>7</v>
      </c>
      <c r="E367" s="19" t="s">
        <v>555</v>
      </c>
      <c r="F367" s="19" t="s">
        <v>119</v>
      </c>
      <c r="G367" s="19" t="s">
        <v>556</v>
      </c>
      <c r="H367" s="76">
        <v>46216</v>
      </c>
      <c r="I367" s="19" t="s">
        <v>105</v>
      </c>
      <c r="J367" s="19" t="s">
        <v>1142</v>
      </c>
      <c r="K367" s="19" t="s">
        <v>1509</v>
      </c>
      <c r="L367" s="19" t="s">
        <v>1509</v>
      </c>
      <c r="M367" s="19" t="s">
        <v>1196</v>
      </c>
      <c r="N367" s="19">
        <v>130</v>
      </c>
      <c r="O367" s="19">
        <v>6240</v>
      </c>
      <c r="P367" s="19" t="s">
        <v>1196</v>
      </c>
      <c r="Q367" s="19">
        <v>7356.96</v>
      </c>
      <c r="R367" s="19">
        <v>9</v>
      </c>
      <c r="S367" s="19">
        <v>561.6</v>
      </c>
      <c r="T367" s="19">
        <v>9</v>
      </c>
      <c r="U367" s="19">
        <v>561.6</v>
      </c>
      <c r="V367" s="19">
        <v>0</v>
      </c>
      <c r="W367" s="19">
        <v>0</v>
      </c>
      <c r="X367" s="19">
        <v>0</v>
      </c>
      <c r="Y367" s="19">
        <v>1123.2</v>
      </c>
      <c r="Z367" s="19">
        <v>0</v>
      </c>
      <c r="AA367" s="19" t="s">
        <v>135</v>
      </c>
      <c r="AB367" s="19" t="s">
        <v>1289</v>
      </c>
      <c r="AC367" s="19">
        <v>73063090</v>
      </c>
      <c r="AD367" s="19" t="s">
        <v>1092</v>
      </c>
      <c r="AE367" s="19">
        <v>1</v>
      </c>
      <c r="AF367" s="19">
        <v>0</v>
      </c>
      <c r="AG367" s="19" t="s">
        <v>1093</v>
      </c>
      <c r="AH367" s="19" t="s">
        <v>2319</v>
      </c>
    </row>
    <row r="368" spans="2:34" x14ac:dyDescent="0.35">
      <c r="B368" s="76">
        <v>46217</v>
      </c>
      <c r="C368" s="19" t="s">
        <v>138</v>
      </c>
      <c r="D368" s="19" t="s">
        <v>173</v>
      </c>
      <c r="E368" s="19" t="s">
        <v>571</v>
      </c>
      <c r="F368" s="19" t="s">
        <v>123</v>
      </c>
      <c r="G368" s="19" t="s">
        <v>572</v>
      </c>
      <c r="H368" s="76">
        <v>46216</v>
      </c>
      <c r="I368" s="19" t="s">
        <v>28</v>
      </c>
      <c r="J368" s="19" t="s">
        <v>1173</v>
      </c>
      <c r="K368" s="19" t="s">
        <v>34</v>
      </c>
      <c r="L368" s="19" t="s">
        <v>1105</v>
      </c>
      <c r="M368" s="19" t="s">
        <v>1781</v>
      </c>
      <c r="N368" s="19">
        <v>2000</v>
      </c>
      <c r="O368" s="19">
        <v>273262</v>
      </c>
      <c r="P368" s="19" t="s">
        <v>1781</v>
      </c>
      <c r="Q368" s="19">
        <v>322175.90000000002</v>
      </c>
      <c r="R368" s="19">
        <v>9</v>
      </c>
      <c r="S368" s="19">
        <v>24593.58</v>
      </c>
      <c r="T368" s="19">
        <v>9</v>
      </c>
      <c r="U368" s="19">
        <v>24593.58</v>
      </c>
      <c r="V368" s="19">
        <v>0</v>
      </c>
      <c r="W368" s="19">
        <v>0</v>
      </c>
      <c r="X368" s="19">
        <v>0</v>
      </c>
      <c r="Y368" s="19">
        <v>49187.16</v>
      </c>
      <c r="Z368" s="19">
        <v>0</v>
      </c>
      <c r="AA368" s="19" t="s">
        <v>135</v>
      </c>
      <c r="AB368" s="19" t="s">
        <v>1289</v>
      </c>
      <c r="AC368" s="19">
        <v>39021000</v>
      </c>
      <c r="AD368" s="19" t="s">
        <v>1092</v>
      </c>
      <c r="AE368" s="19">
        <v>1</v>
      </c>
      <c r="AF368" s="19">
        <v>2000</v>
      </c>
      <c r="AG368" s="19" t="s">
        <v>1093</v>
      </c>
      <c r="AH368" s="19" t="s">
        <v>34</v>
      </c>
    </row>
    <row r="369" spans="2:34" x14ac:dyDescent="0.35">
      <c r="B369" s="76">
        <v>46217</v>
      </c>
      <c r="C369" s="19" t="s">
        <v>138</v>
      </c>
      <c r="D369" s="19" t="s">
        <v>173</v>
      </c>
      <c r="E369" s="19" t="s">
        <v>573</v>
      </c>
      <c r="F369" s="19" t="s">
        <v>123</v>
      </c>
      <c r="G369" s="19" t="s">
        <v>574</v>
      </c>
      <c r="H369" s="76">
        <v>46216</v>
      </c>
      <c r="I369" s="19" t="s">
        <v>36</v>
      </c>
      <c r="J369" s="19" t="s">
        <v>1087</v>
      </c>
      <c r="K369" s="19" t="s">
        <v>46</v>
      </c>
      <c r="L369" s="19" t="s">
        <v>1213</v>
      </c>
      <c r="M369" s="19" t="s">
        <v>1782</v>
      </c>
      <c r="N369" s="19">
        <v>1475.5</v>
      </c>
      <c r="O369" s="19">
        <v>230900.995</v>
      </c>
      <c r="P369" s="19" t="s">
        <v>1782</v>
      </c>
      <c r="Q369" s="19">
        <v>311663.45</v>
      </c>
      <c r="R369" s="19">
        <v>2.5</v>
      </c>
      <c r="S369" s="19">
        <v>5772.52</v>
      </c>
      <c r="T369" s="19">
        <v>2.5</v>
      </c>
      <c r="U369" s="19">
        <v>5772.52</v>
      </c>
      <c r="V369" s="19">
        <v>0</v>
      </c>
      <c r="W369" s="19">
        <v>0</v>
      </c>
      <c r="X369" s="19">
        <v>0</v>
      </c>
      <c r="Y369" s="19">
        <v>11545.04</v>
      </c>
      <c r="Z369" s="19">
        <v>0</v>
      </c>
      <c r="AA369" s="19" t="s">
        <v>135</v>
      </c>
      <c r="AB369" s="19" t="s">
        <v>1091</v>
      </c>
      <c r="AC369" s="19">
        <v>54026930</v>
      </c>
      <c r="AD369" s="19" t="s">
        <v>1092</v>
      </c>
      <c r="AE369" s="19">
        <v>1</v>
      </c>
      <c r="AF369" s="19">
        <f t="shared" ref="AF369:AF382" si="16">N369</f>
        <v>1475.5</v>
      </c>
      <c r="AG369" s="19" t="s">
        <v>1093</v>
      </c>
      <c r="AH369" s="19" t="s">
        <v>46</v>
      </c>
    </row>
    <row r="370" spans="2:34" x14ac:dyDescent="0.35">
      <c r="B370" s="76">
        <v>46217</v>
      </c>
      <c r="C370" s="19" t="s">
        <v>138</v>
      </c>
      <c r="D370" s="19" t="s">
        <v>173</v>
      </c>
      <c r="E370" s="19" t="s">
        <v>573</v>
      </c>
      <c r="F370" s="19" t="s">
        <v>123</v>
      </c>
      <c r="G370" s="19" t="s">
        <v>574</v>
      </c>
      <c r="H370" s="76">
        <v>46216</v>
      </c>
      <c r="I370" s="19" t="s">
        <v>36</v>
      </c>
      <c r="J370" s="19" t="s">
        <v>1087</v>
      </c>
      <c r="K370" s="19" t="s">
        <v>46</v>
      </c>
      <c r="L370" s="19" t="s">
        <v>1213</v>
      </c>
      <c r="M370" s="19" t="s">
        <v>1783</v>
      </c>
      <c r="N370" s="19">
        <v>415.1</v>
      </c>
      <c r="O370" s="19">
        <v>66204.298999999999</v>
      </c>
      <c r="P370" s="19" t="s">
        <v>1783</v>
      </c>
      <c r="Q370" s="19">
        <v>0</v>
      </c>
      <c r="R370" s="19">
        <v>2.5</v>
      </c>
      <c r="S370" s="19">
        <v>1655.11</v>
      </c>
      <c r="T370" s="19">
        <v>2.5</v>
      </c>
      <c r="U370" s="19">
        <v>1655.11</v>
      </c>
      <c r="V370" s="19">
        <v>0</v>
      </c>
      <c r="W370" s="19">
        <v>0</v>
      </c>
      <c r="X370" s="19">
        <v>0</v>
      </c>
      <c r="Y370" s="19">
        <v>3310.22</v>
      </c>
      <c r="Z370" s="19">
        <v>0</v>
      </c>
      <c r="AA370" s="19" t="s">
        <v>135</v>
      </c>
      <c r="AB370" s="19" t="s">
        <v>1091</v>
      </c>
      <c r="AC370" s="19">
        <v>54026300</v>
      </c>
      <c r="AD370" s="19" t="s">
        <v>1092</v>
      </c>
      <c r="AE370" s="19">
        <v>1</v>
      </c>
      <c r="AF370" s="19">
        <f t="shared" si="16"/>
        <v>415.1</v>
      </c>
      <c r="AG370" s="19" t="s">
        <v>1093</v>
      </c>
      <c r="AH370" s="19" t="s">
        <v>46</v>
      </c>
    </row>
    <row r="371" spans="2:34" x14ac:dyDescent="0.35">
      <c r="B371" s="76">
        <v>46217</v>
      </c>
      <c r="C371" s="19" t="s">
        <v>138</v>
      </c>
      <c r="D371" s="19" t="s">
        <v>173</v>
      </c>
      <c r="E371" s="19" t="s">
        <v>575</v>
      </c>
      <c r="F371" s="19" t="s">
        <v>123</v>
      </c>
      <c r="G371" s="19" t="s">
        <v>576</v>
      </c>
      <c r="H371" s="76">
        <v>46216</v>
      </c>
      <c r="I371" s="19" t="s">
        <v>36</v>
      </c>
      <c r="J371" s="19" t="s">
        <v>1350</v>
      </c>
      <c r="K371" s="19" t="s">
        <v>39</v>
      </c>
      <c r="L371" s="19" t="s">
        <v>1351</v>
      </c>
      <c r="M371" s="19" t="s">
        <v>1352</v>
      </c>
      <c r="N371" s="19">
        <v>16.5</v>
      </c>
      <c r="O371" s="19">
        <v>3081.87</v>
      </c>
      <c r="P371" s="19" t="s">
        <v>1352</v>
      </c>
      <c r="Q371" s="19">
        <v>803676.33</v>
      </c>
      <c r="R371" s="19">
        <v>9</v>
      </c>
      <c r="S371" s="19">
        <v>277.37</v>
      </c>
      <c r="T371" s="19">
        <v>9</v>
      </c>
      <c r="U371" s="19">
        <v>277.37</v>
      </c>
      <c r="V371" s="19">
        <v>0</v>
      </c>
      <c r="W371" s="19">
        <v>0</v>
      </c>
      <c r="X371" s="19">
        <v>0</v>
      </c>
      <c r="Y371" s="19">
        <v>554.74</v>
      </c>
      <c r="Z371" s="19">
        <v>0</v>
      </c>
      <c r="AA371" s="19" t="s">
        <v>135</v>
      </c>
      <c r="AB371" s="19" t="s">
        <v>1289</v>
      </c>
      <c r="AC371" s="19">
        <v>39200000</v>
      </c>
      <c r="AD371" s="19" t="s">
        <v>1092</v>
      </c>
      <c r="AE371" s="19">
        <v>1</v>
      </c>
      <c r="AF371" s="19">
        <f t="shared" si="16"/>
        <v>16.5</v>
      </c>
      <c r="AG371" s="19" t="s">
        <v>1093</v>
      </c>
      <c r="AH371" s="19" t="s">
        <v>39</v>
      </c>
    </row>
    <row r="372" spans="2:34" x14ac:dyDescent="0.35">
      <c r="B372" s="76">
        <v>46217</v>
      </c>
      <c r="C372" s="19" t="s">
        <v>138</v>
      </c>
      <c r="D372" s="19" t="s">
        <v>173</v>
      </c>
      <c r="E372" s="19" t="s">
        <v>575</v>
      </c>
      <c r="F372" s="19" t="s">
        <v>123</v>
      </c>
      <c r="G372" s="19" t="s">
        <v>576</v>
      </c>
      <c r="H372" s="76">
        <v>46216</v>
      </c>
      <c r="I372" s="19" t="s">
        <v>36</v>
      </c>
      <c r="J372" s="19" t="s">
        <v>1350</v>
      </c>
      <c r="K372" s="19" t="s">
        <v>39</v>
      </c>
      <c r="L372" s="19" t="s">
        <v>1351</v>
      </c>
      <c r="M372" s="19" t="s">
        <v>1352</v>
      </c>
      <c r="N372" s="19">
        <v>115</v>
      </c>
      <c r="O372" s="19">
        <v>24124.7</v>
      </c>
      <c r="P372" s="19" t="s">
        <v>1352</v>
      </c>
      <c r="Q372" s="19">
        <v>0</v>
      </c>
      <c r="R372" s="19">
        <v>9</v>
      </c>
      <c r="S372" s="19">
        <v>2171.2199999999998</v>
      </c>
      <c r="T372" s="19">
        <v>9</v>
      </c>
      <c r="U372" s="19">
        <v>2171.2199999999998</v>
      </c>
      <c r="V372" s="19">
        <v>0</v>
      </c>
      <c r="W372" s="19">
        <v>0</v>
      </c>
      <c r="X372" s="19">
        <v>0</v>
      </c>
      <c r="Y372" s="19">
        <v>4342.4399999999996</v>
      </c>
      <c r="Z372" s="19">
        <v>0</v>
      </c>
      <c r="AA372" s="19" t="s">
        <v>135</v>
      </c>
      <c r="AB372" s="19" t="s">
        <v>1289</v>
      </c>
      <c r="AC372" s="19">
        <v>39200000</v>
      </c>
      <c r="AD372" s="19" t="s">
        <v>1092</v>
      </c>
      <c r="AE372" s="19">
        <v>1</v>
      </c>
      <c r="AF372" s="19">
        <f t="shared" si="16"/>
        <v>115</v>
      </c>
      <c r="AG372" s="19" t="s">
        <v>1093</v>
      </c>
      <c r="AH372" s="19" t="s">
        <v>39</v>
      </c>
    </row>
    <row r="373" spans="2:34" x14ac:dyDescent="0.35">
      <c r="B373" s="76">
        <v>46217</v>
      </c>
      <c r="C373" s="19" t="s">
        <v>138</v>
      </c>
      <c r="D373" s="19" t="s">
        <v>173</v>
      </c>
      <c r="E373" s="19" t="s">
        <v>575</v>
      </c>
      <c r="F373" s="19" t="s">
        <v>123</v>
      </c>
      <c r="G373" s="19" t="s">
        <v>576</v>
      </c>
      <c r="H373" s="76">
        <v>46216</v>
      </c>
      <c r="I373" s="19" t="s">
        <v>36</v>
      </c>
      <c r="J373" s="19" t="s">
        <v>1350</v>
      </c>
      <c r="K373" s="19" t="s">
        <v>39</v>
      </c>
      <c r="L373" s="19" t="s">
        <v>1351</v>
      </c>
      <c r="M373" s="19" t="s">
        <v>1352</v>
      </c>
      <c r="N373" s="19">
        <v>100</v>
      </c>
      <c r="O373" s="19">
        <v>24669</v>
      </c>
      <c r="P373" s="19" t="s">
        <v>1352</v>
      </c>
      <c r="Q373" s="19">
        <v>0</v>
      </c>
      <c r="R373" s="19">
        <v>9</v>
      </c>
      <c r="S373" s="19">
        <v>2220.21</v>
      </c>
      <c r="T373" s="19">
        <v>9</v>
      </c>
      <c r="U373" s="19">
        <v>2220.21</v>
      </c>
      <c r="V373" s="19">
        <v>0</v>
      </c>
      <c r="W373" s="19">
        <v>0</v>
      </c>
      <c r="X373" s="19">
        <v>0</v>
      </c>
      <c r="Y373" s="19">
        <v>4440.42</v>
      </c>
      <c r="Z373" s="19">
        <v>0</v>
      </c>
      <c r="AA373" s="19" t="s">
        <v>135</v>
      </c>
      <c r="AB373" s="19" t="s">
        <v>1289</v>
      </c>
      <c r="AC373" s="19">
        <v>39200000</v>
      </c>
      <c r="AD373" s="19" t="s">
        <v>1092</v>
      </c>
      <c r="AE373" s="19">
        <v>1</v>
      </c>
      <c r="AF373" s="19">
        <f t="shared" si="16"/>
        <v>100</v>
      </c>
      <c r="AG373" s="19" t="s">
        <v>1093</v>
      </c>
      <c r="AH373" s="19" t="s">
        <v>39</v>
      </c>
    </row>
    <row r="374" spans="2:34" x14ac:dyDescent="0.35">
      <c r="B374" s="76">
        <v>46217</v>
      </c>
      <c r="C374" s="19" t="s">
        <v>138</v>
      </c>
      <c r="D374" s="19" t="s">
        <v>173</v>
      </c>
      <c r="E374" s="19" t="s">
        <v>575</v>
      </c>
      <c r="F374" s="19" t="s">
        <v>123</v>
      </c>
      <c r="G374" s="19" t="s">
        <v>576</v>
      </c>
      <c r="H374" s="76">
        <v>46216</v>
      </c>
      <c r="I374" s="19" t="s">
        <v>36</v>
      </c>
      <c r="J374" s="19" t="s">
        <v>1350</v>
      </c>
      <c r="K374" s="19" t="s">
        <v>39</v>
      </c>
      <c r="L374" s="19" t="s">
        <v>1351</v>
      </c>
      <c r="M374" s="19" t="s">
        <v>1352</v>
      </c>
      <c r="N374" s="19">
        <v>521</v>
      </c>
      <c r="O374" s="19">
        <v>133886.57999999999</v>
      </c>
      <c r="P374" s="19" t="s">
        <v>1352</v>
      </c>
      <c r="Q374" s="19">
        <v>0</v>
      </c>
      <c r="R374" s="19">
        <v>9</v>
      </c>
      <c r="S374" s="19">
        <v>12049.79</v>
      </c>
      <c r="T374" s="19">
        <v>9</v>
      </c>
      <c r="U374" s="19">
        <v>12049.79</v>
      </c>
      <c r="V374" s="19">
        <v>0</v>
      </c>
      <c r="W374" s="19">
        <v>0</v>
      </c>
      <c r="X374" s="19">
        <v>0</v>
      </c>
      <c r="Y374" s="19">
        <v>24099.58</v>
      </c>
      <c r="Z374" s="19">
        <v>0</v>
      </c>
      <c r="AA374" s="19" t="s">
        <v>135</v>
      </c>
      <c r="AB374" s="19" t="s">
        <v>1289</v>
      </c>
      <c r="AC374" s="19">
        <v>39200000</v>
      </c>
      <c r="AD374" s="19" t="s">
        <v>1092</v>
      </c>
      <c r="AE374" s="19">
        <v>1</v>
      </c>
      <c r="AF374" s="19">
        <f t="shared" si="16"/>
        <v>521</v>
      </c>
      <c r="AG374" s="19" t="s">
        <v>1093</v>
      </c>
      <c r="AH374" s="19" t="s">
        <v>39</v>
      </c>
    </row>
    <row r="375" spans="2:34" x14ac:dyDescent="0.35">
      <c r="B375" s="76">
        <v>46217</v>
      </c>
      <c r="C375" s="19" t="s">
        <v>138</v>
      </c>
      <c r="D375" s="19" t="s">
        <v>173</v>
      </c>
      <c r="E375" s="19" t="s">
        <v>575</v>
      </c>
      <c r="F375" s="19" t="s">
        <v>123</v>
      </c>
      <c r="G375" s="19" t="s">
        <v>576</v>
      </c>
      <c r="H375" s="76">
        <v>46216</v>
      </c>
      <c r="I375" s="19" t="s">
        <v>36</v>
      </c>
      <c r="J375" s="19" t="s">
        <v>1350</v>
      </c>
      <c r="K375" s="19" t="s">
        <v>39</v>
      </c>
      <c r="L375" s="19" t="s">
        <v>1351</v>
      </c>
      <c r="M375" s="19" t="s">
        <v>1352</v>
      </c>
      <c r="N375" s="19">
        <v>587.20000000000005</v>
      </c>
      <c r="O375" s="19">
        <v>121421.216</v>
      </c>
      <c r="P375" s="19" t="s">
        <v>1352</v>
      </c>
      <c r="Q375" s="19">
        <v>0</v>
      </c>
      <c r="R375" s="19">
        <v>9</v>
      </c>
      <c r="S375" s="19">
        <v>10927.91</v>
      </c>
      <c r="T375" s="19">
        <v>9</v>
      </c>
      <c r="U375" s="19">
        <v>10927.91</v>
      </c>
      <c r="V375" s="19">
        <v>0</v>
      </c>
      <c r="W375" s="19">
        <v>0</v>
      </c>
      <c r="X375" s="19">
        <v>0</v>
      </c>
      <c r="Y375" s="19">
        <v>21855.82</v>
      </c>
      <c r="Z375" s="19">
        <v>0</v>
      </c>
      <c r="AA375" s="19" t="s">
        <v>135</v>
      </c>
      <c r="AB375" s="19" t="s">
        <v>1289</v>
      </c>
      <c r="AC375" s="19">
        <v>39200000</v>
      </c>
      <c r="AD375" s="19" t="s">
        <v>1092</v>
      </c>
      <c r="AE375" s="19">
        <v>1</v>
      </c>
      <c r="AF375" s="19">
        <f t="shared" si="16"/>
        <v>587.20000000000005</v>
      </c>
      <c r="AG375" s="19" t="s">
        <v>1093</v>
      </c>
      <c r="AH375" s="19" t="s">
        <v>39</v>
      </c>
    </row>
    <row r="376" spans="2:34" x14ac:dyDescent="0.35">
      <c r="B376" s="76">
        <v>46217</v>
      </c>
      <c r="C376" s="19" t="s">
        <v>138</v>
      </c>
      <c r="D376" s="19" t="s">
        <v>173</v>
      </c>
      <c r="E376" s="19" t="s">
        <v>575</v>
      </c>
      <c r="F376" s="19" t="s">
        <v>123</v>
      </c>
      <c r="G376" s="19" t="s">
        <v>576</v>
      </c>
      <c r="H376" s="76">
        <v>46216</v>
      </c>
      <c r="I376" s="19" t="s">
        <v>36</v>
      </c>
      <c r="J376" s="19" t="s">
        <v>1350</v>
      </c>
      <c r="K376" s="19" t="s">
        <v>39</v>
      </c>
      <c r="L376" s="19" t="s">
        <v>1351</v>
      </c>
      <c r="M376" s="19" t="s">
        <v>1352</v>
      </c>
      <c r="N376" s="19">
        <v>48</v>
      </c>
      <c r="O376" s="19">
        <v>12335.04</v>
      </c>
      <c r="P376" s="19" t="s">
        <v>1352</v>
      </c>
      <c r="Q376" s="19">
        <v>0</v>
      </c>
      <c r="R376" s="19">
        <v>9</v>
      </c>
      <c r="S376" s="19">
        <v>1110.1500000000001</v>
      </c>
      <c r="T376" s="19">
        <v>9</v>
      </c>
      <c r="U376" s="19">
        <v>1110.1500000000001</v>
      </c>
      <c r="V376" s="19">
        <v>0</v>
      </c>
      <c r="W376" s="19">
        <v>0</v>
      </c>
      <c r="X376" s="19">
        <v>0</v>
      </c>
      <c r="Y376" s="19">
        <v>2220.3000000000002</v>
      </c>
      <c r="Z376" s="19">
        <v>0</v>
      </c>
      <c r="AA376" s="19" t="s">
        <v>135</v>
      </c>
      <c r="AB376" s="19" t="s">
        <v>1289</v>
      </c>
      <c r="AC376" s="19">
        <v>39200000</v>
      </c>
      <c r="AD376" s="19" t="s">
        <v>1092</v>
      </c>
      <c r="AE376" s="19">
        <v>1</v>
      </c>
      <c r="AF376" s="19">
        <f t="shared" si="16"/>
        <v>48</v>
      </c>
      <c r="AG376" s="19" t="s">
        <v>1093</v>
      </c>
      <c r="AH376" s="19" t="s">
        <v>39</v>
      </c>
    </row>
    <row r="377" spans="2:34" x14ac:dyDescent="0.35">
      <c r="B377" s="76">
        <v>46217</v>
      </c>
      <c r="C377" s="19" t="s">
        <v>138</v>
      </c>
      <c r="D377" s="19" t="s">
        <v>173</v>
      </c>
      <c r="E377" s="19" t="s">
        <v>575</v>
      </c>
      <c r="F377" s="19" t="s">
        <v>123</v>
      </c>
      <c r="G377" s="19" t="s">
        <v>576</v>
      </c>
      <c r="H377" s="76">
        <v>46216</v>
      </c>
      <c r="I377" s="19" t="s">
        <v>36</v>
      </c>
      <c r="J377" s="19" t="s">
        <v>1350</v>
      </c>
      <c r="K377" s="19" t="s">
        <v>39</v>
      </c>
      <c r="L377" s="19" t="s">
        <v>1351</v>
      </c>
      <c r="M377" s="19" t="s">
        <v>1352</v>
      </c>
      <c r="N377" s="19">
        <v>1468</v>
      </c>
      <c r="O377" s="19">
        <v>362140.92</v>
      </c>
      <c r="P377" s="19" t="s">
        <v>1352</v>
      </c>
      <c r="Q377" s="19">
        <v>0</v>
      </c>
      <c r="R377" s="19">
        <v>9</v>
      </c>
      <c r="S377" s="19">
        <v>32592.68</v>
      </c>
      <c r="T377" s="19">
        <v>9</v>
      </c>
      <c r="U377" s="19">
        <v>32592.68</v>
      </c>
      <c r="V377" s="19">
        <v>0</v>
      </c>
      <c r="W377" s="19">
        <v>0</v>
      </c>
      <c r="X377" s="19">
        <v>0</v>
      </c>
      <c r="Y377" s="19">
        <v>65185.36</v>
      </c>
      <c r="Z377" s="19">
        <v>0</v>
      </c>
      <c r="AA377" s="19" t="s">
        <v>135</v>
      </c>
      <c r="AB377" s="19" t="s">
        <v>1289</v>
      </c>
      <c r="AC377" s="19">
        <v>39200000</v>
      </c>
      <c r="AD377" s="19" t="s">
        <v>1092</v>
      </c>
      <c r="AE377" s="19">
        <v>1</v>
      </c>
      <c r="AF377" s="19">
        <f t="shared" si="16"/>
        <v>1468</v>
      </c>
      <c r="AG377" s="19" t="s">
        <v>1093</v>
      </c>
      <c r="AH377" s="19" t="s">
        <v>39</v>
      </c>
    </row>
    <row r="378" spans="2:34" x14ac:dyDescent="0.35">
      <c r="B378" s="76">
        <v>46217</v>
      </c>
      <c r="C378" s="19" t="s">
        <v>138</v>
      </c>
      <c r="D378" s="19" t="s">
        <v>173</v>
      </c>
      <c r="E378" s="19" t="s">
        <v>577</v>
      </c>
      <c r="F378" s="19" t="s">
        <v>123</v>
      </c>
      <c r="G378" s="19" t="s">
        <v>578</v>
      </c>
      <c r="H378" s="76">
        <v>46216</v>
      </c>
      <c r="I378" s="19" t="s">
        <v>36</v>
      </c>
      <c r="J378" s="19" t="s">
        <v>1117</v>
      </c>
      <c r="K378" s="19" t="s">
        <v>42</v>
      </c>
      <c r="L378" s="19" t="s">
        <v>1242</v>
      </c>
      <c r="M378" s="19" t="s">
        <v>1154</v>
      </c>
      <c r="N378" s="19">
        <v>163</v>
      </c>
      <c r="O378" s="19">
        <v>24692.87</v>
      </c>
      <c r="P378" s="19" t="s">
        <v>1154</v>
      </c>
      <c r="Q378" s="19">
        <v>542699.96</v>
      </c>
      <c r="R378" s="19">
        <v>9</v>
      </c>
      <c r="S378" s="19">
        <v>2222.36</v>
      </c>
      <c r="T378" s="19">
        <v>9</v>
      </c>
      <c r="U378" s="19">
        <v>2222.36</v>
      </c>
      <c r="V378" s="19">
        <v>0</v>
      </c>
      <c r="W378" s="19">
        <v>0</v>
      </c>
      <c r="X378" s="19">
        <v>0</v>
      </c>
      <c r="Y378" s="19">
        <v>4444.72</v>
      </c>
      <c r="Z378" s="19">
        <v>0</v>
      </c>
      <c r="AA378" s="19" t="s">
        <v>135</v>
      </c>
      <c r="AB378" s="19" t="s">
        <v>1289</v>
      </c>
      <c r="AC378" s="19">
        <v>63053300</v>
      </c>
      <c r="AD378" s="19" t="s">
        <v>1092</v>
      </c>
      <c r="AE378" s="19">
        <v>1</v>
      </c>
      <c r="AF378" s="19">
        <f t="shared" si="16"/>
        <v>163</v>
      </c>
      <c r="AG378" s="19" t="s">
        <v>1093</v>
      </c>
      <c r="AH378" s="19" t="s">
        <v>42</v>
      </c>
    </row>
    <row r="379" spans="2:34" x14ac:dyDescent="0.35">
      <c r="B379" s="76">
        <v>46217</v>
      </c>
      <c r="C379" s="19" t="s">
        <v>138</v>
      </c>
      <c r="D379" s="19" t="s">
        <v>173</v>
      </c>
      <c r="E379" s="19" t="s">
        <v>577</v>
      </c>
      <c r="F379" s="19" t="s">
        <v>123</v>
      </c>
      <c r="G379" s="19" t="s">
        <v>578</v>
      </c>
      <c r="H379" s="76">
        <v>46216</v>
      </c>
      <c r="I379" s="19" t="s">
        <v>36</v>
      </c>
      <c r="J379" s="19" t="s">
        <v>1117</v>
      </c>
      <c r="K379" s="19" t="s">
        <v>44</v>
      </c>
      <c r="L379" s="19" t="s">
        <v>1118</v>
      </c>
      <c r="M379" s="19" t="s">
        <v>1119</v>
      </c>
      <c r="N379" s="19">
        <v>390</v>
      </c>
      <c r="O379" s="19">
        <v>57521.1</v>
      </c>
      <c r="P379" s="19" t="s">
        <v>1119</v>
      </c>
      <c r="Q379" s="19">
        <v>0</v>
      </c>
      <c r="R379" s="19">
        <v>9</v>
      </c>
      <c r="S379" s="19">
        <v>5176.8999999999996</v>
      </c>
      <c r="T379" s="19">
        <v>9</v>
      </c>
      <c r="U379" s="19">
        <v>5176.8999999999996</v>
      </c>
      <c r="V379" s="19">
        <v>0</v>
      </c>
      <c r="W379" s="19">
        <v>0</v>
      </c>
      <c r="X379" s="19">
        <v>0</v>
      </c>
      <c r="Y379" s="19">
        <v>10353.799999999999</v>
      </c>
      <c r="Z379" s="19">
        <v>0</v>
      </c>
      <c r="AA379" s="19" t="s">
        <v>135</v>
      </c>
      <c r="AB379" s="19" t="s">
        <v>1289</v>
      </c>
      <c r="AC379" s="19">
        <v>39269080</v>
      </c>
      <c r="AD379" s="19" t="s">
        <v>1092</v>
      </c>
      <c r="AE379" s="19">
        <v>1</v>
      </c>
      <c r="AF379" s="19">
        <f t="shared" si="16"/>
        <v>390</v>
      </c>
      <c r="AG379" s="19" t="s">
        <v>1093</v>
      </c>
      <c r="AH379" s="19" t="s">
        <v>44</v>
      </c>
    </row>
    <row r="380" spans="2:34" x14ac:dyDescent="0.35">
      <c r="B380" s="76">
        <v>46217</v>
      </c>
      <c r="C380" s="19" t="s">
        <v>138</v>
      </c>
      <c r="D380" s="19" t="s">
        <v>173</v>
      </c>
      <c r="E380" s="19" t="s">
        <v>577</v>
      </c>
      <c r="F380" s="19" t="s">
        <v>123</v>
      </c>
      <c r="G380" s="19" t="s">
        <v>578</v>
      </c>
      <c r="H380" s="76">
        <v>46216</v>
      </c>
      <c r="I380" s="19" t="s">
        <v>36</v>
      </c>
      <c r="J380" s="19" t="s">
        <v>1117</v>
      </c>
      <c r="K380" s="19" t="s">
        <v>44</v>
      </c>
      <c r="L380" s="19" t="s">
        <v>1118</v>
      </c>
      <c r="M380" s="19" t="s">
        <v>1119</v>
      </c>
      <c r="N380" s="19">
        <v>1100</v>
      </c>
      <c r="O380" s="19">
        <v>158939</v>
      </c>
      <c r="P380" s="19" t="s">
        <v>1119</v>
      </c>
      <c r="Q380" s="19">
        <v>0</v>
      </c>
      <c r="R380" s="19">
        <v>9</v>
      </c>
      <c r="S380" s="19">
        <v>14304.51</v>
      </c>
      <c r="T380" s="19">
        <v>9</v>
      </c>
      <c r="U380" s="19">
        <v>14304.51</v>
      </c>
      <c r="V380" s="19">
        <v>0</v>
      </c>
      <c r="W380" s="19">
        <v>0</v>
      </c>
      <c r="X380" s="19">
        <v>0</v>
      </c>
      <c r="Y380" s="19">
        <v>28609.02</v>
      </c>
      <c r="Z380" s="19">
        <v>0</v>
      </c>
      <c r="AA380" s="19" t="s">
        <v>135</v>
      </c>
      <c r="AB380" s="19" t="s">
        <v>1289</v>
      </c>
      <c r="AC380" s="19">
        <v>39269080</v>
      </c>
      <c r="AD380" s="19" t="s">
        <v>1092</v>
      </c>
      <c r="AE380" s="19">
        <v>1</v>
      </c>
      <c r="AF380" s="19">
        <f t="shared" si="16"/>
        <v>1100</v>
      </c>
      <c r="AG380" s="19" t="s">
        <v>1093</v>
      </c>
      <c r="AH380" s="19" t="s">
        <v>44</v>
      </c>
    </row>
    <row r="381" spans="2:34" x14ac:dyDescent="0.35">
      <c r="B381" s="76">
        <v>46217</v>
      </c>
      <c r="C381" s="19" t="s">
        <v>138</v>
      </c>
      <c r="D381" s="19" t="s">
        <v>173</v>
      </c>
      <c r="E381" s="19" t="s">
        <v>577</v>
      </c>
      <c r="F381" s="19" t="s">
        <v>123</v>
      </c>
      <c r="G381" s="19" t="s">
        <v>578</v>
      </c>
      <c r="H381" s="76">
        <v>46216</v>
      </c>
      <c r="I381" s="19" t="s">
        <v>36</v>
      </c>
      <c r="J381" s="19" t="s">
        <v>1117</v>
      </c>
      <c r="K381" s="19" t="s">
        <v>44</v>
      </c>
      <c r="L381" s="19" t="s">
        <v>1118</v>
      </c>
      <c r="M381" s="19" t="s">
        <v>1119</v>
      </c>
      <c r="N381" s="19">
        <v>1466</v>
      </c>
      <c r="O381" s="19">
        <v>219152.34</v>
      </c>
      <c r="P381" s="19" t="s">
        <v>1119</v>
      </c>
      <c r="Q381" s="19">
        <v>0</v>
      </c>
      <c r="R381" s="19">
        <v>9</v>
      </c>
      <c r="S381" s="19">
        <v>19723.71</v>
      </c>
      <c r="T381" s="19">
        <v>9</v>
      </c>
      <c r="U381" s="19">
        <v>19723.71</v>
      </c>
      <c r="V381" s="19">
        <v>0</v>
      </c>
      <c r="W381" s="19">
        <v>0</v>
      </c>
      <c r="X381" s="19">
        <v>0</v>
      </c>
      <c r="Y381" s="19">
        <v>39447.42</v>
      </c>
      <c r="Z381" s="19">
        <v>0</v>
      </c>
      <c r="AA381" s="19" t="s">
        <v>135</v>
      </c>
      <c r="AB381" s="19" t="s">
        <v>1289</v>
      </c>
      <c r="AC381" s="19">
        <v>39269080</v>
      </c>
      <c r="AD381" s="19" t="s">
        <v>1092</v>
      </c>
      <c r="AE381" s="19">
        <v>1</v>
      </c>
      <c r="AF381" s="19">
        <f t="shared" si="16"/>
        <v>1466</v>
      </c>
      <c r="AG381" s="19" t="s">
        <v>1093</v>
      </c>
      <c r="AH381" s="19" t="s">
        <v>44</v>
      </c>
    </row>
    <row r="382" spans="2:34" x14ac:dyDescent="0.35">
      <c r="B382" s="76">
        <v>46217</v>
      </c>
      <c r="C382" s="19" t="s">
        <v>134</v>
      </c>
      <c r="D382" s="19" t="s">
        <v>173</v>
      </c>
      <c r="E382" s="19" t="s">
        <v>582</v>
      </c>
      <c r="F382" s="19" t="s">
        <v>123</v>
      </c>
      <c r="G382" s="19" t="s">
        <v>1784</v>
      </c>
      <c r="H382" s="76">
        <v>46217</v>
      </c>
      <c r="I382" s="19" t="s">
        <v>36</v>
      </c>
      <c r="J382" s="19" t="s">
        <v>1087</v>
      </c>
      <c r="K382" s="19" t="s">
        <v>46</v>
      </c>
      <c r="L382" s="19" t="s">
        <v>1240</v>
      </c>
      <c r="M382" s="19" t="s">
        <v>1241</v>
      </c>
      <c r="N382" s="19">
        <v>3405.28</v>
      </c>
      <c r="O382" s="19">
        <v>408974.12800000003</v>
      </c>
      <c r="P382" s="19" t="s">
        <v>1241</v>
      </c>
      <c r="Q382" s="19">
        <v>429013.86</v>
      </c>
      <c r="R382" s="19">
        <v>2.5</v>
      </c>
      <c r="S382" s="19">
        <v>10224.35</v>
      </c>
      <c r="T382" s="19">
        <v>2.5</v>
      </c>
      <c r="U382" s="19">
        <v>10224.35</v>
      </c>
      <c r="V382" s="19">
        <v>0</v>
      </c>
      <c r="W382" s="19">
        <v>0</v>
      </c>
      <c r="X382" s="19">
        <v>0</v>
      </c>
      <c r="Y382" s="19">
        <v>20448.7</v>
      </c>
      <c r="Z382" s="19">
        <v>0</v>
      </c>
      <c r="AA382" s="19" t="s">
        <v>135</v>
      </c>
      <c r="AB382" s="19" t="s">
        <v>1289</v>
      </c>
      <c r="AC382" s="19">
        <v>540263</v>
      </c>
      <c r="AD382" s="19" t="s">
        <v>1092</v>
      </c>
      <c r="AE382" s="19">
        <v>1</v>
      </c>
      <c r="AF382" s="19">
        <f t="shared" si="16"/>
        <v>3405.28</v>
      </c>
      <c r="AG382" s="19" t="s">
        <v>1093</v>
      </c>
      <c r="AH382" s="19" t="s">
        <v>46</v>
      </c>
    </row>
    <row r="383" spans="2:34" hidden="1" x14ac:dyDescent="0.35">
      <c r="B383" s="76">
        <v>46217</v>
      </c>
      <c r="C383" s="19" t="s">
        <v>197</v>
      </c>
      <c r="D383" s="19" t="s">
        <v>126</v>
      </c>
      <c r="E383" s="19" t="s">
        <v>561</v>
      </c>
      <c r="F383" s="19" t="s">
        <v>118</v>
      </c>
      <c r="G383" s="19" t="s">
        <v>562</v>
      </c>
      <c r="H383" s="76">
        <v>46212</v>
      </c>
      <c r="I383" s="19" t="s">
        <v>105</v>
      </c>
      <c r="J383" s="19" t="s">
        <v>1785</v>
      </c>
      <c r="K383" s="19" t="s">
        <v>1127</v>
      </c>
      <c r="L383" s="19" t="s">
        <v>1389</v>
      </c>
      <c r="M383" s="19" t="s">
        <v>1786</v>
      </c>
      <c r="N383" s="19">
        <v>100</v>
      </c>
      <c r="O383" s="19">
        <v>2242.6999999999998</v>
      </c>
      <c r="P383" s="19" t="s">
        <v>1786</v>
      </c>
      <c r="Q383" s="19">
        <v>20962</v>
      </c>
      <c r="R383" s="19">
        <v>9</v>
      </c>
      <c r="S383" s="19">
        <v>201.84</v>
      </c>
      <c r="T383" s="19">
        <v>9</v>
      </c>
      <c r="U383" s="19">
        <v>201.84</v>
      </c>
      <c r="V383" s="19">
        <v>0</v>
      </c>
      <c r="W383" s="19">
        <v>0</v>
      </c>
      <c r="X383" s="19">
        <v>0</v>
      </c>
      <c r="Y383" s="19">
        <v>403.68</v>
      </c>
      <c r="Z383" s="19">
        <v>0</v>
      </c>
      <c r="AA383" s="19" t="s">
        <v>198</v>
      </c>
      <c r="AB383" s="19" t="s">
        <v>1654</v>
      </c>
      <c r="AC383" s="19">
        <v>854460</v>
      </c>
      <c r="AD383" s="19" t="s">
        <v>1092</v>
      </c>
      <c r="AE383" s="19">
        <v>1</v>
      </c>
      <c r="AF383" s="19">
        <v>0</v>
      </c>
      <c r="AG383" s="19" t="s">
        <v>1093</v>
      </c>
      <c r="AH383" s="19" t="s">
        <v>2319</v>
      </c>
    </row>
    <row r="384" spans="2:34" hidden="1" x14ac:dyDescent="0.35">
      <c r="B384" s="76">
        <v>46217</v>
      </c>
      <c r="C384" s="19" t="s">
        <v>197</v>
      </c>
      <c r="D384" s="19" t="s">
        <v>126</v>
      </c>
      <c r="E384" s="19" t="s">
        <v>561</v>
      </c>
      <c r="F384" s="19" t="s">
        <v>118</v>
      </c>
      <c r="G384" s="19" t="s">
        <v>562</v>
      </c>
      <c r="H384" s="76">
        <v>46212</v>
      </c>
      <c r="I384" s="19" t="s">
        <v>105</v>
      </c>
      <c r="J384" s="19" t="s">
        <v>1703</v>
      </c>
      <c r="K384" s="19" t="s">
        <v>1127</v>
      </c>
      <c r="L384" s="19" t="s">
        <v>1389</v>
      </c>
      <c r="M384" s="19" t="s">
        <v>1787</v>
      </c>
      <c r="N384" s="19">
        <v>10</v>
      </c>
      <c r="O384" s="19">
        <v>655</v>
      </c>
      <c r="P384" s="19" t="s">
        <v>1787</v>
      </c>
      <c r="Q384" s="19">
        <v>0</v>
      </c>
      <c r="R384" s="19">
        <v>9</v>
      </c>
      <c r="S384" s="19">
        <v>58.95</v>
      </c>
      <c r="T384" s="19">
        <v>9</v>
      </c>
      <c r="U384" s="19">
        <v>58.95</v>
      </c>
      <c r="V384" s="19">
        <v>0</v>
      </c>
      <c r="W384" s="19">
        <v>0</v>
      </c>
      <c r="X384" s="19">
        <v>0</v>
      </c>
      <c r="Y384" s="19">
        <v>117.9</v>
      </c>
      <c r="Z384" s="19">
        <v>0</v>
      </c>
      <c r="AA384" s="19" t="s">
        <v>198</v>
      </c>
      <c r="AB384" s="19" t="s">
        <v>1555</v>
      </c>
      <c r="AC384" s="19">
        <v>853690</v>
      </c>
      <c r="AD384" s="19" t="s">
        <v>1092</v>
      </c>
      <c r="AE384" s="19">
        <v>1</v>
      </c>
      <c r="AF384" s="19">
        <v>0</v>
      </c>
      <c r="AG384" s="19" t="s">
        <v>1093</v>
      </c>
      <c r="AH384" s="19" t="s">
        <v>2319</v>
      </c>
    </row>
    <row r="385" spans="2:34" hidden="1" x14ac:dyDescent="0.35">
      <c r="B385" s="76">
        <v>46217</v>
      </c>
      <c r="C385" s="19" t="s">
        <v>197</v>
      </c>
      <c r="D385" s="19" t="s">
        <v>126</v>
      </c>
      <c r="E385" s="19" t="s">
        <v>561</v>
      </c>
      <c r="F385" s="19" t="s">
        <v>118</v>
      </c>
      <c r="G385" s="19" t="s">
        <v>562</v>
      </c>
      <c r="H385" s="76">
        <v>46212</v>
      </c>
      <c r="I385" s="19" t="s">
        <v>105</v>
      </c>
      <c r="J385" s="19" t="s">
        <v>1785</v>
      </c>
      <c r="K385" s="19" t="s">
        <v>1127</v>
      </c>
      <c r="L385" s="19" t="s">
        <v>1389</v>
      </c>
      <c r="M385" s="19" t="s">
        <v>1788</v>
      </c>
      <c r="N385" s="19">
        <v>100</v>
      </c>
      <c r="O385" s="19">
        <v>14866.6</v>
      </c>
      <c r="P385" s="19" t="s">
        <v>1788</v>
      </c>
      <c r="Q385" s="19">
        <v>0</v>
      </c>
      <c r="R385" s="19">
        <v>9</v>
      </c>
      <c r="S385" s="19">
        <v>1337.99</v>
      </c>
      <c r="T385" s="19">
        <v>9</v>
      </c>
      <c r="U385" s="19">
        <v>1337.99</v>
      </c>
      <c r="V385" s="19">
        <v>0</v>
      </c>
      <c r="W385" s="19">
        <v>0</v>
      </c>
      <c r="X385" s="19">
        <v>0</v>
      </c>
      <c r="Y385" s="19">
        <v>2675.98</v>
      </c>
      <c r="Z385" s="19">
        <v>0</v>
      </c>
      <c r="AA385" s="19" t="s">
        <v>198</v>
      </c>
      <c r="AB385" s="19" t="s">
        <v>1654</v>
      </c>
      <c r="AC385" s="19">
        <v>8544602</v>
      </c>
      <c r="AD385" s="19" t="s">
        <v>1092</v>
      </c>
      <c r="AE385" s="19">
        <v>1</v>
      </c>
      <c r="AF385" s="19">
        <v>0</v>
      </c>
      <c r="AG385" s="19" t="s">
        <v>1093</v>
      </c>
      <c r="AH385" s="19" t="s">
        <v>2319</v>
      </c>
    </row>
    <row r="386" spans="2:34" hidden="1" x14ac:dyDescent="0.35">
      <c r="B386" s="76">
        <v>46217</v>
      </c>
      <c r="C386" s="19" t="s">
        <v>305</v>
      </c>
      <c r="D386" s="19" t="s">
        <v>126</v>
      </c>
      <c r="E386" s="19" t="s">
        <v>549</v>
      </c>
      <c r="F386" s="19" t="s">
        <v>118</v>
      </c>
      <c r="G386" s="19" t="s">
        <v>550</v>
      </c>
      <c r="H386" s="76">
        <v>46218</v>
      </c>
      <c r="I386" s="19" t="s">
        <v>102</v>
      </c>
      <c r="J386" s="19" t="s">
        <v>1673</v>
      </c>
      <c r="K386" s="19" t="s">
        <v>1127</v>
      </c>
      <c r="L386" s="19" t="s">
        <v>102</v>
      </c>
      <c r="M386" s="19" t="s">
        <v>1709</v>
      </c>
      <c r="N386" s="19">
        <v>245</v>
      </c>
      <c r="O386" s="19">
        <v>47775</v>
      </c>
      <c r="P386" s="19" t="s">
        <v>1709</v>
      </c>
      <c r="Q386" s="19">
        <v>50794</v>
      </c>
      <c r="R386" s="19">
        <v>2.5</v>
      </c>
      <c r="S386" s="19">
        <v>1194.375</v>
      </c>
      <c r="T386" s="19">
        <v>2.5</v>
      </c>
      <c r="U386" s="19">
        <v>1194.375</v>
      </c>
      <c r="V386" s="19">
        <v>0</v>
      </c>
      <c r="W386" s="19">
        <v>0</v>
      </c>
      <c r="X386" s="19">
        <v>30</v>
      </c>
      <c r="Y386" s="19">
        <v>2418.75</v>
      </c>
      <c r="Z386" s="19">
        <v>0</v>
      </c>
      <c r="AA386" s="19" t="s">
        <v>306</v>
      </c>
      <c r="AB386" s="19" t="s">
        <v>1555</v>
      </c>
      <c r="AC386" s="19">
        <v>320414</v>
      </c>
      <c r="AD386" s="19" t="s">
        <v>1092</v>
      </c>
      <c r="AE386" s="19">
        <v>1</v>
      </c>
      <c r="AF386" s="19">
        <v>0</v>
      </c>
      <c r="AG386" s="19" t="s">
        <v>1093</v>
      </c>
      <c r="AH386" s="19" t="s">
        <v>2319</v>
      </c>
    </row>
    <row r="387" spans="2:34" hidden="1" x14ac:dyDescent="0.35">
      <c r="B387" s="76">
        <v>46217</v>
      </c>
      <c r="C387" s="19" t="s">
        <v>569</v>
      </c>
      <c r="D387" s="19" t="s">
        <v>126</v>
      </c>
      <c r="E387" s="19" t="s">
        <v>567</v>
      </c>
      <c r="F387" s="19" t="s">
        <v>118</v>
      </c>
      <c r="G387" s="19" t="s">
        <v>568</v>
      </c>
      <c r="H387" s="76">
        <v>46214</v>
      </c>
      <c r="I387" s="19" t="s">
        <v>105</v>
      </c>
      <c r="J387" s="19" t="s">
        <v>1703</v>
      </c>
      <c r="K387" s="19" t="s">
        <v>1127</v>
      </c>
      <c r="L387" s="19" t="s">
        <v>1389</v>
      </c>
      <c r="M387" s="19" t="s">
        <v>1789</v>
      </c>
      <c r="N387" s="19">
        <v>4</v>
      </c>
      <c r="O387" s="19">
        <v>5800</v>
      </c>
      <c r="P387" s="19" t="s">
        <v>1789</v>
      </c>
      <c r="Q387" s="19">
        <v>7198</v>
      </c>
      <c r="R387" s="19">
        <v>9</v>
      </c>
      <c r="S387" s="19">
        <v>522</v>
      </c>
      <c r="T387" s="19">
        <v>9</v>
      </c>
      <c r="U387" s="19">
        <v>522</v>
      </c>
      <c r="V387" s="19">
        <v>0</v>
      </c>
      <c r="W387" s="19">
        <v>0</v>
      </c>
      <c r="X387" s="19">
        <v>54</v>
      </c>
      <c r="Y387" s="19">
        <v>1098</v>
      </c>
      <c r="Z387" s="19">
        <v>0</v>
      </c>
      <c r="AA387" s="19" t="s">
        <v>570</v>
      </c>
      <c r="AB387" s="19" t="s">
        <v>1555</v>
      </c>
      <c r="AC387" s="19">
        <v>903190</v>
      </c>
      <c r="AD387" s="19" t="s">
        <v>1092</v>
      </c>
      <c r="AE387" s="19">
        <v>1</v>
      </c>
      <c r="AF387" s="19">
        <v>0</v>
      </c>
      <c r="AG387" s="19" t="s">
        <v>1093</v>
      </c>
      <c r="AH387" s="19" t="s">
        <v>2319</v>
      </c>
    </row>
    <row r="388" spans="2:34" hidden="1" x14ac:dyDescent="0.35">
      <c r="B388" s="76">
        <v>46218</v>
      </c>
      <c r="C388" s="19" t="s">
        <v>597</v>
      </c>
      <c r="D388" s="19" t="s">
        <v>126</v>
      </c>
      <c r="E388" s="19" t="s">
        <v>595</v>
      </c>
      <c r="F388" s="19" t="s">
        <v>118</v>
      </c>
      <c r="G388" s="19" t="s">
        <v>596</v>
      </c>
      <c r="H388" s="76">
        <v>46218</v>
      </c>
      <c r="I388" s="19" t="s">
        <v>102</v>
      </c>
      <c r="J388" s="19" t="s">
        <v>1790</v>
      </c>
      <c r="K388" s="19" t="s">
        <v>1127</v>
      </c>
      <c r="L388" s="19" t="s">
        <v>1389</v>
      </c>
      <c r="M388" s="19" t="s">
        <v>1790</v>
      </c>
      <c r="N388" s="19">
        <v>1</v>
      </c>
      <c r="O388" s="19">
        <v>453.39</v>
      </c>
      <c r="P388" s="19" t="s">
        <v>1790</v>
      </c>
      <c r="Q388" s="19">
        <v>13259</v>
      </c>
      <c r="R388" s="19">
        <v>9</v>
      </c>
      <c r="S388" s="19">
        <v>40.81</v>
      </c>
      <c r="T388" s="19">
        <v>9</v>
      </c>
      <c r="U388" s="19">
        <v>40.81</v>
      </c>
      <c r="V388" s="19">
        <v>0</v>
      </c>
      <c r="W388" s="19">
        <v>0</v>
      </c>
      <c r="X388" s="19">
        <v>0</v>
      </c>
      <c r="Y388" s="19">
        <v>81.62</v>
      </c>
      <c r="Z388" s="19">
        <v>0</v>
      </c>
      <c r="AA388" s="19" t="s">
        <v>598</v>
      </c>
      <c r="AB388" s="19" t="s">
        <v>1572</v>
      </c>
      <c r="AC388" s="19">
        <v>84212300</v>
      </c>
      <c r="AD388" s="19" t="s">
        <v>1092</v>
      </c>
      <c r="AE388" s="19">
        <v>1</v>
      </c>
      <c r="AF388" s="19">
        <v>0</v>
      </c>
      <c r="AG388" s="19" t="s">
        <v>1093</v>
      </c>
      <c r="AH388" s="19" t="s">
        <v>2319</v>
      </c>
    </row>
    <row r="389" spans="2:34" hidden="1" x14ac:dyDescent="0.35">
      <c r="B389" s="76">
        <v>46218</v>
      </c>
      <c r="C389" s="19" t="s">
        <v>597</v>
      </c>
      <c r="D389" s="19" t="s">
        <v>126</v>
      </c>
      <c r="E389" s="19" t="s">
        <v>595</v>
      </c>
      <c r="F389" s="19" t="s">
        <v>118</v>
      </c>
      <c r="G389" s="19" t="s">
        <v>596</v>
      </c>
      <c r="H389" s="76">
        <v>46218</v>
      </c>
      <c r="I389" s="19" t="s">
        <v>105</v>
      </c>
      <c r="J389" s="19" t="s">
        <v>1791</v>
      </c>
      <c r="K389" s="19" t="s">
        <v>1127</v>
      </c>
      <c r="L389" s="19" t="s">
        <v>1389</v>
      </c>
      <c r="M389" s="19" t="s">
        <v>1792</v>
      </c>
      <c r="N389" s="19">
        <v>1</v>
      </c>
      <c r="O389" s="19">
        <v>1699.15</v>
      </c>
      <c r="P389" s="19" t="s">
        <v>1792</v>
      </c>
      <c r="Q389" s="19">
        <v>0</v>
      </c>
      <c r="R389" s="19">
        <v>9</v>
      </c>
      <c r="S389" s="19">
        <v>152.91999999999999</v>
      </c>
      <c r="T389" s="19">
        <v>9</v>
      </c>
      <c r="U389" s="19">
        <v>152.91999999999999</v>
      </c>
      <c r="V389" s="19">
        <v>0</v>
      </c>
      <c r="W389" s="19">
        <v>0</v>
      </c>
      <c r="X389" s="19">
        <v>0</v>
      </c>
      <c r="Y389" s="19">
        <v>305.83999999999997</v>
      </c>
      <c r="Z389" s="19">
        <v>0</v>
      </c>
      <c r="AA389" s="19" t="s">
        <v>598</v>
      </c>
      <c r="AB389" s="19" t="s">
        <v>1555</v>
      </c>
      <c r="AC389" s="19">
        <v>84219900</v>
      </c>
      <c r="AD389" s="19" t="s">
        <v>1092</v>
      </c>
      <c r="AE389" s="19">
        <v>1</v>
      </c>
      <c r="AF389" s="19">
        <v>0</v>
      </c>
      <c r="AG389" s="19" t="s">
        <v>1093</v>
      </c>
      <c r="AH389" s="19" t="s">
        <v>2319</v>
      </c>
    </row>
    <row r="390" spans="2:34" hidden="1" x14ac:dyDescent="0.35">
      <c r="B390" s="76">
        <v>46218</v>
      </c>
      <c r="C390" s="19" t="s">
        <v>597</v>
      </c>
      <c r="D390" s="19" t="s">
        <v>126</v>
      </c>
      <c r="E390" s="19" t="s">
        <v>595</v>
      </c>
      <c r="F390" s="19" t="s">
        <v>118</v>
      </c>
      <c r="G390" s="19" t="s">
        <v>596</v>
      </c>
      <c r="H390" s="76">
        <v>46218</v>
      </c>
      <c r="I390" s="19" t="s">
        <v>105</v>
      </c>
      <c r="J390" s="19" t="s">
        <v>1586</v>
      </c>
      <c r="K390" s="19" t="s">
        <v>1127</v>
      </c>
      <c r="L390" s="19" t="s">
        <v>1389</v>
      </c>
      <c r="M390" s="19" t="s">
        <v>1793</v>
      </c>
      <c r="N390" s="19">
        <v>1</v>
      </c>
      <c r="O390" s="19">
        <v>1608.47</v>
      </c>
      <c r="P390" s="19" t="s">
        <v>1793</v>
      </c>
      <c r="Q390" s="19">
        <v>0</v>
      </c>
      <c r="R390" s="19">
        <v>9</v>
      </c>
      <c r="S390" s="19">
        <v>144.76</v>
      </c>
      <c r="T390" s="19">
        <v>9</v>
      </c>
      <c r="U390" s="19">
        <v>144.76</v>
      </c>
      <c r="V390" s="19">
        <v>0</v>
      </c>
      <c r="W390" s="19">
        <v>0</v>
      </c>
      <c r="X390" s="19">
        <v>0</v>
      </c>
      <c r="Y390" s="19">
        <v>289.52</v>
      </c>
      <c r="Z390" s="19">
        <v>0</v>
      </c>
      <c r="AA390" s="19" t="s">
        <v>598</v>
      </c>
      <c r="AB390" s="19" t="s">
        <v>1794</v>
      </c>
      <c r="AC390" s="19">
        <v>28539000</v>
      </c>
      <c r="AD390" s="19" t="s">
        <v>1092</v>
      </c>
      <c r="AE390" s="19">
        <v>1</v>
      </c>
      <c r="AF390" s="19">
        <v>0</v>
      </c>
      <c r="AG390" s="19" t="s">
        <v>1093</v>
      </c>
      <c r="AH390" s="19" t="s">
        <v>2319</v>
      </c>
    </row>
    <row r="391" spans="2:34" hidden="1" x14ac:dyDescent="0.35">
      <c r="B391" s="76">
        <v>46218</v>
      </c>
      <c r="C391" s="19" t="s">
        <v>597</v>
      </c>
      <c r="D391" s="19" t="s">
        <v>126</v>
      </c>
      <c r="E391" s="19" t="s">
        <v>595</v>
      </c>
      <c r="F391" s="19" t="s">
        <v>118</v>
      </c>
      <c r="G391" s="19" t="s">
        <v>596</v>
      </c>
      <c r="H391" s="76">
        <v>46218</v>
      </c>
      <c r="I391" s="19" t="s">
        <v>102</v>
      </c>
      <c r="J391" s="19" t="s">
        <v>1126</v>
      </c>
      <c r="K391" s="19" t="s">
        <v>1127</v>
      </c>
      <c r="L391" s="19" t="s">
        <v>1389</v>
      </c>
      <c r="M391" s="19" t="s">
        <v>1795</v>
      </c>
      <c r="N391" s="19">
        <v>1</v>
      </c>
      <c r="O391" s="19">
        <v>7475.42</v>
      </c>
      <c r="P391" s="19" t="s">
        <v>1795</v>
      </c>
      <c r="Q391" s="19">
        <v>0</v>
      </c>
      <c r="R391" s="19">
        <v>9</v>
      </c>
      <c r="S391" s="19">
        <v>672.79</v>
      </c>
      <c r="T391" s="19">
        <v>9</v>
      </c>
      <c r="U391" s="19">
        <v>672.79</v>
      </c>
      <c r="V391" s="19">
        <v>0</v>
      </c>
      <c r="W391" s="19">
        <v>0</v>
      </c>
      <c r="X391" s="19">
        <v>0</v>
      </c>
      <c r="Y391" s="19">
        <v>1345.58</v>
      </c>
      <c r="Z391" s="19">
        <v>0</v>
      </c>
      <c r="AA391" s="19" t="s">
        <v>598</v>
      </c>
      <c r="AB391" s="19" t="s">
        <v>1555</v>
      </c>
      <c r="AC391" s="19">
        <v>27101980</v>
      </c>
      <c r="AD391" s="19" t="s">
        <v>1092</v>
      </c>
      <c r="AE391" s="19">
        <v>1</v>
      </c>
      <c r="AF391" s="19">
        <v>0</v>
      </c>
      <c r="AG391" s="19" t="s">
        <v>1093</v>
      </c>
      <c r="AH391" s="19" t="s">
        <v>2319</v>
      </c>
    </row>
    <row r="392" spans="2:34" hidden="1" x14ac:dyDescent="0.35">
      <c r="B392" s="76">
        <v>46218</v>
      </c>
      <c r="C392" s="19" t="s">
        <v>342</v>
      </c>
      <c r="D392" s="19" t="s">
        <v>126</v>
      </c>
      <c r="E392" s="19" t="s">
        <v>589</v>
      </c>
      <c r="F392" s="19" t="s">
        <v>121</v>
      </c>
      <c r="G392" s="19" t="s">
        <v>590</v>
      </c>
      <c r="H392" s="76">
        <v>46212</v>
      </c>
      <c r="I392" s="19" t="s">
        <v>105</v>
      </c>
      <c r="J392" s="19" t="s">
        <v>1579</v>
      </c>
      <c r="K392" s="19" t="s">
        <v>1127</v>
      </c>
      <c r="L392" s="19" t="s">
        <v>1389</v>
      </c>
      <c r="M392" s="19" t="s">
        <v>1796</v>
      </c>
      <c r="N392" s="19">
        <v>200</v>
      </c>
      <c r="O392" s="19">
        <v>3600</v>
      </c>
      <c r="P392" s="19" t="s">
        <v>1796</v>
      </c>
      <c r="Q392" s="19">
        <v>11340</v>
      </c>
      <c r="R392" s="19">
        <v>0</v>
      </c>
      <c r="S392" s="19">
        <v>0</v>
      </c>
      <c r="T392" s="19">
        <v>0</v>
      </c>
      <c r="U392" s="19">
        <v>0</v>
      </c>
      <c r="V392" s="19">
        <v>18</v>
      </c>
      <c r="W392" s="19">
        <v>648</v>
      </c>
      <c r="X392" s="19">
        <v>45</v>
      </c>
      <c r="Y392" s="19">
        <v>693</v>
      </c>
      <c r="Z392" s="19">
        <v>0</v>
      </c>
      <c r="AA392" s="19" t="s">
        <v>343</v>
      </c>
      <c r="AB392" s="19" t="s">
        <v>1555</v>
      </c>
      <c r="AC392" s="19">
        <v>84489099</v>
      </c>
      <c r="AD392" s="19" t="s">
        <v>1092</v>
      </c>
      <c r="AE392" s="19">
        <v>1</v>
      </c>
      <c r="AF392" s="19">
        <v>0</v>
      </c>
      <c r="AG392" s="19" t="s">
        <v>1093</v>
      </c>
      <c r="AH392" s="19" t="s">
        <v>2319</v>
      </c>
    </row>
    <row r="393" spans="2:34" hidden="1" x14ac:dyDescent="0.35">
      <c r="B393" s="76">
        <v>46218</v>
      </c>
      <c r="C393" s="19" t="s">
        <v>342</v>
      </c>
      <c r="D393" s="19" t="s">
        <v>126</v>
      </c>
      <c r="E393" s="19" t="s">
        <v>589</v>
      </c>
      <c r="F393" s="19" t="s">
        <v>121</v>
      </c>
      <c r="G393" s="19" t="s">
        <v>590</v>
      </c>
      <c r="H393" s="76">
        <v>46212</v>
      </c>
      <c r="I393" s="19" t="s">
        <v>105</v>
      </c>
      <c r="J393" s="19" t="s">
        <v>1579</v>
      </c>
      <c r="K393" s="19" t="s">
        <v>1127</v>
      </c>
      <c r="L393" s="19" t="s">
        <v>1389</v>
      </c>
      <c r="M393" s="19" t="s">
        <v>1797</v>
      </c>
      <c r="N393" s="19">
        <v>120</v>
      </c>
      <c r="O393" s="19">
        <v>5760</v>
      </c>
      <c r="P393" s="19" t="s">
        <v>1797</v>
      </c>
      <c r="Q393" s="19">
        <v>0</v>
      </c>
      <c r="R393" s="19">
        <v>0</v>
      </c>
      <c r="S393" s="19">
        <v>0</v>
      </c>
      <c r="T393" s="19">
        <v>0</v>
      </c>
      <c r="U393" s="19">
        <v>0</v>
      </c>
      <c r="V393" s="19">
        <v>18</v>
      </c>
      <c r="W393" s="19">
        <v>1036.8</v>
      </c>
      <c r="X393" s="19">
        <v>45</v>
      </c>
      <c r="Y393" s="19">
        <v>1081.8</v>
      </c>
      <c r="Z393" s="19">
        <v>0</v>
      </c>
      <c r="AA393" s="19" t="s">
        <v>343</v>
      </c>
      <c r="AB393" s="19" t="s">
        <v>1555</v>
      </c>
      <c r="AC393" s="19">
        <v>84489099</v>
      </c>
      <c r="AD393" s="19" t="s">
        <v>1092</v>
      </c>
      <c r="AE393" s="19">
        <v>1</v>
      </c>
      <c r="AF393" s="19">
        <v>0</v>
      </c>
      <c r="AG393" s="19" t="s">
        <v>1093</v>
      </c>
      <c r="AH393" s="19" t="s">
        <v>2319</v>
      </c>
    </row>
    <row r="394" spans="2:34" hidden="1" x14ac:dyDescent="0.35">
      <c r="B394" s="76">
        <v>46218</v>
      </c>
      <c r="C394" s="19" t="s">
        <v>342</v>
      </c>
      <c r="D394" s="19" t="s">
        <v>126</v>
      </c>
      <c r="E394" s="19" t="s">
        <v>591</v>
      </c>
      <c r="F394" s="19" t="s">
        <v>121</v>
      </c>
      <c r="G394" s="19" t="s">
        <v>592</v>
      </c>
      <c r="H394" s="76">
        <v>46212</v>
      </c>
      <c r="I394" s="19" t="s">
        <v>105</v>
      </c>
      <c r="J394" s="19" t="s">
        <v>1579</v>
      </c>
      <c r="K394" s="19" t="s">
        <v>1127</v>
      </c>
      <c r="L394" s="19" t="s">
        <v>1389</v>
      </c>
      <c r="M394" s="19" t="s">
        <v>1798</v>
      </c>
      <c r="N394" s="19">
        <v>100</v>
      </c>
      <c r="O394" s="19">
        <v>2800</v>
      </c>
      <c r="P394" s="19" t="s">
        <v>1798</v>
      </c>
      <c r="Q394" s="19">
        <v>3599</v>
      </c>
      <c r="R394" s="19">
        <v>0</v>
      </c>
      <c r="S394" s="19">
        <v>0</v>
      </c>
      <c r="T394" s="19">
        <v>0</v>
      </c>
      <c r="U394" s="19">
        <v>0</v>
      </c>
      <c r="V394" s="19">
        <v>18</v>
      </c>
      <c r="W394" s="19">
        <v>504</v>
      </c>
      <c r="X394" s="19">
        <v>45</v>
      </c>
      <c r="Y394" s="19">
        <v>549</v>
      </c>
      <c r="Z394" s="19">
        <v>0</v>
      </c>
      <c r="AA394" s="19" t="s">
        <v>343</v>
      </c>
      <c r="AB394" s="19" t="s">
        <v>1555</v>
      </c>
      <c r="AC394" s="19">
        <v>84463090</v>
      </c>
      <c r="AD394" s="19" t="s">
        <v>1092</v>
      </c>
      <c r="AE394" s="19">
        <v>1</v>
      </c>
      <c r="AF394" s="19">
        <v>0</v>
      </c>
      <c r="AG394" s="19" t="s">
        <v>1093</v>
      </c>
      <c r="AH394" s="19" t="s">
        <v>2319</v>
      </c>
    </row>
    <row r="395" spans="2:34" hidden="1" x14ac:dyDescent="0.35">
      <c r="B395" s="76">
        <v>46218</v>
      </c>
      <c r="C395" s="19" t="s">
        <v>342</v>
      </c>
      <c r="D395" s="19" t="s">
        <v>126</v>
      </c>
      <c r="E395" s="19" t="s">
        <v>593</v>
      </c>
      <c r="F395" s="19" t="s">
        <v>121</v>
      </c>
      <c r="G395" s="19" t="s">
        <v>594</v>
      </c>
      <c r="H395" s="76">
        <v>46212</v>
      </c>
      <c r="I395" s="19" t="s">
        <v>105</v>
      </c>
      <c r="J395" s="19" t="s">
        <v>1579</v>
      </c>
      <c r="K395" s="19" t="s">
        <v>1127</v>
      </c>
      <c r="L395" s="19" t="s">
        <v>1389</v>
      </c>
      <c r="M395" s="19" t="s">
        <v>1799</v>
      </c>
      <c r="N395" s="19">
        <v>50</v>
      </c>
      <c r="O395" s="19">
        <v>4250</v>
      </c>
      <c r="P395" s="19" t="s">
        <v>1799</v>
      </c>
      <c r="Q395" s="19">
        <v>5015</v>
      </c>
      <c r="R395" s="19">
        <v>0</v>
      </c>
      <c r="S395" s="19">
        <v>0</v>
      </c>
      <c r="T395" s="19">
        <v>0</v>
      </c>
      <c r="U395" s="19">
        <v>0</v>
      </c>
      <c r="V395" s="19">
        <v>18</v>
      </c>
      <c r="W395" s="19">
        <v>765</v>
      </c>
      <c r="X395" s="19">
        <v>0</v>
      </c>
      <c r="Y395" s="19">
        <v>765</v>
      </c>
      <c r="Z395" s="19">
        <v>0</v>
      </c>
      <c r="AA395" s="19" t="s">
        <v>343</v>
      </c>
      <c r="AB395" s="19" t="s">
        <v>1555</v>
      </c>
      <c r="AC395" s="19">
        <v>84484990</v>
      </c>
      <c r="AD395" s="19" t="s">
        <v>1092</v>
      </c>
      <c r="AE395" s="19">
        <v>1</v>
      </c>
      <c r="AF395" s="19">
        <v>0</v>
      </c>
      <c r="AG395" s="19" t="s">
        <v>1093</v>
      </c>
      <c r="AH395" s="19" t="s">
        <v>2319</v>
      </c>
    </row>
    <row r="396" spans="2:34" hidden="1" x14ac:dyDescent="0.35">
      <c r="B396" s="76">
        <v>46218</v>
      </c>
      <c r="C396" s="19" t="s">
        <v>138</v>
      </c>
      <c r="D396" s="19" t="s">
        <v>7</v>
      </c>
      <c r="E396" s="19" t="s">
        <v>587</v>
      </c>
      <c r="F396" s="19" t="s">
        <v>119</v>
      </c>
      <c r="G396" s="19" t="s">
        <v>588</v>
      </c>
      <c r="H396" s="76">
        <v>46217</v>
      </c>
      <c r="I396" s="19" t="s">
        <v>105</v>
      </c>
      <c r="J396" s="19" t="s">
        <v>1142</v>
      </c>
      <c r="K396" s="19" t="s">
        <v>1509</v>
      </c>
      <c r="L396" s="19" t="s">
        <v>1509</v>
      </c>
      <c r="M396" s="19" t="s">
        <v>1196</v>
      </c>
      <c r="N396" s="19">
        <v>291</v>
      </c>
      <c r="O396" s="19">
        <v>13968</v>
      </c>
      <c r="P396" s="19" t="s">
        <v>1196</v>
      </c>
      <c r="Q396" s="19">
        <v>16468.27</v>
      </c>
      <c r="R396" s="19">
        <v>9</v>
      </c>
      <c r="S396" s="19">
        <v>1257.1199999999999</v>
      </c>
      <c r="T396" s="19">
        <v>9</v>
      </c>
      <c r="U396" s="19">
        <v>1257.1199999999999</v>
      </c>
      <c r="V396" s="19">
        <v>0</v>
      </c>
      <c r="W396" s="19">
        <v>0</v>
      </c>
      <c r="X396" s="19">
        <v>0</v>
      </c>
      <c r="Y396" s="19">
        <v>2514.2399999999998</v>
      </c>
      <c r="Z396" s="19">
        <v>0</v>
      </c>
      <c r="AA396" s="19" t="s">
        <v>135</v>
      </c>
      <c r="AB396" s="19" t="s">
        <v>1289</v>
      </c>
      <c r="AC396" s="19">
        <v>73063090</v>
      </c>
      <c r="AD396" s="19" t="s">
        <v>1092</v>
      </c>
      <c r="AE396" s="19">
        <v>1</v>
      </c>
      <c r="AF396" s="19">
        <v>0</v>
      </c>
      <c r="AG396" s="19" t="s">
        <v>1093</v>
      </c>
      <c r="AH396" s="19" t="s">
        <v>2319</v>
      </c>
    </row>
    <row r="397" spans="2:34" x14ac:dyDescent="0.35">
      <c r="B397" s="76">
        <v>46218</v>
      </c>
      <c r="C397" s="19" t="s">
        <v>138</v>
      </c>
      <c r="D397" s="19" t="s">
        <v>173</v>
      </c>
      <c r="E397" s="19" t="s">
        <v>599</v>
      </c>
      <c r="F397" s="19" t="s">
        <v>123</v>
      </c>
      <c r="G397" s="19" t="s">
        <v>600</v>
      </c>
      <c r="H397" s="76">
        <v>46217</v>
      </c>
      <c r="I397" s="19" t="s">
        <v>36</v>
      </c>
      <c r="J397" s="19" t="s">
        <v>1117</v>
      </c>
      <c r="K397" s="19" t="s">
        <v>44</v>
      </c>
      <c r="L397" s="19" t="s">
        <v>1118</v>
      </c>
      <c r="M397" s="19" t="s">
        <v>1119</v>
      </c>
      <c r="N397" s="19">
        <v>241</v>
      </c>
      <c r="O397" s="19">
        <v>95195</v>
      </c>
      <c r="P397" s="19" t="s">
        <v>1119</v>
      </c>
      <c r="Q397" s="19">
        <v>112234.81</v>
      </c>
      <c r="R397" s="19">
        <v>9</v>
      </c>
      <c r="S397" s="19">
        <v>8567.5499999999993</v>
      </c>
      <c r="T397" s="19">
        <v>9</v>
      </c>
      <c r="U397" s="19">
        <v>8567.5499999999993</v>
      </c>
      <c r="V397" s="19">
        <v>0</v>
      </c>
      <c r="W397" s="19">
        <v>0</v>
      </c>
      <c r="X397" s="19">
        <v>0</v>
      </c>
      <c r="Y397" s="19">
        <v>17135.099999999999</v>
      </c>
      <c r="Z397" s="19">
        <v>0</v>
      </c>
      <c r="AA397" s="19" t="s">
        <v>135</v>
      </c>
      <c r="AB397" s="19" t="s">
        <v>1289</v>
      </c>
      <c r="AC397" s="19">
        <v>39269080</v>
      </c>
      <c r="AD397" s="19" t="s">
        <v>1092</v>
      </c>
      <c r="AE397" s="19">
        <v>1</v>
      </c>
      <c r="AF397" s="19">
        <v>241</v>
      </c>
      <c r="AG397" s="19" t="s">
        <v>1093</v>
      </c>
      <c r="AH397" s="19" t="s">
        <v>44</v>
      </c>
    </row>
    <row r="398" spans="2:34" x14ac:dyDescent="0.35">
      <c r="B398" s="76">
        <v>46218</v>
      </c>
      <c r="C398" s="19" t="s">
        <v>138</v>
      </c>
      <c r="D398" s="19" t="s">
        <v>173</v>
      </c>
      <c r="E398" s="19" t="s">
        <v>601</v>
      </c>
      <c r="F398" s="19" t="s">
        <v>123</v>
      </c>
      <c r="G398" s="19" t="s">
        <v>602</v>
      </c>
      <c r="H398" s="76">
        <v>46217</v>
      </c>
      <c r="I398" s="19" t="s">
        <v>36</v>
      </c>
      <c r="J398" s="19" t="s">
        <v>1350</v>
      </c>
      <c r="K398" s="19" t="s">
        <v>39</v>
      </c>
      <c r="L398" s="19" t="s">
        <v>1351</v>
      </c>
      <c r="M398" s="19" t="s">
        <v>1352</v>
      </c>
      <c r="N398" s="19">
        <v>1231.4000000000001</v>
      </c>
      <c r="O398" s="19">
        <v>254628.89199999999</v>
      </c>
      <c r="P398" s="19" t="s">
        <v>1352</v>
      </c>
      <c r="Q398" s="19">
        <v>1901531.93</v>
      </c>
      <c r="R398" s="19">
        <v>9</v>
      </c>
      <c r="S398" s="19">
        <v>22916.6</v>
      </c>
      <c r="T398" s="19">
        <v>9</v>
      </c>
      <c r="U398" s="19">
        <v>22916.6</v>
      </c>
      <c r="V398" s="19">
        <v>0</v>
      </c>
      <c r="W398" s="19">
        <v>0</v>
      </c>
      <c r="X398" s="19">
        <v>0</v>
      </c>
      <c r="Y398" s="19">
        <v>45833.2</v>
      </c>
      <c r="Z398" s="19">
        <v>0</v>
      </c>
      <c r="AA398" s="19" t="s">
        <v>135</v>
      </c>
      <c r="AB398" s="19" t="s">
        <v>1289</v>
      </c>
      <c r="AC398" s="19">
        <v>39200000</v>
      </c>
      <c r="AD398" s="19" t="s">
        <v>1092</v>
      </c>
      <c r="AE398" s="19">
        <v>1</v>
      </c>
      <c r="AF398" s="19">
        <v>1231.4000000000001</v>
      </c>
      <c r="AG398" s="19" t="s">
        <v>1093</v>
      </c>
      <c r="AH398" s="19" t="s">
        <v>39</v>
      </c>
    </row>
    <row r="399" spans="2:34" x14ac:dyDescent="0.35">
      <c r="B399" s="76">
        <v>46218</v>
      </c>
      <c r="C399" s="19" t="s">
        <v>138</v>
      </c>
      <c r="D399" s="19" t="s">
        <v>173</v>
      </c>
      <c r="E399" s="19" t="s">
        <v>601</v>
      </c>
      <c r="F399" s="19" t="s">
        <v>123</v>
      </c>
      <c r="G399" s="19" t="s">
        <v>602</v>
      </c>
      <c r="H399" s="76">
        <v>46217</v>
      </c>
      <c r="I399" s="19" t="s">
        <v>36</v>
      </c>
      <c r="J399" s="19" t="s">
        <v>1117</v>
      </c>
      <c r="K399" s="19" t="s">
        <v>44</v>
      </c>
      <c r="L399" s="19" t="s">
        <v>1118</v>
      </c>
      <c r="M399" s="19" t="s">
        <v>1119</v>
      </c>
      <c r="N399" s="19">
        <v>2596</v>
      </c>
      <c r="O399" s="19">
        <v>375096.04</v>
      </c>
      <c r="P399" s="19" t="s">
        <v>1119</v>
      </c>
      <c r="Q399" s="19">
        <v>0</v>
      </c>
      <c r="R399" s="19">
        <v>9</v>
      </c>
      <c r="S399" s="19">
        <v>33758.639999999999</v>
      </c>
      <c r="T399" s="19">
        <v>9</v>
      </c>
      <c r="U399" s="19">
        <v>33758.639999999999</v>
      </c>
      <c r="V399" s="19">
        <v>0</v>
      </c>
      <c r="W399" s="19">
        <v>0</v>
      </c>
      <c r="X399" s="19">
        <v>0</v>
      </c>
      <c r="Y399" s="19">
        <v>67517.279999999999</v>
      </c>
      <c r="Z399" s="19">
        <v>0</v>
      </c>
      <c r="AA399" s="19" t="s">
        <v>135</v>
      </c>
      <c r="AB399" s="19" t="s">
        <v>1289</v>
      </c>
      <c r="AC399" s="19">
        <v>39269080</v>
      </c>
      <c r="AD399" s="19" t="s">
        <v>1092</v>
      </c>
      <c r="AE399" s="19">
        <v>1</v>
      </c>
      <c r="AF399" s="19">
        <v>2596</v>
      </c>
      <c r="AG399" s="19" t="s">
        <v>1093</v>
      </c>
      <c r="AH399" s="19" t="s">
        <v>44</v>
      </c>
    </row>
    <row r="400" spans="2:34" x14ac:dyDescent="0.35">
      <c r="B400" s="76">
        <v>46218</v>
      </c>
      <c r="C400" s="19" t="s">
        <v>138</v>
      </c>
      <c r="D400" s="19" t="s">
        <v>173</v>
      </c>
      <c r="E400" s="19" t="s">
        <v>601</v>
      </c>
      <c r="F400" s="19" t="s">
        <v>123</v>
      </c>
      <c r="G400" s="19" t="s">
        <v>602</v>
      </c>
      <c r="H400" s="76">
        <v>46217</v>
      </c>
      <c r="I400" s="19" t="s">
        <v>36</v>
      </c>
      <c r="J400" s="19" t="s">
        <v>1117</v>
      </c>
      <c r="K400" s="19" t="s">
        <v>44</v>
      </c>
      <c r="L400" s="19" t="s">
        <v>1118</v>
      </c>
      <c r="M400" s="19" t="s">
        <v>1119</v>
      </c>
      <c r="N400" s="19">
        <v>3111</v>
      </c>
      <c r="O400" s="19">
        <v>458841.39</v>
      </c>
      <c r="P400" s="19" t="s">
        <v>1119</v>
      </c>
      <c r="Q400" s="19">
        <v>0</v>
      </c>
      <c r="R400" s="19">
        <v>9</v>
      </c>
      <c r="S400" s="19">
        <v>41295.730000000003</v>
      </c>
      <c r="T400" s="19">
        <v>9</v>
      </c>
      <c r="U400" s="19">
        <v>41295.730000000003</v>
      </c>
      <c r="V400" s="19">
        <v>0</v>
      </c>
      <c r="W400" s="19">
        <v>0</v>
      </c>
      <c r="X400" s="19">
        <v>0</v>
      </c>
      <c r="Y400" s="19">
        <v>82591.460000000006</v>
      </c>
      <c r="Z400" s="19">
        <v>0</v>
      </c>
      <c r="AA400" s="19" t="s">
        <v>135</v>
      </c>
      <c r="AB400" s="19" t="s">
        <v>1289</v>
      </c>
      <c r="AC400" s="19">
        <v>39269080</v>
      </c>
      <c r="AD400" s="19" t="s">
        <v>1092</v>
      </c>
      <c r="AE400" s="19">
        <v>1</v>
      </c>
      <c r="AF400" s="19">
        <v>3111</v>
      </c>
      <c r="AG400" s="19" t="s">
        <v>1093</v>
      </c>
      <c r="AH400" s="19" t="s">
        <v>44</v>
      </c>
    </row>
    <row r="401" spans="2:34" x14ac:dyDescent="0.35">
      <c r="B401" s="76">
        <v>46218</v>
      </c>
      <c r="C401" s="19" t="s">
        <v>138</v>
      </c>
      <c r="D401" s="19" t="s">
        <v>173</v>
      </c>
      <c r="E401" s="19" t="s">
        <v>601</v>
      </c>
      <c r="F401" s="19" t="s">
        <v>123</v>
      </c>
      <c r="G401" s="19" t="s">
        <v>602</v>
      </c>
      <c r="H401" s="76">
        <v>46217</v>
      </c>
      <c r="I401" s="19" t="s">
        <v>36</v>
      </c>
      <c r="J401" s="19" t="s">
        <v>1117</v>
      </c>
      <c r="K401" s="19" t="s">
        <v>44</v>
      </c>
      <c r="L401" s="19" t="s">
        <v>1118</v>
      </c>
      <c r="M401" s="19" t="s">
        <v>1119</v>
      </c>
      <c r="N401" s="19">
        <v>1307</v>
      </c>
      <c r="O401" s="19">
        <v>195383.43</v>
      </c>
      <c r="P401" s="19" t="s">
        <v>1119</v>
      </c>
      <c r="Q401" s="19">
        <v>0</v>
      </c>
      <c r="R401" s="19">
        <v>9</v>
      </c>
      <c r="S401" s="19">
        <v>17584.509999999998</v>
      </c>
      <c r="T401" s="19">
        <v>9</v>
      </c>
      <c r="U401" s="19">
        <v>17584.509999999998</v>
      </c>
      <c r="V401" s="19">
        <v>0</v>
      </c>
      <c r="W401" s="19">
        <v>0</v>
      </c>
      <c r="X401" s="19">
        <v>0</v>
      </c>
      <c r="Y401" s="19">
        <v>35169.019999999997</v>
      </c>
      <c r="Z401" s="19">
        <v>0</v>
      </c>
      <c r="AA401" s="19" t="s">
        <v>135</v>
      </c>
      <c r="AB401" s="19" t="s">
        <v>1289</v>
      </c>
      <c r="AC401" s="19">
        <v>39269080</v>
      </c>
      <c r="AD401" s="19" t="s">
        <v>1092</v>
      </c>
      <c r="AE401" s="19">
        <v>1</v>
      </c>
      <c r="AF401" s="19">
        <v>1307</v>
      </c>
      <c r="AG401" s="19" t="s">
        <v>1093</v>
      </c>
      <c r="AH401" s="19" t="s">
        <v>44</v>
      </c>
    </row>
    <row r="402" spans="2:34" x14ac:dyDescent="0.35">
      <c r="B402" s="76">
        <v>46218</v>
      </c>
      <c r="C402" s="19" t="s">
        <v>138</v>
      </c>
      <c r="D402" s="19" t="s">
        <v>173</v>
      </c>
      <c r="E402" s="19" t="s">
        <v>601</v>
      </c>
      <c r="F402" s="19" t="s">
        <v>123</v>
      </c>
      <c r="G402" s="19" t="s">
        <v>602</v>
      </c>
      <c r="H402" s="76">
        <v>46217</v>
      </c>
      <c r="I402" s="19" t="s">
        <v>36</v>
      </c>
      <c r="J402" s="19" t="s">
        <v>1117</v>
      </c>
      <c r="K402" s="19" t="s">
        <v>42</v>
      </c>
      <c r="L402" s="19" t="s">
        <v>1242</v>
      </c>
      <c r="M402" s="19" t="s">
        <v>1154</v>
      </c>
      <c r="N402" s="19">
        <v>2171</v>
      </c>
      <c r="O402" s="19">
        <v>328884.78999999998</v>
      </c>
      <c r="P402" s="19" t="s">
        <v>1154</v>
      </c>
      <c r="Q402" s="19">
        <v>0</v>
      </c>
      <c r="R402" s="19">
        <v>9</v>
      </c>
      <c r="S402" s="19">
        <v>29599.63</v>
      </c>
      <c r="T402" s="19">
        <v>9</v>
      </c>
      <c r="U402" s="19">
        <v>29599.63</v>
      </c>
      <c r="V402" s="19">
        <v>0</v>
      </c>
      <c r="W402" s="19">
        <v>0</v>
      </c>
      <c r="X402" s="19">
        <v>0</v>
      </c>
      <c r="Y402" s="19">
        <v>59199.26</v>
      </c>
      <c r="Z402" s="19">
        <v>0</v>
      </c>
      <c r="AA402" s="19" t="s">
        <v>135</v>
      </c>
      <c r="AB402" s="19" t="s">
        <v>1289</v>
      </c>
      <c r="AC402" s="19">
        <v>63053300</v>
      </c>
      <c r="AD402" s="19" t="s">
        <v>1092</v>
      </c>
      <c r="AE402" s="19">
        <v>1</v>
      </c>
      <c r="AF402" s="19">
        <v>2171</v>
      </c>
      <c r="AG402" s="19" t="s">
        <v>1093</v>
      </c>
      <c r="AH402" s="19" t="s">
        <v>42</v>
      </c>
    </row>
    <row r="403" spans="2:34" x14ac:dyDescent="0.35">
      <c r="B403" s="76">
        <v>46218</v>
      </c>
      <c r="C403" s="19" t="s">
        <v>134</v>
      </c>
      <c r="D403" s="19" t="s">
        <v>173</v>
      </c>
      <c r="E403" s="19" t="s">
        <v>603</v>
      </c>
      <c r="F403" s="19" t="s">
        <v>123</v>
      </c>
      <c r="G403" s="19" t="s">
        <v>604</v>
      </c>
      <c r="H403" s="76">
        <v>46217</v>
      </c>
      <c r="I403" s="19" t="s">
        <v>28</v>
      </c>
      <c r="J403" s="19" t="s">
        <v>1173</v>
      </c>
      <c r="K403" s="19" t="s">
        <v>34</v>
      </c>
      <c r="L403" s="19" t="s">
        <v>1105</v>
      </c>
      <c r="M403" s="19" t="s">
        <v>1781</v>
      </c>
      <c r="N403" s="19">
        <v>1000</v>
      </c>
      <c r="O403" s="19">
        <v>136631</v>
      </c>
      <c r="P403" s="19" t="s">
        <v>1781</v>
      </c>
      <c r="Q403" s="19">
        <v>161087.95000000001</v>
      </c>
      <c r="R403" s="19">
        <v>9</v>
      </c>
      <c r="S403" s="19">
        <v>12296.79</v>
      </c>
      <c r="T403" s="19">
        <v>9</v>
      </c>
      <c r="U403" s="19">
        <v>12296.79</v>
      </c>
      <c r="V403" s="19">
        <v>0</v>
      </c>
      <c r="W403" s="19">
        <v>0</v>
      </c>
      <c r="X403" s="19">
        <v>0</v>
      </c>
      <c r="Y403" s="19">
        <v>24593.58</v>
      </c>
      <c r="Z403" s="19">
        <v>0</v>
      </c>
      <c r="AA403" s="19" t="s">
        <v>135</v>
      </c>
      <c r="AB403" s="19" t="s">
        <v>1289</v>
      </c>
      <c r="AC403" s="19">
        <v>39021000</v>
      </c>
      <c r="AD403" s="19" t="s">
        <v>1092</v>
      </c>
      <c r="AE403" s="19">
        <v>1</v>
      </c>
      <c r="AF403" s="19">
        <v>1000</v>
      </c>
      <c r="AG403" s="19" t="s">
        <v>1093</v>
      </c>
      <c r="AH403" s="19" t="s">
        <v>34</v>
      </c>
    </row>
    <row r="404" spans="2:34" hidden="1" x14ac:dyDescent="0.35">
      <c r="B404" s="76">
        <v>46219</v>
      </c>
      <c r="C404" s="19" t="s">
        <v>535</v>
      </c>
      <c r="D404" s="19" t="s">
        <v>126</v>
      </c>
      <c r="E404" s="19" t="s">
        <v>605</v>
      </c>
      <c r="F404" s="19" t="s">
        <v>118</v>
      </c>
      <c r="G404" s="19">
        <v>2483</v>
      </c>
      <c r="H404" s="76">
        <v>46216</v>
      </c>
      <c r="I404" s="19" t="s">
        <v>102</v>
      </c>
      <c r="J404" s="19" t="s">
        <v>1800</v>
      </c>
      <c r="K404" s="19" t="s">
        <v>1127</v>
      </c>
      <c r="L404" s="19" t="s">
        <v>102</v>
      </c>
      <c r="M404" s="19" t="s">
        <v>1801</v>
      </c>
      <c r="N404" s="19">
        <v>4</v>
      </c>
      <c r="O404" s="19">
        <v>960</v>
      </c>
      <c r="P404" s="19" t="s">
        <v>1801</v>
      </c>
      <c r="Q404" s="19">
        <v>1416</v>
      </c>
      <c r="R404" s="19">
        <v>9</v>
      </c>
      <c r="S404" s="19">
        <v>86.4</v>
      </c>
      <c r="T404" s="19">
        <v>9</v>
      </c>
      <c r="U404" s="19">
        <v>86.4</v>
      </c>
      <c r="V404" s="19">
        <v>0</v>
      </c>
      <c r="W404" s="19">
        <v>0</v>
      </c>
      <c r="X404" s="19">
        <v>0</v>
      </c>
      <c r="Y404" s="19">
        <v>172.8</v>
      </c>
      <c r="Z404" s="19">
        <v>0</v>
      </c>
      <c r="AA404" s="19" t="s">
        <v>536</v>
      </c>
      <c r="AB404" s="19" t="s">
        <v>1764</v>
      </c>
      <c r="AC404" s="19">
        <v>52051210</v>
      </c>
      <c r="AD404" s="19" t="s">
        <v>1092</v>
      </c>
      <c r="AE404" s="19">
        <v>1</v>
      </c>
      <c r="AF404" s="19">
        <v>0</v>
      </c>
      <c r="AG404" s="19" t="s">
        <v>1093</v>
      </c>
      <c r="AH404" s="19" t="s">
        <v>2319</v>
      </c>
    </row>
    <row r="405" spans="2:34" hidden="1" x14ac:dyDescent="0.35">
      <c r="B405" s="76">
        <v>46219</v>
      </c>
      <c r="C405" s="19" t="s">
        <v>535</v>
      </c>
      <c r="D405" s="19" t="s">
        <v>126</v>
      </c>
      <c r="E405" s="19" t="s">
        <v>605</v>
      </c>
      <c r="F405" s="19" t="s">
        <v>118</v>
      </c>
      <c r="G405" s="19">
        <v>2483</v>
      </c>
      <c r="H405" s="76">
        <v>46216</v>
      </c>
      <c r="I405" s="19" t="s">
        <v>102</v>
      </c>
      <c r="J405" s="19" t="s">
        <v>1800</v>
      </c>
      <c r="K405" s="19" t="s">
        <v>1127</v>
      </c>
      <c r="L405" s="19" t="s">
        <v>102</v>
      </c>
      <c r="M405" s="19" t="s">
        <v>1802</v>
      </c>
      <c r="N405" s="19">
        <v>2</v>
      </c>
      <c r="O405" s="19">
        <v>240</v>
      </c>
      <c r="P405" s="19" t="s">
        <v>1802</v>
      </c>
      <c r="Q405" s="19">
        <v>0</v>
      </c>
      <c r="R405" s="19">
        <v>9</v>
      </c>
      <c r="S405" s="19">
        <v>21.6</v>
      </c>
      <c r="T405" s="19">
        <v>9</v>
      </c>
      <c r="U405" s="19">
        <v>21.6</v>
      </c>
      <c r="V405" s="19">
        <v>0</v>
      </c>
      <c r="W405" s="19">
        <v>0</v>
      </c>
      <c r="X405" s="19">
        <v>0</v>
      </c>
      <c r="Y405" s="19">
        <v>43.2</v>
      </c>
      <c r="Z405" s="19">
        <v>0</v>
      </c>
      <c r="AA405" s="19" t="s">
        <v>536</v>
      </c>
      <c r="AB405" s="19" t="s">
        <v>1555</v>
      </c>
      <c r="AC405" s="19">
        <v>32081010</v>
      </c>
      <c r="AD405" s="19" t="s">
        <v>1092</v>
      </c>
      <c r="AE405" s="19">
        <v>1</v>
      </c>
      <c r="AF405" s="19">
        <v>0</v>
      </c>
      <c r="AG405" s="19" t="s">
        <v>1093</v>
      </c>
      <c r="AH405" s="19" t="s">
        <v>2319</v>
      </c>
    </row>
    <row r="406" spans="2:34" x14ac:dyDescent="0.35">
      <c r="B406" s="76">
        <v>46219</v>
      </c>
      <c r="C406" s="19" t="s">
        <v>178</v>
      </c>
      <c r="D406" s="19" t="s">
        <v>173</v>
      </c>
      <c r="E406" s="19" t="s">
        <v>629</v>
      </c>
      <c r="F406" s="19" t="s">
        <v>123</v>
      </c>
      <c r="G406" s="19" t="s">
        <v>630</v>
      </c>
      <c r="H406" s="76">
        <v>46218</v>
      </c>
      <c r="I406" s="19" t="s">
        <v>36</v>
      </c>
      <c r="J406" s="19" t="s">
        <v>1117</v>
      </c>
      <c r="K406" s="19" t="s">
        <v>44</v>
      </c>
      <c r="L406" s="19" t="s">
        <v>1118</v>
      </c>
      <c r="M406" s="19" t="s">
        <v>1119</v>
      </c>
      <c r="N406" s="19">
        <v>4282</v>
      </c>
      <c r="O406" s="19">
        <v>670090.18000000005</v>
      </c>
      <c r="P406" s="19" t="s">
        <v>1119</v>
      </c>
      <c r="Q406" s="19">
        <v>1127075</v>
      </c>
      <c r="R406" s="19">
        <v>9</v>
      </c>
      <c r="S406" s="19">
        <v>60308.12</v>
      </c>
      <c r="T406" s="19">
        <v>9</v>
      </c>
      <c r="U406" s="19">
        <v>60308.12</v>
      </c>
      <c r="V406" s="19">
        <v>0</v>
      </c>
      <c r="W406" s="19">
        <v>0</v>
      </c>
      <c r="X406" s="19">
        <v>0</v>
      </c>
      <c r="Y406" s="19">
        <v>120616.24</v>
      </c>
      <c r="Z406" s="19">
        <v>0</v>
      </c>
      <c r="AA406" s="19" t="s">
        <v>179</v>
      </c>
      <c r="AB406" s="19" t="s">
        <v>1289</v>
      </c>
      <c r="AC406" s="19">
        <v>39269080</v>
      </c>
      <c r="AD406" s="19" t="s">
        <v>1092</v>
      </c>
      <c r="AE406" s="19">
        <v>1</v>
      </c>
      <c r="AF406" s="19">
        <f t="shared" ref="AF406:AF411" si="17">N406</f>
        <v>4282</v>
      </c>
      <c r="AG406" s="19" t="s">
        <v>1093</v>
      </c>
      <c r="AH406" s="19" t="s">
        <v>44</v>
      </c>
    </row>
    <row r="407" spans="2:34" x14ac:dyDescent="0.35">
      <c r="B407" s="76">
        <v>46219</v>
      </c>
      <c r="C407" s="19" t="s">
        <v>178</v>
      </c>
      <c r="D407" s="19" t="s">
        <v>173</v>
      </c>
      <c r="E407" s="19" t="s">
        <v>629</v>
      </c>
      <c r="F407" s="19" t="s">
        <v>123</v>
      </c>
      <c r="G407" s="19" t="s">
        <v>630</v>
      </c>
      <c r="H407" s="76">
        <v>46218</v>
      </c>
      <c r="I407" s="19" t="s">
        <v>36</v>
      </c>
      <c r="J407" s="19" t="s">
        <v>1117</v>
      </c>
      <c r="K407" s="19" t="s">
        <v>44</v>
      </c>
      <c r="L407" s="19" t="s">
        <v>1118</v>
      </c>
      <c r="M407" s="19" t="s">
        <v>1119</v>
      </c>
      <c r="N407" s="19">
        <v>146</v>
      </c>
      <c r="O407" s="19">
        <v>22555.54</v>
      </c>
      <c r="P407" s="19" t="s">
        <v>1119</v>
      </c>
      <c r="Q407" s="19">
        <v>0</v>
      </c>
      <c r="R407" s="19">
        <v>9</v>
      </c>
      <c r="S407" s="19">
        <v>2030</v>
      </c>
      <c r="T407" s="19">
        <v>9</v>
      </c>
      <c r="U407" s="19">
        <v>2030</v>
      </c>
      <c r="V407" s="19">
        <v>0</v>
      </c>
      <c r="W407" s="19">
        <v>0</v>
      </c>
      <c r="X407" s="19">
        <v>0</v>
      </c>
      <c r="Y407" s="19">
        <v>4060</v>
      </c>
      <c r="Z407" s="19">
        <v>0</v>
      </c>
      <c r="AA407" s="19" t="s">
        <v>179</v>
      </c>
      <c r="AB407" s="19" t="s">
        <v>1289</v>
      </c>
      <c r="AC407" s="19">
        <v>39269080</v>
      </c>
      <c r="AD407" s="19" t="s">
        <v>1092</v>
      </c>
      <c r="AE407" s="19">
        <v>1</v>
      </c>
      <c r="AF407" s="19">
        <f t="shared" si="17"/>
        <v>146</v>
      </c>
      <c r="AG407" s="19" t="s">
        <v>1093</v>
      </c>
      <c r="AH407" s="19" t="s">
        <v>44</v>
      </c>
    </row>
    <row r="408" spans="2:34" x14ac:dyDescent="0.35">
      <c r="B408" s="76">
        <v>46219</v>
      </c>
      <c r="C408" s="19" t="s">
        <v>178</v>
      </c>
      <c r="D408" s="19" t="s">
        <v>173</v>
      </c>
      <c r="E408" s="19" t="s">
        <v>629</v>
      </c>
      <c r="F408" s="19" t="s">
        <v>123</v>
      </c>
      <c r="G408" s="19" t="s">
        <v>630</v>
      </c>
      <c r="H408" s="76">
        <v>46218</v>
      </c>
      <c r="I408" s="19" t="s">
        <v>36</v>
      </c>
      <c r="J408" s="19" t="s">
        <v>1117</v>
      </c>
      <c r="K408" s="19" t="s">
        <v>44</v>
      </c>
      <c r="L408" s="19" t="s">
        <v>1118</v>
      </c>
      <c r="M408" s="19" t="s">
        <v>1119</v>
      </c>
      <c r="N408" s="19">
        <v>355</v>
      </c>
      <c r="O408" s="19">
        <v>76853.95</v>
      </c>
      <c r="P408" s="19" t="s">
        <v>1119</v>
      </c>
      <c r="Q408" s="19">
        <v>0</v>
      </c>
      <c r="R408" s="19">
        <v>9</v>
      </c>
      <c r="S408" s="19">
        <v>6916.86</v>
      </c>
      <c r="T408" s="19">
        <v>9</v>
      </c>
      <c r="U408" s="19">
        <v>6916.86</v>
      </c>
      <c r="V408" s="19">
        <v>0</v>
      </c>
      <c r="W408" s="19">
        <v>0</v>
      </c>
      <c r="X408" s="19">
        <v>0</v>
      </c>
      <c r="Y408" s="19">
        <v>13833.72</v>
      </c>
      <c r="Z408" s="19">
        <v>0</v>
      </c>
      <c r="AA408" s="19" t="s">
        <v>179</v>
      </c>
      <c r="AB408" s="19" t="s">
        <v>1289</v>
      </c>
      <c r="AC408" s="19">
        <v>39269080</v>
      </c>
      <c r="AD408" s="19" t="s">
        <v>1092</v>
      </c>
      <c r="AE408" s="19">
        <v>1</v>
      </c>
      <c r="AF408" s="19">
        <f t="shared" si="17"/>
        <v>355</v>
      </c>
      <c r="AG408" s="19" t="s">
        <v>1093</v>
      </c>
      <c r="AH408" s="19" t="s">
        <v>44</v>
      </c>
    </row>
    <row r="409" spans="2:34" x14ac:dyDescent="0.35">
      <c r="B409" s="76">
        <v>46219</v>
      </c>
      <c r="C409" s="19" t="s">
        <v>178</v>
      </c>
      <c r="D409" s="19" t="s">
        <v>173</v>
      </c>
      <c r="E409" s="19" t="s">
        <v>629</v>
      </c>
      <c r="F409" s="19" t="s">
        <v>123</v>
      </c>
      <c r="G409" s="19" t="s">
        <v>630</v>
      </c>
      <c r="H409" s="76">
        <v>46218</v>
      </c>
      <c r="I409" s="19" t="s">
        <v>36</v>
      </c>
      <c r="J409" s="19" t="s">
        <v>1117</v>
      </c>
      <c r="K409" s="19" t="s">
        <v>44</v>
      </c>
      <c r="L409" s="19" t="s">
        <v>1118</v>
      </c>
      <c r="M409" s="19" t="s">
        <v>1119</v>
      </c>
      <c r="N409" s="19">
        <v>233</v>
      </c>
      <c r="O409" s="19">
        <v>37161.17</v>
      </c>
      <c r="P409" s="19" t="s">
        <v>1119</v>
      </c>
      <c r="Q409" s="19">
        <v>0</v>
      </c>
      <c r="R409" s="19">
        <v>9</v>
      </c>
      <c r="S409" s="19">
        <v>3344.51</v>
      </c>
      <c r="T409" s="19">
        <v>9</v>
      </c>
      <c r="U409" s="19">
        <v>3344.51</v>
      </c>
      <c r="V409" s="19">
        <v>0</v>
      </c>
      <c r="W409" s="19">
        <v>0</v>
      </c>
      <c r="X409" s="19">
        <v>0</v>
      </c>
      <c r="Y409" s="19">
        <v>6689.02</v>
      </c>
      <c r="Z409" s="19">
        <v>0</v>
      </c>
      <c r="AA409" s="19" t="s">
        <v>179</v>
      </c>
      <c r="AB409" s="19" t="s">
        <v>1289</v>
      </c>
      <c r="AC409" s="19">
        <v>39269080</v>
      </c>
      <c r="AD409" s="19" t="s">
        <v>1092</v>
      </c>
      <c r="AE409" s="19">
        <v>1</v>
      </c>
      <c r="AF409" s="19">
        <f t="shared" si="17"/>
        <v>233</v>
      </c>
      <c r="AG409" s="19" t="s">
        <v>1093</v>
      </c>
      <c r="AH409" s="19" t="s">
        <v>44</v>
      </c>
    </row>
    <row r="410" spans="2:34" x14ac:dyDescent="0.35">
      <c r="B410" s="76">
        <v>46219</v>
      </c>
      <c r="C410" s="19" t="s">
        <v>178</v>
      </c>
      <c r="D410" s="19" t="s">
        <v>173</v>
      </c>
      <c r="E410" s="19" t="s">
        <v>629</v>
      </c>
      <c r="F410" s="19" t="s">
        <v>123</v>
      </c>
      <c r="G410" s="19" t="s">
        <v>630</v>
      </c>
      <c r="H410" s="76">
        <v>46218</v>
      </c>
      <c r="I410" s="19" t="s">
        <v>36</v>
      </c>
      <c r="J410" s="19" t="s">
        <v>1117</v>
      </c>
      <c r="K410" s="19" t="s">
        <v>42</v>
      </c>
      <c r="L410" s="19" t="s">
        <v>1242</v>
      </c>
      <c r="M410" s="19" t="s">
        <v>1154</v>
      </c>
      <c r="N410" s="19">
        <v>942</v>
      </c>
      <c r="O410" s="19">
        <v>149297.57999999999</v>
      </c>
      <c r="P410" s="19" t="s">
        <v>1154</v>
      </c>
      <c r="Q410" s="19">
        <v>0</v>
      </c>
      <c r="R410" s="19">
        <v>9</v>
      </c>
      <c r="S410" s="19">
        <v>13436.78</v>
      </c>
      <c r="T410" s="19">
        <v>9</v>
      </c>
      <c r="U410" s="19">
        <v>13436.78</v>
      </c>
      <c r="V410" s="19">
        <v>0</v>
      </c>
      <c r="W410" s="19">
        <v>0</v>
      </c>
      <c r="X410" s="19">
        <v>0</v>
      </c>
      <c r="Y410" s="19">
        <v>26873.56</v>
      </c>
      <c r="Z410" s="19">
        <v>0</v>
      </c>
      <c r="AA410" s="19" t="s">
        <v>179</v>
      </c>
      <c r="AB410" s="19" t="s">
        <v>1289</v>
      </c>
      <c r="AC410" s="19">
        <v>63053300</v>
      </c>
      <c r="AD410" s="19" t="s">
        <v>1092</v>
      </c>
      <c r="AE410" s="19">
        <v>1</v>
      </c>
      <c r="AF410" s="19">
        <f t="shared" si="17"/>
        <v>942</v>
      </c>
      <c r="AG410" s="19" t="s">
        <v>1093</v>
      </c>
      <c r="AH410" s="19" t="s">
        <v>42</v>
      </c>
    </row>
    <row r="411" spans="2:34" x14ac:dyDescent="0.35">
      <c r="B411" s="76">
        <v>46219</v>
      </c>
      <c r="C411" s="19" t="s">
        <v>245</v>
      </c>
      <c r="D411" s="19" t="s">
        <v>173</v>
      </c>
      <c r="E411" s="19" t="s">
        <v>627</v>
      </c>
      <c r="F411" s="19" t="s">
        <v>123</v>
      </c>
      <c r="G411" s="19" t="s">
        <v>628</v>
      </c>
      <c r="H411" s="76">
        <v>46218</v>
      </c>
      <c r="I411" s="19" t="s">
        <v>49</v>
      </c>
      <c r="J411" s="19" t="s">
        <v>50</v>
      </c>
      <c r="K411" s="19" t="s">
        <v>50</v>
      </c>
      <c r="L411" s="19" t="s">
        <v>1095</v>
      </c>
      <c r="M411" s="19" t="s">
        <v>1098</v>
      </c>
      <c r="N411" s="19">
        <v>2156.5</v>
      </c>
      <c r="O411" s="19">
        <v>550144.71499999997</v>
      </c>
      <c r="P411" s="19" t="s">
        <v>1098</v>
      </c>
      <c r="Q411" s="19">
        <v>649170.76</v>
      </c>
      <c r="R411" s="19">
        <v>9</v>
      </c>
      <c r="S411" s="19">
        <v>49513.02</v>
      </c>
      <c r="T411" s="19">
        <v>9</v>
      </c>
      <c r="U411" s="19">
        <v>49513.02</v>
      </c>
      <c r="V411" s="19">
        <v>0</v>
      </c>
      <c r="W411" s="19">
        <v>0</v>
      </c>
      <c r="X411" s="19">
        <v>0</v>
      </c>
      <c r="Y411" s="19">
        <v>99026.04</v>
      </c>
      <c r="Z411" s="19">
        <v>0</v>
      </c>
      <c r="AA411" s="19" t="s">
        <v>179</v>
      </c>
      <c r="AB411" s="19" t="s">
        <v>1289</v>
      </c>
      <c r="AC411" s="19">
        <v>63053200</v>
      </c>
      <c r="AD411" s="19" t="s">
        <v>1092</v>
      </c>
      <c r="AE411" s="19">
        <v>1</v>
      </c>
      <c r="AF411" s="19">
        <f t="shared" si="17"/>
        <v>2156.5</v>
      </c>
      <c r="AG411" s="19" t="s">
        <v>1093</v>
      </c>
      <c r="AH411" s="19" t="s">
        <v>50</v>
      </c>
    </row>
    <row r="412" spans="2:34" hidden="1" x14ac:dyDescent="0.35">
      <c r="B412" s="76">
        <v>46219</v>
      </c>
      <c r="C412" s="19" t="s">
        <v>625</v>
      </c>
      <c r="D412" s="19" t="s">
        <v>126</v>
      </c>
      <c r="E412" s="19" t="s">
        <v>623</v>
      </c>
      <c r="F412" s="19" t="s">
        <v>118</v>
      </c>
      <c r="G412" s="19" t="s">
        <v>624</v>
      </c>
      <c r="H412" s="76">
        <v>46216</v>
      </c>
      <c r="I412" s="19" t="s">
        <v>105</v>
      </c>
      <c r="J412" s="19" t="s">
        <v>1561</v>
      </c>
      <c r="K412" s="19" t="s">
        <v>1127</v>
      </c>
      <c r="L412" s="19" t="s">
        <v>1389</v>
      </c>
      <c r="M412" s="19" t="s">
        <v>1803</v>
      </c>
      <c r="N412" s="19">
        <v>14</v>
      </c>
      <c r="O412" s="19">
        <v>20412</v>
      </c>
      <c r="P412" s="19" t="s">
        <v>1803</v>
      </c>
      <c r="Q412" s="19">
        <v>23912</v>
      </c>
      <c r="R412" s="19">
        <v>9</v>
      </c>
      <c r="S412" s="19">
        <v>1823.81</v>
      </c>
      <c r="T412" s="19">
        <v>9</v>
      </c>
      <c r="U412" s="19">
        <v>1823.81</v>
      </c>
      <c r="V412" s="19">
        <v>0</v>
      </c>
      <c r="W412" s="19">
        <v>0</v>
      </c>
      <c r="X412" s="19">
        <v>0</v>
      </c>
      <c r="Y412" s="19">
        <v>3647.62</v>
      </c>
      <c r="Z412" s="19">
        <v>0</v>
      </c>
      <c r="AA412" s="19" t="s">
        <v>626</v>
      </c>
      <c r="AB412" s="19" t="s">
        <v>1555</v>
      </c>
      <c r="AC412" s="19">
        <v>84123100</v>
      </c>
      <c r="AD412" s="19" t="s">
        <v>1092</v>
      </c>
      <c r="AE412" s="19">
        <v>1</v>
      </c>
      <c r="AF412" s="19">
        <v>0</v>
      </c>
      <c r="AG412" s="19" t="s">
        <v>1093</v>
      </c>
      <c r="AH412" s="19" t="s">
        <v>2319</v>
      </c>
    </row>
    <row r="413" spans="2:34" hidden="1" x14ac:dyDescent="0.35">
      <c r="B413" s="76">
        <v>46219</v>
      </c>
      <c r="C413" s="19" t="s">
        <v>607</v>
      </c>
      <c r="D413" s="19" t="s">
        <v>126</v>
      </c>
      <c r="E413" s="19" t="s">
        <v>606</v>
      </c>
      <c r="F413" s="19" t="s">
        <v>119</v>
      </c>
      <c r="G413" s="19">
        <v>115</v>
      </c>
      <c r="H413" s="76">
        <v>46214</v>
      </c>
      <c r="I413" s="19" t="s">
        <v>101</v>
      </c>
      <c r="J413" s="19" t="s">
        <v>1559</v>
      </c>
      <c r="K413" s="19" t="s">
        <v>1509</v>
      </c>
      <c r="L413" s="19" t="s">
        <v>1509</v>
      </c>
      <c r="M413" s="19" t="s">
        <v>1560</v>
      </c>
      <c r="N413" s="19">
        <v>260</v>
      </c>
      <c r="O413" s="19">
        <v>9620</v>
      </c>
      <c r="P413" s="19" t="s">
        <v>1560</v>
      </c>
      <c r="Q413" s="19">
        <v>11352</v>
      </c>
      <c r="R413" s="19">
        <v>9</v>
      </c>
      <c r="S413" s="19">
        <v>865.8</v>
      </c>
      <c r="T413" s="19">
        <v>9</v>
      </c>
      <c r="U413" s="19">
        <v>865.8</v>
      </c>
      <c r="V413" s="19">
        <v>0</v>
      </c>
      <c r="W413" s="19">
        <v>0</v>
      </c>
      <c r="X413" s="19">
        <v>0</v>
      </c>
      <c r="Y413" s="19">
        <v>1731.6</v>
      </c>
      <c r="Z413" s="19">
        <v>0</v>
      </c>
      <c r="AA413" s="19" t="s">
        <v>608</v>
      </c>
      <c r="AB413" s="19" t="s">
        <v>1289</v>
      </c>
      <c r="AC413" s="19">
        <v>482290</v>
      </c>
      <c r="AD413" s="19" t="s">
        <v>1092</v>
      </c>
      <c r="AE413" s="19">
        <v>1</v>
      </c>
      <c r="AF413" s="19">
        <v>260</v>
      </c>
      <c r="AG413" s="19" t="s">
        <v>1093</v>
      </c>
      <c r="AH413" s="19" t="s">
        <v>2319</v>
      </c>
    </row>
    <row r="414" spans="2:34" hidden="1" x14ac:dyDescent="0.35">
      <c r="B414" s="76">
        <v>46219</v>
      </c>
      <c r="C414" s="19" t="s">
        <v>621</v>
      </c>
      <c r="D414" s="19" t="s">
        <v>126</v>
      </c>
      <c r="E414" s="19" t="s">
        <v>619</v>
      </c>
      <c r="F414" s="19" t="s">
        <v>118</v>
      </c>
      <c r="G414" s="19" t="s">
        <v>620</v>
      </c>
      <c r="H414" s="76">
        <v>46216</v>
      </c>
      <c r="I414" s="19" t="s">
        <v>105</v>
      </c>
      <c r="J414" s="19" t="s">
        <v>1684</v>
      </c>
      <c r="K414" s="19" t="s">
        <v>1127</v>
      </c>
      <c r="L414" s="19" t="s">
        <v>1389</v>
      </c>
      <c r="M414" s="19" t="s">
        <v>1804</v>
      </c>
      <c r="N414" s="19">
        <v>50</v>
      </c>
      <c r="O414" s="19">
        <v>1843</v>
      </c>
      <c r="P414" s="19" t="s">
        <v>1804</v>
      </c>
      <c r="Q414" s="19">
        <v>17168</v>
      </c>
      <c r="R414" s="19">
        <v>9</v>
      </c>
      <c r="S414" s="19">
        <v>165.87</v>
      </c>
      <c r="T414" s="19">
        <v>9</v>
      </c>
      <c r="U414" s="19">
        <v>165.87</v>
      </c>
      <c r="V414" s="19">
        <v>0</v>
      </c>
      <c r="W414" s="19">
        <v>0</v>
      </c>
      <c r="X414" s="19">
        <v>0</v>
      </c>
      <c r="Y414" s="19">
        <v>331.74</v>
      </c>
      <c r="Z414" s="19">
        <v>0</v>
      </c>
      <c r="AA414" s="19" t="s">
        <v>622</v>
      </c>
      <c r="AB414" s="19" t="s">
        <v>1572</v>
      </c>
      <c r="AC414" s="19">
        <v>84822090</v>
      </c>
      <c r="AD414" s="19" t="s">
        <v>1092</v>
      </c>
      <c r="AE414" s="19">
        <v>1</v>
      </c>
      <c r="AF414" s="19">
        <v>0</v>
      </c>
      <c r="AG414" s="19" t="s">
        <v>1093</v>
      </c>
      <c r="AH414" s="19" t="s">
        <v>2319</v>
      </c>
    </row>
    <row r="415" spans="2:34" hidden="1" x14ac:dyDescent="0.35">
      <c r="B415" s="76">
        <v>46219</v>
      </c>
      <c r="C415" s="19" t="s">
        <v>621</v>
      </c>
      <c r="D415" s="19" t="s">
        <v>126</v>
      </c>
      <c r="E415" s="19" t="s">
        <v>619</v>
      </c>
      <c r="F415" s="19" t="s">
        <v>118</v>
      </c>
      <c r="G415" s="19" t="s">
        <v>620</v>
      </c>
      <c r="H415" s="76">
        <v>46216</v>
      </c>
      <c r="I415" s="19" t="s">
        <v>105</v>
      </c>
      <c r="J415" s="19" t="s">
        <v>1684</v>
      </c>
      <c r="K415" s="19" t="s">
        <v>1127</v>
      </c>
      <c r="L415" s="19" t="s">
        <v>1389</v>
      </c>
      <c r="M415" s="19" t="s">
        <v>1805</v>
      </c>
      <c r="N415" s="19">
        <v>10</v>
      </c>
      <c r="O415" s="19">
        <v>595.9</v>
      </c>
      <c r="P415" s="19" t="s">
        <v>1805</v>
      </c>
      <c r="Q415" s="19">
        <v>0</v>
      </c>
      <c r="R415" s="19">
        <v>9</v>
      </c>
      <c r="S415" s="19">
        <v>53.63</v>
      </c>
      <c r="T415" s="19">
        <v>9</v>
      </c>
      <c r="U415" s="19">
        <v>53.63</v>
      </c>
      <c r="V415" s="19">
        <v>0</v>
      </c>
      <c r="W415" s="19">
        <v>0</v>
      </c>
      <c r="X415" s="19">
        <v>0</v>
      </c>
      <c r="Y415" s="19">
        <v>107.26</v>
      </c>
      <c r="Z415" s="19">
        <v>0</v>
      </c>
      <c r="AA415" s="19" t="s">
        <v>622</v>
      </c>
      <c r="AB415" s="19" t="s">
        <v>1572</v>
      </c>
      <c r="AC415" s="19">
        <v>84822090</v>
      </c>
      <c r="AD415" s="19" t="s">
        <v>1092</v>
      </c>
      <c r="AE415" s="19">
        <v>1</v>
      </c>
      <c r="AF415" s="19">
        <v>0</v>
      </c>
      <c r="AG415" s="19" t="s">
        <v>1093</v>
      </c>
      <c r="AH415" s="19" t="s">
        <v>2319</v>
      </c>
    </row>
    <row r="416" spans="2:34" hidden="1" x14ac:dyDescent="0.35">
      <c r="B416" s="76">
        <v>46219</v>
      </c>
      <c r="C416" s="19" t="s">
        <v>621</v>
      </c>
      <c r="D416" s="19" t="s">
        <v>126</v>
      </c>
      <c r="E416" s="19" t="s">
        <v>619</v>
      </c>
      <c r="F416" s="19" t="s">
        <v>118</v>
      </c>
      <c r="G416" s="19" t="s">
        <v>620</v>
      </c>
      <c r="H416" s="76">
        <v>46216</v>
      </c>
      <c r="I416" s="19" t="s">
        <v>105</v>
      </c>
      <c r="J416" s="19" t="s">
        <v>1684</v>
      </c>
      <c r="K416" s="19" t="s">
        <v>1127</v>
      </c>
      <c r="L416" s="19" t="s">
        <v>1389</v>
      </c>
      <c r="M416" s="19" t="s">
        <v>1806</v>
      </c>
      <c r="N416" s="19">
        <v>50</v>
      </c>
      <c r="O416" s="19">
        <v>4173.5</v>
      </c>
      <c r="P416" s="19" t="s">
        <v>1806</v>
      </c>
      <c r="Q416" s="19">
        <v>0</v>
      </c>
      <c r="R416" s="19">
        <v>9</v>
      </c>
      <c r="S416" s="19">
        <v>407.12</v>
      </c>
      <c r="T416" s="19">
        <v>9</v>
      </c>
      <c r="U416" s="19">
        <v>407.12</v>
      </c>
      <c r="V416" s="19">
        <v>0</v>
      </c>
      <c r="W416" s="19">
        <v>0</v>
      </c>
      <c r="X416" s="19">
        <v>0</v>
      </c>
      <c r="Y416" s="19">
        <v>814.24</v>
      </c>
      <c r="Z416" s="19">
        <v>0</v>
      </c>
      <c r="AA416" s="19" t="s">
        <v>622</v>
      </c>
      <c r="AB416" s="19" t="s">
        <v>1572</v>
      </c>
      <c r="AC416" s="19">
        <v>84821011</v>
      </c>
      <c r="AD416" s="19" t="s">
        <v>1092</v>
      </c>
      <c r="AE416" s="19">
        <v>1</v>
      </c>
      <c r="AF416" s="19">
        <v>0</v>
      </c>
      <c r="AG416" s="19" t="s">
        <v>1093</v>
      </c>
      <c r="AH416" s="19" t="s">
        <v>2319</v>
      </c>
    </row>
    <row r="417" spans="2:34" hidden="1" x14ac:dyDescent="0.35">
      <c r="B417" s="76">
        <v>46219</v>
      </c>
      <c r="C417" s="19" t="s">
        <v>621</v>
      </c>
      <c r="D417" s="19" t="s">
        <v>126</v>
      </c>
      <c r="E417" s="19" t="s">
        <v>619</v>
      </c>
      <c r="F417" s="19" t="s">
        <v>118</v>
      </c>
      <c r="G417" s="19" t="s">
        <v>620</v>
      </c>
      <c r="H417" s="76">
        <v>46216</v>
      </c>
      <c r="I417" s="19" t="s">
        <v>105</v>
      </c>
      <c r="J417" s="19" t="s">
        <v>1684</v>
      </c>
      <c r="K417" s="19" t="s">
        <v>1127</v>
      </c>
      <c r="L417" s="19" t="s">
        <v>1389</v>
      </c>
      <c r="M417" s="19" t="s">
        <v>1807</v>
      </c>
      <c r="N417" s="19">
        <v>20</v>
      </c>
      <c r="O417" s="19">
        <v>3730.8</v>
      </c>
      <c r="P417" s="19" t="s">
        <v>1807</v>
      </c>
      <c r="Q417" s="19">
        <v>0</v>
      </c>
      <c r="R417" s="19">
        <v>9</v>
      </c>
      <c r="S417" s="19">
        <v>335.77</v>
      </c>
      <c r="T417" s="19">
        <v>9</v>
      </c>
      <c r="U417" s="19">
        <v>335.77</v>
      </c>
      <c r="V417" s="19">
        <v>0</v>
      </c>
      <c r="W417" s="19">
        <v>0</v>
      </c>
      <c r="X417" s="19">
        <v>0</v>
      </c>
      <c r="Y417" s="19">
        <v>671.54</v>
      </c>
      <c r="Z417" s="19">
        <v>0</v>
      </c>
      <c r="AA417" s="19" t="s">
        <v>622</v>
      </c>
      <c r="AB417" s="19" t="s">
        <v>1555</v>
      </c>
      <c r="AC417" s="19">
        <v>84822090</v>
      </c>
      <c r="AD417" s="19" t="s">
        <v>1092</v>
      </c>
      <c r="AE417" s="19">
        <v>1</v>
      </c>
      <c r="AF417" s="19">
        <v>0</v>
      </c>
      <c r="AG417" s="19" t="s">
        <v>1093</v>
      </c>
      <c r="AH417" s="19" t="s">
        <v>2319</v>
      </c>
    </row>
    <row r="418" spans="2:34" hidden="1" x14ac:dyDescent="0.35">
      <c r="B418" s="76">
        <v>46219</v>
      </c>
      <c r="C418" s="19" t="s">
        <v>621</v>
      </c>
      <c r="D418" s="19" t="s">
        <v>126</v>
      </c>
      <c r="E418" s="19" t="s">
        <v>619</v>
      </c>
      <c r="F418" s="19" t="s">
        <v>118</v>
      </c>
      <c r="G418" s="19" t="s">
        <v>620</v>
      </c>
      <c r="H418" s="76">
        <v>46216</v>
      </c>
      <c r="I418" s="19" t="s">
        <v>105</v>
      </c>
      <c r="J418" s="19" t="s">
        <v>1684</v>
      </c>
      <c r="K418" s="19" t="s">
        <v>1127</v>
      </c>
      <c r="L418" s="19" t="s">
        <v>1389</v>
      </c>
      <c r="M418" s="19" t="s">
        <v>1808</v>
      </c>
      <c r="N418" s="19">
        <v>20</v>
      </c>
      <c r="O418" s="19">
        <v>1643</v>
      </c>
      <c r="P418" s="19" t="s">
        <v>1808</v>
      </c>
      <c r="Q418" s="19">
        <v>0</v>
      </c>
      <c r="R418" s="19">
        <v>9</v>
      </c>
      <c r="S418" s="19">
        <v>147.87</v>
      </c>
      <c r="T418" s="19">
        <v>9</v>
      </c>
      <c r="U418" s="19">
        <v>147.87</v>
      </c>
      <c r="V418" s="19">
        <v>0</v>
      </c>
      <c r="W418" s="19">
        <v>0</v>
      </c>
      <c r="X418" s="19">
        <v>0</v>
      </c>
      <c r="Y418" s="19">
        <v>295.74</v>
      </c>
      <c r="Z418" s="19">
        <v>0</v>
      </c>
      <c r="AA418" s="19" t="s">
        <v>622</v>
      </c>
      <c r="AB418" s="19" t="s">
        <v>1572</v>
      </c>
      <c r="AC418" s="19">
        <v>8482300</v>
      </c>
      <c r="AD418" s="19" t="s">
        <v>1092</v>
      </c>
      <c r="AE418" s="19">
        <v>1</v>
      </c>
      <c r="AF418" s="19">
        <v>0</v>
      </c>
      <c r="AG418" s="19" t="s">
        <v>1093</v>
      </c>
      <c r="AH418" s="19" t="s">
        <v>2319</v>
      </c>
    </row>
    <row r="419" spans="2:34" hidden="1" x14ac:dyDescent="0.35">
      <c r="B419" s="76">
        <v>46219</v>
      </c>
      <c r="C419" s="19" t="s">
        <v>621</v>
      </c>
      <c r="D419" s="19" t="s">
        <v>126</v>
      </c>
      <c r="E419" s="19" t="s">
        <v>619</v>
      </c>
      <c r="F419" s="19" t="s">
        <v>118</v>
      </c>
      <c r="G419" s="19" t="s">
        <v>620</v>
      </c>
      <c r="H419" s="76">
        <v>46216</v>
      </c>
      <c r="I419" s="19" t="s">
        <v>105</v>
      </c>
      <c r="J419" s="19" t="s">
        <v>1684</v>
      </c>
      <c r="K419" s="19" t="s">
        <v>1127</v>
      </c>
      <c r="L419" s="19" t="s">
        <v>1389</v>
      </c>
      <c r="M419" s="19" t="s">
        <v>1809</v>
      </c>
      <c r="N419" s="19">
        <v>2</v>
      </c>
      <c r="O419" s="19">
        <v>569.72</v>
      </c>
      <c r="P419" s="19" t="s">
        <v>1809</v>
      </c>
      <c r="Q419" s="19">
        <v>0</v>
      </c>
      <c r="R419" s="19">
        <v>9</v>
      </c>
      <c r="S419" s="19">
        <v>51.27</v>
      </c>
      <c r="T419" s="19">
        <v>9</v>
      </c>
      <c r="U419" s="19">
        <v>51.27</v>
      </c>
      <c r="V419" s="19">
        <v>0</v>
      </c>
      <c r="W419" s="19">
        <v>0</v>
      </c>
      <c r="X419" s="19">
        <v>0</v>
      </c>
      <c r="Y419" s="19">
        <v>102.54</v>
      </c>
      <c r="Z419" s="19">
        <v>0</v>
      </c>
      <c r="AA419" s="19" t="s">
        <v>622</v>
      </c>
      <c r="AB419" s="19" t="s">
        <v>1572</v>
      </c>
      <c r="AC419" s="19">
        <v>84821011</v>
      </c>
      <c r="AD419" s="19" t="s">
        <v>1092</v>
      </c>
      <c r="AE419" s="19">
        <v>1</v>
      </c>
      <c r="AF419" s="19">
        <v>0</v>
      </c>
      <c r="AG419" s="19" t="s">
        <v>1093</v>
      </c>
      <c r="AH419" s="19" t="s">
        <v>2319</v>
      </c>
    </row>
    <row r="420" spans="2:34" hidden="1" x14ac:dyDescent="0.35">
      <c r="B420" s="76">
        <v>46219</v>
      </c>
      <c r="C420" s="19" t="s">
        <v>621</v>
      </c>
      <c r="D420" s="19" t="s">
        <v>126</v>
      </c>
      <c r="E420" s="19" t="s">
        <v>619</v>
      </c>
      <c r="F420" s="19" t="s">
        <v>118</v>
      </c>
      <c r="G420" s="19" t="s">
        <v>620</v>
      </c>
      <c r="H420" s="76">
        <v>46216</v>
      </c>
      <c r="I420" s="19" t="s">
        <v>105</v>
      </c>
      <c r="J420" s="19" t="s">
        <v>1684</v>
      </c>
      <c r="K420" s="19" t="s">
        <v>1127</v>
      </c>
      <c r="L420" s="19" t="s">
        <v>1389</v>
      </c>
      <c r="M420" s="19" t="s">
        <v>1810</v>
      </c>
      <c r="N420" s="19">
        <v>20</v>
      </c>
      <c r="O420" s="19">
        <v>1643</v>
      </c>
      <c r="P420" s="19" t="s">
        <v>1810</v>
      </c>
      <c r="Q420" s="19">
        <v>0</v>
      </c>
      <c r="R420" s="19">
        <v>9</v>
      </c>
      <c r="S420" s="19">
        <v>147.87</v>
      </c>
      <c r="T420" s="19">
        <v>9</v>
      </c>
      <c r="U420" s="19">
        <v>147.87</v>
      </c>
      <c r="V420" s="19">
        <v>0</v>
      </c>
      <c r="W420" s="19">
        <v>0</v>
      </c>
      <c r="X420" s="19">
        <v>0</v>
      </c>
      <c r="Y420" s="19">
        <v>295.74</v>
      </c>
      <c r="Z420" s="19">
        <v>0</v>
      </c>
      <c r="AA420" s="19" t="s">
        <v>622</v>
      </c>
      <c r="AB420" s="19" t="s">
        <v>1555</v>
      </c>
      <c r="AC420" s="19">
        <v>84822090</v>
      </c>
      <c r="AD420" s="19" t="s">
        <v>1092</v>
      </c>
      <c r="AE420" s="19">
        <v>1</v>
      </c>
      <c r="AF420" s="19">
        <v>0</v>
      </c>
      <c r="AG420" s="19" t="s">
        <v>1093</v>
      </c>
      <c r="AH420" s="19" t="s">
        <v>2319</v>
      </c>
    </row>
    <row r="421" spans="2:34" hidden="1" x14ac:dyDescent="0.35">
      <c r="B421" s="76">
        <v>46219</v>
      </c>
      <c r="C421" s="19" t="s">
        <v>138</v>
      </c>
      <c r="D421" s="19" t="s">
        <v>7</v>
      </c>
      <c r="E421" s="19" t="s">
        <v>609</v>
      </c>
      <c r="F421" s="19" t="s">
        <v>119</v>
      </c>
      <c r="G421" s="19" t="s">
        <v>610</v>
      </c>
      <c r="H421" s="76">
        <v>46218</v>
      </c>
      <c r="I421" s="19" t="s">
        <v>105</v>
      </c>
      <c r="J421" s="19" t="s">
        <v>1142</v>
      </c>
      <c r="K421" s="19" t="s">
        <v>1509</v>
      </c>
      <c r="L421" s="19" t="s">
        <v>1509</v>
      </c>
      <c r="M421" s="19" t="s">
        <v>1196</v>
      </c>
      <c r="N421" s="19">
        <v>142</v>
      </c>
      <c r="O421" s="19">
        <v>6816</v>
      </c>
      <c r="P421" s="19" t="s">
        <v>1196</v>
      </c>
      <c r="Q421" s="19">
        <v>8036.06</v>
      </c>
      <c r="R421" s="19">
        <v>9</v>
      </c>
      <c r="S421" s="19">
        <v>613.44000000000005</v>
      </c>
      <c r="T421" s="19">
        <v>9</v>
      </c>
      <c r="U421" s="19">
        <v>613.44000000000005</v>
      </c>
      <c r="V421" s="19">
        <v>0</v>
      </c>
      <c r="W421" s="19">
        <v>0</v>
      </c>
      <c r="X421" s="19">
        <v>0</v>
      </c>
      <c r="Y421" s="19">
        <v>1226.8800000000001</v>
      </c>
      <c r="Z421" s="19">
        <v>0</v>
      </c>
      <c r="AA421" s="19" t="s">
        <v>135</v>
      </c>
      <c r="AB421" s="19" t="s">
        <v>1289</v>
      </c>
      <c r="AC421" s="19">
        <v>73063090</v>
      </c>
      <c r="AD421" s="19" t="s">
        <v>1092</v>
      </c>
      <c r="AE421" s="19">
        <v>1</v>
      </c>
      <c r="AF421" s="19">
        <v>142</v>
      </c>
      <c r="AG421" s="19" t="s">
        <v>1093</v>
      </c>
      <c r="AH421" s="19" t="s">
        <v>2319</v>
      </c>
    </row>
    <row r="422" spans="2:34" x14ac:dyDescent="0.35">
      <c r="B422" s="76">
        <v>46219</v>
      </c>
      <c r="C422" s="19" t="s">
        <v>138</v>
      </c>
      <c r="D422" s="19" t="s">
        <v>173</v>
      </c>
      <c r="E422" s="19" t="s">
        <v>631</v>
      </c>
      <c r="F422" s="19" t="s">
        <v>123</v>
      </c>
      <c r="G422" s="19" t="s">
        <v>632</v>
      </c>
      <c r="H422" s="76">
        <v>46219</v>
      </c>
      <c r="I422" s="19" t="s">
        <v>49</v>
      </c>
      <c r="J422" s="19" t="s">
        <v>50</v>
      </c>
      <c r="K422" s="19" t="s">
        <v>50</v>
      </c>
      <c r="L422" s="19" t="s">
        <v>1095</v>
      </c>
      <c r="M422" s="19" t="s">
        <v>1098</v>
      </c>
      <c r="N422" s="19">
        <v>390</v>
      </c>
      <c r="O422" s="19">
        <v>77844</v>
      </c>
      <c r="P422" s="19" t="s">
        <v>1098</v>
      </c>
      <c r="Q422" s="19">
        <v>3716091.31</v>
      </c>
      <c r="R422" s="19">
        <v>0.05</v>
      </c>
      <c r="S422" s="19">
        <v>38.92</v>
      </c>
      <c r="T422" s="19">
        <v>0.05</v>
      </c>
      <c r="U422" s="19">
        <v>38.92</v>
      </c>
      <c r="V422" s="19">
        <v>0</v>
      </c>
      <c r="W422" s="19">
        <v>0</v>
      </c>
      <c r="X422" s="19">
        <v>0</v>
      </c>
      <c r="Y422" s="19">
        <v>77.84</v>
      </c>
      <c r="Z422" s="19">
        <v>0</v>
      </c>
      <c r="AA422" s="19" t="s">
        <v>135</v>
      </c>
      <c r="AB422" s="19" t="s">
        <v>1289</v>
      </c>
      <c r="AC422" s="19">
        <v>63053200</v>
      </c>
      <c r="AD422" s="19" t="s">
        <v>1092</v>
      </c>
      <c r="AE422" s="19">
        <v>1</v>
      </c>
      <c r="AF422" s="19">
        <v>390</v>
      </c>
      <c r="AG422" s="19" t="s">
        <v>1093</v>
      </c>
      <c r="AH422" s="19" t="s">
        <v>50</v>
      </c>
    </row>
    <row r="423" spans="2:34" x14ac:dyDescent="0.35">
      <c r="B423" s="76">
        <v>46219</v>
      </c>
      <c r="C423" s="19" t="s">
        <v>138</v>
      </c>
      <c r="D423" s="19" t="s">
        <v>173</v>
      </c>
      <c r="E423" s="19" t="s">
        <v>631</v>
      </c>
      <c r="F423" s="19" t="s">
        <v>123</v>
      </c>
      <c r="G423" s="19" t="s">
        <v>632</v>
      </c>
      <c r="H423" s="76">
        <v>46219</v>
      </c>
      <c r="I423" s="19" t="s">
        <v>49</v>
      </c>
      <c r="J423" s="19" t="s">
        <v>50</v>
      </c>
      <c r="K423" s="19" t="s">
        <v>50</v>
      </c>
      <c r="L423" s="19" t="s">
        <v>1095</v>
      </c>
      <c r="M423" s="19" t="s">
        <v>1098</v>
      </c>
      <c r="N423" s="19">
        <v>1584</v>
      </c>
      <c r="O423" s="19">
        <v>313568.64000000001</v>
      </c>
      <c r="P423" s="19" t="s">
        <v>1098</v>
      </c>
      <c r="Q423" s="19">
        <v>0</v>
      </c>
      <c r="R423" s="19">
        <v>0.05</v>
      </c>
      <c r="S423" s="19">
        <v>156.78</v>
      </c>
      <c r="T423" s="19">
        <v>0.05</v>
      </c>
      <c r="U423" s="19">
        <v>156.78</v>
      </c>
      <c r="V423" s="19">
        <v>0</v>
      </c>
      <c r="W423" s="19">
        <v>0</v>
      </c>
      <c r="X423" s="19">
        <v>0</v>
      </c>
      <c r="Y423" s="19">
        <v>313.56</v>
      </c>
      <c r="Z423" s="19">
        <v>0</v>
      </c>
      <c r="AA423" s="19" t="s">
        <v>135</v>
      </c>
      <c r="AB423" s="19" t="s">
        <v>1289</v>
      </c>
      <c r="AC423" s="19">
        <v>63053200</v>
      </c>
      <c r="AD423" s="19" t="s">
        <v>1092</v>
      </c>
      <c r="AE423" s="19">
        <v>1</v>
      </c>
      <c r="AF423" s="19">
        <v>1584</v>
      </c>
      <c r="AG423" s="19" t="s">
        <v>1093</v>
      </c>
      <c r="AH423" s="19" t="s">
        <v>50</v>
      </c>
    </row>
    <row r="424" spans="2:34" x14ac:dyDescent="0.35">
      <c r="B424" s="76">
        <v>46219</v>
      </c>
      <c r="C424" s="19" t="s">
        <v>138</v>
      </c>
      <c r="D424" s="19" t="s">
        <v>173</v>
      </c>
      <c r="E424" s="19" t="s">
        <v>631</v>
      </c>
      <c r="F424" s="19" t="s">
        <v>123</v>
      </c>
      <c r="G424" s="19" t="s">
        <v>632</v>
      </c>
      <c r="H424" s="76">
        <v>46219</v>
      </c>
      <c r="I424" s="19" t="s">
        <v>49</v>
      </c>
      <c r="J424" s="19" t="s">
        <v>50</v>
      </c>
      <c r="K424" s="19" t="s">
        <v>50</v>
      </c>
      <c r="L424" s="19" t="s">
        <v>1095</v>
      </c>
      <c r="M424" s="19" t="s">
        <v>1098</v>
      </c>
      <c r="N424" s="19">
        <v>9579</v>
      </c>
      <c r="O424" s="19">
        <v>1934191.68</v>
      </c>
      <c r="P424" s="19" t="s">
        <v>1098</v>
      </c>
      <c r="Q424" s="19">
        <v>0</v>
      </c>
      <c r="R424" s="19">
        <v>0.05</v>
      </c>
      <c r="S424" s="19">
        <v>967.1</v>
      </c>
      <c r="T424" s="19">
        <v>0.05</v>
      </c>
      <c r="U424" s="19">
        <v>967.1</v>
      </c>
      <c r="V424" s="19">
        <v>0</v>
      </c>
      <c r="W424" s="19">
        <v>0</v>
      </c>
      <c r="X424" s="19">
        <v>0</v>
      </c>
      <c r="Y424" s="19">
        <v>1934.2</v>
      </c>
      <c r="Z424" s="19">
        <v>0</v>
      </c>
      <c r="AA424" s="19" t="s">
        <v>135</v>
      </c>
      <c r="AB424" s="19" t="s">
        <v>1289</v>
      </c>
      <c r="AC424" s="19">
        <v>63053200</v>
      </c>
      <c r="AD424" s="19" t="s">
        <v>1092</v>
      </c>
      <c r="AE424" s="19">
        <v>1</v>
      </c>
      <c r="AF424" s="19">
        <v>9579</v>
      </c>
      <c r="AG424" s="19" t="s">
        <v>1093</v>
      </c>
      <c r="AH424" s="19" t="s">
        <v>50</v>
      </c>
    </row>
    <row r="425" spans="2:34" x14ac:dyDescent="0.35">
      <c r="B425" s="76">
        <v>46219</v>
      </c>
      <c r="C425" s="19" t="s">
        <v>138</v>
      </c>
      <c r="D425" s="19" t="s">
        <v>173</v>
      </c>
      <c r="E425" s="19" t="s">
        <v>631</v>
      </c>
      <c r="F425" s="19" t="s">
        <v>123</v>
      </c>
      <c r="G425" s="19" t="s">
        <v>632</v>
      </c>
      <c r="H425" s="76">
        <v>46219</v>
      </c>
      <c r="I425" s="19" t="s">
        <v>49</v>
      </c>
      <c r="J425" s="19" t="s">
        <v>50</v>
      </c>
      <c r="K425" s="19" t="s">
        <v>50</v>
      </c>
      <c r="L425" s="19" t="s">
        <v>1095</v>
      </c>
      <c r="M425" s="19" t="s">
        <v>1098</v>
      </c>
      <c r="N425" s="19">
        <v>3232</v>
      </c>
      <c r="O425" s="19">
        <v>644396.16</v>
      </c>
      <c r="P425" s="19" t="s">
        <v>1098</v>
      </c>
      <c r="Q425" s="19">
        <v>0</v>
      </c>
      <c r="R425" s="19">
        <v>0.05</v>
      </c>
      <c r="S425" s="19">
        <v>322.2</v>
      </c>
      <c r="T425" s="19">
        <v>0.05</v>
      </c>
      <c r="U425" s="19">
        <v>322.2</v>
      </c>
      <c r="V425" s="19">
        <v>0</v>
      </c>
      <c r="W425" s="19">
        <v>0</v>
      </c>
      <c r="X425" s="19">
        <v>0</v>
      </c>
      <c r="Y425" s="19">
        <v>644.4</v>
      </c>
      <c r="Z425" s="19">
        <v>0</v>
      </c>
      <c r="AA425" s="19" t="s">
        <v>135</v>
      </c>
      <c r="AB425" s="19" t="s">
        <v>1289</v>
      </c>
      <c r="AC425" s="19">
        <v>63053200</v>
      </c>
      <c r="AD425" s="19" t="s">
        <v>1092</v>
      </c>
      <c r="AE425" s="19">
        <v>1</v>
      </c>
      <c r="AF425" s="19">
        <v>3232</v>
      </c>
      <c r="AG425" s="19" t="s">
        <v>1093</v>
      </c>
      <c r="AH425" s="19" t="s">
        <v>50</v>
      </c>
    </row>
    <row r="426" spans="2:34" x14ac:dyDescent="0.35">
      <c r="B426" s="76">
        <v>46219</v>
      </c>
      <c r="C426" s="19" t="s">
        <v>138</v>
      </c>
      <c r="D426" s="19" t="s">
        <v>173</v>
      </c>
      <c r="E426" s="19" t="s">
        <v>631</v>
      </c>
      <c r="F426" s="19" t="s">
        <v>123</v>
      </c>
      <c r="G426" s="19" t="s">
        <v>632</v>
      </c>
      <c r="H426" s="76">
        <v>46219</v>
      </c>
      <c r="I426" s="19" t="s">
        <v>49</v>
      </c>
      <c r="J426" s="19" t="s">
        <v>50</v>
      </c>
      <c r="K426" s="19" t="s">
        <v>50</v>
      </c>
      <c r="L426" s="19" t="s">
        <v>1095</v>
      </c>
      <c r="M426" s="19" t="s">
        <v>1098</v>
      </c>
      <c r="N426" s="19">
        <v>3746</v>
      </c>
      <c r="O426" s="19">
        <v>746090.82</v>
      </c>
      <c r="P426" s="19" t="s">
        <v>1098</v>
      </c>
      <c r="Q426" s="19">
        <v>0</v>
      </c>
      <c r="R426" s="19">
        <v>0.05</v>
      </c>
      <c r="S426" s="19">
        <v>373.05</v>
      </c>
      <c r="T426" s="19">
        <v>0.05</v>
      </c>
      <c r="U426" s="19">
        <v>373.05</v>
      </c>
      <c r="V426" s="19">
        <v>0</v>
      </c>
      <c r="W426" s="19">
        <v>0</v>
      </c>
      <c r="X426" s="19">
        <v>0</v>
      </c>
      <c r="Y426" s="19">
        <v>746.1</v>
      </c>
      <c r="Z426" s="19">
        <v>0</v>
      </c>
      <c r="AA426" s="19" t="s">
        <v>135</v>
      </c>
      <c r="AB426" s="19" t="s">
        <v>1289</v>
      </c>
      <c r="AC426" s="19">
        <v>63053200</v>
      </c>
      <c r="AD426" s="19" t="s">
        <v>1092</v>
      </c>
      <c r="AE426" s="19">
        <v>1</v>
      </c>
      <c r="AF426" s="19">
        <v>3746</v>
      </c>
      <c r="AG426" s="19" t="s">
        <v>1093</v>
      </c>
      <c r="AH426" s="19" t="s">
        <v>50</v>
      </c>
    </row>
    <row r="427" spans="2:34" x14ac:dyDescent="0.35">
      <c r="B427" s="76">
        <v>46219</v>
      </c>
      <c r="C427" s="19" t="s">
        <v>138</v>
      </c>
      <c r="D427" s="19" t="s">
        <v>173</v>
      </c>
      <c r="E427" s="19" t="s">
        <v>635</v>
      </c>
      <c r="F427" s="19" t="s">
        <v>123</v>
      </c>
      <c r="G427" s="19" t="s">
        <v>636</v>
      </c>
      <c r="H427" s="76">
        <v>46218</v>
      </c>
      <c r="I427" s="19" t="s">
        <v>36</v>
      </c>
      <c r="J427" s="19" t="s">
        <v>1350</v>
      </c>
      <c r="K427" s="19" t="s">
        <v>39</v>
      </c>
      <c r="L427" s="19" t="s">
        <v>1351</v>
      </c>
      <c r="M427" s="19" t="s">
        <v>1352</v>
      </c>
      <c r="N427" s="19">
        <v>202.3</v>
      </c>
      <c r="O427" s="19">
        <v>47941.053999999996</v>
      </c>
      <c r="P427" s="19" t="s">
        <v>1352</v>
      </c>
      <c r="Q427" s="19">
        <v>1016966.72</v>
      </c>
      <c r="R427" s="19">
        <v>9</v>
      </c>
      <c r="S427" s="19">
        <v>4314.6899999999996</v>
      </c>
      <c r="T427" s="19">
        <v>9</v>
      </c>
      <c r="U427" s="19">
        <v>4314.6899999999996</v>
      </c>
      <c r="V427" s="19">
        <v>0</v>
      </c>
      <c r="W427" s="19">
        <v>0</v>
      </c>
      <c r="X427" s="19">
        <v>0</v>
      </c>
      <c r="Y427" s="19">
        <v>8629.3799999999992</v>
      </c>
      <c r="Z427" s="19">
        <v>0</v>
      </c>
      <c r="AA427" s="19" t="s">
        <v>135</v>
      </c>
      <c r="AB427" s="19" t="s">
        <v>1289</v>
      </c>
      <c r="AC427" s="19">
        <v>39200000</v>
      </c>
      <c r="AD427" s="19" t="s">
        <v>1092</v>
      </c>
      <c r="AE427" s="19">
        <v>1</v>
      </c>
      <c r="AF427" s="19">
        <v>202.3</v>
      </c>
      <c r="AG427" s="19" t="s">
        <v>1093</v>
      </c>
      <c r="AH427" s="19" t="s">
        <v>39</v>
      </c>
    </row>
    <row r="428" spans="2:34" x14ac:dyDescent="0.35">
      <c r="B428" s="76">
        <v>46219</v>
      </c>
      <c r="C428" s="19" t="s">
        <v>138</v>
      </c>
      <c r="D428" s="19" t="s">
        <v>173</v>
      </c>
      <c r="E428" s="19" t="s">
        <v>635</v>
      </c>
      <c r="F428" s="19" t="s">
        <v>123</v>
      </c>
      <c r="G428" s="19" t="s">
        <v>636</v>
      </c>
      <c r="H428" s="76">
        <v>46218</v>
      </c>
      <c r="I428" s="19" t="s">
        <v>36</v>
      </c>
      <c r="J428" s="19" t="s">
        <v>1117</v>
      </c>
      <c r="K428" s="19" t="s">
        <v>44</v>
      </c>
      <c r="L428" s="19" t="s">
        <v>1118</v>
      </c>
      <c r="M428" s="19" t="s">
        <v>1119</v>
      </c>
      <c r="N428" s="19">
        <v>1543</v>
      </c>
      <c r="O428" s="19">
        <v>222948.07</v>
      </c>
      <c r="P428" s="19" t="s">
        <v>1119</v>
      </c>
      <c r="Q428" s="19">
        <v>0</v>
      </c>
      <c r="R428" s="19">
        <v>9</v>
      </c>
      <c r="S428" s="19">
        <v>20065.330000000002</v>
      </c>
      <c r="T428" s="19">
        <v>9</v>
      </c>
      <c r="U428" s="19">
        <v>20065.330000000002</v>
      </c>
      <c r="V428" s="19">
        <v>0</v>
      </c>
      <c r="W428" s="19">
        <v>0</v>
      </c>
      <c r="X428" s="19">
        <v>0</v>
      </c>
      <c r="Y428" s="19">
        <v>40130.660000000003</v>
      </c>
      <c r="Z428" s="19">
        <v>0</v>
      </c>
      <c r="AA428" s="19" t="s">
        <v>135</v>
      </c>
      <c r="AB428" s="19" t="s">
        <v>1289</v>
      </c>
      <c r="AC428" s="19">
        <v>39269080</v>
      </c>
      <c r="AD428" s="19" t="s">
        <v>1092</v>
      </c>
      <c r="AE428" s="19">
        <v>1</v>
      </c>
      <c r="AF428" s="19">
        <v>1543</v>
      </c>
      <c r="AG428" s="19" t="s">
        <v>1093</v>
      </c>
      <c r="AH428" s="19" t="s">
        <v>44</v>
      </c>
    </row>
    <row r="429" spans="2:34" x14ac:dyDescent="0.35">
      <c r="B429" s="76">
        <v>46219</v>
      </c>
      <c r="C429" s="19" t="s">
        <v>138</v>
      </c>
      <c r="D429" s="19" t="s">
        <v>173</v>
      </c>
      <c r="E429" s="19" t="s">
        <v>635</v>
      </c>
      <c r="F429" s="19" t="s">
        <v>123</v>
      </c>
      <c r="G429" s="19" t="s">
        <v>636</v>
      </c>
      <c r="H429" s="76">
        <v>46218</v>
      </c>
      <c r="I429" s="19" t="s">
        <v>36</v>
      </c>
      <c r="J429" s="19" t="s">
        <v>1117</v>
      </c>
      <c r="K429" s="19" t="s">
        <v>44</v>
      </c>
      <c r="L429" s="19" t="s">
        <v>1118</v>
      </c>
      <c r="M429" s="19" t="s">
        <v>1119</v>
      </c>
      <c r="N429" s="19">
        <v>1713</v>
      </c>
      <c r="O429" s="19">
        <v>252650.37</v>
      </c>
      <c r="P429" s="19" t="s">
        <v>1119</v>
      </c>
      <c r="Q429" s="19">
        <v>0</v>
      </c>
      <c r="R429" s="19">
        <v>9</v>
      </c>
      <c r="S429" s="19">
        <v>22738.53</v>
      </c>
      <c r="T429" s="19">
        <v>9</v>
      </c>
      <c r="U429" s="19">
        <v>22738.53</v>
      </c>
      <c r="V429" s="19">
        <v>0</v>
      </c>
      <c r="W429" s="19">
        <v>0</v>
      </c>
      <c r="X429" s="19">
        <v>0</v>
      </c>
      <c r="Y429" s="19">
        <v>45477.06</v>
      </c>
      <c r="Z429" s="19">
        <v>0</v>
      </c>
      <c r="AA429" s="19" t="s">
        <v>135</v>
      </c>
      <c r="AB429" s="19" t="s">
        <v>1289</v>
      </c>
      <c r="AC429" s="19">
        <v>39269080</v>
      </c>
      <c r="AD429" s="19" t="s">
        <v>1092</v>
      </c>
      <c r="AE429" s="19">
        <v>1</v>
      </c>
      <c r="AF429" s="19">
        <v>1713</v>
      </c>
      <c r="AG429" s="19" t="s">
        <v>1093</v>
      </c>
      <c r="AH429" s="19" t="s">
        <v>44</v>
      </c>
    </row>
    <row r="430" spans="2:34" x14ac:dyDescent="0.35">
      <c r="B430" s="76">
        <v>46219</v>
      </c>
      <c r="C430" s="19" t="s">
        <v>138</v>
      </c>
      <c r="D430" s="19" t="s">
        <v>173</v>
      </c>
      <c r="E430" s="19" t="s">
        <v>635</v>
      </c>
      <c r="F430" s="19" t="s">
        <v>123</v>
      </c>
      <c r="G430" s="19" t="s">
        <v>636</v>
      </c>
      <c r="H430" s="76">
        <v>46218</v>
      </c>
      <c r="I430" s="19" t="s">
        <v>36</v>
      </c>
      <c r="J430" s="19" t="s">
        <v>1117</v>
      </c>
      <c r="K430" s="19" t="s">
        <v>44</v>
      </c>
      <c r="L430" s="19" t="s">
        <v>1118</v>
      </c>
      <c r="M430" s="19" t="s">
        <v>1119</v>
      </c>
      <c r="N430" s="19">
        <v>644</v>
      </c>
      <c r="O430" s="19">
        <v>96271.56</v>
      </c>
      <c r="P430" s="19" t="s">
        <v>1119</v>
      </c>
      <c r="Q430" s="19">
        <v>0</v>
      </c>
      <c r="R430" s="19">
        <v>9</v>
      </c>
      <c r="S430" s="19">
        <v>8664.44</v>
      </c>
      <c r="T430" s="19">
        <v>9</v>
      </c>
      <c r="U430" s="19">
        <v>8664.44</v>
      </c>
      <c r="V430" s="19">
        <v>0</v>
      </c>
      <c r="W430" s="19">
        <v>0</v>
      </c>
      <c r="X430" s="19">
        <v>0</v>
      </c>
      <c r="Y430" s="19">
        <v>17328.88</v>
      </c>
      <c r="Z430" s="19">
        <v>0</v>
      </c>
      <c r="AA430" s="19" t="s">
        <v>135</v>
      </c>
      <c r="AB430" s="19" t="s">
        <v>1289</v>
      </c>
      <c r="AC430" s="19">
        <v>39269080</v>
      </c>
      <c r="AD430" s="19" t="s">
        <v>1092</v>
      </c>
      <c r="AE430" s="19">
        <v>1</v>
      </c>
      <c r="AF430" s="19">
        <v>644</v>
      </c>
      <c r="AG430" s="19" t="s">
        <v>1093</v>
      </c>
      <c r="AH430" s="19" t="s">
        <v>44</v>
      </c>
    </row>
    <row r="431" spans="2:34" x14ac:dyDescent="0.35">
      <c r="B431" s="76">
        <v>46219</v>
      </c>
      <c r="C431" s="19" t="s">
        <v>138</v>
      </c>
      <c r="D431" s="19" t="s">
        <v>173</v>
      </c>
      <c r="E431" s="19" t="s">
        <v>635</v>
      </c>
      <c r="F431" s="19" t="s">
        <v>123</v>
      </c>
      <c r="G431" s="19" t="s">
        <v>636</v>
      </c>
      <c r="H431" s="76">
        <v>46218</v>
      </c>
      <c r="I431" s="19" t="s">
        <v>36</v>
      </c>
      <c r="J431" s="19" t="s">
        <v>1087</v>
      </c>
      <c r="K431" s="19" t="s">
        <v>46</v>
      </c>
      <c r="L431" s="19" t="s">
        <v>1213</v>
      </c>
      <c r="M431" s="19" t="s">
        <v>1782</v>
      </c>
      <c r="N431" s="19">
        <v>1743.5</v>
      </c>
      <c r="O431" s="19">
        <v>272840.315</v>
      </c>
      <c r="P431" s="19" t="s">
        <v>1782</v>
      </c>
      <c r="Q431" s="19">
        <v>0</v>
      </c>
      <c r="R431" s="19">
        <v>2.5</v>
      </c>
      <c r="S431" s="19">
        <v>6821.01</v>
      </c>
      <c r="T431" s="19">
        <v>2.5</v>
      </c>
      <c r="U431" s="19">
        <v>6821.01</v>
      </c>
      <c r="V431" s="19">
        <v>0</v>
      </c>
      <c r="W431" s="19">
        <v>0</v>
      </c>
      <c r="X431" s="19">
        <v>0</v>
      </c>
      <c r="Y431" s="19">
        <v>13642.02</v>
      </c>
      <c r="Z431" s="19">
        <v>0</v>
      </c>
      <c r="AA431" s="19" t="s">
        <v>135</v>
      </c>
      <c r="AB431" s="19" t="s">
        <v>1091</v>
      </c>
      <c r="AC431" s="19">
        <v>54026930</v>
      </c>
      <c r="AD431" s="19" t="s">
        <v>1092</v>
      </c>
      <c r="AE431" s="19">
        <v>1</v>
      </c>
      <c r="AF431" s="19">
        <v>1743.5</v>
      </c>
      <c r="AG431" s="19" t="s">
        <v>1093</v>
      </c>
      <c r="AH431" s="19" t="s">
        <v>46</v>
      </c>
    </row>
    <row r="432" spans="2:34" x14ac:dyDescent="0.35">
      <c r="B432" s="76">
        <v>46219</v>
      </c>
      <c r="C432" s="19" t="s">
        <v>138</v>
      </c>
      <c r="D432" s="19" t="s">
        <v>173</v>
      </c>
      <c r="E432" s="19" t="s">
        <v>637</v>
      </c>
      <c r="F432" s="19" t="s">
        <v>123</v>
      </c>
      <c r="G432" s="19" t="s">
        <v>638</v>
      </c>
      <c r="H432" s="76">
        <v>46218</v>
      </c>
      <c r="I432" s="19" t="s">
        <v>36</v>
      </c>
      <c r="J432" s="19" t="s">
        <v>1117</v>
      </c>
      <c r="K432" s="19" t="s">
        <v>44</v>
      </c>
      <c r="L432" s="19" t="s">
        <v>1118</v>
      </c>
      <c r="M432" s="19" t="s">
        <v>1119</v>
      </c>
      <c r="N432" s="19">
        <v>310</v>
      </c>
      <c r="O432" s="19">
        <v>122450</v>
      </c>
      <c r="P432" s="19" t="s">
        <v>1119</v>
      </c>
      <c r="Q432" s="19">
        <v>144368.54999999999</v>
      </c>
      <c r="R432" s="19">
        <v>9</v>
      </c>
      <c r="S432" s="19">
        <v>11020.5</v>
      </c>
      <c r="T432" s="19">
        <v>9</v>
      </c>
      <c r="U432" s="19">
        <v>11020.5</v>
      </c>
      <c r="V432" s="19">
        <v>0</v>
      </c>
      <c r="W432" s="19">
        <v>0</v>
      </c>
      <c r="X432" s="19">
        <v>0</v>
      </c>
      <c r="Y432" s="19">
        <v>22041</v>
      </c>
      <c r="Z432" s="19">
        <v>0</v>
      </c>
      <c r="AA432" s="19" t="s">
        <v>135</v>
      </c>
      <c r="AB432" s="19" t="s">
        <v>1289</v>
      </c>
      <c r="AC432" s="19">
        <v>39269080</v>
      </c>
      <c r="AD432" s="19" t="s">
        <v>1092</v>
      </c>
      <c r="AE432" s="19">
        <v>1</v>
      </c>
      <c r="AF432" s="19">
        <v>310</v>
      </c>
      <c r="AG432" s="19" t="s">
        <v>1093</v>
      </c>
      <c r="AH432" s="19" t="s">
        <v>44</v>
      </c>
    </row>
    <row r="433" spans="2:34" hidden="1" x14ac:dyDescent="0.35">
      <c r="B433" s="76">
        <v>46219</v>
      </c>
      <c r="C433" s="19" t="s">
        <v>613</v>
      </c>
      <c r="D433" s="19" t="s">
        <v>7</v>
      </c>
      <c r="E433" s="19" t="s">
        <v>611</v>
      </c>
      <c r="F433" s="19" t="s">
        <v>119</v>
      </c>
      <c r="G433" s="19" t="s">
        <v>612</v>
      </c>
      <c r="H433" s="76">
        <v>46218</v>
      </c>
      <c r="I433" s="19" t="s">
        <v>105</v>
      </c>
      <c r="J433" s="19" t="s">
        <v>1142</v>
      </c>
      <c r="K433" s="19" t="s">
        <v>1509</v>
      </c>
      <c r="L433" s="19" t="s">
        <v>1509</v>
      </c>
      <c r="M433" s="19" t="s">
        <v>1145</v>
      </c>
      <c r="N433" s="19">
        <v>25</v>
      </c>
      <c r="O433" s="19">
        <v>1200</v>
      </c>
      <c r="P433" s="19" t="s">
        <v>1145</v>
      </c>
      <c r="Q433" s="19">
        <v>1414.8</v>
      </c>
      <c r="R433" s="19">
        <v>9</v>
      </c>
      <c r="S433" s="19">
        <v>108</v>
      </c>
      <c r="T433" s="19">
        <v>9</v>
      </c>
      <c r="U433" s="19">
        <v>108</v>
      </c>
      <c r="V433" s="19">
        <v>0</v>
      </c>
      <c r="W433" s="19">
        <v>0</v>
      </c>
      <c r="X433" s="19">
        <v>0</v>
      </c>
      <c r="Y433" s="19">
        <v>216</v>
      </c>
      <c r="Z433" s="19">
        <v>0</v>
      </c>
      <c r="AA433" s="19" t="s">
        <v>614</v>
      </c>
      <c r="AB433" s="19" t="s">
        <v>1091</v>
      </c>
      <c r="AC433" s="19">
        <v>7306309</v>
      </c>
      <c r="AD433" s="19" t="s">
        <v>1092</v>
      </c>
      <c r="AE433" s="19">
        <v>1</v>
      </c>
      <c r="AF433" s="19">
        <v>0</v>
      </c>
      <c r="AG433" s="19" t="s">
        <v>1093</v>
      </c>
      <c r="AH433" s="19" t="s">
        <v>2319</v>
      </c>
    </row>
    <row r="434" spans="2:34" x14ac:dyDescent="0.35">
      <c r="B434" s="76">
        <v>46219</v>
      </c>
      <c r="C434" s="19" t="s">
        <v>613</v>
      </c>
      <c r="D434" s="19" t="s">
        <v>173</v>
      </c>
      <c r="E434" s="19" t="s">
        <v>633</v>
      </c>
      <c r="F434" s="19" t="s">
        <v>123</v>
      </c>
      <c r="G434" s="19" t="s">
        <v>634</v>
      </c>
      <c r="H434" s="76">
        <v>46219</v>
      </c>
      <c r="I434" s="19" t="s">
        <v>49</v>
      </c>
      <c r="J434" s="19" t="s">
        <v>50</v>
      </c>
      <c r="K434" s="19" t="s">
        <v>50</v>
      </c>
      <c r="L434" s="19" t="s">
        <v>1095</v>
      </c>
      <c r="M434" s="19" t="s">
        <v>1098</v>
      </c>
      <c r="N434" s="19">
        <v>2441.1</v>
      </c>
      <c r="O434" s="19">
        <v>524348.28</v>
      </c>
      <c r="P434" s="19" t="s">
        <v>1098</v>
      </c>
      <c r="Q434" s="19">
        <v>6148332.0700000003</v>
      </c>
      <c r="R434" s="19">
        <v>9</v>
      </c>
      <c r="S434" s="19">
        <v>47191.35</v>
      </c>
      <c r="T434" s="19">
        <v>9</v>
      </c>
      <c r="U434" s="19">
        <v>47191.35</v>
      </c>
      <c r="V434" s="19">
        <v>0</v>
      </c>
      <c r="W434" s="19">
        <v>0</v>
      </c>
      <c r="X434" s="19">
        <v>0</v>
      </c>
      <c r="Y434" s="19">
        <v>94382.7</v>
      </c>
      <c r="Z434" s="19">
        <v>0</v>
      </c>
      <c r="AA434" s="19" t="s">
        <v>614</v>
      </c>
      <c r="AB434" s="19" t="s">
        <v>1289</v>
      </c>
      <c r="AC434" s="19">
        <v>63053200</v>
      </c>
      <c r="AD434" s="19" t="s">
        <v>1092</v>
      </c>
      <c r="AE434" s="19">
        <v>1</v>
      </c>
      <c r="AF434" s="19">
        <v>2441.1</v>
      </c>
      <c r="AG434" s="19" t="s">
        <v>1093</v>
      </c>
      <c r="AH434" s="19" t="s">
        <v>50</v>
      </c>
    </row>
    <row r="435" spans="2:34" x14ac:dyDescent="0.35">
      <c r="B435" s="76">
        <v>46219</v>
      </c>
      <c r="C435" s="19" t="s">
        <v>613</v>
      </c>
      <c r="D435" s="19" t="s">
        <v>173</v>
      </c>
      <c r="E435" s="19" t="s">
        <v>633</v>
      </c>
      <c r="F435" s="19" t="s">
        <v>123</v>
      </c>
      <c r="G435" s="19" t="s">
        <v>634</v>
      </c>
      <c r="H435" s="76">
        <v>46219</v>
      </c>
      <c r="I435" s="19" t="s">
        <v>49</v>
      </c>
      <c r="J435" s="19" t="s">
        <v>50</v>
      </c>
      <c r="K435" s="19" t="s">
        <v>50</v>
      </c>
      <c r="L435" s="19" t="s">
        <v>1095</v>
      </c>
      <c r="M435" s="19" t="s">
        <v>1098</v>
      </c>
      <c r="N435" s="19">
        <v>8430</v>
      </c>
      <c r="O435" s="19">
        <v>2214392.4</v>
      </c>
      <c r="P435" s="19" t="s">
        <v>1098</v>
      </c>
      <c r="Q435" s="19">
        <v>0</v>
      </c>
      <c r="R435" s="19">
        <v>9</v>
      </c>
      <c r="S435" s="19">
        <v>199295.32</v>
      </c>
      <c r="T435" s="19">
        <v>9</v>
      </c>
      <c r="U435" s="19">
        <v>199295.32</v>
      </c>
      <c r="V435" s="19">
        <v>0</v>
      </c>
      <c r="W435" s="19">
        <v>0</v>
      </c>
      <c r="X435" s="19">
        <v>0</v>
      </c>
      <c r="Y435" s="19">
        <v>398590.64</v>
      </c>
      <c r="Z435" s="19">
        <v>0</v>
      </c>
      <c r="AA435" s="19" t="s">
        <v>614</v>
      </c>
      <c r="AB435" s="19" t="s">
        <v>1289</v>
      </c>
      <c r="AC435" s="19">
        <v>63053200</v>
      </c>
      <c r="AD435" s="19" t="s">
        <v>1092</v>
      </c>
      <c r="AE435" s="19">
        <v>1</v>
      </c>
      <c r="AF435" s="19">
        <v>8430</v>
      </c>
      <c r="AG435" s="19" t="s">
        <v>1093</v>
      </c>
      <c r="AH435" s="19" t="s">
        <v>50</v>
      </c>
    </row>
    <row r="436" spans="2:34" x14ac:dyDescent="0.35">
      <c r="B436" s="76">
        <v>46219</v>
      </c>
      <c r="C436" s="19" t="s">
        <v>613</v>
      </c>
      <c r="D436" s="19" t="s">
        <v>173</v>
      </c>
      <c r="E436" s="19" t="s">
        <v>633</v>
      </c>
      <c r="F436" s="19" t="s">
        <v>123</v>
      </c>
      <c r="G436" s="19" t="s">
        <v>634</v>
      </c>
      <c r="H436" s="76">
        <v>46219</v>
      </c>
      <c r="I436" s="19" t="s">
        <v>49</v>
      </c>
      <c r="J436" s="19" t="s">
        <v>50</v>
      </c>
      <c r="K436" s="19" t="s">
        <v>50</v>
      </c>
      <c r="L436" s="19" t="s">
        <v>1095</v>
      </c>
      <c r="M436" s="19" t="s">
        <v>1098</v>
      </c>
      <c r="N436" s="19">
        <v>1022</v>
      </c>
      <c r="O436" s="19">
        <v>258228.74</v>
      </c>
      <c r="P436" s="19" t="s">
        <v>1098</v>
      </c>
      <c r="Q436" s="19">
        <v>0</v>
      </c>
      <c r="R436" s="19">
        <v>9</v>
      </c>
      <c r="S436" s="19">
        <v>23240.59</v>
      </c>
      <c r="T436" s="19">
        <v>9</v>
      </c>
      <c r="U436" s="19">
        <v>23240.59</v>
      </c>
      <c r="V436" s="19">
        <v>0</v>
      </c>
      <c r="W436" s="19">
        <v>0</v>
      </c>
      <c r="X436" s="19">
        <v>0</v>
      </c>
      <c r="Y436" s="19">
        <v>46481.18</v>
      </c>
      <c r="Z436" s="19">
        <v>0</v>
      </c>
      <c r="AA436" s="19" t="s">
        <v>614</v>
      </c>
      <c r="AB436" s="19" t="s">
        <v>1289</v>
      </c>
      <c r="AC436" s="19">
        <v>63053200</v>
      </c>
      <c r="AD436" s="19" t="s">
        <v>1092</v>
      </c>
      <c r="AE436" s="19">
        <v>1</v>
      </c>
      <c r="AF436" s="19">
        <v>1022</v>
      </c>
      <c r="AG436" s="19" t="s">
        <v>1093</v>
      </c>
      <c r="AH436" s="19" t="s">
        <v>50</v>
      </c>
    </row>
    <row r="437" spans="2:34" x14ac:dyDescent="0.35">
      <c r="B437" s="76">
        <v>46219</v>
      </c>
      <c r="C437" s="19" t="s">
        <v>613</v>
      </c>
      <c r="D437" s="19" t="s">
        <v>173</v>
      </c>
      <c r="E437" s="19" t="s">
        <v>633</v>
      </c>
      <c r="F437" s="19" t="s">
        <v>123</v>
      </c>
      <c r="G437" s="19" t="s">
        <v>634</v>
      </c>
      <c r="H437" s="76">
        <v>46219</v>
      </c>
      <c r="I437" s="19" t="s">
        <v>49</v>
      </c>
      <c r="J437" s="19" t="s">
        <v>50</v>
      </c>
      <c r="K437" s="19" t="s">
        <v>50</v>
      </c>
      <c r="L437" s="19" t="s">
        <v>1095</v>
      </c>
      <c r="M437" s="19" t="s">
        <v>1098</v>
      </c>
      <c r="N437" s="19">
        <v>801</v>
      </c>
      <c r="O437" s="19">
        <v>201755.88</v>
      </c>
      <c r="P437" s="19" t="s">
        <v>1098</v>
      </c>
      <c r="Q437" s="19">
        <v>0</v>
      </c>
      <c r="R437" s="19">
        <v>9</v>
      </c>
      <c r="S437" s="19">
        <v>18158.03</v>
      </c>
      <c r="T437" s="19">
        <v>9</v>
      </c>
      <c r="U437" s="19">
        <v>18158.03</v>
      </c>
      <c r="V437" s="19">
        <v>0</v>
      </c>
      <c r="W437" s="19">
        <v>0</v>
      </c>
      <c r="X437" s="19">
        <v>0</v>
      </c>
      <c r="Y437" s="19">
        <v>36316.06</v>
      </c>
      <c r="Z437" s="19">
        <v>0</v>
      </c>
      <c r="AA437" s="19" t="s">
        <v>614</v>
      </c>
      <c r="AB437" s="19" t="s">
        <v>1289</v>
      </c>
      <c r="AC437" s="19">
        <v>63053200</v>
      </c>
      <c r="AD437" s="19" t="s">
        <v>1092</v>
      </c>
      <c r="AE437" s="19">
        <v>1</v>
      </c>
      <c r="AF437" s="19">
        <v>801</v>
      </c>
      <c r="AG437" s="19" t="s">
        <v>1093</v>
      </c>
      <c r="AH437" s="19" t="s">
        <v>50</v>
      </c>
    </row>
    <row r="438" spans="2:34" x14ac:dyDescent="0.35">
      <c r="B438" s="76">
        <v>46219</v>
      </c>
      <c r="C438" s="19" t="s">
        <v>613</v>
      </c>
      <c r="D438" s="19" t="s">
        <v>173</v>
      </c>
      <c r="E438" s="19" t="s">
        <v>633</v>
      </c>
      <c r="F438" s="19" t="s">
        <v>123</v>
      </c>
      <c r="G438" s="19" t="s">
        <v>634</v>
      </c>
      <c r="H438" s="76">
        <v>46219</v>
      </c>
      <c r="I438" s="19" t="s">
        <v>49</v>
      </c>
      <c r="J438" s="19" t="s">
        <v>50</v>
      </c>
      <c r="K438" s="19" t="s">
        <v>50</v>
      </c>
      <c r="L438" s="19" t="s">
        <v>1095</v>
      </c>
      <c r="M438" s="19" t="s">
        <v>1098</v>
      </c>
      <c r="N438" s="19">
        <v>6672</v>
      </c>
      <c r="O438" s="19">
        <v>2016144.96</v>
      </c>
      <c r="P438" s="19" t="s">
        <v>1098</v>
      </c>
      <c r="Q438" s="19">
        <v>0</v>
      </c>
      <c r="R438" s="19">
        <v>9</v>
      </c>
      <c r="S438" s="19">
        <v>181453.05</v>
      </c>
      <c r="T438" s="19">
        <v>9</v>
      </c>
      <c r="U438" s="19">
        <v>181453.05</v>
      </c>
      <c r="V438" s="19">
        <v>0</v>
      </c>
      <c r="W438" s="19">
        <v>0</v>
      </c>
      <c r="X438" s="19">
        <v>0</v>
      </c>
      <c r="Y438" s="19">
        <v>362906.1</v>
      </c>
      <c r="Z438" s="19">
        <v>0</v>
      </c>
      <c r="AA438" s="19" t="s">
        <v>614</v>
      </c>
      <c r="AB438" s="19" t="s">
        <v>1289</v>
      </c>
      <c r="AC438" s="19">
        <v>63053200</v>
      </c>
      <c r="AD438" s="19" t="s">
        <v>1092</v>
      </c>
      <c r="AE438" s="19">
        <v>1</v>
      </c>
      <c r="AF438" s="19">
        <v>6672</v>
      </c>
      <c r="AG438" s="19" t="s">
        <v>1093</v>
      </c>
      <c r="AH438" s="19" t="s">
        <v>50</v>
      </c>
    </row>
    <row r="439" spans="2:34" x14ac:dyDescent="0.35">
      <c r="B439" s="76">
        <v>46219</v>
      </c>
      <c r="C439" s="19" t="s">
        <v>613</v>
      </c>
      <c r="D439" s="19" t="s">
        <v>173</v>
      </c>
      <c r="E439" s="19" t="s">
        <v>639</v>
      </c>
      <c r="F439" s="19" t="s">
        <v>123</v>
      </c>
      <c r="G439" s="19" t="s">
        <v>640</v>
      </c>
      <c r="H439" s="76">
        <v>46218</v>
      </c>
      <c r="I439" s="19" t="s">
        <v>36</v>
      </c>
      <c r="J439" s="19" t="s">
        <v>1117</v>
      </c>
      <c r="K439" s="19" t="s">
        <v>44</v>
      </c>
      <c r="L439" s="19" t="s">
        <v>1118</v>
      </c>
      <c r="M439" s="19" t="s">
        <v>1119</v>
      </c>
      <c r="N439" s="19">
        <v>733.5</v>
      </c>
      <c r="O439" s="19">
        <v>113501.79</v>
      </c>
      <c r="P439" s="19" t="s">
        <v>1119</v>
      </c>
      <c r="Q439" s="19">
        <v>133818.60999999999</v>
      </c>
      <c r="R439" s="19">
        <v>9</v>
      </c>
      <c r="S439" s="19">
        <v>10215.16</v>
      </c>
      <c r="T439" s="19">
        <v>9</v>
      </c>
      <c r="U439" s="19">
        <v>10215.16</v>
      </c>
      <c r="V439" s="19">
        <v>0</v>
      </c>
      <c r="W439" s="19">
        <v>0</v>
      </c>
      <c r="X439" s="19">
        <v>0</v>
      </c>
      <c r="Y439" s="19">
        <v>20430.32</v>
      </c>
      <c r="Z439" s="19">
        <v>0</v>
      </c>
      <c r="AA439" s="19" t="s">
        <v>614</v>
      </c>
      <c r="AB439" s="19" t="s">
        <v>1289</v>
      </c>
      <c r="AC439" s="19">
        <v>39269080</v>
      </c>
      <c r="AD439" s="19" t="s">
        <v>1092</v>
      </c>
      <c r="AE439" s="19">
        <v>1</v>
      </c>
      <c r="AF439" s="19">
        <f t="shared" ref="AF439" si="18">N439</f>
        <v>733.5</v>
      </c>
      <c r="AG439" s="19" t="s">
        <v>1093</v>
      </c>
      <c r="AH439" s="19" t="s">
        <v>44</v>
      </c>
    </row>
    <row r="440" spans="2:34" hidden="1" x14ac:dyDescent="0.35">
      <c r="B440" s="76">
        <v>46219</v>
      </c>
      <c r="C440" s="19" t="s">
        <v>617</v>
      </c>
      <c r="D440" s="19" t="s">
        <v>126</v>
      </c>
      <c r="E440" s="19" t="s">
        <v>615</v>
      </c>
      <c r="F440" s="19" t="s">
        <v>118</v>
      </c>
      <c r="G440" s="19" t="s">
        <v>616</v>
      </c>
      <c r="H440" s="76">
        <v>46218</v>
      </c>
      <c r="I440" s="19" t="s">
        <v>105</v>
      </c>
      <c r="J440" s="19" t="s">
        <v>1579</v>
      </c>
      <c r="K440" s="19" t="s">
        <v>1127</v>
      </c>
      <c r="L440" s="19" t="s">
        <v>1389</v>
      </c>
      <c r="M440" s="19" t="s">
        <v>1811</v>
      </c>
      <c r="N440" s="19">
        <v>6</v>
      </c>
      <c r="O440" s="19">
        <v>48900</v>
      </c>
      <c r="P440" s="19" t="s">
        <v>1811</v>
      </c>
      <c r="Q440" s="19">
        <v>61242</v>
      </c>
      <c r="R440" s="19">
        <v>9</v>
      </c>
      <c r="S440" s="19">
        <v>4401</v>
      </c>
      <c r="T440" s="19">
        <v>9</v>
      </c>
      <c r="U440" s="19">
        <v>4401</v>
      </c>
      <c r="V440" s="19">
        <v>0</v>
      </c>
      <c r="W440" s="19">
        <v>0</v>
      </c>
      <c r="X440" s="19">
        <v>540</v>
      </c>
      <c r="Y440" s="19">
        <v>9342</v>
      </c>
      <c r="Z440" s="19">
        <v>0</v>
      </c>
      <c r="AA440" s="19" t="s">
        <v>618</v>
      </c>
      <c r="AB440" s="19" t="s">
        <v>1555</v>
      </c>
      <c r="AC440" s="19">
        <v>488490</v>
      </c>
      <c r="AD440" s="19" t="s">
        <v>1092</v>
      </c>
      <c r="AE440" s="19">
        <v>1</v>
      </c>
      <c r="AF440" s="19">
        <v>0</v>
      </c>
      <c r="AG440" s="19" t="s">
        <v>1093</v>
      </c>
      <c r="AH440" s="19" t="s">
        <v>2319</v>
      </c>
    </row>
    <row r="441" spans="2:34" x14ac:dyDescent="0.35">
      <c r="B441" s="76">
        <v>46219</v>
      </c>
      <c r="C441" s="19" t="s">
        <v>643</v>
      </c>
      <c r="D441" s="19" t="s">
        <v>173</v>
      </c>
      <c r="E441" s="19" t="s">
        <v>641</v>
      </c>
      <c r="F441" s="19" t="s">
        <v>123</v>
      </c>
      <c r="G441" s="19" t="s">
        <v>642</v>
      </c>
      <c r="H441" s="76">
        <v>46207</v>
      </c>
      <c r="I441" s="19" t="s">
        <v>28</v>
      </c>
      <c r="J441" s="19" t="s">
        <v>1173</v>
      </c>
      <c r="K441" s="19" t="s">
        <v>34</v>
      </c>
      <c r="L441" s="19" t="s">
        <v>1105</v>
      </c>
      <c r="M441" s="19" t="s">
        <v>1812</v>
      </c>
      <c r="N441" s="19">
        <v>24000</v>
      </c>
      <c r="O441" s="19">
        <v>3185040</v>
      </c>
      <c r="P441" s="19" t="s">
        <v>1812</v>
      </c>
      <c r="Q441" s="19">
        <v>3758347</v>
      </c>
      <c r="R441" s="19">
        <v>9</v>
      </c>
      <c r="S441" s="19">
        <v>286653.59999999998</v>
      </c>
      <c r="T441" s="19">
        <v>9</v>
      </c>
      <c r="U441" s="19">
        <v>286653.59999999998</v>
      </c>
      <c r="V441" s="19">
        <v>0</v>
      </c>
      <c r="W441" s="19">
        <v>0</v>
      </c>
      <c r="X441" s="19">
        <v>0</v>
      </c>
      <c r="Y441" s="19">
        <v>573307.19999999995</v>
      </c>
      <c r="Z441" s="19">
        <v>0</v>
      </c>
      <c r="AA441" s="19" t="s">
        <v>644</v>
      </c>
      <c r="AB441" s="19" t="s">
        <v>1289</v>
      </c>
      <c r="AC441" s="19">
        <v>39021000</v>
      </c>
      <c r="AD441" s="19" t="s">
        <v>1092</v>
      </c>
      <c r="AE441" s="19">
        <v>1</v>
      </c>
      <c r="AF441" s="19">
        <v>24000</v>
      </c>
      <c r="AG441" s="19" t="s">
        <v>1093</v>
      </c>
      <c r="AH441" s="19" t="s">
        <v>34</v>
      </c>
    </row>
    <row r="442" spans="2:34" hidden="1" x14ac:dyDescent="0.35">
      <c r="B442" s="76">
        <v>46220</v>
      </c>
      <c r="C442" s="19" t="s">
        <v>535</v>
      </c>
      <c r="D442" s="19" t="s">
        <v>126</v>
      </c>
      <c r="E442" s="19" t="s">
        <v>657</v>
      </c>
      <c r="F442" s="19" t="s">
        <v>118</v>
      </c>
      <c r="G442" s="19">
        <v>2513</v>
      </c>
      <c r="H442" s="76">
        <v>46217</v>
      </c>
      <c r="I442" s="19" t="s">
        <v>105</v>
      </c>
      <c r="J442" s="19" t="s">
        <v>1684</v>
      </c>
      <c r="K442" s="19" t="s">
        <v>1127</v>
      </c>
      <c r="L442" s="19" t="s">
        <v>1389</v>
      </c>
      <c r="M442" s="19" t="s">
        <v>1813</v>
      </c>
      <c r="N442" s="19">
        <v>2</v>
      </c>
      <c r="O442" s="19">
        <v>560</v>
      </c>
      <c r="P442" s="19" t="s">
        <v>1813</v>
      </c>
      <c r="Q442" s="19">
        <v>2431</v>
      </c>
      <c r="R442" s="19">
        <v>9</v>
      </c>
      <c r="S442" s="19">
        <v>50.4</v>
      </c>
      <c r="T442" s="19">
        <v>9</v>
      </c>
      <c r="U442" s="19">
        <v>50.4</v>
      </c>
      <c r="V442" s="19">
        <v>0</v>
      </c>
      <c r="W442" s="19">
        <v>0</v>
      </c>
      <c r="X442" s="19">
        <v>0</v>
      </c>
      <c r="Y442" s="19">
        <v>100.8</v>
      </c>
      <c r="Z442" s="19">
        <v>0</v>
      </c>
      <c r="AA442" s="19" t="s">
        <v>536</v>
      </c>
      <c r="AB442" s="19" t="s">
        <v>1555</v>
      </c>
      <c r="AC442" s="19">
        <v>84822011</v>
      </c>
      <c r="AD442" s="19" t="s">
        <v>1092</v>
      </c>
      <c r="AE442" s="19">
        <v>1</v>
      </c>
      <c r="AF442" s="19">
        <v>0</v>
      </c>
      <c r="AG442" s="19" t="s">
        <v>1093</v>
      </c>
      <c r="AH442" s="19" t="s">
        <v>2319</v>
      </c>
    </row>
    <row r="443" spans="2:34" hidden="1" x14ac:dyDescent="0.35">
      <c r="B443" s="76">
        <v>46220</v>
      </c>
      <c r="C443" s="19" t="s">
        <v>535</v>
      </c>
      <c r="D443" s="19" t="s">
        <v>126</v>
      </c>
      <c r="E443" s="19" t="s">
        <v>657</v>
      </c>
      <c r="F443" s="19" t="s">
        <v>118</v>
      </c>
      <c r="G443" s="19">
        <v>2513</v>
      </c>
      <c r="H443" s="76">
        <v>46217</v>
      </c>
      <c r="I443" s="19" t="s">
        <v>105</v>
      </c>
      <c r="J443" s="19" t="s">
        <v>1684</v>
      </c>
      <c r="K443" s="19" t="s">
        <v>1127</v>
      </c>
      <c r="L443" s="19" t="s">
        <v>1389</v>
      </c>
      <c r="M443" s="19" t="s">
        <v>1814</v>
      </c>
      <c r="N443" s="19">
        <v>2</v>
      </c>
      <c r="O443" s="19">
        <v>1500</v>
      </c>
      <c r="P443" s="19" t="s">
        <v>1814</v>
      </c>
      <c r="Q443" s="19">
        <v>0</v>
      </c>
      <c r="R443" s="19">
        <v>9</v>
      </c>
      <c r="S443" s="19">
        <v>135</v>
      </c>
      <c r="T443" s="19">
        <v>9</v>
      </c>
      <c r="U443" s="19">
        <v>135</v>
      </c>
      <c r="V443" s="19">
        <v>0</v>
      </c>
      <c r="W443" s="19">
        <v>0</v>
      </c>
      <c r="X443" s="19">
        <v>0</v>
      </c>
      <c r="Y443" s="19">
        <v>270</v>
      </c>
      <c r="Z443" s="19">
        <v>0</v>
      </c>
      <c r="AA443" s="19" t="s">
        <v>536</v>
      </c>
      <c r="AB443" s="19" t="s">
        <v>1555</v>
      </c>
      <c r="AC443" s="19">
        <v>848210</v>
      </c>
      <c r="AD443" s="19" t="s">
        <v>1092</v>
      </c>
      <c r="AE443" s="19">
        <v>1</v>
      </c>
      <c r="AF443" s="19">
        <v>0</v>
      </c>
      <c r="AG443" s="19" t="s">
        <v>1093</v>
      </c>
      <c r="AH443" s="19" t="s">
        <v>2319</v>
      </c>
    </row>
    <row r="444" spans="2:34" x14ac:dyDescent="0.35">
      <c r="B444" s="76">
        <v>46220</v>
      </c>
      <c r="C444" s="19" t="s">
        <v>178</v>
      </c>
      <c r="D444" s="19" t="s">
        <v>173</v>
      </c>
      <c r="E444" s="19" t="s">
        <v>668</v>
      </c>
      <c r="F444" s="19" t="s">
        <v>123</v>
      </c>
      <c r="G444" s="19" t="s">
        <v>669</v>
      </c>
      <c r="H444" s="76">
        <v>46220</v>
      </c>
      <c r="I444" s="19" t="s">
        <v>36</v>
      </c>
      <c r="J444" s="19" t="s">
        <v>1117</v>
      </c>
      <c r="K444" s="19" t="s">
        <v>44</v>
      </c>
      <c r="L444" s="19" t="s">
        <v>1118</v>
      </c>
      <c r="M444" s="19" t="s">
        <v>1119</v>
      </c>
      <c r="N444" s="19">
        <v>345</v>
      </c>
      <c r="O444" s="19">
        <v>74689.05</v>
      </c>
      <c r="P444" s="19" t="s">
        <v>1119</v>
      </c>
      <c r="Q444" s="19">
        <v>892784.68</v>
      </c>
      <c r="R444" s="19">
        <v>9</v>
      </c>
      <c r="S444" s="19">
        <v>6722.01</v>
      </c>
      <c r="T444" s="19">
        <v>9</v>
      </c>
      <c r="U444" s="19">
        <v>6722.01</v>
      </c>
      <c r="V444" s="19">
        <v>0</v>
      </c>
      <c r="W444" s="19">
        <v>0</v>
      </c>
      <c r="X444" s="19">
        <v>0</v>
      </c>
      <c r="Y444" s="19">
        <v>13444.02</v>
      </c>
      <c r="Z444" s="19">
        <v>0</v>
      </c>
      <c r="AA444" s="19" t="s">
        <v>179</v>
      </c>
      <c r="AB444" s="19" t="s">
        <v>1289</v>
      </c>
      <c r="AC444" s="19">
        <v>39269080</v>
      </c>
      <c r="AD444" s="19" t="s">
        <v>1092</v>
      </c>
      <c r="AE444" s="19">
        <v>1</v>
      </c>
      <c r="AF444" s="19">
        <f t="shared" ref="AF444:AF446" si="19">N444</f>
        <v>345</v>
      </c>
      <c r="AG444" s="19" t="s">
        <v>1093</v>
      </c>
      <c r="AH444" s="19" t="s">
        <v>44</v>
      </c>
    </row>
    <row r="445" spans="2:34" x14ac:dyDescent="0.35">
      <c r="B445" s="76">
        <v>46220</v>
      </c>
      <c r="C445" s="19" t="s">
        <v>178</v>
      </c>
      <c r="D445" s="19" t="s">
        <v>173</v>
      </c>
      <c r="E445" s="19" t="s">
        <v>668</v>
      </c>
      <c r="F445" s="19" t="s">
        <v>123</v>
      </c>
      <c r="G445" s="19" t="s">
        <v>669</v>
      </c>
      <c r="H445" s="76">
        <v>46220</v>
      </c>
      <c r="I445" s="19" t="s">
        <v>36</v>
      </c>
      <c r="J445" s="19" t="s">
        <v>1117</v>
      </c>
      <c r="K445" s="19" t="s">
        <v>44</v>
      </c>
      <c r="L445" s="19" t="s">
        <v>1118</v>
      </c>
      <c r="M445" s="19" t="s">
        <v>1119</v>
      </c>
      <c r="N445" s="19">
        <v>4255</v>
      </c>
      <c r="O445" s="19">
        <v>665864.94999999995</v>
      </c>
      <c r="P445" s="19" t="s">
        <v>1119</v>
      </c>
      <c r="Q445" s="19">
        <v>0</v>
      </c>
      <c r="R445" s="19">
        <v>9</v>
      </c>
      <c r="S445" s="19">
        <v>59927.85</v>
      </c>
      <c r="T445" s="19">
        <v>9</v>
      </c>
      <c r="U445" s="19">
        <v>59927.85</v>
      </c>
      <c r="V445" s="19">
        <v>0</v>
      </c>
      <c r="W445" s="19">
        <v>0</v>
      </c>
      <c r="X445" s="19">
        <v>0</v>
      </c>
      <c r="Y445" s="19">
        <v>119855.7</v>
      </c>
      <c r="Z445" s="19">
        <v>0</v>
      </c>
      <c r="AA445" s="19" t="s">
        <v>179</v>
      </c>
      <c r="AB445" s="19" t="s">
        <v>1289</v>
      </c>
      <c r="AC445" s="19">
        <v>39269080</v>
      </c>
      <c r="AD445" s="19" t="s">
        <v>1092</v>
      </c>
      <c r="AE445" s="19">
        <v>1</v>
      </c>
      <c r="AF445" s="19">
        <f t="shared" si="19"/>
        <v>4255</v>
      </c>
      <c r="AG445" s="19" t="s">
        <v>1093</v>
      </c>
      <c r="AH445" s="19" t="s">
        <v>44</v>
      </c>
    </row>
    <row r="446" spans="2:34" x14ac:dyDescent="0.35">
      <c r="B446" s="76">
        <v>46220</v>
      </c>
      <c r="C446" s="19" t="s">
        <v>178</v>
      </c>
      <c r="D446" s="19" t="s">
        <v>173</v>
      </c>
      <c r="E446" s="19" t="s">
        <v>668</v>
      </c>
      <c r="F446" s="19" t="s">
        <v>123</v>
      </c>
      <c r="G446" s="19" t="s">
        <v>669</v>
      </c>
      <c r="H446" s="76">
        <v>46220</v>
      </c>
      <c r="I446" s="19" t="s">
        <v>36</v>
      </c>
      <c r="J446" s="19" t="s">
        <v>1117</v>
      </c>
      <c r="K446" s="19" t="s">
        <v>44</v>
      </c>
      <c r="L446" s="19" t="s">
        <v>1118</v>
      </c>
      <c r="M446" s="19" t="s">
        <v>1119</v>
      </c>
      <c r="N446" s="19">
        <v>108</v>
      </c>
      <c r="O446" s="19">
        <v>16684.919999999998</v>
      </c>
      <c r="P446" s="19" t="s">
        <v>1119</v>
      </c>
      <c r="Q446" s="19">
        <v>0</v>
      </c>
      <c r="R446" s="19">
        <v>9</v>
      </c>
      <c r="S446" s="19">
        <v>1501.64</v>
      </c>
      <c r="T446" s="19">
        <v>9</v>
      </c>
      <c r="U446" s="19">
        <v>1501.64</v>
      </c>
      <c r="V446" s="19">
        <v>0</v>
      </c>
      <c r="W446" s="19">
        <v>0</v>
      </c>
      <c r="X446" s="19">
        <v>0</v>
      </c>
      <c r="Y446" s="19">
        <v>3003.28</v>
      </c>
      <c r="Z446" s="19">
        <v>0</v>
      </c>
      <c r="AA446" s="19" t="s">
        <v>179</v>
      </c>
      <c r="AB446" s="19" t="s">
        <v>1289</v>
      </c>
      <c r="AC446" s="19">
        <v>39269080</v>
      </c>
      <c r="AD446" s="19" t="s">
        <v>1092</v>
      </c>
      <c r="AE446" s="19">
        <v>1</v>
      </c>
      <c r="AF446" s="19">
        <f t="shared" si="19"/>
        <v>108</v>
      </c>
      <c r="AG446" s="19" t="s">
        <v>1093</v>
      </c>
      <c r="AH446" s="19" t="s">
        <v>44</v>
      </c>
    </row>
    <row r="447" spans="2:34" hidden="1" x14ac:dyDescent="0.35">
      <c r="B447" s="76">
        <v>46220</v>
      </c>
      <c r="C447" s="19" t="s">
        <v>559</v>
      </c>
      <c r="D447" s="19" t="s">
        <v>126</v>
      </c>
      <c r="E447" s="19" t="s">
        <v>655</v>
      </c>
      <c r="F447" s="19" t="s">
        <v>118</v>
      </c>
      <c r="G447" s="19" t="s">
        <v>656</v>
      </c>
      <c r="H447" s="76">
        <v>46218</v>
      </c>
      <c r="I447" s="19" t="s">
        <v>105</v>
      </c>
      <c r="J447" s="19" t="s">
        <v>1815</v>
      </c>
      <c r="K447" s="19" t="s">
        <v>1127</v>
      </c>
      <c r="L447" s="19" t="s">
        <v>1389</v>
      </c>
      <c r="M447" s="19" t="s">
        <v>1816</v>
      </c>
      <c r="N447" s="19">
        <v>100</v>
      </c>
      <c r="O447" s="19">
        <v>12300</v>
      </c>
      <c r="P447" s="19" t="s">
        <v>1816</v>
      </c>
      <c r="Q447" s="19">
        <v>14584</v>
      </c>
      <c r="R447" s="19">
        <v>9</v>
      </c>
      <c r="S447" s="19">
        <v>1112</v>
      </c>
      <c r="T447" s="19">
        <v>9</v>
      </c>
      <c r="U447" s="19">
        <v>1112</v>
      </c>
      <c r="V447" s="19">
        <v>0</v>
      </c>
      <c r="W447" s="19">
        <v>0</v>
      </c>
      <c r="X447" s="19">
        <v>0</v>
      </c>
      <c r="Y447" s="19">
        <v>2224</v>
      </c>
      <c r="Z447" s="19">
        <v>0</v>
      </c>
      <c r="AA447" s="19" t="s">
        <v>560</v>
      </c>
      <c r="AB447" s="19" t="s">
        <v>1572</v>
      </c>
      <c r="AC447" s="19">
        <v>401610</v>
      </c>
      <c r="AD447" s="19" t="s">
        <v>1092</v>
      </c>
      <c r="AE447" s="19">
        <v>1</v>
      </c>
      <c r="AF447" s="19">
        <v>0</v>
      </c>
      <c r="AG447" s="19" t="s">
        <v>1093</v>
      </c>
      <c r="AH447" s="19" t="s">
        <v>2319</v>
      </c>
    </row>
    <row r="448" spans="2:34" x14ac:dyDescent="0.35">
      <c r="B448" s="76">
        <v>46220</v>
      </c>
      <c r="C448" s="19" t="s">
        <v>585</v>
      </c>
      <c r="D448" s="19" t="s">
        <v>227</v>
      </c>
      <c r="E448" s="19" t="s">
        <v>670</v>
      </c>
      <c r="F448" s="19" t="s">
        <v>122</v>
      </c>
      <c r="G448" s="19" t="s">
        <v>584</v>
      </c>
      <c r="H448" s="76">
        <v>46101</v>
      </c>
      <c r="I448" s="19" t="s">
        <v>28</v>
      </c>
      <c r="J448" s="19" t="s">
        <v>1173</v>
      </c>
      <c r="K448" s="19" t="s">
        <v>34</v>
      </c>
      <c r="L448" s="19" t="s">
        <v>1105</v>
      </c>
      <c r="M448" s="19" t="s">
        <v>1339</v>
      </c>
      <c r="N448" s="19">
        <v>90000</v>
      </c>
      <c r="O448" s="19">
        <v>6894000</v>
      </c>
      <c r="P448" s="19" t="s">
        <v>1339</v>
      </c>
      <c r="Q448" s="19">
        <v>6887106</v>
      </c>
      <c r="R448" s="19">
        <v>0</v>
      </c>
      <c r="S448" s="19">
        <v>0</v>
      </c>
      <c r="T448" s="19">
        <v>0</v>
      </c>
      <c r="U448" s="19">
        <v>0</v>
      </c>
      <c r="V448" s="19">
        <v>0</v>
      </c>
      <c r="W448" s="19">
        <v>0</v>
      </c>
      <c r="X448" s="19">
        <v>0</v>
      </c>
      <c r="Y448" s="19">
        <v>0</v>
      </c>
      <c r="Z448" s="19">
        <v>0</v>
      </c>
      <c r="AA448" s="19" t="s">
        <v>586</v>
      </c>
      <c r="AB448" s="19" t="s">
        <v>1289</v>
      </c>
      <c r="AC448" s="19">
        <v>39021000</v>
      </c>
      <c r="AD448" s="19" t="s">
        <v>1092</v>
      </c>
      <c r="AE448" s="19">
        <v>1</v>
      </c>
      <c r="AF448" s="19">
        <v>90000</v>
      </c>
      <c r="AG448" s="19" t="s">
        <v>1093</v>
      </c>
      <c r="AH448" s="19" t="s">
        <v>34</v>
      </c>
    </row>
    <row r="449" spans="2:34" hidden="1" x14ac:dyDescent="0.35">
      <c r="B449" s="76">
        <v>46220</v>
      </c>
      <c r="C449" s="19" t="s">
        <v>355</v>
      </c>
      <c r="D449" s="19" t="s">
        <v>126</v>
      </c>
      <c r="E449" s="19" t="s">
        <v>658</v>
      </c>
      <c r="F449" s="19" t="s">
        <v>118</v>
      </c>
      <c r="G449" s="19" t="s">
        <v>659</v>
      </c>
      <c r="H449" s="76">
        <v>46215</v>
      </c>
      <c r="I449" s="19" t="s">
        <v>105</v>
      </c>
      <c r="J449" s="19" t="s">
        <v>1586</v>
      </c>
      <c r="K449" s="19" t="s">
        <v>1127</v>
      </c>
      <c r="L449" s="19" t="s">
        <v>1389</v>
      </c>
      <c r="M449" s="19" t="s">
        <v>1817</v>
      </c>
      <c r="N449" s="19">
        <v>2</v>
      </c>
      <c r="O449" s="19">
        <v>80</v>
      </c>
      <c r="P449" s="19" t="s">
        <v>1817</v>
      </c>
      <c r="Q449" s="19">
        <v>1038</v>
      </c>
      <c r="R449" s="19">
        <v>9</v>
      </c>
      <c r="S449" s="19">
        <v>7.2</v>
      </c>
      <c r="T449" s="19">
        <v>9</v>
      </c>
      <c r="U449" s="19">
        <v>7.2</v>
      </c>
      <c r="V449" s="19">
        <v>0</v>
      </c>
      <c r="W449" s="19">
        <v>0</v>
      </c>
      <c r="X449" s="19">
        <v>0</v>
      </c>
      <c r="Y449" s="19">
        <v>14.4</v>
      </c>
      <c r="Z449" s="19">
        <v>0</v>
      </c>
      <c r="AA449" s="19" t="s">
        <v>356</v>
      </c>
      <c r="AB449" s="19" t="s">
        <v>1572</v>
      </c>
      <c r="AC449" s="19">
        <v>73269099</v>
      </c>
      <c r="AD449" s="19" t="s">
        <v>1092</v>
      </c>
      <c r="AE449" s="19">
        <v>1</v>
      </c>
      <c r="AF449" s="19">
        <v>2</v>
      </c>
      <c r="AG449" s="19" t="s">
        <v>1093</v>
      </c>
      <c r="AH449" s="19" t="s">
        <v>2319</v>
      </c>
    </row>
    <row r="450" spans="2:34" hidden="1" x14ac:dyDescent="0.35">
      <c r="B450" s="76">
        <v>46220</v>
      </c>
      <c r="C450" s="19" t="s">
        <v>355</v>
      </c>
      <c r="D450" s="19" t="s">
        <v>126</v>
      </c>
      <c r="E450" s="19" t="s">
        <v>658</v>
      </c>
      <c r="F450" s="19" t="s">
        <v>118</v>
      </c>
      <c r="G450" s="19" t="s">
        <v>659</v>
      </c>
      <c r="H450" s="76">
        <v>46215</v>
      </c>
      <c r="I450" s="19" t="s">
        <v>105</v>
      </c>
      <c r="J450" s="19" t="s">
        <v>1586</v>
      </c>
      <c r="K450" s="19" t="s">
        <v>1127</v>
      </c>
      <c r="L450" s="19" t="s">
        <v>1389</v>
      </c>
      <c r="M450" s="19" t="s">
        <v>1818</v>
      </c>
      <c r="N450" s="19">
        <v>1</v>
      </c>
      <c r="O450" s="19">
        <v>240</v>
      </c>
      <c r="P450" s="19" t="s">
        <v>1818</v>
      </c>
      <c r="Q450" s="19">
        <v>0</v>
      </c>
      <c r="R450" s="19">
        <v>9</v>
      </c>
      <c r="S450" s="19">
        <v>21.6</v>
      </c>
      <c r="T450" s="19">
        <v>9</v>
      </c>
      <c r="U450" s="19">
        <v>21.6</v>
      </c>
      <c r="V450" s="19">
        <v>0</v>
      </c>
      <c r="W450" s="19">
        <v>0</v>
      </c>
      <c r="X450" s="19">
        <v>0</v>
      </c>
      <c r="Y450" s="19">
        <v>43.2</v>
      </c>
      <c r="Z450" s="19">
        <v>0</v>
      </c>
      <c r="AA450" s="19" t="s">
        <v>356</v>
      </c>
      <c r="AB450" s="19" t="s">
        <v>1555</v>
      </c>
      <c r="AC450" s="19">
        <v>82032000</v>
      </c>
      <c r="AD450" s="19" t="s">
        <v>1092</v>
      </c>
      <c r="AE450" s="19">
        <v>1</v>
      </c>
      <c r="AF450" s="19">
        <v>1</v>
      </c>
      <c r="AG450" s="19" t="s">
        <v>1093</v>
      </c>
      <c r="AH450" s="19" t="s">
        <v>2319</v>
      </c>
    </row>
    <row r="451" spans="2:34" hidden="1" x14ac:dyDescent="0.35">
      <c r="B451" s="76">
        <v>46220</v>
      </c>
      <c r="C451" s="19" t="s">
        <v>355</v>
      </c>
      <c r="D451" s="19" t="s">
        <v>126</v>
      </c>
      <c r="E451" s="19" t="s">
        <v>658</v>
      </c>
      <c r="F451" s="19" t="s">
        <v>118</v>
      </c>
      <c r="G451" s="19" t="s">
        <v>659</v>
      </c>
      <c r="H451" s="76">
        <v>46215</v>
      </c>
      <c r="I451" s="19" t="s">
        <v>57</v>
      </c>
      <c r="J451" s="19" t="s">
        <v>58</v>
      </c>
      <c r="K451" s="19" t="s">
        <v>59</v>
      </c>
      <c r="L451" s="19" t="s">
        <v>1218</v>
      </c>
      <c r="M451" s="19" t="s">
        <v>1693</v>
      </c>
      <c r="N451" s="19">
        <v>1</v>
      </c>
      <c r="O451" s="19">
        <v>90</v>
      </c>
      <c r="P451" s="19" t="s">
        <v>1693</v>
      </c>
      <c r="Q451" s="19">
        <v>0</v>
      </c>
      <c r="R451" s="19">
        <v>9</v>
      </c>
      <c r="S451" s="19">
        <v>8.1</v>
      </c>
      <c r="T451" s="19">
        <v>9</v>
      </c>
      <c r="U451" s="19">
        <v>8.1</v>
      </c>
      <c r="V451" s="19">
        <v>0</v>
      </c>
      <c r="W451" s="19">
        <v>0</v>
      </c>
      <c r="X451" s="19">
        <v>0</v>
      </c>
      <c r="Y451" s="19">
        <v>16.2</v>
      </c>
      <c r="Z451" s="19">
        <v>0</v>
      </c>
      <c r="AA451" s="19" t="s">
        <v>356</v>
      </c>
      <c r="AB451" s="19" t="s">
        <v>1694</v>
      </c>
      <c r="AC451" s="19">
        <v>381400</v>
      </c>
      <c r="AD451" s="19" t="s">
        <v>1092</v>
      </c>
      <c r="AE451" s="19">
        <v>1</v>
      </c>
      <c r="AF451" s="19">
        <v>1</v>
      </c>
      <c r="AG451" s="19" t="s">
        <v>1093</v>
      </c>
      <c r="AH451" s="19" t="s">
        <v>2319</v>
      </c>
    </row>
    <row r="452" spans="2:34" hidden="1" x14ac:dyDescent="0.35">
      <c r="B452" s="76">
        <v>46220</v>
      </c>
      <c r="C452" s="19" t="s">
        <v>355</v>
      </c>
      <c r="D452" s="19" t="s">
        <v>126</v>
      </c>
      <c r="E452" s="19" t="s">
        <v>658</v>
      </c>
      <c r="F452" s="19" t="s">
        <v>118</v>
      </c>
      <c r="G452" s="19" t="s">
        <v>659</v>
      </c>
      <c r="H452" s="76">
        <v>46215</v>
      </c>
      <c r="I452" s="19" t="s">
        <v>105</v>
      </c>
      <c r="J452" s="19" t="s">
        <v>1695</v>
      </c>
      <c r="K452" s="19" t="s">
        <v>1127</v>
      </c>
      <c r="L452" s="19" t="s">
        <v>1389</v>
      </c>
      <c r="M452" s="19" t="s">
        <v>1819</v>
      </c>
      <c r="N452" s="19">
        <v>2</v>
      </c>
      <c r="O452" s="19">
        <v>360</v>
      </c>
      <c r="P452" s="19" t="s">
        <v>1819</v>
      </c>
      <c r="Q452" s="19">
        <v>0</v>
      </c>
      <c r="R452" s="19">
        <v>9</v>
      </c>
      <c r="S452" s="19">
        <v>32.4</v>
      </c>
      <c r="T452" s="19">
        <v>9</v>
      </c>
      <c r="U452" s="19">
        <v>32.4</v>
      </c>
      <c r="V452" s="19">
        <v>0</v>
      </c>
      <c r="W452" s="19">
        <v>0</v>
      </c>
      <c r="X452" s="19">
        <v>0</v>
      </c>
      <c r="Y452" s="19">
        <v>64.8</v>
      </c>
      <c r="Z452" s="19">
        <v>0</v>
      </c>
      <c r="AA452" s="19" t="s">
        <v>356</v>
      </c>
      <c r="AB452" s="19" t="s">
        <v>1555</v>
      </c>
      <c r="AC452" s="19">
        <v>391700</v>
      </c>
      <c r="AD452" s="19" t="s">
        <v>1092</v>
      </c>
      <c r="AE452" s="19">
        <v>1</v>
      </c>
      <c r="AF452" s="19">
        <v>2</v>
      </c>
      <c r="AG452" s="19" t="s">
        <v>1093</v>
      </c>
      <c r="AH452" s="19" t="s">
        <v>2319</v>
      </c>
    </row>
    <row r="453" spans="2:34" hidden="1" x14ac:dyDescent="0.35">
      <c r="B453" s="76">
        <v>46220</v>
      </c>
      <c r="C453" s="19" t="s">
        <v>355</v>
      </c>
      <c r="D453" s="19" t="s">
        <v>126</v>
      </c>
      <c r="E453" s="19" t="s">
        <v>658</v>
      </c>
      <c r="F453" s="19" t="s">
        <v>118</v>
      </c>
      <c r="G453" s="19" t="s">
        <v>659</v>
      </c>
      <c r="H453" s="76">
        <v>46215</v>
      </c>
      <c r="I453" s="19" t="s">
        <v>105</v>
      </c>
      <c r="J453" s="19" t="s">
        <v>1586</v>
      </c>
      <c r="K453" s="19" t="s">
        <v>1127</v>
      </c>
      <c r="L453" s="19" t="s">
        <v>1389</v>
      </c>
      <c r="M453" s="19" t="s">
        <v>1820</v>
      </c>
      <c r="N453" s="19">
        <v>1</v>
      </c>
      <c r="O453" s="19">
        <v>90</v>
      </c>
      <c r="P453" s="19" t="s">
        <v>1820</v>
      </c>
      <c r="Q453" s="19">
        <v>0</v>
      </c>
      <c r="R453" s="19">
        <v>9</v>
      </c>
      <c r="S453" s="19">
        <v>8.1</v>
      </c>
      <c r="T453" s="19">
        <v>9</v>
      </c>
      <c r="U453" s="19">
        <v>8.1</v>
      </c>
      <c r="V453" s="19">
        <v>0</v>
      </c>
      <c r="W453" s="19">
        <v>0</v>
      </c>
      <c r="X453" s="19">
        <v>0</v>
      </c>
      <c r="Y453" s="19">
        <v>16.2</v>
      </c>
      <c r="Z453" s="19">
        <v>0</v>
      </c>
      <c r="AA453" s="19" t="s">
        <v>356</v>
      </c>
      <c r="AB453" s="19" t="s">
        <v>1654</v>
      </c>
      <c r="AC453" s="19">
        <v>39173090</v>
      </c>
      <c r="AD453" s="19" t="s">
        <v>1092</v>
      </c>
      <c r="AE453" s="19">
        <v>1</v>
      </c>
      <c r="AF453" s="19">
        <v>1</v>
      </c>
      <c r="AG453" s="19" t="s">
        <v>1093</v>
      </c>
      <c r="AH453" s="19" t="s">
        <v>2319</v>
      </c>
    </row>
    <row r="454" spans="2:34" hidden="1" x14ac:dyDescent="0.35">
      <c r="B454" s="76">
        <v>46220</v>
      </c>
      <c r="C454" s="19" t="s">
        <v>355</v>
      </c>
      <c r="D454" s="19" t="s">
        <v>126</v>
      </c>
      <c r="E454" s="19" t="s">
        <v>658</v>
      </c>
      <c r="F454" s="19" t="s">
        <v>118</v>
      </c>
      <c r="G454" s="19" t="s">
        <v>659</v>
      </c>
      <c r="H454" s="76">
        <v>46215</v>
      </c>
      <c r="I454" s="19" t="s">
        <v>105</v>
      </c>
      <c r="J454" s="19" t="s">
        <v>1586</v>
      </c>
      <c r="K454" s="19" t="s">
        <v>1127</v>
      </c>
      <c r="L454" s="19" t="s">
        <v>1389</v>
      </c>
      <c r="M454" s="19" t="s">
        <v>1821</v>
      </c>
      <c r="N454" s="19">
        <v>1</v>
      </c>
      <c r="O454" s="19">
        <v>20</v>
      </c>
      <c r="P454" s="19" t="s">
        <v>1821</v>
      </c>
      <c r="Q454" s="19">
        <v>0</v>
      </c>
      <c r="R454" s="19">
        <v>9</v>
      </c>
      <c r="S454" s="19">
        <v>1.8</v>
      </c>
      <c r="T454" s="19">
        <v>0</v>
      </c>
      <c r="U454" s="19">
        <v>1.8</v>
      </c>
      <c r="V454" s="19">
        <v>0</v>
      </c>
      <c r="W454" s="19">
        <v>0</v>
      </c>
      <c r="X454" s="19">
        <v>0</v>
      </c>
      <c r="Y454" s="19">
        <v>3.6</v>
      </c>
      <c r="Z454" s="19">
        <v>0</v>
      </c>
      <c r="AA454" s="19" t="s">
        <v>356</v>
      </c>
      <c r="AB454" s="19" t="s">
        <v>1555</v>
      </c>
      <c r="AC454" s="19">
        <v>820790</v>
      </c>
      <c r="AD454" s="19" t="s">
        <v>1092</v>
      </c>
      <c r="AE454" s="19">
        <v>1</v>
      </c>
      <c r="AF454" s="19">
        <v>1</v>
      </c>
      <c r="AG454" s="19" t="s">
        <v>1093</v>
      </c>
      <c r="AH454" s="19" t="s">
        <v>2319</v>
      </c>
    </row>
    <row r="455" spans="2:34" hidden="1" x14ac:dyDescent="0.35">
      <c r="B455" s="76">
        <v>46220</v>
      </c>
      <c r="C455" s="19" t="s">
        <v>621</v>
      </c>
      <c r="D455" s="19" t="s">
        <v>126</v>
      </c>
      <c r="E455" s="19" t="s">
        <v>649</v>
      </c>
      <c r="F455" s="19" t="s">
        <v>118</v>
      </c>
      <c r="G455" s="19" t="s">
        <v>650</v>
      </c>
      <c r="H455" s="76">
        <v>46218</v>
      </c>
      <c r="I455" s="19" t="s">
        <v>105</v>
      </c>
      <c r="J455" s="19" t="s">
        <v>1684</v>
      </c>
      <c r="K455" s="19" t="s">
        <v>1127</v>
      </c>
      <c r="L455" s="19" t="s">
        <v>1389</v>
      </c>
      <c r="M455" s="19" t="s">
        <v>1822</v>
      </c>
      <c r="N455" s="19">
        <v>30</v>
      </c>
      <c r="O455" s="19">
        <v>2550</v>
      </c>
      <c r="P455" s="19" t="s">
        <v>1822</v>
      </c>
      <c r="Q455" s="19">
        <v>5841</v>
      </c>
      <c r="R455" s="19">
        <v>9</v>
      </c>
      <c r="S455" s="19">
        <v>229.5</v>
      </c>
      <c r="T455" s="19">
        <v>9</v>
      </c>
      <c r="U455" s="19">
        <v>229.5</v>
      </c>
      <c r="V455" s="19">
        <v>0</v>
      </c>
      <c r="W455" s="19">
        <v>0</v>
      </c>
      <c r="X455" s="19">
        <v>0</v>
      </c>
      <c r="Y455" s="19">
        <v>459</v>
      </c>
      <c r="Z455" s="19">
        <v>0</v>
      </c>
      <c r="AA455" s="19" t="s">
        <v>622</v>
      </c>
      <c r="AB455" s="19" t="s">
        <v>1572</v>
      </c>
      <c r="AC455" s="19">
        <v>84821011</v>
      </c>
      <c r="AD455" s="19" t="s">
        <v>1092</v>
      </c>
      <c r="AE455" s="19">
        <v>1</v>
      </c>
      <c r="AF455" s="19">
        <v>0</v>
      </c>
      <c r="AG455" s="19" t="s">
        <v>1093</v>
      </c>
      <c r="AH455" s="19" t="s">
        <v>2319</v>
      </c>
    </row>
    <row r="456" spans="2:34" hidden="1" x14ac:dyDescent="0.35">
      <c r="B456" s="76">
        <v>46220</v>
      </c>
      <c r="C456" s="19" t="s">
        <v>621</v>
      </c>
      <c r="D456" s="19" t="s">
        <v>126</v>
      </c>
      <c r="E456" s="19" t="s">
        <v>649</v>
      </c>
      <c r="F456" s="19" t="s">
        <v>118</v>
      </c>
      <c r="G456" s="19" t="s">
        <v>650</v>
      </c>
      <c r="H456" s="76">
        <v>46218</v>
      </c>
      <c r="I456" s="19" t="s">
        <v>105</v>
      </c>
      <c r="J456" s="19" t="s">
        <v>1684</v>
      </c>
      <c r="K456" s="19" t="s">
        <v>1127</v>
      </c>
      <c r="L456" s="19" t="s">
        <v>1389</v>
      </c>
      <c r="M456" s="19" t="s">
        <v>1780</v>
      </c>
      <c r="N456" s="19">
        <v>30</v>
      </c>
      <c r="O456" s="19">
        <v>2249.9699999999998</v>
      </c>
      <c r="P456" s="19" t="s">
        <v>1780</v>
      </c>
      <c r="Q456" s="19">
        <v>0</v>
      </c>
      <c r="R456" s="19">
        <v>9</v>
      </c>
      <c r="S456" s="19">
        <v>216</v>
      </c>
      <c r="T456" s="19">
        <v>9</v>
      </c>
      <c r="U456" s="19">
        <v>216</v>
      </c>
      <c r="V456" s="19">
        <v>0</v>
      </c>
      <c r="W456" s="19">
        <v>0</v>
      </c>
      <c r="X456" s="19">
        <v>0</v>
      </c>
      <c r="Y456" s="19">
        <v>432</v>
      </c>
      <c r="Z456" s="19">
        <v>0</v>
      </c>
      <c r="AA456" s="19" t="s">
        <v>622</v>
      </c>
      <c r="AB456" s="19" t="s">
        <v>1555</v>
      </c>
      <c r="AC456" s="19">
        <v>84821011</v>
      </c>
      <c r="AD456" s="19" t="s">
        <v>1092</v>
      </c>
      <c r="AE456" s="19">
        <v>1</v>
      </c>
      <c r="AF456" s="19">
        <v>0</v>
      </c>
      <c r="AG456" s="19" t="s">
        <v>1093</v>
      </c>
      <c r="AH456" s="19" t="s">
        <v>2319</v>
      </c>
    </row>
    <row r="457" spans="2:34" x14ac:dyDescent="0.35">
      <c r="B457" s="76">
        <v>46220</v>
      </c>
      <c r="C457" s="19" t="s">
        <v>138</v>
      </c>
      <c r="D457" s="19" t="s">
        <v>173</v>
      </c>
      <c r="E457" s="19" t="s">
        <v>666</v>
      </c>
      <c r="F457" s="19" t="s">
        <v>123</v>
      </c>
      <c r="G457" s="19" t="s">
        <v>667</v>
      </c>
      <c r="H457" s="76">
        <v>46220</v>
      </c>
      <c r="I457" s="19" t="s">
        <v>36</v>
      </c>
      <c r="J457" s="19" t="s">
        <v>1117</v>
      </c>
      <c r="K457" s="19" t="s">
        <v>42</v>
      </c>
      <c r="L457" s="19" t="s">
        <v>1242</v>
      </c>
      <c r="M457" s="19" t="s">
        <v>1154</v>
      </c>
      <c r="N457" s="19">
        <v>9132.1</v>
      </c>
      <c r="O457" s="19">
        <v>1776650.0549999999</v>
      </c>
      <c r="P457" s="19" t="s">
        <v>1154</v>
      </c>
      <c r="Q457" s="19">
        <v>4486092.46</v>
      </c>
      <c r="R457" s="19">
        <v>9</v>
      </c>
      <c r="S457" s="19">
        <v>159898.5</v>
      </c>
      <c r="T457" s="19">
        <v>9</v>
      </c>
      <c r="U457" s="19">
        <v>159898.5</v>
      </c>
      <c r="V457" s="19">
        <v>0</v>
      </c>
      <c r="W457" s="19">
        <v>0</v>
      </c>
      <c r="X457" s="19">
        <v>0</v>
      </c>
      <c r="Y457" s="19">
        <v>319797</v>
      </c>
      <c r="Z457" s="19">
        <v>0</v>
      </c>
      <c r="AA457" s="19" t="s">
        <v>135</v>
      </c>
      <c r="AB457" s="19" t="s">
        <v>1289</v>
      </c>
      <c r="AC457" s="19">
        <v>63053300</v>
      </c>
      <c r="AD457" s="19" t="s">
        <v>1092</v>
      </c>
      <c r="AE457" s="19">
        <v>1</v>
      </c>
      <c r="AF457" s="19">
        <v>9132.1</v>
      </c>
      <c r="AG457" s="19" t="s">
        <v>1093</v>
      </c>
      <c r="AH457" s="19" t="s">
        <v>42</v>
      </c>
    </row>
    <row r="458" spans="2:34" x14ac:dyDescent="0.35">
      <c r="B458" s="76">
        <v>46220</v>
      </c>
      <c r="C458" s="19" t="s">
        <v>138</v>
      </c>
      <c r="D458" s="19" t="s">
        <v>173</v>
      </c>
      <c r="E458" s="19" t="s">
        <v>666</v>
      </c>
      <c r="F458" s="19" t="s">
        <v>123</v>
      </c>
      <c r="G458" s="19" t="s">
        <v>667</v>
      </c>
      <c r="H458" s="76">
        <v>46220</v>
      </c>
      <c r="I458" s="19" t="s">
        <v>36</v>
      </c>
      <c r="J458" s="19" t="s">
        <v>1117</v>
      </c>
      <c r="K458" s="19" t="s">
        <v>42</v>
      </c>
      <c r="L458" s="19" t="s">
        <v>1242</v>
      </c>
      <c r="M458" s="19" t="s">
        <v>1154</v>
      </c>
      <c r="N458" s="19">
        <v>1959.2</v>
      </c>
      <c r="O458" s="19">
        <v>376029.25599999999</v>
      </c>
      <c r="P458" s="19" t="s">
        <v>1154</v>
      </c>
      <c r="Q458" s="19">
        <v>0</v>
      </c>
      <c r="R458" s="19">
        <v>9</v>
      </c>
      <c r="S458" s="19">
        <v>33842.629999999997</v>
      </c>
      <c r="T458" s="19">
        <v>9</v>
      </c>
      <c r="U458" s="19">
        <v>33842.629999999997</v>
      </c>
      <c r="V458" s="19">
        <v>0</v>
      </c>
      <c r="W458" s="19">
        <v>0</v>
      </c>
      <c r="X458" s="19">
        <v>0</v>
      </c>
      <c r="Y458" s="19">
        <v>67685.259999999995</v>
      </c>
      <c r="Z458" s="19">
        <v>0</v>
      </c>
      <c r="AA458" s="19" t="s">
        <v>135</v>
      </c>
      <c r="AB458" s="19" t="s">
        <v>1289</v>
      </c>
      <c r="AC458" s="19">
        <v>63053300</v>
      </c>
      <c r="AD458" s="19" t="s">
        <v>1092</v>
      </c>
      <c r="AE458" s="19">
        <v>1</v>
      </c>
      <c r="AF458" s="19">
        <v>1959.2</v>
      </c>
      <c r="AG458" s="19" t="s">
        <v>1093</v>
      </c>
      <c r="AH458" s="19" t="s">
        <v>42</v>
      </c>
    </row>
    <row r="459" spans="2:34" x14ac:dyDescent="0.35">
      <c r="B459" s="76">
        <v>46220</v>
      </c>
      <c r="C459" s="19" t="s">
        <v>138</v>
      </c>
      <c r="D459" s="19" t="s">
        <v>173</v>
      </c>
      <c r="E459" s="19" t="s">
        <v>666</v>
      </c>
      <c r="F459" s="19" t="s">
        <v>123</v>
      </c>
      <c r="G459" s="19" t="s">
        <v>667</v>
      </c>
      <c r="H459" s="76">
        <v>46220</v>
      </c>
      <c r="I459" s="19" t="s">
        <v>36</v>
      </c>
      <c r="J459" s="19" t="s">
        <v>1117</v>
      </c>
      <c r="K459" s="19" t="s">
        <v>42</v>
      </c>
      <c r="L459" s="19" t="s">
        <v>1242</v>
      </c>
      <c r="M459" s="19" t="s">
        <v>1154</v>
      </c>
      <c r="N459" s="19">
        <v>3911.6</v>
      </c>
      <c r="O459" s="19">
        <v>744690.40800000005</v>
      </c>
      <c r="P459" s="19" t="s">
        <v>1154</v>
      </c>
      <c r="Q459" s="19">
        <v>0</v>
      </c>
      <c r="R459" s="19">
        <v>9</v>
      </c>
      <c r="S459" s="19">
        <v>67022.14</v>
      </c>
      <c r="T459" s="19">
        <v>9</v>
      </c>
      <c r="U459" s="19">
        <v>67022.14</v>
      </c>
      <c r="V459" s="19">
        <v>0</v>
      </c>
      <c r="W459" s="19">
        <v>0</v>
      </c>
      <c r="X459" s="19">
        <v>0</v>
      </c>
      <c r="Y459" s="19">
        <v>134044.28</v>
      </c>
      <c r="Z459" s="19">
        <v>0</v>
      </c>
      <c r="AA459" s="19" t="s">
        <v>135</v>
      </c>
      <c r="AB459" s="19" t="s">
        <v>1289</v>
      </c>
      <c r="AC459" s="19">
        <v>63053300</v>
      </c>
      <c r="AD459" s="19" t="s">
        <v>1092</v>
      </c>
      <c r="AE459" s="19">
        <v>1</v>
      </c>
      <c r="AF459" s="19">
        <v>3911.6</v>
      </c>
      <c r="AG459" s="19" t="s">
        <v>1093</v>
      </c>
      <c r="AH459" s="19" t="s">
        <v>42</v>
      </c>
    </row>
    <row r="460" spans="2:34" x14ac:dyDescent="0.35">
      <c r="B460" s="76">
        <v>46220</v>
      </c>
      <c r="C460" s="19" t="s">
        <v>138</v>
      </c>
      <c r="D460" s="19" t="s">
        <v>173</v>
      </c>
      <c r="E460" s="19" t="s">
        <v>666</v>
      </c>
      <c r="F460" s="19" t="s">
        <v>123</v>
      </c>
      <c r="G460" s="19" t="s">
        <v>667</v>
      </c>
      <c r="H460" s="76">
        <v>46220</v>
      </c>
      <c r="I460" s="19" t="s">
        <v>36</v>
      </c>
      <c r="J460" s="19" t="s">
        <v>1117</v>
      </c>
      <c r="K460" s="19" t="s">
        <v>42</v>
      </c>
      <c r="L460" s="19" t="s">
        <v>1242</v>
      </c>
      <c r="M460" s="19" t="s">
        <v>1154</v>
      </c>
      <c r="N460" s="19">
        <v>1097</v>
      </c>
      <c r="O460" s="19">
        <v>197712.31</v>
      </c>
      <c r="P460" s="19" t="s">
        <v>1154</v>
      </c>
      <c r="Q460" s="19">
        <v>0</v>
      </c>
      <c r="R460" s="19">
        <v>9</v>
      </c>
      <c r="S460" s="19">
        <v>17794.11</v>
      </c>
      <c r="T460" s="19">
        <v>9</v>
      </c>
      <c r="U460" s="19">
        <v>17794.11</v>
      </c>
      <c r="V460" s="19">
        <v>0</v>
      </c>
      <c r="W460" s="19">
        <v>0</v>
      </c>
      <c r="X460" s="19">
        <v>0</v>
      </c>
      <c r="Y460" s="19">
        <v>35588.22</v>
      </c>
      <c r="Z460" s="19">
        <v>0</v>
      </c>
      <c r="AA460" s="19" t="s">
        <v>135</v>
      </c>
      <c r="AB460" s="19" t="s">
        <v>1289</v>
      </c>
      <c r="AC460" s="19">
        <v>63053300</v>
      </c>
      <c r="AD460" s="19" t="s">
        <v>1092</v>
      </c>
      <c r="AE460" s="19">
        <v>1</v>
      </c>
      <c r="AF460" s="19">
        <v>1097</v>
      </c>
      <c r="AG460" s="19" t="s">
        <v>1093</v>
      </c>
      <c r="AH460" s="19" t="s">
        <v>42</v>
      </c>
    </row>
    <row r="461" spans="2:34" x14ac:dyDescent="0.35">
      <c r="B461" s="76">
        <v>46220</v>
      </c>
      <c r="C461" s="19" t="s">
        <v>138</v>
      </c>
      <c r="D461" s="19" t="s">
        <v>173</v>
      </c>
      <c r="E461" s="19" t="s">
        <v>666</v>
      </c>
      <c r="F461" s="19" t="s">
        <v>123</v>
      </c>
      <c r="G461" s="19" t="s">
        <v>667</v>
      </c>
      <c r="H461" s="76">
        <v>46220</v>
      </c>
      <c r="I461" s="19" t="s">
        <v>36</v>
      </c>
      <c r="J461" s="19" t="s">
        <v>1117</v>
      </c>
      <c r="K461" s="19" t="s">
        <v>42</v>
      </c>
      <c r="L461" s="19" t="s">
        <v>1242</v>
      </c>
      <c r="M461" s="19" t="s">
        <v>1154</v>
      </c>
      <c r="N461" s="19">
        <v>928</v>
      </c>
      <c r="O461" s="19">
        <v>167754.56</v>
      </c>
      <c r="P461" s="19" t="s">
        <v>1154</v>
      </c>
      <c r="Q461" s="19">
        <v>0</v>
      </c>
      <c r="R461" s="19">
        <v>9</v>
      </c>
      <c r="S461" s="19">
        <v>15097.91</v>
      </c>
      <c r="T461" s="19">
        <v>9</v>
      </c>
      <c r="U461" s="19">
        <v>15097.91</v>
      </c>
      <c r="V461" s="19">
        <v>0</v>
      </c>
      <c r="W461" s="19">
        <v>0</v>
      </c>
      <c r="X461" s="19">
        <v>0</v>
      </c>
      <c r="Y461" s="19">
        <v>30195.82</v>
      </c>
      <c r="Z461" s="19">
        <v>0</v>
      </c>
      <c r="AA461" s="19" t="s">
        <v>135</v>
      </c>
      <c r="AB461" s="19" t="s">
        <v>1289</v>
      </c>
      <c r="AC461" s="19">
        <v>63053300</v>
      </c>
      <c r="AD461" s="19" t="s">
        <v>1092</v>
      </c>
      <c r="AE461" s="19">
        <v>1</v>
      </c>
      <c r="AF461" s="19">
        <v>928</v>
      </c>
      <c r="AG461" s="19" t="s">
        <v>1093</v>
      </c>
      <c r="AH461" s="19" t="s">
        <v>42</v>
      </c>
    </row>
    <row r="462" spans="2:34" x14ac:dyDescent="0.35">
      <c r="B462" s="76">
        <v>46220</v>
      </c>
      <c r="C462" s="19" t="s">
        <v>138</v>
      </c>
      <c r="D462" s="19" t="s">
        <v>173</v>
      </c>
      <c r="E462" s="19" t="s">
        <v>666</v>
      </c>
      <c r="F462" s="19" t="s">
        <v>123</v>
      </c>
      <c r="G462" s="19" t="s">
        <v>667</v>
      </c>
      <c r="H462" s="76">
        <v>46220</v>
      </c>
      <c r="I462" s="19" t="s">
        <v>36</v>
      </c>
      <c r="J462" s="19" t="s">
        <v>1117</v>
      </c>
      <c r="K462" s="19" t="s">
        <v>42</v>
      </c>
      <c r="L462" s="19" t="s">
        <v>1242</v>
      </c>
      <c r="M462" s="19" t="s">
        <v>1154</v>
      </c>
      <c r="N462" s="19">
        <v>2873.9</v>
      </c>
      <c r="O462" s="19">
        <v>542161.23499999999</v>
      </c>
      <c r="P462" s="19" t="s">
        <v>1154</v>
      </c>
      <c r="Q462" s="19">
        <v>0</v>
      </c>
      <c r="R462" s="19">
        <v>9</v>
      </c>
      <c r="S462" s="19">
        <v>48794.51</v>
      </c>
      <c r="T462" s="19">
        <v>9</v>
      </c>
      <c r="U462" s="19">
        <v>48794.51</v>
      </c>
      <c r="V462" s="19">
        <v>0</v>
      </c>
      <c r="W462" s="19">
        <v>0</v>
      </c>
      <c r="X462" s="19">
        <v>0</v>
      </c>
      <c r="Y462" s="19">
        <v>97589.02</v>
      </c>
      <c r="Z462" s="19">
        <v>0</v>
      </c>
      <c r="AA462" s="19" t="s">
        <v>135</v>
      </c>
      <c r="AB462" s="19" t="s">
        <v>1289</v>
      </c>
      <c r="AC462" s="19">
        <v>63053300</v>
      </c>
      <c r="AD462" s="19" t="s">
        <v>1092</v>
      </c>
      <c r="AE462" s="19">
        <v>1</v>
      </c>
      <c r="AF462" s="19">
        <v>2873.9</v>
      </c>
      <c r="AG462" s="19" t="s">
        <v>1093</v>
      </c>
      <c r="AH462" s="19" t="s">
        <v>42</v>
      </c>
    </row>
    <row r="463" spans="2:34" hidden="1" x14ac:dyDescent="0.35">
      <c r="B463" s="76">
        <v>46220</v>
      </c>
      <c r="C463" s="19" t="s">
        <v>134</v>
      </c>
      <c r="D463" s="19" t="s">
        <v>7</v>
      </c>
      <c r="E463" s="19" t="s">
        <v>647</v>
      </c>
      <c r="F463" s="19" t="s">
        <v>119</v>
      </c>
      <c r="G463" s="19" t="s">
        <v>648</v>
      </c>
      <c r="H463" s="76">
        <v>46219</v>
      </c>
      <c r="I463" s="19" t="s">
        <v>105</v>
      </c>
      <c r="J463" s="19" t="s">
        <v>1142</v>
      </c>
      <c r="K463" s="19" t="s">
        <v>1509</v>
      </c>
      <c r="L463" s="19" t="s">
        <v>1509</v>
      </c>
      <c r="M463" s="19" t="s">
        <v>1145</v>
      </c>
      <c r="N463" s="19">
        <v>158</v>
      </c>
      <c r="O463" s="19">
        <v>7584</v>
      </c>
      <c r="P463" s="19" t="s">
        <v>1145</v>
      </c>
      <c r="Q463" s="19">
        <v>8941.5400000000009</v>
      </c>
      <c r="R463" s="19">
        <v>9</v>
      </c>
      <c r="S463" s="19">
        <v>682.56</v>
      </c>
      <c r="T463" s="19">
        <v>9</v>
      </c>
      <c r="U463" s="19">
        <v>682.56</v>
      </c>
      <c r="V463" s="19">
        <v>0</v>
      </c>
      <c r="W463" s="19">
        <v>0</v>
      </c>
      <c r="X463" s="19">
        <v>0</v>
      </c>
      <c r="Y463" s="19">
        <v>1365.12</v>
      </c>
      <c r="Z463" s="19">
        <v>0</v>
      </c>
      <c r="AA463" s="19" t="s">
        <v>135</v>
      </c>
      <c r="AB463" s="19" t="s">
        <v>1091</v>
      </c>
      <c r="AC463" s="19">
        <v>7306309</v>
      </c>
      <c r="AD463" s="19" t="s">
        <v>1092</v>
      </c>
      <c r="AE463" s="19">
        <v>1</v>
      </c>
      <c r="AF463" s="19">
        <v>0</v>
      </c>
      <c r="AG463" s="19" t="s">
        <v>1093</v>
      </c>
      <c r="AH463" s="19" t="s">
        <v>2319</v>
      </c>
    </row>
    <row r="464" spans="2:34" x14ac:dyDescent="0.35">
      <c r="B464" s="76">
        <v>46220</v>
      </c>
      <c r="C464" s="19" t="s">
        <v>134</v>
      </c>
      <c r="D464" s="19" t="s">
        <v>173</v>
      </c>
      <c r="E464" s="19" t="s">
        <v>660</v>
      </c>
      <c r="F464" s="19" t="s">
        <v>123</v>
      </c>
      <c r="G464" s="19" t="s">
        <v>661</v>
      </c>
      <c r="H464" s="76">
        <v>46216</v>
      </c>
      <c r="I464" s="19" t="s">
        <v>36</v>
      </c>
      <c r="J464" s="19" t="s">
        <v>1156</v>
      </c>
      <c r="K464" s="19" t="s">
        <v>45</v>
      </c>
      <c r="L464" s="19" t="s">
        <v>1157</v>
      </c>
      <c r="M464" s="19" t="s">
        <v>1567</v>
      </c>
      <c r="N464" s="19">
        <v>44.1</v>
      </c>
      <c r="O464" s="19">
        <v>5583.06</v>
      </c>
      <c r="P464" s="19" t="s">
        <v>1567</v>
      </c>
      <c r="Q464" s="19">
        <v>923132.8</v>
      </c>
      <c r="R464" s="19">
        <v>9</v>
      </c>
      <c r="S464" s="19">
        <v>502.48</v>
      </c>
      <c r="T464" s="19">
        <v>9</v>
      </c>
      <c r="U464" s="19">
        <v>502.48</v>
      </c>
      <c r="V464" s="19">
        <v>0</v>
      </c>
      <c r="W464" s="19">
        <v>0</v>
      </c>
      <c r="X464" s="19">
        <v>0</v>
      </c>
      <c r="Y464" s="19">
        <v>1004.96</v>
      </c>
      <c r="Z464" s="19">
        <v>0</v>
      </c>
      <c r="AA464" s="19" t="s">
        <v>135</v>
      </c>
      <c r="AB464" s="19" t="s">
        <v>1289</v>
      </c>
      <c r="AC464" s="19">
        <v>39269080</v>
      </c>
      <c r="AD464" s="19" t="s">
        <v>1092</v>
      </c>
      <c r="AE464" s="19">
        <v>1</v>
      </c>
      <c r="AF464" s="19">
        <v>44.1</v>
      </c>
      <c r="AG464" s="19" t="s">
        <v>1093</v>
      </c>
      <c r="AH464" s="19" t="s">
        <v>45</v>
      </c>
    </row>
    <row r="465" spans="2:34" x14ac:dyDescent="0.35">
      <c r="B465" s="76">
        <v>46220</v>
      </c>
      <c r="C465" s="19" t="s">
        <v>134</v>
      </c>
      <c r="D465" s="19" t="s">
        <v>173</v>
      </c>
      <c r="E465" s="19" t="s">
        <v>660</v>
      </c>
      <c r="F465" s="19" t="s">
        <v>123</v>
      </c>
      <c r="G465" s="19" t="s">
        <v>661</v>
      </c>
      <c r="H465" s="76">
        <v>46216</v>
      </c>
      <c r="I465" s="19" t="s">
        <v>36</v>
      </c>
      <c r="J465" s="19" t="s">
        <v>1156</v>
      </c>
      <c r="K465" s="19" t="s">
        <v>45</v>
      </c>
      <c r="L465" s="19" t="s">
        <v>1157</v>
      </c>
      <c r="M465" s="19" t="s">
        <v>1567</v>
      </c>
      <c r="N465" s="19">
        <v>2049.1</v>
      </c>
      <c r="O465" s="19">
        <v>265563.36</v>
      </c>
      <c r="P465" s="19" t="s">
        <v>1567</v>
      </c>
      <c r="Q465" s="19">
        <v>0</v>
      </c>
      <c r="R465" s="19">
        <v>9</v>
      </c>
      <c r="S465" s="19">
        <v>23900.7</v>
      </c>
      <c r="T465" s="19">
        <v>9</v>
      </c>
      <c r="U465" s="19">
        <v>23900.7</v>
      </c>
      <c r="V465" s="19">
        <v>0</v>
      </c>
      <c r="W465" s="19">
        <v>0</v>
      </c>
      <c r="X465" s="19">
        <v>0</v>
      </c>
      <c r="Y465" s="19">
        <v>47801.4</v>
      </c>
      <c r="Z465" s="19">
        <v>0</v>
      </c>
      <c r="AA465" s="19" t="s">
        <v>135</v>
      </c>
      <c r="AB465" s="19" t="s">
        <v>1289</v>
      </c>
      <c r="AC465" s="19">
        <v>39269080</v>
      </c>
      <c r="AD465" s="19" t="s">
        <v>1092</v>
      </c>
      <c r="AE465" s="19">
        <v>1</v>
      </c>
      <c r="AF465" s="19">
        <v>2049.1</v>
      </c>
      <c r="AG465" s="19" t="s">
        <v>1093</v>
      </c>
      <c r="AH465" s="19" t="s">
        <v>45</v>
      </c>
    </row>
    <row r="466" spans="2:34" x14ac:dyDescent="0.35">
      <c r="B466" s="76">
        <v>46220</v>
      </c>
      <c r="C466" s="19" t="s">
        <v>134</v>
      </c>
      <c r="D466" s="19" t="s">
        <v>173</v>
      </c>
      <c r="E466" s="19" t="s">
        <v>660</v>
      </c>
      <c r="F466" s="19" t="s">
        <v>123</v>
      </c>
      <c r="G466" s="19" t="s">
        <v>661</v>
      </c>
      <c r="H466" s="76">
        <v>46216</v>
      </c>
      <c r="I466" s="19" t="s">
        <v>36</v>
      </c>
      <c r="J466" s="19" t="s">
        <v>1156</v>
      </c>
      <c r="K466" s="19" t="s">
        <v>45</v>
      </c>
      <c r="L466" s="19" t="s">
        <v>1157</v>
      </c>
      <c r="M466" s="19" t="s">
        <v>1567</v>
      </c>
      <c r="N466" s="19">
        <v>220.9</v>
      </c>
      <c r="O466" s="19">
        <v>29291.34</v>
      </c>
      <c r="P466" s="19" t="s">
        <v>1567</v>
      </c>
      <c r="Q466" s="19">
        <v>0</v>
      </c>
      <c r="R466" s="19">
        <v>9</v>
      </c>
      <c r="S466" s="19">
        <v>2636.22</v>
      </c>
      <c r="T466" s="19">
        <v>9</v>
      </c>
      <c r="U466" s="19">
        <v>2636.22</v>
      </c>
      <c r="V466" s="19">
        <v>0</v>
      </c>
      <c r="W466" s="19">
        <v>0</v>
      </c>
      <c r="X466" s="19">
        <v>0</v>
      </c>
      <c r="Y466" s="19">
        <v>5272.44</v>
      </c>
      <c r="Z466" s="19">
        <v>0</v>
      </c>
      <c r="AA466" s="19" t="s">
        <v>135</v>
      </c>
      <c r="AB466" s="19" t="s">
        <v>1289</v>
      </c>
      <c r="AC466" s="19">
        <v>39269080</v>
      </c>
      <c r="AD466" s="19" t="s">
        <v>1092</v>
      </c>
      <c r="AE466" s="19">
        <v>1</v>
      </c>
      <c r="AF466" s="19">
        <v>220.9</v>
      </c>
      <c r="AG466" s="19" t="s">
        <v>1093</v>
      </c>
      <c r="AH466" s="19" t="s">
        <v>45</v>
      </c>
    </row>
    <row r="467" spans="2:34" x14ac:dyDescent="0.35">
      <c r="B467" s="76">
        <v>46220</v>
      </c>
      <c r="C467" s="19" t="s">
        <v>134</v>
      </c>
      <c r="D467" s="19" t="s">
        <v>173</v>
      </c>
      <c r="E467" s="19" t="s">
        <v>660</v>
      </c>
      <c r="F467" s="19" t="s">
        <v>123</v>
      </c>
      <c r="G467" s="19" t="s">
        <v>661</v>
      </c>
      <c r="H467" s="76">
        <v>46216</v>
      </c>
      <c r="I467" s="19" t="s">
        <v>36</v>
      </c>
      <c r="J467" s="19" t="s">
        <v>1117</v>
      </c>
      <c r="K467" s="19" t="s">
        <v>44</v>
      </c>
      <c r="L467" s="19" t="s">
        <v>1118</v>
      </c>
      <c r="M467" s="19" t="s">
        <v>1119</v>
      </c>
      <c r="N467" s="19">
        <v>4339</v>
      </c>
      <c r="O467" s="19">
        <v>462537.4</v>
      </c>
      <c r="P467" s="19" t="s">
        <v>1119</v>
      </c>
      <c r="Q467" s="19">
        <v>0</v>
      </c>
      <c r="R467" s="19">
        <v>9</v>
      </c>
      <c r="S467" s="19">
        <v>41628.370000000003</v>
      </c>
      <c r="T467" s="19">
        <v>9</v>
      </c>
      <c r="U467" s="19">
        <v>41628.370000000003</v>
      </c>
      <c r="V467" s="19">
        <v>0</v>
      </c>
      <c r="W467" s="19">
        <v>0</v>
      </c>
      <c r="X467" s="19">
        <v>0</v>
      </c>
      <c r="Y467" s="19">
        <v>83256.740000000005</v>
      </c>
      <c r="Z467" s="19">
        <v>0</v>
      </c>
      <c r="AA467" s="19" t="s">
        <v>135</v>
      </c>
      <c r="AB467" s="19" t="s">
        <v>1289</v>
      </c>
      <c r="AC467" s="19">
        <v>39269080</v>
      </c>
      <c r="AD467" s="19" t="s">
        <v>1092</v>
      </c>
      <c r="AE467" s="19">
        <v>1</v>
      </c>
      <c r="AF467" s="19">
        <v>4339</v>
      </c>
      <c r="AG467" s="19" t="s">
        <v>1093</v>
      </c>
      <c r="AH467" s="19" t="s">
        <v>44</v>
      </c>
    </row>
    <row r="468" spans="2:34" hidden="1" x14ac:dyDescent="0.35">
      <c r="B468" s="76">
        <v>46220</v>
      </c>
      <c r="C468" s="19" t="s">
        <v>134</v>
      </c>
      <c r="D468" s="19" t="s">
        <v>173</v>
      </c>
      <c r="E468" s="19" t="s">
        <v>660</v>
      </c>
      <c r="F468" s="19" t="s">
        <v>123</v>
      </c>
      <c r="G468" s="19" t="s">
        <v>661</v>
      </c>
      <c r="H468" s="76">
        <v>46216</v>
      </c>
      <c r="I468" s="19" t="s">
        <v>36</v>
      </c>
      <c r="J468" s="19" t="s">
        <v>1350</v>
      </c>
      <c r="K468" s="19" t="s">
        <v>39</v>
      </c>
      <c r="L468" s="19" t="s">
        <v>1616</v>
      </c>
      <c r="M468" s="19" t="s">
        <v>1603</v>
      </c>
      <c r="N468" s="19">
        <f>AF468</f>
        <v>21510</v>
      </c>
      <c r="O468" s="19">
        <v>20004.3</v>
      </c>
      <c r="P468" s="19" t="s">
        <v>1603</v>
      </c>
      <c r="Q468" s="19">
        <v>0</v>
      </c>
      <c r="R468" s="19">
        <v>9</v>
      </c>
      <c r="S468" s="19">
        <v>1800.39</v>
      </c>
      <c r="T468" s="19">
        <v>9</v>
      </c>
      <c r="U468" s="19">
        <v>1800.39</v>
      </c>
      <c r="V468" s="19">
        <v>0</v>
      </c>
      <c r="W468" s="19">
        <v>0</v>
      </c>
      <c r="X468" s="19">
        <v>0</v>
      </c>
      <c r="Y468" s="19">
        <v>3600.78</v>
      </c>
      <c r="Z468" s="19">
        <v>0</v>
      </c>
      <c r="AA468" s="19" t="s">
        <v>135</v>
      </c>
      <c r="AB468" s="19" t="s">
        <v>1289</v>
      </c>
      <c r="AC468" s="19">
        <v>392300</v>
      </c>
      <c r="AD468" s="19" t="s">
        <v>1092</v>
      </c>
      <c r="AE468" s="19">
        <v>1</v>
      </c>
      <c r="AF468" s="19">
        <v>21510</v>
      </c>
      <c r="AG468" s="19" t="s">
        <v>1093</v>
      </c>
      <c r="AH468" s="19" t="s">
        <v>2319</v>
      </c>
    </row>
    <row r="469" spans="2:34" hidden="1" x14ac:dyDescent="0.35">
      <c r="B469" s="76">
        <v>46220</v>
      </c>
      <c r="C469" s="19" t="s">
        <v>153</v>
      </c>
      <c r="D469" s="19" t="s">
        <v>126</v>
      </c>
      <c r="E469" s="19" t="s">
        <v>645</v>
      </c>
      <c r="F469" s="19" t="s">
        <v>118</v>
      </c>
      <c r="G469" s="19" t="s">
        <v>646</v>
      </c>
      <c r="H469" s="76">
        <v>46220</v>
      </c>
      <c r="I469" s="19" t="s">
        <v>103</v>
      </c>
      <c r="J469" s="19" t="s">
        <v>1765</v>
      </c>
      <c r="K469" s="19" t="s">
        <v>1127</v>
      </c>
      <c r="L469" s="19" t="s">
        <v>1389</v>
      </c>
      <c r="M469" s="19" t="s">
        <v>1823</v>
      </c>
      <c r="N469" s="19">
        <v>100</v>
      </c>
      <c r="O469" s="19">
        <v>280</v>
      </c>
      <c r="P469" s="19" t="s">
        <v>1823</v>
      </c>
      <c r="Q469" s="19">
        <v>1554</v>
      </c>
      <c r="R469" s="19">
        <v>9</v>
      </c>
      <c r="S469" s="19">
        <v>25.2</v>
      </c>
      <c r="T469" s="19">
        <v>9</v>
      </c>
      <c r="U469" s="19">
        <v>25.2</v>
      </c>
      <c r="V469" s="19">
        <v>0</v>
      </c>
      <c r="W469" s="19">
        <v>0</v>
      </c>
      <c r="X469" s="19">
        <v>0</v>
      </c>
      <c r="Y469" s="19">
        <v>50.4</v>
      </c>
      <c r="Z469" s="19">
        <v>0</v>
      </c>
      <c r="AA469" s="19" t="s">
        <v>154</v>
      </c>
      <c r="AB469" s="19" t="s">
        <v>1555</v>
      </c>
      <c r="AC469" s="19">
        <v>960810</v>
      </c>
      <c r="AD469" s="19" t="s">
        <v>1092</v>
      </c>
      <c r="AE469" s="19">
        <v>1</v>
      </c>
      <c r="AF469" s="19">
        <v>0</v>
      </c>
      <c r="AG469" s="19" t="s">
        <v>1093</v>
      </c>
      <c r="AH469" s="19" t="s">
        <v>2319</v>
      </c>
    </row>
    <row r="470" spans="2:34" hidden="1" x14ac:dyDescent="0.35">
      <c r="B470" s="76">
        <v>46220</v>
      </c>
      <c r="C470" s="19" t="s">
        <v>153</v>
      </c>
      <c r="D470" s="19" t="s">
        <v>126</v>
      </c>
      <c r="E470" s="19" t="s">
        <v>645</v>
      </c>
      <c r="F470" s="19" t="s">
        <v>118</v>
      </c>
      <c r="G470" s="19" t="s">
        <v>646</v>
      </c>
      <c r="H470" s="76">
        <v>46220</v>
      </c>
      <c r="I470" s="19" t="s">
        <v>103</v>
      </c>
      <c r="J470" s="19" t="s">
        <v>1765</v>
      </c>
      <c r="K470" s="19" t="s">
        <v>1127</v>
      </c>
      <c r="L470" s="19" t="s">
        <v>1389</v>
      </c>
      <c r="M470" s="19" t="s">
        <v>1824</v>
      </c>
      <c r="N470" s="19">
        <v>3</v>
      </c>
      <c r="O470" s="19">
        <v>141</v>
      </c>
      <c r="P470" s="19" t="s">
        <v>1824</v>
      </c>
      <c r="Q470" s="19">
        <v>0</v>
      </c>
      <c r="R470" s="19">
        <v>9</v>
      </c>
      <c r="S470" s="19">
        <v>12.69</v>
      </c>
      <c r="T470" s="19">
        <v>9</v>
      </c>
      <c r="U470" s="19">
        <v>12.69</v>
      </c>
      <c r="V470" s="19">
        <v>0</v>
      </c>
      <c r="W470" s="19">
        <v>0</v>
      </c>
      <c r="X470" s="19">
        <v>0</v>
      </c>
      <c r="Y470" s="19">
        <v>25.38</v>
      </c>
      <c r="Z470" s="19">
        <v>0</v>
      </c>
      <c r="AA470" s="19" t="s">
        <v>154</v>
      </c>
      <c r="AB470" s="19" t="s">
        <v>1555</v>
      </c>
      <c r="AC470" s="19">
        <v>321590</v>
      </c>
      <c r="AD470" s="19" t="s">
        <v>1092</v>
      </c>
      <c r="AE470" s="19">
        <v>1</v>
      </c>
      <c r="AF470" s="19">
        <v>0</v>
      </c>
      <c r="AG470" s="19" t="s">
        <v>1093</v>
      </c>
      <c r="AH470" s="19" t="s">
        <v>2319</v>
      </c>
    </row>
    <row r="471" spans="2:34" hidden="1" x14ac:dyDescent="0.35">
      <c r="B471" s="76">
        <v>46220</v>
      </c>
      <c r="C471" s="19" t="s">
        <v>153</v>
      </c>
      <c r="D471" s="19" t="s">
        <v>126</v>
      </c>
      <c r="E471" s="19" t="s">
        <v>645</v>
      </c>
      <c r="F471" s="19" t="s">
        <v>118</v>
      </c>
      <c r="G471" s="19" t="s">
        <v>646</v>
      </c>
      <c r="H471" s="76">
        <v>46220</v>
      </c>
      <c r="I471" s="19" t="s">
        <v>103</v>
      </c>
      <c r="J471" s="19" t="s">
        <v>1765</v>
      </c>
      <c r="K471" s="19" t="s">
        <v>1127</v>
      </c>
      <c r="L471" s="19" t="s">
        <v>1389</v>
      </c>
      <c r="M471" s="19" t="s">
        <v>1825</v>
      </c>
      <c r="N471" s="19">
        <v>20</v>
      </c>
      <c r="O471" s="19">
        <v>560</v>
      </c>
      <c r="P471" s="19" t="s">
        <v>1825</v>
      </c>
      <c r="Q471" s="19">
        <v>0</v>
      </c>
      <c r="R471" s="19">
        <v>9</v>
      </c>
      <c r="S471" s="19">
        <v>50.4</v>
      </c>
      <c r="T471" s="19">
        <v>9</v>
      </c>
      <c r="U471" s="19">
        <v>50.4</v>
      </c>
      <c r="V471" s="19">
        <v>0</v>
      </c>
      <c r="W471" s="19">
        <v>0</v>
      </c>
      <c r="X471" s="19">
        <v>0</v>
      </c>
      <c r="Y471" s="19">
        <v>100.8</v>
      </c>
      <c r="Z471" s="19">
        <v>0</v>
      </c>
      <c r="AA471" s="19" t="s">
        <v>154</v>
      </c>
      <c r="AB471" s="19" t="s">
        <v>1572</v>
      </c>
      <c r="AC471" s="19">
        <v>960342</v>
      </c>
      <c r="AD471" s="19" t="s">
        <v>1092</v>
      </c>
      <c r="AE471" s="19">
        <v>1</v>
      </c>
      <c r="AF471" s="19">
        <v>0</v>
      </c>
      <c r="AG471" s="19" t="s">
        <v>1093</v>
      </c>
      <c r="AH471" s="19" t="s">
        <v>2319</v>
      </c>
    </row>
    <row r="472" spans="2:34" hidden="1" x14ac:dyDescent="0.35">
      <c r="B472" s="76">
        <v>46220</v>
      </c>
      <c r="C472" s="19" t="s">
        <v>153</v>
      </c>
      <c r="D472" s="19" t="s">
        <v>126</v>
      </c>
      <c r="E472" s="19" t="s">
        <v>645</v>
      </c>
      <c r="F472" s="19" t="s">
        <v>118</v>
      </c>
      <c r="G472" s="19" t="s">
        <v>646</v>
      </c>
      <c r="H472" s="76">
        <v>46220</v>
      </c>
      <c r="I472" s="19" t="s">
        <v>102</v>
      </c>
      <c r="J472" s="19" t="s">
        <v>1826</v>
      </c>
      <c r="K472" s="19" t="s">
        <v>1127</v>
      </c>
      <c r="L472" s="19" t="s">
        <v>1389</v>
      </c>
      <c r="M472" s="19" t="s">
        <v>1827</v>
      </c>
      <c r="N472" s="19">
        <v>10</v>
      </c>
      <c r="O472" s="19">
        <v>100</v>
      </c>
      <c r="P472" s="19" t="s">
        <v>1827</v>
      </c>
      <c r="Q472" s="19">
        <v>0</v>
      </c>
      <c r="R472" s="19">
        <v>9</v>
      </c>
      <c r="S472" s="19">
        <v>9</v>
      </c>
      <c r="T472" s="19">
        <v>9</v>
      </c>
      <c r="U472" s="19">
        <v>9</v>
      </c>
      <c r="V472" s="19">
        <v>0</v>
      </c>
      <c r="W472" s="19">
        <v>0</v>
      </c>
      <c r="X472" s="19">
        <v>0</v>
      </c>
      <c r="Y472" s="19">
        <v>18</v>
      </c>
      <c r="Z472" s="19">
        <v>0</v>
      </c>
      <c r="AA472" s="19" t="s">
        <v>154</v>
      </c>
      <c r="AB472" s="19" t="s">
        <v>1555</v>
      </c>
      <c r="AC472" s="19">
        <v>850680</v>
      </c>
      <c r="AD472" s="19" t="s">
        <v>1092</v>
      </c>
      <c r="AE472" s="19">
        <v>1</v>
      </c>
      <c r="AF472" s="19">
        <v>0</v>
      </c>
      <c r="AG472" s="19" t="s">
        <v>1093</v>
      </c>
      <c r="AH472" s="19" t="s">
        <v>2319</v>
      </c>
    </row>
    <row r="473" spans="2:34" hidden="1" x14ac:dyDescent="0.35">
      <c r="B473" s="76">
        <v>46220</v>
      </c>
      <c r="C473" s="19" t="s">
        <v>153</v>
      </c>
      <c r="D473" s="19" t="s">
        <v>126</v>
      </c>
      <c r="E473" s="19" t="s">
        <v>645</v>
      </c>
      <c r="F473" s="19" t="s">
        <v>118</v>
      </c>
      <c r="G473" s="19" t="s">
        <v>646</v>
      </c>
      <c r="H473" s="76">
        <v>46220</v>
      </c>
      <c r="I473" s="19" t="s">
        <v>103</v>
      </c>
      <c r="J473" s="19" t="s">
        <v>1765</v>
      </c>
      <c r="K473" s="19" t="s">
        <v>1127</v>
      </c>
      <c r="L473" s="19" t="s">
        <v>1389</v>
      </c>
      <c r="M473" s="19" t="s">
        <v>1828</v>
      </c>
      <c r="N473" s="19">
        <v>50</v>
      </c>
      <c r="O473" s="19">
        <v>160</v>
      </c>
      <c r="P473" s="19" t="s">
        <v>1828</v>
      </c>
      <c r="Q473" s="19">
        <v>0</v>
      </c>
      <c r="R473" s="19">
        <v>0</v>
      </c>
      <c r="S473" s="19">
        <v>0</v>
      </c>
      <c r="T473" s="19">
        <v>0</v>
      </c>
      <c r="U473" s="19">
        <v>0</v>
      </c>
      <c r="V473" s="19">
        <v>0</v>
      </c>
      <c r="W473" s="19">
        <v>0</v>
      </c>
      <c r="X473" s="19">
        <v>0</v>
      </c>
      <c r="Y473" s="19">
        <v>0</v>
      </c>
      <c r="Z473" s="19">
        <v>0</v>
      </c>
      <c r="AA473" s="19" t="s">
        <v>154</v>
      </c>
      <c r="AB473" s="19" t="s">
        <v>1555</v>
      </c>
      <c r="AC473" s="19">
        <v>84522100</v>
      </c>
      <c r="AD473" s="19" t="s">
        <v>1092</v>
      </c>
      <c r="AE473" s="19">
        <v>1</v>
      </c>
      <c r="AF473" s="19">
        <v>0</v>
      </c>
      <c r="AG473" s="19" t="s">
        <v>1093</v>
      </c>
      <c r="AH473" s="19" t="s">
        <v>2319</v>
      </c>
    </row>
    <row r="474" spans="2:34" hidden="1" x14ac:dyDescent="0.35">
      <c r="B474" s="76">
        <v>46220</v>
      </c>
      <c r="C474" s="19" t="s">
        <v>153</v>
      </c>
      <c r="D474" s="19" t="s">
        <v>126</v>
      </c>
      <c r="E474" s="19" t="s">
        <v>645</v>
      </c>
      <c r="F474" s="19" t="s">
        <v>118</v>
      </c>
      <c r="G474" s="19" t="s">
        <v>646</v>
      </c>
      <c r="H474" s="76">
        <v>46220</v>
      </c>
      <c r="I474" s="19" t="s">
        <v>102</v>
      </c>
      <c r="J474" s="19" t="s">
        <v>1826</v>
      </c>
      <c r="K474" s="19" t="s">
        <v>1127</v>
      </c>
      <c r="L474" s="19" t="s">
        <v>1389</v>
      </c>
      <c r="M474" s="19" t="s">
        <v>1829</v>
      </c>
      <c r="N474" s="19">
        <v>10</v>
      </c>
      <c r="O474" s="19">
        <v>100</v>
      </c>
      <c r="P474" s="19" t="s">
        <v>1829</v>
      </c>
      <c r="Q474" s="19">
        <v>0</v>
      </c>
      <c r="R474" s="19">
        <v>9</v>
      </c>
      <c r="S474" s="19">
        <v>9</v>
      </c>
      <c r="T474" s="19">
        <v>9</v>
      </c>
      <c r="U474" s="19">
        <v>9</v>
      </c>
      <c r="V474" s="19">
        <v>0</v>
      </c>
      <c r="W474" s="19">
        <v>0</v>
      </c>
      <c r="X474" s="19">
        <v>0</v>
      </c>
      <c r="Y474" s="19">
        <v>18</v>
      </c>
      <c r="Z474" s="19">
        <v>0</v>
      </c>
      <c r="AA474" s="19" t="s">
        <v>154</v>
      </c>
      <c r="AB474" s="19" t="s">
        <v>1555</v>
      </c>
      <c r="AC474" s="19">
        <v>850722</v>
      </c>
      <c r="AD474" s="19" t="s">
        <v>1092</v>
      </c>
      <c r="AE474" s="19">
        <v>1</v>
      </c>
      <c r="AF474" s="19">
        <v>0</v>
      </c>
      <c r="AG474" s="19" t="s">
        <v>1093</v>
      </c>
      <c r="AH474" s="19" t="s">
        <v>2319</v>
      </c>
    </row>
    <row r="475" spans="2:34" x14ac:dyDescent="0.35">
      <c r="B475" s="76">
        <v>46220</v>
      </c>
      <c r="C475" s="19" t="s">
        <v>664</v>
      </c>
      <c r="D475" s="19" t="s">
        <v>173</v>
      </c>
      <c r="E475" s="19" t="s">
        <v>662</v>
      </c>
      <c r="F475" s="19" t="s">
        <v>120</v>
      </c>
      <c r="G475" s="19" t="s">
        <v>663</v>
      </c>
      <c r="H475" s="76">
        <v>46218</v>
      </c>
      <c r="I475" s="19" t="s">
        <v>28</v>
      </c>
      <c r="J475" s="19" t="s">
        <v>1173</v>
      </c>
      <c r="K475" s="19" t="s">
        <v>30</v>
      </c>
      <c r="L475" s="19" t="s">
        <v>30</v>
      </c>
      <c r="M475" s="19" t="s">
        <v>1830</v>
      </c>
      <c r="N475" s="19">
        <v>30000</v>
      </c>
      <c r="O475" s="19">
        <v>1140000</v>
      </c>
      <c r="P475" s="19" t="s">
        <v>1830</v>
      </c>
      <c r="Q475" s="19">
        <v>1345200</v>
      </c>
      <c r="R475" s="19">
        <v>0</v>
      </c>
      <c r="S475" s="19">
        <v>0</v>
      </c>
      <c r="T475" s="19">
        <v>0</v>
      </c>
      <c r="U475" s="19">
        <v>0</v>
      </c>
      <c r="V475" s="19">
        <v>18</v>
      </c>
      <c r="W475" s="19">
        <v>205200</v>
      </c>
      <c r="X475" s="19">
        <v>0</v>
      </c>
      <c r="Y475" s="19">
        <v>205200</v>
      </c>
      <c r="Z475" s="19">
        <v>0</v>
      </c>
      <c r="AA475" s="19" t="s">
        <v>665</v>
      </c>
      <c r="AB475" s="19" t="s">
        <v>1289</v>
      </c>
      <c r="AC475" s="19">
        <v>32041990</v>
      </c>
      <c r="AD475" s="19" t="s">
        <v>1092</v>
      </c>
      <c r="AE475" s="19">
        <v>1</v>
      </c>
      <c r="AF475" s="19">
        <v>30000</v>
      </c>
      <c r="AG475" s="19" t="s">
        <v>1093</v>
      </c>
      <c r="AH475" s="19" t="s">
        <v>30</v>
      </c>
    </row>
    <row r="476" spans="2:34" hidden="1" x14ac:dyDescent="0.35">
      <c r="B476" s="76">
        <v>46220</v>
      </c>
      <c r="C476" s="19" t="s">
        <v>653</v>
      </c>
      <c r="D476" s="19" t="s">
        <v>126</v>
      </c>
      <c r="E476" s="19" t="s">
        <v>651</v>
      </c>
      <c r="F476" s="19" t="s">
        <v>118</v>
      </c>
      <c r="G476" s="19" t="s">
        <v>652</v>
      </c>
      <c r="H476" s="76">
        <v>46218</v>
      </c>
      <c r="I476" s="19" t="s">
        <v>105</v>
      </c>
      <c r="J476" s="19" t="s">
        <v>1611</v>
      </c>
      <c r="K476" s="19" t="s">
        <v>1127</v>
      </c>
      <c r="L476" s="19" t="s">
        <v>1389</v>
      </c>
      <c r="M476" s="19" t="s">
        <v>1831</v>
      </c>
      <c r="N476" s="19">
        <v>10</v>
      </c>
      <c r="O476" s="19">
        <v>15162</v>
      </c>
      <c r="P476" s="19" t="s">
        <v>1831</v>
      </c>
      <c r="Q476" s="19">
        <v>18068</v>
      </c>
      <c r="R476" s="19">
        <v>9</v>
      </c>
      <c r="S476" s="19">
        <v>1364.58</v>
      </c>
      <c r="T476" s="19">
        <v>9</v>
      </c>
      <c r="U476" s="19">
        <v>1364.58</v>
      </c>
      <c r="V476" s="19">
        <v>0</v>
      </c>
      <c r="W476" s="19">
        <v>0</v>
      </c>
      <c r="X476" s="19">
        <v>27</v>
      </c>
      <c r="Y476" s="19">
        <v>2756.16</v>
      </c>
      <c r="Z476" s="19">
        <v>0</v>
      </c>
      <c r="AA476" s="19" t="s">
        <v>654</v>
      </c>
      <c r="AB476" s="19" t="s">
        <v>1555</v>
      </c>
      <c r="AC476" s="19">
        <v>844649</v>
      </c>
      <c r="AD476" s="19" t="s">
        <v>1092</v>
      </c>
      <c r="AE476" s="19">
        <v>1</v>
      </c>
      <c r="AF476" s="19">
        <v>0</v>
      </c>
      <c r="AG476" s="19" t="s">
        <v>1093</v>
      </c>
      <c r="AH476" s="19" t="s">
        <v>2319</v>
      </c>
    </row>
    <row r="477" spans="2:34" hidden="1" x14ac:dyDescent="0.35">
      <c r="B477" s="76">
        <v>46221</v>
      </c>
      <c r="C477" s="19" t="s">
        <v>138</v>
      </c>
      <c r="D477" s="19" t="s">
        <v>7</v>
      </c>
      <c r="E477" s="19" t="s">
        <v>673</v>
      </c>
      <c r="F477" s="19" t="s">
        <v>119</v>
      </c>
      <c r="G477" s="19" t="s">
        <v>674</v>
      </c>
      <c r="H477" s="76">
        <v>46220</v>
      </c>
      <c r="I477" s="19" t="s">
        <v>105</v>
      </c>
      <c r="J477" s="19" t="s">
        <v>1142</v>
      </c>
      <c r="K477" s="19" t="s">
        <v>1509</v>
      </c>
      <c r="L477" s="19" t="s">
        <v>1509</v>
      </c>
      <c r="M477" s="19" t="s">
        <v>1196</v>
      </c>
      <c r="N477" s="19">
        <v>206</v>
      </c>
      <c r="O477" s="19">
        <v>9888</v>
      </c>
      <c r="P477" s="19" t="s">
        <v>1196</v>
      </c>
      <c r="Q477" s="19">
        <v>11657.95</v>
      </c>
      <c r="R477" s="19">
        <v>9</v>
      </c>
      <c r="S477" s="19">
        <v>889.92</v>
      </c>
      <c r="T477" s="19">
        <v>9</v>
      </c>
      <c r="U477" s="19">
        <v>889.92</v>
      </c>
      <c r="V477" s="19">
        <v>0</v>
      </c>
      <c r="W477" s="19">
        <v>0</v>
      </c>
      <c r="X477" s="19">
        <v>0</v>
      </c>
      <c r="Y477" s="19">
        <v>1779.84</v>
      </c>
      <c r="Z477" s="19">
        <v>0</v>
      </c>
      <c r="AA477" s="19" t="s">
        <v>135</v>
      </c>
      <c r="AB477" s="19" t="s">
        <v>1289</v>
      </c>
      <c r="AC477" s="19">
        <v>73063090</v>
      </c>
      <c r="AD477" s="19" t="s">
        <v>1092</v>
      </c>
      <c r="AE477" s="19">
        <v>1</v>
      </c>
      <c r="AF477" s="19">
        <v>206</v>
      </c>
      <c r="AG477" s="19" t="s">
        <v>1093</v>
      </c>
      <c r="AH477" s="19" t="s">
        <v>2319</v>
      </c>
    </row>
    <row r="478" spans="2:34" x14ac:dyDescent="0.35">
      <c r="B478" s="76">
        <v>46221</v>
      </c>
      <c r="C478" s="19" t="s">
        <v>138</v>
      </c>
      <c r="D478" s="19" t="s">
        <v>173</v>
      </c>
      <c r="E478" s="19" t="s">
        <v>682</v>
      </c>
      <c r="F478" s="19" t="s">
        <v>123</v>
      </c>
      <c r="G478" s="19" t="s">
        <v>683</v>
      </c>
      <c r="H478" s="76">
        <v>46221</v>
      </c>
      <c r="I478" s="19" t="s">
        <v>49</v>
      </c>
      <c r="J478" s="19" t="s">
        <v>50</v>
      </c>
      <c r="K478" s="19" t="s">
        <v>50</v>
      </c>
      <c r="L478" s="19" t="s">
        <v>1095</v>
      </c>
      <c r="M478" s="19" t="s">
        <v>1098</v>
      </c>
      <c r="N478" s="19">
        <v>19060</v>
      </c>
      <c r="O478" s="19">
        <v>4397523.2</v>
      </c>
      <c r="P478" s="19" t="s">
        <v>1098</v>
      </c>
      <c r="Q478" s="19">
        <v>4397523.2</v>
      </c>
      <c r="R478" s="19">
        <v>0.05</v>
      </c>
      <c r="S478" s="19">
        <v>2198.7600000000002</v>
      </c>
      <c r="T478" s="19">
        <v>0.05</v>
      </c>
      <c r="U478" s="19">
        <v>2198.7600000000002</v>
      </c>
      <c r="V478" s="19">
        <v>0</v>
      </c>
      <c r="W478" s="19">
        <v>0</v>
      </c>
      <c r="X478" s="19">
        <v>0</v>
      </c>
      <c r="Y478" s="19">
        <v>4397.5200000000004</v>
      </c>
      <c r="Z478" s="19">
        <v>0</v>
      </c>
      <c r="AA478" s="19" t="s">
        <v>135</v>
      </c>
      <c r="AB478" s="19" t="s">
        <v>1289</v>
      </c>
      <c r="AC478" s="19">
        <v>63053200</v>
      </c>
      <c r="AD478" s="19" t="s">
        <v>1092</v>
      </c>
      <c r="AE478" s="19">
        <v>1</v>
      </c>
      <c r="AF478" s="19">
        <v>19060</v>
      </c>
      <c r="AG478" s="19" t="s">
        <v>1093</v>
      </c>
      <c r="AH478" s="19" t="s">
        <v>50</v>
      </c>
    </row>
    <row r="479" spans="2:34" x14ac:dyDescent="0.35">
      <c r="B479" s="76">
        <v>46221</v>
      </c>
      <c r="C479" s="19" t="s">
        <v>138</v>
      </c>
      <c r="D479" s="19" t="s">
        <v>173</v>
      </c>
      <c r="E479" s="19" t="s">
        <v>684</v>
      </c>
      <c r="F479" s="19" t="s">
        <v>123</v>
      </c>
      <c r="G479" s="19" t="s">
        <v>685</v>
      </c>
      <c r="H479" s="76">
        <v>46220</v>
      </c>
      <c r="I479" s="19" t="s">
        <v>36</v>
      </c>
      <c r="J479" s="19" t="s">
        <v>1350</v>
      </c>
      <c r="K479" s="19" t="s">
        <v>39</v>
      </c>
      <c r="L479" s="19" t="s">
        <v>1351</v>
      </c>
      <c r="M479" s="19" t="s">
        <v>1352</v>
      </c>
      <c r="N479" s="19">
        <v>897.8</v>
      </c>
      <c r="O479" s="19">
        <v>185647.084</v>
      </c>
      <c r="P479" s="19" t="s">
        <v>1352</v>
      </c>
      <c r="Q479" s="19">
        <v>218877.91</v>
      </c>
      <c r="R479" s="19">
        <v>9</v>
      </c>
      <c r="S479" s="19">
        <v>16708.240000000002</v>
      </c>
      <c r="T479" s="19">
        <v>9</v>
      </c>
      <c r="U479" s="19">
        <v>16708.240000000002</v>
      </c>
      <c r="V479" s="19">
        <v>0</v>
      </c>
      <c r="W479" s="19">
        <v>0</v>
      </c>
      <c r="X479" s="19">
        <v>0</v>
      </c>
      <c r="Y479" s="19">
        <v>33416.480000000003</v>
      </c>
      <c r="Z479" s="19">
        <v>0</v>
      </c>
      <c r="AA479" s="19" t="s">
        <v>135</v>
      </c>
      <c r="AB479" s="19" t="s">
        <v>1289</v>
      </c>
      <c r="AC479" s="19">
        <v>39200000</v>
      </c>
      <c r="AD479" s="19" t="s">
        <v>1092</v>
      </c>
      <c r="AE479" s="19">
        <v>1</v>
      </c>
      <c r="AF479" s="19">
        <v>897.8</v>
      </c>
      <c r="AG479" s="19" t="s">
        <v>1093</v>
      </c>
      <c r="AH479" s="19" t="s">
        <v>39</v>
      </c>
    </row>
    <row r="480" spans="2:34" x14ac:dyDescent="0.35">
      <c r="B480" s="76">
        <v>46221</v>
      </c>
      <c r="C480" s="19" t="s">
        <v>138</v>
      </c>
      <c r="D480" s="19" t="s">
        <v>173</v>
      </c>
      <c r="E480" s="19" t="s">
        <v>686</v>
      </c>
      <c r="F480" s="19" t="s">
        <v>123</v>
      </c>
      <c r="G480" s="19" t="s">
        <v>687</v>
      </c>
      <c r="H480" s="76">
        <v>46220</v>
      </c>
      <c r="I480" s="19" t="s">
        <v>36</v>
      </c>
      <c r="J480" s="19" t="s">
        <v>1117</v>
      </c>
      <c r="K480" s="19" t="s">
        <v>44</v>
      </c>
      <c r="L480" s="19" t="s">
        <v>1118</v>
      </c>
      <c r="M480" s="19" t="s">
        <v>1119</v>
      </c>
      <c r="N480" s="19">
        <v>235</v>
      </c>
      <c r="O480" s="19">
        <v>92825</v>
      </c>
      <c r="P480" s="19" t="s">
        <v>1119</v>
      </c>
      <c r="Q480" s="19">
        <v>109441.18</v>
      </c>
      <c r="R480" s="19">
        <v>9</v>
      </c>
      <c r="S480" s="19">
        <v>8354.25</v>
      </c>
      <c r="T480" s="19">
        <v>9</v>
      </c>
      <c r="U480" s="19">
        <v>8354.25</v>
      </c>
      <c r="V480" s="19">
        <v>0</v>
      </c>
      <c r="W480" s="19">
        <v>0</v>
      </c>
      <c r="X480" s="19">
        <v>0</v>
      </c>
      <c r="Y480" s="19">
        <v>16708.5</v>
      </c>
      <c r="Z480" s="19">
        <v>0</v>
      </c>
      <c r="AA480" s="19" t="s">
        <v>135</v>
      </c>
      <c r="AB480" s="19" t="s">
        <v>1289</v>
      </c>
      <c r="AC480" s="19">
        <v>39269080</v>
      </c>
      <c r="AD480" s="19" t="s">
        <v>1092</v>
      </c>
      <c r="AE480" s="19">
        <v>1</v>
      </c>
      <c r="AF480" s="19">
        <v>235</v>
      </c>
      <c r="AG480" s="19" t="s">
        <v>1093</v>
      </c>
      <c r="AH480" s="19" t="s">
        <v>44</v>
      </c>
    </row>
    <row r="481" spans="2:34" x14ac:dyDescent="0.35">
      <c r="B481" s="76">
        <v>46221</v>
      </c>
      <c r="C481" s="19" t="s">
        <v>138</v>
      </c>
      <c r="D481" s="19" t="s">
        <v>173</v>
      </c>
      <c r="E481" s="19" t="s">
        <v>688</v>
      </c>
      <c r="F481" s="19" t="s">
        <v>123</v>
      </c>
      <c r="G481" s="19" t="s">
        <v>689</v>
      </c>
      <c r="H481" s="76">
        <v>46220</v>
      </c>
      <c r="I481" s="19" t="s">
        <v>36</v>
      </c>
      <c r="J481" s="19" t="s">
        <v>1117</v>
      </c>
      <c r="K481" s="19" t="s">
        <v>42</v>
      </c>
      <c r="L481" s="19" t="s">
        <v>1242</v>
      </c>
      <c r="M481" s="19" t="s">
        <v>1154</v>
      </c>
      <c r="N481" s="19">
        <v>2645</v>
      </c>
      <c r="O481" s="19">
        <v>400691.05</v>
      </c>
      <c r="P481" s="19" t="s">
        <v>1154</v>
      </c>
      <c r="Q481" s="19">
        <v>1041364.72</v>
      </c>
      <c r="R481" s="19">
        <v>9</v>
      </c>
      <c r="S481" s="19">
        <v>36062.19</v>
      </c>
      <c r="T481" s="19">
        <v>9</v>
      </c>
      <c r="U481" s="19">
        <v>36062.19</v>
      </c>
      <c r="V481" s="19">
        <v>0</v>
      </c>
      <c r="W481" s="19">
        <v>0</v>
      </c>
      <c r="X481" s="19">
        <v>0</v>
      </c>
      <c r="Y481" s="19">
        <v>72124.38</v>
      </c>
      <c r="Z481" s="19">
        <v>0</v>
      </c>
      <c r="AA481" s="19" t="s">
        <v>135</v>
      </c>
      <c r="AB481" s="19" t="s">
        <v>1289</v>
      </c>
      <c r="AC481" s="19">
        <v>63053300</v>
      </c>
      <c r="AD481" s="19" t="s">
        <v>1092</v>
      </c>
      <c r="AE481" s="19">
        <v>1</v>
      </c>
      <c r="AF481" s="19">
        <v>2645</v>
      </c>
      <c r="AG481" s="19" t="s">
        <v>1093</v>
      </c>
      <c r="AH481" s="19" t="s">
        <v>42</v>
      </c>
    </row>
    <row r="482" spans="2:34" x14ac:dyDescent="0.35">
      <c r="B482" s="76">
        <v>46221</v>
      </c>
      <c r="C482" s="19" t="s">
        <v>138</v>
      </c>
      <c r="D482" s="19" t="s">
        <v>173</v>
      </c>
      <c r="E482" s="19" t="s">
        <v>688</v>
      </c>
      <c r="F482" s="19" t="s">
        <v>123</v>
      </c>
      <c r="G482" s="19" t="s">
        <v>689</v>
      </c>
      <c r="H482" s="76">
        <v>46220</v>
      </c>
      <c r="I482" s="19" t="s">
        <v>36</v>
      </c>
      <c r="J482" s="19" t="s">
        <v>1117</v>
      </c>
      <c r="K482" s="19" t="s">
        <v>44</v>
      </c>
      <c r="L482" s="19" t="s">
        <v>1118</v>
      </c>
      <c r="M482" s="19" t="s">
        <v>1119</v>
      </c>
      <c r="N482" s="19">
        <v>804</v>
      </c>
      <c r="O482" s="19">
        <v>116169.96</v>
      </c>
      <c r="P482" s="19" t="s">
        <v>1119</v>
      </c>
      <c r="Q482" s="19">
        <v>0</v>
      </c>
      <c r="R482" s="19">
        <v>9</v>
      </c>
      <c r="S482" s="19">
        <v>10455.299999999999</v>
      </c>
      <c r="T482" s="19">
        <v>9</v>
      </c>
      <c r="U482" s="19">
        <v>10455.299999999999</v>
      </c>
      <c r="V482" s="19">
        <v>0</v>
      </c>
      <c r="W482" s="19">
        <v>0</v>
      </c>
      <c r="X482" s="19">
        <v>0</v>
      </c>
      <c r="Y482" s="19">
        <v>20910.599999999999</v>
      </c>
      <c r="Z482" s="19">
        <v>0</v>
      </c>
      <c r="AA482" s="19" t="s">
        <v>135</v>
      </c>
      <c r="AB482" s="19" t="s">
        <v>1289</v>
      </c>
      <c r="AC482" s="19">
        <v>39269080</v>
      </c>
      <c r="AD482" s="19" t="s">
        <v>1092</v>
      </c>
      <c r="AE482" s="19">
        <v>1</v>
      </c>
      <c r="AF482" s="19">
        <v>804</v>
      </c>
      <c r="AG482" s="19" t="s">
        <v>1093</v>
      </c>
      <c r="AH482" s="19" t="s">
        <v>44</v>
      </c>
    </row>
    <row r="483" spans="2:34" x14ac:dyDescent="0.35">
      <c r="B483" s="76">
        <v>46221</v>
      </c>
      <c r="C483" s="19" t="s">
        <v>138</v>
      </c>
      <c r="D483" s="19" t="s">
        <v>173</v>
      </c>
      <c r="E483" s="19" t="s">
        <v>688</v>
      </c>
      <c r="F483" s="19" t="s">
        <v>123</v>
      </c>
      <c r="G483" s="19" t="s">
        <v>689</v>
      </c>
      <c r="H483" s="76">
        <v>46220</v>
      </c>
      <c r="I483" s="19" t="s">
        <v>36</v>
      </c>
      <c r="J483" s="19" t="s">
        <v>1117</v>
      </c>
      <c r="K483" s="19" t="s">
        <v>44</v>
      </c>
      <c r="L483" s="19" t="s">
        <v>1118</v>
      </c>
      <c r="M483" s="19" t="s">
        <v>1119</v>
      </c>
      <c r="N483" s="19">
        <v>2451</v>
      </c>
      <c r="O483" s="19">
        <v>366399.99</v>
      </c>
      <c r="P483" s="19" t="s">
        <v>1119</v>
      </c>
      <c r="Q483" s="19">
        <v>0</v>
      </c>
      <c r="R483" s="19">
        <v>9</v>
      </c>
      <c r="S483" s="19">
        <v>32976</v>
      </c>
      <c r="T483" s="19">
        <v>9</v>
      </c>
      <c r="U483" s="19">
        <v>32976</v>
      </c>
      <c r="V483" s="19">
        <v>0</v>
      </c>
      <c r="W483" s="19">
        <v>0</v>
      </c>
      <c r="X483" s="19">
        <v>0</v>
      </c>
      <c r="Y483" s="19">
        <v>65952</v>
      </c>
      <c r="Z483" s="19">
        <v>0</v>
      </c>
      <c r="AA483" s="19" t="s">
        <v>135</v>
      </c>
      <c r="AB483" s="19" t="s">
        <v>1289</v>
      </c>
      <c r="AC483" s="19">
        <v>39269080</v>
      </c>
      <c r="AD483" s="19" t="s">
        <v>1092</v>
      </c>
      <c r="AE483" s="19">
        <v>1</v>
      </c>
      <c r="AF483" s="19">
        <v>2451</v>
      </c>
      <c r="AG483" s="19" t="s">
        <v>1093</v>
      </c>
      <c r="AH483" s="19" t="s">
        <v>44</v>
      </c>
    </row>
    <row r="484" spans="2:34" hidden="1" x14ac:dyDescent="0.35">
      <c r="B484" s="76">
        <v>46221</v>
      </c>
      <c r="C484" s="19" t="s">
        <v>134</v>
      </c>
      <c r="D484" s="19" t="s">
        <v>126</v>
      </c>
      <c r="E484" s="19" t="s">
        <v>671</v>
      </c>
      <c r="F484" s="19" t="s">
        <v>118</v>
      </c>
      <c r="G484" s="19" t="s">
        <v>672</v>
      </c>
      <c r="H484" s="76">
        <v>46221</v>
      </c>
      <c r="I484" s="19" t="s">
        <v>36</v>
      </c>
      <c r="J484" s="19" t="s">
        <v>1350</v>
      </c>
      <c r="K484" s="19" t="s">
        <v>39</v>
      </c>
      <c r="L484" s="19" t="s">
        <v>102</v>
      </c>
      <c r="M484" s="19" t="s">
        <v>1603</v>
      </c>
      <c r="N484" s="19">
        <f>AF484</f>
        <v>21.6</v>
      </c>
      <c r="O484" s="19">
        <v>6175</v>
      </c>
      <c r="P484" s="19" t="s">
        <v>1603</v>
      </c>
      <c r="Q484" s="19">
        <v>7280.33</v>
      </c>
      <c r="R484" s="19">
        <v>9</v>
      </c>
      <c r="S484" s="19">
        <v>555.75</v>
      </c>
      <c r="T484" s="19">
        <v>9</v>
      </c>
      <c r="U484" s="19">
        <v>555.75</v>
      </c>
      <c r="V484" s="19">
        <v>0</v>
      </c>
      <c r="W484" s="19">
        <v>0</v>
      </c>
      <c r="X484" s="19">
        <v>0</v>
      </c>
      <c r="Y484" s="19">
        <v>1111.5</v>
      </c>
      <c r="Z484" s="19">
        <v>0</v>
      </c>
      <c r="AA484" s="19" t="s">
        <v>135</v>
      </c>
      <c r="AB484" s="19" t="s">
        <v>1289</v>
      </c>
      <c r="AC484" s="19">
        <v>392300</v>
      </c>
      <c r="AD484" s="19" t="s">
        <v>1092</v>
      </c>
      <c r="AE484" s="19">
        <v>1</v>
      </c>
      <c r="AF484" s="19">
        <v>21.6</v>
      </c>
      <c r="AG484" s="19" t="s">
        <v>1093</v>
      </c>
      <c r="AH484" s="19" t="s">
        <v>2319</v>
      </c>
    </row>
    <row r="485" spans="2:34" hidden="1" x14ac:dyDescent="0.35">
      <c r="B485" s="76">
        <v>46221</v>
      </c>
      <c r="C485" s="19" t="s">
        <v>677</v>
      </c>
      <c r="D485" s="19" t="s">
        <v>126</v>
      </c>
      <c r="E485" s="19" t="s">
        <v>675</v>
      </c>
      <c r="F485" s="19" t="s">
        <v>121</v>
      </c>
      <c r="G485" s="19" t="s">
        <v>676</v>
      </c>
      <c r="H485" s="76">
        <v>46216</v>
      </c>
      <c r="I485" s="19" t="s">
        <v>105</v>
      </c>
      <c r="J485" s="19" t="s">
        <v>1579</v>
      </c>
      <c r="K485" s="19" t="s">
        <v>1127</v>
      </c>
      <c r="L485" s="19" t="s">
        <v>1389</v>
      </c>
      <c r="M485" s="19" t="s">
        <v>1832</v>
      </c>
      <c r="N485" s="19">
        <v>30</v>
      </c>
      <c r="O485" s="19">
        <v>9480</v>
      </c>
      <c r="P485" s="19" t="s">
        <v>1832</v>
      </c>
      <c r="Q485" s="19">
        <v>11304</v>
      </c>
      <c r="R485" s="19">
        <v>0</v>
      </c>
      <c r="S485" s="19">
        <v>0</v>
      </c>
      <c r="T485" s="19">
        <v>0</v>
      </c>
      <c r="U485" s="19">
        <v>0</v>
      </c>
      <c r="V485" s="19">
        <v>18</v>
      </c>
      <c r="W485" s="19">
        <v>1706.4</v>
      </c>
      <c r="X485" s="19">
        <v>18</v>
      </c>
      <c r="Y485" s="19">
        <v>1724.4</v>
      </c>
      <c r="Z485" s="19">
        <v>0</v>
      </c>
      <c r="AA485" s="19" t="s">
        <v>678</v>
      </c>
      <c r="AB485" s="19" t="s">
        <v>1555</v>
      </c>
      <c r="AC485" s="19">
        <v>844810</v>
      </c>
      <c r="AD485" s="19" t="s">
        <v>1092</v>
      </c>
      <c r="AE485" s="19">
        <v>1</v>
      </c>
      <c r="AF485" s="19">
        <v>0</v>
      </c>
      <c r="AG485" s="19" t="s">
        <v>1093</v>
      </c>
      <c r="AH485" s="19" t="s">
        <v>2319</v>
      </c>
    </row>
    <row r="486" spans="2:34" hidden="1" x14ac:dyDescent="0.35">
      <c r="B486" s="76">
        <v>46221</v>
      </c>
      <c r="C486" s="19" t="s">
        <v>680</v>
      </c>
      <c r="D486" s="19" t="s">
        <v>126</v>
      </c>
      <c r="E486" s="19" t="s">
        <v>679</v>
      </c>
      <c r="F486" s="19" t="s">
        <v>121</v>
      </c>
      <c r="G486" s="19">
        <v>67</v>
      </c>
      <c r="H486" s="76">
        <v>46217</v>
      </c>
      <c r="I486" s="19" t="s">
        <v>105</v>
      </c>
      <c r="J486" s="19" t="s">
        <v>1579</v>
      </c>
      <c r="K486" s="19" t="s">
        <v>1127</v>
      </c>
      <c r="L486" s="19" t="s">
        <v>1389</v>
      </c>
      <c r="M486" s="19" t="s">
        <v>1833</v>
      </c>
      <c r="N486" s="19">
        <v>30</v>
      </c>
      <c r="O486" s="19">
        <v>6600</v>
      </c>
      <c r="P486" s="19" t="s">
        <v>1833</v>
      </c>
      <c r="Q486" s="19">
        <v>7788</v>
      </c>
      <c r="R486" s="19">
        <v>0</v>
      </c>
      <c r="S486" s="19">
        <v>0</v>
      </c>
      <c r="T486" s="19">
        <v>0</v>
      </c>
      <c r="U486" s="19">
        <v>0</v>
      </c>
      <c r="V486" s="19">
        <v>18</v>
      </c>
      <c r="W486" s="19">
        <v>1188</v>
      </c>
      <c r="X486" s="19">
        <v>0</v>
      </c>
      <c r="Y486" s="19">
        <v>1188</v>
      </c>
      <c r="Z486" s="19">
        <v>0</v>
      </c>
      <c r="AA486" s="19" t="s">
        <v>681</v>
      </c>
      <c r="AB486" s="19" t="s">
        <v>1555</v>
      </c>
      <c r="AC486" s="19">
        <v>844849</v>
      </c>
      <c r="AD486" s="19" t="s">
        <v>1092</v>
      </c>
      <c r="AE486" s="19">
        <v>1</v>
      </c>
      <c r="AF486" s="19">
        <v>0</v>
      </c>
      <c r="AG486" s="19" t="s">
        <v>1093</v>
      </c>
      <c r="AH486" s="19" t="s">
        <v>2319</v>
      </c>
    </row>
    <row r="487" spans="2:34" hidden="1" x14ac:dyDescent="0.35">
      <c r="B487" s="76">
        <v>46222</v>
      </c>
      <c r="C487" s="19" t="s">
        <v>697</v>
      </c>
      <c r="D487" s="19" t="s">
        <v>126</v>
      </c>
      <c r="E487" s="19" t="s">
        <v>696</v>
      </c>
      <c r="F487" s="19" t="s">
        <v>118</v>
      </c>
      <c r="G487" s="19">
        <v>6890</v>
      </c>
      <c r="H487" s="76">
        <v>46220</v>
      </c>
      <c r="I487" s="19" t="s">
        <v>105</v>
      </c>
      <c r="J487" s="19" t="s">
        <v>1611</v>
      </c>
      <c r="K487" s="19" t="s">
        <v>1127</v>
      </c>
      <c r="L487" s="19" t="s">
        <v>1389</v>
      </c>
      <c r="M487" s="19" t="s">
        <v>1834</v>
      </c>
      <c r="N487" s="19">
        <v>2000</v>
      </c>
      <c r="O487" s="19">
        <v>9200</v>
      </c>
      <c r="P487" s="19" t="s">
        <v>1834</v>
      </c>
      <c r="Q487" s="19">
        <v>10997</v>
      </c>
      <c r="R487" s="19">
        <v>9</v>
      </c>
      <c r="S487" s="19">
        <v>838.8</v>
      </c>
      <c r="T487" s="19">
        <v>9</v>
      </c>
      <c r="U487" s="19">
        <v>838.8</v>
      </c>
      <c r="V487" s="19">
        <v>0</v>
      </c>
      <c r="W487" s="19">
        <v>0</v>
      </c>
      <c r="X487" s="19">
        <v>0</v>
      </c>
      <c r="Y487" s="19">
        <v>1677.6</v>
      </c>
      <c r="Z487" s="19">
        <v>0</v>
      </c>
      <c r="AA487" s="19" t="s">
        <v>698</v>
      </c>
      <c r="AB487" s="19" t="s">
        <v>1572</v>
      </c>
      <c r="AC487" s="19">
        <v>8452900</v>
      </c>
      <c r="AD487" s="19" t="s">
        <v>1092</v>
      </c>
      <c r="AE487" s="19">
        <v>1</v>
      </c>
      <c r="AF487" s="19">
        <v>0</v>
      </c>
      <c r="AG487" s="19" t="s">
        <v>1093</v>
      </c>
      <c r="AH487" s="19" t="s">
        <v>2319</v>
      </c>
    </row>
    <row r="488" spans="2:34" x14ac:dyDescent="0.35">
      <c r="B488" s="76">
        <v>46222</v>
      </c>
      <c r="C488" s="19" t="s">
        <v>178</v>
      </c>
      <c r="D488" s="19" t="s">
        <v>173</v>
      </c>
      <c r="E488" s="19" t="s">
        <v>705</v>
      </c>
      <c r="F488" s="19" t="s">
        <v>123</v>
      </c>
      <c r="G488" s="19" t="s">
        <v>706</v>
      </c>
      <c r="H488" s="76">
        <v>46191</v>
      </c>
      <c r="I488" s="19" t="s">
        <v>36</v>
      </c>
      <c r="J488" s="19" t="s">
        <v>1117</v>
      </c>
      <c r="K488" s="19" t="s">
        <v>44</v>
      </c>
      <c r="L488" s="19" t="s">
        <v>1118</v>
      </c>
      <c r="M488" s="19" t="s">
        <v>1119</v>
      </c>
      <c r="N488" s="19">
        <v>210</v>
      </c>
      <c r="O488" s="19">
        <v>45462.9</v>
      </c>
      <c r="P488" s="19" t="s">
        <v>1119</v>
      </c>
      <c r="Q488" s="19">
        <v>925549.4</v>
      </c>
      <c r="R488" s="19">
        <v>9</v>
      </c>
      <c r="S488" s="19">
        <v>4091.66</v>
      </c>
      <c r="T488" s="19">
        <v>9</v>
      </c>
      <c r="U488" s="19">
        <v>4091.66</v>
      </c>
      <c r="V488" s="19">
        <v>0</v>
      </c>
      <c r="W488" s="19">
        <v>0</v>
      </c>
      <c r="X488" s="19">
        <v>0</v>
      </c>
      <c r="Y488" s="19">
        <v>8183.32</v>
      </c>
      <c r="Z488" s="19">
        <v>0</v>
      </c>
      <c r="AA488" s="19" t="s">
        <v>179</v>
      </c>
      <c r="AB488" s="19" t="s">
        <v>1289</v>
      </c>
      <c r="AC488" s="19">
        <v>39269080</v>
      </c>
      <c r="AD488" s="19" t="s">
        <v>1092</v>
      </c>
      <c r="AE488" s="19">
        <v>1</v>
      </c>
      <c r="AF488" s="19">
        <v>210</v>
      </c>
      <c r="AG488" s="19" t="s">
        <v>1093</v>
      </c>
      <c r="AH488" s="19" t="s">
        <v>44</v>
      </c>
    </row>
    <row r="489" spans="2:34" x14ac:dyDescent="0.35">
      <c r="B489" s="76">
        <v>46222</v>
      </c>
      <c r="C489" s="19" t="s">
        <v>178</v>
      </c>
      <c r="D489" s="19" t="s">
        <v>173</v>
      </c>
      <c r="E489" s="19" t="s">
        <v>705</v>
      </c>
      <c r="F489" s="19" t="s">
        <v>123</v>
      </c>
      <c r="G489" s="19" t="s">
        <v>706</v>
      </c>
      <c r="H489" s="76">
        <v>46191</v>
      </c>
      <c r="I489" s="19" t="s">
        <v>36</v>
      </c>
      <c r="J489" s="19" t="s">
        <v>1117</v>
      </c>
      <c r="K489" s="19" t="s">
        <v>44</v>
      </c>
      <c r="L489" s="19" t="s">
        <v>1118</v>
      </c>
      <c r="M489" s="19" t="s">
        <v>1119</v>
      </c>
      <c r="N489" s="19">
        <v>4462</v>
      </c>
      <c r="O489" s="19">
        <v>698258.38</v>
      </c>
      <c r="P489" s="19" t="s">
        <v>1119</v>
      </c>
      <c r="Q489" s="19">
        <v>0</v>
      </c>
      <c r="R489" s="19">
        <v>9</v>
      </c>
      <c r="S489" s="19">
        <v>62843.25</v>
      </c>
      <c r="T489" s="19">
        <v>9</v>
      </c>
      <c r="U489" s="19">
        <v>62843.25</v>
      </c>
      <c r="V489" s="19">
        <v>0</v>
      </c>
      <c r="W489" s="19">
        <v>0</v>
      </c>
      <c r="X489" s="19">
        <v>0</v>
      </c>
      <c r="Y489" s="19">
        <v>125686.5</v>
      </c>
      <c r="Z489" s="19">
        <v>0</v>
      </c>
      <c r="AA489" s="19" t="s">
        <v>179</v>
      </c>
      <c r="AB489" s="19" t="s">
        <v>1289</v>
      </c>
      <c r="AC489" s="19">
        <v>39269080</v>
      </c>
      <c r="AD489" s="19" t="s">
        <v>1092</v>
      </c>
      <c r="AE489" s="19">
        <v>1</v>
      </c>
      <c r="AF489" s="19">
        <v>4462</v>
      </c>
      <c r="AG489" s="19" t="s">
        <v>1093</v>
      </c>
      <c r="AH489" s="19" t="s">
        <v>44</v>
      </c>
    </row>
    <row r="490" spans="2:34" x14ac:dyDescent="0.35">
      <c r="B490" s="76">
        <v>46222</v>
      </c>
      <c r="C490" s="19" t="s">
        <v>178</v>
      </c>
      <c r="D490" s="19" t="s">
        <v>173</v>
      </c>
      <c r="E490" s="19" t="s">
        <v>705</v>
      </c>
      <c r="F490" s="19" t="s">
        <v>123</v>
      </c>
      <c r="G490" s="19" t="s">
        <v>706</v>
      </c>
      <c r="H490" s="76">
        <v>46191</v>
      </c>
      <c r="I490" s="19" t="s">
        <v>36</v>
      </c>
      <c r="J490" s="19" t="s">
        <v>1117</v>
      </c>
      <c r="K490" s="19" t="s">
        <v>44</v>
      </c>
      <c r="L490" s="19" t="s">
        <v>1118</v>
      </c>
      <c r="M490" s="19" t="s">
        <v>1119</v>
      </c>
      <c r="N490" s="19">
        <v>259</v>
      </c>
      <c r="O490" s="19">
        <v>41307.910000000003</v>
      </c>
      <c r="P490" s="19" t="s">
        <v>1119</v>
      </c>
      <c r="Q490" s="19">
        <v>0</v>
      </c>
      <c r="R490" s="19">
        <v>9</v>
      </c>
      <c r="S490" s="19">
        <v>3717.71</v>
      </c>
      <c r="T490" s="19">
        <v>9</v>
      </c>
      <c r="U490" s="19">
        <v>3717.71</v>
      </c>
      <c r="V490" s="19">
        <v>0</v>
      </c>
      <c r="W490" s="19">
        <v>0</v>
      </c>
      <c r="X490" s="19">
        <v>0</v>
      </c>
      <c r="Y490" s="19">
        <v>7435.42</v>
      </c>
      <c r="Z490" s="19">
        <v>0</v>
      </c>
      <c r="AA490" s="19" t="s">
        <v>179</v>
      </c>
      <c r="AB490" s="19" t="s">
        <v>1289</v>
      </c>
      <c r="AC490" s="19">
        <v>39269080</v>
      </c>
      <c r="AD490" s="19" t="s">
        <v>1092</v>
      </c>
      <c r="AE490" s="19">
        <v>1</v>
      </c>
      <c r="AF490" s="19">
        <v>259</v>
      </c>
      <c r="AG490" s="19" t="s">
        <v>1093</v>
      </c>
      <c r="AH490" s="19" t="s">
        <v>44</v>
      </c>
    </row>
    <row r="491" spans="2:34" hidden="1" x14ac:dyDescent="0.35">
      <c r="B491" s="76">
        <v>46222</v>
      </c>
      <c r="C491" s="19" t="s">
        <v>693</v>
      </c>
      <c r="D491" s="19" t="s">
        <v>126</v>
      </c>
      <c r="E491" s="19" t="s">
        <v>692</v>
      </c>
      <c r="F491" s="19" t="s">
        <v>118</v>
      </c>
      <c r="G491" s="19">
        <v>278</v>
      </c>
      <c r="H491" s="76">
        <v>46219</v>
      </c>
      <c r="I491" s="19" t="s">
        <v>105</v>
      </c>
      <c r="J491" s="19" t="s">
        <v>1579</v>
      </c>
      <c r="K491" s="19" t="s">
        <v>1127</v>
      </c>
      <c r="L491" s="19" t="s">
        <v>1389</v>
      </c>
      <c r="M491" s="19" t="s">
        <v>1835</v>
      </c>
      <c r="N491" s="19">
        <v>1</v>
      </c>
      <c r="O491" s="19">
        <v>18000</v>
      </c>
      <c r="P491" s="19" t="s">
        <v>1835</v>
      </c>
      <c r="Q491" s="19">
        <v>21240</v>
      </c>
      <c r="R491" s="19">
        <v>9</v>
      </c>
      <c r="S491" s="19">
        <v>1620</v>
      </c>
      <c r="T491" s="19">
        <v>9</v>
      </c>
      <c r="U491" s="19">
        <v>1620</v>
      </c>
      <c r="V491" s="19">
        <v>0</v>
      </c>
      <c r="W491" s="19">
        <v>0</v>
      </c>
      <c r="X491" s="19">
        <v>0</v>
      </c>
      <c r="Y491" s="19">
        <v>3240</v>
      </c>
      <c r="Z491" s="19">
        <v>0</v>
      </c>
      <c r="AA491" s="19" t="s">
        <v>694</v>
      </c>
      <c r="AB491" s="19" t="s">
        <v>1555</v>
      </c>
      <c r="AC491" s="19">
        <v>84484990</v>
      </c>
      <c r="AD491" s="19" t="s">
        <v>1092</v>
      </c>
      <c r="AE491" s="19">
        <v>1</v>
      </c>
      <c r="AF491" s="19">
        <v>0</v>
      </c>
      <c r="AG491" s="19" t="s">
        <v>1093</v>
      </c>
      <c r="AH491" s="19" t="s">
        <v>2319</v>
      </c>
    </row>
    <row r="492" spans="2:34" hidden="1" x14ac:dyDescent="0.35">
      <c r="B492" s="76">
        <v>46222</v>
      </c>
      <c r="C492" s="19" t="s">
        <v>693</v>
      </c>
      <c r="D492" s="19" t="s">
        <v>126</v>
      </c>
      <c r="E492" s="19" t="s">
        <v>695</v>
      </c>
      <c r="F492" s="19" t="s">
        <v>118</v>
      </c>
      <c r="G492" s="19">
        <v>277</v>
      </c>
      <c r="H492" s="76">
        <v>46219</v>
      </c>
      <c r="I492" s="19" t="s">
        <v>105</v>
      </c>
      <c r="J492" s="19" t="s">
        <v>1579</v>
      </c>
      <c r="K492" s="19" t="s">
        <v>1127</v>
      </c>
      <c r="L492" s="19" t="s">
        <v>1389</v>
      </c>
      <c r="M492" s="19" t="s">
        <v>1836</v>
      </c>
      <c r="N492" s="19">
        <v>2</v>
      </c>
      <c r="O492" s="19">
        <v>3400</v>
      </c>
      <c r="P492" s="19" t="s">
        <v>1836</v>
      </c>
      <c r="Q492" s="19">
        <v>4012</v>
      </c>
      <c r="R492" s="19">
        <v>9</v>
      </c>
      <c r="S492" s="19">
        <v>306</v>
      </c>
      <c r="T492" s="19">
        <v>9</v>
      </c>
      <c r="U492" s="19">
        <v>306</v>
      </c>
      <c r="V492" s="19">
        <v>0</v>
      </c>
      <c r="W492" s="19">
        <v>0</v>
      </c>
      <c r="X492" s="19">
        <v>0</v>
      </c>
      <c r="Y492" s="19">
        <v>612</v>
      </c>
      <c r="Z492" s="19">
        <v>0</v>
      </c>
      <c r="AA492" s="19" t="s">
        <v>694</v>
      </c>
      <c r="AB492" s="19" t="s">
        <v>1572</v>
      </c>
      <c r="AC492" s="19">
        <v>844849</v>
      </c>
      <c r="AD492" s="19" t="s">
        <v>1092</v>
      </c>
      <c r="AE492" s="19">
        <v>1</v>
      </c>
      <c r="AF492" s="19">
        <v>0</v>
      </c>
      <c r="AG492" s="19" t="s">
        <v>1093</v>
      </c>
      <c r="AH492" s="19" t="s">
        <v>2319</v>
      </c>
    </row>
    <row r="493" spans="2:34" hidden="1" x14ac:dyDescent="0.35">
      <c r="B493" s="76">
        <v>46222</v>
      </c>
      <c r="C493" s="19" t="s">
        <v>374</v>
      </c>
      <c r="D493" s="19" t="s">
        <v>126</v>
      </c>
      <c r="E493" s="19" t="s">
        <v>699</v>
      </c>
      <c r="F493" s="19" t="s">
        <v>118</v>
      </c>
      <c r="G493" s="19" t="s">
        <v>700</v>
      </c>
      <c r="H493" s="76">
        <v>46220</v>
      </c>
      <c r="I493" s="19" t="s">
        <v>105</v>
      </c>
      <c r="J493" s="19" t="s">
        <v>1579</v>
      </c>
      <c r="K493" s="19" t="s">
        <v>1127</v>
      </c>
      <c r="L493" s="19" t="s">
        <v>1389</v>
      </c>
      <c r="M493" s="19" t="s">
        <v>1837</v>
      </c>
      <c r="N493" s="19">
        <v>50</v>
      </c>
      <c r="O493" s="19">
        <v>11250</v>
      </c>
      <c r="P493" s="19" t="s">
        <v>1837</v>
      </c>
      <c r="Q493" s="19">
        <v>13275</v>
      </c>
      <c r="R493" s="19">
        <v>9</v>
      </c>
      <c r="S493" s="19">
        <v>1012.5</v>
      </c>
      <c r="T493" s="19">
        <v>9</v>
      </c>
      <c r="U493" s="19">
        <v>1012.5</v>
      </c>
      <c r="V493" s="19">
        <v>0</v>
      </c>
      <c r="W493" s="19">
        <v>0</v>
      </c>
      <c r="X493" s="19">
        <v>0</v>
      </c>
      <c r="Y493" s="19">
        <v>2025</v>
      </c>
      <c r="Z493" s="19">
        <v>0</v>
      </c>
      <c r="AA493" s="19" t="s">
        <v>375</v>
      </c>
      <c r="AB493" s="19" t="s">
        <v>1555</v>
      </c>
      <c r="AC493" s="19">
        <v>84821011</v>
      </c>
      <c r="AD493" s="19" t="s">
        <v>1092</v>
      </c>
      <c r="AE493" s="19">
        <v>1</v>
      </c>
      <c r="AF493" s="19">
        <v>0</v>
      </c>
      <c r="AG493" s="19" t="s">
        <v>1093</v>
      </c>
      <c r="AH493" s="19" t="s">
        <v>2319</v>
      </c>
    </row>
    <row r="494" spans="2:34" hidden="1" x14ac:dyDescent="0.35">
      <c r="B494" s="76">
        <v>46222</v>
      </c>
      <c r="C494" s="19" t="s">
        <v>138</v>
      </c>
      <c r="D494" s="19" t="s">
        <v>7</v>
      </c>
      <c r="E494" s="19" t="s">
        <v>690</v>
      </c>
      <c r="F494" s="19" t="s">
        <v>119</v>
      </c>
      <c r="G494" s="19" t="s">
        <v>691</v>
      </c>
      <c r="H494" s="76">
        <v>46221</v>
      </c>
      <c r="I494" s="19" t="s">
        <v>105</v>
      </c>
      <c r="J494" s="19" t="s">
        <v>1142</v>
      </c>
      <c r="K494" s="19" t="s">
        <v>1509</v>
      </c>
      <c r="L494" s="19" t="s">
        <v>1509</v>
      </c>
      <c r="M494" s="19" t="s">
        <v>1196</v>
      </c>
      <c r="N494" s="19">
        <v>201</v>
      </c>
      <c r="O494" s="19">
        <v>9648</v>
      </c>
      <c r="P494" s="19" t="s">
        <v>1196</v>
      </c>
      <c r="Q494" s="19">
        <v>11374.99</v>
      </c>
      <c r="R494" s="19">
        <v>9</v>
      </c>
      <c r="S494" s="19">
        <v>868.32</v>
      </c>
      <c r="T494" s="19">
        <v>9</v>
      </c>
      <c r="U494" s="19">
        <v>868.32</v>
      </c>
      <c r="V494" s="19">
        <v>0</v>
      </c>
      <c r="W494" s="19">
        <v>0</v>
      </c>
      <c r="X494" s="19">
        <v>0</v>
      </c>
      <c r="Y494" s="19">
        <v>1736.64</v>
      </c>
      <c r="Z494" s="19">
        <v>0</v>
      </c>
      <c r="AA494" s="19" t="s">
        <v>135</v>
      </c>
      <c r="AB494" s="19" t="s">
        <v>1289</v>
      </c>
      <c r="AC494" s="19">
        <v>73063090</v>
      </c>
      <c r="AD494" s="19" t="s">
        <v>1092</v>
      </c>
      <c r="AE494" s="19">
        <v>1</v>
      </c>
      <c r="AF494" s="19">
        <v>0</v>
      </c>
      <c r="AG494" s="19" t="s">
        <v>1093</v>
      </c>
      <c r="AH494" s="19" t="s">
        <v>2319</v>
      </c>
    </row>
    <row r="495" spans="2:34" x14ac:dyDescent="0.35">
      <c r="B495" s="76">
        <v>46222</v>
      </c>
      <c r="C495" s="19" t="s">
        <v>138</v>
      </c>
      <c r="D495" s="19" t="s">
        <v>173</v>
      </c>
      <c r="E495" s="19" t="s">
        <v>709</v>
      </c>
      <c r="F495" s="19" t="s">
        <v>123</v>
      </c>
      <c r="G495" s="19" t="s">
        <v>710</v>
      </c>
      <c r="H495" s="76">
        <v>46221</v>
      </c>
      <c r="I495" s="19" t="s">
        <v>36</v>
      </c>
      <c r="J495" s="19" t="s">
        <v>1117</v>
      </c>
      <c r="K495" s="19" t="s">
        <v>44</v>
      </c>
      <c r="L495" s="19" t="s">
        <v>1118</v>
      </c>
      <c r="M495" s="19" t="s">
        <v>1119</v>
      </c>
      <c r="N495" s="19">
        <v>1349</v>
      </c>
      <c r="O495" s="19">
        <v>194917.01</v>
      </c>
      <c r="P495" s="19" t="s">
        <v>1119</v>
      </c>
      <c r="Q495" s="19">
        <v>1436795.28</v>
      </c>
      <c r="R495" s="19">
        <v>9</v>
      </c>
      <c r="S495" s="19">
        <v>17542.53</v>
      </c>
      <c r="T495" s="19">
        <v>9</v>
      </c>
      <c r="U495" s="19">
        <v>17542.53</v>
      </c>
      <c r="V495" s="19">
        <v>0</v>
      </c>
      <c r="W495" s="19">
        <v>0</v>
      </c>
      <c r="X495" s="19">
        <v>0</v>
      </c>
      <c r="Y495" s="19">
        <v>35085.06</v>
      </c>
      <c r="Z495" s="19">
        <v>0</v>
      </c>
      <c r="AA495" s="19" t="s">
        <v>135</v>
      </c>
      <c r="AB495" s="19" t="s">
        <v>1289</v>
      </c>
      <c r="AC495" s="19">
        <v>39269080</v>
      </c>
      <c r="AD495" s="19" t="s">
        <v>1092</v>
      </c>
      <c r="AE495" s="19">
        <v>1</v>
      </c>
      <c r="AF495" s="19">
        <v>1349</v>
      </c>
      <c r="AG495" s="19" t="s">
        <v>1093</v>
      </c>
      <c r="AH495" s="19" t="s">
        <v>44</v>
      </c>
    </row>
    <row r="496" spans="2:34" x14ac:dyDescent="0.35">
      <c r="B496" s="76">
        <v>46222</v>
      </c>
      <c r="C496" s="19" t="s">
        <v>138</v>
      </c>
      <c r="D496" s="19" t="s">
        <v>173</v>
      </c>
      <c r="E496" s="19" t="s">
        <v>709</v>
      </c>
      <c r="F496" s="19" t="s">
        <v>123</v>
      </c>
      <c r="G496" s="19" t="s">
        <v>710</v>
      </c>
      <c r="H496" s="76">
        <v>46221</v>
      </c>
      <c r="I496" s="19" t="s">
        <v>36</v>
      </c>
      <c r="J496" s="19" t="s">
        <v>1117</v>
      </c>
      <c r="K496" s="19" t="s">
        <v>44</v>
      </c>
      <c r="L496" s="19" t="s">
        <v>1118</v>
      </c>
      <c r="M496" s="19" t="s">
        <v>1119</v>
      </c>
      <c r="N496" s="19">
        <v>452</v>
      </c>
      <c r="O496" s="19">
        <v>66665.48</v>
      </c>
      <c r="P496" s="19" t="s">
        <v>1119</v>
      </c>
      <c r="Q496" s="19">
        <v>0</v>
      </c>
      <c r="R496" s="19">
        <v>9</v>
      </c>
      <c r="S496" s="19">
        <v>5999.89</v>
      </c>
      <c r="T496" s="19">
        <v>9</v>
      </c>
      <c r="U496" s="19">
        <v>5999.89</v>
      </c>
      <c r="V496" s="19">
        <v>0</v>
      </c>
      <c r="W496" s="19">
        <v>0</v>
      </c>
      <c r="X496" s="19">
        <v>0</v>
      </c>
      <c r="Y496" s="19">
        <v>11999.78</v>
      </c>
      <c r="Z496" s="19">
        <v>0</v>
      </c>
      <c r="AA496" s="19" t="s">
        <v>135</v>
      </c>
      <c r="AB496" s="19" t="s">
        <v>1289</v>
      </c>
      <c r="AC496" s="19">
        <v>39269080</v>
      </c>
      <c r="AD496" s="19" t="s">
        <v>1092</v>
      </c>
      <c r="AE496" s="19">
        <v>1</v>
      </c>
      <c r="AF496" s="19">
        <v>452</v>
      </c>
      <c r="AG496" s="19" t="s">
        <v>1093</v>
      </c>
      <c r="AH496" s="19" t="s">
        <v>44</v>
      </c>
    </row>
    <row r="497" spans="2:34" x14ac:dyDescent="0.35">
      <c r="B497" s="76">
        <v>46222</v>
      </c>
      <c r="C497" s="19" t="s">
        <v>138</v>
      </c>
      <c r="D497" s="19" t="s">
        <v>173</v>
      </c>
      <c r="E497" s="19" t="s">
        <v>709</v>
      </c>
      <c r="F497" s="19" t="s">
        <v>123</v>
      </c>
      <c r="G497" s="19" t="s">
        <v>710</v>
      </c>
      <c r="H497" s="76">
        <v>46221</v>
      </c>
      <c r="I497" s="19" t="s">
        <v>36</v>
      </c>
      <c r="J497" s="19" t="s">
        <v>1117</v>
      </c>
      <c r="K497" s="19" t="s">
        <v>44</v>
      </c>
      <c r="L497" s="19" t="s">
        <v>1118</v>
      </c>
      <c r="M497" s="19" t="s">
        <v>1119</v>
      </c>
      <c r="N497" s="19">
        <v>1348</v>
      </c>
      <c r="O497" s="19">
        <v>201512.52</v>
      </c>
      <c r="P497" s="19" t="s">
        <v>1119</v>
      </c>
      <c r="Q497" s="19">
        <v>0</v>
      </c>
      <c r="R497" s="19">
        <v>9</v>
      </c>
      <c r="S497" s="19">
        <v>18136.13</v>
      </c>
      <c r="T497" s="19">
        <v>9</v>
      </c>
      <c r="U497" s="19">
        <v>18136.13</v>
      </c>
      <c r="V497" s="19">
        <v>0</v>
      </c>
      <c r="W497" s="19">
        <v>0</v>
      </c>
      <c r="X497" s="19">
        <v>0</v>
      </c>
      <c r="Y497" s="19">
        <v>36272.26</v>
      </c>
      <c r="Z497" s="19">
        <v>0</v>
      </c>
      <c r="AA497" s="19" t="s">
        <v>135</v>
      </c>
      <c r="AB497" s="19" t="s">
        <v>1289</v>
      </c>
      <c r="AC497" s="19">
        <v>39269080</v>
      </c>
      <c r="AD497" s="19" t="s">
        <v>1092</v>
      </c>
      <c r="AE497" s="19">
        <v>1</v>
      </c>
      <c r="AF497" s="19">
        <v>1348</v>
      </c>
      <c r="AG497" s="19" t="s">
        <v>1093</v>
      </c>
      <c r="AH497" s="19" t="s">
        <v>44</v>
      </c>
    </row>
    <row r="498" spans="2:34" x14ac:dyDescent="0.35">
      <c r="B498" s="76">
        <v>46222</v>
      </c>
      <c r="C498" s="19" t="s">
        <v>138</v>
      </c>
      <c r="D498" s="19" t="s">
        <v>173</v>
      </c>
      <c r="E498" s="19" t="s">
        <v>709</v>
      </c>
      <c r="F498" s="19" t="s">
        <v>123</v>
      </c>
      <c r="G498" s="19" t="s">
        <v>710</v>
      </c>
      <c r="H498" s="76">
        <v>46221</v>
      </c>
      <c r="I498" s="19" t="s">
        <v>36</v>
      </c>
      <c r="J498" s="19" t="s">
        <v>1117</v>
      </c>
      <c r="K498" s="19" t="s">
        <v>42</v>
      </c>
      <c r="L498" s="19" t="s">
        <v>1242</v>
      </c>
      <c r="M498" s="19" t="s">
        <v>1154</v>
      </c>
      <c r="N498" s="19">
        <v>1992</v>
      </c>
      <c r="O498" s="19">
        <v>301768.08</v>
      </c>
      <c r="P498" s="19" t="s">
        <v>1154</v>
      </c>
      <c r="Q498" s="19">
        <v>0</v>
      </c>
      <c r="R498" s="19">
        <v>9</v>
      </c>
      <c r="S498" s="19">
        <v>27159.13</v>
      </c>
      <c r="T498" s="19">
        <v>9</v>
      </c>
      <c r="U498" s="19">
        <v>27159.13</v>
      </c>
      <c r="V498" s="19">
        <v>0</v>
      </c>
      <c r="W498" s="19">
        <v>0</v>
      </c>
      <c r="X498" s="19">
        <v>0</v>
      </c>
      <c r="Y498" s="19">
        <v>54318.26</v>
      </c>
      <c r="Z498" s="19">
        <v>0</v>
      </c>
      <c r="AA498" s="19" t="s">
        <v>135</v>
      </c>
      <c r="AB498" s="19" t="s">
        <v>1289</v>
      </c>
      <c r="AC498" s="19">
        <v>63053300</v>
      </c>
      <c r="AD498" s="19" t="s">
        <v>1092</v>
      </c>
      <c r="AE498" s="19">
        <v>1</v>
      </c>
      <c r="AF498" s="19">
        <v>1992</v>
      </c>
      <c r="AG498" s="19" t="s">
        <v>1093</v>
      </c>
      <c r="AH498" s="19" t="s">
        <v>42</v>
      </c>
    </row>
    <row r="499" spans="2:34" x14ac:dyDescent="0.35">
      <c r="B499" s="76">
        <v>46222</v>
      </c>
      <c r="C499" s="19" t="s">
        <v>138</v>
      </c>
      <c r="D499" s="19" t="s">
        <v>173</v>
      </c>
      <c r="E499" s="19" t="s">
        <v>709</v>
      </c>
      <c r="F499" s="19" t="s">
        <v>123</v>
      </c>
      <c r="G499" s="19" t="s">
        <v>710</v>
      </c>
      <c r="H499" s="76">
        <v>46221</v>
      </c>
      <c r="I499" s="19" t="s">
        <v>36</v>
      </c>
      <c r="J499" s="19" t="s">
        <v>1117</v>
      </c>
      <c r="K499" s="19" t="s">
        <v>42</v>
      </c>
      <c r="L499" s="19" t="s">
        <v>1242</v>
      </c>
      <c r="M499" s="19" t="s">
        <v>1154</v>
      </c>
      <c r="N499" s="19">
        <v>762</v>
      </c>
      <c r="O499" s="19">
        <v>117721.38</v>
      </c>
      <c r="P499" s="19" t="s">
        <v>1154</v>
      </c>
      <c r="Q499" s="19">
        <v>0</v>
      </c>
      <c r="R499" s="19">
        <v>9</v>
      </c>
      <c r="S499" s="19">
        <v>10594.92</v>
      </c>
      <c r="T499" s="19">
        <v>9</v>
      </c>
      <c r="U499" s="19">
        <v>10594.92</v>
      </c>
      <c r="V499" s="19">
        <v>0</v>
      </c>
      <c r="W499" s="19">
        <v>0</v>
      </c>
      <c r="X499" s="19">
        <v>0</v>
      </c>
      <c r="Y499" s="19">
        <v>21189.84</v>
      </c>
      <c r="Z499" s="19">
        <v>0</v>
      </c>
      <c r="AA499" s="19" t="s">
        <v>135</v>
      </c>
      <c r="AB499" s="19" t="s">
        <v>1289</v>
      </c>
      <c r="AC499" s="19">
        <v>63053300</v>
      </c>
      <c r="AD499" s="19" t="s">
        <v>1092</v>
      </c>
      <c r="AE499" s="19">
        <v>1</v>
      </c>
      <c r="AF499" s="19">
        <v>762</v>
      </c>
      <c r="AG499" s="19" t="s">
        <v>1093</v>
      </c>
      <c r="AH499" s="19" t="s">
        <v>42</v>
      </c>
    </row>
    <row r="500" spans="2:34" x14ac:dyDescent="0.35">
      <c r="B500" s="76">
        <v>46222</v>
      </c>
      <c r="C500" s="19" t="s">
        <v>138</v>
      </c>
      <c r="D500" s="19" t="s">
        <v>173</v>
      </c>
      <c r="E500" s="19" t="s">
        <v>709</v>
      </c>
      <c r="F500" s="19" t="s">
        <v>123</v>
      </c>
      <c r="G500" s="19" t="s">
        <v>710</v>
      </c>
      <c r="H500" s="76">
        <v>46221</v>
      </c>
      <c r="I500" s="19" t="s">
        <v>36</v>
      </c>
      <c r="J500" s="19" t="s">
        <v>1087</v>
      </c>
      <c r="K500" s="19" t="s">
        <v>46</v>
      </c>
      <c r="L500" s="19" t="s">
        <v>1213</v>
      </c>
      <c r="M500" s="19" t="s">
        <v>1782</v>
      </c>
      <c r="N500" s="19">
        <v>2413.6999999999998</v>
      </c>
      <c r="O500" s="19">
        <v>377719.913</v>
      </c>
      <c r="P500" s="19" t="s">
        <v>1782</v>
      </c>
      <c r="Q500" s="19">
        <v>0</v>
      </c>
      <c r="R500" s="19">
        <v>2.5</v>
      </c>
      <c r="S500" s="19">
        <v>9443</v>
      </c>
      <c r="T500" s="19">
        <v>2.5</v>
      </c>
      <c r="U500" s="19">
        <v>9443</v>
      </c>
      <c r="V500" s="19">
        <v>0</v>
      </c>
      <c r="W500" s="19">
        <v>0</v>
      </c>
      <c r="X500" s="19">
        <v>0</v>
      </c>
      <c r="Y500" s="19">
        <v>18886</v>
      </c>
      <c r="Z500" s="19">
        <v>0</v>
      </c>
      <c r="AA500" s="19" t="s">
        <v>135</v>
      </c>
      <c r="AB500" s="19" t="s">
        <v>1091</v>
      </c>
      <c r="AC500" s="19">
        <v>54026930</v>
      </c>
      <c r="AD500" s="19" t="s">
        <v>1092</v>
      </c>
      <c r="AE500" s="19">
        <v>1</v>
      </c>
      <c r="AF500" s="19">
        <v>2413.6999999999998</v>
      </c>
      <c r="AG500" s="19" t="s">
        <v>1093</v>
      </c>
      <c r="AH500" s="19" t="s">
        <v>46</v>
      </c>
    </row>
    <row r="501" spans="2:34" x14ac:dyDescent="0.35">
      <c r="B501" s="76">
        <v>46222</v>
      </c>
      <c r="C501" s="19" t="s">
        <v>138</v>
      </c>
      <c r="D501" s="19" t="s">
        <v>173</v>
      </c>
      <c r="E501" s="19" t="s">
        <v>711</v>
      </c>
      <c r="F501" s="19" t="s">
        <v>123</v>
      </c>
      <c r="G501" s="19" t="s">
        <v>712</v>
      </c>
      <c r="H501" s="76">
        <v>46221</v>
      </c>
      <c r="I501" s="19" t="s">
        <v>36</v>
      </c>
      <c r="J501" s="19" t="s">
        <v>1350</v>
      </c>
      <c r="K501" s="19" t="s">
        <v>39</v>
      </c>
      <c r="L501" s="19" t="s">
        <v>1351</v>
      </c>
      <c r="M501" s="19" t="s">
        <v>1352</v>
      </c>
      <c r="N501" s="19">
        <v>2313.5</v>
      </c>
      <c r="O501" s="19">
        <v>478385.53</v>
      </c>
      <c r="P501" s="19" t="s">
        <v>1352</v>
      </c>
      <c r="Q501" s="19">
        <v>656749.47</v>
      </c>
      <c r="R501" s="19">
        <v>9</v>
      </c>
      <c r="S501" s="19">
        <v>43054.7</v>
      </c>
      <c r="T501" s="19">
        <v>9</v>
      </c>
      <c r="U501" s="19">
        <v>43054.7</v>
      </c>
      <c r="V501" s="19">
        <v>0</v>
      </c>
      <c r="W501" s="19">
        <v>0</v>
      </c>
      <c r="X501" s="19">
        <v>0</v>
      </c>
      <c r="Y501" s="19">
        <v>86109.4</v>
      </c>
      <c r="Z501" s="19">
        <v>0</v>
      </c>
      <c r="AA501" s="19" t="s">
        <v>135</v>
      </c>
      <c r="AB501" s="19" t="s">
        <v>1289</v>
      </c>
      <c r="AC501" s="19">
        <v>39200000</v>
      </c>
      <c r="AD501" s="19" t="s">
        <v>1092</v>
      </c>
      <c r="AE501" s="19">
        <v>1</v>
      </c>
      <c r="AF501" s="19">
        <v>2313.5</v>
      </c>
      <c r="AG501" s="19" t="s">
        <v>1093</v>
      </c>
      <c r="AH501" s="19" t="s">
        <v>39</v>
      </c>
    </row>
    <row r="502" spans="2:34" x14ac:dyDescent="0.35">
      <c r="B502" s="76">
        <v>46222</v>
      </c>
      <c r="C502" s="19" t="s">
        <v>138</v>
      </c>
      <c r="D502" s="19" t="s">
        <v>173</v>
      </c>
      <c r="E502" s="19" t="s">
        <v>711</v>
      </c>
      <c r="F502" s="19" t="s">
        <v>123</v>
      </c>
      <c r="G502" s="19" t="s">
        <v>712</v>
      </c>
      <c r="H502" s="76">
        <v>46221</v>
      </c>
      <c r="I502" s="19" t="s">
        <v>36</v>
      </c>
      <c r="J502" s="19" t="s">
        <v>1350</v>
      </c>
      <c r="K502" s="19" t="s">
        <v>39</v>
      </c>
      <c r="L502" s="19" t="s">
        <v>1351</v>
      </c>
      <c r="M502" s="19" t="s">
        <v>1352</v>
      </c>
      <c r="N502" s="19">
        <v>329.3</v>
      </c>
      <c r="O502" s="19">
        <v>78037.513999999996</v>
      </c>
      <c r="P502" s="19" t="s">
        <v>1352</v>
      </c>
      <c r="Q502" s="19">
        <v>0</v>
      </c>
      <c r="R502" s="19">
        <v>9</v>
      </c>
      <c r="S502" s="19">
        <v>7023.38</v>
      </c>
      <c r="T502" s="19">
        <v>9</v>
      </c>
      <c r="U502" s="19">
        <v>7023.38</v>
      </c>
      <c r="V502" s="19">
        <v>0</v>
      </c>
      <c r="W502" s="19">
        <v>0</v>
      </c>
      <c r="X502" s="19">
        <v>0</v>
      </c>
      <c r="Y502" s="19">
        <v>14046.76</v>
      </c>
      <c r="Z502" s="19">
        <v>0</v>
      </c>
      <c r="AA502" s="19" t="s">
        <v>135</v>
      </c>
      <c r="AB502" s="19" t="s">
        <v>1289</v>
      </c>
      <c r="AC502" s="19">
        <v>39200000</v>
      </c>
      <c r="AD502" s="19" t="s">
        <v>1092</v>
      </c>
      <c r="AE502" s="19">
        <v>1</v>
      </c>
      <c r="AF502" s="19">
        <v>329.3</v>
      </c>
      <c r="AG502" s="19" t="s">
        <v>1093</v>
      </c>
      <c r="AH502" s="19" t="s">
        <v>39</v>
      </c>
    </row>
    <row r="503" spans="2:34" x14ac:dyDescent="0.35">
      <c r="B503" s="76">
        <v>46222</v>
      </c>
      <c r="C503" s="19" t="s">
        <v>138</v>
      </c>
      <c r="D503" s="19" t="s">
        <v>173</v>
      </c>
      <c r="E503" s="19" t="s">
        <v>711</v>
      </c>
      <c r="F503" s="19" t="s">
        <v>123</v>
      </c>
      <c r="G503" s="19" t="s">
        <v>712</v>
      </c>
      <c r="H503" s="76">
        <v>46221</v>
      </c>
      <c r="I503" s="19" t="s">
        <v>36</v>
      </c>
      <c r="J503" s="19" t="s">
        <v>1350</v>
      </c>
      <c r="K503" s="19" t="s">
        <v>39</v>
      </c>
      <c r="L503" s="19" t="s">
        <v>1351</v>
      </c>
      <c r="M503" s="19" t="s">
        <v>1352</v>
      </c>
      <c r="N503" s="19">
        <v>3.3</v>
      </c>
      <c r="O503" s="19">
        <v>616.37400000000002</v>
      </c>
      <c r="P503" s="19" t="s">
        <v>1352</v>
      </c>
      <c r="Q503" s="19">
        <v>0</v>
      </c>
      <c r="R503" s="19">
        <v>9</v>
      </c>
      <c r="S503" s="19">
        <v>55.47</v>
      </c>
      <c r="T503" s="19">
        <v>9</v>
      </c>
      <c r="U503" s="19">
        <v>55.47</v>
      </c>
      <c r="V503" s="19">
        <v>0</v>
      </c>
      <c r="W503" s="19">
        <v>0</v>
      </c>
      <c r="X503" s="19">
        <v>0</v>
      </c>
      <c r="Y503" s="19">
        <v>110.94</v>
      </c>
      <c r="Z503" s="19">
        <v>0</v>
      </c>
      <c r="AA503" s="19" t="s">
        <v>135</v>
      </c>
      <c r="AB503" s="19" t="s">
        <v>1289</v>
      </c>
      <c r="AC503" s="19">
        <v>39200000</v>
      </c>
      <c r="AD503" s="19" t="s">
        <v>1092</v>
      </c>
      <c r="AE503" s="19">
        <v>1</v>
      </c>
      <c r="AF503" s="19">
        <v>3.3</v>
      </c>
      <c r="AG503" s="19" t="s">
        <v>1093</v>
      </c>
      <c r="AH503" s="19" t="s">
        <v>39</v>
      </c>
    </row>
    <row r="504" spans="2:34" x14ac:dyDescent="0.35">
      <c r="B504" s="76">
        <v>46222</v>
      </c>
      <c r="C504" s="19" t="s">
        <v>134</v>
      </c>
      <c r="D504" s="19" t="s">
        <v>173</v>
      </c>
      <c r="E504" s="19" t="s">
        <v>707</v>
      </c>
      <c r="F504" s="19" t="s">
        <v>123</v>
      </c>
      <c r="G504" s="19" t="s">
        <v>708</v>
      </c>
      <c r="H504" s="76">
        <v>46221</v>
      </c>
      <c r="I504" s="19" t="s">
        <v>36</v>
      </c>
      <c r="J504" s="19" t="s">
        <v>1087</v>
      </c>
      <c r="K504" s="19" t="s">
        <v>46</v>
      </c>
      <c r="L504" s="19" t="s">
        <v>1240</v>
      </c>
      <c r="M504" s="19" t="s">
        <v>1241</v>
      </c>
      <c r="N504" s="19">
        <v>3448.96</v>
      </c>
      <c r="O504" s="19">
        <v>414220.09600000002</v>
      </c>
      <c r="P504" s="19" t="s">
        <v>1241</v>
      </c>
      <c r="Q504" s="19">
        <v>434516.88</v>
      </c>
      <c r="R504" s="19">
        <v>2.5</v>
      </c>
      <c r="S504" s="19">
        <v>10355.5</v>
      </c>
      <c r="T504" s="19">
        <v>2.5</v>
      </c>
      <c r="U504" s="19">
        <v>10355.5</v>
      </c>
      <c r="V504" s="19">
        <v>0</v>
      </c>
      <c r="W504" s="19">
        <v>0</v>
      </c>
      <c r="X504" s="19">
        <v>0</v>
      </c>
      <c r="Y504" s="19">
        <v>20711</v>
      </c>
      <c r="Z504" s="19">
        <v>0</v>
      </c>
      <c r="AA504" s="19" t="s">
        <v>135</v>
      </c>
      <c r="AB504" s="19" t="s">
        <v>1289</v>
      </c>
      <c r="AC504" s="19">
        <v>540263</v>
      </c>
      <c r="AD504" s="19" t="s">
        <v>1092</v>
      </c>
      <c r="AE504" s="19">
        <v>1</v>
      </c>
      <c r="AF504" s="19">
        <v>3448.96</v>
      </c>
      <c r="AG504" s="19" t="s">
        <v>1093</v>
      </c>
      <c r="AH504" s="19" t="s">
        <v>46</v>
      </c>
    </row>
    <row r="505" spans="2:34" hidden="1" x14ac:dyDescent="0.35">
      <c r="B505" s="76">
        <v>46222</v>
      </c>
      <c r="C505" s="19" t="s">
        <v>703</v>
      </c>
      <c r="D505" s="19" t="s">
        <v>126</v>
      </c>
      <c r="E505" s="19" t="s">
        <v>701</v>
      </c>
      <c r="F505" s="19" t="s">
        <v>118</v>
      </c>
      <c r="G505" s="19" t="s">
        <v>702</v>
      </c>
      <c r="H505" s="76">
        <v>46220</v>
      </c>
      <c r="I505" s="19" t="s">
        <v>105</v>
      </c>
      <c r="J505" s="19" t="s">
        <v>1611</v>
      </c>
      <c r="K505" s="19" t="s">
        <v>1127</v>
      </c>
      <c r="L505" s="19" t="s">
        <v>1389</v>
      </c>
      <c r="M505" s="19" t="s">
        <v>1838</v>
      </c>
      <c r="N505" s="19">
        <v>2000</v>
      </c>
      <c r="O505" s="19">
        <v>15000</v>
      </c>
      <c r="P505" s="19" t="s">
        <v>1838</v>
      </c>
      <c r="Q505" s="19">
        <v>17877</v>
      </c>
      <c r="R505" s="19">
        <v>9</v>
      </c>
      <c r="S505" s="19">
        <v>1350</v>
      </c>
      <c r="T505" s="19">
        <v>9</v>
      </c>
      <c r="U505" s="19">
        <v>1350</v>
      </c>
      <c r="V505" s="19">
        <v>0</v>
      </c>
      <c r="W505" s="19">
        <v>0</v>
      </c>
      <c r="X505" s="19">
        <v>27</v>
      </c>
      <c r="Y505" s="19">
        <v>2727</v>
      </c>
      <c r="Z505" s="19">
        <v>0</v>
      </c>
      <c r="AA505" s="19" t="s">
        <v>704</v>
      </c>
      <c r="AB505" s="19" t="s">
        <v>1555</v>
      </c>
      <c r="AC505" s="19">
        <v>844649</v>
      </c>
      <c r="AD505" s="19" t="s">
        <v>1092</v>
      </c>
      <c r="AE505" s="19">
        <v>1</v>
      </c>
      <c r="AF505" s="19">
        <v>0</v>
      </c>
      <c r="AG505" s="19" t="s">
        <v>1093</v>
      </c>
      <c r="AH505" s="19" t="s">
        <v>2319</v>
      </c>
    </row>
    <row r="506" spans="2:34" x14ac:dyDescent="0.35">
      <c r="B506" s="76">
        <v>46223</v>
      </c>
      <c r="C506" s="19" t="s">
        <v>717</v>
      </c>
      <c r="D506" s="19" t="s">
        <v>173</v>
      </c>
      <c r="E506" s="19" t="s">
        <v>715</v>
      </c>
      <c r="F506" s="19" t="s">
        <v>123</v>
      </c>
      <c r="G506" s="19" t="s">
        <v>716</v>
      </c>
      <c r="H506" s="76">
        <v>46222</v>
      </c>
      <c r="I506" s="19" t="s">
        <v>36</v>
      </c>
      <c r="J506" s="19" t="s">
        <v>1117</v>
      </c>
      <c r="K506" s="19" t="s">
        <v>38</v>
      </c>
      <c r="L506" s="19" t="s">
        <v>1118</v>
      </c>
      <c r="M506" s="19" t="s">
        <v>1839</v>
      </c>
      <c r="N506" s="19">
        <v>374.7</v>
      </c>
      <c r="O506" s="19">
        <v>77908.748099999997</v>
      </c>
      <c r="P506" s="19" t="s">
        <v>1839</v>
      </c>
      <c r="Q506" s="19">
        <v>185069</v>
      </c>
      <c r="R506" s="19">
        <v>2.5</v>
      </c>
      <c r="S506" s="19">
        <v>1947.72</v>
      </c>
      <c r="T506" s="19">
        <v>2.5</v>
      </c>
      <c r="U506" s="19">
        <v>1947.72</v>
      </c>
      <c r="V506" s="19">
        <v>0</v>
      </c>
      <c r="W506" s="19">
        <v>0</v>
      </c>
      <c r="X506" s="19">
        <v>0</v>
      </c>
      <c r="Y506" s="19">
        <v>3895.44</v>
      </c>
      <c r="Z506" s="19">
        <v>0</v>
      </c>
      <c r="AA506" s="19" t="s">
        <v>718</v>
      </c>
      <c r="AB506" s="19" t="s">
        <v>1289</v>
      </c>
      <c r="AC506" s="19">
        <v>60059000</v>
      </c>
      <c r="AD506" s="19" t="s">
        <v>1092</v>
      </c>
      <c r="AE506" s="19">
        <v>1</v>
      </c>
      <c r="AF506" s="19">
        <v>374.7</v>
      </c>
      <c r="AG506" s="19" t="s">
        <v>1093</v>
      </c>
      <c r="AH506" s="19" t="s">
        <v>38</v>
      </c>
    </row>
    <row r="507" spans="2:34" x14ac:dyDescent="0.35">
      <c r="B507" s="76">
        <v>46223</v>
      </c>
      <c r="C507" s="19" t="s">
        <v>717</v>
      </c>
      <c r="D507" s="19" t="s">
        <v>173</v>
      </c>
      <c r="E507" s="19" t="s">
        <v>715</v>
      </c>
      <c r="F507" s="19" t="s">
        <v>123</v>
      </c>
      <c r="G507" s="19" t="s">
        <v>716</v>
      </c>
      <c r="H507" s="76">
        <v>46222</v>
      </c>
      <c r="I507" s="19" t="s">
        <v>36</v>
      </c>
      <c r="J507" s="19" t="s">
        <v>1117</v>
      </c>
      <c r="K507" s="19" t="s">
        <v>38</v>
      </c>
      <c r="L507" s="19" t="s">
        <v>1118</v>
      </c>
      <c r="M507" s="19" t="s">
        <v>1839</v>
      </c>
      <c r="N507" s="19">
        <v>363</v>
      </c>
      <c r="O507" s="19">
        <v>75476.048999999999</v>
      </c>
      <c r="P507" s="19" t="s">
        <v>1839</v>
      </c>
      <c r="Q507" s="19">
        <v>0</v>
      </c>
      <c r="R507" s="19">
        <v>2.5</v>
      </c>
      <c r="S507" s="19">
        <v>1886.9</v>
      </c>
      <c r="T507" s="19">
        <v>2.5</v>
      </c>
      <c r="U507" s="19">
        <v>1886.9</v>
      </c>
      <c r="V507" s="19">
        <v>0</v>
      </c>
      <c r="W507" s="19">
        <v>0</v>
      </c>
      <c r="X507" s="19">
        <v>0</v>
      </c>
      <c r="Y507" s="19">
        <v>3773.8</v>
      </c>
      <c r="Z507" s="19">
        <v>0</v>
      </c>
      <c r="AA507" s="19" t="s">
        <v>718</v>
      </c>
      <c r="AB507" s="19" t="s">
        <v>1289</v>
      </c>
      <c r="AC507" s="19">
        <v>60059000</v>
      </c>
      <c r="AD507" s="19" t="s">
        <v>1092</v>
      </c>
      <c r="AE507" s="19">
        <v>1</v>
      </c>
      <c r="AF507" s="19">
        <v>363</v>
      </c>
      <c r="AG507" s="19" t="s">
        <v>1093</v>
      </c>
      <c r="AH507" s="19" t="s">
        <v>38</v>
      </c>
    </row>
    <row r="508" spans="2:34" x14ac:dyDescent="0.35">
      <c r="B508" s="76">
        <v>46223</v>
      </c>
      <c r="C508" s="19" t="s">
        <v>717</v>
      </c>
      <c r="D508" s="19" t="s">
        <v>173</v>
      </c>
      <c r="E508" s="19" t="s">
        <v>715</v>
      </c>
      <c r="F508" s="19" t="s">
        <v>123</v>
      </c>
      <c r="G508" s="19" t="s">
        <v>716</v>
      </c>
      <c r="H508" s="76">
        <v>46222</v>
      </c>
      <c r="I508" s="19" t="s">
        <v>36</v>
      </c>
      <c r="J508" s="19" t="s">
        <v>1117</v>
      </c>
      <c r="K508" s="19" t="s">
        <v>38</v>
      </c>
      <c r="L508" s="19" t="s">
        <v>1118</v>
      </c>
      <c r="M508" s="19" t="s">
        <v>1839</v>
      </c>
      <c r="N508" s="19">
        <v>110</v>
      </c>
      <c r="O508" s="19">
        <v>22871.53</v>
      </c>
      <c r="P508" s="19" t="s">
        <v>1839</v>
      </c>
      <c r="Q508" s="19">
        <v>0</v>
      </c>
      <c r="R508" s="19">
        <v>2.5</v>
      </c>
      <c r="S508" s="19">
        <v>571.79</v>
      </c>
      <c r="T508" s="19">
        <v>2.5</v>
      </c>
      <c r="U508" s="19">
        <v>571.79</v>
      </c>
      <c r="V508" s="19">
        <v>0</v>
      </c>
      <c r="W508" s="19">
        <v>0</v>
      </c>
      <c r="X508" s="19">
        <v>0</v>
      </c>
      <c r="Y508" s="19">
        <v>1143.58</v>
      </c>
      <c r="Z508" s="19">
        <v>0</v>
      </c>
      <c r="AA508" s="19" t="s">
        <v>718</v>
      </c>
      <c r="AB508" s="19" t="s">
        <v>1289</v>
      </c>
      <c r="AC508" s="19">
        <v>60059000</v>
      </c>
      <c r="AD508" s="19" t="s">
        <v>1092</v>
      </c>
      <c r="AE508" s="19">
        <v>1</v>
      </c>
      <c r="AF508" s="19">
        <v>110</v>
      </c>
      <c r="AG508" s="19" t="s">
        <v>1093</v>
      </c>
      <c r="AH508" s="19" t="s">
        <v>38</v>
      </c>
    </row>
    <row r="509" spans="2:34" x14ac:dyDescent="0.35">
      <c r="B509" s="76">
        <v>46223</v>
      </c>
      <c r="C509" s="19" t="s">
        <v>580</v>
      </c>
      <c r="D509" s="19" t="s">
        <v>173</v>
      </c>
      <c r="E509" s="19" t="s">
        <v>725</v>
      </c>
      <c r="F509" s="19" t="s">
        <v>123</v>
      </c>
      <c r="G509" s="19" t="s">
        <v>726</v>
      </c>
      <c r="H509" s="76">
        <v>46223</v>
      </c>
      <c r="I509" s="19" t="s">
        <v>28</v>
      </c>
      <c r="J509" s="19" t="s">
        <v>1173</v>
      </c>
      <c r="K509" s="19" t="s">
        <v>34</v>
      </c>
      <c r="L509" s="19" t="s">
        <v>1105</v>
      </c>
      <c r="M509" s="19" t="s">
        <v>1812</v>
      </c>
      <c r="N509" s="19">
        <v>27000</v>
      </c>
      <c r="O509" s="19">
        <v>3372300</v>
      </c>
      <c r="P509" s="19" t="s">
        <v>1812</v>
      </c>
      <c r="Q509" s="19">
        <v>3975941.7</v>
      </c>
      <c r="R509" s="19">
        <v>9</v>
      </c>
      <c r="S509" s="19">
        <v>303507</v>
      </c>
      <c r="T509" s="19">
        <v>9</v>
      </c>
      <c r="U509" s="19">
        <v>303507</v>
      </c>
      <c r="V509" s="19">
        <v>0</v>
      </c>
      <c r="W509" s="19">
        <v>0</v>
      </c>
      <c r="X509" s="19">
        <v>0</v>
      </c>
      <c r="Y509" s="19">
        <v>607014</v>
      </c>
      <c r="Z509" s="19">
        <v>0</v>
      </c>
      <c r="AA509" s="19" t="s">
        <v>581</v>
      </c>
      <c r="AB509" s="19" t="s">
        <v>1289</v>
      </c>
      <c r="AC509" s="19">
        <v>39021000</v>
      </c>
      <c r="AD509" s="19" t="s">
        <v>1092</v>
      </c>
      <c r="AE509" s="19">
        <v>1</v>
      </c>
      <c r="AF509" s="19">
        <v>27000</v>
      </c>
      <c r="AG509" s="19" t="s">
        <v>1093</v>
      </c>
      <c r="AH509" s="19" t="s">
        <v>34</v>
      </c>
    </row>
    <row r="510" spans="2:34" hidden="1" x14ac:dyDescent="0.35">
      <c r="B510" s="76">
        <v>46223</v>
      </c>
      <c r="C510" s="19" t="s">
        <v>178</v>
      </c>
      <c r="D510" s="19" t="s">
        <v>173</v>
      </c>
      <c r="E510" s="19" t="s">
        <v>723</v>
      </c>
      <c r="F510" s="19" t="s">
        <v>123</v>
      </c>
      <c r="G510" s="19" t="s">
        <v>724</v>
      </c>
      <c r="H510" s="76">
        <v>46223</v>
      </c>
      <c r="I510" s="19" t="s">
        <v>57</v>
      </c>
      <c r="J510" s="19" t="s">
        <v>29</v>
      </c>
      <c r="K510" s="19" t="s">
        <v>29</v>
      </c>
      <c r="L510" s="19" t="s">
        <v>1351</v>
      </c>
      <c r="M510" s="19" t="s">
        <v>1604</v>
      </c>
      <c r="N510" s="19">
        <v>138</v>
      </c>
      <c r="O510" s="19">
        <v>30565.62</v>
      </c>
      <c r="P510" s="19" t="s">
        <v>1604</v>
      </c>
      <c r="Q510" s="19">
        <v>1116294.3999999999</v>
      </c>
      <c r="R510" s="19">
        <v>9</v>
      </c>
      <c r="S510" s="19">
        <v>2750.91</v>
      </c>
      <c r="T510" s="19">
        <v>9</v>
      </c>
      <c r="U510" s="19">
        <v>2750.91</v>
      </c>
      <c r="V510" s="19">
        <v>0</v>
      </c>
      <c r="W510" s="19">
        <v>0</v>
      </c>
      <c r="X510" s="19">
        <v>0</v>
      </c>
      <c r="Y510" s="19">
        <v>5501.82</v>
      </c>
      <c r="Z510" s="19">
        <v>0</v>
      </c>
      <c r="AA510" s="19" t="s">
        <v>179</v>
      </c>
      <c r="AB510" s="19" t="s">
        <v>1555</v>
      </c>
      <c r="AC510" s="19">
        <v>58079010</v>
      </c>
      <c r="AD510" s="19" t="s">
        <v>1092</v>
      </c>
      <c r="AE510" s="19">
        <v>1</v>
      </c>
      <c r="AF510" s="19">
        <v>138</v>
      </c>
      <c r="AG510" s="19" t="s">
        <v>1093</v>
      </c>
      <c r="AH510" s="19" t="s">
        <v>2319</v>
      </c>
    </row>
    <row r="511" spans="2:34" hidden="1" x14ac:dyDescent="0.35">
      <c r="B511" s="76">
        <v>46223</v>
      </c>
      <c r="C511" s="19" t="s">
        <v>178</v>
      </c>
      <c r="D511" s="19" t="s">
        <v>173</v>
      </c>
      <c r="E511" s="19" t="s">
        <v>723</v>
      </c>
      <c r="F511" s="19" t="s">
        <v>123</v>
      </c>
      <c r="G511" s="19" t="s">
        <v>724</v>
      </c>
      <c r="H511" s="76">
        <v>46223</v>
      </c>
      <c r="I511" s="19" t="s">
        <v>57</v>
      </c>
      <c r="J511" s="19" t="s">
        <v>29</v>
      </c>
      <c r="K511" s="19" t="s">
        <v>29</v>
      </c>
      <c r="L511" s="19" t="s">
        <v>1351</v>
      </c>
      <c r="M511" s="19" t="s">
        <v>1604</v>
      </c>
      <c r="N511" s="19">
        <v>5855</v>
      </c>
      <c r="O511" s="19">
        <v>916248.95</v>
      </c>
      <c r="P511" s="19" t="s">
        <v>1604</v>
      </c>
      <c r="Q511" s="19">
        <v>0</v>
      </c>
      <c r="R511" s="19">
        <v>9</v>
      </c>
      <c r="S511" s="19">
        <v>82462.41</v>
      </c>
      <c r="T511" s="19">
        <v>9</v>
      </c>
      <c r="U511" s="19">
        <v>82462.41</v>
      </c>
      <c r="V511" s="19">
        <v>0</v>
      </c>
      <c r="W511" s="19">
        <v>0</v>
      </c>
      <c r="X511" s="19">
        <v>0</v>
      </c>
      <c r="Y511" s="19">
        <v>164924.82</v>
      </c>
      <c r="Z511" s="19">
        <v>0</v>
      </c>
      <c r="AA511" s="19" t="s">
        <v>179</v>
      </c>
      <c r="AB511" s="19" t="s">
        <v>1555</v>
      </c>
      <c r="AC511" s="19">
        <v>58079010</v>
      </c>
      <c r="AD511" s="19" t="s">
        <v>1092</v>
      </c>
      <c r="AE511" s="19">
        <v>1</v>
      </c>
      <c r="AF511" s="19">
        <v>5855</v>
      </c>
      <c r="AG511" s="19" t="s">
        <v>1093</v>
      </c>
      <c r="AH511" s="19" t="s">
        <v>2319</v>
      </c>
    </row>
    <row r="512" spans="2:34" hidden="1" x14ac:dyDescent="0.35">
      <c r="B512" s="76">
        <v>46223</v>
      </c>
      <c r="C512" s="19" t="s">
        <v>138</v>
      </c>
      <c r="D512" s="19" t="s">
        <v>7</v>
      </c>
      <c r="E512" s="19" t="s">
        <v>713</v>
      </c>
      <c r="F512" s="19" t="s">
        <v>119</v>
      </c>
      <c r="G512" s="19" t="s">
        <v>714</v>
      </c>
      <c r="H512" s="76">
        <v>46222</v>
      </c>
      <c r="I512" s="19" t="s">
        <v>105</v>
      </c>
      <c r="J512" s="19" t="s">
        <v>1142</v>
      </c>
      <c r="K512" s="19" t="s">
        <v>1509</v>
      </c>
      <c r="L512" s="19" t="s">
        <v>1509</v>
      </c>
      <c r="M512" s="19" t="s">
        <v>1196</v>
      </c>
      <c r="N512" s="19">
        <v>341</v>
      </c>
      <c r="O512" s="19">
        <v>16368</v>
      </c>
      <c r="P512" s="19" t="s">
        <v>1196</v>
      </c>
      <c r="Q512" s="19">
        <v>19297.87</v>
      </c>
      <c r="R512" s="19">
        <v>9</v>
      </c>
      <c r="S512" s="19">
        <v>1473.12</v>
      </c>
      <c r="T512" s="19">
        <v>9</v>
      </c>
      <c r="U512" s="19">
        <v>1473.12</v>
      </c>
      <c r="V512" s="19">
        <v>0</v>
      </c>
      <c r="W512" s="19">
        <v>0</v>
      </c>
      <c r="X512" s="19">
        <v>0</v>
      </c>
      <c r="Y512" s="19">
        <v>2946.24</v>
      </c>
      <c r="Z512" s="19">
        <v>0</v>
      </c>
      <c r="AA512" s="19" t="s">
        <v>135</v>
      </c>
      <c r="AB512" s="19" t="s">
        <v>1289</v>
      </c>
      <c r="AC512" s="19">
        <v>73063090</v>
      </c>
      <c r="AD512" s="19" t="s">
        <v>1092</v>
      </c>
      <c r="AE512" s="19">
        <v>1</v>
      </c>
      <c r="AF512" s="19">
        <v>341</v>
      </c>
      <c r="AG512" s="19" t="s">
        <v>1093</v>
      </c>
      <c r="AH512" s="19" t="s">
        <v>2319</v>
      </c>
    </row>
    <row r="513" spans="2:34" x14ac:dyDescent="0.35">
      <c r="B513" s="76">
        <v>46223</v>
      </c>
      <c r="C513" s="19" t="s">
        <v>138</v>
      </c>
      <c r="D513" s="19" t="s">
        <v>173</v>
      </c>
      <c r="E513" s="19" t="s">
        <v>719</v>
      </c>
      <c r="F513" s="19" t="s">
        <v>123</v>
      </c>
      <c r="G513" s="19" t="s">
        <v>720</v>
      </c>
      <c r="H513" s="76">
        <v>46223</v>
      </c>
      <c r="I513" s="19" t="s">
        <v>36</v>
      </c>
      <c r="J513" s="19" t="s">
        <v>1117</v>
      </c>
      <c r="K513" s="19" t="s">
        <v>44</v>
      </c>
      <c r="L513" s="19" t="s">
        <v>1118</v>
      </c>
      <c r="M513" s="19" t="s">
        <v>1119</v>
      </c>
      <c r="N513" s="19">
        <v>1030</v>
      </c>
      <c r="O513" s="19">
        <v>151914.70000000001</v>
      </c>
      <c r="P513" s="19" t="s">
        <v>1119</v>
      </c>
      <c r="Q513" s="19">
        <v>1803439.84</v>
      </c>
      <c r="R513" s="19">
        <v>9</v>
      </c>
      <c r="S513" s="19">
        <v>13672.32</v>
      </c>
      <c r="T513" s="19">
        <v>9</v>
      </c>
      <c r="U513" s="19">
        <v>13672.32</v>
      </c>
      <c r="V513" s="19">
        <v>0</v>
      </c>
      <c r="W513" s="19">
        <v>0</v>
      </c>
      <c r="X513" s="19">
        <v>0</v>
      </c>
      <c r="Y513" s="19">
        <v>27344.639999999999</v>
      </c>
      <c r="Z513" s="19">
        <v>0</v>
      </c>
      <c r="AA513" s="19" t="s">
        <v>135</v>
      </c>
      <c r="AB513" s="19" t="s">
        <v>1289</v>
      </c>
      <c r="AC513" s="19">
        <v>39269080</v>
      </c>
      <c r="AD513" s="19" t="s">
        <v>1092</v>
      </c>
      <c r="AE513" s="19">
        <v>1</v>
      </c>
      <c r="AF513" s="19">
        <f t="shared" ref="AF513:AF518" si="20">N513</f>
        <v>1030</v>
      </c>
      <c r="AG513" s="19" t="s">
        <v>1093</v>
      </c>
      <c r="AH513" s="19" t="s">
        <v>44</v>
      </c>
    </row>
    <row r="514" spans="2:34" x14ac:dyDescent="0.35">
      <c r="B514" s="76">
        <v>46223</v>
      </c>
      <c r="C514" s="19" t="s">
        <v>138</v>
      </c>
      <c r="D514" s="19" t="s">
        <v>173</v>
      </c>
      <c r="E514" s="19" t="s">
        <v>719</v>
      </c>
      <c r="F514" s="19" t="s">
        <v>123</v>
      </c>
      <c r="G514" s="19" t="s">
        <v>720</v>
      </c>
      <c r="H514" s="76">
        <v>46223</v>
      </c>
      <c r="I514" s="19" t="s">
        <v>36</v>
      </c>
      <c r="J514" s="19" t="s">
        <v>1117</v>
      </c>
      <c r="K514" s="19" t="s">
        <v>44</v>
      </c>
      <c r="L514" s="19" t="s">
        <v>1118</v>
      </c>
      <c r="M514" s="19" t="s">
        <v>1119</v>
      </c>
      <c r="N514" s="19">
        <v>2845</v>
      </c>
      <c r="O514" s="19">
        <v>411074.05</v>
      </c>
      <c r="P514" s="19" t="s">
        <v>1119</v>
      </c>
      <c r="Q514" s="19">
        <v>0</v>
      </c>
      <c r="R514" s="19">
        <v>9</v>
      </c>
      <c r="S514" s="19">
        <v>36996.660000000003</v>
      </c>
      <c r="T514" s="19">
        <v>9</v>
      </c>
      <c r="U514" s="19">
        <v>36996.660000000003</v>
      </c>
      <c r="V514" s="19">
        <v>0</v>
      </c>
      <c r="W514" s="19">
        <v>0</v>
      </c>
      <c r="X514" s="19">
        <v>0</v>
      </c>
      <c r="Y514" s="19">
        <v>73993.320000000007</v>
      </c>
      <c r="Z514" s="19">
        <v>0</v>
      </c>
      <c r="AA514" s="19" t="s">
        <v>135</v>
      </c>
      <c r="AB514" s="19" t="s">
        <v>1289</v>
      </c>
      <c r="AC514" s="19">
        <v>39269080</v>
      </c>
      <c r="AD514" s="19" t="s">
        <v>1092</v>
      </c>
      <c r="AE514" s="19">
        <v>1</v>
      </c>
      <c r="AF514" s="19">
        <f t="shared" si="20"/>
        <v>2845</v>
      </c>
      <c r="AG514" s="19" t="s">
        <v>1093</v>
      </c>
      <c r="AH514" s="19" t="s">
        <v>44</v>
      </c>
    </row>
    <row r="515" spans="2:34" x14ac:dyDescent="0.35">
      <c r="B515" s="76">
        <v>46223</v>
      </c>
      <c r="C515" s="19" t="s">
        <v>138</v>
      </c>
      <c r="D515" s="19" t="s">
        <v>173</v>
      </c>
      <c r="E515" s="19" t="s">
        <v>719</v>
      </c>
      <c r="F515" s="19" t="s">
        <v>123</v>
      </c>
      <c r="G515" s="19" t="s">
        <v>720</v>
      </c>
      <c r="H515" s="76">
        <v>46223</v>
      </c>
      <c r="I515" s="19" t="s">
        <v>36</v>
      </c>
      <c r="J515" s="19" t="s">
        <v>1117</v>
      </c>
      <c r="K515" s="19" t="s">
        <v>44</v>
      </c>
      <c r="L515" s="19" t="s">
        <v>1118</v>
      </c>
      <c r="M515" s="19" t="s">
        <v>1119</v>
      </c>
      <c r="N515" s="19">
        <v>1919</v>
      </c>
      <c r="O515" s="19">
        <v>292628.31</v>
      </c>
      <c r="P515" s="19" t="s">
        <v>1119</v>
      </c>
      <c r="Q515" s="19">
        <v>0</v>
      </c>
      <c r="R515" s="19">
        <v>9</v>
      </c>
      <c r="S515" s="19">
        <v>26336.55</v>
      </c>
      <c r="T515" s="19">
        <v>9</v>
      </c>
      <c r="U515" s="19">
        <v>26336.55</v>
      </c>
      <c r="V515" s="19">
        <v>0</v>
      </c>
      <c r="W515" s="19">
        <v>0</v>
      </c>
      <c r="X515" s="19">
        <v>0</v>
      </c>
      <c r="Y515" s="19">
        <v>52673.1</v>
      </c>
      <c r="Z515" s="19">
        <v>0</v>
      </c>
      <c r="AA515" s="19" t="s">
        <v>135</v>
      </c>
      <c r="AB515" s="19" t="s">
        <v>1289</v>
      </c>
      <c r="AC515" s="19">
        <v>39269080</v>
      </c>
      <c r="AD515" s="19" t="s">
        <v>1092</v>
      </c>
      <c r="AE515" s="19">
        <v>1</v>
      </c>
      <c r="AF515" s="19">
        <f t="shared" si="20"/>
        <v>1919</v>
      </c>
      <c r="AG515" s="19" t="s">
        <v>1093</v>
      </c>
      <c r="AH515" s="19" t="s">
        <v>44</v>
      </c>
    </row>
    <row r="516" spans="2:34" x14ac:dyDescent="0.35">
      <c r="B516" s="76">
        <v>46223</v>
      </c>
      <c r="C516" s="19" t="s">
        <v>138</v>
      </c>
      <c r="D516" s="19" t="s">
        <v>173</v>
      </c>
      <c r="E516" s="19" t="s">
        <v>719</v>
      </c>
      <c r="F516" s="19" t="s">
        <v>123</v>
      </c>
      <c r="G516" s="19" t="s">
        <v>720</v>
      </c>
      <c r="H516" s="76">
        <v>46223</v>
      </c>
      <c r="I516" s="19" t="s">
        <v>36</v>
      </c>
      <c r="J516" s="19" t="s">
        <v>1117</v>
      </c>
      <c r="K516" s="19" t="s">
        <v>44</v>
      </c>
      <c r="L516" s="19" t="s">
        <v>1118</v>
      </c>
      <c r="M516" s="19" t="s">
        <v>1119</v>
      </c>
      <c r="N516" s="19">
        <v>3086</v>
      </c>
      <c r="O516" s="19">
        <v>461326.14</v>
      </c>
      <c r="P516" s="19" t="s">
        <v>1119</v>
      </c>
      <c r="Q516" s="19">
        <v>0</v>
      </c>
      <c r="R516" s="19">
        <v>9</v>
      </c>
      <c r="S516" s="19">
        <v>41519.35</v>
      </c>
      <c r="T516" s="19">
        <v>9</v>
      </c>
      <c r="U516" s="19">
        <v>41519.35</v>
      </c>
      <c r="V516" s="19">
        <v>0</v>
      </c>
      <c r="W516" s="19">
        <v>0</v>
      </c>
      <c r="X516" s="19">
        <v>0</v>
      </c>
      <c r="Y516" s="19">
        <v>83038.7</v>
      </c>
      <c r="Z516" s="19">
        <v>0</v>
      </c>
      <c r="AA516" s="19" t="s">
        <v>135</v>
      </c>
      <c r="AB516" s="19" t="s">
        <v>1289</v>
      </c>
      <c r="AC516" s="19">
        <v>39269080</v>
      </c>
      <c r="AD516" s="19" t="s">
        <v>1092</v>
      </c>
      <c r="AE516" s="19">
        <v>1</v>
      </c>
      <c r="AF516" s="19">
        <f t="shared" si="20"/>
        <v>3086</v>
      </c>
      <c r="AG516" s="19" t="s">
        <v>1093</v>
      </c>
      <c r="AH516" s="19" t="s">
        <v>44</v>
      </c>
    </row>
    <row r="517" spans="2:34" x14ac:dyDescent="0.35">
      <c r="B517" s="76">
        <v>46223</v>
      </c>
      <c r="C517" s="19" t="s">
        <v>138</v>
      </c>
      <c r="D517" s="19" t="s">
        <v>173</v>
      </c>
      <c r="E517" s="19" t="s">
        <v>719</v>
      </c>
      <c r="F517" s="19" t="s">
        <v>123</v>
      </c>
      <c r="G517" s="19" t="s">
        <v>720</v>
      </c>
      <c r="H517" s="76">
        <v>46223</v>
      </c>
      <c r="I517" s="19" t="s">
        <v>36</v>
      </c>
      <c r="J517" s="19" t="s">
        <v>1117</v>
      </c>
      <c r="K517" s="19" t="s">
        <v>42</v>
      </c>
      <c r="L517" s="19" t="s">
        <v>1242</v>
      </c>
      <c r="M517" s="19" t="s">
        <v>1154</v>
      </c>
      <c r="N517" s="19">
        <v>1404</v>
      </c>
      <c r="O517" s="19">
        <v>212691.96</v>
      </c>
      <c r="P517" s="19" t="s">
        <v>1154</v>
      </c>
      <c r="Q517" s="19">
        <v>0</v>
      </c>
      <c r="R517" s="19">
        <v>9</v>
      </c>
      <c r="S517" s="19">
        <v>19142.28</v>
      </c>
      <c r="T517" s="19">
        <v>9</v>
      </c>
      <c r="U517" s="19">
        <v>19142.28</v>
      </c>
      <c r="V517" s="19">
        <v>0</v>
      </c>
      <c r="W517" s="19">
        <v>0</v>
      </c>
      <c r="X517" s="19">
        <v>0</v>
      </c>
      <c r="Y517" s="19">
        <v>38284.559999999998</v>
      </c>
      <c r="Z517" s="19">
        <v>0</v>
      </c>
      <c r="AA517" s="19" t="s">
        <v>135</v>
      </c>
      <c r="AB517" s="19" t="s">
        <v>1289</v>
      </c>
      <c r="AC517" s="19">
        <v>63053300</v>
      </c>
      <c r="AD517" s="19" t="s">
        <v>1092</v>
      </c>
      <c r="AE517" s="19">
        <v>1</v>
      </c>
      <c r="AF517" s="19">
        <f t="shared" si="20"/>
        <v>1404</v>
      </c>
      <c r="AG517" s="19" t="s">
        <v>1093</v>
      </c>
      <c r="AH517" s="19" t="s">
        <v>42</v>
      </c>
    </row>
    <row r="518" spans="2:34" x14ac:dyDescent="0.35">
      <c r="B518" s="76">
        <v>46223</v>
      </c>
      <c r="C518" s="19" t="s">
        <v>138</v>
      </c>
      <c r="D518" s="19" t="s">
        <v>173</v>
      </c>
      <c r="E518" s="19" t="s">
        <v>721</v>
      </c>
      <c r="F518" s="19" t="s">
        <v>123</v>
      </c>
      <c r="G518" s="19" t="s">
        <v>722</v>
      </c>
      <c r="H518" s="76">
        <v>46223</v>
      </c>
      <c r="I518" s="19" t="s">
        <v>36</v>
      </c>
      <c r="J518" s="19" t="s">
        <v>1117</v>
      </c>
      <c r="K518" s="19" t="s">
        <v>44</v>
      </c>
      <c r="L518" s="19" t="s">
        <v>1118</v>
      </c>
      <c r="M518" s="19" t="s">
        <v>1119</v>
      </c>
      <c r="N518" s="19">
        <v>311</v>
      </c>
      <c r="O518" s="19">
        <v>122845</v>
      </c>
      <c r="P518" s="19" t="s">
        <v>1119</v>
      </c>
      <c r="Q518" s="19">
        <v>144834.16</v>
      </c>
      <c r="R518" s="19">
        <v>9</v>
      </c>
      <c r="S518" s="19">
        <v>11056.05</v>
      </c>
      <c r="T518" s="19">
        <v>9</v>
      </c>
      <c r="U518" s="19">
        <v>11056.05</v>
      </c>
      <c r="V518" s="19">
        <v>0</v>
      </c>
      <c r="W518" s="19">
        <v>0</v>
      </c>
      <c r="X518" s="19">
        <v>0</v>
      </c>
      <c r="Y518" s="19">
        <v>22112.1</v>
      </c>
      <c r="Z518" s="19">
        <v>0</v>
      </c>
      <c r="AA518" s="19" t="s">
        <v>135</v>
      </c>
      <c r="AB518" s="19" t="s">
        <v>1289</v>
      </c>
      <c r="AC518" s="19">
        <v>39269080</v>
      </c>
      <c r="AD518" s="19" t="s">
        <v>1092</v>
      </c>
      <c r="AE518" s="19">
        <v>1</v>
      </c>
      <c r="AF518" s="19">
        <f t="shared" si="20"/>
        <v>311</v>
      </c>
      <c r="AG518" s="19" t="s">
        <v>1093</v>
      </c>
      <c r="AH518" s="19" t="s">
        <v>44</v>
      </c>
    </row>
    <row r="519" spans="2:34" hidden="1" x14ac:dyDescent="0.35">
      <c r="B519" s="76">
        <v>46224</v>
      </c>
      <c r="C519" s="19" t="s">
        <v>737</v>
      </c>
      <c r="D519" s="19" t="s">
        <v>126</v>
      </c>
      <c r="E519" s="19" t="s">
        <v>736</v>
      </c>
      <c r="F519" s="19" t="s">
        <v>118</v>
      </c>
      <c r="G519" s="19">
        <v>829</v>
      </c>
      <c r="H519" s="76">
        <v>46224</v>
      </c>
      <c r="I519" s="19" t="s">
        <v>102</v>
      </c>
      <c r="J519" s="19" t="s">
        <v>1840</v>
      </c>
      <c r="K519" s="19" t="s">
        <v>1276</v>
      </c>
      <c r="L519" s="19" t="s">
        <v>1276</v>
      </c>
      <c r="M519" s="19" t="s">
        <v>1841</v>
      </c>
      <c r="N519" s="19">
        <v>1000</v>
      </c>
      <c r="O519" s="19">
        <v>16500</v>
      </c>
      <c r="P519" s="19" t="s">
        <v>1841</v>
      </c>
      <c r="Q519" s="19">
        <v>18585</v>
      </c>
      <c r="R519" s="19">
        <v>2.5</v>
      </c>
      <c r="S519" s="19">
        <v>412.5</v>
      </c>
      <c r="T519" s="19">
        <v>2.5</v>
      </c>
      <c r="U519" s="19">
        <v>412.5</v>
      </c>
      <c r="V519" s="19">
        <v>0</v>
      </c>
      <c r="W519" s="19">
        <v>0</v>
      </c>
      <c r="X519" s="19">
        <v>60</v>
      </c>
      <c r="Y519" s="19">
        <v>885</v>
      </c>
      <c r="Z519" s="19">
        <v>0</v>
      </c>
      <c r="AA519" s="19" t="s">
        <v>738</v>
      </c>
      <c r="AB519" s="19" t="s">
        <v>1289</v>
      </c>
      <c r="AC519" s="19">
        <v>631090</v>
      </c>
      <c r="AD519" s="19" t="s">
        <v>1092</v>
      </c>
      <c r="AE519" s="19">
        <v>1</v>
      </c>
      <c r="AF519" s="19">
        <v>0</v>
      </c>
      <c r="AG519" s="19" t="s">
        <v>1093</v>
      </c>
      <c r="AH519" s="19" t="s">
        <v>2319</v>
      </c>
    </row>
    <row r="520" spans="2:34" hidden="1" x14ac:dyDescent="0.35">
      <c r="B520" s="76">
        <v>46224</v>
      </c>
      <c r="C520" s="19" t="s">
        <v>757</v>
      </c>
      <c r="D520" s="19" t="s">
        <v>126</v>
      </c>
      <c r="E520" s="19" t="s">
        <v>755</v>
      </c>
      <c r="F520" s="19" t="s">
        <v>118</v>
      </c>
      <c r="G520" s="19" t="s">
        <v>756</v>
      </c>
      <c r="H520" s="76">
        <v>46224</v>
      </c>
      <c r="I520" s="19" t="s">
        <v>105</v>
      </c>
      <c r="J520" s="19" t="s">
        <v>1842</v>
      </c>
      <c r="K520" s="19" t="s">
        <v>1127</v>
      </c>
      <c r="L520" s="19" t="s">
        <v>1389</v>
      </c>
      <c r="M520" s="19" t="s">
        <v>1843</v>
      </c>
      <c r="N520" s="19">
        <v>1</v>
      </c>
      <c r="O520" s="19">
        <v>13748</v>
      </c>
      <c r="P520" s="19" t="s">
        <v>1843</v>
      </c>
      <c r="Q520" s="19">
        <v>43284</v>
      </c>
      <c r="R520" s="19">
        <v>9</v>
      </c>
      <c r="S520" s="19">
        <v>1237.32</v>
      </c>
      <c r="T520" s="19">
        <v>9</v>
      </c>
      <c r="U520" s="19">
        <v>1237.32</v>
      </c>
      <c r="V520" s="19">
        <v>0</v>
      </c>
      <c r="W520" s="19">
        <v>0</v>
      </c>
      <c r="X520" s="19">
        <v>0</v>
      </c>
      <c r="Y520" s="19">
        <v>2474.64</v>
      </c>
      <c r="Z520" s="19">
        <v>0</v>
      </c>
      <c r="AA520" s="19" t="s">
        <v>758</v>
      </c>
      <c r="AB520" s="19" t="s">
        <v>1555</v>
      </c>
      <c r="AC520" s="19">
        <v>39269099</v>
      </c>
      <c r="AD520" s="19" t="s">
        <v>1092</v>
      </c>
      <c r="AE520" s="19">
        <v>1</v>
      </c>
      <c r="AF520" s="19">
        <v>0</v>
      </c>
      <c r="AG520" s="19" t="s">
        <v>1093</v>
      </c>
      <c r="AH520" s="19" t="s">
        <v>2319</v>
      </c>
    </row>
    <row r="521" spans="2:34" hidden="1" x14ac:dyDescent="0.35">
      <c r="B521" s="76">
        <v>46224</v>
      </c>
      <c r="C521" s="19" t="s">
        <v>757</v>
      </c>
      <c r="D521" s="19" t="s">
        <v>126</v>
      </c>
      <c r="E521" s="19" t="s">
        <v>755</v>
      </c>
      <c r="F521" s="19" t="s">
        <v>118</v>
      </c>
      <c r="G521" s="19" t="s">
        <v>756</v>
      </c>
      <c r="H521" s="76">
        <v>46224</v>
      </c>
      <c r="I521" s="19" t="s">
        <v>105</v>
      </c>
      <c r="J521" s="19" t="s">
        <v>1844</v>
      </c>
      <c r="K521" s="19" t="s">
        <v>1127</v>
      </c>
      <c r="L521" s="19" t="s">
        <v>1389</v>
      </c>
      <c r="M521" s="19" t="s">
        <v>1845</v>
      </c>
      <c r="N521" s="19">
        <v>1</v>
      </c>
      <c r="O521" s="19">
        <v>2448</v>
      </c>
      <c r="P521" s="19" t="s">
        <v>1845</v>
      </c>
      <c r="Q521" s="19">
        <v>0</v>
      </c>
      <c r="R521" s="19">
        <v>9</v>
      </c>
      <c r="S521" s="19">
        <v>220.32</v>
      </c>
      <c r="T521" s="19">
        <v>9</v>
      </c>
      <c r="U521" s="19">
        <v>220.32</v>
      </c>
      <c r="V521" s="19">
        <v>0</v>
      </c>
      <c r="W521" s="19">
        <v>0</v>
      </c>
      <c r="X521" s="19">
        <v>0</v>
      </c>
      <c r="Y521" s="19">
        <v>440.64</v>
      </c>
      <c r="Z521" s="19">
        <v>0</v>
      </c>
      <c r="AA521" s="19" t="s">
        <v>758</v>
      </c>
      <c r="AB521" s="19" t="s">
        <v>1555</v>
      </c>
      <c r="AC521" s="19">
        <v>90309010</v>
      </c>
      <c r="AD521" s="19" t="s">
        <v>1092</v>
      </c>
      <c r="AE521" s="19">
        <v>1</v>
      </c>
      <c r="AF521" s="19">
        <v>0</v>
      </c>
      <c r="AG521" s="19" t="s">
        <v>1093</v>
      </c>
      <c r="AH521" s="19" t="s">
        <v>2319</v>
      </c>
    </row>
    <row r="522" spans="2:34" hidden="1" x14ac:dyDescent="0.35">
      <c r="B522" s="76">
        <v>46224</v>
      </c>
      <c r="C522" s="19" t="s">
        <v>757</v>
      </c>
      <c r="D522" s="19" t="s">
        <v>126</v>
      </c>
      <c r="E522" s="19" t="s">
        <v>755</v>
      </c>
      <c r="F522" s="19" t="s">
        <v>118</v>
      </c>
      <c r="G522" s="19" t="s">
        <v>756</v>
      </c>
      <c r="H522" s="76">
        <v>46224</v>
      </c>
      <c r="I522" s="19" t="s">
        <v>102</v>
      </c>
      <c r="J522" s="19" t="s">
        <v>1790</v>
      </c>
      <c r="K522" s="19" t="s">
        <v>1127</v>
      </c>
      <c r="L522" s="19" t="s">
        <v>1389</v>
      </c>
      <c r="M522" s="19" t="s">
        <v>1846</v>
      </c>
      <c r="N522" s="19">
        <v>1</v>
      </c>
      <c r="O522" s="19">
        <v>9952</v>
      </c>
      <c r="P522" s="19" t="s">
        <v>1846</v>
      </c>
      <c r="Q522" s="19">
        <v>0</v>
      </c>
      <c r="R522" s="19">
        <v>9</v>
      </c>
      <c r="S522" s="19">
        <v>895.68</v>
      </c>
      <c r="T522" s="19">
        <v>9</v>
      </c>
      <c r="U522" s="19">
        <v>895.68</v>
      </c>
      <c r="V522" s="19">
        <v>0</v>
      </c>
      <c r="W522" s="19">
        <v>0</v>
      </c>
      <c r="X522" s="19">
        <v>0</v>
      </c>
      <c r="Y522" s="19">
        <v>1791.36</v>
      </c>
      <c r="Z522" s="19">
        <v>0</v>
      </c>
      <c r="AA522" s="19" t="s">
        <v>758</v>
      </c>
      <c r="AB522" s="19" t="s">
        <v>1555</v>
      </c>
      <c r="AC522" s="19">
        <v>39269099</v>
      </c>
      <c r="AD522" s="19" t="s">
        <v>1092</v>
      </c>
      <c r="AE522" s="19">
        <v>1</v>
      </c>
      <c r="AF522" s="19">
        <v>0</v>
      </c>
      <c r="AG522" s="19" t="s">
        <v>1093</v>
      </c>
      <c r="AH522" s="19" t="s">
        <v>2319</v>
      </c>
    </row>
    <row r="523" spans="2:34" hidden="1" x14ac:dyDescent="0.35">
      <c r="B523" s="76">
        <v>46224</v>
      </c>
      <c r="C523" s="19" t="s">
        <v>757</v>
      </c>
      <c r="D523" s="19" t="s">
        <v>126</v>
      </c>
      <c r="E523" s="19" t="s">
        <v>755</v>
      </c>
      <c r="F523" s="19" t="s">
        <v>118</v>
      </c>
      <c r="G523" s="19" t="s">
        <v>756</v>
      </c>
      <c r="H523" s="76">
        <v>46224</v>
      </c>
      <c r="I523" s="19" t="s">
        <v>105</v>
      </c>
      <c r="J523" s="19" t="s">
        <v>1847</v>
      </c>
      <c r="K523" s="19" t="s">
        <v>1127</v>
      </c>
      <c r="L523" s="19" t="s">
        <v>1389</v>
      </c>
      <c r="M523" s="19" t="s">
        <v>1848</v>
      </c>
      <c r="N523" s="19">
        <v>2</v>
      </c>
      <c r="O523" s="19">
        <v>1172</v>
      </c>
      <c r="P523" s="19" t="s">
        <v>1848</v>
      </c>
      <c r="Q523" s="19">
        <v>0</v>
      </c>
      <c r="R523" s="19">
        <v>9</v>
      </c>
      <c r="S523" s="19">
        <v>105.48</v>
      </c>
      <c r="T523" s="19">
        <v>9</v>
      </c>
      <c r="U523" s="19">
        <v>105.48</v>
      </c>
      <c r="V523" s="19">
        <v>0</v>
      </c>
      <c r="W523" s="19">
        <v>0</v>
      </c>
      <c r="X523" s="19">
        <v>0</v>
      </c>
      <c r="Y523" s="19">
        <v>210.96</v>
      </c>
      <c r="Z523" s="19">
        <v>0</v>
      </c>
      <c r="AA523" s="19" t="s">
        <v>758</v>
      </c>
      <c r="AB523" s="19" t="s">
        <v>1555</v>
      </c>
      <c r="AC523" s="19">
        <v>39269099</v>
      </c>
      <c r="AD523" s="19" t="s">
        <v>1092</v>
      </c>
      <c r="AE523" s="19">
        <v>1</v>
      </c>
      <c r="AF523" s="19">
        <v>0</v>
      </c>
      <c r="AG523" s="19" t="s">
        <v>1093</v>
      </c>
      <c r="AH523" s="19" t="s">
        <v>2319</v>
      </c>
    </row>
    <row r="524" spans="2:34" hidden="1" x14ac:dyDescent="0.35">
      <c r="B524" s="76">
        <v>46224</v>
      </c>
      <c r="C524" s="19" t="s">
        <v>757</v>
      </c>
      <c r="D524" s="19" t="s">
        <v>126</v>
      </c>
      <c r="E524" s="19" t="s">
        <v>755</v>
      </c>
      <c r="F524" s="19" t="s">
        <v>118</v>
      </c>
      <c r="G524" s="19" t="s">
        <v>756</v>
      </c>
      <c r="H524" s="76">
        <v>46224</v>
      </c>
      <c r="I524" s="19" t="s">
        <v>105</v>
      </c>
      <c r="J524" s="19" t="s">
        <v>1842</v>
      </c>
      <c r="K524" s="19" t="s">
        <v>1127</v>
      </c>
      <c r="L524" s="19" t="s">
        <v>1389</v>
      </c>
      <c r="M524" s="19" t="s">
        <v>1849</v>
      </c>
      <c r="N524" s="19">
        <v>1</v>
      </c>
      <c r="O524" s="19">
        <v>6351</v>
      </c>
      <c r="P524" s="19" t="s">
        <v>1849</v>
      </c>
      <c r="Q524" s="19">
        <v>0</v>
      </c>
      <c r="R524" s="19">
        <v>9</v>
      </c>
      <c r="S524" s="19">
        <v>842.49</v>
      </c>
      <c r="T524" s="19">
        <v>9</v>
      </c>
      <c r="U524" s="19">
        <v>842.49</v>
      </c>
      <c r="V524" s="19">
        <v>0</v>
      </c>
      <c r="W524" s="19">
        <v>0</v>
      </c>
      <c r="X524" s="19">
        <v>0</v>
      </c>
      <c r="Y524" s="19">
        <v>1684.98</v>
      </c>
      <c r="Z524" s="19">
        <v>0</v>
      </c>
      <c r="AA524" s="19" t="s">
        <v>758</v>
      </c>
      <c r="AB524" s="19" t="s">
        <v>1555</v>
      </c>
      <c r="AC524" s="19">
        <v>40094200</v>
      </c>
      <c r="AD524" s="19" t="s">
        <v>1092</v>
      </c>
      <c r="AE524" s="19">
        <v>1</v>
      </c>
      <c r="AF524" s="19">
        <v>0</v>
      </c>
      <c r="AG524" s="19" t="s">
        <v>1093</v>
      </c>
      <c r="AH524" s="19" t="s">
        <v>2319</v>
      </c>
    </row>
    <row r="525" spans="2:34" hidden="1" x14ac:dyDescent="0.35">
      <c r="B525" s="76">
        <v>46224</v>
      </c>
      <c r="C525" s="19" t="s">
        <v>733</v>
      </c>
      <c r="D525" s="19" t="s">
        <v>126</v>
      </c>
      <c r="E525" s="19" t="s">
        <v>731</v>
      </c>
      <c r="F525" s="19" t="s">
        <v>118</v>
      </c>
      <c r="G525" s="19" t="s">
        <v>732</v>
      </c>
      <c r="H525" s="76">
        <v>46220</v>
      </c>
      <c r="I525" s="19" t="s">
        <v>102</v>
      </c>
      <c r="J525" s="19" t="s">
        <v>102</v>
      </c>
      <c r="K525" s="19" t="s">
        <v>1127</v>
      </c>
      <c r="L525" s="19" t="s">
        <v>102</v>
      </c>
      <c r="M525" s="19" t="s">
        <v>1850</v>
      </c>
      <c r="N525" s="19">
        <v>1</v>
      </c>
      <c r="O525" s="19">
        <v>200</v>
      </c>
      <c r="P525" s="19" t="s">
        <v>1850</v>
      </c>
      <c r="Q525" s="19">
        <v>472</v>
      </c>
      <c r="R525" s="19">
        <v>9</v>
      </c>
      <c r="S525" s="19">
        <v>18</v>
      </c>
      <c r="T525" s="19">
        <v>9</v>
      </c>
      <c r="U525" s="19">
        <v>18</v>
      </c>
      <c r="V525" s="19">
        <v>0</v>
      </c>
      <c r="W525" s="19">
        <v>0</v>
      </c>
      <c r="X525" s="19">
        <v>0</v>
      </c>
      <c r="Y525" s="19">
        <v>36</v>
      </c>
      <c r="Z525" s="19">
        <v>0</v>
      </c>
      <c r="AA525" s="19" t="s">
        <v>734</v>
      </c>
      <c r="AB525" s="19" t="s">
        <v>1555</v>
      </c>
      <c r="AC525" s="19">
        <v>29022000</v>
      </c>
      <c r="AD525" s="19" t="s">
        <v>1092</v>
      </c>
      <c r="AE525" s="19">
        <v>1</v>
      </c>
      <c r="AF525" s="19">
        <v>0</v>
      </c>
      <c r="AG525" s="19" t="s">
        <v>1093</v>
      </c>
      <c r="AH525" s="19" t="s">
        <v>2319</v>
      </c>
    </row>
    <row r="526" spans="2:34" hidden="1" x14ac:dyDescent="0.35">
      <c r="B526" s="76">
        <v>46224</v>
      </c>
      <c r="C526" s="19" t="s">
        <v>733</v>
      </c>
      <c r="D526" s="19" t="s">
        <v>126</v>
      </c>
      <c r="E526" s="19" t="s">
        <v>731</v>
      </c>
      <c r="F526" s="19" t="s">
        <v>118</v>
      </c>
      <c r="G526" s="19" t="s">
        <v>732</v>
      </c>
      <c r="H526" s="76">
        <v>46220</v>
      </c>
      <c r="I526" s="19" t="s">
        <v>102</v>
      </c>
      <c r="J526" s="19" t="s">
        <v>102</v>
      </c>
      <c r="K526" s="19" t="s">
        <v>1127</v>
      </c>
      <c r="L526" s="19" t="s">
        <v>102</v>
      </c>
      <c r="M526" s="19" t="s">
        <v>1850</v>
      </c>
      <c r="N526" s="19">
        <v>1</v>
      </c>
      <c r="O526" s="19">
        <v>200</v>
      </c>
      <c r="P526" s="19" t="s">
        <v>1850</v>
      </c>
      <c r="Q526" s="19">
        <v>0</v>
      </c>
      <c r="R526" s="19">
        <v>9</v>
      </c>
      <c r="S526" s="19">
        <v>18</v>
      </c>
      <c r="T526" s="19">
        <v>9</v>
      </c>
      <c r="U526" s="19">
        <v>18</v>
      </c>
      <c r="V526" s="19">
        <v>0</v>
      </c>
      <c r="W526" s="19">
        <v>0</v>
      </c>
      <c r="X526" s="19">
        <v>0</v>
      </c>
      <c r="Y526" s="19">
        <v>36</v>
      </c>
      <c r="Z526" s="19">
        <v>0</v>
      </c>
      <c r="AA526" s="19" t="s">
        <v>734</v>
      </c>
      <c r="AB526" s="19" t="s">
        <v>1555</v>
      </c>
      <c r="AC526" s="19">
        <v>29022000</v>
      </c>
      <c r="AD526" s="19" t="s">
        <v>1092</v>
      </c>
      <c r="AE526" s="19">
        <v>1</v>
      </c>
      <c r="AF526" s="19">
        <v>0</v>
      </c>
      <c r="AG526" s="19" t="s">
        <v>1093</v>
      </c>
      <c r="AH526" s="19" t="s">
        <v>2319</v>
      </c>
    </row>
    <row r="527" spans="2:34" hidden="1" x14ac:dyDescent="0.35">
      <c r="B527" s="76">
        <v>46224</v>
      </c>
      <c r="C527" s="19" t="s">
        <v>515</v>
      </c>
      <c r="D527" s="19" t="s">
        <v>126</v>
      </c>
      <c r="E527" s="19" t="s">
        <v>729</v>
      </c>
      <c r="F527" s="19" t="s">
        <v>121</v>
      </c>
      <c r="G527" s="19" t="s">
        <v>730</v>
      </c>
      <c r="H527" s="76">
        <v>46217</v>
      </c>
      <c r="I527" s="19" t="s">
        <v>57</v>
      </c>
      <c r="J527" s="19" t="s">
        <v>29</v>
      </c>
      <c r="K527" s="19" t="s">
        <v>29</v>
      </c>
      <c r="L527" s="19" t="s">
        <v>102</v>
      </c>
      <c r="M527" s="19" t="s">
        <v>1604</v>
      </c>
      <c r="N527" s="19">
        <v>1310</v>
      </c>
      <c r="O527" s="19">
        <v>2096</v>
      </c>
      <c r="P527" s="19" t="s">
        <v>1604</v>
      </c>
      <c r="Q527" s="19">
        <v>92446</v>
      </c>
      <c r="R527" s="19">
        <v>9</v>
      </c>
      <c r="S527" s="19">
        <v>0</v>
      </c>
      <c r="T527" s="19">
        <v>9</v>
      </c>
      <c r="U527" s="19">
        <v>0</v>
      </c>
      <c r="V527" s="19">
        <v>0</v>
      </c>
      <c r="W527" s="19">
        <v>377.28</v>
      </c>
      <c r="X527" s="19">
        <v>0</v>
      </c>
      <c r="Y527" s="19">
        <v>377.28</v>
      </c>
      <c r="Z527" s="19">
        <v>0</v>
      </c>
      <c r="AA527" s="19" t="s">
        <v>516</v>
      </c>
      <c r="AB527" s="19" t="s">
        <v>1555</v>
      </c>
      <c r="AC527" s="19">
        <v>58079010</v>
      </c>
      <c r="AD527" s="19" t="s">
        <v>1092</v>
      </c>
      <c r="AE527" s="19">
        <v>1</v>
      </c>
      <c r="AF527" s="19">
        <v>1.9</v>
      </c>
      <c r="AG527" s="19" t="s">
        <v>1093</v>
      </c>
      <c r="AH527" s="19" t="s">
        <v>2319</v>
      </c>
    </row>
    <row r="528" spans="2:34" hidden="1" x14ac:dyDescent="0.35">
      <c r="B528" s="76">
        <v>46224</v>
      </c>
      <c r="C528" s="19" t="s">
        <v>515</v>
      </c>
      <c r="D528" s="19" t="s">
        <v>126</v>
      </c>
      <c r="E528" s="19" t="s">
        <v>729</v>
      </c>
      <c r="F528" s="19" t="s">
        <v>121</v>
      </c>
      <c r="G528" s="19" t="s">
        <v>730</v>
      </c>
      <c r="H528" s="76">
        <v>46217</v>
      </c>
      <c r="I528" s="19" t="s">
        <v>57</v>
      </c>
      <c r="J528" s="19" t="s">
        <v>29</v>
      </c>
      <c r="K528" s="19" t="s">
        <v>29</v>
      </c>
      <c r="L528" s="19" t="s">
        <v>102</v>
      </c>
      <c r="M528" s="19" t="s">
        <v>1604</v>
      </c>
      <c r="N528" s="19">
        <v>1310</v>
      </c>
      <c r="O528" s="19">
        <v>3406</v>
      </c>
      <c r="P528" s="19" t="s">
        <v>1604</v>
      </c>
      <c r="Q528" s="19">
        <v>0</v>
      </c>
      <c r="R528" s="19">
        <v>9</v>
      </c>
      <c r="S528" s="19">
        <v>0</v>
      </c>
      <c r="T528" s="19">
        <v>9</v>
      </c>
      <c r="U528" s="19">
        <v>0</v>
      </c>
      <c r="V528" s="19">
        <v>0</v>
      </c>
      <c r="W528" s="19">
        <v>613.08000000000004</v>
      </c>
      <c r="X528" s="19">
        <v>0</v>
      </c>
      <c r="Y528" s="19">
        <v>613.08000000000004</v>
      </c>
      <c r="Z528" s="19">
        <v>0</v>
      </c>
      <c r="AA528" s="19" t="s">
        <v>516</v>
      </c>
      <c r="AB528" s="19" t="s">
        <v>1555</v>
      </c>
      <c r="AC528" s="19">
        <v>58079010</v>
      </c>
      <c r="AD528" s="19" t="s">
        <v>1092</v>
      </c>
      <c r="AE528" s="19">
        <v>1</v>
      </c>
      <c r="AF528" s="19">
        <v>1.9</v>
      </c>
      <c r="AG528" s="19" t="s">
        <v>1093</v>
      </c>
      <c r="AH528" s="19" t="s">
        <v>2319</v>
      </c>
    </row>
    <row r="529" spans="2:34" hidden="1" x14ac:dyDescent="0.35">
      <c r="B529" s="76">
        <v>46224</v>
      </c>
      <c r="C529" s="19" t="s">
        <v>515</v>
      </c>
      <c r="D529" s="19" t="s">
        <v>126</v>
      </c>
      <c r="E529" s="19" t="s">
        <v>729</v>
      </c>
      <c r="F529" s="19" t="s">
        <v>121</v>
      </c>
      <c r="G529" s="19" t="s">
        <v>730</v>
      </c>
      <c r="H529" s="76">
        <v>46217</v>
      </c>
      <c r="I529" s="19" t="s">
        <v>57</v>
      </c>
      <c r="J529" s="19" t="s">
        <v>29</v>
      </c>
      <c r="K529" s="19" t="s">
        <v>29</v>
      </c>
      <c r="L529" s="19" t="s">
        <v>102</v>
      </c>
      <c r="M529" s="19" t="s">
        <v>1604</v>
      </c>
      <c r="N529" s="19">
        <v>12600</v>
      </c>
      <c r="O529" s="19">
        <v>54180</v>
      </c>
      <c r="P529" s="19" t="s">
        <v>1604</v>
      </c>
      <c r="Q529" s="19">
        <v>0</v>
      </c>
      <c r="R529" s="19">
        <v>9</v>
      </c>
      <c r="S529" s="19">
        <v>0</v>
      </c>
      <c r="T529" s="19">
        <v>9</v>
      </c>
      <c r="U529" s="19">
        <v>0</v>
      </c>
      <c r="V529" s="19">
        <v>0</v>
      </c>
      <c r="W529" s="19">
        <v>9752.4</v>
      </c>
      <c r="X529" s="19">
        <v>0</v>
      </c>
      <c r="Y529" s="19">
        <v>9752.4</v>
      </c>
      <c r="Z529" s="19">
        <v>0</v>
      </c>
      <c r="AA529" s="19" t="s">
        <v>516</v>
      </c>
      <c r="AB529" s="19" t="s">
        <v>1555</v>
      </c>
      <c r="AC529" s="19">
        <v>58079010</v>
      </c>
      <c r="AD529" s="19" t="s">
        <v>1092</v>
      </c>
      <c r="AE529" s="19">
        <v>1</v>
      </c>
      <c r="AF529" s="19">
        <v>18.899999999999999</v>
      </c>
      <c r="AG529" s="19" t="s">
        <v>1093</v>
      </c>
      <c r="AH529" s="19" t="s">
        <v>2319</v>
      </c>
    </row>
    <row r="530" spans="2:34" hidden="1" x14ac:dyDescent="0.35">
      <c r="B530" s="76">
        <v>46224</v>
      </c>
      <c r="C530" s="19" t="s">
        <v>515</v>
      </c>
      <c r="D530" s="19" t="s">
        <v>126</v>
      </c>
      <c r="E530" s="19" t="s">
        <v>729</v>
      </c>
      <c r="F530" s="19" t="s">
        <v>121</v>
      </c>
      <c r="G530" s="19" t="s">
        <v>730</v>
      </c>
      <c r="H530" s="76">
        <v>46217</v>
      </c>
      <c r="I530" s="19" t="s">
        <v>57</v>
      </c>
      <c r="J530" s="19" t="s">
        <v>29</v>
      </c>
      <c r="K530" s="19" t="s">
        <v>29</v>
      </c>
      <c r="L530" s="19" t="s">
        <v>102</v>
      </c>
      <c r="M530" s="19" t="s">
        <v>1604</v>
      </c>
      <c r="N530" s="19">
        <v>2370</v>
      </c>
      <c r="O530" s="19">
        <v>10191</v>
      </c>
      <c r="P530" s="19" t="s">
        <v>1604</v>
      </c>
      <c r="Q530" s="19">
        <v>0</v>
      </c>
      <c r="R530" s="19">
        <v>9</v>
      </c>
      <c r="S530" s="19">
        <v>0</v>
      </c>
      <c r="T530" s="19">
        <v>9</v>
      </c>
      <c r="U530" s="19">
        <v>0</v>
      </c>
      <c r="V530" s="19">
        <v>0</v>
      </c>
      <c r="W530" s="19">
        <v>1834.38</v>
      </c>
      <c r="X530" s="19">
        <v>0</v>
      </c>
      <c r="Y530" s="19">
        <v>1834.38</v>
      </c>
      <c r="Z530" s="19">
        <v>0</v>
      </c>
      <c r="AA530" s="19" t="s">
        <v>516</v>
      </c>
      <c r="AB530" s="19" t="s">
        <v>1555</v>
      </c>
      <c r="AC530" s="19">
        <v>58079010</v>
      </c>
      <c r="AD530" s="19" t="s">
        <v>1092</v>
      </c>
      <c r="AE530" s="19">
        <v>1</v>
      </c>
      <c r="AF530" s="19">
        <v>3.5</v>
      </c>
      <c r="AG530" s="19" t="s">
        <v>1093</v>
      </c>
      <c r="AH530" s="19" t="s">
        <v>2319</v>
      </c>
    </row>
    <row r="531" spans="2:34" hidden="1" x14ac:dyDescent="0.35">
      <c r="B531" s="76">
        <v>46224</v>
      </c>
      <c r="C531" s="19" t="s">
        <v>515</v>
      </c>
      <c r="D531" s="19" t="s">
        <v>126</v>
      </c>
      <c r="E531" s="19" t="s">
        <v>729</v>
      </c>
      <c r="F531" s="19" t="s">
        <v>121</v>
      </c>
      <c r="G531" s="19" t="s">
        <v>730</v>
      </c>
      <c r="H531" s="76">
        <v>46217</v>
      </c>
      <c r="I531" s="19" t="s">
        <v>57</v>
      </c>
      <c r="J531" s="19" t="s">
        <v>29</v>
      </c>
      <c r="K531" s="19" t="s">
        <v>29</v>
      </c>
      <c r="L531" s="19" t="s">
        <v>102</v>
      </c>
      <c r="M531" s="19" t="s">
        <v>1604</v>
      </c>
      <c r="N531" s="19">
        <v>1970</v>
      </c>
      <c r="O531" s="19">
        <v>8471</v>
      </c>
      <c r="P531" s="19" t="s">
        <v>1604</v>
      </c>
      <c r="Q531" s="19">
        <v>0</v>
      </c>
      <c r="R531" s="19">
        <v>9</v>
      </c>
      <c r="S531" s="19">
        <v>0</v>
      </c>
      <c r="T531" s="19">
        <v>9</v>
      </c>
      <c r="U531" s="19">
        <v>0</v>
      </c>
      <c r="V531" s="19">
        <v>0</v>
      </c>
      <c r="W531" s="19">
        <v>1524.78</v>
      </c>
      <c r="X531" s="19">
        <v>0</v>
      </c>
      <c r="Y531" s="19">
        <v>1524.78</v>
      </c>
      <c r="Z531" s="19">
        <v>0</v>
      </c>
      <c r="AA531" s="19" t="s">
        <v>516</v>
      </c>
      <c r="AB531" s="19" t="s">
        <v>1555</v>
      </c>
      <c r="AC531" s="19">
        <v>58079010</v>
      </c>
      <c r="AD531" s="19" t="s">
        <v>1092</v>
      </c>
      <c r="AE531" s="19">
        <v>1</v>
      </c>
      <c r="AF531" s="19">
        <v>2.9</v>
      </c>
      <c r="AG531" s="19" t="s">
        <v>1093</v>
      </c>
      <c r="AH531" s="19" t="s">
        <v>2319</v>
      </c>
    </row>
    <row r="532" spans="2:34" hidden="1" x14ac:dyDescent="0.35">
      <c r="B532" s="76">
        <v>46224</v>
      </c>
      <c r="C532" s="19" t="s">
        <v>535</v>
      </c>
      <c r="D532" s="19" t="s">
        <v>126</v>
      </c>
      <c r="E532" s="19" t="s">
        <v>753</v>
      </c>
      <c r="F532" s="19" t="s">
        <v>118</v>
      </c>
      <c r="G532" s="19">
        <v>2663</v>
      </c>
      <c r="H532" s="76">
        <v>46222</v>
      </c>
      <c r="I532" s="19" t="s">
        <v>103</v>
      </c>
      <c r="J532" s="19" t="s">
        <v>1765</v>
      </c>
      <c r="K532" s="19" t="s">
        <v>1127</v>
      </c>
      <c r="L532" s="19" t="s">
        <v>1389</v>
      </c>
      <c r="M532" s="19" t="s">
        <v>1851</v>
      </c>
      <c r="N532" s="19">
        <v>5</v>
      </c>
      <c r="O532" s="19">
        <v>125</v>
      </c>
      <c r="P532" s="19" t="s">
        <v>1851</v>
      </c>
      <c r="Q532" s="19">
        <v>1108</v>
      </c>
      <c r="R532" s="19">
        <v>9</v>
      </c>
      <c r="S532" s="19">
        <v>11.25</v>
      </c>
      <c r="T532" s="19">
        <v>9</v>
      </c>
      <c r="U532" s="19">
        <v>11.25</v>
      </c>
      <c r="V532" s="19">
        <v>0</v>
      </c>
      <c r="W532" s="19">
        <v>0</v>
      </c>
      <c r="X532" s="19">
        <v>0</v>
      </c>
      <c r="Y532" s="19">
        <v>22.5</v>
      </c>
      <c r="Z532" s="19">
        <v>0</v>
      </c>
      <c r="AA532" s="19" t="s">
        <v>536</v>
      </c>
      <c r="AB532" s="19" t="s">
        <v>1555</v>
      </c>
      <c r="AC532" s="19">
        <v>96039000</v>
      </c>
      <c r="AD532" s="19" t="s">
        <v>1092</v>
      </c>
      <c r="AE532" s="19">
        <v>1</v>
      </c>
      <c r="AF532" s="19">
        <v>0</v>
      </c>
      <c r="AG532" s="19" t="s">
        <v>1093</v>
      </c>
      <c r="AH532" s="19" t="s">
        <v>2319</v>
      </c>
    </row>
    <row r="533" spans="2:34" hidden="1" x14ac:dyDescent="0.35">
      <c r="B533" s="76">
        <v>46224</v>
      </c>
      <c r="C533" s="19" t="s">
        <v>535</v>
      </c>
      <c r="D533" s="19" t="s">
        <v>126</v>
      </c>
      <c r="E533" s="19" t="s">
        <v>753</v>
      </c>
      <c r="F533" s="19" t="s">
        <v>118</v>
      </c>
      <c r="G533" s="19">
        <v>2663</v>
      </c>
      <c r="H533" s="76">
        <v>46222</v>
      </c>
      <c r="I533" s="19" t="s">
        <v>105</v>
      </c>
      <c r="J533" s="19" t="s">
        <v>1586</v>
      </c>
      <c r="K533" s="19" t="s">
        <v>1127</v>
      </c>
      <c r="L533" s="19" t="s">
        <v>1389</v>
      </c>
      <c r="M533" s="19" t="s">
        <v>1852</v>
      </c>
      <c r="N533" s="19">
        <v>1</v>
      </c>
      <c r="O533" s="19">
        <v>114</v>
      </c>
      <c r="P533" s="19" t="s">
        <v>1852</v>
      </c>
      <c r="Q533" s="19">
        <v>0</v>
      </c>
      <c r="R533" s="19">
        <v>9</v>
      </c>
      <c r="S533" s="19">
        <v>10.26</v>
      </c>
      <c r="T533" s="19">
        <v>9</v>
      </c>
      <c r="U533" s="19">
        <v>10.26</v>
      </c>
      <c r="V533" s="19">
        <v>0</v>
      </c>
      <c r="W533" s="19">
        <v>0</v>
      </c>
      <c r="X533" s="19">
        <v>0</v>
      </c>
      <c r="Y533" s="19">
        <v>20.52</v>
      </c>
      <c r="Z533" s="19">
        <v>0</v>
      </c>
      <c r="AA533" s="19" t="s">
        <v>536</v>
      </c>
      <c r="AB533" s="19" t="s">
        <v>1555</v>
      </c>
      <c r="AC533" s="19">
        <v>8302411</v>
      </c>
      <c r="AD533" s="19" t="s">
        <v>1092</v>
      </c>
      <c r="AE533" s="19">
        <v>1</v>
      </c>
      <c r="AF533" s="19">
        <v>0</v>
      </c>
      <c r="AG533" s="19" t="s">
        <v>1093</v>
      </c>
      <c r="AH533" s="19" t="s">
        <v>2319</v>
      </c>
    </row>
    <row r="534" spans="2:34" hidden="1" x14ac:dyDescent="0.35">
      <c r="B534" s="76">
        <v>46224</v>
      </c>
      <c r="C534" s="19" t="s">
        <v>535</v>
      </c>
      <c r="D534" s="19" t="s">
        <v>126</v>
      </c>
      <c r="E534" s="19" t="s">
        <v>753</v>
      </c>
      <c r="F534" s="19" t="s">
        <v>118</v>
      </c>
      <c r="G534" s="19">
        <v>2663</v>
      </c>
      <c r="H534" s="76">
        <v>46222</v>
      </c>
      <c r="I534" s="19" t="s">
        <v>105</v>
      </c>
      <c r="J534" s="19" t="s">
        <v>1586</v>
      </c>
      <c r="K534" s="19" t="s">
        <v>1127</v>
      </c>
      <c r="L534" s="19" t="s">
        <v>1389</v>
      </c>
      <c r="M534" s="19" t="s">
        <v>1853</v>
      </c>
      <c r="N534" s="19">
        <v>5</v>
      </c>
      <c r="O534" s="19">
        <v>700</v>
      </c>
      <c r="P534" s="19" t="s">
        <v>1853</v>
      </c>
      <c r="Q534" s="19">
        <v>0</v>
      </c>
      <c r="R534" s="19">
        <v>9</v>
      </c>
      <c r="S534" s="19">
        <v>63</v>
      </c>
      <c r="T534" s="19">
        <v>9</v>
      </c>
      <c r="U534" s="19">
        <v>63</v>
      </c>
      <c r="V534" s="19">
        <v>0</v>
      </c>
      <c r="W534" s="19">
        <v>0</v>
      </c>
      <c r="X534" s="19">
        <v>0</v>
      </c>
      <c r="Y534" s="19">
        <v>126</v>
      </c>
      <c r="Z534" s="19">
        <v>0</v>
      </c>
      <c r="AA534" s="19" t="s">
        <v>536</v>
      </c>
      <c r="AB534" s="19" t="s">
        <v>1555</v>
      </c>
      <c r="AC534" s="19">
        <v>391740</v>
      </c>
      <c r="AD534" s="19" t="s">
        <v>1092</v>
      </c>
      <c r="AE534" s="19">
        <v>1</v>
      </c>
      <c r="AF534" s="19">
        <v>0</v>
      </c>
      <c r="AG534" s="19" t="s">
        <v>1093</v>
      </c>
      <c r="AH534" s="19" t="s">
        <v>2319</v>
      </c>
    </row>
    <row r="535" spans="2:34" hidden="1" x14ac:dyDescent="0.35">
      <c r="B535" s="76">
        <v>46224</v>
      </c>
      <c r="C535" s="19" t="s">
        <v>535</v>
      </c>
      <c r="D535" s="19" t="s">
        <v>126</v>
      </c>
      <c r="E535" s="19" t="s">
        <v>754</v>
      </c>
      <c r="F535" s="19" t="s">
        <v>118</v>
      </c>
      <c r="G535" s="19">
        <v>2666</v>
      </c>
      <c r="H535" s="76">
        <v>46222</v>
      </c>
      <c r="I535" s="19" t="s">
        <v>105</v>
      </c>
      <c r="J535" s="19" t="s">
        <v>1586</v>
      </c>
      <c r="K535" s="19" t="s">
        <v>1127</v>
      </c>
      <c r="L535" s="19" t="s">
        <v>1389</v>
      </c>
      <c r="M535" s="19" t="s">
        <v>1852</v>
      </c>
      <c r="N535" s="19">
        <v>5</v>
      </c>
      <c r="O535" s="19">
        <v>400</v>
      </c>
      <c r="P535" s="19" t="s">
        <v>1852</v>
      </c>
      <c r="Q535" s="19">
        <v>699</v>
      </c>
      <c r="R535" s="19">
        <v>9</v>
      </c>
      <c r="S535" s="19">
        <v>36</v>
      </c>
      <c r="T535" s="19">
        <v>9</v>
      </c>
      <c r="U535" s="19">
        <v>36</v>
      </c>
      <c r="V535" s="19">
        <v>0</v>
      </c>
      <c r="W535" s="19">
        <v>0</v>
      </c>
      <c r="X535" s="19">
        <v>0</v>
      </c>
      <c r="Y535" s="19">
        <v>72</v>
      </c>
      <c r="Z535" s="19">
        <v>0</v>
      </c>
      <c r="AA535" s="19" t="s">
        <v>536</v>
      </c>
      <c r="AB535" s="19" t="s">
        <v>1555</v>
      </c>
      <c r="AC535" s="19">
        <v>8302411</v>
      </c>
      <c r="AD535" s="19" t="s">
        <v>1092</v>
      </c>
      <c r="AE535" s="19">
        <v>1</v>
      </c>
      <c r="AF535" s="19">
        <v>0</v>
      </c>
      <c r="AG535" s="19" t="s">
        <v>1093</v>
      </c>
      <c r="AH535" s="19" t="s">
        <v>2319</v>
      </c>
    </row>
    <row r="536" spans="2:34" hidden="1" x14ac:dyDescent="0.35">
      <c r="B536" s="76">
        <v>46224</v>
      </c>
      <c r="C536" s="19" t="s">
        <v>535</v>
      </c>
      <c r="D536" s="19" t="s">
        <v>126</v>
      </c>
      <c r="E536" s="19" t="s">
        <v>754</v>
      </c>
      <c r="F536" s="19" t="s">
        <v>118</v>
      </c>
      <c r="G536" s="19">
        <v>2666</v>
      </c>
      <c r="H536" s="76">
        <v>46222</v>
      </c>
      <c r="I536" s="19" t="s">
        <v>105</v>
      </c>
      <c r="J536" s="19" t="s">
        <v>1586</v>
      </c>
      <c r="K536" s="19" t="s">
        <v>1127</v>
      </c>
      <c r="L536" s="19" t="s">
        <v>1389</v>
      </c>
      <c r="M536" s="19" t="s">
        <v>1854</v>
      </c>
      <c r="N536" s="19">
        <v>1.6</v>
      </c>
      <c r="O536" s="19">
        <v>192</v>
      </c>
      <c r="P536" s="19" t="s">
        <v>1854</v>
      </c>
      <c r="Q536" s="19">
        <v>0</v>
      </c>
      <c r="R536" s="19">
        <v>9</v>
      </c>
      <c r="S536" s="19">
        <v>17.28</v>
      </c>
      <c r="T536" s="19">
        <v>9</v>
      </c>
      <c r="U536" s="19">
        <v>17.28</v>
      </c>
      <c r="V536" s="19">
        <v>0</v>
      </c>
      <c r="W536" s="19">
        <v>0</v>
      </c>
      <c r="X536" s="19">
        <v>0</v>
      </c>
      <c r="Y536" s="19">
        <v>34.56</v>
      </c>
      <c r="Z536" s="19">
        <v>0</v>
      </c>
      <c r="AA536" s="19" t="s">
        <v>536</v>
      </c>
      <c r="AB536" s="19" t="s">
        <v>1091</v>
      </c>
      <c r="AC536" s="19">
        <v>731210</v>
      </c>
      <c r="AD536" s="19" t="s">
        <v>1092</v>
      </c>
      <c r="AE536" s="19">
        <v>1</v>
      </c>
      <c r="AF536" s="19">
        <v>0</v>
      </c>
      <c r="AG536" s="19" t="s">
        <v>1093</v>
      </c>
      <c r="AH536" s="19" t="s">
        <v>2319</v>
      </c>
    </row>
    <row r="537" spans="2:34" hidden="1" x14ac:dyDescent="0.35">
      <c r="B537" s="76">
        <v>46224</v>
      </c>
      <c r="C537" s="19" t="s">
        <v>745</v>
      </c>
      <c r="D537" s="19" t="s">
        <v>126</v>
      </c>
      <c r="E537" s="19" t="s">
        <v>743</v>
      </c>
      <c r="F537" s="19" t="s">
        <v>118</v>
      </c>
      <c r="G537" s="19" t="s">
        <v>744</v>
      </c>
      <c r="H537" s="76">
        <v>46219</v>
      </c>
      <c r="I537" s="19" t="s">
        <v>105</v>
      </c>
      <c r="J537" s="19" t="s">
        <v>1568</v>
      </c>
      <c r="K537" s="19" t="s">
        <v>1127</v>
      </c>
      <c r="L537" s="19" t="s">
        <v>102</v>
      </c>
      <c r="M537" s="19" t="s">
        <v>1700</v>
      </c>
      <c r="N537" s="19">
        <v>100</v>
      </c>
      <c r="O537" s="19">
        <v>3000</v>
      </c>
      <c r="P537" s="19" t="s">
        <v>1700</v>
      </c>
      <c r="Q537" s="19">
        <v>33643</v>
      </c>
      <c r="R537" s="19">
        <v>9</v>
      </c>
      <c r="S537" s="19">
        <v>270</v>
      </c>
      <c r="T537" s="19">
        <v>9</v>
      </c>
      <c r="U537" s="19">
        <v>270</v>
      </c>
      <c r="V537" s="19">
        <v>0</v>
      </c>
      <c r="W537" s="19">
        <v>0</v>
      </c>
      <c r="X537" s="19">
        <v>0</v>
      </c>
      <c r="Y537" s="19">
        <v>540</v>
      </c>
      <c r="Z537" s="19">
        <v>0</v>
      </c>
      <c r="AA537" s="19" t="s">
        <v>746</v>
      </c>
      <c r="AB537" s="19" t="s">
        <v>1572</v>
      </c>
      <c r="AC537" s="19">
        <v>820770</v>
      </c>
      <c r="AD537" s="19" t="s">
        <v>1092</v>
      </c>
      <c r="AE537" s="19">
        <v>1</v>
      </c>
      <c r="AF537" s="19">
        <v>0</v>
      </c>
      <c r="AG537" s="19" t="s">
        <v>1093</v>
      </c>
      <c r="AH537" s="19" t="s">
        <v>2319</v>
      </c>
    </row>
    <row r="538" spans="2:34" hidden="1" x14ac:dyDescent="0.35">
      <c r="B538" s="76">
        <v>46224</v>
      </c>
      <c r="C538" s="19" t="s">
        <v>745</v>
      </c>
      <c r="D538" s="19" t="s">
        <v>126</v>
      </c>
      <c r="E538" s="19" t="s">
        <v>743</v>
      </c>
      <c r="F538" s="19" t="s">
        <v>118</v>
      </c>
      <c r="G538" s="19" t="s">
        <v>744</v>
      </c>
      <c r="H538" s="76">
        <v>46219</v>
      </c>
      <c r="I538" s="19" t="s">
        <v>103</v>
      </c>
      <c r="J538" s="19" t="s">
        <v>1765</v>
      </c>
      <c r="K538" s="19" t="s">
        <v>1127</v>
      </c>
      <c r="L538" s="19" t="s">
        <v>102</v>
      </c>
      <c r="M538" s="19" t="s">
        <v>1828</v>
      </c>
      <c r="N538" s="19">
        <v>100</v>
      </c>
      <c r="O538" s="19">
        <v>320</v>
      </c>
      <c r="P538" s="19" t="s">
        <v>1828</v>
      </c>
      <c r="Q538" s="19">
        <v>0</v>
      </c>
      <c r="R538" s="19">
        <v>0</v>
      </c>
      <c r="S538" s="19">
        <v>4.5</v>
      </c>
      <c r="T538" s="19">
        <v>0</v>
      </c>
      <c r="U538" s="19">
        <v>4.5</v>
      </c>
      <c r="V538" s="19">
        <v>0</v>
      </c>
      <c r="W538" s="19">
        <v>0</v>
      </c>
      <c r="X538" s="19">
        <v>0</v>
      </c>
      <c r="Y538" s="19">
        <v>9</v>
      </c>
      <c r="Z538" s="19">
        <v>0</v>
      </c>
      <c r="AA538" s="19" t="s">
        <v>746</v>
      </c>
      <c r="AB538" s="19" t="s">
        <v>1555</v>
      </c>
      <c r="AC538" s="19">
        <v>84522100</v>
      </c>
      <c r="AD538" s="19" t="s">
        <v>1092</v>
      </c>
      <c r="AE538" s="19">
        <v>1</v>
      </c>
      <c r="AF538" s="19">
        <v>0</v>
      </c>
      <c r="AG538" s="19" t="s">
        <v>1093</v>
      </c>
      <c r="AH538" s="19" t="s">
        <v>2319</v>
      </c>
    </row>
    <row r="539" spans="2:34" hidden="1" x14ac:dyDescent="0.35">
      <c r="B539" s="76">
        <v>46224</v>
      </c>
      <c r="C539" s="19" t="s">
        <v>745</v>
      </c>
      <c r="D539" s="19" t="s">
        <v>126</v>
      </c>
      <c r="E539" s="19" t="s">
        <v>743</v>
      </c>
      <c r="F539" s="19" t="s">
        <v>118</v>
      </c>
      <c r="G539" s="19" t="s">
        <v>744</v>
      </c>
      <c r="H539" s="76">
        <v>46219</v>
      </c>
      <c r="I539" s="19" t="s">
        <v>105</v>
      </c>
      <c r="J539" s="19" t="s">
        <v>1855</v>
      </c>
      <c r="K539" s="19" t="s">
        <v>1127</v>
      </c>
      <c r="L539" s="19" t="s">
        <v>102</v>
      </c>
      <c r="M539" s="19" t="s">
        <v>1856</v>
      </c>
      <c r="N539" s="19">
        <v>100</v>
      </c>
      <c r="O539" s="19">
        <v>250</v>
      </c>
      <c r="P539" s="19" t="s">
        <v>1856</v>
      </c>
      <c r="Q539" s="19">
        <v>0</v>
      </c>
      <c r="R539" s="19">
        <v>9</v>
      </c>
      <c r="S539" s="19">
        <v>22.5</v>
      </c>
      <c r="T539" s="19">
        <v>9</v>
      </c>
      <c r="U539" s="19">
        <v>22.5</v>
      </c>
      <c r="V539" s="19">
        <v>0</v>
      </c>
      <c r="W539" s="19">
        <v>0</v>
      </c>
      <c r="X539" s="19">
        <v>0</v>
      </c>
      <c r="Y539" s="19">
        <v>45</v>
      </c>
      <c r="Z539" s="19">
        <v>0</v>
      </c>
      <c r="AA539" s="19" t="s">
        <v>746</v>
      </c>
      <c r="AB539" s="19" t="s">
        <v>1572</v>
      </c>
      <c r="AC539" s="19">
        <v>392610</v>
      </c>
      <c r="AD539" s="19" t="s">
        <v>1092</v>
      </c>
      <c r="AE539" s="19">
        <v>1</v>
      </c>
      <c r="AF539" s="19">
        <v>0</v>
      </c>
      <c r="AG539" s="19" t="s">
        <v>1093</v>
      </c>
      <c r="AH539" s="19" t="s">
        <v>2319</v>
      </c>
    </row>
    <row r="540" spans="2:34" hidden="1" x14ac:dyDescent="0.35">
      <c r="B540" s="76">
        <v>46224</v>
      </c>
      <c r="C540" s="19" t="s">
        <v>745</v>
      </c>
      <c r="D540" s="19" t="s">
        <v>126</v>
      </c>
      <c r="E540" s="19" t="s">
        <v>743</v>
      </c>
      <c r="F540" s="19" t="s">
        <v>118</v>
      </c>
      <c r="G540" s="19" t="s">
        <v>744</v>
      </c>
      <c r="H540" s="76">
        <v>46219</v>
      </c>
      <c r="I540" s="19" t="s">
        <v>103</v>
      </c>
      <c r="J540" s="19" t="s">
        <v>1765</v>
      </c>
      <c r="K540" s="19" t="s">
        <v>1127</v>
      </c>
      <c r="L540" s="19" t="s">
        <v>102</v>
      </c>
      <c r="M540" s="19" t="s">
        <v>1857</v>
      </c>
      <c r="N540" s="19">
        <v>20</v>
      </c>
      <c r="O540" s="19">
        <v>300</v>
      </c>
      <c r="P540" s="19" t="s">
        <v>1857</v>
      </c>
      <c r="Q540" s="19">
        <v>0</v>
      </c>
      <c r="R540" s="19">
        <v>9</v>
      </c>
      <c r="S540" s="19">
        <v>27</v>
      </c>
      <c r="T540" s="19">
        <v>9</v>
      </c>
      <c r="U540" s="19">
        <v>27</v>
      </c>
      <c r="V540" s="19">
        <v>0</v>
      </c>
      <c r="W540" s="19">
        <v>0</v>
      </c>
      <c r="X540" s="19">
        <v>0</v>
      </c>
      <c r="Y540" s="19">
        <v>54</v>
      </c>
      <c r="Z540" s="19">
        <v>0</v>
      </c>
      <c r="AA540" s="19" t="s">
        <v>746</v>
      </c>
      <c r="AB540" s="19" t="s">
        <v>1555</v>
      </c>
      <c r="AC540" s="19">
        <v>96089990</v>
      </c>
      <c r="AD540" s="19" t="s">
        <v>1092</v>
      </c>
      <c r="AE540" s="19">
        <v>1</v>
      </c>
      <c r="AF540" s="19">
        <v>0</v>
      </c>
      <c r="AG540" s="19" t="s">
        <v>1093</v>
      </c>
      <c r="AH540" s="19" t="s">
        <v>2319</v>
      </c>
    </row>
    <row r="541" spans="2:34" hidden="1" x14ac:dyDescent="0.35">
      <c r="B541" s="76">
        <v>46224</v>
      </c>
      <c r="C541" s="19" t="s">
        <v>745</v>
      </c>
      <c r="D541" s="19" t="s">
        <v>126</v>
      </c>
      <c r="E541" s="19" t="s">
        <v>743</v>
      </c>
      <c r="F541" s="19" t="s">
        <v>118</v>
      </c>
      <c r="G541" s="19" t="s">
        <v>744</v>
      </c>
      <c r="H541" s="76">
        <v>46219</v>
      </c>
      <c r="I541" s="19" t="s">
        <v>102</v>
      </c>
      <c r="J541" s="19" t="s">
        <v>102</v>
      </c>
      <c r="K541" s="19" t="s">
        <v>1127</v>
      </c>
      <c r="L541" s="19" t="s">
        <v>102</v>
      </c>
      <c r="M541" s="19" t="s">
        <v>1858</v>
      </c>
      <c r="N541" s="19">
        <v>200</v>
      </c>
      <c r="O541" s="19">
        <v>1300</v>
      </c>
      <c r="P541" s="19" t="s">
        <v>1858</v>
      </c>
      <c r="Q541" s="19">
        <v>0</v>
      </c>
      <c r="R541" s="19">
        <v>9</v>
      </c>
      <c r="S541" s="19">
        <v>117</v>
      </c>
      <c r="T541" s="19">
        <v>9</v>
      </c>
      <c r="U541" s="19">
        <v>117</v>
      </c>
      <c r="V541" s="19">
        <v>0</v>
      </c>
      <c r="W541" s="19">
        <v>0</v>
      </c>
      <c r="X541" s="19">
        <v>0</v>
      </c>
      <c r="Y541" s="19">
        <v>234</v>
      </c>
      <c r="Z541" s="19">
        <v>0</v>
      </c>
      <c r="AA541" s="19" t="s">
        <v>746</v>
      </c>
      <c r="AB541" s="19" t="s">
        <v>1555</v>
      </c>
      <c r="AC541" s="19">
        <v>96082000</v>
      </c>
      <c r="AD541" s="19" t="s">
        <v>1092</v>
      </c>
      <c r="AE541" s="19">
        <v>1</v>
      </c>
      <c r="AF541" s="19">
        <v>0</v>
      </c>
      <c r="AG541" s="19" t="s">
        <v>1093</v>
      </c>
      <c r="AH541" s="19" t="s">
        <v>2319</v>
      </c>
    </row>
    <row r="542" spans="2:34" hidden="1" x14ac:dyDescent="0.35">
      <c r="B542" s="76">
        <v>46224</v>
      </c>
      <c r="C542" s="19" t="s">
        <v>745</v>
      </c>
      <c r="D542" s="19" t="s">
        <v>126</v>
      </c>
      <c r="E542" s="19" t="s">
        <v>743</v>
      </c>
      <c r="F542" s="19" t="s">
        <v>118</v>
      </c>
      <c r="G542" s="19" t="s">
        <v>744</v>
      </c>
      <c r="H542" s="76">
        <v>46219</v>
      </c>
      <c r="I542" s="19" t="s">
        <v>105</v>
      </c>
      <c r="J542" s="19" t="s">
        <v>1568</v>
      </c>
      <c r="K542" s="19" t="s">
        <v>1127</v>
      </c>
      <c r="L542" s="19" t="s">
        <v>102</v>
      </c>
      <c r="M542" s="19" t="s">
        <v>1859</v>
      </c>
      <c r="N542" s="19">
        <v>500</v>
      </c>
      <c r="O542" s="19">
        <v>1200</v>
      </c>
      <c r="P542" s="19" t="s">
        <v>1859</v>
      </c>
      <c r="Q542" s="19">
        <v>0</v>
      </c>
      <c r="R542" s="19">
        <v>9</v>
      </c>
      <c r="S542" s="19">
        <v>108</v>
      </c>
      <c r="T542" s="19">
        <v>9</v>
      </c>
      <c r="U542" s="19">
        <v>108</v>
      </c>
      <c r="V542" s="19">
        <v>0</v>
      </c>
      <c r="W542" s="19">
        <v>0</v>
      </c>
      <c r="X542" s="19">
        <v>0</v>
      </c>
      <c r="Y542" s="19">
        <v>216</v>
      </c>
      <c r="Z542" s="19">
        <v>0</v>
      </c>
      <c r="AA542" s="19" t="s">
        <v>746</v>
      </c>
      <c r="AB542" s="19" t="s">
        <v>1572</v>
      </c>
      <c r="AC542" s="19">
        <v>82121010</v>
      </c>
      <c r="AD542" s="19" t="s">
        <v>1092</v>
      </c>
      <c r="AE542" s="19">
        <v>1</v>
      </c>
      <c r="AF542" s="19">
        <v>0</v>
      </c>
      <c r="AG542" s="19" t="s">
        <v>1093</v>
      </c>
      <c r="AH542" s="19" t="s">
        <v>2319</v>
      </c>
    </row>
    <row r="543" spans="2:34" hidden="1" x14ac:dyDescent="0.35">
      <c r="B543" s="76">
        <v>46224</v>
      </c>
      <c r="C543" s="19" t="s">
        <v>745</v>
      </c>
      <c r="D543" s="19" t="s">
        <v>126</v>
      </c>
      <c r="E543" s="19" t="s">
        <v>743</v>
      </c>
      <c r="F543" s="19" t="s">
        <v>118</v>
      </c>
      <c r="G543" s="19" t="s">
        <v>744</v>
      </c>
      <c r="H543" s="76">
        <v>46219</v>
      </c>
      <c r="I543" s="19" t="s">
        <v>103</v>
      </c>
      <c r="J543" s="19" t="s">
        <v>1765</v>
      </c>
      <c r="K543" s="19" t="s">
        <v>1127</v>
      </c>
      <c r="L543" s="19" t="s">
        <v>102</v>
      </c>
      <c r="M543" s="19" t="s">
        <v>1860</v>
      </c>
      <c r="N543" s="19">
        <v>80</v>
      </c>
      <c r="O543" s="19">
        <v>3600</v>
      </c>
      <c r="P543" s="19" t="s">
        <v>1860</v>
      </c>
      <c r="Q543" s="19">
        <v>0</v>
      </c>
      <c r="R543" s="19">
        <v>9</v>
      </c>
      <c r="S543" s="19">
        <v>324</v>
      </c>
      <c r="T543" s="19">
        <v>9</v>
      </c>
      <c r="U543" s="19">
        <v>324</v>
      </c>
      <c r="V543" s="19">
        <v>0</v>
      </c>
      <c r="W543" s="19">
        <v>0</v>
      </c>
      <c r="X543" s="19">
        <v>0</v>
      </c>
      <c r="Y543" s="19">
        <v>648</v>
      </c>
      <c r="Z543" s="19">
        <v>0</v>
      </c>
      <c r="AA543" s="19" t="s">
        <v>746</v>
      </c>
      <c r="AB543" s="19" t="s">
        <v>1555</v>
      </c>
      <c r="AC543" s="19">
        <v>48196000</v>
      </c>
      <c r="AD543" s="19" t="s">
        <v>1092</v>
      </c>
      <c r="AE543" s="19">
        <v>1</v>
      </c>
      <c r="AF543" s="19">
        <v>0</v>
      </c>
      <c r="AG543" s="19" t="s">
        <v>1093</v>
      </c>
      <c r="AH543" s="19" t="s">
        <v>2319</v>
      </c>
    </row>
    <row r="544" spans="2:34" hidden="1" x14ac:dyDescent="0.35">
      <c r="B544" s="76">
        <v>46224</v>
      </c>
      <c r="C544" s="19" t="s">
        <v>745</v>
      </c>
      <c r="D544" s="19" t="s">
        <v>126</v>
      </c>
      <c r="E544" s="19" t="s">
        <v>743</v>
      </c>
      <c r="F544" s="19" t="s">
        <v>118</v>
      </c>
      <c r="G544" s="19" t="s">
        <v>744</v>
      </c>
      <c r="H544" s="76">
        <v>46219</v>
      </c>
      <c r="I544" s="19" t="s">
        <v>103</v>
      </c>
      <c r="J544" s="19" t="s">
        <v>1765</v>
      </c>
      <c r="K544" s="19" t="s">
        <v>1127</v>
      </c>
      <c r="L544" s="19" t="s">
        <v>102</v>
      </c>
      <c r="M544" s="19" t="s">
        <v>1861</v>
      </c>
      <c r="N544" s="19">
        <v>20</v>
      </c>
      <c r="O544" s="19">
        <v>5500</v>
      </c>
      <c r="P544" s="19" t="s">
        <v>1861</v>
      </c>
      <c r="Q544" s="19">
        <v>0</v>
      </c>
      <c r="R544" s="19">
        <v>9</v>
      </c>
      <c r="S544" s="19">
        <v>495</v>
      </c>
      <c r="T544" s="19">
        <v>9</v>
      </c>
      <c r="U544" s="19">
        <v>495</v>
      </c>
      <c r="V544" s="19">
        <v>0</v>
      </c>
      <c r="W544" s="19">
        <v>0</v>
      </c>
      <c r="X544" s="19">
        <v>0</v>
      </c>
      <c r="Y544" s="19">
        <v>990</v>
      </c>
      <c r="Z544" s="19">
        <v>0</v>
      </c>
      <c r="AA544" s="19" t="s">
        <v>746</v>
      </c>
      <c r="AB544" s="19" t="s">
        <v>1555</v>
      </c>
      <c r="AC544" s="19">
        <v>32151110</v>
      </c>
      <c r="AD544" s="19" t="s">
        <v>1092</v>
      </c>
      <c r="AE544" s="19">
        <v>1</v>
      </c>
      <c r="AF544" s="19">
        <v>0</v>
      </c>
      <c r="AG544" s="19" t="s">
        <v>1093</v>
      </c>
      <c r="AH544" s="19" t="s">
        <v>2319</v>
      </c>
    </row>
    <row r="545" spans="2:34" hidden="1" x14ac:dyDescent="0.35">
      <c r="B545" s="76">
        <v>46224</v>
      </c>
      <c r="C545" s="19" t="s">
        <v>745</v>
      </c>
      <c r="D545" s="19" t="s">
        <v>126</v>
      </c>
      <c r="E545" s="19" t="s">
        <v>743</v>
      </c>
      <c r="F545" s="19" t="s">
        <v>118</v>
      </c>
      <c r="G545" s="19" t="s">
        <v>744</v>
      </c>
      <c r="H545" s="76">
        <v>46219</v>
      </c>
      <c r="I545" s="19" t="s">
        <v>103</v>
      </c>
      <c r="J545" s="19" t="s">
        <v>1765</v>
      </c>
      <c r="K545" s="19" t="s">
        <v>1127</v>
      </c>
      <c r="L545" s="19" t="s">
        <v>102</v>
      </c>
      <c r="M545" s="19" t="s">
        <v>1862</v>
      </c>
      <c r="N545" s="19">
        <v>80</v>
      </c>
      <c r="O545" s="19">
        <v>880</v>
      </c>
      <c r="P545" s="19" t="s">
        <v>1862</v>
      </c>
      <c r="Q545" s="19">
        <v>0</v>
      </c>
      <c r="R545" s="19">
        <v>9</v>
      </c>
      <c r="S545" s="19">
        <v>79.2</v>
      </c>
      <c r="T545" s="19">
        <v>9</v>
      </c>
      <c r="U545" s="19">
        <v>79.2</v>
      </c>
      <c r="V545" s="19">
        <v>0</v>
      </c>
      <c r="W545" s="19">
        <v>0</v>
      </c>
      <c r="X545" s="19">
        <v>0</v>
      </c>
      <c r="Y545" s="19">
        <v>158.4</v>
      </c>
      <c r="Z545" s="19">
        <v>0</v>
      </c>
      <c r="AA545" s="19" t="s">
        <v>746</v>
      </c>
      <c r="AB545" s="19" t="s">
        <v>1572</v>
      </c>
      <c r="AC545" s="19">
        <v>48203000</v>
      </c>
      <c r="AD545" s="19" t="s">
        <v>1092</v>
      </c>
      <c r="AE545" s="19">
        <v>1</v>
      </c>
      <c r="AF545" s="19">
        <v>0</v>
      </c>
      <c r="AG545" s="19" t="s">
        <v>1093</v>
      </c>
      <c r="AH545" s="19" t="s">
        <v>2319</v>
      </c>
    </row>
    <row r="546" spans="2:34" hidden="1" x14ac:dyDescent="0.35">
      <c r="B546" s="76">
        <v>46224</v>
      </c>
      <c r="C546" s="19" t="s">
        <v>745</v>
      </c>
      <c r="D546" s="19" t="s">
        <v>126</v>
      </c>
      <c r="E546" s="19" t="s">
        <v>743</v>
      </c>
      <c r="F546" s="19" t="s">
        <v>118</v>
      </c>
      <c r="G546" s="19" t="s">
        <v>744</v>
      </c>
      <c r="H546" s="76">
        <v>46219</v>
      </c>
      <c r="I546" s="19" t="s">
        <v>103</v>
      </c>
      <c r="J546" s="19" t="s">
        <v>1765</v>
      </c>
      <c r="K546" s="19" t="s">
        <v>1127</v>
      </c>
      <c r="L546" s="19" t="s">
        <v>102</v>
      </c>
      <c r="M546" s="19" t="s">
        <v>1863</v>
      </c>
      <c r="N546" s="19">
        <v>50</v>
      </c>
      <c r="O546" s="19">
        <v>8750</v>
      </c>
      <c r="P546" s="19" t="s">
        <v>1863</v>
      </c>
      <c r="Q546" s="19">
        <v>0</v>
      </c>
      <c r="R546" s="19">
        <v>9</v>
      </c>
      <c r="S546" s="19">
        <v>787.5</v>
      </c>
      <c r="T546" s="19">
        <v>9</v>
      </c>
      <c r="U546" s="19">
        <v>787.5</v>
      </c>
      <c r="V546" s="19">
        <v>0</v>
      </c>
      <c r="W546" s="19">
        <v>0</v>
      </c>
      <c r="X546" s="19">
        <v>0</v>
      </c>
      <c r="Y546" s="19">
        <v>1575</v>
      </c>
      <c r="Z546" s="19">
        <v>0</v>
      </c>
      <c r="AA546" s="19" t="s">
        <v>746</v>
      </c>
      <c r="AB546" s="19" t="s">
        <v>1767</v>
      </c>
      <c r="AC546" s="19">
        <v>480256</v>
      </c>
      <c r="AD546" s="19" t="s">
        <v>1092</v>
      </c>
      <c r="AE546" s="19">
        <v>1</v>
      </c>
      <c r="AF546" s="19">
        <v>0</v>
      </c>
      <c r="AG546" s="19" t="s">
        <v>1093</v>
      </c>
      <c r="AH546" s="19" t="s">
        <v>2319</v>
      </c>
    </row>
    <row r="547" spans="2:34" hidden="1" x14ac:dyDescent="0.35">
      <c r="B547" s="76">
        <v>46224</v>
      </c>
      <c r="C547" s="19" t="s">
        <v>745</v>
      </c>
      <c r="D547" s="19" t="s">
        <v>126</v>
      </c>
      <c r="E547" s="19" t="s">
        <v>743</v>
      </c>
      <c r="F547" s="19" t="s">
        <v>118</v>
      </c>
      <c r="G547" s="19" t="s">
        <v>744</v>
      </c>
      <c r="H547" s="76">
        <v>46219</v>
      </c>
      <c r="I547" s="19" t="s">
        <v>103</v>
      </c>
      <c r="J547" s="19" t="s">
        <v>1765</v>
      </c>
      <c r="K547" s="19" t="s">
        <v>1127</v>
      </c>
      <c r="L547" s="19" t="s">
        <v>102</v>
      </c>
      <c r="M547" s="19" t="s">
        <v>1864</v>
      </c>
      <c r="N547" s="19">
        <v>20</v>
      </c>
      <c r="O547" s="19">
        <v>310</v>
      </c>
      <c r="P547" s="19" t="s">
        <v>1864</v>
      </c>
      <c r="Q547" s="19">
        <v>0</v>
      </c>
      <c r="R547" s="19">
        <v>9</v>
      </c>
      <c r="S547" s="19">
        <v>27.9</v>
      </c>
      <c r="T547" s="19">
        <v>9</v>
      </c>
      <c r="U547" s="19">
        <v>27.9</v>
      </c>
      <c r="V547" s="19">
        <v>0</v>
      </c>
      <c r="W547" s="19">
        <v>0</v>
      </c>
      <c r="X547" s="19">
        <v>0</v>
      </c>
      <c r="Y547" s="19">
        <v>55.8</v>
      </c>
      <c r="Z547" s="19">
        <v>0</v>
      </c>
      <c r="AA547" s="19" t="s">
        <v>746</v>
      </c>
      <c r="AB547" s="19" t="s">
        <v>1572</v>
      </c>
      <c r="AC547" s="19">
        <v>96089990</v>
      </c>
      <c r="AD547" s="19" t="s">
        <v>1092</v>
      </c>
      <c r="AE547" s="19">
        <v>1</v>
      </c>
      <c r="AF547" s="19">
        <v>0</v>
      </c>
      <c r="AG547" s="19" t="s">
        <v>1093</v>
      </c>
      <c r="AH547" s="19" t="s">
        <v>2319</v>
      </c>
    </row>
    <row r="548" spans="2:34" hidden="1" x14ac:dyDescent="0.35">
      <c r="B548" s="76">
        <v>46224</v>
      </c>
      <c r="C548" s="19" t="s">
        <v>745</v>
      </c>
      <c r="D548" s="19" t="s">
        <v>126</v>
      </c>
      <c r="E548" s="19" t="s">
        <v>743</v>
      </c>
      <c r="F548" s="19" t="s">
        <v>118</v>
      </c>
      <c r="G548" s="19" t="s">
        <v>744</v>
      </c>
      <c r="H548" s="76">
        <v>46219</v>
      </c>
      <c r="I548" s="19" t="s">
        <v>103</v>
      </c>
      <c r="J548" s="19" t="s">
        <v>1765</v>
      </c>
      <c r="K548" s="19" t="s">
        <v>1127</v>
      </c>
      <c r="L548" s="19" t="s">
        <v>102</v>
      </c>
      <c r="M548" s="19" t="s">
        <v>1823</v>
      </c>
      <c r="N548" s="19">
        <v>500</v>
      </c>
      <c r="O548" s="19">
        <v>1400</v>
      </c>
      <c r="P548" s="19" t="s">
        <v>1823</v>
      </c>
      <c r="Q548" s="19">
        <v>0</v>
      </c>
      <c r="R548" s="19">
        <v>9</v>
      </c>
      <c r="S548" s="19">
        <v>126</v>
      </c>
      <c r="T548" s="19">
        <v>9</v>
      </c>
      <c r="U548" s="19">
        <v>126</v>
      </c>
      <c r="V548" s="19">
        <v>0</v>
      </c>
      <c r="W548" s="19">
        <v>0</v>
      </c>
      <c r="X548" s="19">
        <v>0</v>
      </c>
      <c r="Y548" s="19">
        <v>252</v>
      </c>
      <c r="Z548" s="19">
        <v>0</v>
      </c>
      <c r="AA548" s="19" t="s">
        <v>746</v>
      </c>
      <c r="AB548" s="19" t="s">
        <v>1555</v>
      </c>
      <c r="AC548" s="19">
        <v>960810</v>
      </c>
      <c r="AD548" s="19" t="s">
        <v>1092</v>
      </c>
      <c r="AE548" s="19">
        <v>1</v>
      </c>
      <c r="AF548" s="19">
        <v>0</v>
      </c>
      <c r="AG548" s="19" t="s">
        <v>1093</v>
      </c>
      <c r="AH548" s="19" t="s">
        <v>2319</v>
      </c>
    </row>
    <row r="549" spans="2:34" hidden="1" x14ac:dyDescent="0.35">
      <c r="B549" s="76">
        <v>46224</v>
      </c>
      <c r="C549" s="19" t="s">
        <v>745</v>
      </c>
      <c r="D549" s="19" t="s">
        <v>126</v>
      </c>
      <c r="E549" s="19" t="s">
        <v>743</v>
      </c>
      <c r="F549" s="19" t="s">
        <v>118</v>
      </c>
      <c r="G549" s="19" t="s">
        <v>744</v>
      </c>
      <c r="H549" s="76">
        <v>46219</v>
      </c>
      <c r="I549" s="19" t="s">
        <v>103</v>
      </c>
      <c r="J549" s="19" t="s">
        <v>1765</v>
      </c>
      <c r="K549" s="19" t="s">
        <v>1127</v>
      </c>
      <c r="L549" s="19" t="s">
        <v>102</v>
      </c>
      <c r="M549" s="19" t="s">
        <v>1865</v>
      </c>
      <c r="N549" s="19">
        <v>200</v>
      </c>
      <c r="O549" s="19">
        <v>1700</v>
      </c>
      <c r="P549" s="19" t="s">
        <v>1865</v>
      </c>
      <c r="Q549" s="19">
        <v>0</v>
      </c>
      <c r="R549" s="19">
        <v>9</v>
      </c>
      <c r="S549" s="19">
        <v>153</v>
      </c>
      <c r="T549" s="19">
        <v>9</v>
      </c>
      <c r="U549" s="19">
        <v>153</v>
      </c>
      <c r="V549" s="19">
        <v>0</v>
      </c>
      <c r="W549" s="19">
        <v>0</v>
      </c>
      <c r="X549" s="19">
        <v>0</v>
      </c>
      <c r="Y549" s="19">
        <v>306</v>
      </c>
      <c r="Z549" s="19">
        <v>0</v>
      </c>
      <c r="AA549" s="19" t="s">
        <v>746</v>
      </c>
      <c r="AB549" s="19" t="s">
        <v>1555</v>
      </c>
      <c r="AC549" s="19">
        <v>96082000</v>
      </c>
      <c r="AD549" s="19" t="s">
        <v>1092</v>
      </c>
      <c r="AE549" s="19">
        <v>1</v>
      </c>
      <c r="AF549" s="19">
        <v>0</v>
      </c>
      <c r="AG549" s="19" t="s">
        <v>1093</v>
      </c>
      <c r="AH549" s="19" t="s">
        <v>2319</v>
      </c>
    </row>
    <row r="550" spans="2:34" hidden="1" x14ac:dyDescent="0.35">
      <c r="B550" s="76">
        <v>46224</v>
      </c>
      <c r="C550" s="19" t="s">
        <v>741</v>
      </c>
      <c r="D550" s="19" t="s">
        <v>126</v>
      </c>
      <c r="E550" s="19" t="s">
        <v>739</v>
      </c>
      <c r="F550" s="19" t="s">
        <v>118</v>
      </c>
      <c r="G550" s="19" t="s">
        <v>740</v>
      </c>
      <c r="H550" s="76">
        <v>46210</v>
      </c>
      <c r="I550" s="19" t="s">
        <v>57</v>
      </c>
      <c r="J550" s="19" t="s">
        <v>29</v>
      </c>
      <c r="K550" s="19" t="s">
        <v>1127</v>
      </c>
      <c r="L550" s="19" t="s">
        <v>102</v>
      </c>
      <c r="M550" s="19" t="s">
        <v>1723</v>
      </c>
      <c r="N550" s="19">
        <v>8000</v>
      </c>
      <c r="O550" s="19">
        <v>21600</v>
      </c>
      <c r="P550" s="19" t="s">
        <v>1723</v>
      </c>
      <c r="Q550" s="19">
        <v>27199</v>
      </c>
      <c r="R550" s="19">
        <v>9</v>
      </c>
      <c r="S550" s="19">
        <v>1944</v>
      </c>
      <c r="T550" s="19">
        <v>9</v>
      </c>
      <c r="U550" s="19">
        <v>1944</v>
      </c>
      <c r="V550" s="19">
        <v>0</v>
      </c>
      <c r="W550" s="19">
        <v>0</v>
      </c>
      <c r="X550" s="19">
        <v>261</v>
      </c>
      <c r="Y550" s="19">
        <v>4149</v>
      </c>
      <c r="Z550" s="19">
        <v>0</v>
      </c>
      <c r="AA550" s="19" t="s">
        <v>742</v>
      </c>
      <c r="AB550" s="19" t="s">
        <v>1555</v>
      </c>
      <c r="AC550" s="19">
        <v>39235090</v>
      </c>
      <c r="AD550" s="19" t="s">
        <v>1092</v>
      </c>
      <c r="AE550" s="19">
        <v>1</v>
      </c>
      <c r="AF550" s="19">
        <v>120</v>
      </c>
      <c r="AG550" s="19" t="s">
        <v>1093</v>
      </c>
      <c r="AH550" s="19" t="s">
        <v>2319</v>
      </c>
    </row>
    <row r="551" spans="2:34" hidden="1" x14ac:dyDescent="0.35">
      <c r="B551" s="76">
        <v>46224</v>
      </c>
      <c r="C551" s="19" t="s">
        <v>355</v>
      </c>
      <c r="D551" s="19" t="s">
        <v>126</v>
      </c>
      <c r="E551" s="19" t="s">
        <v>751</v>
      </c>
      <c r="F551" s="19" t="s">
        <v>118</v>
      </c>
      <c r="G551" s="19" t="s">
        <v>752</v>
      </c>
      <c r="H551" s="76">
        <v>46221</v>
      </c>
      <c r="I551" s="19" t="s">
        <v>100</v>
      </c>
      <c r="J551" s="19" t="s">
        <v>1866</v>
      </c>
      <c r="K551" s="19" t="s">
        <v>1867</v>
      </c>
      <c r="L551" s="19" t="s">
        <v>1389</v>
      </c>
      <c r="M551" s="19" t="s">
        <v>1868</v>
      </c>
      <c r="N551" s="19">
        <v>2</v>
      </c>
      <c r="O551" s="19">
        <v>1900</v>
      </c>
      <c r="P551" s="19" t="s">
        <v>1868</v>
      </c>
      <c r="Q551" s="19">
        <v>2585</v>
      </c>
      <c r="R551" s="19">
        <v>9</v>
      </c>
      <c r="S551" s="19">
        <v>171</v>
      </c>
      <c r="T551" s="19">
        <v>9</v>
      </c>
      <c r="U551" s="19">
        <v>171</v>
      </c>
      <c r="V551" s="19">
        <v>0</v>
      </c>
      <c r="W551" s="19">
        <v>0</v>
      </c>
      <c r="X551" s="19">
        <v>0</v>
      </c>
      <c r="Y551" s="19">
        <v>342</v>
      </c>
      <c r="Z551" s="19">
        <v>0</v>
      </c>
      <c r="AA551" s="19" t="s">
        <v>356</v>
      </c>
      <c r="AB551" s="19" t="s">
        <v>1869</v>
      </c>
      <c r="AC551" s="19">
        <v>73089090</v>
      </c>
      <c r="AD551" s="19" t="s">
        <v>1092</v>
      </c>
      <c r="AE551" s="19">
        <v>1</v>
      </c>
      <c r="AF551" s="19">
        <v>0</v>
      </c>
      <c r="AG551" s="19" t="s">
        <v>1093</v>
      </c>
      <c r="AH551" s="19" t="s">
        <v>2319</v>
      </c>
    </row>
    <row r="552" spans="2:34" hidden="1" x14ac:dyDescent="0.35">
      <c r="B552" s="76">
        <v>46224</v>
      </c>
      <c r="C552" s="19" t="s">
        <v>355</v>
      </c>
      <c r="D552" s="19" t="s">
        <v>126</v>
      </c>
      <c r="E552" s="19" t="s">
        <v>751</v>
      </c>
      <c r="F552" s="19" t="s">
        <v>118</v>
      </c>
      <c r="G552" s="19" t="s">
        <v>752</v>
      </c>
      <c r="H552" s="76">
        <v>46221</v>
      </c>
      <c r="I552" s="19" t="s">
        <v>105</v>
      </c>
      <c r="J552" s="19" t="s">
        <v>1586</v>
      </c>
      <c r="K552" s="19" t="s">
        <v>1127</v>
      </c>
      <c r="L552" s="19" t="s">
        <v>1389</v>
      </c>
      <c r="M552" s="19" t="s">
        <v>1870</v>
      </c>
      <c r="N552" s="19">
        <v>12</v>
      </c>
      <c r="O552" s="19">
        <v>240.9</v>
      </c>
      <c r="P552" s="19" t="s">
        <v>1870</v>
      </c>
      <c r="Q552" s="19">
        <v>0</v>
      </c>
      <c r="R552" s="19">
        <v>9</v>
      </c>
      <c r="S552" s="19">
        <v>21.68</v>
      </c>
      <c r="T552" s="19">
        <v>9</v>
      </c>
      <c r="U552" s="19">
        <v>21.68</v>
      </c>
      <c r="V552" s="19">
        <v>0</v>
      </c>
      <c r="W552" s="19">
        <v>0</v>
      </c>
      <c r="X552" s="19">
        <v>0</v>
      </c>
      <c r="Y552" s="19">
        <v>43.36</v>
      </c>
      <c r="Z552" s="19">
        <v>0</v>
      </c>
      <c r="AA552" s="19" t="s">
        <v>356</v>
      </c>
      <c r="AB552" s="19" t="s">
        <v>1555</v>
      </c>
      <c r="AC552" s="19">
        <v>84821011</v>
      </c>
      <c r="AD552" s="19" t="s">
        <v>1092</v>
      </c>
      <c r="AE552" s="19">
        <v>1</v>
      </c>
      <c r="AF552" s="19">
        <v>0</v>
      </c>
      <c r="AG552" s="19" t="s">
        <v>1093</v>
      </c>
      <c r="AH552" s="19" t="s">
        <v>2319</v>
      </c>
    </row>
    <row r="553" spans="2:34" hidden="1" x14ac:dyDescent="0.35">
      <c r="B553" s="76">
        <v>46224</v>
      </c>
      <c r="C553" s="19" t="s">
        <v>355</v>
      </c>
      <c r="D553" s="19" t="s">
        <v>126</v>
      </c>
      <c r="E553" s="19" t="s">
        <v>751</v>
      </c>
      <c r="F553" s="19" t="s">
        <v>118</v>
      </c>
      <c r="G553" s="19" t="s">
        <v>752</v>
      </c>
      <c r="H553" s="76">
        <v>46221</v>
      </c>
      <c r="I553" s="19" t="s">
        <v>105</v>
      </c>
      <c r="J553" s="19" t="s">
        <v>1586</v>
      </c>
      <c r="K553" s="19" t="s">
        <v>1127</v>
      </c>
      <c r="L553" s="19" t="s">
        <v>1389</v>
      </c>
      <c r="M553" s="19" t="s">
        <v>1871</v>
      </c>
      <c r="N553" s="19">
        <v>12</v>
      </c>
      <c r="O553" s="19">
        <v>49.68</v>
      </c>
      <c r="P553" s="19" t="s">
        <v>1871</v>
      </c>
      <c r="Q553" s="19">
        <v>0</v>
      </c>
      <c r="R553" s="19">
        <v>9</v>
      </c>
      <c r="S553" s="19">
        <v>4.47</v>
      </c>
      <c r="T553" s="19">
        <v>9</v>
      </c>
      <c r="U553" s="19">
        <v>4.47</v>
      </c>
      <c r="V553" s="19">
        <v>0</v>
      </c>
      <c r="W553" s="19">
        <v>0</v>
      </c>
      <c r="X553" s="19">
        <v>0</v>
      </c>
      <c r="Y553" s="19">
        <v>8.94</v>
      </c>
      <c r="Z553" s="19">
        <v>0</v>
      </c>
      <c r="AA553" s="19" t="s">
        <v>356</v>
      </c>
      <c r="AB553" s="19" t="s">
        <v>1555</v>
      </c>
      <c r="AC553" s="19">
        <v>73181500</v>
      </c>
      <c r="AD553" s="19" t="s">
        <v>1092</v>
      </c>
      <c r="AE553" s="19">
        <v>1</v>
      </c>
      <c r="AF553" s="19">
        <v>0</v>
      </c>
      <c r="AG553" s="19" t="s">
        <v>1093</v>
      </c>
      <c r="AH553" s="19" t="s">
        <v>2319</v>
      </c>
    </row>
    <row r="554" spans="2:34" hidden="1" x14ac:dyDescent="0.35">
      <c r="B554" s="76">
        <v>46224</v>
      </c>
      <c r="C554" s="19" t="s">
        <v>138</v>
      </c>
      <c r="D554" s="19" t="s">
        <v>7</v>
      </c>
      <c r="E554" s="19" t="s">
        <v>749</v>
      </c>
      <c r="F554" s="19" t="s">
        <v>119</v>
      </c>
      <c r="G554" s="19" t="s">
        <v>750</v>
      </c>
      <c r="H554" s="76">
        <v>46223</v>
      </c>
      <c r="I554" s="19" t="s">
        <v>105</v>
      </c>
      <c r="J554" s="19" t="s">
        <v>1142</v>
      </c>
      <c r="K554" s="19" t="s">
        <v>1509</v>
      </c>
      <c r="L554" s="19" t="s">
        <v>1509</v>
      </c>
      <c r="M554" s="19" t="s">
        <v>1196</v>
      </c>
      <c r="N554" s="19">
        <v>168</v>
      </c>
      <c r="O554" s="19">
        <v>8064</v>
      </c>
      <c r="P554" s="19" t="s">
        <v>1196</v>
      </c>
      <c r="Q554" s="19">
        <v>9507.4599999999991</v>
      </c>
      <c r="R554" s="19">
        <v>9</v>
      </c>
      <c r="S554" s="19">
        <v>725.76</v>
      </c>
      <c r="T554" s="19">
        <v>9</v>
      </c>
      <c r="U554" s="19">
        <v>725.76</v>
      </c>
      <c r="V554" s="19">
        <v>0</v>
      </c>
      <c r="W554" s="19">
        <v>0</v>
      </c>
      <c r="X554" s="19">
        <v>0</v>
      </c>
      <c r="Y554" s="19">
        <v>1451.52</v>
      </c>
      <c r="Z554" s="19">
        <v>0</v>
      </c>
      <c r="AA554" s="19" t="s">
        <v>135</v>
      </c>
      <c r="AB554" s="19" t="s">
        <v>1289</v>
      </c>
      <c r="AC554" s="19">
        <v>73063090</v>
      </c>
      <c r="AD554" s="19" t="s">
        <v>1092</v>
      </c>
      <c r="AE554" s="19">
        <v>1</v>
      </c>
      <c r="AF554" s="19">
        <v>168</v>
      </c>
      <c r="AG554" s="19" t="s">
        <v>1093</v>
      </c>
      <c r="AH554" s="19" t="s">
        <v>2319</v>
      </c>
    </row>
    <row r="555" spans="2:34" x14ac:dyDescent="0.35">
      <c r="B555" s="76">
        <v>46224</v>
      </c>
      <c r="C555" s="19" t="s">
        <v>138</v>
      </c>
      <c r="D555" s="19" t="s">
        <v>173</v>
      </c>
      <c r="E555" s="19" t="s">
        <v>762</v>
      </c>
      <c r="F555" s="19" t="s">
        <v>123</v>
      </c>
      <c r="G555" s="19" t="s">
        <v>763</v>
      </c>
      <c r="H555" s="76">
        <v>46223</v>
      </c>
      <c r="I555" s="19" t="s">
        <v>36</v>
      </c>
      <c r="J555" s="19" t="s">
        <v>1350</v>
      </c>
      <c r="K555" s="19" t="s">
        <v>39</v>
      </c>
      <c r="L555" s="19" t="s">
        <v>1351</v>
      </c>
      <c r="M555" s="19" t="s">
        <v>1352</v>
      </c>
      <c r="N555" s="19">
        <v>771.1</v>
      </c>
      <c r="O555" s="19">
        <v>159448.05799999999</v>
      </c>
      <c r="P555" s="19" t="s">
        <v>1352</v>
      </c>
      <c r="Q555" s="19">
        <v>1608325.93</v>
      </c>
      <c r="R555" s="19">
        <v>9</v>
      </c>
      <c r="S555" s="19">
        <v>14350.33</v>
      </c>
      <c r="T555" s="19">
        <v>9</v>
      </c>
      <c r="U555" s="19">
        <v>14350.33</v>
      </c>
      <c r="V555" s="19">
        <v>0</v>
      </c>
      <c r="W555" s="19">
        <v>0</v>
      </c>
      <c r="X555" s="19">
        <v>0</v>
      </c>
      <c r="Y555" s="19">
        <v>28700.66</v>
      </c>
      <c r="Z555" s="19">
        <v>0</v>
      </c>
      <c r="AA555" s="19" t="s">
        <v>135</v>
      </c>
      <c r="AB555" s="19" t="s">
        <v>1289</v>
      </c>
      <c r="AC555" s="19">
        <v>39200000</v>
      </c>
      <c r="AD555" s="19" t="s">
        <v>1092</v>
      </c>
      <c r="AE555" s="19">
        <v>1</v>
      </c>
      <c r="AF555" s="19">
        <v>771.1</v>
      </c>
      <c r="AG555" s="19" t="s">
        <v>1093</v>
      </c>
      <c r="AH555" s="19" t="s">
        <v>39</v>
      </c>
    </row>
    <row r="556" spans="2:34" x14ac:dyDescent="0.35">
      <c r="B556" s="76">
        <v>46224</v>
      </c>
      <c r="C556" s="19" t="s">
        <v>138</v>
      </c>
      <c r="D556" s="19" t="s">
        <v>173</v>
      </c>
      <c r="E556" s="19" t="s">
        <v>762</v>
      </c>
      <c r="F556" s="19" t="s">
        <v>123</v>
      </c>
      <c r="G556" s="19" t="s">
        <v>763</v>
      </c>
      <c r="H556" s="76">
        <v>46223</v>
      </c>
      <c r="I556" s="19" t="s">
        <v>36</v>
      </c>
      <c r="J556" s="19" t="s">
        <v>1350</v>
      </c>
      <c r="K556" s="19" t="s">
        <v>39</v>
      </c>
      <c r="L556" s="19" t="s">
        <v>1351</v>
      </c>
      <c r="M556" s="19" t="s">
        <v>1352</v>
      </c>
      <c r="N556" s="19">
        <v>364</v>
      </c>
      <c r="O556" s="19">
        <v>86260.72</v>
      </c>
      <c r="P556" s="19" t="s">
        <v>1352</v>
      </c>
      <c r="Q556" s="19">
        <v>0</v>
      </c>
      <c r="R556" s="19">
        <v>9</v>
      </c>
      <c r="S556" s="19">
        <v>7763.46</v>
      </c>
      <c r="T556" s="19">
        <v>9</v>
      </c>
      <c r="U556" s="19">
        <v>7763.46</v>
      </c>
      <c r="V556" s="19">
        <v>0</v>
      </c>
      <c r="W556" s="19">
        <v>0</v>
      </c>
      <c r="X556" s="19">
        <v>0</v>
      </c>
      <c r="Y556" s="19">
        <v>15526.92</v>
      </c>
      <c r="Z556" s="19">
        <v>0</v>
      </c>
      <c r="AA556" s="19" t="s">
        <v>135</v>
      </c>
      <c r="AB556" s="19" t="s">
        <v>1289</v>
      </c>
      <c r="AC556" s="19">
        <v>39200000</v>
      </c>
      <c r="AD556" s="19" t="s">
        <v>1092</v>
      </c>
      <c r="AE556" s="19">
        <v>1</v>
      </c>
      <c r="AF556" s="19">
        <v>364</v>
      </c>
      <c r="AG556" s="19" t="s">
        <v>1093</v>
      </c>
      <c r="AH556" s="19" t="s">
        <v>39</v>
      </c>
    </row>
    <row r="557" spans="2:34" x14ac:dyDescent="0.35">
      <c r="B557" s="76">
        <v>46224</v>
      </c>
      <c r="C557" s="19" t="s">
        <v>138</v>
      </c>
      <c r="D557" s="19" t="s">
        <v>173</v>
      </c>
      <c r="E557" s="19" t="s">
        <v>762</v>
      </c>
      <c r="F557" s="19" t="s">
        <v>123</v>
      </c>
      <c r="G557" s="19" t="s">
        <v>763</v>
      </c>
      <c r="H557" s="76">
        <v>46223</v>
      </c>
      <c r="I557" s="19" t="s">
        <v>36</v>
      </c>
      <c r="J557" s="19" t="s">
        <v>1350</v>
      </c>
      <c r="K557" s="19" t="s">
        <v>39</v>
      </c>
      <c r="L557" s="19" t="s">
        <v>1351</v>
      </c>
      <c r="M557" s="19" t="s">
        <v>1352</v>
      </c>
      <c r="N557" s="19">
        <v>12.5</v>
      </c>
      <c r="O557" s="19">
        <v>2334.75</v>
      </c>
      <c r="P557" s="19" t="s">
        <v>1352</v>
      </c>
      <c r="Q557" s="19">
        <v>0</v>
      </c>
      <c r="R557" s="19">
        <v>9</v>
      </c>
      <c r="S557" s="19">
        <v>210.13</v>
      </c>
      <c r="T557" s="19">
        <v>9</v>
      </c>
      <c r="U557" s="19">
        <v>210.13</v>
      </c>
      <c r="V557" s="19">
        <v>0</v>
      </c>
      <c r="W557" s="19">
        <v>0</v>
      </c>
      <c r="X557" s="19">
        <v>0</v>
      </c>
      <c r="Y557" s="19">
        <v>420.26</v>
      </c>
      <c r="Z557" s="19">
        <v>0</v>
      </c>
      <c r="AA557" s="19" t="s">
        <v>135</v>
      </c>
      <c r="AB557" s="19" t="s">
        <v>1289</v>
      </c>
      <c r="AC557" s="19">
        <v>39200000</v>
      </c>
      <c r="AD557" s="19" t="s">
        <v>1092</v>
      </c>
      <c r="AE557" s="19">
        <v>1</v>
      </c>
      <c r="AF557" s="19">
        <v>12.5</v>
      </c>
      <c r="AG557" s="19" t="s">
        <v>1093</v>
      </c>
      <c r="AH557" s="19" t="s">
        <v>39</v>
      </c>
    </row>
    <row r="558" spans="2:34" x14ac:dyDescent="0.35">
      <c r="B558" s="76">
        <v>46224</v>
      </c>
      <c r="C558" s="19" t="s">
        <v>138</v>
      </c>
      <c r="D558" s="19" t="s">
        <v>173</v>
      </c>
      <c r="E558" s="19" t="s">
        <v>762</v>
      </c>
      <c r="F558" s="19" t="s">
        <v>123</v>
      </c>
      <c r="G558" s="19" t="s">
        <v>763</v>
      </c>
      <c r="H558" s="76">
        <v>46223</v>
      </c>
      <c r="I558" s="19" t="s">
        <v>36</v>
      </c>
      <c r="J558" s="19" t="s">
        <v>1350</v>
      </c>
      <c r="K558" s="19" t="s">
        <v>39</v>
      </c>
      <c r="L558" s="19" t="s">
        <v>1351</v>
      </c>
      <c r="M558" s="19" t="s">
        <v>1352</v>
      </c>
      <c r="N558" s="19">
        <v>535</v>
      </c>
      <c r="O558" s="19">
        <v>137484.29999999999</v>
      </c>
      <c r="P558" s="19" t="s">
        <v>1352</v>
      </c>
      <c r="Q558" s="19">
        <v>0</v>
      </c>
      <c r="R558" s="19">
        <v>9</v>
      </c>
      <c r="S558" s="19">
        <v>12373.59</v>
      </c>
      <c r="T558" s="19">
        <v>9</v>
      </c>
      <c r="U558" s="19">
        <v>12373.59</v>
      </c>
      <c r="V558" s="19">
        <v>0</v>
      </c>
      <c r="W558" s="19">
        <v>0</v>
      </c>
      <c r="X558" s="19">
        <v>0</v>
      </c>
      <c r="Y558" s="19">
        <v>24747.18</v>
      </c>
      <c r="Z558" s="19">
        <v>0</v>
      </c>
      <c r="AA558" s="19" t="s">
        <v>135</v>
      </c>
      <c r="AB558" s="19" t="s">
        <v>1289</v>
      </c>
      <c r="AC558" s="19">
        <v>39200000</v>
      </c>
      <c r="AD558" s="19" t="s">
        <v>1092</v>
      </c>
      <c r="AE558" s="19">
        <v>1</v>
      </c>
      <c r="AF558" s="19">
        <f t="shared" ref="AF558" si="21">N558</f>
        <v>535</v>
      </c>
      <c r="AG558" s="19" t="s">
        <v>1093</v>
      </c>
      <c r="AH558" s="19" t="s">
        <v>39</v>
      </c>
    </row>
    <row r="559" spans="2:34" x14ac:dyDescent="0.35">
      <c r="B559" s="76">
        <v>46224</v>
      </c>
      <c r="C559" s="19" t="s">
        <v>138</v>
      </c>
      <c r="D559" s="19" t="s">
        <v>173</v>
      </c>
      <c r="E559" s="19" t="s">
        <v>762</v>
      </c>
      <c r="F559" s="19" t="s">
        <v>123</v>
      </c>
      <c r="G559" s="19" t="s">
        <v>763</v>
      </c>
      <c r="H559" s="76">
        <v>46223</v>
      </c>
      <c r="I559" s="19" t="s">
        <v>36</v>
      </c>
      <c r="J559" s="19" t="s">
        <v>1087</v>
      </c>
      <c r="K559" s="19" t="s">
        <v>46</v>
      </c>
      <c r="L559" s="19" t="s">
        <v>1213</v>
      </c>
      <c r="M559" s="19" t="s">
        <v>1783</v>
      </c>
      <c r="N559" s="19">
        <v>852.1</v>
      </c>
      <c r="O559" s="19">
        <v>135901.429</v>
      </c>
      <c r="P559" s="19" t="s">
        <v>1783</v>
      </c>
      <c r="Q559" s="19">
        <v>0</v>
      </c>
      <c r="R559" s="19">
        <v>2.5</v>
      </c>
      <c r="S559" s="19">
        <v>3397.54</v>
      </c>
      <c r="T559" s="19">
        <v>2.5</v>
      </c>
      <c r="U559" s="19">
        <v>3397.54</v>
      </c>
      <c r="V559" s="19">
        <v>0</v>
      </c>
      <c r="W559" s="19">
        <v>0</v>
      </c>
      <c r="X559" s="19">
        <v>0</v>
      </c>
      <c r="Y559" s="19">
        <v>6795.08</v>
      </c>
      <c r="Z559" s="19">
        <v>0</v>
      </c>
      <c r="AA559" s="19" t="s">
        <v>135</v>
      </c>
      <c r="AB559" s="19" t="s">
        <v>1091</v>
      </c>
      <c r="AC559" s="19">
        <v>54026300</v>
      </c>
      <c r="AD559" s="19" t="s">
        <v>1092</v>
      </c>
      <c r="AE559" s="19">
        <v>1</v>
      </c>
      <c r="AF559" s="19">
        <v>852.1</v>
      </c>
      <c r="AG559" s="19" t="s">
        <v>1093</v>
      </c>
      <c r="AH559" s="19" t="s">
        <v>46</v>
      </c>
    </row>
    <row r="560" spans="2:34" x14ac:dyDescent="0.35">
      <c r="B560" s="76">
        <v>46224</v>
      </c>
      <c r="C560" s="19" t="s">
        <v>138</v>
      </c>
      <c r="D560" s="19" t="s">
        <v>173</v>
      </c>
      <c r="E560" s="19" t="s">
        <v>762</v>
      </c>
      <c r="F560" s="19" t="s">
        <v>123</v>
      </c>
      <c r="G560" s="19" t="s">
        <v>763</v>
      </c>
      <c r="H560" s="76">
        <v>46223</v>
      </c>
      <c r="I560" s="19" t="s">
        <v>36</v>
      </c>
      <c r="J560" s="19" t="s">
        <v>1117</v>
      </c>
      <c r="K560" s="19" t="s">
        <v>44</v>
      </c>
      <c r="L560" s="19" t="s">
        <v>1118</v>
      </c>
      <c r="M560" s="19" t="s">
        <v>1119</v>
      </c>
      <c r="N560" s="19">
        <v>2321</v>
      </c>
      <c r="O560" s="19">
        <v>335361.28999999998</v>
      </c>
      <c r="P560" s="19" t="s">
        <v>1119</v>
      </c>
      <c r="Q560" s="19">
        <v>0</v>
      </c>
      <c r="R560" s="19">
        <v>9</v>
      </c>
      <c r="S560" s="19">
        <v>30182.52</v>
      </c>
      <c r="T560" s="19">
        <v>9</v>
      </c>
      <c r="U560" s="19">
        <v>30182.52</v>
      </c>
      <c r="V560" s="19">
        <v>0</v>
      </c>
      <c r="W560" s="19">
        <v>0</v>
      </c>
      <c r="X560" s="19">
        <v>0</v>
      </c>
      <c r="Y560" s="19">
        <v>60365.04</v>
      </c>
      <c r="Z560" s="19">
        <v>0</v>
      </c>
      <c r="AA560" s="19" t="s">
        <v>135</v>
      </c>
      <c r="AB560" s="19" t="s">
        <v>1289</v>
      </c>
      <c r="AC560" s="19">
        <v>39269080</v>
      </c>
      <c r="AD560" s="19" t="s">
        <v>1092</v>
      </c>
      <c r="AE560" s="19">
        <v>1</v>
      </c>
      <c r="AF560" s="19">
        <v>2321</v>
      </c>
      <c r="AG560" s="19" t="s">
        <v>1093</v>
      </c>
      <c r="AH560" s="19" t="s">
        <v>44</v>
      </c>
    </row>
    <row r="561" spans="2:34" x14ac:dyDescent="0.35">
      <c r="B561" s="76">
        <v>46224</v>
      </c>
      <c r="C561" s="19" t="s">
        <v>138</v>
      </c>
      <c r="D561" s="19" t="s">
        <v>173</v>
      </c>
      <c r="E561" s="19" t="s">
        <v>762</v>
      </c>
      <c r="F561" s="19" t="s">
        <v>123</v>
      </c>
      <c r="G561" s="19" t="s">
        <v>763</v>
      </c>
      <c r="H561" s="76">
        <v>46223</v>
      </c>
      <c r="I561" s="19" t="s">
        <v>36</v>
      </c>
      <c r="J561" s="19" t="s">
        <v>1117</v>
      </c>
      <c r="K561" s="19" t="s">
        <v>44</v>
      </c>
      <c r="L561" s="19" t="s">
        <v>1118</v>
      </c>
      <c r="M561" s="19" t="s">
        <v>1119</v>
      </c>
      <c r="N561" s="19">
        <v>812</v>
      </c>
      <c r="O561" s="19">
        <v>119761.88</v>
      </c>
      <c r="P561" s="19" t="s">
        <v>1119</v>
      </c>
      <c r="Q561" s="19">
        <v>0</v>
      </c>
      <c r="R561" s="19">
        <v>9</v>
      </c>
      <c r="S561" s="19">
        <v>10778.57</v>
      </c>
      <c r="T561" s="19">
        <v>9</v>
      </c>
      <c r="U561" s="19">
        <v>10778.57</v>
      </c>
      <c r="V561" s="19">
        <v>0</v>
      </c>
      <c r="W561" s="19">
        <v>0</v>
      </c>
      <c r="X561" s="19">
        <v>0</v>
      </c>
      <c r="Y561" s="19">
        <v>21557.14</v>
      </c>
      <c r="Z561" s="19">
        <v>0</v>
      </c>
      <c r="AA561" s="19" t="s">
        <v>135</v>
      </c>
      <c r="AB561" s="19" t="s">
        <v>1289</v>
      </c>
      <c r="AC561" s="19">
        <v>39269080</v>
      </c>
      <c r="AD561" s="19" t="s">
        <v>1092</v>
      </c>
      <c r="AE561" s="19">
        <v>1</v>
      </c>
      <c r="AF561" s="19">
        <v>812</v>
      </c>
      <c r="AG561" s="19" t="s">
        <v>1093</v>
      </c>
      <c r="AH561" s="19" t="s">
        <v>44</v>
      </c>
    </row>
    <row r="562" spans="2:34" x14ac:dyDescent="0.35">
      <c r="B562" s="76">
        <v>46224</v>
      </c>
      <c r="C562" s="19" t="s">
        <v>138</v>
      </c>
      <c r="D562" s="19" t="s">
        <v>173</v>
      </c>
      <c r="E562" s="19" t="s">
        <v>762</v>
      </c>
      <c r="F562" s="19" t="s">
        <v>123</v>
      </c>
      <c r="G562" s="19" t="s">
        <v>763</v>
      </c>
      <c r="H562" s="76">
        <v>46223</v>
      </c>
      <c r="I562" s="19" t="s">
        <v>36</v>
      </c>
      <c r="J562" s="19" t="s">
        <v>1117</v>
      </c>
      <c r="K562" s="19" t="s">
        <v>44</v>
      </c>
      <c r="L562" s="19" t="s">
        <v>1118</v>
      </c>
      <c r="M562" s="19" t="s">
        <v>1119</v>
      </c>
      <c r="N562" s="19">
        <v>2693</v>
      </c>
      <c r="O562" s="19">
        <v>402576.57</v>
      </c>
      <c r="P562" s="19" t="s">
        <v>1119</v>
      </c>
      <c r="Q562" s="19">
        <v>0</v>
      </c>
      <c r="R562" s="19">
        <v>9</v>
      </c>
      <c r="S562" s="19">
        <v>36231.89</v>
      </c>
      <c r="T562" s="19">
        <v>9</v>
      </c>
      <c r="U562" s="19">
        <v>36231.89</v>
      </c>
      <c r="V562" s="19">
        <v>0</v>
      </c>
      <c r="W562" s="19">
        <v>0</v>
      </c>
      <c r="X562" s="19">
        <v>0</v>
      </c>
      <c r="Y562" s="19">
        <v>72463.78</v>
      </c>
      <c r="Z562" s="19">
        <v>0</v>
      </c>
      <c r="AA562" s="19" t="s">
        <v>135</v>
      </c>
      <c r="AB562" s="19" t="s">
        <v>1289</v>
      </c>
      <c r="AC562" s="19">
        <v>39269080</v>
      </c>
      <c r="AD562" s="19" t="s">
        <v>1092</v>
      </c>
      <c r="AE562" s="19">
        <v>1</v>
      </c>
      <c r="AF562" s="19">
        <v>2693</v>
      </c>
      <c r="AG562" s="19" t="s">
        <v>1093</v>
      </c>
      <c r="AH562" s="19" t="s">
        <v>44</v>
      </c>
    </row>
    <row r="563" spans="2:34" hidden="1" x14ac:dyDescent="0.35">
      <c r="B563" s="76">
        <v>46224</v>
      </c>
      <c r="C563" s="19" t="s">
        <v>153</v>
      </c>
      <c r="D563" s="19" t="s">
        <v>7</v>
      </c>
      <c r="E563" s="19" t="s">
        <v>747</v>
      </c>
      <c r="F563" s="19" t="s">
        <v>119</v>
      </c>
      <c r="G563" s="19" t="s">
        <v>748</v>
      </c>
      <c r="H563" s="76">
        <v>46221</v>
      </c>
      <c r="I563" s="19" t="s">
        <v>102</v>
      </c>
      <c r="J563" s="19" t="s">
        <v>1872</v>
      </c>
      <c r="K563" s="19" t="s">
        <v>1509</v>
      </c>
      <c r="L563" s="19" t="s">
        <v>1509</v>
      </c>
      <c r="M563" s="19" t="s">
        <v>1873</v>
      </c>
      <c r="N563" s="19">
        <v>72</v>
      </c>
      <c r="O563" s="19">
        <v>1836</v>
      </c>
      <c r="P563" s="19" t="s">
        <v>1873</v>
      </c>
      <c r="Q563" s="19">
        <v>2166</v>
      </c>
      <c r="R563" s="19">
        <v>9</v>
      </c>
      <c r="S563" s="19">
        <v>165.24</v>
      </c>
      <c r="T563" s="19">
        <v>9</v>
      </c>
      <c r="U563" s="19">
        <v>165.24</v>
      </c>
      <c r="V563" s="19">
        <v>0</v>
      </c>
      <c r="W563" s="19">
        <v>0</v>
      </c>
      <c r="X563" s="19">
        <v>0</v>
      </c>
      <c r="Y563" s="19">
        <v>330.48</v>
      </c>
      <c r="Z563" s="19">
        <v>0</v>
      </c>
      <c r="AA563" s="19" t="s">
        <v>154</v>
      </c>
      <c r="AB563" s="19" t="s">
        <v>1572</v>
      </c>
      <c r="AC563" s="19">
        <v>3919909</v>
      </c>
      <c r="AD563" s="19" t="s">
        <v>1092</v>
      </c>
      <c r="AE563" s="19">
        <v>1</v>
      </c>
      <c r="AF563" s="19">
        <v>0</v>
      </c>
      <c r="AG563" s="19" t="s">
        <v>1093</v>
      </c>
      <c r="AH563" s="19" t="s">
        <v>2319</v>
      </c>
    </row>
    <row r="564" spans="2:34" hidden="1" x14ac:dyDescent="0.35">
      <c r="B564" s="76">
        <v>46224</v>
      </c>
      <c r="C564" s="19" t="s">
        <v>130</v>
      </c>
      <c r="D564" s="19" t="s">
        <v>126</v>
      </c>
      <c r="E564" s="19" t="s">
        <v>735</v>
      </c>
      <c r="F564" s="19" t="s">
        <v>118</v>
      </c>
      <c r="G564" s="19">
        <v>1475</v>
      </c>
      <c r="H564" s="76">
        <v>46218</v>
      </c>
      <c r="I564" s="19" t="s">
        <v>102</v>
      </c>
      <c r="J564" s="19" t="s">
        <v>1570</v>
      </c>
      <c r="K564" s="19" t="s">
        <v>1127</v>
      </c>
      <c r="L564" s="19" t="s">
        <v>102</v>
      </c>
      <c r="M564" s="19" t="s">
        <v>1571</v>
      </c>
      <c r="N564" s="19">
        <v>1</v>
      </c>
      <c r="O564" s="19">
        <v>537.6</v>
      </c>
      <c r="P564" s="19" t="s">
        <v>1571</v>
      </c>
      <c r="Q564" s="19">
        <v>814</v>
      </c>
      <c r="R564" s="19">
        <v>9</v>
      </c>
      <c r="S564" s="19">
        <v>48.38</v>
      </c>
      <c r="T564" s="19">
        <v>9</v>
      </c>
      <c r="U564" s="19">
        <v>48.38</v>
      </c>
      <c r="V564" s="19">
        <v>0</v>
      </c>
      <c r="W564" s="19">
        <v>0</v>
      </c>
      <c r="X564" s="19">
        <v>0</v>
      </c>
      <c r="Y564" s="19">
        <v>96.76</v>
      </c>
      <c r="Z564" s="19">
        <v>0</v>
      </c>
      <c r="AA564" s="19" t="s">
        <v>131</v>
      </c>
      <c r="AB564" s="19" t="s">
        <v>1572</v>
      </c>
      <c r="AC564" s="19">
        <v>400200</v>
      </c>
      <c r="AD564" s="19" t="s">
        <v>1092</v>
      </c>
      <c r="AE564" s="19">
        <v>1</v>
      </c>
      <c r="AF564" s="19">
        <v>0</v>
      </c>
      <c r="AG564" s="19" t="s">
        <v>1093</v>
      </c>
      <c r="AH564" s="19" t="s">
        <v>2319</v>
      </c>
    </row>
    <row r="565" spans="2:34" hidden="1" x14ac:dyDescent="0.35">
      <c r="B565" s="76">
        <v>46224</v>
      </c>
      <c r="C565" s="19" t="s">
        <v>130</v>
      </c>
      <c r="D565" s="19" t="s">
        <v>126</v>
      </c>
      <c r="E565" s="19" t="s">
        <v>735</v>
      </c>
      <c r="F565" s="19" t="s">
        <v>118</v>
      </c>
      <c r="G565" s="19">
        <v>1475</v>
      </c>
      <c r="H565" s="76">
        <v>46218</v>
      </c>
      <c r="I565" s="19" t="s">
        <v>102</v>
      </c>
      <c r="J565" s="19" t="s">
        <v>1570</v>
      </c>
      <c r="K565" s="19" t="s">
        <v>1127</v>
      </c>
      <c r="L565" s="19" t="s">
        <v>102</v>
      </c>
      <c r="M565" s="19" t="s">
        <v>1571</v>
      </c>
      <c r="N565" s="19">
        <v>1</v>
      </c>
      <c r="O565" s="19">
        <v>151.9</v>
      </c>
      <c r="P565" s="19" t="s">
        <v>1571</v>
      </c>
      <c r="Q565" s="19">
        <v>0</v>
      </c>
      <c r="R565" s="19">
        <v>9</v>
      </c>
      <c r="S565" s="19">
        <v>13.67</v>
      </c>
      <c r="T565" s="19">
        <v>9</v>
      </c>
      <c r="U565" s="19">
        <v>13.67</v>
      </c>
      <c r="V565" s="19">
        <v>0</v>
      </c>
      <c r="W565" s="19">
        <v>0</v>
      </c>
      <c r="X565" s="19">
        <v>0</v>
      </c>
      <c r="Y565" s="19">
        <v>27.34</v>
      </c>
      <c r="Z565" s="19">
        <v>0</v>
      </c>
      <c r="AA565" s="19" t="s">
        <v>131</v>
      </c>
      <c r="AB565" s="19" t="s">
        <v>1572</v>
      </c>
      <c r="AC565" s="19">
        <v>400200</v>
      </c>
      <c r="AD565" s="19" t="s">
        <v>1092</v>
      </c>
      <c r="AE565" s="19">
        <v>1</v>
      </c>
      <c r="AF565" s="19">
        <v>0</v>
      </c>
      <c r="AG565" s="19" t="s">
        <v>1093</v>
      </c>
      <c r="AH565" s="19" t="s">
        <v>2319</v>
      </c>
    </row>
    <row r="566" spans="2:34" hidden="1" x14ac:dyDescent="0.35">
      <c r="B566" s="76">
        <v>46224</v>
      </c>
      <c r="C566" s="19" t="s">
        <v>305</v>
      </c>
      <c r="D566" s="19" t="s">
        <v>126</v>
      </c>
      <c r="E566" s="19" t="s">
        <v>727</v>
      </c>
      <c r="F566" s="19" t="s">
        <v>118</v>
      </c>
      <c r="G566" s="19" t="s">
        <v>728</v>
      </c>
      <c r="H566" s="76">
        <v>46223</v>
      </c>
      <c r="I566" s="19" t="s">
        <v>102</v>
      </c>
      <c r="J566" s="19" t="s">
        <v>1673</v>
      </c>
      <c r="K566" s="19" t="s">
        <v>1127</v>
      </c>
      <c r="L566" s="19" t="s">
        <v>102</v>
      </c>
      <c r="M566" s="19" t="s">
        <v>1709</v>
      </c>
      <c r="N566" s="19">
        <v>288</v>
      </c>
      <c r="O566" s="19">
        <v>56160</v>
      </c>
      <c r="P566" s="19" t="s">
        <v>1709</v>
      </c>
      <c r="Q566" s="19">
        <v>59598</v>
      </c>
      <c r="R566" s="19">
        <v>2.5</v>
      </c>
      <c r="S566" s="19">
        <v>1404</v>
      </c>
      <c r="T566" s="19">
        <v>2.5</v>
      </c>
      <c r="U566" s="19">
        <v>1404</v>
      </c>
      <c r="V566" s="19">
        <v>0</v>
      </c>
      <c r="W566" s="19">
        <v>0</v>
      </c>
      <c r="X566" s="19">
        <v>30</v>
      </c>
      <c r="Y566" s="19">
        <v>2838</v>
      </c>
      <c r="Z566" s="19">
        <v>0</v>
      </c>
      <c r="AA566" s="19" t="s">
        <v>306</v>
      </c>
      <c r="AB566" s="19" t="s">
        <v>1555</v>
      </c>
      <c r="AC566" s="19">
        <v>320414</v>
      </c>
      <c r="AD566" s="19" t="s">
        <v>1092</v>
      </c>
      <c r="AE566" s="19">
        <v>1</v>
      </c>
      <c r="AF566" s="19">
        <v>0</v>
      </c>
      <c r="AG566" s="19" t="s">
        <v>1093</v>
      </c>
      <c r="AH566" s="19" t="s">
        <v>2319</v>
      </c>
    </row>
    <row r="567" spans="2:34" hidden="1" x14ac:dyDescent="0.35">
      <c r="B567" s="76">
        <v>46224</v>
      </c>
      <c r="C567" s="19" t="s">
        <v>478</v>
      </c>
      <c r="D567" s="19" t="s">
        <v>126</v>
      </c>
      <c r="E567" s="19" t="s">
        <v>759</v>
      </c>
      <c r="F567" s="19" t="s">
        <v>118</v>
      </c>
      <c r="G567" s="19" t="s">
        <v>760</v>
      </c>
      <c r="H567" s="76">
        <v>46221</v>
      </c>
      <c r="I567" s="19" t="s">
        <v>105</v>
      </c>
      <c r="J567" s="19" t="s">
        <v>1579</v>
      </c>
      <c r="K567" s="19" t="s">
        <v>1127</v>
      </c>
      <c r="L567" s="19" t="s">
        <v>1389</v>
      </c>
      <c r="M567" s="19" t="s">
        <v>1874</v>
      </c>
      <c r="N567" s="19">
        <v>4</v>
      </c>
      <c r="O567" s="19">
        <v>42020</v>
      </c>
      <c r="P567" s="19" t="s">
        <v>1874</v>
      </c>
      <c r="Q567" s="19">
        <v>49584</v>
      </c>
      <c r="R567" s="19">
        <v>9</v>
      </c>
      <c r="S567" s="19">
        <v>3781.8</v>
      </c>
      <c r="T567" s="19">
        <v>9</v>
      </c>
      <c r="U567" s="19">
        <v>3781.8</v>
      </c>
      <c r="V567" s="19">
        <v>0</v>
      </c>
      <c r="W567" s="19">
        <v>0</v>
      </c>
      <c r="X567" s="19">
        <v>0</v>
      </c>
      <c r="Y567" s="19">
        <v>7563.6</v>
      </c>
      <c r="Z567" s="19">
        <v>0</v>
      </c>
      <c r="AA567" s="19" t="s">
        <v>479</v>
      </c>
      <c r="AB567" s="19" t="s">
        <v>1875</v>
      </c>
      <c r="AC567" s="19">
        <v>84484990</v>
      </c>
      <c r="AD567" s="19" t="s">
        <v>1092</v>
      </c>
      <c r="AE567" s="19">
        <v>1</v>
      </c>
      <c r="AF567" s="19">
        <v>0</v>
      </c>
      <c r="AG567" s="19" t="s">
        <v>1093</v>
      </c>
      <c r="AH567" s="19" t="s">
        <v>2319</v>
      </c>
    </row>
    <row r="568" spans="2:34" hidden="1" x14ac:dyDescent="0.35">
      <c r="B568" s="76">
        <v>46224</v>
      </c>
      <c r="C568" s="19" t="s">
        <v>345</v>
      </c>
      <c r="D568" s="19" t="s">
        <v>126</v>
      </c>
      <c r="E568" s="19" t="s">
        <v>761</v>
      </c>
      <c r="F568" s="19" t="s">
        <v>121</v>
      </c>
      <c r="G568" s="19">
        <v>360</v>
      </c>
      <c r="H568" s="76">
        <v>46221</v>
      </c>
      <c r="I568" s="19" t="s">
        <v>105</v>
      </c>
      <c r="J568" s="19" t="s">
        <v>1579</v>
      </c>
      <c r="K568" s="19" t="s">
        <v>1127</v>
      </c>
      <c r="L568" s="19" t="s">
        <v>1389</v>
      </c>
      <c r="M568" s="19" t="s">
        <v>1876</v>
      </c>
      <c r="N568" s="19">
        <v>5</v>
      </c>
      <c r="O568" s="19">
        <v>4250</v>
      </c>
      <c r="P568" s="19" t="s">
        <v>1876</v>
      </c>
      <c r="Q568" s="19">
        <v>5015</v>
      </c>
      <c r="R568" s="19">
        <v>0</v>
      </c>
      <c r="S568" s="19">
        <v>0</v>
      </c>
      <c r="T568" s="19">
        <v>0</v>
      </c>
      <c r="U568" s="19">
        <v>0</v>
      </c>
      <c r="V568" s="19">
        <v>18</v>
      </c>
      <c r="W568" s="19">
        <v>765</v>
      </c>
      <c r="X568" s="19">
        <v>0</v>
      </c>
      <c r="Y568" s="19">
        <v>765</v>
      </c>
      <c r="Z568" s="19">
        <v>0</v>
      </c>
      <c r="AA568" s="19" t="s">
        <v>346</v>
      </c>
      <c r="AB568" s="19" t="s">
        <v>1555</v>
      </c>
      <c r="AC568" s="19">
        <v>844819</v>
      </c>
      <c r="AD568" s="19" t="s">
        <v>1092</v>
      </c>
      <c r="AE568" s="19">
        <v>1</v>
      </c>
      <c r="AF568" s="19">
        <v>0</v>
      </c>
      <c r="AG568" s="19" t="s">
        <v>1093</v>
      </c>
      <c r="AH568" s="19" t="s">
        <v>2319</v>
      </c>
    </row>
    <row r="569" spans="2:34" hidden="1" x14ac:dyDescent="0.35">
      <c r="B569" s="76">
        <v>46225</v>
      </c>
      <c r="C569" s="19" t="s">
        <v>768</v>
      </c>
      <c r="D569" s="19" t="s">
        <v>126</v>
      </c>
      <c r="E569" s="19" t="s">
        <v>766</v>
      </c>
      <c r="F569" s="19" t="s">
        <v>121</v>
      </c>
      <c r="G569" s="19" t="s">
        <v>767</v>
      </c>
      <c r="H569" s="76">
        <v>46218</v>
      </c>
      <c r="I569" s="19" t="s">
        <v>102</v>
      </c>
      <c r="J569" s="19" t="s">
        <v>102</v>
      </c>
      <c r="K569" s="19" t="s">
        <v>102</v>
      </c>
      <c r="L569" s="19" t="s">
        <v>102</v>
      </c>
      <c r="M569" s="19" t="s">
        <v>1227</v>
      </c>
      <c r="N569" s="19">
        <v>700</v>
      </c>
      <c r="O569" s="19">
        <v>171500</v>
      </c>
      <c r="P569" s="19" t="s">
        <v>1227</v>
      </c>
      <c r="Q569" s="19">
        <v>202370</v>
      </c>
      <c r="R569" s="19">
        <v>0</v>
      </c>
      <c r="S569" s="19">
        <v>0</v>
      </c>
      <c r="T569" s="19">
        <v>0</v>
      </c>
      <c r="U569" s="19">
        <v>0</v>
      </c>
      <c r="V569" s="19">
        <v>18</v>
      </c>
      <c r="W569" s="19">
        <v>30870</v>
      </c>
      <c r="X569" s="19">
        <v>0</v>
      </c>
      <c r="Y569" s="19">
        <v>30870</v>
      </c>
      <c r="Z569" s="19">
        <v>0</v>
      </c>
      <c r="AA569" s="19" t="s">
        <v>769</v>
      </c>
      <c r="AB569" s="19" t="s">
        <v>1289</v>
      </c>
      <c r="AC569" s="19">
        <v>35052000</v>
      </c>
      <c r="AD569" s="19" t="s">
        <v>1092</v>
      </c>
      <c r="AE569" s="19">
        <v>1</v>
      </c>
      <c r="AF569" s="19">
        <v>0</v>
      </c>
      <c r="AG569" s="19" t="s">
        <v>1093</v>
      </c>
      <c r="AH569" s="19" t="s">
        <v>2319</v>
      </c>
    </row>
    <row r="570" spans="2:34" x14ac:dyDescent="0.35">
      <c r="B570" s="76">
        <v>46225</v>
      </c>
      <c r="C570" s="19" t="s">
        <v>178</v>
      </c>
      <c r="D570" s="19" t="s">
        <v>173</v>
      </c>
      <c r="E570" s="19" t="s">
        <v>782</v>
      </c>
      <c r="F570" s="19" t="s">
        <v>123</v>
      </c>
      <c r="G570" s="19" t="s">
        <v>783</v>
      </c>
      <c r="H570" s="76">
        <v>46224</v>
      </c>
      <c r="I570" s="19" t="s">
        <v>36</v>
      </c>
      <c r="J570" s="19" t="s">
        <v>1117</v>
      </c>
      <c r="K570" s="19" t="s">
        <v>44</v>
      </c>
      <c r="L570" s="19" t="s">
        <v>1118</v>
      </c>
      <c r="M570" s="19" t="s">
        <v>1119</v>
      </c>
      <c r="N570" s="19">
        <v>4302</v>
      </c>
      <c r="O570" s="19">
        <v>673219.98</v>
      </c>
      <c r="P570" s="19" t="s">
        <v>1119</v>
      </c>
      <c r="Q570" s="19">
        <v>859163.84</v>
      </c>
      <c r="R570" s="19">
        <v>9</v>
      </c>
      <c r="S570" s="19">
        <v>60589.8</v>
      </c>
      <c r="T570" s="19">
        <v>9</v>
      </c>
      <c r="U570" s="19">
        <v>60589.8</v>
      </c>
      <c r="V570" s="19">
        <v>0</v>
      </c>
      <c r="W570" s="19">
        <v>0</v>
      </c>
      <c r="X570" s="19">
        <v>0</v>
      </c>
      <c r="Y570" s="19">
        <v>121179.6</v>
      </c>
      <c r="Z570" s="19">
        <v>0</v>
      </c>
      <c r="AA570" s="19" t="s">
        <v>179</v>
      </c>
      <c r="AB570" s="19" t="s">
        <v>1289</v>
      </c>
      <c r="AC570" s="19">
        <v>39269080</v>
      </c>
      <c r="AD570" s="19" t="s">
        <v>1092</v>
      </c>
      <c r="AE570" s="19">
        <v>1</v>
      </c>
      <c r="AF570" s="19">
        <v>4302</v>
      </c>
      <c r="AG570" s="19" t="s">
        <v>1093</v>
      </c>
      <c r="AH570" s="19" t="s">
        <v>44</v>
      </c>
    </row>
    <row r="571" spans="2:34" x14ac:dyDescent="0.35">
      <c r="B571" s="76">
        <v>46225</v>
      </c>
      <c r="C571" s="19" t="s">
        <v>178</v>
      </c>
      <c r="D571" s="19" t="s">
        <v>173</v>
      </c>
      <c r="E571" s="19" t="s">
        <v>782</v>
      </c>
      <c r="F571" s="19" t="s">
        <v>123</v>
      </c>
      <c r="G571" s="19" t="s">
        <v>783</v>
      </c>
      <c r="H571" s="76">
        <v>46224</v>
      </c>
      <c r="I571" s="19" t="s">
        <v>36</v>
      </c>
      <c r="J571" s="19" t="s">
        <v>1117</v>
      </c>
      <c r="K571" s="19" t="s">
        <v>44</v>
      </c>
      <c r="L571" s="19" t="s">
        <v>1118</v>
      </c>
      <c r="M571" s="19" t="s">
        <v>1119</v>
      </c>
      <c r="N571" s="19">
        <v>348</v>
      </c>
      <c r="O571" s="19">
        <v>55502.52</v>
      </c>
      <c r="P571" s="19" t="s">
        <v>1119</v>
      </c>
      <c r="Q571" s="19">
        <v>0</v>
      </c>
      <c r="R571" s="19">
        <v>9</v>
      </c>
      <c r="S571" s="19">
        <v>4995.2299999999996</v>
      </c>
      <c r="T571" s="19">
        <v>9</v>
      </c>
      <c r="U571" s="19">
        <v>4995.2299999999996</v>
      </c>
      <c r="V571" s="19">
        <v>0</v>
      </c>
      <c r="W571" s="19">
        <v>0</v>
      </c>
      <c r="X571" s="19">
        <v>0</v>
      </c>
      <c r="Y571" s="19">
        <v>9990.4599999999991</v>
      </c>
      <c r="Z571" s="19">
        <v>0</v>
      </c>
      <c r="AA571" s="19" t="s">
        <v>179</v>
      </c>
      <c r="AB571" s="19" t="s">
        <v>1289</v>
      </c>
      <c r="AC571" s="19">
        <v>39269080</v>
      </c>
      <c r="AD571" s="19" t="s">
        <v>1092</v>
      </c>
      <c r="AE571" s="19">
        <v>1</v>
      </c>
      <c r="AF571" s="19">
        <v>348</v>
      </c>
      <c r="AG571" s="19" t="s">
        <v>1093</v>
      </c>
      <c r="AH571" s="19" t="s">
        <v>44</v>
      </c>
    </row>
    <row r="572" spans="2:34" hidden="1" x14ac:dyDescent="0.35">
      <c r="B572" s="76">
        <v>46225</v>
      </c>
      <c r="C572" s="19" t="s">
        <v>138</v>
      </c>
      <c r="D572" s="19" t="s">
        <v>7</v>
      </c>
      <c r="E572" s="19" t="s">
        <v>776</v>
      </c>
      <c r="F572" s="19" t="s">
        <v>119</v>
      </c>
      <c r="G572" s="19" t="s">
        <v>777</v>
      </c>
      <c r="H572" s="76">
        <v>46224</v>
      </c>
      <c r="I572" s="19" t="s">
        <v>105</v>
      </c>
      <c r="J572" s="19" t="s">
        <v>1142</v>
      </c>
      <c r="K572" s="19" t="s">
        <v>1509</v>
      </c>
      <c r="L572" s="19" t="s">
        <v>1509</v>
      </c>
      <c r="M572" s="19" t="s">
        <v>1196</v>
      </c>
      <c r="N572" s="19">
        <v>1143</v>
      </c>
      <c r="O572" s="19">
        <v>54864</v>
      </c>
      <c r="P572" s="19" t="s">
        <v>1196</v>
      </c>
      <c r="Q572" s="19">
        <v>101865.60000000001</v>
      </c>
      <c r="R572" s="19">
        <v>9</v>
      </c>
      <c r="S572" s="19">
        <v>4937.76</v>
      </c>
      <c r="T572" s="19">
        <v>9</v>
      </c>
      <c r="U572" s="19">
        <v>4937.76</v>
      </c>
      <c r="V572" s="19">
        <v>0</v>
      </c>
      <c r="W572" s="19">
        <v>0</v>
      </c>
      <c r="X572" s="19">
        <v>0</v>
      </c>
      <c r="Y572" s="19">
        <v>9875.52</v>
      </c>
      <c r="Z572" s="19">
        <v>0</v>
      </c>
      <c r="AA572" s="19" t="s">
        <v>135</v>
      </c>
      <c r="AB572" s="19" t="s">
        <v>1289</v>
      </c>
      <c r="AC572" s="19">
        <v>73063090</v>
      </c>
      <c r="AD572" s="19" t="s">
        <v>1092</v>
      </c>
      <c r="AE572" s="19">
        <v>1</v>
      </c>
      <c r="AF572" s="19">
        <v>0</v>
      </c>
      <c r="AG572" s="19" t="s">
        <v>1093</v>
      </c>
      <c r="AH572" s="19" t="s">
        <v>2319</v>
      </c>
    </row>
    <row r="573" spans="2:34" hidden="1" x14ac:dyDescent="0.35">
      <c r="B573" s="76">
        <v>46225</v>
      </c>
      <c r="C573" s="19" t="s">
        <v>138</v>
      </c>
      <c r="D573" s="19" t="s">
        <v>7</v>
      </c>
      <c r="E573" s="19" t="s">
        <v>776</v>
      </c>
      <c r="F573" s="19" t="s">
        <v>119</v>
      </c>
      <c r="G573" s="19" t="s">
        <v>777</v>
      </c>
      <c r="H573" s="76">
        <v>46224</v>
      </c>
      <c r="I573" s="19" t="s">
        <v>105</v>
      </c>
      <c r="J573" s="19" t="s">
        <v>1142</v>
      </c>
      <c r="K573" s="19" t="s">
        <v>1509</v>
      </c>
      <c r="L573" s="19" t="s">
        <v>1509</v>
      </c>
      <c r="M573" s="19" t="s">
        <v>1196</v>
      </c>
      <c r="N573" s="19">
        <v>657</v>
      </c>
      <c r="O573" s="19">
        <v>31536</v>
      </c>
      <c r="P573" s="19" t="s">
        <v>1196</v>
      </c>
      <c r="Q573" s="19">
        <v>0</v>
      </c>
      <c r="R573" s="19">
        <v>9</v>
      </c>
      <c r="S573" s="19">
        <v>2838.24</v>
      </c>
      <c r="T573" s="19">
        <v>9</v>
      </c>
      <c r="U573" s="19">
        <v>2838.24</v>
      </c>
      <c r="V573" s="19">
        <v>0</v>
      </c>
      <c r="W573" s="19">
        <v>0</v>
      </c>
      <c r="X573" s="19">
        <v>0</v>
      </c>
      <c r="Y573" s="19">
        <v>5676.48</v>
      </c>
      <c r="Z573" s="19">
        <v>0</v>
      </c>
      <c r="AA573" s="19" t="s">
        <v>135</v>
      </c>
      <c r="AB573" s="19" t="s">
        <v>1289</v>
      </c>
      <c r="AC573" s="19">
        <v>73063090</v>
      </c>
      <c r="AD573" s="19" t="s">
        <v>1092</v>
      </c>
      <c r="AE573" s="19">
        <v>1</v>
      </c>
      <c r="AF573" s="19">
        <v>0</v>
      </c>
      <c r="AG573" s="19" t="s">
        <v>1093</v>
      </c>
      <c r="AH573" s="19" t="s">
        <v>2319</v>
      </c>
    </row>
    <row r="574" spans="2:34" hidden="1" x14ac:dyDescent="0.35">
      <c r="B574" s="76">
        <v>46225</v>
      </c>
      <c r="C574" s="19" t="s">
        <v>138</v>
      </c>
      <c r="D574" s="19" t="s">
        <v>7</v>
      </c>
      <c r="E574" s="19" t="s">
        <v>778</v>
      </c>
      <c r="F574" s="19" t="s">
        <v>119</v>
      </c>
      <c r="G574" s="19" t="s">
        <v>779</v>
      </c>
      <c r="H574" s="76">
        <v>46224</v>
      </c>
      <c r="I574" s="19" t="s">
        <v>105</v>
      </c>
      <c r="J574" s="19" t="s">
        <v>1142</v>
      </c>
      <c r="K574" s="19" t="s">
        <v>1509</v>
      </c>
      <c r="L574" s="19" t="s">
        <v>1509</v>
      </c>
      <c r="M574" s="19" t="s">
        <v>1196</v>
      </c>
      <c r="N574" s="19">
        <v>178</v>
      </c>
      <c r="O574" s="19">
        <v>8544</v>
      </c>
      <c r="P574" s="19" t="s">
        <v>1196</v>
      </c>
      <c r="Q574" s="19">
        <v>10073.379999999999</v>
      </c>
      <c r="R574" s="19">
        <v>9</v>
      </c>
      <c r="S574" s="19">
        <v>768.96</v>
      </c>
      <c r="T574" s="19">
        <v>9</v>
      </c>
      <c r="U574" s="19">
        <v>768.96</v>
      </c>
      <c r="V574" s="19">
        <v>0</v>
      </c>
      <c r="W574" s="19">
        <v>0</v>
      </c>
      <c r="X574" s="19">
        <v>0</v>
      </c>
      <c r="Y574" s="19">
        <v>1537.92</v>
      </c>
      <c r="Z574" s="19">
        <v>0</v>
      </c>
      <c r="AA574" s="19" t="s">
        <v>135</v>
      </c>
      <c r="AB574" s="19" t="s">
        <v>1289</v>
      </c>
      <c r="AC574" s="19">
        <v>73063090</v>
      </c>
      <c r="AD574" s="19" t="s">
        <v>1092</v>
      </c>
      <c r="AE574" s="19">
        <v>1</v>
      </c>
      <c r="AF574" s="19">
        <v>0</v>
      </c>
      <c r="AG574" s="19" t="s">
        <v>1093</v>
      </c>
      <c r="AH574" s="19" t="s">
        <v>2319</v>
      </c>
    </row>
    <row r="575" spans="2:34" x14ac:dyDescent="0.35">
      <c r="B575" s="76">
        <v>46225</v>
      </c>
      <c r="C575" s="19" t="s">
        <v>138</v>
      </c>
      <c r="D575" s="19" t="s">
        <v>173</v>
      </c>
      <c r="E575" s="19" t="s">
        <v>784</v>
      </c>
      <c r="F575" s="19" t="s">
        <v>123</v>
      </c>
      <c r="G575" s="19" t="s">
        <v>785</v>
      </c>
      <c r="H575" s="76">
        <v>46224</v>
      </c>
      <c r="I575" s="19" t="s">
        <v>36</v>
      </c>
      <c r="J575" s="19" t="s">
        <v>1117</v>
      </c>
      <c r="K575" s="19" t="s">
        <v>44</v>
      </c>
      <c r="L575" s="19" t="s">
        <v>1118</v>
      </c>
      <c r="M575" s="19" t="s">
        <v>1119</v>
      </c>
      <c r="N575" s="19">
        <v>3314</v>
      </c>
      <c r="O575" s="19">
        <v>495409.86</v>
      </c>
      <c r="P575" s="19" t="s">
        <v>1119</v>
      </c>
      <c r="Q575" s="19">
        <v>1162800.1000000001</v>
      </c>
      <c r="R575" s="19">
        <v>9</v>
      </c>
      <c r="S575" s="19">
        <v>44586.89</v>
      </c>
      <c r="T575" s="19">
        <v>9</v>
      </c>
      <c r="U575" s="19">
        <v>44586.89</v>
      </c>
      <c r="V575" s="19">
        <v>0</v>
      </c>
      <c r="W575" s="19">
        <v>0</v>
      </c>
      <c r="X575" s="19">
        <v>0</v>
      </c>
      <c r="Y575" s="19">
        <v>89173.78</v>
      </c>
      <c r="Z575" s="19">
        <v>0</v>
      </c>
      <c r="AA575" s="19" t="s">
        <v>135</v>
      </c>
      <c r="AB575" s="19" t="s">
        <v>1289</v>
      </c>
      <c r="AC575" s="19">
        <v>39269080</v>
      </c>
      <c r="AD575" s="19" t="s">
        <v>1092</v>
      </c>
      <c r="AE575" s="19">
        <v>1</v>
      </c>
      <c r="AF575" s="19">
        <v>3314</v>
      </c>
      <c r="AG575" s="19" t="s">
        <v>1093</v>
      </c>
      <c r="AH575" s="19" t="s">
        <v>44</v>
      </c>
    </row>
    <row r="576" spans="2:34" x14ac:dyDescent="0.35">
      <c r="B576" s="76">
        <v>46225</v>
      </c>
      <c r="C576" s="19" t="s">
        <v>138</v>
      </c>
      <c r="D576" s="19" t="s">
        <v>173</v>
      </c>
      <c r="E576" s="19" t="s">
        <v>784</v>
      </c>
      <c r="F576" s="19" t="s">
        <v>123</v>
      </c>
      <c r="G576" s="19" t="s">
        <v>785</v>
      </c>
      <c r="H576" s="76">
        <v>46224</v>
      </c>
      <c r="I576" s="19" t="s">
        <v>36</v>
      </c>
      <c r="J576" s="19" t="s">
        <v>1087</v>
      </c>
      <c r="K576" s="19" t="s">
        <v>46</v>
      </c>
      <c r="L576" s="19" t="s">
        <v>1213</v>
      </c>
      <c r="M576" s="19" t="s">
        <v>1782</v>
      </c>
      <c r="N576" s="19">
        <v>964.7</v>
      </c>
      <c r="O576" s="19">
        <v>150965.90299999999</v>
      </c>
      <c r="P576" s="19" t="s">
        <v>1782</v>
      </c>
      <c r="Q576" s="19">
        <v>0</v>
      </c>
      <c r="R576" s="19">
        <v>2.5</v>
      </c>
      <c r="S576" s="19">
        <v>3774.15</v>
      </c>
      <c r="T576" s="19">
        <v>2.5</v>
      </c>
      <c r="U576" s="19">
        <v>3774.15</v>
      </c>
      <c r="V576" s="19">
        <v>0</v>
      </c>
      <c r="W576" s="19">
        <v>0</v>
      </c>
      <c r="X576" s="19">
        <v>0</v>
      </c>
      <c r="Y576" s="19">
        <v>7548.3</v>
      </c>
      <c r="Z576" s="19">
        <v>0</v>
      </c>
      <c r="AA576" s="19" t="s">
        <v>135</v>
      </c>
      <c r="AB576" s="19" t="s">
        <v>1091</v>
      </c>
      <c r="AC576" s="19">
        <v>54026930</v>
      </c>
      <c r="AD576" s="19" t="s">
        <v>1092</v>
      </c>
      <c r="AE576" s="19">
        <v>1</v>
      </c>
      <c r="AF576" s="19">
        <v>964.7</v>
      </c>
      <c r="AG576" s="19" t="s">
        <v>1093</v>
      </c>
      <c r="AH576" s="19" t="s">
        <v>46</v>
      </c>
    </row>
    <row r="577" spans="2:34" x14ac:dyDescent="0.35">
      <c r="B577" s="76">
        <v>46225</v>
      </c>
      <c r="C577" s="19" t="s">
        <v>138</v>
      </c>
      <c r="D577" s="19" t="s">
        <v>173</v>
      </c>
      <c r="E577" s="19" t="s">
        <v>784</v>
      </c>
      <c r="F577" s="19" t="s">
        <v>123</v>
      </c>
      <c r="G577" s="19" t="s">
        <v>785</v>
      </c>
      <c r="H577" s="76">
        <v>46224</v>
      </c>
      <c r="I577" s="19" t="s">
        <v>36</v>
      </c>
      <c r="J577" s="19" t="s">
        <v>1350</v>
      </c>
      <c r="K577" s="19" t="s">
        <v>39</v>
      </c>
      <c r="L577" s="19" t="s">
        <v>1351</v>
      </c>
      <c r="M577" s="19" t="s">
        <v>1352</v>
      </c>
      <c r="N577" s="19">
        <v>1215.5</v>
      </c>
      <c r="O577" s="19">
        <v>251341.09</v>
      </c>
      <c r="P577" s="19" t="s">
        <v>1352</v>
      </c>
      <c r="Q577" s="19">
        <v>0</v>
      </c>
      <c r="R577" s="19">
        <v>9</v>
      </c>
      <c r="S577" s="19">
        <v>22620.7</v>
      </c>
      <c r="T577" s="19">
        <v>9</v>
      </c>
      <c r="U577" s="19">
        <v>22620.7</v>
      </c>
      <c r="V577" s="19">
        <v>0</v>
      </c>
      <c r="W577" s="19">
        <v>0</v>
      </c>
      <c r="X577" s="19">
        <v>0</v>
      </c>
      <c r="Y577" s="19">
        <v>45241.4</v>
      </c>
      <c r="Z577" s="19">
        <v>0</v>
      </c>
      <c r="AA577" s="19" t="s">
        <v>135</v>
      </c>
      <c r="AB577" s="19" t="s">
        <v>1289</v>
      </c>
      <c r="AC577" s="19">
        <v>39200000</v>
      </c>
      <c r="AD577" s="19" t="s">
        <v>1092</v>
      </c>
      <c r="AE577" s="19">
        <v>1</v>
      </c>
      <c r="AF577" s="19">
        <v>1215.5</v>
      </c>
      <c r="AG577" s="19" t="s">
        <v>1093</v>
      </c>
      <c r="AH577" s="19" t="s">
        <v>39</v>
      </c>
    </row>
    <row r="578" spans="2:34" x14ac:dyDescent="0.35">
      <c r="B578" s="76">
        <v>46225</v>
      </c>
      <c r="C578" s="19" t="s">
        <v>138</v>
      </c>
      <c r="D578" s="19" t="s">
        <v>173</v>
      </c>
      <c r="E578" s="19" t="s">
        <v>784</v>
      </c>
      <c r="F578" s="19" t="s">
        <v>123</v>
      </c>
      <c r="G578" s="19" t="s">
        <v>785</v>
      </c>
      <c r="H578" s="76">
        <v>46224</v>
      </c>
      <c r="I578" s="19" t="s">
        <v>36</v>
      </c>
      <c r="J578" s="19" t="s">
        <v>1117</v>
      </c>
      <c r="K578" s="19" t="s">
        <v>44</v>
      </c>
      <c r="L578" s="19" t="s">
        <v>1118</v>
      </c>
      <c r="M578" s="19" t="s">
        <v>1119</v>
      </c>
      <c r="N578" s="19">
        <v>728</v>
      </c>
      <c r="O578" s="19">
        <v>105188.72</v>
      </c>
      <c r="P578" s="19" t="s">
        <v>1119</v>
      </c>
      <c r="Q578" s="19">
        <v>0</v>
      </c>
      <c r="R578" s="19">
        <v>9</v>
      </c>
      <c r="S578" s="19">
        <v>9466.98</v>
      </c>
      <c r="T578" s="19">
        <v>9</v>
      </c>
      <c r="U578" s="19">
        <v>9466.98</v>
      </c>
      <c r="V578" s="19">
        <v>0</v>
      </c>
      <c r="W578" s="19">
        <v>0</v>
      </c>
      <c r="X578" s="19">
        <v>0</v>
      </c>
      <c r="Y578" s="19">
        <v>18933.96</v>
      </c>
      <c r="Z578" s="19">
        <v>0</v>
      </c>
      <c r="AA578" s="19" t="s">
        <v>135</v>
      </c>
      <c r="AB578" s="19" t="s">
        <v>1289</v>
      </c>
      <c r="AC578" s="19">
        <v>39269080</v>
      </c>
      <c r="AD578" s="19" t="s">
        <v>1092</v>
      </c>
      <c r="AE578" s="19">
        <v>1</v>
      </c>
      <c r="AF578" s="19">
        <v>728</v>
      </c>
      <c r="AG578" s="19" t="s">
        <v>1093</v>
      </c>
      <c r="AH578" s="19" t="s">
        <v>44</v>
      </c>
    </row>
    <row r="579" spans="2:34" x14ac:dyDescent="0.35">
      <c r="B579" s="76">
        <v>46225</v>
      </c>
      <c r="C579" s="19" t="s">
        <v>138</v>
      </c>
      <c r="D579" s="19" t="s">
        <v>173</v>
      </c>
      <c r="E579" s="19" t="s">
        <v>786</v>
      </c>
      <c r="F579" s="19" t="s">
        <v>123</v>
      </c>
      <c r="G579" s="19" t="s">
        <v>787</v>
      </c>
      <c r="H579" s="76">
        <v>46224</v>
      </c>
      <c r="I579" s="19" t="s">
        <v>36</v>
      </c>
      <c r="J579" s="19" t="s">
        <v>1117</v>
      </c>
      <c r="K579" s="19" t="s">
        <v>44</v>
      </c>
      <c r="L579" s="19" t="s">
        <v>1118</v>
      </c>
      <c r="M579" s="19" t="s">
        <v>1119</v>
      </c>
      <c r="N579" s="19">
        <v>263</v>
      </c>
      <c r="O579" s="19">
        <v>103885</v>
      </c>
      <c r="P579" s="19" t="s">
        <v>1119</v>
      </c>
      <c r="Q579" s="19">
        <v>122480.12</v>
      </c>
      <c r="R579" s="19">
        <v>9</v>
      </c>
      <c r="S579" s="19">
        <v>9349.65</v>
      </c>
      <c r="T579" s="19">
        <v>9</v>
      </c>
      <c r="U579" s="19">
        <v>9349.65</v>
      </c>
      <c r="V579" s="19">
        <v>0</v>
      </c>
      <c r="W579" s="19">
        <v>0</v>
      </c>
      <c r="X579" s="19">
        <v>0</v>
      </c>
      <c r="Y579" s="19">
        <v>18699.3</v>
      </c>
      <c r="Z579" s="19">
        <v>0</v>
      </c>
      <c r="AA579" s="19" t="s">
        <v>135</v>
      </c>
      <c r="AB579" s="19" t="s">
        <v>1289</v>
      </c>
      <c r="AC579" s="19">
        <v>39269080</v>
      </c>
      <c r="AD579" s="19" t="s">
        <v>1092</v>
      </c>
      <c r="AE579" s="19">
        <v>1</v>
      </c>
      <c r="AF579" s="19">
        <v>263</v>
      </c>
      <c r="AG579" s="19" t="s">
        <v>1093</v>
      </c>
      <c r="AH579" s="19" t="s">
        <v>44</v>
      </c>
    </row>
    <row r="580" spans="2:34" hidden="1" x14ac:dyDescent="0.35">
      <c r="B580" s="76">
        <v>46225</v>
      </c>
      <c r="C580" s="19" t="s">
        <v>134</v>
      </c>
      <c r="D580" s="19" t="s">
        <v>7</v>
      </c>
      <c r="E580" s="19" t="s">
        <v>780</v>
      </c>
      <c r="F580" s="19" t="s">
        <v>119</v>
      </c>
      <c r="G580" s="19" t="s">
        <v>781</v>
      </c>
      <c r="H580" s="76">
        <v>46224</v>
      </c>
      <c r="I580" s="19" t="s">
        <v>105</v>
      </c>
      <c r="J580" s="19" t="s">
        <v>1142</v>
      </c>
      <c r="K580" s="19" t="s">
        <v>1509</v>
      </c>
      <c r="L580" s="19" t="s">
        <v>1509</v>
      </c>
      <c r="M580" s="19" t="s">
        <v>1145</v>
      </c>
      <c r="N580" s="19">
        <v>548</v>
      </c>
      <c r="O580" s="19">
        <v>26304</v>
      </c>
      <c r="P580" s="19" t="s">
        <v>1145</v>
      </c>
      <c r="Q580" s="19">
        <v>31012.42</v>
      </c>
      <c r="R580" s="19">
        <v>9</v>
      </c>
      <c r="S580" s="19">
        <v>2367.36</v>
      </c>
      <c r="T580" s="19">
        <v>9</v>
      </c>
      <c r="U580" s="19">
        <v>2367.36</v>
      </c>
      <c r="V580" s="19">
        <v>0</v>
      </c>
      <c r="W580" s="19">
        <v>0</v>
      </c>
      <c r="X580" s="19">
        <v>0</v>
      </c>
      <c r="Y580" s="19">
        <v>4734.72</v>
      </c>
      <c r="Z580" s="19">
        <v>0</v>
      </c>
      <c r="AA580" s="19" t="s">
        <v>135</v>
      </c>
      <c r="AB580" s="19" t="s">
        <v>1091</v>
      </c>
      <c r="AC580" s="19">
        <v>7306309</v>
      </c>
      <c r="AD580" s="19" t="s">
        <v>1092</v>
      </c>
      <c r="AE580" s="19">
        <v>1</v>
      </c>
      <c r="AF580" s="19">
        <v>548</v>
      </c>
      <c r="AG580" s="19" t="s">
        <v>1093</v>
      </c>
      <c r="AH580" s="19" t="s">
        <v>2319</v>
      </c>
    </row>
    <row r="581" spans="2:34" hidden="1" x14ac:dyDescent="0.35">
      <c r="B581" s="76">
        <v>46225</v>
      </c>
      <c r="C581" s="19" t="s">
        <v>134</v>
      </c>
      <c r="D581" s="19" t="s">
        <v>173</v>
      </c>
      <c r="E581" s="19" t="s">
        <v>788</v>
      </c>
      <c r="F581" s="19" t="s">
        <v>123</v>
      </c>
      <c r="G581" s="19" t="s">
        <v>789</v>
      </c>
      <c r="H581" s="76">
        <v>46224</v>
      </c>
      <c r="I581" s="19" t="s">
        <v>36</v>
      </c>
      <c r="J581" s="19" t="s">
        <v>1350</v>
      </c>
      <c r="K581" s="19" t="s">
        <v>39</v>
      </c>
      <c r="L581" s="19" t="s">
        <v>1616</v>
      </c>
      <c r="M581" s="19" t="s">
        <v>1603</v>
      </c>
      <c r="N581" s="19">
        <f>AF581</f>
        <v>12930</v>
      </c>
      <c r="O581" s="19">
        <v>12154.2</v>
      </c>
      <c r="P581" s="19" t="s">
        <v>1603</v>
      </c>
      <c r="Q581" s="19">
        <v>586164.94999999995</v>
      </c>
      <c r="R581" s="19">
        <v>9</v>
      </c>
      <c r="S581" s="19">
        <v>1093.8800000000001</v>
      </c>
      <c r="T581" s="19">
        <v>9</v>
      </c>
      <c r="U581" s="19">
        <v>1093.8800000000001</v>
      </c>
      <c r="V581" s="19">
        <v>0</v>
      </c>
      <c r="W581" s="19">
        <v>0</v>
      </c>
      <c r="X581" s="19">
        <v>0</v>
      </c>
      <c r="Y581" s="19">
        <v>2187.7600000000002</v>
      </c>
      <c r="Z581" s="19">
        <v>0</v>
      </c>
      <c r="AA581" s="19" t="s">
        <v>135</v>
      </c>
      <c r="AB581" s="19" t="s">
        <v>1289</v>
      </c>
      <c r="AC581" s="19">
        <v>392300</v>
      </c>
      <c r="AD581" s="19" t="s">
        <v>1092</v>
      </c>
      <c r="AE581" s="19">
        <v>1</v>
      </c>
      <c r="AF581" s="19">
        <v>12930</v>
      </c>
      <c r="AG581" s="19" t="s">
        <v>1093</v>
      </c>
      <c r="AH581" s="19" t="s">
        <v>2319</v>
      </c>
    </row>
    <row r="582" spans="2:34" x14ac:dyDescent="0.35">
      <c r="B582" s="76">
        <v>46225</v>
      </c>
      <c r="C582" s="19" t="s">
        <v>134</v>
      </c>
      <c r="D582" s="19" t="s">
        <v>173</v>
      </c>
      <c r="E582" s="19" t="s">
        <v>788</v>
      </c>
      <c r="F582" s="19" t="s">
        <v>123</v>
      </c>
      <c r="G582" s="19" t="s">
        <v>789</v>
      </c>
      <c r="H582" s="76">
        <v>46224</v>
      </c>
      <c r="I582" s="19" t="s">
        <v>36</v>
      </c>
      <c r="J582" s="19" t="s">
        <v>1117</v>
      </c>
      <c r="K582" s="19" t="s">
        <v>44</v>
      </c>
      <c r="L582" s="19" t="s">
        <v>1118</v>
      </c>
      <c r="M582" s="19" t="s">
        <v>1119</v>
      </c>
      <c r="N582" s="19">
        <v>3507</v>
      </c>
      <c r="O582" s="19">
        <v>373846.2</v>
      </c>
      <c r="P582" s="19" t="s">
        <v>1119</v>
      </c>
      <c r="Q582" s="19">
        <v>0</v>
      </c>
      <c r="R582" s="19">
        <v>9</v>
      </c>
      <c r="S582" s="19">
        <v>33646.160000000003</v>
      </c>
      <c r="T582" s="19">
        <v>9</v>
      </c>
      <c r="U582" s="19">
        <v>33646.160000000003</v>
      </c>
      <c r="V582" s="19">
        <v>0</v>
      </c>
      <c r="W582" s="19">
        <v>0</v>
      </c>
      <c r="X582" s="19">
        <v>0</v>
      </c>
      <c r="Y582" s="19">
        <v>67292.320000000007</v>
      </c>
      <c r="Z582" s="19">
        <v>0</v>
      </c>
      <c r="AA582" s="19" t="s">
        <v>135</v>
      </c>
      <c r="AB582" s="19" t="s">
        <v>1289</v>
      </c>
      <c r="AC582" s="19">
        <v>39269080</v>
      </c>
      <c r="AD582" s="19" t="s">
        <v>1092</v>
      </c>
      <c r="AE582" s="19">
        <v>1</v>
      </c>
      <c r="AF582" s="19">
        <v>3507</v>
      </c>
      <c r="AG582" s="19" t="s">
        <v>1093</v>
      </c>
      <c r="AH582" s="19" t="s">
        <v>44</v>
      </c>
    </row>
    <row r="583" spans="2:34" x14ac:dyDescent="0.35">
      <c r="B583" s="76">
        <v>46225</v>
      </c>
      <c r="C583" s="19" t="s">
        <v>134</v>
      </c>
      <c r="D583" s="19" t="s">
        <v>173</v>
      </c>
      <c r="E583" s="19" t="s">
        <v>788</v>
      </c>
      <c r="F583" s="19" t="s">
        <v>123</v>
      </c>
      <c r="G583" s="19" t="s">
        <v>789</v>
      </c>
      <c r="H583" s="76">
        <v>46224</v>
      </c>
      <c r="I583" s="19" t="s">
        <v>36</v>
      </c>
      <c r="J583" s="19" t="s">
        <v>1156</v>
      </c>
      <c r="K583" s="19" t="s">
        <v>45</v>
      </c>
      <c r="L583" s="19" t="s">
        <v>1157</v>
      </c>
      <c r="M583" s="19" t="s">
        <v>1567</v>
      </c>
      <c r="N583" s="19">
        <v>857.8</v>
      </c>
      <c r="O583" s="19">
        <v>111170.88</v>
      </c>
      <c r="P583" s="19" t="s">
        <v>1567</v>
      </c>
      <c r="Q583" s="19">
        <v>0</v>
      </c>
      <c r="R583" s="19">
        <v>9</v>
      </c>
      <c r="S583" s="19">
        <v>10005.379999999999</v>
      </c>
      <c r="T583" s="19">
        <v>9</v>
      </c>
      <c r="U583" s="19">
        <v>10005.379999999999</v>
      </c>
      <c r="V583" s="19">
        <v>0</v>
      </c>
      <c r="W583" s="19">
        <v>0</v>
      </c>
      <c r="X583" s="19">
        <v>0</v>
      </c>
      <c r="Y583" s="19">
        <v>20010.759999999998</v>
      </c>
      <c r="Z583" s="19">
        <v>0</v>
      </c>
      <c r="AA583" s="19" t="s">
        <v>135</v>
      </c>
      <c r="AB583" s="19" t="s">
        <v>1289</v>
      </c>
      <c r="AC583" s="19">
        <v>39269080</v>
      </c>
      <c r="AD583" s="19" t="s">
        <v>1092</v>
      </c>
      <c r="AE583" s="19">
        <v>1</v>
      </c>
      <c r="AF583" s="19">
        <v>857.8</v>
      </c>
      <c r="AG583" s="19" t="s">
        <v>1093</v>
      </c>
      <c r="AH583" s="19" t="s">
        <v>45</v>
      </c>
    </row>
    <row r="584" spans="2:34" hidden="1" x14ac:dyDescent="0.35">
      <c r="B584" s="76">
        <v>46225</v>
      </c>
      <c r="C584" s="19" t="s">
        <v>774</v>
      </c>
      <c r="D584" s="19" t="s">
        <v>7</v>
      </c>
      <c r="E584" s="19" t="s">
        <v>772</v>
      </c>
      <c r="F584" s="19" t="s">
        <v>119</v>
      </c>
      <c r="G584" s="19" t="s">
        <v>773</v>
      </c>
      <c r="H584" s="76">
        <v>46210</v>
      </c>
      <c r="I584" s="19" t="s">
        <v>101</v>
      </c>
      <c r="J584" s="19" t="s">
        <v>1559</v>
      </c>
      <c r="K584" s="19" t="s">
        <v>1509</v>
      </c>
      <c r="L584" s="19" t="s">
        <v>1509</v>
      </c>
      <c r="M584" s="19" t="s">
        <v>1877</v>
      </c>
      <c r="N584" s="19">
        <v>30654.400000000001</v>
      </c>
      <c r="O584" s="19">
        <v>113789.13280000001</v>
      </c>
      <c r="P584" s="19" t="s">
        <v>1877</v>
      </c>
      <c r="Q584" s="19">
        <v>134271</v>
      </c>
      <c r="R584" s="19">
        <v>9</v>
      </c>
      <c r="S584" s="19">
        <v>10241.01</v>
      </c>
      <c r="T584" s="19">
        <v>9</v>
      </c>
      <c r="U584" s="19">
        <v>10241.01</v>
      </c>
      <c r="V584" s="19">
        <v>0</v>
      </c>
      <c r="W584" s="19">
        <v>0</v>
      </c>
      <c r="X584" s="19">
        <v>0</v>
      </c>
      <c r="Y584" s="19">
        <v>20482.02</v>
      </c>
      <c r="Z584" s="19">
        <v>0</v>
      </c>
      <c r="AA584" s="19" t="s">
        <v>775</v>
      </c>
      <c r="AB584" s="19" t="s">
        <v>1555</v>
      </c>
      <c r="AC584" s="19">
        <v>48229010</v>
      </c>
      <c r="AD584" s="19" t="s">
        <v>1092</v>
      </c>
      <c r="AE584" s="19">
        <v>1</v>
      </c>
      <c r="AF584" s="19">
        <v>0</v>
      </c>
      <c r="AG584" s="19" t="s">
        <v>1093</v>
      </c>
      <c r="AH584" s="19" t="s">
        <v>2319</v>
      </c>
    </row>
    <row r="585" spans="2:34" hidden="1" x14ac:dyDescent="0.35">
      <c r="B585" s="76">
        <v>46225</v>
      </c>
      <c r="C585" s="19" t="s">
        <v>472</v>
      </c>
      <c r="D585" s="19" t="s">
        <v>7</v>
      </c>
      <c r="E585" s="19" t="s">
        <v>770</v>
      </c>
      <c r="F585" s="19" t="s">
        <v>119</v>
      </c>
      <c r="G585" s="19" t="s">
        <v>771</v>
      </c>
      <c r="H585" s="76">
        <v>46223</v>
      </c>
      <c r="I585" s="19" t="s">
        <v>101</v>
      </c>
      <c r="J585" s="19" t="s">
        <v>1575</v>
      </c>
      <c r="K585" s="19" t="s">
        <v>1575</v>
      </c>
      <c r="L585" s="19" t="s">
        <v>1509</v>
      </c>
      <c r="M585" s="19" t="s">
        <v>1576</v>
      </c>
      <c r="N585" s="19">
        <v>210</v>
      </c>
      <c r="O585" s="19">
        <v>169050</v>
      </c>
      <c r="P585" s="19" t="s">
        <v>1576</v>
      </c>
      <c r="Q585" s="19">
        <v>193433</v>
      </c>
      <c r="R585" s="19">
        <v>2.5</v>
      </c>
      <c r="S585" s="19">
        <v>5441.25</v>
      </c>
      <c r="T585" s="19">
        <v>2.5</v>
      </c>
      <c r="U585" s="19">
        <v>5441.25</v>
      </c>
      <c r="V585" s="19">
        <v>0</v>
      </c>
      <c r="W585" s="19">
        <v>0</v>
      </c>
      <c r="X585" s="19">
        <v>0</v>
      </c>
      <c r="Y585" s="19">
        <v>10882.5</v>
      </c>
      <c r="Z585" s="19">
        <v>0</v>
      </c>
      <c r="AA585" s="19" t="s">
        <v>473</v>
      </c>
      <c r="AB585" s="19" t="s">
        <v>1555</v>
      </c>
      <c r="AC585" s="19">
        <v>44152000</v>
      </c>
      <c r="AD585" s="19" t="s">
        <v>1092</v>
      </c>
      <c r="AE585" s="19">
        <v>1</v>
      </c>
      <c r="AF585" s="19">
        <v>2730</v>
      </c>
      <c r="AG585" s="19" t="s">
        <v>1093</v>
      </c>
      <c r="AH585" s="19" t="s">
        <v>2319</v>
      </c>
    </row>
    <row r="586" spans="2:34" hidden="1" x14ac:dyDescent="0.35">
      <c r="B586" s="76">
        <v>46225</v>
      </c>
      <c r="C586" s="19" t="s">
        <v>145</v>
      </c>
      <c r="D586" s="19" t="s">
        <v>126</v>
      </c>
      <c r="E586" s="19" t="s">
        <v>764</v>
      </c>
      <c r="F586" s="19" t="s">
        <v>118</v>
      </c>
      <c r="G586" s="19" t="s">
        <v>765</v>
      </c>
      <c r="H586" s="76">
        <v>46221</v>
      </c>
      <c r="I586" s="19" t="s">
        <v>105</v>
      </c>
      <c r="J586" s="19" t="s">
        <v>1586</v>
      </c>
      <c r="K586" s="19" t="s">
        <v>1127</v>
      </c>
      <c r="L586" s="19" t="s">
        <v>102</v>
      </c>
      <c r="M586" s="19" t="s">
        <v>1878</v>
      </c>
      <c r="N586" s="19">
        <v>1</v>
      </c>
      <c r="O586" s="19">
        <v>728</v>
      </c>
      <c r="P586" s="19" t="s">
        <v>1878</v>
      </c>
      <c r="Q586" s="19">
        <v>764.4</v>
      </c>
      <c r="R586" s="19">
        <v>2.5</v>
      </c>
      <c r="S586" s="19">
        <v>18.2</v>
      </c>
      <c r="T586" s="19">
        <v>2.5</v>
      </c>
      <c r="U586" s="19">
        <v>18.2</v>
      </c>
      <c r="V586" s="19">
        <v>0</v>
      </c>
      <c r="W586" s="19">
        <v>0</v>
      </c>
      <c r="X586" s="19">
        <v>0</v>
      </c>
      <c r="Y586" s="19">
        <v>36.4</v>
      </c>
      <c r="Z586" s="19">
        <v>0</v>
      </c>
      <c r="AA586" s="19" t="s">
        <v>146</v>
      </c>
      <c r="AB586" s="19" t="s">
        <v>1572</v>
      </c>
      <c r="AC586" s="19">
        <v>441231</v>
      </c>
      <c r="AD586" s="19" t="s">
        <v>1092</v>
      </c>
      <c r="AE586" s="19">
        <v>1</v>
      </c>
      <c r="AF586" s="19">
        <v>0</v>
      </c>
      <c r="AG586" s="19" t="s">
        <v>1093</v>
      </c>
      <c r="AH586" s="19" t="s">
        <v>2319</v>
      </c>
    </row>
    <row r="587" spans="2:34" hidden="1" x14ac:dyDescent="0.35">
      <c r="B587" s="76">
        <v>46226</v>
      </c>
      <c r="C587" s="19" t="s">
        <v>193</v>
      </c>
      <c r="D587" s="19" t="s">
        <v>126</v>
      </c>
      <c r="E587" s="19" t="s">
        <v>810</v>
      </c>
      <c r="F587" s="19" t="s">
        <v>118</v>
      </c>
      <c r="G587" s="19" t="s">
        <v>811</v>
      </c>
      <c r="H587" s="76">
        <v>46221</v>
      </c>
      <c r="I587" s="19" t="s">
        <v>105</v>
      </c>
      <c r="J587" s="19" t="s">
        <v>1579</v>
      </c>
      <c r="K587" s="19" t="s">
        <v>1127</v>
      </c>
      <c r="L587" s="19" t="s">
        <v>1389</v>
      </c>
      <c r="M587" s="19" t="s">
        <v>1879</v>
      </c>
      <c r="N587" s="19">
        <v>200</v>
      </c>
      <c r="O587" s="19">
        <v>5950</v>
      </c>
      <c r="P587" s="19" t="s">
        <v>1879</v>
      </c>
      <c r="Q587" s="19">
        <v>7198</v>
      </c>
      <c r="R587" s="19">
        <v>9</v>
      </c>
      <c r="S587" s="19">
        <v>549</v>
      </c>
      <c r="T587" s="19">
        <v>9</v>
      </c>
      <c r="U587" s="19">
        <v>549</v>
      </c>
      <c r="V587" s="19">
        <v>0</v>
      </c>
      <c r="W587" s="19">
        <v>0</v>
      </c>
      <c r="X587" s="19">
        <v>0</v>
      </c>
      <c r="Y587" s="19">
        <v>1098</v>
      </c>
      <c r="Z587" s="19">
        <v>0</v>
      </c>
      <c r="AA587" s="19" t="s">
        <v>194</v>
      </c>
      <c r="AB587" s="19" t="s">
        <v>1555</v>
      </c>
      <c r="AC587" s="19">
        <v>844849</v>
      </c>
      <c r="AD587" s="19" t="s">
        <v>1092</v>
      </c>
      <c r="AE587" s="19">
        <v>1</v>
      </c>
      <c r="AF587" s="19">
        <v>0</v>
      </c>
      <c r="AG587" s="19" t="s">
        <v>1093</v>
      </c>
      <c r="AH587" s="19" t="s">
        <v>2319</v>
      </c>
    </row>
    <row r="588" spans="2:34" hidden="1" x14ac:dyDescent="0.35">
      <c r="B588" s="76">
        <v>46226</v>
      </c>
      <c r="C588" s="19" t="s">
        <v>193</v>
      </c>
      <c r="D588" s="19" t="s">
        <v>126</v>
      </c>
      <c r="E588" s="19" t="s">
        <v>812</v>
      </c>
      <c r="F588" s="19" t="s">
        <v>118</v>
      </c>
      <c r="G588" s="19" t="s">
        <v>813</v>
      </c>
      <c r="H588" s="76">
        <v>46224</v>
      </c>
      <c r="I588" s="19" t="s">
        <v>105</v>
      </c>
      <c r="J588" s="19" t="s">
        <v>1579</v>
      </c>
      <c r="K588" s="19" t="s">
        <v>1127</v>
      </c>
      <c r="L588" s="19" t="s">
        <v>1389</v>
      </c>
      <c r="M588" s="19" t="s">
        <v>1879</v>
      </c>
      <c r="N588" s="19">
        <v>800</v>
      </c>
      <c r="O588" s="19">
        <v>23800</v>
      </c>
      <c r="P588" s="19" t="s">
        <v>1879</v>
      </c>
      <c r="Q588" s="19">
        <v>28792</v>
      </c>
      <c r="R588" s="19">
        <v>9</v>
      </c>
      <c r="S588" s="19">
        <v>2196</v>
      </c>
      <c r="T588" s="19">
        <v>9</v>
      </c>
      <c r="U588" s="19">
        <v>2196</v>
      </c>
      <c r="V588" s="19">
        <v>0</v>
      </c>
      <c r="W588" s="19">
        <v>0</v>
      </c>
      <c r="X588" s="19">
        <v>0</v>
      </c>
      <c r="Y588" s="19">
        <v>4392</v>
      </c>
      <c r="Z588" s="19">
        <v>0</v>
      </c>
      <c r="AA588" s="19" t="s">
        <v>194</v>
      </c>
      <c r="AB588" s="19" t="s">
        <v>1555</v>
      </c>
      <c r="AC588" s="19">
        <v>844849</v>
      </c>
      <c r="AD588" s="19" t="s">
        <v>1092</v>
      </c>
      <c r="AE588" s="19">
        <v>1</v>
      </c>
      <c r="AF588" s="19">
        <v>0</v>
      </c>
      <c r="AG588" s="19" t="s">
        <v>1093</v>
      </c>
      <c r="AH588" s="19" t="s">
        <v>2319</v>
      </c>
    </row>
    <row r="589" spans="2:34" hidden="1" x14ac:dyDescent="0.35">
      <c r="B589" s="76">
        <v>46226</v>
      </c>
      <c r="C589" s="19" t="s">
        <v>193</v>
      </c>
      <c r="D589" s="19" t="s">
        <v>126</v>
      </c>
      <c r="E589" s="19" t="s">
        <v>814</v>
      </c>
      <c r="F589" s="19" t="s">
        <v>118</v>
      </c>
      <c r="G589" s="19" t="s">
        <v>815</v>
      </c>
      <c r="H589" s="76">
        <v>46221</v>
      </c>
      <c r="I589" s="19" t="s">
        <v>105</v>
      </c>
      <c r="J589" s="19" t="s">
        <v>1579</v>
      </c>
      <c r="K589" s="19" t="s">
        <v>1127</v>
      </c>
      <c r="L589" s="19" t="s">
        <v>1389</v>
      </c>
      <c r="M589" s="19" t="s">
        <v>1880</v>
      </c>
      <c r="N589" s="19">
        <v>1000</v>
      </c>
      <c r="O589" s="19">
        <v>15000</v>
      </c>
      <c r="P589" s="19" t="s">
        <v>1880</v>
      </c>
      <c r="Q589" s="19">
        <v>17877</v>
      </c>
      <c r="R589" s="19">
        <v>9</v>
      </c>
      <c r="S589" s="19">
        <v>1363.5</v>
      </c>
      <c r="T589" s="19">
        <v>9</v>
      </c>
      <c r="U589" s="19">
        <v>1363.5</v>
      </c>
      <c r="V589" s="19">
        <v>0</v>
      </c>
      <c r="W589" s="19">
        <v>0</v>
      </c>
      <c r="X589" s="19">
        <v>0</v>
      </c>
      <c r="Y589" s="19">
        <v>2727</v>
      </c>
      <c r="Z589" s="19">
        <v>0</v>
      </c>
      <c r="AA589" s="19" t="s">
        <v>194</v>
      </c>
      <c r="AB589" s="19" t="s">
        <v>1555</v>
      </c>
      <c r="AC589" s="19">
        <v>84463090</v>
      </c>
      <c r="AD589" s="19" t="s">
        <v>1092</v>
      </c>
      <c r="AE589" s="19">
        <v>1</v>
      </c>
      <c r="AF589" s="19">
        <v>0</v>
      </c>
      <c r="AG589" s="19" t="s">
        <v>1093</v>
      </c>
      <c r="AH589" s="19" t="s">
        <v>2319</v>
      </c>
    </row>
    <row r="590" spans="2:34" hidden="1" x14ac:dyDescent="0.35">
      <c r="B590" s="76">
        <v>46226</v>
      </c>
      <c r="C590" s="19" t="s">
        <v>193</v>
      </c>
      <c r="D590" s="19" t="s">
        <v>126</v>
      </c>
      <c r="E590" s="19" t="s">
        <v>816</v>
      </c>
      <c r="F590" s="19" t="s">
        <v>118</v>
      </c>
      <c r="G590" s="19" t="s">
        <v>817</v>
      </c>
      <c r="H590" s="76">
        <v>46221</v>
      </c>
      <c r="I590" s="19" t="s">
        <v>105</v>
      </c>
      <c r="J590" s="19" t="s">
        <v>1579</v>
      </c>
      <c r="K590" s="19" t="s">
        <v>1127</v>
      </c>
      <c r="L590" s="19" t="s">
        <v>1389</v>
      </c>
      <c r="M590" s="19" t="s">
        <v>1881</v>
      </c>
      <c r="N590" s="19">
        <v>30</v>
      </c>
      <c r="O590" s="19">
        <v>4350</v>
      </c>
      <c r="P590" s="19" t="s">
        <v>1881</v>
      </c>
      <c r="Q590" s="19">
        <v>5369</v>
      </c>
      <c r="R590" s="19">
        <v>9</v>
      </c>
      <c r="S590" s="19">
        <v>409.5</v>
      </c>
      <c r="T590" s="19">
        <v>9</v>
      </c>
      <c r="U590" s="19">
        <v>409.5</v>
      </c>
      <c r="V590" s="19">
        <v>0</v>
      </c>
      <c r="W590" s="19">
        <v>0</v>
      </c>
      <c r="X590" s="19">
        <v>0</v>
      </c>
      <c r="Y590" s="19">
        <v>819</v>
      </c>
      <c r="Z590" s="19">
        <v>0</v>
      </c>
      <c r="AA590" s="19" t="s">
        <v>194</v>
      </c>
      <c r="AB590" s="19" t="s">
        <v>1555</v>
      </c>
      <c r="AC590" s="19">
        <v>84484990</v>
      </c>
      <c r="AD590" s="19" t="s">
        <v>1092</v>
      </c>
      <c r="AE590" s="19">
        <v>1</v>
      </c>
      <c r="AF590" s="19">
        <v>0</v>
      </c>
      <c r="AG590" s="19" t="s">
        <v>1093</v>
      </c>
      <c r="AH590" s="19" t="s">
        <v>2319</v>
      </c>
    </row>
    <row r="591" spans="2:34" hidden="1" x14ac:dyDescent="0.35">
      <c r="B591" s="76">
        <v>46226</v>
      </c>
      <c r="C591" s="19" t="s">
        <v>802</v>
      </c>
      <c r="D591" s="19" t="s">
        <v>126</v>
      </c>
      <c r="E591" s="19" t="s">
        <v>800</v>
      </c>
      <c r="F591" s="19" t="s">
        <v>118</v>
      </c>
      <c r="G591" s="19" t="s">
        <v>801</v>
      </c>
      <c r="H591" s="76">
        <v>46198</v>
      </c>
      <c r="I591" s="19" t="s">
        <v>100</v>
      </c>
      <c r="J591" s="19" t="s">
        <v>1882</v>
      </c>
      <c r="K591" s="19" t="s">
        <v>1127</v>
      </c>
      <c r="L591" s="19" t="s">
        <v>1389</v>
      </c>
      <c r="M591" s="19" t="s">
        <v>1883</v>
      </c>
      <c r="N591" s="19">
        <v>2</v>
      </c>
      <c r="O591" s="19">
        <v>1271.18</v>
      </c>
      <c r="P591" s="19" t="s">
        <v>1883</v>
      </c>
      <c r="Q591" s="19">
        <v>1500</v>
      </c>
      <c r="R591" s="19">
        <v>9</v>
      </c>
      <c r="S591" s="19">
        <v>114.41</v>
      </c>
      <c r="T591" s="19">
        <v>9</v>
      </c>
      <c r="U591" s="19">
        <v>114.41</v>
      </c>
      <c r="V591" s="19">
        <v>0</v>
      </c>
      <c r="W591" s="19">
        <v>0</v>
      </c>
      <c r="X591" s="19">
        <v>0</v>
      </c>
      <c r="Y591" s="19">
        <v>228.82</v>
      </c>
      <c r="Z591" s="19">
        <v>0</v>
      </c>
      <c r="AA591" s="19" t="s">
        <v>803</v>
      </c>
      <c r="AB591" s="19" t="s">
        <v>1555</v>
      </c>
      <c r="AC591" s="19">
        <v>844311</v>
      </c>
      <c r="AD591" s="19" t="s">
        <v>1092</v>
      </c>
      <c r="AE591" s="19">
        <v>1</v>
      </c>
      <c r="AF591" s="19">
        <v>0</v>
      </c>
      <c r="AG591" s="19" t="s">
        <v>1093</v>
      </c>
      <c r="AH591" s="19" t="s">
        <v>2319</v>
      </c>
    </row>
    <row r="592" spans="2:34" hidden="1" x14ac:dyDescent="0.35">
      <c r="B592" s="76">
        <v>46226</v>
      </c>
      <c r="C592" s="19" t="s">
        <v>218</v>
      </c>
      <c r="D592" s="19" t="s">
        <v>126</v>
      </c>
      <c r="E592" s="19" t="s">
        <v>804</v>
      </c>
      <c r="F592" s="19" t="s">
        <v>118</v>
      </c>
      <c r="G592" s="19" t="s">
        <v>805</v>
      </c>
      <c r="H592" s="76">
        <v>46185</v>
      </c>
      <c r="I592" s="19" t="s">
        <v>102</v>
      </c>
      <c r="J592" s="19" t="s">
        <v>102</v>
      </c>
      <c r="K592" s="19" t="s">
        <v>1127</v>
      </c>
      <c r="L592" s="19" t="s">
        <v>102</v>
      </c>
      <c r="M592" s="19" t="s">
        <v>1659</v>
      </c>
      <c r="N592" s="19">
        <v>5</v>
      </c>
      <c r="O592" s="19">
        <v>1350</v>
      </c>
      <c r="P592" s="19" t="s">
        <v>1659</v>
      </c>
      <c r="Q592" s="19">
        <v>2749</v>
      </c>
      <c r="R592" s="19">
        <v>9</v>
      </c>
      <c r="S592" s="19">
        <v>121.5</v>
      </c>
      <c r="T592" s="19">
        <v>9</v>
      </c>
      <c r="U592" s="19">
        <v>121.5</v>
      </c>
      <c r="V592" s="19">
        <v>0</v>
      </c>
      <c r="W592" s="19">
        <v>0</v>
      </c>
      <c r="X592" s="19">
        <v>14.4</v>
      </c>
      <c r="Y592" s="19">
        <v>257.39999999999998</v>
      </c>
      <c r="Z592" s="19">
        <v>0</v>
      </c>
      <c r="AA592" s="19" t="s">
        <v>219</v>
      </c>
      <c r="AB592" s="19" t="s">
        <v>1555</v>
      </c>
      <c r="AC592" s="19">
        <v>84836010</v>
      </c>
      <c r="AD592" s="19" t="s">
        <v>1092</v>
      </c>
      <c r="AE592" s="19">
        <v>1</v>
      </c>
      <c r="AF592" s="19">
        <v>0</v>
      </c>
      <c r="AG592" s="19" t="s">
        <v>1093</v>
      </c>
      <c r="AH592" s="19" t="s">
        <v>2319</v>
      </c>
    </row>
    <row r="593" spans="2:34" hidden="1" x14ac:dyDescent="0.35">
      <c r="B593" s="76">
        <v>46226</v>
      </c>
      <c r="C593" s="19" t="s">
        <v>218</v>
      </c>
      <c r="D593" s="19" t="s">
        <v>126</v>
      </c>
      <c r="E593" s="19" t="s">
        <v>804</v>
      </c>
      <c r="F593" s="19" t="s">
        <v>118</v>
      </c>
      <c r="G593" s="19" t="s">
        <v>805</v>
      </c>
      <c r="H593" s="76">
        <v>46185</v>
      </c>
      <c r="I593" s="19" t="s">
        <v>102</v>
      </c>
      <c r="J593" s="19" t="s">
        <v>1884</v>
      </c>
      <c r="K593" s="19" t="s">
        <v>1127</v>
      </c>
      <c r="L593" s="19" t="s">
        <v>1389</v>
      </c>
      <c r="M593" s="19" t="s">
        <v>1885</v>
      </c>
      <c r="N593" s="19">
        <v>5</v>
      </c>
      <c r="O593" s="19">
        <v>900</v>
      </c>
      <c r="P593" s="19" t="s">
        <v>1885</v>
      </c>
      <c r="Q593" s="19">
        <v>0</v>
      </c>
      <c r="R593" s="19">
        <v>9</v>
      </c>
      <c r="S593" s="19">
        <v>81</v>
      </c>
      <c r="T593" s="19">
        <v>9</v>
      </c>
      <c r="U593" s="19">
        <v>81</v>
      </c>
      <c r="V593" s="19">
        <v>0</v>
      </c>
      <c r="W593" s="19">
        <v>0</v>
      </c>
      <c r="X593" s="19">
        <v>14.4</v>
      </c>
      <c r="Y593" s="19">
        <v>176.4</v>
      </c>
      <c r="Z593" s="19">
        <v>0</v>
      </c>
      <c r="AA593" s="19" t="s">
        <v>219</v>
      </c>
      <c r="AB593" s="19" t="s">
        <v>1555</v>
      </c>
      <c r="AC593" s="19">
        <v>73181500</v>
      </c>
      <c r="AD593" s="19" t="s">
        <v>1092</v>
      </c>
      <c r="AE593" s="19">
        <v>1</v>
      </c>
      <c r="AF593" s="19">
        <v>0</v>
      </c>
      <c r="AG593" s="19" t="s">
        <v>1093</v>
      </c>
      <c r="AH593" s="19" t="s">
        <v>2319</v>
      </c>
    </row>
    <row r="594" spans="2:34" hidden="1" x14ac:dyDescent="0.35">
      <c r="B594" s="76">
        <v>46226</v>
      </c>
      <c r="C594" s="19" t="s">
        <v>284</v>
      </c>
      <c r="D594" s="19" t="s">
        <v>126</v>
      </c>
      <c r="E594" s="19" t="s">
        <v>818</v>
      </c>
      <c r="F594" s="19" t="s">
        <v>118</v>
      </c>
      <c r="G594" s="19" t="s">
        <v>819</v>
      </c>
      <c r="H594" s="76">
        <v>46224</v>
      </c>
      <c r="I594" s="19" t="s">
        <v>102</v>
      </c>
      <c r="J594" s="19" t="s">
        <v>1621</v>
      </c>
      <c r="K594" s="19" t="s">
        <v>1127</v>
      </c>
      <c r="L594" s="19" t="s">
        <v>1389</v>
      </c>
      <c r="M594" s="19" t="s">
        <v>1886</v>
      </c>
      <c r="N594" s="19">
        <v>2</v>
      </c>
      <c r="O594" s="19">
        <v>3500</v>
      </c>
      <c r="P594" s="19" t="s">
        <v>1886</v>
      </c>
      <c r="Q594" s="19">
        <v>4224</v>
      </c>
      <c r="R594" s="19">
        <v>9</v>
      </c>
      <c r="S594" s="19">
        <v>315</v>
      </c>
      <c r="T594" s="19">
        <v>9</v>
      </c>
      <c r="U594" s="19">
        <v>315</v>
      </c>
      <c r="V594" s="19">
        <v>0</v>
      </c>
      <c r="W594" s="19">
        <v>0</v>
      </c>
      <c r="X594" s="19">
        <v>14.4</v>
      </c>
      <c r="Y594" s="19">
        <v>644.4</v>
      </c>
      <c r="Z594" s="19">
        <v>0</v>
      </c>
      <c r="AA594" s="19" t="s">
        <v>285</v>
      </c>
      <c r="AB594" s="19" t="s">
        <v>1572</v>
      </c>
      <c r="AC594" s="19">
        <v>40169330</v>
      </c>
      <c r="AD594" s="19" t="s">
        <v>1092</v>
      </c>
      <c r="AE594" s="19">
        <v>1</v>
      </c>
      <c r="AF594" s="19">
        <v>0</v>
      </c>
      <c r="AG594" s="19" t="s">
        <v>1093</v>
      </c>
      <c r="AH594" s="19" t="s">
        <v>2319</v>
      </c>
    </row>
    <row r="595" spans="2:34" hidden="1" x14ac:dyDescent="0.35">
      <c r="B595" s="76">
        <v>46226</v>
      </c>
      <c r="C595" s="19" t="s">
        <v>284</v>
      </c>
      <c r="D595" s="19" t="s">
        <v>126</v>
      </c>
      <c r="E595" s="19" t="s">
        <v>824</v>
      </c>
      <c r="F595" s="19" t="s">
        <v>118</v>
      </c>
      <c r="G595" s="19" t="s">
        <v>825</v>
      </c>
      <c r="H595" s="76">
        <v>46216</v>
      </c>
      <c r="I595" s="19" t="s">
        <v>105</v>
      </c>
      <c r="J595" s="19" t="s">
        <v>1553</v>
      </c>
      <c r="K595" s="19" t="s">
        <v>1127</v>
      </c>
      <c r="L595" s="19" t="s">
        <v>1389</v>
      </c>
      <c r="M595" s="19" t="s">
        <v>1887</v>
      </c>
      <c r="N595" s="19">
        <v>100</v>
      </c>
      <c r="O595" s="19">
        <v>18000</v>
      </c>
      <c r="P595" s="19" t="s">
        <v>1887</v>
      </c>
      <c r="Q595" s="19">
        <v>21240</v>
      </c>
      <c r="R595" s="19">
        <v>9</v>
      </c>
      <c r="S595" s="19">
        <v>1620</v>
      </c>
      <c r="T595" s="19">
        <v>9</v>
      </c>
      <c r="U595" s="19">
        <v>1620</v>
      </c>
      <c r="V595" s="19">
        <v>0</v>
      </c>
      <c r="W595" s="19">
        <v>0</v>
      </c>
      <c r="X595" s="19">
        <v>0</v>
      </c>
      <c r="Y595" s="19">
        <v>3240</v>
      </c>
      <c r="Z595" s="19">
        <v>0</v>
      </c>
      <c r="AA595" s="19" t="s">
        <v>285</v>
      </c>
      <c r="AB595" s="19" t="s">
        <v>1555</v>
      </c>
      <c r="AC595" s="19">
        <v>84529099</v>
      </c>
      <c r="AD595" s="19" t="s">
        <v>1092</v>
      </c>
      <c r="AE595" s="19">
        <v>1</v>
      </c>
      <c r="AF595" s="19">
        <v>0</v>
      </c>
      <c r="AG595" s="19" t="s">
        <v>1093</v>
      </c>
      <c r="AH595" s="19" t="s">
        <v>2319</v>
      </c>
    </row>
    <row r="596" spans="2:34" hidden="1" x14ac:dyDescent="0.35">
      <c r="B596" s="76">
        <v>46226</v>
      </c>
      <c r="C596" s="19" t="s">
        <v>795</v>
      </c>
      <c r="D596" s="19" t="s">
        <v>126</v>
      </c>
      <c r="E596" s="19" t="s">
        <v>794</v>
      </c>
      <c r="F596" s="19" t="s">
        <v>118</v>
      </c>
      <c r="G596" s="19">
        <v>1277</v>
      </c>
      <c r="H596" s="76">
        <v>46218</v>
      </c>
      <c r="I596" s="19" t="s">
        <v>105</v>
      </c>
      <c r="J596" s="19" t="s">
        <v>1728</v>
      </c>
      <c r="K596" s="19" t="s">
        <v>1127</v>
      </c>
      <c r="L596" s="19" t="s">
        <v>102</v>
      </c>
      <c r="M596" s="19" t="s">
        <v>1888</v>
      </c>
      <c r="N596" s="19">
        <v>15</v>
      </c>
      <c r="O596" s="19">
        <v>3885</v>
      </c>
      <c r="P596" s="19" t="s">
        <v>1888</v>
      </c>
      <c r="Q596" s="19">
        <v>4584</v>
      </c>
      <c r="R596" s="19">
        <v>9</v>
      </c>
      <c r="S596" s="19">
        <v>349.65</v>
      </c>
      <c r="T596" s="19">
        <v>9</v>
      </c>
      <c r="U596" s="19">
        <v>349.65</v>
      </c>
      <c r="V596" s="19">
        <v>0</v>
      </c>
      <c r="W596" s="19">
        <v>0</v>
      </c>
      <c r="X596" s="19">
        <v>0</v>
      </c>
      <c r="Y596" s="19">
        <v>699.3</v>
      </c>
      <c r="Z596" s="19">
        <v>0</v>
      </c>
      <c r="AA596" s="19" t="s">
        <v>796</v>
      </c>
      <c r="AB596" s="19" t="s">
        <v>1764</v>
      </c>
      <c r="AC596" s="19">
        <v>82090090</v>
      </c>
      <c r="AD596" s="19" t="s">
        <v>1092</v>
      </c>
      <c r="AE596" s="19">
        <v>1</v>
      </c>
      <c r="AF596" s="19">
        <v>0</v>
      </c>
      <c r="AG596" s="19" t="s">
        <v>1093</v>
      </c>
      <c r="AH596" s="19" t="s">
        <v>2319</v>
      </c>
    </row>
    <row r="597" spans="2:34" hidden="1" x14ac:dyDescent="0.35">
      <c r="B597" s="76">
        <v>46226</v>
      </c>
      <c r="C597" s="19" t="s">
        <v>798</v>
      </c>
      <c r="D597" s="19" t="s">
        <v>126</v>
      </c>
      <c r="E597" s="19" t="s">
        <v>797</v>
      </c>
      <c r="F597" s="19" t="s">
        <v>118</v>
      </c>
      <c r="G597" s="19">
        <v>1972</v>
      </c>
      <c r="H597" s="76">
        <v>46224</v>
      </c>
      <c r="I597" s="19" t="s">
        <v>102</v>
      </c>
      <c r="J597" s="19" t="s">
        <v>1673</v>
      </c>
      <c r="K597" s="19" t="s">
        <v>1127</v>
      </c>
      <c r="L597" s="19" t="s">
        <v>102</v>
      </c>
      <c r="M597" s="19" t="s">
        <v>1889</v>
      </c>
      <c r="N597" s="19">
        <v>426</v>
      </c>
      <c r="O597" s="19">
        <v>80940</v>
      </c>
      <c r="P597" s="19" t="s">
        <v>1889</v>
      </c>
      <c r="Q597" s="19">
        <v>84987</v>
      </c>
      <c r="R597" s="19">
        <v>2.5</v>
      </c>
      <c r="S597" s="19">
        <v>2023.5</v>
      </c>
      <c r="T597" s="19">
        <v>2.5</v>
      </c>
      <c r="U597" s="19">
        <v>2023.5</v>
      </c>
      <c r="V597" s="19">
        <v>0</v>
      </c>
      <c r="W597" s="19">
        <v>0</v>
      </c>
      <c r="X597" s="19">
        <v>0</v>
      </c>
      <c r="Y597" s="19">
        <v>4047</v>
      </c>
      <c r="Z597" s="19">
        <v>0</v>
      </c>
      <c r="AA597" s="19" t="s">
        <v>799</v>
      </c>
      <c r="AB597" s="19" t="s">
        <v>1555</v>
      </c>
      <c r="AC597" s="19">
        <v>40159010</v>
      </c>
      <c r="AD597" s="19" t="s">
        <v>1092</v>
      </c>
      <c r="AE597" s="19">
        <v>1</v>
      </c>
      <c r="AF597" s="19">
        <v>0</v>
      </c>
      <c r="AG597" s="19" t="s">
        <v>1093</v>
      </c>
      <c r="AH597" s="19" t="s">
        <v>2319</v>
      </c>
    </row>
    <row r="598" spans="2:34" hidden="1" x14ac:dyDescent="0.35">
      <c r="B598" s="76">
        <v>46226</v>
      </c>
      <c r="C598" s="19" t="s">
        <v>830</v>
      </c>
      <c r="D598" s="19" t="s">
        <v>126</v>
      </c>
      <c r="E598" s="19" t="s">
        <v>828</v>
      </c>
      <c r="F598" s="19" t="s">
        <v>118</v>
      </c>
      <c r="G598" s="19" t="s">
        <v>829</v>
      </c>
      <c r="H598" s="76">
        <v>46225</v>
      </c>
      <c r="I598" s="19" t="s">
        <v>105</v>
      </c>
      <c r="J598" s="19" t="s">
        <v>1670</v>
      </c>
      <c r="K598" s="19" t="s">
        <v>1127</v>
      </c>
      <c r="L598" s="19" t="s">
        <v>1389</v>
      </c>
      <c r="M598" s="19" t="s">
        <v>1890</v>
      </c>
      <c r="N598" s="19">
        <v>50</v>
      </c>
      <c r="O598" s="19">
        <v>4500</v>
      </c>
      <c r="P598" s="19" t="s">
        <v>1890</v>
      </c>
      <c r="Q598" s="19">
        <v>5310</v>
      </c>
      <c r="R598" s="19">
        <v>9</v>
      </c>
      <c r="S598" s="19">
        <v>405</v>
      </c>
      <c r="T598" s="19">
        <v>9</v>
      </c>
      <c r="U598" s="19">
        <v>405</v>
      </c>
      <c r="V598" s="19">
        <v>0</v>
      </c>
      <c r="W598" s="19">
        <v>0</v>
      </c>
      <c r="X598" s="19">
        <v>0</v>
      </c>
      <c r="Y598" s="19">
        <v>810</v>
      </c>
      <c r="Z598" s="19">
        <v>0</v>
      </c>
      <c r="AA598" s="19" t="s">
        <v>831</v>
      </c>
      <c r="AB598" s="19" t="s">
        <v>1555</v>
      </c>
      <c r="AC598" s="19">
        <v>940540</v>
      </c>
      <c r="AD598" s="19" t="s">
        <v>1092</v>
      </c>
      <c r="AE598" s="19">
        <v>1</v>
      </c>
      <c r="AF598" s="19">
        <v>0</v>
      </c>
      <c r="AG598" s="19" t="s">
        <v>1093</v>
      </c>
      <c r="AH598" s="19" t="s">
        <v>2319</v>
      </c>
    </row>
    <row r="599" spans="2:34" hidden="1" x14ac:dyDescent="0.35">
      <c r="B599" s="76">
        <v>46226</v>
      </c>
      <c r="C599" s="19" t="s">
        <v>830</v>
      </c>
      <c r="D599" s="19" t="s">
        <v>126</v>
      </c>
      <c r="E599" s="19" t="s">
        <v>832</v>
      </c>
      <c r="F599" s="19" t="s">
        <v>118</v>
      </c>
      <c r="G599" s="19" t="s">
        <v>833</v>
      </c>
      <c r="H599" s="76">
        <v>46225</v>
      </c>
      <c r="I599" s="19" t="s">
        <v>105</v>
      </c>
      <c r="J599" s="19" t="s">
        <v>1703</v>
      </c>
      <c r="K599" s="19" t="s">
        <v>1127</v>
      </c>
      <c r="L599" s="19" t="s">
        <v>1389</v>
      </c>
      <c r="M599" s="19" t="s">
        <v>1891</v>
      </c>
      <c r="N599" s="19">
        <v>40</v>
      </c>
      <c r="O599" s="19">
        <v>36000</v>
      </c>
      <c r="P599" s="19" t="s">
        <v>1891</v>
      </c>
      <c r="Q599" s="19">
        <v>42480</v>
      </c>
      <c r="R599" s="19">
        <v>9</v>
      </c>
      <c r="S599" s="19">
        <v>3240</v>
      </c>
      <c r="T599" s="19">
        <v>9</v>
      </c>
      <c r="U599" s="19">
        <v>3240</v>
      </c>
      <c r="V599" s="19">
        <v>0</v>
      </c>
      <c r="W599" s="19">
        <v>0</v>
      </c>
      <c r="X599" s="19">
        <v>0</v>
      </c>
      <c r="Y599" s="19">
        <v>6480</v>
      </c>
      <c r="Z599" s="19">
        <v>0</v>
      </c>
      <c r="AA599" s="19" t="s">
        <v>831</v>
      </c>
      <c r="AB599" s="19" t="s">
        <v>1672</v>
      </c>
      <c r="AC599" s="19">
        <v>94054090</v>
      </c>
      <c r="AD599" s="19" t="s">
        <v>1092</v>
      </c>
      <c r="AE599" s="19">
        <v>1</v>
      </c>
      <c r="AF599" s="19">
        <v>0</v>
      </c>
      <c r="AG599" s="19" t="s">
        <v>1093</v>
      </c>
      <c r="AH599" s="19" t="s">
        <v>2319</v>
      </c>
    </row>
    <row r="600" spans="2:34" hidden="1" x14ac:dyDescent="0.35">
      <c r="B600" s="76">
        <v>46226</v>
      </c>
      <c r="C600" s="19" t="s">
        <v>822</v>
      </c>
      <c r="D600" s="19" t="s">
        <v>126</v>
      </c>
      <c r="E600" s="19" t="s">
        <v>820</v>
      </c>
      <c r="F600" s="19" t="s">
        <v>121</v>
      </c>
      <c r="G600" s="19" t="s">
        <v>821</v>
      </c>
      <c r="H600" s="76">
        <v>46223</v>
      </c>
      <c r="I600" s="19" t="s">
        <v>105</v>
      </c>
      <c r="J600" s="19" t="s">
        <v>1553</v>
      </c>
      <c r="K600" s="19" t="s">
        <v>1127</v>
      </c>
      <c r="L600" s="19" t="s">
        <v>1389</v>
      </c>
      <c r="M600" s="19" t="s">
        <v>1892</v>
      </c>
      <c r="N600" s="19">
        <v>10</v>
      </c>
      <c r="O600" s="19">
        <v>2500</v>
      </c>
      <c r="P600" s="19" t="s">
        <v>1892</v>
      </c>
      <c r="Q600" s="19">
        <v>2625</v>
      </c>
      <c r="R600" s="19">
        <v>0</v>
      </c>
      <c r="S600" s="19">
        <v>0</v>
      </c>
      <c r="T600" s="19">
        <v>0</v>
      </c>
      <c r="U600" s="19">
        <v>0</v>
      </c>
      <c r="V600" s="19">
        <v>5</v>
      </c>
      <c r="W600" s="19">
        <v>125</v>
      </c>
      <c r="X600" s="19">
        <v>0</v>
      </c>
      <c r="Y600" s="19">
        <v>125</v>
      </c>
      <c r="Z600" s="19">
        <v>0</v>
      </c>
      <c r="AA600" s="19" t="s">
        <v>823</v>
      </c>
      <c r="AB600" s="19" t="s">
        <v>1555</v>
      </c>
      <c r="AC600" s="19">
        <v>84529099</v>
      </c>
      <c r="AD600" s="19" t="s">
        <v>1092</v>
      </c>
      <c r="AE600" s="19">
        <v>1</v>
      </c>
      <c r="AF600" s="19">
        <v>0</v>
      </c>
      <c r="AG600" s="19" t="s">
        <v>1093</v>
      </c>
      <c r="AH600" s="19" t="s">
        <v>2319</v>
      </c>
    </row>
    <row r="601" spans="2:34" hidden="1" x14ac:dyDescent="0.35">
      <c r="B601" s="76">
        <v>46226</v>
      </c>
      <c r="C601" s="19" t="s">
        <v>680</v>
      </c>
      <c r="D601" s="19" t="s">
        <v>126</v>
      </c>
      <c r="E601" s="19" t="s">
        <v>827</v>
      </c>
      <c r="F601" s="19" t="s">
        <v>121</v>
      </c>
      <c r="G601" s="19">
        <v>72</v>
      </c>
      <c r="H601" s="76">
        <v>46223</v>
      </c>
      <c r="I601" s="19" t="s">
        <v>105</v>
      </c>
      <c r="J601" s="19" t="s">
        <v>1579</v>
      </c>
      <c r="K601" s="19" t="s">
        <v>1127</v>
      </c>
      <c r="L601" s="19" t="s">
        <v>1389</v>
      </c>
      <c r="M601" s="19" t="s">
        <v>1893</v>
      </c>
      <c r="N601" s="19">
        <v>2</v>
      </c>
      <c r="O601" s="19">
        <v>5700</v>
      </c>
      <c r="P601" s="19" t="s">
        <v>1893</v>
      </c>
      <c r="Q601" s="19">
        <v>13806</v>
      </c>
      <c r="R601" s="19">
        <v>0</v>
      </c>
      <c r="S601" s="19">
        <v>0</v>
      </c>
      <c r="T601" s="19">
        <v>0</v>
      </c>
      <c r="U601" s="19">
        <v>0</v>
      </c>
      <c r="V601" s="19">
        <v>18</v>
      </c>
      <c r="W601" s="19">
        <v>1026</v>
      </c>
      <c r="X601" s="19">
        <v>0</v>
      </c>
      <c r="Y601" s="19">
        <v>1026</v>
      </c>
      <c r="Z601" s="19">
        <v>0</v>
      </c>
      <c r="AA601" s="19" t="s">
        <v>681</v>
      </c>
      <c r="AB601" s="19" t="s">
        <v>1555</v>
      </c>
      <c r="AC601" s="19">
        <v>844810</v>
      </c>
      <c r="AD601" s="19" t="s">
        <v>1092</v>
      </c>
      <c r="AE601" s="19">
        <v>1</v>
      </c>
      <c r="AF601" s="19">
        <v>0</v>
      </c>
      <c r="AG601" s="19" t="s">
        <v>1093</v>
      </c>
      <c r="AH601" s="19" t="s">
        <v>2319</v>
      </c>
    </row>
    <row r="602" spans="2:34" hidden="1" x14ac:dyDescent="0.35">
      <c r="B602" s="76">
        <v>46226</v>
      </c>
      <c r="C602" s="19" t="s">
        <v>680</v>
      </c>
      <c r="D602" s="19" t="s">
        <v>126</v>
      </c>
      <c r="E602" s="19" t="s">
        <v>827</v>
      </c>
      <c r="F602" s="19" t="s">
        <v>121</v>
      </c>
      <c r="G602" s="19">
        <v>72</v>
      </c>
      <c r="H602" s="76">
        <v>46223</v>
      </c>
      <c r="I602" s="19" t="s">
        <v>105</v>
      </c>
      <c r="J602" s="19" t="s">
        <v>1579</v>
      </c>
      <c r="K602" s="19" t="s">
        <v>1127</v>
      </c>
      <c r="L602" s="19" t="s">
        <v>1389</v>
      </c>
      <c r="M602" s="19" t="s">
        <v>1894</v>
      </c>
      <c r="N602" s="19">
        <v>2</v>
      </c>
      <c r="O602" s="19">
        <v>6000</v>
      </c>
      <c r="P602" s="19" t="s">
        <v>1894</v>
      </c>
      <c r="Q602" s="19">
        <v>0</v>
      </c>
      <c r="R602" s="19">
        <v>0</v>
      </c>
      <c r="S602" s="19">
        <v>0</v>
      </c>
      <c r="T602" s="19">
        <v>0</v>
      </c>
      <c r="U602" s="19">
        <v>0</v>
      </c>
      <c r="V602" s="19">
        <v>18</v>
      </c>
      <c r="W602" s="19">
        <v>1080</v>
      </c>
      <c r="X602" s="19">
        <v>0</v>
      </c>
      <c r="Y602" s="19">
        <v>1080</v>
      </c>
      <c r="Z602" s="19">
        <v>0</v>
      </c>
      <c r="AA602" s="19" t="s">
        <v>681</v>
      </c>
      <c r="AB602" s="19" t="s">
        <v>1555</v>
      </c>
      <c r="AC602" s="19">
        <v>844810</v>
      </c>
      <c r="AD602" s="19" t="s">
        <v>1092</v>
      </c>
      <c r="AE602" s="19">
        <v>1</v>
      </c>
      <c r="AF602" s="19">
        <v>0</v>
      </c>
      <c r="AG602" s="19" t="s">
        <v>1093</v>
      </c>
      <c r="AH602" s="19" t="s">
        <v>2319</v>
      </c>
    </row>
    <row r="603" spans="2:34" hidden="1" x14ac:dyDescent="0.35">
      <c r="B603" s="76">
        <v>46226</v>
      </c>
      <c r="C603" s="19" t="s">
        <v>808</v>
      </c>
      <c r="D603" s="19" t="s">
        <v>126</v>
      </c>
      <c r="E603" s="19" t="s">
        <v>806</v>
      </c>
      <c r="F603" s="19" t="s">
        <v>118</v>
      </c>
      <c r="G603" s="19" t="s">
        <v>807</v>
      </c>
      <c r="H603" s="76">
        <v>46204</v>
      </c>
      <c r="I603" s="19" t="s">
        <v>105</v>
      </c>
      <c r="J603" s="19" t="s">
        <v>1586</v>
      </c>
      <c r="K603" s="19" t="s">
        <v>1127</v>
      </c>
      <c r="L603" s="19" t="s">
        <v>1389</v>
      </c>
      <c r="M603" s="19" t="s">
        <v>1895</v>
      </c>
      <c r="N603" s="19">
        <v>5</v>
      </c>
      <c r="O603" s="19">
        <v>1000</v>
      </c>
      <c r="P603" s="19" t="s">
        <v>1895</v>
      </c>
      <c r="Q603" s="19">
        <v>1180</v>
      </c>
      <c r="R603" s="19">
        <v>9</v>
      </c>
      <c r="S603" s="19">
        <v>90</v>
      </c>
      <c r="T603" s="19">
        <v>9</v>
      </c>
      <c r="U603" s="19">
        <v>90</v>
      </c>
      <c r="V603" s="19">
        <v>0</v>
      </c>
      <c r="W603" s="19">
        <v>0</v>
      </c>
      <c r="X603" s="19">
        <v>0</v>
      </c>
      <c r="Y603" s="19">
        <v>180</v>
      </c>
      <c r="Z603" s="19">
        <v>0</v>
      </c>
      <c r="AA603" s="19" t="s">
        <v>809</v>
      </c>
      <c r="AB603" s="19" t="s">
        <v>1555</v>
      </c>
      <c r="AC603" s="19">
        <v>73201011</v>
      </c>
      <c r="AD603" s="19" t="s">
        <v>1092</v>
      </c>
      <c r="AE603" s="19">
        <v>1</v>
      </c>
      <c r="AF603" s="19">
        <v>0</v>
      </c>
      <c r="AG603" s="19" t="s">
        <v>1093</v>
      </c>
      <c r="AH603" s="19" t="s">
        <v>2319</v>
      </c>
    </row>
    <row r="604" spans="2:34" hidden="1" x14ac:dyDescent="0.35">
      <c r="B604" s="76">
        <v>46226</v>
      </c>
      <c r="C604" s="19" t="s">
        <v>792</v>
      </c>
      <c r="D604" s="19" t="s">
        <v>126</v>
      </c>
      <c r="E604" s="19" t="s">
        <v>790</v>
      </c>
      <c r="F604" s="19" t="s">
        <v>118</v>
      </c>
      <c r="G604" s="19" t="s">
        <v>791</v>
      </c>
      <c r="H604" s="76">
        <v>46223</v>
      </c>
      <c r="I604" s="19" t="s">
        <v>105</v>
      </c>
      <c r="J604" s="19" t="s">
        <v>1728</v>
      </c>
      <c r="K604" s="19" t="s">
        <v>1127</v>
      </c>
      <c r="L604" s="19" t="s">
        <v>1389</v>
      </c>
      <c r="M604" s="19" t="s">
        <v>1888</v>
      </c>
      <c r="N604" s="19">
        <v>30</v>
      </c>
      <c r="O604" s="19">
        <v>6930</v>
      </c>
      <c r="P604" s="19" t="s">
        <v>1888</v>
      </c>
      <c r="Q604" s="19">
        <v>8177</v>
      </c>
      <c r="R604" s="19">
        <v>9</v>
      </c>
      <c r="S604" s="19">
        <v>623.70000000000005</v>
      </c>
      <c r="T604" s="19">
        <v>9</v>
      </c>
      <c r="U604" s="19">
        <v>623.70000000000005</v>
      </c>
      <c r="V604" s="19">
        <v>0</v>
      </c>
      <c r="W604" s="19">
        <v>0</v>
      </c>
      <c r="X604" s="19">
        <v>0</v>
      </c>
      <c r="Y604" s="19">
        <v>1247.4000000000001</v>
      </c>
      <c r="Z604" s="19">
        <v>0</v>
      </c>
      <c r="AA604" s="19" t="s">
        <v>793</v>
      </c>
      <c r="AB604" s="19" t="s">
        <v>1764</v>
      </c>
      <c r="AC604" s="19">
        <v>82090090</v>
      </c>
      <c r="AD604" s="19" t="s">
        <v>1092</v>
      </c>
      <c r="AE604" s="19">
        <v>1</v>
      </c>
      <c r="AF604" s="19">
        <v>0</v>
      </c>
      <c r="AG604" s="19" t="s">
        <v>1093</v>
      </c>
      <c r="AH604" s="19" t="s">
        <v>2319</v>
      </c>
    </row>
    <row r="605" spans="2:34" hidden="1" x14ac:dyDescent="0.35">
      <c r="B605" s="76">
        <v>46226</v>
      </c>
      <c r="C605" s="19" t="s">
        <v>345</v>
      </c>
      <c r="D605" s="19" t="s">
        <v>126</v>
      </c>
      <c r="E605" s="19" t="s">
        <v>826</v>
      </c>
      <c r="F605" s="19" t="s">
        <v>121</v>
      </c>
      <c r="G605" s="19">
        <v>364</v>
      </c>
      <c r="H605" s="76">
        <v>46223</v>
      </c>
      <c r="I605" s="19" t="s">
        <v>105</v>
      </c>
      <c r="J605" s="19" t="s">
        <v>1737</v>
      </c>
      <c r="K605" s="19">
        <v>0</v>
      </c>
      <c r="L605" s="19" t="s">
        <v>1389</v>
      </c>
      <c r="M605" s="19" t="s">
        <v>1896</v>
      </c>
      <c r="N605" s="19">
        <v>1000</v>
      </c>
      <c r="O605" s="19">
        <v>22000</v>
      </c>
      <c r="P605" s="19" t="s">
        <v>1896</v>
      </c>
      <c r="Q605" s="19">
        <v>25960</v>
      </c>
      <c r="R605" s="19">
        <v>0</v>
      </c>
      <c r="S605" s="19">
        <v>0</v>
      </c>
      <c r="T605" s="19">
        <v>0</v>
      </c>
      <c r="U605" s="19">
        <v>0</v>
      </c>
      <c r="V605" s="19">
        <v>18</v>
      </c>
      <c r="W605" s="19">
        <v>3960</v>
      </c>
      <c r="X605" s="19">
        <v>0</v>
      </c>
      <c r="Y605" s="19">
        <v>3960</v>
      </c>
      <c r="Z605" s="19">
        <v>0</v>
      </c>
      <c r="AA605" s="19" t="s">
        <v>346</v>
      </c>
      <c r="AB605" s="19" t="s">
        <v>1555</v>
      </c>
      <c r="AC605" s="19">
        <v>84463090</v>
      </c>
      <c r="AD605" s="19" t="s">
        <v>1092</v>
      </c>
      <c r="AE605" s="19">
        <v>1</v>
      </c>
      <c r="AF605" s="19">
        <v>0</v>
      </c>
      <c r="AG605" s="19" t="s">
        <v>1093</v>
      </c>
      <c r="AH605" s="19" t="s">
        <v>2319</v>
      </c>
    </row>
    <row r="606" spans="2:34" x14ac:dyDescent="0.35">
      <c r="B606" s="76">
        <v>46227</v>
      </c>
      <c r="C606" s="19" t="s">
        <v>613</v>
      </c>
      <c r="D606" s="19" t="s">
        <v>173</v>
      </c>
      <c r="E606" s="19" t="s">
        <v>834</v>
      </c>
      <c r="F606" s="19" t="s">
        <v>123</v>
      </c>
      <c r="G606" s="19" t="s">
        <v>835</v>
      </c>
      <c r="H606" s="76">
        <v>46227</v>
      </c>
      <c r="I606" s="19" t="s">
        <v>49</v>
      </c>
      <c r="J606" s="19" t="s">
        <v>50</v>
      </c>
      <c r="K606" s="19" t="s">
        <v>50</v>
      </c>
      <c r="L606" s="19" t="s">
        <v>1095</v>
      </c>
      <c r="M606" s="19" t="s">
        <v>1098</v>
      </c>
      <c r="N606" s="19">
        <v>11190</v>
      </c>
      <c r="O606" s="19">
        <v>2572581</v>
      </c>
      <c r="P606" s="19" t="s">
        <v>1098</v>
      </c>
      <c r="Q606" s="19">
        <v>5216030.29</v>
      </c>
      <c r="R606" s="19">
        <v>9</v>
      </c>
      <c r="S606" s="19">
        <v>231532.29</v>
      </c>
      <c r="T606" s="19">
        <v>9</v>
      </c>
      <c r="U606" s="19">
        <v>231532.29</v>
      </c>
      <c r="V606" s="19">
        <v>0</v>
      </c>
      <c r="W606" s="19">
        <v>0</v>
      </c>
      <c r="X606" s="19">
        <v>0</v>
      </c>
      <c r="Y606" s="19">
        <v>463064.58</v>
      </c>
      <c r="Z606" s="19">
        <v>0</v>
      </c>
      <c r="AA606" s="19" t="s">
        <v>614</v>
      </c>
      <c r="AB606" s="19" t="s">
        <v>1289</v>
      </c>
      <c r="AC606" s="19">
        <v>63053200</v>
      </c>
      <c r="AD606" s="19" t="s">
        <v>1092</v>
      </c>
      <c r="AE606" s="19">
        <v>1</v>
      </c>
      <c r="AF606" s="19">
        <v>11190</v>
      </c>
      <c r="AG606" s="19" t="s">
        <v>1093</v>
      </c>
      <c r="AH606" s="19" t="s">
        <v>50</v>
      </c>
    </row>
    <row r="607" spans="2:34" x14ac:dyDescent="0.35">
      <c r="B607" s="76">
        <v>46227</v>
      </c>
      <c r="C607" s="19" t="s">
        <v>613</v>
      </c>
      <c r="D607" s="19" t="s">
        <v>173</v>
      </c>
      <c r="E607" s="19" t="s">
        <v>834</v>
      </c>
      <c r="F607" s="19" t="s">
        <v>123</v>
      </c>
      <c r="G607" s="19" t="s">
        <v>835</v>
      </c>
      <c r="H607" s="76">
        <v>46227</v>
      </c>
      <c r="I607" s="19" t="s">
        <v>49</v>
      </c>
      <c r="J607" s="19" t="s">
        <v>50</v>
      </c>
      <c r="K607" s="19" t="s">
        <v>50</v>
      </c>
      <c r="L607" s="19" t="s">
        <v>1095</v>
      </c>
      <c r="M607" s="19" t="s">
        <v>1098</v>
      </c>
      <c r="N607" s="19">
        <v>8189</v>
      </c>
      <c r="O607" s="19">
        <v>1851532.9</v>
      </c>
      <c r="P607" s="19" t="s">
        <v>1098</v>
      </c>
      <c r="Q607" s="19">
        <v>0</v>
      </c>
      <c r="R607" s="19">
        <v>9</v>
      </c>
      <c r="S607" s="19">
        <v>166637.96</v>
      </c>
      <c r="T607" s="19">
        <v>9</v>
      </c>
      <c r="U607" s="19">
        <v>166637.96</v>
      </c>
      <c r="V607" s="19">
        <v>0</v>
      </c>
      <c r="W607" s="19">
        <v>0</v>
      </c>
      <c r="X607" s="19">
        <v>0</v>
      </c>
      <c r="Y607" s="19">
        <v>333275.92</v>
      </c>
      <c r="Z607" s="19">
        <v>0</v>
      </c>
      <c r="AA607" s="19" t="s">
        <v>614</v>
      </c>
      <c r="AB607" s="19" t="s">
        <v>1289</v>
      </c>
      <c r="AC607" s="19">
        <v>63053200</v>
      </c>
      <c r="AD607" s="19" t="s">
        <v>1092</v>
      </c>
      <c r="AE607" s="19">
        <v>1</v>
      </c>
      <c r="AF607" s="19">
        <f t="shared" ref="AF607" si="22">N607</f>
        <v>8189</v>
      </c>
      <c r="AG607" s="19" t="s">
        <v>1093</v>
      </c>
      <c r="AH607" s="19" t="s">
        <v>50</v>
      </c>
    </row>
    <row r="608" spans="2:34" x14ac:dyDescent="0.35">
      <c r="B608" s="76">
        <v>46229</v>
      </c>
      <c r="C608" s="19" t="s">
        <v>178</v>
      </c>
      <c r="D608" s="19" t="s">
        <v>173</v>
      </c>
      <c r="E608" s="19" t="s">
        <v>840</v>
      </c>
      <c r="F608" s="19" t="s">
        <v>123</v>
      </c>
      <c r="G608" s="19" t="s">
        <v>841</v>
      </c>
      <c r="H608" s="76">
        <v>46226</v>
      </c>
      <c r="I608" s="19" t="s">
        <v>28</v>
      </c>
      <c r="J608" s="19" t="s">
        <v>1173</v>
      </c>
      <c r="K608" s="19" t="s">
        <v>34</v>
      </c>
      <c r="L608" s="19" t="s">
        <v>1105</v>
      </c>
      <c r="M608" s="19" t="s">
        <v>1646</v>
      </c>
      <c r="N608" s="19">
        <v>1250</v>
      </c>
      <c r="O608" s="19">
        <v>169687.5</v>
      </c>
      <c r="P608" s="19" t="s">
        <v>1646</v>
      </c>
      <c r="Q608" s="19">
        <v>1046207.79</v>
      </c>
      <c r="R608" s="19">
        <v>9</v>
      </c>
      <c r="S608" s="19">
        <v>15271.88</v>
      </c>
      <c r="T608" s="19">
        <v>9</v>
      </c>
      <c r="U608" s="19">
        <v>15271.88</v>
      </c>
      <c r="V608" s="19">
        <v>0</v>
      </c>
      <c r="W608" s="19">
        <v>0</v>
      </c>
      <c r="X608" s="19">
        <v>0</v>
      </c>
      <c r="Y608" s="19">
        <v>30543.759999999998</v>
      </c>
      <c r="Z608" s="19">
        <v>0</v>
      </c>
      <c r="AA608" s="19" t="s">
        <v>179</v>
      </c>
      <c r="AB608" s="19" t="s">
        <v>1289</v>
      </c>
      <c r="AC608" s="19">
        <v>39021000</v>
      </c>
      <c r="AD608" s="19" t="s">
        <v>1092</v>
      </c>
      <c r="AE608" s="19">
        <v>1</v>
      </c>
      <c r="AF608" s="19">
        <v>1250</v>
      </c>
      <c r="AG608" s="19" t="s">
        <v>1093</v>
      </c>
      <c r="AH608" s="19" t="s">
        <v>34</v>
      </c>
    </row>
    <row r="609" spans="2:34" x14ac:dyDescent="0.35">
      <c r="B609" s="76">
        <v>46229</v>
      </c>
      <c r="C609" s="19" t="s">
        <v>178</v>
      </c>
      <c r="D609" s="19" t="s">
        <v>173</v>
      </c>
      <c r="E609" s="19" t="s">
        <v>840</v>
      </c>
      <c r="F609" s="19" t="s">
        <v>123</v>
      </c>
      <c r="G609" s="19" t="s">
        <v>841</v>
      </c>
      <c r="H609" s="76">
        <v>46226</v>
      </c>
      <c r="I609" s="19" t="s">
        <v>36</v>
      </c>
      <c r="J609" s="19" t="s">
        <v>1117</v>
      </c>
      <c r="K609" s="19" t="s">
        <v>44</v>
      </c>
      <c r="L609" s="19" t="s">
        <v>1118</v>
      </c>
      <c r="M609" s="19" t="s">
        <v>1119</v>
      </c>
      <c r="N609" s="19">
        <v>364</v>
      </c>
      <c r="O609" s="19">
        <v>58054.36</v>
      </c>
      <c r="P609" s="19" t="s">
        <v>1119</v>
      </c>
      <c r="Q609" s="19">
        <v>0</v>
      </c>
      <c r="R609" s="19">
        <v>9</v>
      </c>
      <c r="S609" s="19">
        <v>5224.8900000000003</v>
      </c>
      <c r="T609" s="19">
        <v>9</v>
      </c>
      <c r="U609" s="19">
        <v>5224.8900000000003</v>
      </c>
      <c r="V609" s="19">
        <v>0</v>
      </c>
      <c r="W609" s="19">
        <v>0</v>
      </c>
      <c r="X609" s="19">
        <v>0</v>
      </c>
      <c r="Y609" s="19">
        <v>10449.780000000001</v>
      </c>
      <c r="Z609" s="19">
        <v>0</v>
      </c>
      <c r="AA609" s="19" t="s">
        <v>179</v>
      </c>
      <c r="AB609" s="19" t="s">
        <v>1289</v>
      </c>
      <c r="AC609" s="19">
        <v>39269080</v>
      </c>
      <c r="AD609" s="19" t="s">
        <v>1092</v>
      </c>
      <c r="AE609" s="19">
        <v>1</v>
      </c>
      <c r="AF609" s="19">
        <v>364</v>
      </c>
      <c r="AG609" s="19" t="s">
        <v>1093</v>
      </c>
      <c r="AH609" s="19" t="s">
        <v>44</v>
      </c>
    </row>
    <row r="610" spans="2:34" x14ac:dyDescent="0.35">
      <c r="B610" s="76">
        <v>46229</v>
      </c>
      <c r="C610" s="19" t="s">
        <v>178</v>
      </c>
      <c r="D610" s="19" t="s">
        <v>173</v>
      </c>
      <c r="E610" s="19" t="s">
        <v>840</v>
      </c>
      <c r="F610" s="19" t="s">
        <v>123</v>
      </c>
      <c r="G610" s="19" t="s">
        <v>841</v>
      </c>
      <c r="H610" s="76">
        <v>46226</v>
      </c>
      <c r="I610" s="19" t="s">
        <v>36</v>
      </c>
      <c r="J610" s="19" t="s">
        <v>1117</v>
      </c>
      <c r="K610" s="19" t="s">
        <v>44</v>
      </c>
      <c r="L610" s="19" t="s">
        <v>1118</v>
      </c>
      <c r="M610" s="19" t="s">
        <v>1119</v>
      </c>
      <c r="N610" s="19">
        <v>197</v>
      </c>
      <c r="O610" s="19">
        <v>30434.53</v>
      </c>
      <c r="P610" s="19" t="s">
        <v>1119</v>
      </c>
      <c r="Q610" s="19">
        <v>0</v>
      </c>
      <c r="R610" s="19">
        <v>9</v>
      </c>
      <c r="S610" s="19">
        <v>2739.11</v>
      </c>
      <c r="T610" s="19">
        <v>9</v>
      </c>
      <c r="U610" s="19">
        <v>2739.11</v>
      </c>
      <c r="V610" s="19">
        <v>0</v>
      </c>
      <c r="W610" s="19">
        <v>0</v>
      </c>
      <c r="X610" s="19">
        <v>0</v>
      </c>
      <c r="Y610" s="19">
        <v>5478.22</v>
      </c>
      <c r="Z610" s="19">
        <v>0</v>
      </c>
      <c r="AA610" s="19" t="s">
        <v>179</v>
      </c>
      <c r="AB610" s="19" t="s">
        <v>1289</v>
      </c>
      <c r="AC610" s="19">
        <v>39269080</v>
      </c>
      <c r="AD610" s="19" t="s">
        <v>1092</v>
      </c>
      <c r="AE610" s="19">
        <v>1</v>
      </c>
      <c r="AF610" s="19">
        <v>197</v>
      </c>
      <c r="AG610" s="19" t="s">
        <v>1093</v>
      </c>
      <c r="AH610" s="19" t="s">
        <v>44</v>
      </c>
    </row>
    <row r="611" spans="2:34" x14ac:dyDescent="0.35">
      <c r="B611" s="76">
        <v>46229</v>
      </c>
      <c r="C611" s="19" t="s">
        <v>178</v>
      </c>
      <c r="D611" s="19" t="s">
        <v>173</v>
      </c>
      <c r="E611" s="19" t="s">
        <v>840</v>
      </c>
      <c r="F611" s="19" t="s">
        <v>123</v>
      </c>
      <c r="G611" s="19" t="s">
        <v>841</v>
      </c>
      <c r="H611" s="76">
        <v>46226</v>
      </c>
      <c r="I611" s="19" t="s">
        <v>36</v>
      </c>
      <c r="J611" s="19" t="s">
        <v>1117</v>
      </c>
      <c r="K611" s="19" t="s">
        <v>44</v>
      </c>
      <c r="L611" s="19" t="s">
        <v>1118</v>
      </c>
      <c r="M611" s="19" t="s">
        <v>1119</v>
      </c>
      <c r="N611" s="19">
        <v>286</v>
      </c>
      <c r="O611" s="19">
        <v>61916.14</v>
      </c>
      <c r="P611" s="19" t="s">
        <v>1119</v>
      </c>
      <c r="Q611" s="19">
        <v>0</v>
      </c>
      <c r="R611" s="19">
        <v>9</v>
      </c>
      <c r="S611" s="19">
        <v>5572.45</v>
      </c>
      <c r="T611" s="19">
        <v>9</v>
      </c>
      <c r="U611" s="19">
        <v>5572.45</v>
      </c>
      <c r="V611" s="19">
        <v>0</v>
      </c>
      <c r="W611" s="19">
        <v>0</v>
      </c>
      <c r="X611" s="19">
        <v>0</v>
      </c>
      <c r="Y611" s="19">
        <v>11144.9</v>
      </c>
      <c r="Z611" s="19">
        <v>0</v>
      </c>
      <c r="AA611" s="19" t="s">
        <v>179</v>
      </c>
      <c r="AB611" s="19" t="s">
        <v>1289</v>
      </c>
      <c r="AC611" s="19">
        <v>39269080</v>
      </c>
      <c r="AD611" s="19" t="s">
        <v>1092</v>
      </c>
      <c r="AE611" s="19">
        <v>1</v>
      </c>
      <c r="AF611" s="19">
        <v>286</v>
      </c>
      <c r="AG611" s="19" t="s">
        <v>1093</v>
      </c>
      <c r="AH611" s="19" t="s">
        <v>44</v>
      </c>
    </row>
    <row r="612" spans="2:34" x14ac:dyDescent="0.35">
      <c r="B612" s="76">
        <v>46229</v>
      </c>
      <c r="C612" s="19" t="s">
        <v>178</v>
      </c>
      <c r="D612" s="19" t="s">
        <v>173</v>
      </c>
      <c r="E612" s="19" t="s">
        <v>840</v>
      </c>
      <c r="F612" s="19" t="s">
        <v>123</v>
      </c>
      <c r="G612" s="19" t="s">
        <v>841</v>
      </c>
      <c r="H612" s="76">
        <v>46226</v>
      </c>
      <c r="I612" s="19" t="s">
        <v>36</v>
      </c>
      <c r="J612" s="19" t="s">
        <v>1117</v>
      </c>
      <c r="K612" s="19" t="s">
        <v>44</v>
      </c>
      <c r="L612" s="19" t="s">
        <v>1118</v>
      </c>
      <c r="M612" s="19" t="s">
        <v>1119</v>
      </c>
      <c r="N612" s="19">
        <v>3625</v>
      </c>
      <c r="O612" s="19">
        <v>567276.25</v>
      </c>
      <c r="P612" s="19" t="s">
        <v>1119</v>
      </c>
      <c r="Q612" s="19">
        <v>0</v>
      </c>
      <c r="R612" s="19">
        <v>9</v>
      </c>
      <c r="S612" s="19">
        <v>51054.86</v>
      </c>
      <c r="T612" s="19">
        <v>9</v>
      </c>
      <c r="U612" s="19">
        <v>51054.86</v>
      </c>
      <c r="V612" s="19">
        <v>0</v>
      </c>
      <c r="W612" s="19">
        <v>0</v>
      </c>
      <c r="X612" s="19">
        <v>0</v>
      </c>
      <c r="Y612" s="19">
        <v>102109.72</v>
      </c>
      <c r="Z612" s="19">
        <v>0</v>
      </c>
      <c r="AA612" s="19" t="s">
        <v>179</v>
      </c>
      <c r="AB612" s="19" t="s">
        <v>1289</v>
      </c>
      <c r="AC612" s="19">
        <v>39269080</v>
      </c>
      <c r="AD612" s="19" t="s">
        <v>1092</v>
      </c>
      <c r="AE612" s="19">
        <v>1</v>
      </c>
      <c r="AF612" s="19">
        <v>3625</v>
      </c>
      <c r="AG612" s="19" t="s">
        <v>1093</v>
      </c>
      <c r="AH612" s="19" t="s">
        <v>44</v>
      </c>
    </row>
    <row r="613" spans="2:34" x14ac:dyDescent="0.35">
      <c r="B613" s="76">
        <v>46229</v>
      </c>
      <c r="C613" s="19" t="s">
        <v>178</v>
      </c>
      <c r="D613" s="19" t="s">
        <v>173</v>
      </c>
      <c r="E613" s="19" t="s">
        <v>842</v>
      </c>
      <c r="F613" s="19" t="s">
        <v>123</v>
      </c>
      <c r="G613" s="19" t="s">
        <v>843</v>
      </c>
      <c r="H613" s="76">
        <v>46226</v>
      </c>
      <c r="I613" s="19" t="s">
        <v>36</v>
      </c>
      <c r="J613" s="19" t="s">
        <v>1117</v>
      </c>
      <c r="K613" s="19" t="s">
        <v>44</v>
      </c>
      <c r="L613" s="19" t="s">
        <v>1118</v>
      </c>
      <c r="M613" s="19" t="s">
        <v>1119</v>
      </c>
      <c r="N613" s="19">
        <v>63</v>
      </c>
      <c r="O613" s="19">
        <v>10047.870000000001</v>
      </c>
      <c r="P613" s="19" t="s">
        <v>1119</v>
      </c>
      <c r="Q613" s="19">
        <v>11846.44</v>
      </c>
      <c r="R613" s="19">
        <v>9</v>
      </c>
      <c r="S613" s="19">
        <v>904.31</v>
      </c>
      <c r="T613" s="19">
        <v>9</v>
      </c>
      <c r="U613" s="19">
        <v>904.31</v>
      </c>
      <c r="V613" s="19">
        <v>0</v>
      </c>
      <c r="W613" s="19">
        <v>0</v>
      </c>
      <c r="X613" s="19">
        <v>0</v>
      </c>
      <c r="Y613" s="19">
        <v>1808.62</v>
      </c>
      <c r="Z613" s="19">
        <v>0</v>
      </c>
      <c r="AA613" s="19" t="s">
        <v>179</v>
      </c>
      <c r="AB613" s="19" t="s">
        <v>1289</v>
      </c>
      <c r="AC613" s="19">
        <v>39269080</v>
      </c>
      <c r="AD613" s="19" t="s">
        <v>1092</v>
      </c>
      <c r="AE613" s="19">
        <v>1</v>
      </c>
      <c r="AF613" s="19">
        <v>63</v>
      </c>
      <c r="AG613" s="19" t="s">
        <v>1093</v>
      </c>
      <c r="AH613" s="19" t="s">
        <v>44</v>
      </c>
    </row>
    <row r="614" spans="2:34" hidden="1" x14ac:dyDescent="0.35">
      <c r="B614" s="76">
        <v>46229</v>
      </c>
      <c r="C614" s="19" t="s">
        <v>138</v>
      </c>
      <c r="D614" s="19" t="s">
        <v>7</v>
      </c>
      <c r="E614" s="19" t="s">
        <v>836</v>
      </c>
      <c r="F614" s="19" t="s">
        <v>119</v>
      </c>
      <c r="G614" s="19" t="s">
        <v>837</v>
      </c>
      <c r="H614" s="76">
        <v>46226</v>
      </c>
      <c r="I614" s="19" t="s">
        <v>105</v>
      </c>
      <c r="J614" s="19" t="s">
        <v>1142</v>
      </c>
      <c r="K614" s="19" t="s">
        <v>1509</v>
      </c>
      <c r="L614" s="19" t="s">
        <v>1509</v>
      </c>
      <c r="M614" s="19" t="s">
        <v>1196</v>
      </c>
      <c r="N614" s="19">
        <v>304</v>
      </c>
      <c r="O614" s="19">
        <v>14592</v>
      </c>
      <c r="P614" s="19" t="s">
        <v>1196</v>
      </c>
      <c r="Q614" s="19">
        <v>17203.97</v>
      </c>
      <c r="R614" s="19">
        <v>9</v>
      </c>
      <c r="S614" s="19">
        <v>1313.28</v>
      </c>
      <c r="T614" s="19">
        <v>9</v>
      </c>
      <c r="U614" s="19">
        <v>1313.28</v>
      </c>
      <c r="V614" s="19">
        <v>0</v>
      </c>
      <c r="W614" s="19">
        <v>0</v>
      </c>
      <c r="X614" s="19">
        <v>0</v>
      </c>
      <c r="Y614" s="19">
        <v>2626.56</v>
      </c>
      <c r="Z614" s="19">
        <v>0</v>
      </c>
      <c r="AA614" s="19" t="s">
        <v>135</v>
      </c>
      <c r="AB614" s="19" t="s">
        <v>1289</v>
      </c>
      <c r="AC614" s="19">
        <v>73063090</v>
      </c>
      <c r="AD614" s="19" t="s">
        <v>1092</v>
      </c>
      <c r="AE614" s="19">
        <v>1</v>
      </c>
      <c r="AF614" s="19">
        <v>304</v>
      </c>
      <c r="AG614" s="19" t="s">
        <v>1093</v>
      </c>
      <c r="AH614" s="19" t="s">
        <v>2319</v>
      </c>
    </row>
    <row r="615" spans="2:34" hidden="1" x14ac:dyDescent="0.35">
      <c r="B615" s="76">
        <v>46229</v>
      </c>
      <c r="C615" s="19" t="s">
        <v>138</v>
      </c>
      <c r="D615" s="19" t="s">
        <v>7</v>
      </c>
      <c r="E615" s="19" t="s">
        <v>838</v>
      </c>
      <c r="F615" s="19" t="s">
        <v>119</v>
      </c>
      <c r="G615" s="19" t="s">
        <v>839</v>
      </c>
      <c r="H615" s="76">
        <v>46227</v>
      </c>
      <c r="I615" s="19" t="s">
        <v>105</v>
      </c>
      <c r="J615" s="19" t="s">
        <v>1142</v>
      </c>
      <c r="K615" s="19" t="s">
        <v>1509</v>
      </c>
      <c r="L615" s="19" t="s">
        <v>1509</v>
      </c>
      <c r="M615" s="19" t="s">
        <v>1196</v>
      </c>
      <c r="N615" s="19">
        <v>206</v>
      </c>
      <c r="O615" s="19">
        <v>9888</v>
      </c>
      <c r="P615" s="19" t="s">
        <v>1196</v>
      </c>
      <c r="Q615" s="19">
        <v>11657.95</v>
      </c>
      <c r="R615" s="19">
        <v>9</v>
      </c>
      <c r="S615" s="19">
        <v>889.92</v>
      </c>
      <c r="T615" s="19">
        <v>9</v>
      </c>
      <c r="U615" s="19">
        <v>889.92</v>
      </c>
      <c r="V615" s="19">
        <v>0</v>
      </c>
      <c r="W615" s="19">
        <v>0</v>
      </c>
      <c r="X615" s="19">
        <v>0</v>
      </c>
      <c r="Y615" s="19">
        <v>1779.84</v>
      </c>
      <c r="Z615" s="19">
        <v>0</v>
      </c>
      <c r="AA615" s="19" t="s">
        <v>135</v>
      </c>
      <c r="AB615" s="19" t="s">
        <v>1289</v>
      </c>
      <c r="AC615" s="19">
        <v>73063090</v>
      </c>
      <c r="AD615" s="19" t="s">
        <v>1092</v>
      </c>
      <c r="AE615" s="19">
        <v>1</v>
      </c>
      <c r="AF615" s="19">
        <v>0</v>
      </c>
      <c r="AG615" s="19" t="s">
        <v>1093</v>
      </c>
      <c r="AH615" s="19" t="s">
        <v>2319</v>
      </c>
    </row>
    <row r="616" spans="2:34" x14ac:dyDescent="0.35">
      <c r="B616" s="76">
        <v>46229</v>
      </c>
      <c r="C616" s="19" t="s">
        <v>138</v>
      </c>
      <c r="D616" s="19" t="s">
        <v>173</v>
      </c>
      <c r="E616" s="19" t="s">
        <v>846</v>
      </c>
      <c r="F616" s="19" t="s">
        <v>123</v>
      </c>
      <c r="G616" s="19" t="s">
        <v>847</v>
      </c>
      <c r="H616" s="76">
        <v>46226</v>
      </c>
      <c r="I616" s="19" t="s">
        <v>36</v>
      </c>
      <c r="J616" s="19" t="s">
        <v>1117</v>
      </c>
      <c r="K616" s="19" t="s">
        <v>44</v>
      </c>
      <c r="L616" s="19" t="s">
        <v>1118</v>
      </c>
      <c r="M616" s="19" t="s">
        <v>1119</v>
      </c>
      <c r="N616" s="19">
        <v>512</v>
      </c>
      <c r="O616" s="19">
        <v>75514.880000000005</v>
      </c>
      <c r="P616" s="19" t="s">
        <v>1119</v>
      </c>
      <c r="Q616" s="19">
        <v>1768798.43</v>
      </c>
      <c r="R616" s="19">
        <v>9</v>
      </c>
      <c r="S616" s="19">
        <v>6796.34</v>
      </c>
      <c r="T616" s="19">
        <v>9</v>
      </c>
      <c r="U616" s="19">
        <v>6796.34</v>
      </c>
      <c r="V616" s="19">
        <v>0</v>
      </c>
      <c r="W616" s="19">
        <v>0</v>
      </c>
      <c r="X616" s="19">
        <v>0</v>
      </c>
      <c r="Y616" s="19">
        <v>13592.68</v>
      </c>
      <c r="Z616" s="19">
        <v>0</v>
      </c>
      <c r="AA616" s="19" t="s">
        <v>135</v>
      </c>
      <c r="AB616" s="19" t="s">
        <v>1289</v>
      </c>
      <c r="AC616" s="19">
        <v>39269080</v>
      </c>
      <c r="AD616" s="19" t="s">
        <v>1092</v>
      </c>
      <c r="AE616" s="19">
        <v>1</v>
      </c>
      <c r="AF616" s="19">
        <v>512</v>
      </c>
      <c r="AG616" s="19" t="s">
        <v>1093</v>
      </c>
      <c r="AH616" s="19" t="s">
        <v>44</v>
      </c>
    </row>
    <row r="617" spans="2:34" x14ac:dyDescent="0.35">
      <c r="B617" s="76">
        <v>46229</v>
      </c>
      <c r="C617" s="19" t="s">
        <v>138</v>
      </c>
      <c r="D617" s="19" t="s">
        <v>173</v>
      </c>
      <c r="E617" s="19" t="s">
        <v>846</v>
      </c>
      <c r="F617" s="19" t="s">
        <v>123</v>
      </c>
      <c r="G617" s="19" t="s">
        <v>847</v>
      </c>
      <c r="H617" s="76">
        <v>46226</v>
      </c>
      <c r="I617" s="19" t="s">
        <v>36</v>
      </c>
      <c r="J617" s="19" t="s">
        <v>1117</v>
      </c>
      <c r="K617" s="19" t="s">
        <v>44</v>
      </c>
      <c r="L617" s="19" t="s">
        <v>1118</v>
      </c>
      <c r="M617" s="19" t="s">
        <v>1119</v>
      </c>
      <c r="N617" s="19">
        <v>437</v>
      </c>
      <c r="O617" s="19">
        <v>74941.13</v>
      </c>
      <c r="P617" s="19" t="s">
        <v>1119</v>
      </c>
      <c r="Q617" s="19">
        <v>0</v>
      </c>
      <c r="R617" s="19">
        <v>9</v>
      </c>
      <c r="S617" s="19">
        <v>6744.7</v>
      </c>
      <c r="T617" s="19">
        <v>9</v>
      </c>
      <c r="U617" s="19">
        <v>6744.7</v>
      </c>
      <c r="V617" s="19">
        <v>0</v>
      </c>
      <c r="W617" s="19">
        <v>0</v>
      </c>
      <c r="X617" s="19">
        <v>0</v>
      </c>
      <c r="Y617" s="19">
        <v>13489.4</v>
      </c>
      <c r="Z617" s="19">
        <v>0</v>
      </c>
      <c r="AA617" s="19" t="s">
        <v>135</v>
      </c>
      <c r="AB617" s="19" t="s">
        <v>1289</v>
      </c>
      <c r="AC617" s="19">
        <v>39269080</v>
      </c>
      <c r="AD617" s="19" t="s">
        <v>1092</v>
      </c>
      <c r="AE617" s="19">
        <v>1</v>
      </c>
      <c r="AF617" s="19">
        <v>437</v>
      </c>
      <c r="AG617" s="19" t="s">
        <v>1093</v>
      </c>
      <c r="AH617" s="19" t="s">
        <v>44</v>
      </c>
    </row>
    <row r="618" spans="2:34" x14ac:dyDescent="0.35">
      <c r="B618" s="76">
        <v>46229</v>
      </c>
      <c r="C618" s="19" t="s">
        <v>138</v>
      </c>
      <c r="D618" s="19" t="s">
        <v>173</v>
      </c>
      <c r="E618" s="19" t="s">
        <v>846</v>
      </c>
      <c r="F618" s="19" t="s">
        <v>123</v>
      </c>
      <c r="G618" s="19" t="s">
        <v>847</v>
      </c>
      <c r="H618" s="76">
        <v>46226</v>
      </c>
      <c r="I618" s="19" t="s">
        <v>36</v>
      </c>
      <c r="J618" s="19" t="s">
        <v>1117</v>
      </c>
      <c r="K618" s="19" t="s">
        <v>44</v>
      </c>
      <c r="L618" s="19" t="s">
        <v>1118</v>
      </c>
      <c r="M618" s="19" t="s">
        <v>1119</v>
      </c>
      <c r="N618" s="19">
        <v>324</v>
      </c>
      <c r="O618" s="19">
        <v>57182.76</v>
      </c>
      <c r="P618" s="19" t="s">
        <v>1119</v>
      </c>
      <c r="Q618" s="19">
        <v>0</v>
      </c>
      <c r="R618" s="19">
        <v>9</v>
      </c>
      <c r="S618" s="19">
        <v>5146.45</v>
      </c>
      <c r="T618" s="19">
        <v>9</v>
      </c>
      <c r="U618" s="19">
        <v>5146.45</v>
      </c>
      <c r="V618" s="19">
        <v>0</v>
      </c>
      <c r="W618" s="19">
        <v>0</v>
      </c>
      <c r="X618" s="19">
        <v>0</v>
      </c>
      <c r="Y618" s="19">
        <v>10292.9</v>
      </c>
      <c r="Z618" s="19">
        <v>0</v>
      </c>
      <c r="AA618" s="19" t="s">
        <v>135</v>
      </c>
      <c r="AB618" s="19" t="s">
        <v>1289</v>
      </c>
      <c r="AC618" s="19">
        <v>39269080</v>
      </c>
      <c r="AD618" s="19" t="s">
        <v>1092</v>
      </c>
      <c r="AE618" s="19">
        <v>1</v>
      </c>
      <c r="AF618" s="19">
        <v>324</v>
      </c>
      <c r="AG618" s="19" t="s">
        <v>1093</v>
      </c>
      <c r="AH618" s="19" t="s">
        <v>44</v>
      </c>
    </row>
    <row r="619" spans="2:34" x14ac:dyDescent="0.35">
      <c r="B619" s="76">
        <v>46229</v>
      </c>
      <c r="C619" s="19" t="s">
        <v>138</v>
      </c>
      <c r="D619" s="19" t="s">
        <v>173</v>
      </c>
      <c r="E619" s="19" t="s">
        <v>846</v>
      </c>
      <c r="F619" s="19" t="s">
        <v>123</v>
      </c>
      <c r="G619" s="19" t="s">
        <v>847</v>
      </c>
      <c r="H619" s="76">
        <v>46226</v>
      </c>
      <c r="I619" s="19" t="s">
        <v>36</v>
      </c>
      <c r="J619" s="19" t="s">
        <v>1117</v>
      </c>
      <c r="K619" s="19" t="s">
        <v>44</v>
      </c>
      <c r="L619" s="19" t="s">
        <v>1118</v>
      </c>
      <c r="M619" s="19" t="s">
        <v>1119</v>
      </c>
      <c r="N619" s="19">
        <v>3363</v>
      </c>
      <c r="O619" s="19">
        <v>502734.87</v>
      </c>
      <c r="P619" s="19" t="s">
        <v>1119</v>
      </c>
      <c r="Q619" s="19">
        <v>0</v>
      </c>
      <c r="R619" s="19">
        <v>9</v>
      </c>
      <c r="S619" s="19">
        <v>45246.14</v>
      </c>
      <c r="T619" s="19">
        <v>9</v>
      </c>
      <c r="U619" s="19">
        <v>45246.14</v>
      </c>
      <c r="V619" s="19">
        <v>0</v>
      </c>
      <c r="W619" s="19">
        <v>0</v>
      </c>
      <c r="X619" s="19">
        <v>0</v>
      </c>
      <c r="Y619" s="19">
        <v>90492.28</v>
      </c>
      <c r="Z619" s="19">
        <v>0</v>
      </c>
      <c r="AA619" s="19" t="s">
        <v>135</v>
      </c>
      <c r="AB619" s="19" t="s">
        <v>1289</v>
      </c>
      <c r="AC619" s="19">
        <v>39269080</v>
      </c>
      <c r="AD619" s="19" t="s">
        <v>1092</v>
      </c>
      <c r="AE619" s="19">
        <v>1</v>
      </c>
      <c r="AF619" s="19">
        <v>3363</v>
      </c>
      <c r="AG619" s="19" t="s">
        <v>1093</v>
      </c>
      <c r="AH619" s="19" t="s">
        <v>44</v>
      </c>
    </row>
    <row r="620" spans="2:34" x14ac:dyDescent="0.35">
      <c r="B620" s="76">
        <v>46229</v>
      </c>
      <c r="C620" s="19" t="s">
        <v>138</v>
      </c>
      <c r="D620" s="19" t="s">
        <v>173</v>
      </c>
      <c r="E620" s="19" t="s">
        <v>846</v>
      </c>
      <c r="F620" s="19" t="s">
        <v>123</v>
      </c>
      <c r="G620" s="19" t="s">
        <v>847</v>
      </c>
      <c r="H620" s="76">
        <v>46226</v>
      </c>
      <c r="I620" s="19" t="s">
        <v>36</v>
      </c>
      <c r="J620" s="19" t="s">
        <v>1087</v>
      </c>
      <c r="K620" s="19" t="s">
        <v>46</v>
      </c>
      <c r="L620" s="19" t="s">
        <v>1213</v>
      </c>
      <c r="M620" s="19" t="s">
        <v>1782</v>
      </c>
      <c r="N620" s="19">
        <v>415.2</v>
      </c>
      <c r="O620" s="19">
        <v>64974.648000000001</v>
      </c>
      <c r="P620" s="19" t="s">
        <v>1782</v>
      </c>
      <c r="Q620" s="19">
        <v>0</v>
      </c>
      <c r="R620" s="19">
        <v>2.5</v>
      </c>
      <c r="S620" s="19">
        <v>1624.37</v>
      </c>
      <c r="T620" s="19">
        <v>2.5</v>
      </c>
      <c r="U620" s="19">
        <v>1624.37</v>
      </c>
      <c r="V620" s="19">
        <v>0</v>
      </c>
      <c r="W620" s="19">
        <v>0</v>
      </c>
      <c r="X620" s="19">
        <v>0</v>
      </c>
      <c r="Y620" s="19">
        <v>3248.74</v>
      </c>
      <c r="Z620" s="19">
        <v>0</v>
      </c>
      <c r="AA620" s="19" t="s">
        <v>135</v>
      </c>
      <c r="AB620" s="19" t="s">
        <v>1091</v>
      </c>
      <c r="AC620" s="19">
        <v>54026930</v>
      </c>
      <c r="AD620" s="19" t="s">
        <v>1092</v>
      </c>
      <c r="AE620" s="19">
        <v>1</v>
      </c>
      <c r="AF620" s="19">
        <v>415.2</v>
      </c>
      <c r="AG620" s="19" t="s">
        <v>1093</v>
      </c>
      <c r="AH620" s="19" t="s">
        <v>46</v>
      </c>
    </row>
    <row r="621" spans="2:34" x14ac:dyDescent="0.35">
      <c r="B621" s="76">
        <v>46229</v>
      </c>
      <c r="C621" s="19" t="s">
        <v>138</v>
      </c>
      <c r="D621" s="19" t="s">
        <v>173</v>
      </c>
      <c r="E621" s="19" t="s">
        <v>846</v>
      </c>
      <c r="F621" s="19" t="s">
        <v>123</v>
      </c>
      <c r="G621" s="19" t="s">
        <v>847</v>
      </c>
      <c r="H621" s="76">
        <v>46226</v>
      </c>
      <c r="I621" s="19" t="s">
        <v>36</v>
      </c>
      <c r="J621" s="19" t="s">
        <v>1087</v>
      </c>
      <c r="K621" s="19" t="s">
        <v>46</v>
      </c>
      <c r="L621" s="19" t="s">
        <v>1213</v>
      </c>
      <c r="M621" s="19" t="s">
        <v>1783</v>
      </c>
      <c r="N621" s="19">
        <v>337</v>
      </c>
      <c r="O621" s="19">
        <v>53748.13</v>
      </c>
      <c r="P621" s="19" t="s">
        <v>1783</v>
      </c>
      <c r="Q621" s="19">
        <v>0</v>
      </c>
      <c r="R621" s="19">
        <v>2.5</v>
      </c>
      <c r="S621" s="19">
        <v>1343.7</v>
      </c>
      <c r="T621" s="19">
        <v>2.5</v>
      </c>
      <c r="U621" s="19">
        <v>1343.7</v>
      </c>
      <c r="V621" s="19">
        <v>0</v>
      </c>
      <c r="W621" s="19">
        <v>0</v>
      </c>
      <c r="X621" s="19">
        <v>0</v>
      </c>
      <c r="Y621" s="19">
        <v>2687.4</v>
      </c>
      <c r="Z621" s="19">
        <v>0</v>
      </c>
      <c r="AA621" s="19" t="s">
        <v>135</v>
      </c>
      <c r="AB621" s="19" t="s">
        <v>1091</v>
      </c>
      <c r="AC621" s="19">
        <v>54026300</v>
      </c>
      <c r="AD621" s="19" t="s">
        <v>1092</v>
      </c>
      <c r="AE621" s="19">
        <v>1</v>
      </c>
      <c r="AF621" s="19">
        <v>337</v>
      </c>
      <c r="AG621" s="19" t="s">
        <v>1093</v>
      </c>
      <c r="AH621" s="19" t="s">
        <v>46</v>
      </c>
    </row>
    <row r="622" spans="2:34" x14ac:dyDescent="0.35">
      <c r="B622" s="76">
        <v>46229</v>
      </c>
      <c r="C622" s="19" t="s">
        <v>138</v>
      </c>
      <c r="D622" s="19" t="s">
        <v>173</v>
      </c>
      <c r="E622" s="19" t="s">
        <v>846</v>
      </c>
      <c r="F622" s="19" t="s">
        <v>123</v>
      </c>
      <c r="G622" s="19" t="s">
        <v>847</v>
      </c>
      <c r="H622" s="76">
        <v>46226</v>
      </c>
      <c r="I622" s="19" t="s">
        <v>36</v>
      </c>
      <c r="J622" s="19" t="s">
        <v>1117</v>
      </c>
      <c r="K622" s="19" t="s">
        <v>42</v>
      </c>
      <c r="L622" s="19" t="s">
        <v>1242</v>
      </c>
      <c r="M622" s="19" t="s">
        <v>1154</v>
      </c>
      <c r="N622" s="19">
        <v>696</v>
      </c>
      <c r="O622" s="19">
        <v>105437.04</v>
      </c>
      <c r="P622" s="19" t="s">
        <v>1154</v>
      </c>
      <c r="Q622" s="19">
        <v>0</v>
      </c>
      <c r="R622" s="19">
        <v>9</v>
      </c>
      <c r="S622" s="19">
        <v>9489.33</v>
      </c>
      <c r="T622" s="19">
        <v>9</v>
      </c>
      <c r="U622" s="19">
        <v>9489.33</v>
      </c>
      <c r="V622" s="19">
        <v>0</v>
      </c>
      <c r="W622" s="19">
        <v>0</v>
      </c>
      <c r="X622" s="19">
        <v>0</v>
      </c>
      <c r="Y622" s="19">
        <v>18978.66</v>
      </c>
      <c r="Z622" s="19">
        <v>0</v>
      </c>
      <c r="AA622" s="19" t="s">
        <v>135</v>
      </c>
      <c r="AB622" s="19" t="s">
        <v>1289</v>
      </c>
      <c r="AC622" s="19">
        <v>63053300</v>
      </c>
      <c r="AD622" s="19" t="s">
        <v>1092</v>
      </c>
      <c r="AE622" s="19">
        <v>1</v>
      </c>
      <c r="AF622" s="19">
        <v>696</v>
      </c>
      <c r="AG622" s="19" t="s">
        <v>1093</v>
      </c>
      <c r="AH622" s="19" t="s">
        <v>42</v>
      </c>
    </row>
    <row r="623" spans="2:34" x14ac:dyDescent="0.35">
      <c r="B623" s="76">
        <v>46229</v>
      </c>
      <c r="C623" s="19" t="s">
        <v>138</v>
      </c>
      <c r="D623" s="19" t="s">
        <v>173</v>
      </c>
      <c r="E623" s="19" t="s">
        <v>846</v>
      </c>
      <c r="F623" s="19" t="s">
        <v>123</v>
      </c>
      <c r="G623" s="19" t="s">
        <v>847</v>
      </c>
      <c r="H623" s="76">
        <v>46226</v>
      </c>
      <c r="I623" s="19" t="s">
        <v>36</v>
      </c>
      <c r="J623" s="19" t="s">
        <v>1117</v>
      </c>
      <c r="K623" s="19" t="s">
        <v>42</v>
      </c>
      <c r="L623" s="19" t="s">
        <v>1242</v>
      </c>
      <c r="M623" s="19" t="s">
        <v>1154</v>
      </c>
      <c r="N623" s="19">
        <v>1371</v>
      </c>
      <c r="O623" s="19">
        <v>211805.79</v>
      </c>
      <c r="P623" s="19" t="s">
        <v>1154</v>
      </c>
      <c r="Q623" s="19">
        <v>0</v>
      </c>
      <c r="R623" s="19">
        <v>9</v>
      </c>
      <c r="S623" s="19">
        <v>19062.52</v>
      </c>
      <c r="T623" s="19">
        <v>9</v>
      </c>
      <c r="U623" s="19">
        <v>19062.52</v>
      </c>
      <c r="V623" s="19">
        <v>0</v>
      </c>
      <c r="W623" s="19">
        <v>0</v>
      </c>
      <c r="X623" s="19">
        <v>0</v>
      </c>
      <c r="Y623" s="19">
        <v>38125.040000000001</v>
      </c>
      <c r="Z623" s="19">
        <v>0</v>
      </c>
      <c r="AA623" s="19" t="s">
        <v>135</v>
      </c>
      <c r="AB623" s="19" t="s">
        <v>1289</v>
      </c>
      <c r="AC623" s="19">
        <v>63053300</v>
      </c>
      <c r="AD623" s="19" t="s">
        <v>1092</v>
      </c>
      <c r="AE623" s="19">
        <v>1</v>
      </c>
      <c r="AF623" s="19">
        <v>1371</v>
      </c>
      <c r="AG623" s="19" t="s">
        <v>1093</v>
      </c>
      <c r="AH623" s="19" t="s">
        <v>42</v>
      </c>
    </row>
    <row r="624" spans="2:34" x14ac:dyDescent="0.35">
      <c r="B624" s="76">
        <v>46229</v>
      </c>
      <c r="C624" s="19" t="s">
        <v>138</v>
      </c>
      <c r="D624" s="19" t="s">
        <v>173</v>
      </c>
      <c r="E624" s="19" t="s">
        <v>846</v>
      </c>
      <c r="F624" s="19" t="s">
        <v>123</v>
      </c>
      <c r="G624" s="19" t="s">
        <v>847</v>
      </c>
      <c r="H624" s="76">
        <v>46226</v>
      </c>
      <c r="I624" s="19" t="s">
        <v>36</v>
      </c>
      <c r="J624" s="19" t="s">
        <v>1117</v>
      </c>
      <c r="K624" s="19" t="s">
        <v>44</v>
      </c>
      <c r="L624" s="19" t="s">
        <v>1118</v>
      </c>
      <c r="M624" s="19" t="s">
        <v>1119</v>
      </c>
      <c r="N624" s="19">
        <v>2540</v>
      </c>
      <c r="O624" s="19">
        <v>367004.6</v>
      </c>
      <c r="P624" s="19" t="s">
        <v>1119</v>
      </c>
      <c r="Q624" s="19">
        <v>0</v>
      </c>
      <c r="R624" s="19">
        <v>9</v>
      </c>
      <c r="S624" s="19">
        <v>33030.410000000003</v>
      </c>
      <c r="T624" s="19">
        <v>9</v>
      </c>
      <c r="U624" s="19">
        <v>33030.410000000003</v>
      </c>
      <c r="V624" s="19">
        <v>0</v>
      </c>
      <c r="W624" s="19">
        <v>0</v>
      </c>
      <c r="X624" s="19">
        <v>0</v>
      </c>
      <c r="Y624" s="19">
        <v>66060.820000000007</v>
      </c>
      <c r="Z624" s="19">
        <v>0</v>
      </c>
      <c r="AA624" s="19" t="s">
        <v>135</v>
      </c>
      <c r="AB624" s="19" t="s">
        <v>1289</v>
      </c>
      <c r="AC624" s="19">
        <v>39269080</v>
      </c>
      <c r="AD624" s="19" t="s">
        <v>1092</v>
      </c>
      <c r="AE624" s="19">
        <v>1</v>
      </c>
      <c r="AF624" s="19">
        <v>2540</v>
      </c>
      <c r="AG624" s="19" t="s">
        <v>1093</v>
      </c>
      <c r="AH624" s="19" t="s">
        <v>44</v>
      </c>
    </row>
    <row r="625" spans="2:34" x14ac:dyDescent="0.35">
      <c r="B625" s="76">
        <v>46229</v>
      </c>
      <c r="C625" s="19" t="s">
        <v>138</v>
      </c>
      <c r="D625" s="19" t="s">
        <v>173</v>
      </c>
      <c r="E625" s="19" t="s">
        <v>848</v>
      </c>
      <c r="F625" s="19" t="s">
        <v>123</v>
      </c>
      <c r="G625" s="19" t="s">
        <v>849</v>
      </c>
      <c r="H625" s="76">
        <v>46227</v>
      </c>
      <c r="I625" s="19" t="s">
        <v>36</v>
      </c>
      <c r="J625" s="19" t="s">
        <v>1117</v>
      </c>
      <c r="K625" s="19" t="s">
        <v>44</v>
      </c>
      <c r="L625" s="19" t="s">
        <v>1118</v>
      </c>
      <c r="M625" s="19" t="s">
        <v>1119</v>
      </c>
      <c r="N625" s="19">
        <v>181</v>
      </c>
      <c r="O625" s="19">
        <v>71495</v>
      </c>
      <c r="P625" s="19" t="s">
        <v>1119</v>
      </c>
      <c r="Q625" s="19">
        <v>84292.5</v>
      </c>
      <c r="R625" s="19">
        <v>9</v>
      </c>
      <c r="S625" s="19">
        <v>6434.55</v>
      </c>
      <c r="T625" s="19">
        <v>9</v>
      </c>
      <c r="U625" s="19">
        <v>6434.55</v>
      </c>
      <c r="V625" s="19">
        <v>0</v>
      </c>
      <c r="W625" s="19">
        <v>0</v>
      </c>
      <c r="X625" s="19">
        <v>0</v>
      </c>
      <c r="Y625" s="19">
        <v>12869.1</v>
      </c>
      <c r="Z625" s="19">
        <v>0</v>
      </c>
      <c r="AA625" s="19" t="s">
        <v>135</v>
      </c>
      <c r="AB625" s="19" t="s">
        <v>1289</v>
      </c>
      <c r="AC625" s="19">
        <v>39269080</v>
      </c>
      <c r="AD625" s="19" t="s">
        <v>1092</v>
      </c>
      <c r="AE625" s="19">
        <v>1</v>
      </c>
      <c r="AF625" s="19">
        <v>181</v>
      </c>
      <c r="AG625" s="19" t="s">
        <v>1093</v>
      </c>
      <c r="AH625" s="19" t="s">
        <v>44</v>
      </c>
    </row>
    <row r="626" spans="2:34" x14ac:dyDescent="0.35">
      <c r="B626" s="76">
        <v>46229</v>
      </c>
      <c r="C626" s="19" t="s">
        <v>134</v>
      </c>
      <c r="D626" s="19" t="s">
        <v>173</v>
      </c>
      <c r="E626" s="19" t="s">
        <v>844</v>
      </c>
      <c r="F626" s="19" t="s">
        <v>123</v>
      </c>
      <c r="G626" s="19" t="s">
        <v>845</v>
      </c>
      <c r="H626" s="76">
        <v>46226</v>
      </c>
      <c r="I626" s="19" t="s">
        <v>49</v>
      </c>
      <c r="J626" s="19" t="s">
        <v>1360</v>
      </c>
      <c r="K626" s="19" t="s">
        <v>53</v>
      </c>
      <c r="L626" s="19" t="s">
        <v>1118</v>
      </c>
      <c r="M626" s="19" t="s">
        <v>1897</v>
      </c>
      <c r="N626" s="19">
        <v>4.5999999999999996</v>
      </c>
      <c r="O626" s="19">
        <v>490.36</v>
      </c>
      <c r="P626" s="19" t="s">
        <v>1897</v>
      </c>
      <c r="Q626" s="19">
        <v>12259.08</v>
      </c>
      <c r="R626" s="19">
        <v>9</v>
      </c>
      <c r="S626" s="19">
        <v>44.13</v>
      </c>
      <c r="T626" s="19">
        <v>9</v>
      </c>
      <c r="U626" s="19">
        <v>44.13</v>
      </c>
      <c r="V626" s="19">
        <v>0</v>
      </c>
      <c r="W626" s="19">
        <v>0</v>
      </c>
      <c r="X626" s="19">
        <v>0</v>
      </c>
      <c r="Y626" s="19">
        <v>88.26</v>
      </c>
      <c r="Z626" s="19">
        <v>0</v>
      </c>
      <c r="AA626" s="19" t="s">
        <v>135</v>
      </c>
      <c r="AB626" s="19" t="s">
        <v>1289</v>
      </c>
      <c r="AC626" s="19">
        <v>39232990</v>
      </c>
      <c r="AD626" s="19" t="s">
        <v>1092</v>
      </c>
      <c r="AE626" s="19">
        <v>1</v>
      </c>
      <c r="AF626" s="19">
        <v>4.5999999999999996</v>
      </c>
      <c r="AG626" s="19" t="s">
        <v>1093</v>
      </c>
      <c r="AH626" s="19" t="s">
        <v>53</v>
      </c>
    </row>
    <row r="627" spans="2:34" hidden="1" x14ac:dyDescent="0.35">
      <c r="B627" s="76">
        <v>46229</v>
      </c>
      <c r="C627" s="19" t="s">
        <v>134</v>
      </c>
      <c r="D627" s="19" t="s">
        <v>173</v>
      </c>
      <c r="E627" s="19" t="s">
        <v>844</v>
      </c>
      <c r="F627" s="19" t="s">
        <v>123</v>
      </c>
      <c r="G627" s="19" t="s">
        <v>845</v>
      </c>
      <c r="H627" s="76">
        <v>46226</v>
      </c>
      <c r="I627" s="19" t="s">
        <v>36</v>
      </c>
      <c r="J627" s="19" t="s">
        <v>1350</v>
      </c>
      <c r="K627" s="19" t="s">
        <v>39</v>
      </c>
      <c r="L627" s="19" t="s">
        <v>1616</v>
      </c>
      <c r="M627" s="19" t="s">
        <v>1603</v>
      </c>
      <c r="N627" s="19">
        <f>AF627</f>
        <v>38.200000000000003</v>
      </c>
      <c r="O627" s="19">
        <v>6500</v>
      </c>
      <c r="P627" s="19" t="s">
        <v>1603</v>
      </c>
      <c r="Q627" s="19">
        <v>0</v>
      </c>
      <c r="R627" s="19">
        <v>9</v>
      </c>
      <c r="S627" s="19">
        <v>585</v>
      </c>
      <c r="T627" s="19">
        <v>9</v>
      </c>
      <c r="U627" s="19">
        <v>585</v>
      </c>
      <c r="V627" s="19">
        <v>0</v>
      </c>
      <c r="W627" s="19">
        <v>0</v>
      </c>
      <c r="X627" s="19">
        <v>0</v>
      </c>
      <c r="Y627" s="19">
        <v>1170</v>
      </c>
      <c r="Z627" s="19">
        <v>0</v>
      </c>
      <c r="AA627" s="19" t="s">
        <v>135</v>
      </c>
      <c r="AB627" s="19" t="s">
        <v>1289</v>
      </c>
      <c r="AC627" s="19">
        <v>392300</v>
      </c>
      <c r="AD627" s="19" t="s">
        <v>1092</v>
      </c>
      <c r="AE627" s="19">
        <v>1</v>
      </c>
      <c r="AF627" s="19">
        <v>38.200000000000003</v>
      </c>
      <c r="AG627" s="19" t="s">
        <v>1093</v>
      </c>
      <c r="AH627" s="19" t="s">
        <v>2319</v>
      </c>
    </row>
    <row r="628" spans="2:34" hidden="1" x14ac:dyDescent="0.35">
      <c r="B628" s="76">
        <v>46229</v>
      </c>
      <c r="C628" s="19" t="s">
        <v>134</v>
      </c>
      <c r="D628" s="19" t="s">
        <v>173</v>
      </c>
      <c r="E628" s="19" t="s">
        <v>844</v>
      </c>
      <c r="F628" s="19" t="s">
        <v>123</v>
      </c>
      <c r="G628" s="19" t="s">
        <v>845</v>
      </c>
      <c r="H628" s="76">
        <v>46226</v>
      </c>
      <c r="I628" s="19" t="s">
        <v>36</v>
      </c>
      <c r="J628" s="19" t="s">
        <v>1350</v>
      </c>
      <c r="K628" s="19" t="s">
        <v>39</v>
      </c>
      <c r="L628" s="19" t="s">
        <v>1616</v>
      </c>
      <c r="M628" s="19" t="s">
        <v>1603</v>
      </c>
      <c r="N628" s="19">
        <f>AF628</f>
        <v>4.5999999999999996</v>
      </c>
      <c r="O628" s="19">
        <v>3407.5</v>
      </c>
      <c r="P628" s="19" t="s">
        <v>1603</v>
      </c>
      <c r="Q628" s="19">
        <v>0</v>
      </c>
      <c r="R628" s="19">
        <v>9</v>
      </c>
      <c r="S628" s="19">
        <v>306.68</v>
      </c>
      <c r="T628" s="19">
        <v>9</v>
      </c>
      <c r="U628" s="19">
        <v>306.68</v>
      </c>
      <c r="V628" s="19">
        <v>0</v>
      </c>
      <c r="W628" s="19">
        <v>0</v>
      </c>
      <c r="X628" s="19">
        <v>0</v>
      </c>
      <c r="Y628" s="19">
        <v>613.36</v>
      </c>
      <c r="Z628" s="19">
        <v>0</v>
      </c>
      <c r="AA628" s="19" t="s">
        <v>135</v>
      </c>
      <c r="AB628" s="19" t="s">
        <v>1289</v>
      </c>
      <c r="AC628" s="19">
        <v>392300</v>
      </c>
      <c r="AD628" s="19" t="s">
        <v>1092</v>
      </c>
      <c r="AE628" s="19">
        <v>1</v>
      </c>
      <c r="AF628" s="19">
        <v>4.5999999999999996</v>
      </c>
      <c r="AG628" s="19" t="s">
        <v>1093</v>
      </c>
      <c r="AH628" s="19" t="s">
        <v>2319</v>
      </c>
    </row>
    <row r="629" spans="2:34" hidden="1" x14ac:dyDescent="0.35">
      <c r="B629" s="76">
        <v>46231</v>
      </c>
      <c r="C629" s="19" t="s">
        <v>870</v>
      </c>
      <c r="D629" s="19" t="s">
        <v>7</v>
      </c>
      <c r="E629" s="19" t="s">
        <v>868</v>
      </c>
      <c r="F629" s="19" t="s">
        <v>119</v>
      </c>
      <c r="G629" s="19" t="s">
        <v>869</v>
      </c>
      <c r="H629" s="76">
        <v>46230</v>
      </c>
      <c r="I629" s="19" t="s">
        <v>101</v>
      </c>
      <c r="J629" s="19" t="s">
        <v>1508</v>
      </c>
      <c r="K629" s="19" t="s">
        <v>1509</v>
      </c>
      <c r="L629" s="19" t="s">
        <v>1509</v>
      </c>
      <c r="M629" s="19" t="s">
        <v>1510</v>
      </c>
      <c r="N629" s="19">
        <v>30</v>
      </c>
      <c r="O629" s="19">
        <v>25440</v>
      </c>
      <c r="P629" s="19" t="s">
        <v>1510</v>
      </c>
      <c r="Q629" s="19">
        <v>30019</v>
      </c>
      <c r="R629" s="19">
        <v>9</v>
      </c>
      <c r="S629" s="19">
        <v>2289.6</v>
      </c>
      <c r="T629" s="19">
        <v>9</v>
      </c>
      <c r="U629" s="19">
        <v>2289.6</v>
      </c>
      <c r="V629" s="19">
        <v>0</v>
      </c>
      <c r="W629" s="19">
        <v>0</v>
      </c>
      <c r="X629" s="19">
        <v>0</v>
      </c>
      <c r="Y629" s="19">
        <v>4579.2</v>
      </c>
      <c r="Z629" s="19">
        <v>0</v>
      </c>
      <c r="AA629" s="19" t="s">
        <v>871</v>
      </c>
      <c r="AB629" s="19" t="s">
        <v>1555</v>
      </c>
      <c r="AC629" s="19">
        <v>39239090</v>
      </c>
      <c r="AD629" s="19" t="s">
        <v>1092</v>
      </c>
      <c r="AE629" s="19">
        <v>1</v>
      </c>
      <c r="AF629" s="19">
        <v>0</v>
      </c>
      <c r="AG629" s="19" t="s">
        <v>1093</v>
      </c>
      <c r="AH629" s="19" t="s">
        <v>2319</v>
      </c>
    </row>
    <row r="630" spans="2:34" hidden="1" x14ac:dyDescent="0.35">
      <c r="B630" s="76">
        <v>46231</v>
      </c>
      <c r="C630" s="19" t="s">
        <v>193</v>
      </c>
      <c r="D630" s="19" t="s">
        <v>126</v>
      </c>
      <c r="E630" s="19" t="s">
        <v>911</v>
      </c>
      <c r="F630" s="19" t="s">
        <v>118</v>
      </c>
      <c r="G630" s="19" t="s">
        <v>912</v>
      </c>
      <c r="H630" s="76">
        <v>46228</v>
      </c>
      <c r="I630" s="19" t="s">
        <v>105</v>
      </c>
      <c r="J630" s="19" t="s">
        <v>1579</v>
      </c>
      <c r="K630" s="19" t="s">
        <v>1127</v>
      </c>
      <c r="L630" s="19" t="s">
        <v>1389</v>
      </c>
      <c r="M630" s="19" t="s">
        <v>1898</v>
      </c>
      <c r="N630" s="19">
        <v>25</v>
      </c>
      <c r="O630" s="19">
        <v>1625</v>
      </c>
      <c r="P630" s="19" t="s">
        <v>1898</v>
      </c>
      <c r="Q630" s="19">
        <v>13482</v>
      </c>
      <c r="R630" s="19">
        <v>9</v>
      </c>
      <c r="S630" s="19">
        <v>150.75</v>
      </c>
      <c r="T630" s="19">
        <v>9</v>
      </c>
      <c r="U630" s="19">
        <v>150.75</v>
      </c>
      <c r="V630" s="19">
        <v>0</v>
      </c>
      <c r="W630" s="19">
        <v>0</v>
      </c>
      <c r="X630" s="19">
        <v>0</v>
      </c>
      <c r="Y630" s="19">
        <v>301.5</v>
      </c>
      <c r="Z630" s="19">
        <v>0</v>
      </c>
      <c r="AA630" s="19" t="s">
        <v>194</v>
      </c>
      <c r="AB630" s="19" t="s">
        <v>1555</v>
      </c>
      <c r="AC630" s="19">
        <v>84484990</v>
      </c>
      <c r="AD630" s="19" t="s">
        <v>1092</v>
      </c>
      <c r="AE630" s="19">
        <v>1</v>
      </c>
      <c r="AF630" s="19">
        <v>0</v>
      </c>
      <c r="AG630" s="19" t="s">
        <v>1093</v>
      </c>
      <c r="AH630" s="19" t="s">
        <v>2319</v>
      </c>
    </row>
    <row r="631" spans="2:34" hidden="1" x14ac:dyDescent="0.35">
      <c r="B631" s="76">
        <v>46231</v>
      </c>
      <c r="C631" s="19" t="s">
        <v>193</v>
      </c>
      <c r="D631" s="19" t="s">
        <v>126</v>
      </c>
      <c r="E631" s="19" t="s">
        <v>911</v>
      </c>
      <c r="F631" s="19" t="s">
        <v>118</v>
      </c>
      <c r="G631" s="19" t="s">
        <v>912</v>
      </c>
      <c r="H631" s="76">
        <v>46228</v>
      </c>
      <c r="I631" s="19" t="s">
        <v>105</v>
      </c>
      <c r="J631" s="19" t="s">
        <v>1579</v>
      </c>
      <c r="K631" s="19" t="s">
        <v>1127</v>
      </c>
      <c r="L631" s="19" t="s">
        <v>1389</v>
      </c>
      <c r="M631" s="19" t="s">
        <v>1899</v>
      </c>
      <c r="N631" s="19">
        <v>150</v>
      </c>
      <c r="O631" s="19">
        <v>9750</v>
      </c>
      <c r="P631" s="19" t="s">
        <v>1899</v>
      </c>
      <c r="Q631" s="19">
        <v>0</v>
      </c>
      <c r="R631" s="19">
        <v>9</v>
      </c>
      <c r="S631" s="19">
        <v>877.5</v>
      </c>
      <c r="T631" s="19">
        <v>9</v>
      </c>
      <c r="U631" s="19">
        <v>877.5</v>
      </c>
      <c r="V631" s="19">
        <v>0</v>
      </c>
      <c r="W631" s="19">
        <v>0</v>
      </c>
      <c r="X631" s="19">
        <v>0</v>
      </c>
      <c r="Y631" s="19">
        <v>1755</v>
      </c>
      <c r="Z631" s="19">
        <v>0</v>
      </c>
      <c r="AA631" s="19" t="s">
        <v>194</v>
      </c>
      <c r="AB631" s="19" t="s">
        <v>1555</v>
      </c>
      <c r="AC631" s="19">
        <v>844810</v>
      </c>
      <c r="AD631" s="19" t="s">
        <v>1092</v>
      </c>
      <c r="AE631" s="19">
        <v>1</v>
      </c>
      <c r="AF631" s="19">
        <v>0</v>
      </c>
      <c r="AG631" s="19" t="s">
        <v>1093</v>
      </c>
      <c r="AH631" s="19" t="s">
        <v>2319</v>
      </c>
    </row>
    <row r="632" spans="2:34" hidden="1" x14ac:dyDescent="0.35">
      <c r="B632" s="76">
        <v>46231</v>
      </c>
      <c r="C632" s="19" t="s">
        <v>193</v>
      </c>
      <c r="D632" s="19" t="s">
        <v>126</v>
      </c>
      <c r="E632" s="19" t="s">
        <v>913</v>
      </c>
      <c r="F632" s="19" t="s">
        <v>118</v>
      </c>
      <c r="G632" s="19" t="s">
        <v>914</v>
      </c>
      <c r="H632" s="76">
        <v>46228</v>
      </c>
      <c r="I632" s="19" t="s">
        <v>105</v>
      </c>
      <c r="J632" s="19" t="s">
        <v>1579</v>
      </c>
      <c r="K632" s="19" t="s">
        <v>1127</v>
      </c>
      <c r="L632" s="19" t="s">
        <v>1389</v>
      </c>
      <c r="M632" s="19" t="s">
        <v>1900</v>
      </c>
      <c r="N632" s="19">
        <v>2</v>
      </c>
      <c r="O632" s="19">
        <v>2900</v>
      </c>
      <c r="P632" s="19" t="s">
        <v>1900</v>
      </c>
      <c r="Q632" s="19">
        <v>3540</v>
      </c>
      <c r="R632" s="19">
        <v>9</v>
      </c>
      <c r="S632" s="19">
        <v>270</v>
      </c>
      <c r="T632" s="19">
        <v>9</v>
      </c>
      <c r="U632" s="19">
        <v>270</v>
      </c>
      <c r="V632" s="19">
        <v>0</v>
      </c>
      <c r="W632" s="19">
        <v>0</v>
      </c>
      <c r="X632" s="19">
        <v>0</v>
      </c>
      <c r="Y632" s="19">
        <v>540</v>
      </c>
      <c r="Z632" s="19">
        <v>0</v>
      </c>
      <c r="AA632" s="19" t="s">
        <v>194</v>
      </c>
      <c r="AB632" s="19" t="s">
        <v>1555</v>
      </c>
      <c r="AC632" s="19">
        <v>84484990</v>
      </c>
      <c r="AD632" s="19" t="s">
        <v>1092</v>
      </c>
      <c r="AE632" s="19">
        <v>1</v>
      </c>
      <c r="AF632" s="19">
        <v>0</v>
      </c>
      <c r="AG632" s="19" t="s">
        <v>1093</v>
      </c>
      <c r="AH632" s="19" t="s">
        <v>2319</v>
      </c>
    </row>
    <row r="633" spans="2:34" hidden="1" x14ac:dyDescent="0.35">
      <c r="B633" s="76">
        <v>46231</v>
      </c>
      <c r="C633" s="19" t="s">
        <v>193</v>
      </c>
      <c r="D633" s="19" t="s">
        <v>126</v>
      </c>
      <c r="E633" s="19" t="s">
        <v>915</v>
      </c>
      <c r="F633" s="19" t="s">
        <v>118</v>
      </c>
      <c r="G633" s="19" t="s">
        <v>916</v>
      </c>
      <c r="H633" s="76">
        <v>46228</v>
      </c>
      <c r="I633" s="19" t="s">
        <v>105</v>
      </c>
      <c r="J633" s="19" t="s">
        <v>1579</v>
      </c>
      <c r="K633" s="19" t="s">
        <v>1127</v>
      </c>
      <c r="L633" s="19" t="s">
        <v>1389</v>
      </c>
      <c r="M633" s="19" t="s">
        <v>1901</v>
      </c>
      <c r="N633" s="19">
        <v>2</v>
      </c>
      <c r="O633" s="19">
        <v>2400</v>
      </c>
      <c r="P633" s="19" t="s">
        <v>1901</v>
      </c>
      <c r="Q633" s="19">
        <v>2832</v>
      </c>
      <c r="R633" s="19">
        <v>9</v>
      </c>
      <c r="S633" s="19">
        <v>216</v>
      </c>
      <c r="T633" s="19">
        <v>9</v>
      </c>
      <c r="U633" s="19">
        <v>216</v>
      </c>
      <c r="V633" s="19">
        <v>0</v>
      </c>
      <c r="W633" s="19">
        <v>0</v>
      </c>
      <c r="X633" s="19">
        <v>0</v>
      </c>
      <c r="Y633" s="19">
        <v>432</v>
      </c>
      <c r="Z633" s="19">
        <v>0</v>
      </c>
      <c r="AA633" s="19" t="s">
        <v>194</v>
      </c>
      <c r="AB633" s="19" t="s">
        <v>1555</v>
      </c>
      <c r="AC633" s="19">
        <v>844810</v>
      </c>
      <c r="AD633" s="19" t="s">
        <v>1092</v>
      </c>
      <c r="AE633" s="19">
        <v>1</v>
      </c>
      <c r="AF633" s="19">
        <v>0</v>
      </c>
      <c r="AG633" s="19" t="s">
        <v>1093</v>
      </c>
      <c r="AH633" s="19" t="s">
        <v>2319</v>
      </c>
    </row>
    <row r="634" spans="2:34" hidden="1" x14ac:dyDescent="0.35">
      <c r="B634" s="76">
        <v>46231</v>
      </c>
      <c r="C634" s="19" t="s">
        <v>866</v>
      </c>
      <c r="D634" s="19" t="s">
        <v>7</v>
      </c>
      <c r="E634" s="19" t="s">
        <v>864</v>
      </c>
      <c r="F634" s="19" t="s">
        <v>119</v>
      </c>
      <c r="G634" s="19" t="s">
        <v>865</v>
      </c>
      <c r="H634" s="76">
        <v>46230</v>
      </c>
      <c r="I634" s="19" t="s">
        <v>101</v>
      </c>
      <c r="J634" s="19" t="s">
        <v>1902</v>
      </c>
      <c r="K634" s="19" t="s">
        <v>1509</v>
      </c>
      <c r="L634" s="19" t="s">
        <v>1509</v>
      </c>
      <c r="M634" s="19" t="s">
        <v>1903</v>
      </c>
      <c r="N634" s="19">
        <v>1503.38</v>
      </c>
      <c r="O634" s="19">
        <v>210473.2</v>
      </c>
      <c r="P634" s="19" t="s">
        <v>1903</v>
      </c>
      <c r="Q634" s="19">
        <v>248358</v>
      </c>
      <c r="R634" s="19">
        <v>9</v>
      </c>
      <c r="S634" s="19">
        <v>18942.59</v>
      </c>
      <c r="T634" s="19">
        <v>9</v>
      </c>
      <c r="U634" s="19">
        <v>18942.59</v>
      </c>
      <c r="V634" s="19">
        <v>0</v>
      </c>
      <c r="W634" s="19">
        <v>0</v>
      </c>
      <c r="X634" s="19">
        <v>0</v>
      </c>
      <c r="Y634" s="19">
        <v>37885.18</v>
      </c>
      <c r="Z634" s="19">
        <v>0</v>
      </c>
      <c r="AA634" s="19" t="s">
        <v>867</v>
      </c>
      <c r="AB634" s="19" t="s">
        <v>1289</v>
      </c>
      <c r="AC634" s="19">
        <v>84778090</v>
      </c>
      <c r="AD634" s="19" t="s">
        <v>1092</v>
      </c>
      <c r="AE634" s="19">
        <v>1</v>
      </c>
      <c r="AF634" s="19">
        <v>0</v>
      </c>
      <c r="AG634" s="19" t="s">
        <v>1093</v>
      </c>
      <c r="AH634" s="19" t="s">
        <v>2319</v>
      </c>
    </row>
    <row r="635" spans="2:34" hidden="1" x14ac:dyDescent="0.35">
      <c r="B635" s="76">
        <v>46231</v>
      </c>
      <c r="C635" s="19" t="s">
        <v>218</v>
      </c>
      <c r="D635" s="19" t="s">
        <v>126</v>
      </c>
      <c r="E635" s="19" t="s">
        <v>888</v>
      </c>
      <c r="F635" s="19" t="s">
        <v>118</v>
      </c>
      <c r="G635" s="19" t="s">
        <v>889</v>
      </c>
      <c r="H635" s="76">
        <v>46224</v>
      </c>
      <c r="I635" s="19" t="s">
        <v>102</v>
      </c>
      <c r="J635" s="19" t="s">
        <v>1673</v>
      </c>
      <c r="K635" s="19" t="s">
        <v>1127</v>
      </c>
      <c r="L635" s="19" t="s">
        <v>1389</v>
      </c>
      <c r="M635" s="19" t="s">
        <v>1904</v>
      </c>
      <c r="N635" s="19">
        <v>100</v>
      </c>
      <c r="O635" s="19">
        <v>450</v>
      </c>
      <c r="P635" s="19" t="s">
        <v>1904</v>
      </c>
      <c r="Q635" s="19">
        <v>578</v>
      </c>
      <c r="R635" s="19">
        <v>9</v>
      </c>
      <c r="S635" s="19">
        <v>13.75</v>
      </c>
      <c r="T635" s="19">
        <v>9</v>
      </c>
      <c r="U635" s="19">
        <v>13.75</v>
      </c>
      <c r="V635" s="19">
        <v>0</v>
      </c>
      <c r="W635" s="19">
        <v>0</v>
      </c>
      <c r="X635" s="19">
        <v>0</v>
      </c>
      <c r="Y635" s="19">
        <v>27.5</v>
      </c>
      <c r="Z635" s="19">
        <v>0</v>
      </c>
      <c r="AA635" s="19" t="s">
        <v>219</v>
      </c>
      <c r="AB635" s="19" t="s">
        <v>1699</v>
      </c>
      <c r="AC635" s="19">
        <v>4015110</v>
      </c>
      <c r="AD635" s="19" t="s">
        <v>1092</v>
      </c>
      <c r="AE635" s="19">
        <v>1</v>
      </c>
      <c r="AF635" s="19">
        <v>0</v>
      </c>
      <c r="AG635" s="19" t="s">
        <v>1093</v>
      </c>
      <c r="AH635" s="19" t="s">
        <v>2319</v>
      </c>
    </row>
    <row r="636" spans="2:34" x14ac:dyDescent="0.35">
      <c r="B636" s="76">
        <v>46231</v>
      </c>
      <c r="C636" s="19" t="s">
        <v>717</v>
      </c>
      <c r="D636" s="19" t="s">
        <v>173</v>
      </c>
      <c r="E636" s="19" t="s">
        <v>946</v>
      </c>
      <c r="F636" s="19" t="s">
        <v>123</v>
      </c>
      <c r="G636" s="19" t="s">
        <v>947</v>
      </c>
      <c r="H636" s="76">
        <v>46230</v>
      </c>
      <c r="I636" s="19" t="s">
        <v>36</v>
      </c>
      <c r="J636" s="19" t="s">
        <v>1117</v>
      </c>
      <c r="K636" s="19" t="s">
        <v>38</v>
      </c>
      <c r="L636" s="19" t="s">
        <v>1118</v>
      </c>
      <c r="M636" s="19" t="s">
        <v>1839</v>
      </c>
      <c r="N636" s="19">
        <v>1421</v>
      </c>
      <c r="O636" s="19">
        <v>295458.58299999998</v>
      </c>
      <c r="P636" s="19" t="s">
        <v>1839</v>
      </c>
      <c r="Q636" s="19">
        <v>310232</v>
      </c>
      <c r="R636" s="19">
        <v>2.5</v>
      </c>
      <c r="S636" s="19">
        <v>7386.46</v>
      </c>
      <c r="T636" s="19">
        <v>2.5</v>
      </c>
      <c r="U636" s="19">
        <v>7386.46</v>
      </c>
      <c r="V636" s="19">
        <v>0</v>
      </c>
      <c r="W636" s="19">
        <v>0</v>
      </c>
      <c r="X636" s="19">
        <v>0</v>
      </c>
      <c r="Y636" s="19">
        <v>14772.92</v>
      </c>
      <c r="Z636" s="19">
        <v>0</v>
      </c>
      <c r="AA636" s="19" t="s">
        <v>718</v>
      </c>
      <c r="AB636" s="19" t="s">
        <v>1289</v>
      </c>
      <c r="AC636" s="19">
        <v>60059000</v>
      </c>
      <c r="AD636" s="19" t="s">
        <v>1092</v>
      </c>
      <c r="AE636" s="19">
        <v>1</v>
      </c>
      <c r="AF636" s="19">
        <f t="shared" ref="AF636" si="23">N636</f>
        <v>1421</v>
      </c>
      <c r="AG636" s="19" t="s">
        <v>1093</v>
      </c>
      <c r="AH636" s="19" t="s">
        <v>38</v>
      </c>
    </row>
    <row r="637" spans="2:34" hidden="1" x14ac:dyDescent="0.35">
      <c r="B637" s="76">
        <v>46231</v>
      </c>
      <c r="C637" s="19" t="s">
        <v>898</v>
      </c>
      <c r="D637" s="19" t="s">
        <v>126</v>
      </c>
      <c r="E637" s="19" t="s">
        <v>896</v>
      </c>
      <c r="F637" s="19" t="s">
        <v>118</v>
      </c>
      <c r="G637" s="19" t="s">
        <v>897</v>
      </c>
      <c r="H637" s="76">
        <v>46226</v>
      </c>
      <c r="I637" s="19" t="s">
        <v>105</v>
      </c>
      <c r="J637" s="19" t="s">
        <v>1726</v>
      </c>
      <c r="K637" s="19" t="s">
        <v>1127</v>
      </c>
      <c r="L637" s="19" t="s">
        <v>1389</v>
      </c>
      <c r="M637" s="19" t="s">
        <v>1905</v>
      </c>
      <c r="N637" s="19">
        <v>2</v>
      </c>
      <c r="O637" s="19">
        <v>31800</v>
      </c>
      <c r="P637" s="19" t="s">
        <v>1906</v>
      </c>
      <c r="Q637" s="19">
        <v>37524</v>
      </c>
      <c r="R637" s="19">
        <v>9</v>
      </c>
      <c r="S637" s="19">
        <v>2862</v>
      </c>
      <c r="T637" s="19">
        <v>9</v>
      </c>
      <c r="U637" s="19">
        <v>2862</v>
      </c>
      <c r="V637" s="19">
        <v>0</v>
      </c>
      <c r="W637" s="19">
        <v>0</v>
      </c>
      <c r="X637" s="19">
        <v>0</v>
      </c>
      <c r="Y637" s="19">
        <v>5724</v>
      </c>
      <c r="Z637" s="19">
        <v>0</v>
      </c>
      <c r="AA637" s="19" t="s">
        <v>899</v>
      </c>
      <c r="AB637" s="19" t="s">
        <v>1555</v>
      </c>
      <c r="AC637" s="19">
        <v>845290</v>
      </c>
      <c r="AD637" s="19" t="s">
        <v>1092</v>
      </c>
      <c r="AE637" s="19">
        <v>1</v>
      </c>
      <c r="AF637" s="19">
        <v>0</v>
      </c>
      <c r="AG637" s="19" t="s">
        <v>1907</v>
      </c>
      <c r="AH637" s="19" t="s">
        <v>2319</v>
      </c>
    </row>
    <row r="638" spans="2:34" hidden="1" x14ac:dyDescent="0.35">
      <c r="B638" s="76">
        <v>46231</v>
      </c>
      <c r="C638" s="19" t="s">
        <v>259</v>
      </c>
      <c r="D638" s="19" t="s">
        <v>126</v>
      </c>
      <c r="E638" s="19" t="s">
        <v>892</v>
      </c>
      <c r="F638" s="19" t="s">
        <v>118</v>
      </c>
      <c r="G638" s="19" t="s">
        <v>893</v>
      </c>
      <c r="H638" s="76">
        <v>46225</v>
      </c>
      <c r="I638" s="19" t="s">
        <v>105</v>
      </c>
      <c r="J638" s="19" t="s">
        <v>1611</v>
      </c>
      <c r="K638" s="19" t="s">
        <v>1127</v>
      </c>
      <c r="L638" s="19" t="s">
        <v>1389</v>
      </c>
      <c r="M638" s="19" t="s">
        <v>1908</v>
      </c>
      <c r="N638" s="19">
        <v>20</v>
      </c>
      <c r="O638" s="19">
        <v>1606</v>
      </c>
      <c r="P638" s="19" t="s">
        <v>1908</v>
      </c>
      <c r="Q638" s="19">
        <v>26955.34</v>
      </c>
      <c r="R638" s="19">
        <v>9</v>
      </c>
      <c r="S638" s="19">
        <v>144.54</v>
      </c>
      <c r="T638" s="19">
        <v>9</v>
      </c>
      <c r="U638" s="19">
        <v>144.54</v>
      </c>
      <c r="V638" s="19">
        <v>0</v>
      </c>
      <c r="W638" s="19">
        <v>0</v>
      </c>
      <c r="X638" s="19">
        <v>0</v>
      </c>
      <c r="Y638" s="19">
        <v>289.08</v>
      </c>
      <c r="Z638" s="19">
        <v>0</v>
      </c>
      <c r="AA638" s="19" t="s">
        <v>260</v>
      </c>
      <c r="AB638" s="19" t="s">
        <v>1572</v>
      </c>
      <c r="AC638" s="19">
        <v>844649</v>
      </c>
      <c r="AD638" s="19" t="s">
        <v>1092</v>
      </c>
      <c r="AE638" s="19">
        <v>1</v>
      </c>
      <c r="AF638" s="19">
        <v>0</v>
      </c>
      <c r="AG638" s="19" t="s">
        <v>1093</v>
      </c>
      <c r="AH638" s="19" t="s">
        <v>2319</v>
      </c>
    </row>
    <row r="639" spans="2:34" hidden="1" x14ac:dyDescent="0.35">
      <c r="B639" s="76">
        <v>46231</v>
      </c>
      <c r="C639" s="19" t="s">
        <v>259</v>
      </c>
      <c r="D639" s="19" t="s">
        <v>126</v>
      </c>
      <c r="E639" s="19" t="s">
        <v>892</v>
      </c>
      <c r="F639" s="19" t="s">
        <v>118</v>
      </c>
      <c r="G639" s="19" t="s">
        <v>893</v>
      </c>
      <c r="H639" s="76">
        <v>46225</v>
      </c>
      <c r="I639" s="19" t="s">
        <v>105</v>
      </c>
      <c r="J639" s="19" t="s">
        <v>1611</v>
      </c>
      <c r="K639" s="19" t="s">
        <v>1127</v>
      </c>
      <c r="L639" s="19" t="s">
        <v>1389</v>
      </c>
      <c r="M639" s="19" t="s">
        <v>1909</v>
      </c>
      <c r="N639" s="19">
        <v>10</v>
      </c>
      <c r="O639" s="19">
        <v>1642.5</v>
      </c>
      <c r="P639" s="19" t="s">
        <v>1909</v>
      </c>
      <c r="Q639" s="19">
        <v>0</v>
      </c>
      <c r="R639" s="19">
        <v>9</v>
      </c>
      <c r="S639" s="19">
        <v>147.82</v>
      </c>
      <c r="T639" s="19">
        <v>9</v>
      </c>
      <c r="U639" s="19">
        <v>147.82</v>
      </c>
      <c r="V639" s="19">
        <v>0</v>
      </c>
      <c r="W639" s="19">
        <v>0</v>
      </c>
      <c r="X639" s="19">
        <v>0</v>
      </c>
      <c r="Y639" s="19">
        <v>295.64</v>
      </c>
      <c r="Z639" s="19">
        <v>0</v>
      </c>
      <c r="AA639" s="19" t="s">
        <v>260</v>
      </c>
      <c r="AB639" s="19" t="s">
        <v>1572</v>
      </c>
      <c r="AC639" s="19">
        <v>844649</v>
      </c>
      <c r="AD639" s="19" t="s">
        <v>1092</v>
      </c>
      <c r="AE639" s="19">
        <v>1</v>
      </c>
      <c r="AF639" s="19">
        <v>0</v>
      </c>
      <c r="AG639" s="19" t="s">
        <v>1093</v>
      </c>
      <c r="AH639" s="19" t="s">
        <v>2319</v>
      </c>
    </row>
    <row r="640" spans="2:34" hidden="1" x14ac:dyDescent="0.35">
      <c r="B640" s="76">
        <v>46231</v>
      </c>
      <c r="C640" s="19" t="s">
        <v>259</v>
      </c>
      <c r="D640" s="19" t="s">
        <v>126</v>
      </c>
      <c r="E640" s="19" t="s">
        <v>892</v>
      </c>
      <c r="F640" s="19" t="s">
        <v>118</v>
      </c>
      <c r="G640" s="19" t="s">
        <v>893</v>
      </c>
      <c r="H640" s="76">
        <v>46225</v>
      </c>
      <c r="I640" s="19" t="s">
        <v>105</v>
      </c>
      <c r="J640" s="19" t="s">
        <v>1611</v>
      </c>
      <c r="K640" s="19" t="s">
        <v>1127</v>
      </c>
      <c r="L640" s="19" t="s">
        <v>1389</v>
      </c>
      <c r="M640" s="19" t="s">
        <v>1910</v>
      </c>
      <c r="N640" s="19">
        <v>30</v>
      </c>
      <c r="O640" s="19">
        <v>10950</v>
      </c>
      <c r="P640" s="19" t="s">
        <v>1910</v>
      </c>
      <c r="Q640" s="19">
        <v>0</v>
      </c>
      <c r="R640" s="19">
        <v>9</v>
      </c>
      <c r="S640" s="19">
        <v>985.5</v>
      </c>
      <c r="T640" s="19">
        <v>9</v>
      </c>
      <c r="U640" s="19">
        <v>985.5</v>
      </c>
      <c r="V640" s="19">
        <v>0</v>
      </c>
      <c r="W640" s="19">
        <v>0</v>
      </c>
      <c r="X640" s="19">
        <v>0</v>
      </c>
      <c r="Y640" s="19">
        <v>1971</v>
      </c>
      <c r="Z640" s="19">
        <v>0</v>
      </c>
      <c r="AA640" s="19" t="s">
        <v>260</v>
      </c>
      <c r="AB640" s="19" t="s">
        <v>1572</v>
      </c>
      <c r="AC640" s="19">
        <v>844610</v>
      </c>
      <c r="AD640" s="19" t="s">
        <v>1092</v>
      </c>
      <c r="AE640" s="19">
        <v>1</v>
      </c>
      <c r="AF640" s="19">
        <v>0</v>
      </c>
      <c r="AG640" s="19" t="s">
        <v>1093</v>
      </c>
      <c r="AH640" s="19" t="s">
        <v>2319</v>
      </c>
    </row>
    <row r="641" spans="2:34" hidden="1" x14ac:dyDescent="0.35">
      <c r="B641" s="76">
        <v>46231</v>
      </c>
      <c r="C641" s="19" t="s">
        <v>259</v>
      </c>
      <c r="D641" s="19" t="s">
        <v>126</v>
      </c>
      <c r="E641" s="19" t="s">
        <v>892</v>
      </c>
      <c r="F641" s="19" t="s">
        <v>118</v>
      </c>
      <c r="G641" s="19" t="s">
        <v>893</v>
      </c>
      <c r="H641" s="76">
        <v>46225</v>
      </c>
      <c r="I641" s="19" t="s">
        <v>105</v>
      </c>
      <c r="J641" s="19" t="s">
        <v>1586</v>
      </c>
      <c r="K641" s="19" t="s">
        <v>1127</v>
      </c>
      <c r="L641" s="19" t="s">
        <v>1389</v>
      </c>
      <c r="M641" s="19" t="s">
        <v>1911</v>
      </c>
      <c r="N641" s="19">
        <v>20</v>
      </c>
      <c r="O641" s="19">
        <v>3285</v>
      </c>
      <c r="P641" s="19" t="s">
        <v>1911</v>
      </c>
      <c r="Q641" s="19">
        <v>0</v>
      </c>
      <c r="R641" s="19">
        <v>9</v>
      </c>
      <c r="S641" s="19">
        <v>318.14999999999998</v>
      </c>
      <c r="T641" s="19">
        <v>9</v>
      </c>
      <c r="U641" s="19">
        <v>318.14999999999998</v>
      </c>
      <c r="V641" s="19">
        <v>0</v>
      </c>
      <c r="W641" s="19">
        <v>0</v>
      </c>
      <c r="X641" s="19">
        <v>0</v>
      </c>
      <c r="Y641" s="19">
        <v>636.29999999999995</v>
      </c>
      <c r="Z641" s="19">
        <v>0</v>
      </c>
      <c r="AA641" s="19" t="s">
        <v>260</v>
      </c>
      <c r="AB641" s="19" t="s">
        <v>1572</v>
      </c>
      <c r="AC641" s="19">
        <v>844621</v>
      </c>
      <c r="AD641" s="19" t="s">
        <v>1092</v>
      </c>
      <c r="AE641" s="19">
        <v>1</v>
      </c>
      <c r="AF641" s="19">
        <v>0</v>
      </c>
      <c r="AG641" s="19" t="s">
        <v>1093</v>
      </c>
      <c r="AH641" s="19" t="s">
        <v>2319</v>
      </c>
    </row>
    <row r="642" spans="2:34" hidden="1" x14ac:dyDescent="0.35">
      <c r="B642" s="76">
        <v>46231</v>
      </c>
      <c r="C642" s="19" t="s">
        <v>259</v>
      </c>
      <c r="D642" s="19" t="s">
        <v>126</v>
      </c>
      <c r="E642" s="19" t="s">
        <v>892</v>
      </c>
      <c r="F642" s="19" t="s">
        <v>118</v>
      </c>
      <c r="G642" s="19" t="s">
        <v>893</v>
      </c>
      <c r="H642" s="76">
        <v>46225</v>
      </c>
      <c r="I642" s="19" t="s">
        <v>105</v>
      </c>
      <c r="J642" s="19" t="s">
        <v>1611</v>
      </c>
      <c r="K642" s="19" t="s">
        <v>1127</v>
      </c>
      <c r="L642" s="19" t="s">
        <v>1389</v>
      </c>
      <c r="M642" s="19" t="s">
        <v>1613</v>
      </c>
      <c r="N642" s="19">
        <v>10</v>
      </c>
      <c r="O642" s="19">
        <v>5110</v>
      </c>
      <c r="P642" s="19" t="s">
        <v>1613</v>
      </c>
      <c r="Q642" s="19">
        <v>0</v>
      </c>
      <c r="R642" s="19">
        <v>9</v>
      </c>
      <c r="S642" s="19">
        <v>459.9</v>
      </c>
      <c r="T642" s="19">
        <v>9</v>
      </c>
      <c r="U642" s="19">
        <v>459.9</v>
      </c>
      <c r="V642" s="19">
        <v>0</v>
      </c>
      <c r="W642" s="19">
        <v>0</v>
      </c>
      <c r="X642" s="19">
        <v>0</v>
      </c>
      <c r="Y642" s="19">
        <v>919.8</v>
      </c>
      <c r="Z642" s="19">
        <v>0</v>
      </c>
      <c r="AA642" s="19" t="s">
        <v>260</v>
      </c>
      <c r="AB642" s="19" t="s">
        <v>1555</v>
      </c>
      <c r="AC642" s="19">
        <v>844649</v>
      </c>
      <c r="AD642" s="19" t="s">
        <v>1092</v>
      </c>
      <c r="AE642" s="19">
        <v>1</v>
      </c>
      <c r="AF642" s="19">
        <v>0</v>
      </c>
      <c r="AG642" s="19" t="s">
        <v>1093</v>
      </c>
      <c r="AH642" s="19" t="s">
        <v>2319</v>
      </c>
    </row>
    <row r="643" spans="2:34" x14ac:dyDescent="0.35">
      <c r="B643" s="76">
        <v>46231</v>
      </c>
      <c r="C643" s="19" t="s">
        <v>178</v>
      </c>
      <c r="D643" s="19" t="s">
        <v>173</v>
      </c>
      <c r="E643" s="19" t="s">
        <v>938</v>
      </c>
      <c r="F643" s="19" t="s">
        <v>123</v>
      </c>
      <c r="G643" s="19" t="s">
        <v>939</v>
      </c>
      <c r="H643" s="76">
        <v>46229</v>
      </c>
      <c r="I643" s="19" t="s">
        <v>36</v>
      </c>
      <c r="J643" s="19" t="s">
        <v>1117</v>
      </c>
      <c r="K643" s="19" t="s">
        <v>42</v>
      </c>
      <c r="L643" s="19" t="s">
        <v>1242</v>
      </c>
      <c r="M643" s="19" t="s">
        <v>1154</v>
      </c>
      <c r="N643" s="19">
        <v>3383</v>
      </c>
      <c r="O643" s="19">
        <v>536171.67000000004</v>
      </c>
      <c r="P643" s="19" t="s">
        <v>1154</v>
      </c>
      <c r="Q643" s="19">
        <v>1035323.14</v>
      </c>
      <c r="R643" s="19">
        <v>9</v>
      </c>
      <c r="S643" s="19">
        <v>48255.45</v>
      </c>
      <c r="T643" s="19">
        <v>9</v>
      </c>
      <c r="U643" s="19">
        <v>48255.45</v>
      </c>
      <c r="V643" s="19">
        <v>0</v>
      </c>
      <c r="W643" s="19">
        <v>0</v>
      </c>
      <c r="X643" s="19">
        <v>0</v>
      </c>
      <c r="Y643" s="19">
        <v>96510.9</v>
      </c>
      <c r="Z643" s="19">
        <v>0</v>
      </c>
      <c r="AA643" s="19" t="s">
        <v>179</v>
      </c>
      <c r="AB643" s="19" t="s">
        <v>1289</v>
      </c>
      <c r="AC643" s="19">
        <v>63053300</v>
      </c>
      <c r="AD643" s="19" t="s">
        <v>1092</v>
      </c>
      <c r="AE643" s="19">
        <v>1</v>
      </c>
      <c r="AF643" s="19">
        <v>3383</v>
      </c>
      <c r="AG643" s="19" t="s">
        <v>1093</v>
      </c>
      <c r="AH643" s="19" t="s">
        <v>42</v>
      </c>
    </row>
    <row r="644" spans="2:34" x14ac:dyDescent="0.35">
      <c r="B644" s="76">
        <v>46231</v>
      </c>
      <c r="C644" s="19" t="s">
        <v>178</v>
      </c>
      <c r="D644" s="19" t="s">
        <v>173</v>
      </c>
      <c r="E644" s="19" t="s">
        <v>938</v>
      </c>
      <c r="F644" s="19" t="s">
        <v>123</v>
      </c>
      <c r="G644" s="19" t="s">
        <v>939</v>
      </c>
      <c r="H644" s="76">
        <v>46229</v>
      </c>
      <c r="I644" s="19" t="s">
        <v>36</v>
      </c>
      <c r="J644" s="19" t="s">
        <v>1117</v>
      </c>
      <c r="K644" s="19" t="s">
        <v>44</v>
      </c>
      <c r="L644" s="19" t="s">
        <v>1118</v>
      </c>
      <c r="M644" s="19" t="s">
        <v>1119</v>
      </c>
      <c r="N644" s="19">
        <v>601</v>
      </c>
      <c r="O644" s="19">
        <v>130110.49</v>
      </c>
      <c r="P644" s="19" t="s">
        <v>1119</v>
      </c>
      <c r="Q644" s="19">
        <v>0</v>
      </c>
      <c r="R644" s="19">
        <v>9</v>
      </c>
      <c r="S644" s="19">
        <v>11709.94</v>
      </c>
      <c r="T644" s="19">
        <v>9</v>
      </c>
      <c r="U644" s="19">
        <v>11709.94</v>
      </c>
      <c r="V644" s="19">
        <v>0</v>
      </c>
      <c r="W644" s="19">
        <v>0</v>
      </c>
      <c r="X644" s="19">
        <v>0</v>
      </c>
      <c r="Y644" s="19">
        <v>23419.88</v>
      </c>
      <c r="Z644" s="19">
        <v>0</v>
      </c>
      <c r="AA644" s="19" t="s">
        <v>179</v>
      </c>
      <c r="AB644" s="19" t="s">
        <v>1289</v>
      </c>
      <c r="AC644" s="19">
        <v>39269080</v>
      </c>
      <c r="AD644" s="19" t="s">
        <v>1092</v>
      </c>
      <c r="AE644" s="19">
        <v>1</v>
      </c>
      <c r="AF644" s="19">
        <v>601</v>
      </c>
      <c r="AG644" s="19" t="s">
        <v>1093</v>
      </c>
      <c r="AH644" s="19" t="s">
        <v>44</v>
      </c>
    </row>
    <row r="645" spans="2:34" x14ac:dyDescent="0.35">
      <c r="B645" s="76">
        <v>46231</v>
      </c>
      <c r="C645" s="19" t="s">
        <v>178</v>
      </c>
      <c r="D645" s="19" t="s">
        <v>173</v>
      </c>
      <c r="E645" s="19" t="s">
        <v>938</v>
      </c>
      <c r="F645" s="19" t="s">
        <v>123</v>
      </c>
      <c r="G645" s="19" t="s">
        <v>939</v>
      </c>
      <c r="H645" s="76">
        <v>46229</v>
      </c>
      <c r="I645" s="19" t="s">
        <v>36</v>
      </c>
      <c r="J645" s="19" t="s">
        <v>1117</v>
      </c>
      <c r="K645" s="19" t="s">
        <v>44</v>
      </c>
      <c r="L645" s="19" t="s">
        <v>1118</v>
      </c>
      <c r="M645" s="19" t="s">
        <v>1119</v>
      </c>
      <c r="N645" s="19">
        <v>302</v>
      </c>
      <c r="O645" s="19">
        <v>48165.98</v>
      </c>
      <c r="P645" s="19" t="s">
        <v>1119</v>
      </c>
      <c r="Q645" s="19">
        <v>0</v>
      </c>
      <c r="R645" s="19">
        <v>9</v>
      </c>
      <c r="S645" s="19">
        <v>4334.9399999999996</v>
      </c>
      <c r="T645" s="19">
        <v>9</v>
      </c>
      <c r="U645" s="19">
        <v>4334.9399999999996</v>
      </c>
      <c r="V645" s="19">
        <v>0</v>
      </c>
      <c r="W645" s="19">
        <v>0</v>
      </c>
      <c r="X645" s="19">
        <v>0</v>
      </c>
      <c r="Y645" s="19">
        <v>8669.8799999999992</v>
      </c>
      <c r="Z645" s="19">
        <v>0</v>
      </c>
      <c r="AA645" s="19" t="s">
        <v>179</v>
      </c>
      <c r="AB645" s="19" t="s">
        <v>1289</v>
      </c>
      <c r="AC645" s="19">
        <v>39269080</v>
      </c>
      <c r="AD645" s="19" t="s">
        <v>1092</v>
      </c>
      <c r="AE645" s="19">
        <v>1</v>
      </c>
      <c r="AF645" s="19">
        <v>302</v>
      </c>
      <c r="AG645" s="19" t="s">
        <v>1093</v>
      </c>
      <c r="AH645" s="19" t="s">
        <v>44</v>
      </c>
    </row>
    <row r="646" spans="2:34" x14ac:dyDescent="0.35">
      <c r="B646" s="76">
        <v>46231</v>
      </c>
      <c r="C646" s="19" t="s">
        <v>178</v>
      </c>
      <c r="D646" s="19" t="s">
        <v>173</v>
      </c>
      <c r="E646" s="19" t="s">
        <v>938</v>
      </c>
      <c r="F646" s="19" t="s">
        <v>123</v>
      </c>
      <c r="G646" s="19" t="s">
        <v>939</v>
      </c>
      <c r="H646" s="76">
        <v>46229</v>
      </c>
      <c r="I646" s="19" t="s">
        <v>36</v>
      </c>
      <c r="J646" s="19" t="s">
        <v>1117</v>
      </c>
      <c r="K646" s="19" t="s">
        <v>44</v>
      </c>
      <c r="L646" s="19" t="s">
        <v>1118</v>
      </c>
      <c r="M646" s="19" t="s">
        <v>1119</v>
      </c>
      <c r="N646" s="19">
        <v>1046</v>
      </c>
      <c r="O646" s="19">
        <v>163688.54</v>
      </c>
      <c r="P646" s="19" t="s">
        <v>1119</v>
      </c>
      <c r="Q646" s="19">
        <v>0</v>
      </c>
      <c r="R646" s="19">
        <v>9</v>
      </c>
      <c r="S646" s="19">
        <v>14731.97</v>
      </c>
      <c r="T646" s="19">
        <v>9</v>
      </c>
      <c r="U646" s="19">
        <v>14731.97</v>
      </c>
      <c r="V646" s="19">
        <v>0</v>
      </c>
      <c r="W646" s="19">
        <v>0</v>
      </c>
      <c r="X646" s="19">
        <v>0</v>
      </c>
      <c r="Y646" s="19">
        <v>29463.94</v>
      </c>
      <c r="Z646" s="19">
        <v>0</v>
      </c>
      <c r="AA646" s="19" t="s">
        <v>179</v>
      </c>
      <c r="AB646" s="19" t="s">
        <v>1289</v>
      </c>
      <c r="AC646" s="19">
        <v>39269080</v>
      </c>
      <c r="AD646" s="19" t="s">
        <v>1092</v>
      </c>
      <c r="AE646" s="19">
        <v>1</v>
      </c>
      <c r="AF646" s="19">
        <v>1046</v>
      </c>
      <c r="AG646" s="19" t="s">
        <v>1093</v>
      </c>
      <c r="AH646" s="19" t="s">
        <v>44</v>
      </c>
    </row>
    <row r="647" spans="2:34" x14ac:dyDescent="0.35">
      <c r="B647" s="76">
        <v>46231</v>
      </c>
      <c r="C647" s="19" t="s">
        <v>178</v>
      </c>
      <c r="D647" s="19" t="s">
        <v>173</v>
      </c>
      <c r="E647" s="19" t="s">
        <v>954</v>
      </c>
      <c r="F647" s="19" t="s">
        <v>123</v>
      </c>
      <c r="G647" s="19" t="s">
        <v>955</v>
      </c>
      <c r="H647" s="76">
        <v>46231</v>
      </c>
      <c r="I647" s="19" t="s">
        <v>36</v>
      </c>
      <c r="J647" s="19" t="s">
        <v>1117</v>
      </c>
      <c r="K647" s="19" t="s">
        <v>44</v>
      </c>
      <c r="L647" s="19" t="s">
        <v>1118</v>
      </c>
      <c r="M647" s="19" t="s">
        <v>1119</v>
      </c>
      <c r="N647" s="19">
        <v>5599</v>
      </c>
      <c r="O647" s="19">
        <v>876187.51</v>
      </c>
      <c r="P647" s="19" t="s">
        <v>1119</v>
      </c>
      <c r="Q647" s="19">
        <v>1289822.76</v>
      </c>
      <c r="R647" s="19">
        <v>9</v>
      </c>
      <c r="S647" s="19">
        <v>78856.88</v>
      </c>
      <c r="T647" s="19">
        <v>9</v>
      </c>
      <c r="U647" s="19">
        <v>78856.88</v>
      </c>
      <c r="V647" s="19">
        <v>0</v>
      </c>
      <c r="W647" s="19">
        <v>0</v>
      </c>
      <c r="X647" s="19">
        <v>0</v>
      </c>
      <c r="Y647" s="19">
        <v>157713.76</v>
      </c>
      <c r="Z647" s="19">
        <v>0</v>
      </c>
      <c r="AA647" s="19" t="s">
        <v>179</v>
      </c>
      <c r="AB647" s="19" t="s">
        <v>1289</v>
      </c>
      <c r="AC647" s="19">
        <v>39269080</v>
      </c>
      <c r="AD647" s="19" t="s">
        <v>1092</v>
      </c>
      <c r="AE647" s="19">
        <v>1</v>
      </c>
      <c r="AF647" s="19">
        <v>5599</v>
      </c>
      <c r="AG647" s="19" t="s">
        <v>1093</v>
      </c>
      <c r="AH647" s="19" t="s">
        <v>44</v>
      </c>
    </row>
    <row r="648" spans="2:34" x14ac:dyDescent="0.35">
      <c r="B648" s="76">
        <v>46231</v>
      </c>
      <c r="C648" s="19" t="s">
        <v>178</v>
      </c>
      <c r="D648" s="19" t="s">
        <v>173</v>
      </c>
      <c r="E648" s="19" t="s">
        <v>954</v>
      </c>
      <c r="F648" s="19" t="s">
        <v>123</v>
      </c>
      <c r="G648" s="19" t="s">
        <v>955</v>
      </c>
      <c r="H648" s="76">
        <v>46231</v>
      </c>
      <c r="I648" s="19" t="s">
        <v>36</v>
      </c>
      <c r="J648" s="19" t="s">
        <v>1117</v>
      </c>
      <c r="K648" s="19" t="s">
        <v>44</v>
      </c>
      <c r="L648" s="19" t="s">
        <v>1118</v>
      </c>
      <c r="M648" s="19" t="s">
        <v>1119</v>
      </c>
      <c r="N648" s="19">
        <v>65</v>
      </c>
      <c r="O648" s="19">
        <v>10366.85</v>
      </c>
      <c r="P648" s="19" t="s">
        <v>1119</v>
      </c>
      <c r="Q648" s="19">
        <v>0</v>
      </c>
      <c r="R648" s="19">
        <v>9</v>
      </c>
      <c r="S648" s="19">
        <v>933.02</v>
      </c>
      <c r="T648" s="19">
        <v>9</v>
      </c>
      <c r="U648" s="19">
        <v>933.02</v>
      </c>
      <c r="V648" s="19">
        <v>0</v>
      </c>
      <c r="W648" s="19">
        <v>0</v>
      </c>
      <c r="X648" s="19">
        <v>0</v>
      </c>
      <c r="Y648" s="19">
        <v>1866.04</v>
      </c>
      <c r="Z648" s="19">
        <v>0</v>
      </c>
      <c r="AA648" s="19" t="s">
        <v>179</v>
      </c>
      <c r="AB648" s="19" t="s">
        <v>1289</v>
      </c>
      <c r="AC648" s="19">
        <v>39269080</v>
      </c>
      <c r="AD648" s="19" t="s">
        <v>1092</v>
      </c>
      <c r="AE648" s="19">
        <v>1</v>
      </c>
      <c r="AF648" s="19">
        <v>65</v>
      </c>
      <c r="AG648" s="19" t="s">
        <v>1093</v>
      </c>
      <c r="AH648" s="19" t="s">
        <v>44</v>
      </c>
    </row>
    <row r="649" spans="2:34" x14ac:dyDescent="0.35">
      <c r="B649" s="76">
        <v>46231</v>
      </c>
      <c r="C649" s="19" t="s">
        <v>178</v>
      </c>
      <c r="D649" s="19" t="s">
        <v>173</v>
      </c>
      <c r="E649" s="19" t="s">
        <v>954</v>
      </c>
      <c r="F649" s="19" t="s">
        <v>123</v>
      </c>
      <c r="G649" s="19" t="s">
        <v>955</v>
      </c>
      <c r="H649" s="76">
        <v>46231</v>
      </c>
      <c r="I649" s="19" t="s">
        <v>36</v>
      </c>
      <c r="J649" s="19" t="s">
        <v>1117</v>
      </c>
      <c r="K649" s="19" t="s">
        <v>44</v>
      </c>
      <c r="L649" s="19" t="s">
        <v>1118</v>
      </c>
      <c r="M649" s="19" t="s">
        <v>1119</v>
      </c>
      <c r="N649" s="19">
        <v>575</v>
      </c>
      <c r="O649" s="19">
        <v>124481.75</v>
      </c>
      <c r="P649" s="19" t="s">
        <v>1119</v>
      </c>
      <c r="Q649" s="19">
        <v>0</v>
      </c>
      <c r="R649" s="19">
        <v>9</v>
      </c>
      <c r="S649" s="19">
        <v>11203.36</v>
      </c>
      <c r="T649" s="19">
        <v>9</v>
      </c>
      <c r="U649" s="19">
        <v>11203.36</v>
      </c>
      <c r="V649" s="19">
        <v>0</v>
      </c>
      <c r="W649" s="19">
        <v>0</v>
      </c>
      <c r="X649" s="19">
        <v>0</v>
      </c>
      <c r="Y649" s="19">
        <v>22406.720000000001</v>
      </c>
      <c r="Z649" s="19">
        <v>0</v>
      </c>
      <c r="AA649" s="19" t="s">
        <v>179</v>
      </c>
      <c r="AB649" s="19" t="s">
        <v>1289</v>
      </c>
      <c r="AC649" s="19">
        <v>39269080</v>
      </c>
      <c r="AD649" s="19" t="s">
        <v>1092</v>
      </c>
      <c r="AE649" s="19">
        <v>1</v>
      </c>
      <c r="AF649" s="19">
        <v>575</v>
      </c>
      <c r="AG649" s="19" t="s">
        <v>1093</v>
      </c>
      <c r="AH649" s="19" t="s">
        <v>44</v>
      </c>
    </row>
    <row r="650" spans="2:34" x14ac:dyDescent="0.35">
      <c r="B650" s="76">
        <v>46231</v>
      </c>
      <c r="C650" s="19" t="s">
        <v>178</v>
      </c>
      <c r="D650" s="19" t="s">
        <v>173</v>
      </c>
      <c r="E650" s="19" t="s">
        <v>954</v>
      </c>
      <c r="F650" s="19" t="s">
        <v>123</v>
      </c>
      <c r="G650" s="19" t="s">
        <v>955</v>
      </c>
      <c r="H650" s="76">
        <v>46231</v>
      </c>
      <c r="I650" s="19" t="s">
        <v>36</v>
      </c>
      <c r="J650" s="19" t="s">
        <v>1117</v>
      </c>
      <c r="K650" s="19" t="s">
        <v>44</v>
      </c>
      <c r="L650" s="19" t="s">
        <v>1118</v>
      </c>
      <c r="M650" s="19" t="s">
        <v>1119</v>
      </c>
      <c r="N650" s="19">
        <v>537</v>
      </c>
      <c r="O650" s="19">
        <v>82961.13</v>
      </c>
      <c r="P650" s="19" t="s">
        <v>1119</v>
      </c>
      <c r="Q650" s="19">
        <v>0</v>
      </c>
      <c r="R650" s="19">
        <v>9</v>
      </c>
      <c r="S650" s="19">
        <v>7466.5</v>
      </c>
      <c r="T650" s="19">
        <v>9</v>
      </c>
      <c r="U650" s="19">
        <v>7466.5</v>
      </c>
      <c r="V650" s="19">
        <v>0</v>
      </c>
      <c r="W650" s="19">
        <v>0</v>
      </c>
      <c r="X650" s="19">
        <v>0</v>
      </c>
      <c r="Y650" s="19">
        <v>14933</v>
      </c>
      <c r="Z650" s="19">
        <v>0</v>
      </c>
      <c r="AA650" s="19" t="s">
        <v>179</v>
      </c>
      <c r="AB650" s="19" t="s">
        <v>1289</v>
      </c>
      <c r="AC650" s="19">
        <v>39269080</v>
      </c>
      <c r="AD650" s="19" t="s">
        <v>1092</v>
      </c>
      <c r="AE650" s="19">
        <v>1</v>
      </c>
      <c r="AF650" s="19">
        <v>537</v>
      </c>
      <c r="AG650" s="19" t="s">
        <v>1093</v>
      </c>
      <c r="AH650" s="19" t="s">
        <v>44</v>
      </c>
    </row>
    <row r="651" spans="2:34" x14ac:dyDescent="0.35">
      <c r="B651" s="76">
        <v>46231</v>
      </c>
      <c r="C651" s="19" t="s">
        <v>935</v>
      </c>
      <c r="D651" s="19" t="s">
        <v>173</v>
      </c>
      <c r="E651" s="19" t="s">
        <v>933</v>
      </c>
      <c r="F651" s="19" t="s">
        <v>123</v>
      </c>
      <c r="G651" s="19" t="s">
        <v>934</v>
      </c>
      <c r="H651" s="76">
        <v>46231</v>
      </c>
      <c r="I651" s="19" t="s">
        <v>49</v>
      </c>
      <c r="J651" s="19" t="s">
        <v>50</v>
      </c>
      <c r="K651" s="19" t="s">
        <v>50</v>
      </c>
      <c r="L651" s="19" t="s">
        <v>1095</v>
      </c>
      <c r="M651" s="19" t="s">
        <v>1098</v>
      </c>
      <c r="N651" s="19">
        <v>4720</v>
      </c>
      <c r="O651" s="19">
        <v>956366.4</v>
      </c>
      <c r="P651" s="19" t="s">
        <v>1098</v>
      </c>
      <c r="Q651" s="19">
        <v>3818755.66</v>
      </c>
      <c r="R651" s="19">
        <v>0.05</v>
      </c>
      <c r="S651" s="19">
        <v>478.18</v>
      </c>
      <c r="T651" s="19">
        <v>0.05</v>
      </c>
      <c r="U651" s="19">
        <v>478.18</v>
      </c>
      <c r="V651" s="19">
        <v>0</v>
      </c>
      <c r="W651" s="19">
        <v>0</v>
      </c>
      <c r="X651" s="19">
        <v>0</v>
      </c>
      <c r="Y651" s="19">
        <v>956.36</v>
      </c>
      <c r="Z651" s="19">
        <v>0</v>
      </c>
      <c r="AA651" s="19" t="s">
        <v>179</v>
      </c>
      <c r="AB651" s="19" t="s">
        <v>1289</v>
      </c>
      <c r="AC651" s="19">
        <v>63053200</v>
      </c>
      <c r="AD651" s="19" t="s">
        <v>1092</v>
      </c>
      <c r="AE651" s="19">
        <v>1</v>
      </c>
      <c r="AF651" s="19">
        <v>4720</v>
      </c>
      <c r="AG651" s="19" t="s">
        <v>1093</v>
      </c>
      <c r="AH651" s="19" t="s">
        <v>50</v>
      </c>
    </row>
    <row r="652" spans="2:34" x14ac:dyDescent="0.35">
      <c r="B652" s="76">
        <v>46231</v>
      </c>
      <c r="C652" s="19" t="s">
        <v>935</v>
      </c>
      <c r="D652" s="19" t="s">
        <v>173</v>
      </c>
      <c r="E652" s="19" t="s">
        <v>933</v>
      </c>
      <c r="F652" s="19" t="s">
        <v>123</v>
      </c>
      <c r="G652" s="19" t="s">
        <v>934</v>
      </c>
      <c r="H652" s="76">
        <v>46231</v>
      </c>
      <c r="I652" s="19" t="s">
        <v>49</v>
      </c>
      <c r="J652" s="19" t="s">
        <v>50</v>
      </c>
      <c r="K652" s="19" t="s">
        <v>50</v>
      </c>
      <c r="L652" s="19" t="s">
        <v>1095</v>
      </c>
      <c r="M652" s="19" t="s">
        <v>1098</v>
      </c>
      <c r="N652" s="19">
        <v>4420</v>
      </c>
      <c r="O652" s="19">
        <v>890055.4</v>
      </c>
      <c r="P652" s="19" t="s">
        <v>1098</v>
      </c>
      <c r="Q652" s="19">
        <v>0</v>
      </c>
      <c r="R652" s="19">
        <v>0.05</v>
      </c>
      <c r="S652" s="19">
        <v>445.03</v>
      </c>
      <c r="T652" s="19">
        <v>0.05</v>
      </c>
      <c r="U652" s="19">
        <v>445.03</v>
      </c>
      <c r="V652" s="19">
        <v>0</v>
      </c>
      <c r="W652" s="19">
        <v>0</v>
      </c>
      <c r="X652" s="19">
        <v>0</v>
      </c>
      <c r="Y652" s="19">
        <v>890.06</v>
      </c>
      <c r="Z652" s="19">
        <v>0</v>
      </c>
      <c r="AA652" s="19" t="s">
        <v>179</v>
      </c>
      <c r="AB652" s="19" t="s">
        <v>1289</v>
      </c>
      <c r="AC652" s="19">
        <v>63053200</v>
      </c>
      <c r="AD652" s="19" t="s">
        <v>1092</v>
      </c>
      <c r="AE652" s="19">
        <v>1</v>
      </c>
      <c r="AF652" s="19">
        <v>4420</v>
      </c>
      <c r="AG652" s="19" t="s">
        <v>1093</v>
      </c>
      <c r="AH652" s="19" t="s">
        <v>50</v>
      </c>
    </row>
    <row r="653" spans="2:34" x14ac:dyDescent="0.35">
      <c r="B653" s="76">
        <v>46231</v>
      </c>
      <c r="C653" s="19" t="s">
        <v>935</v>
      </c>
      <c r="D653" s="19" t="s">
        <v>173</v>
      </c>
      <c r="E653" s="19" t="s">
        <v>933</v>
      </c>
      <c r="F653" s="19" t="s">
        <v>123</v>
      </c>
      <c r="G653" s="19" t="s">
        <v>934</v>
      </c>
      <c r="H653" s="76">
        <v>46231</v>
      </c>
      <c r="I653" s="19" t="s">
        <v>49</v>
      </c>
      <c r="J653" s="19" t="s">
        <v>50</v>
      </c>
      <c r="K653" s="19" t="s">
        <v>50</v>
      </c>
      <c r="L653" s="19" t="s">
        <v>1095</v>
      </c>
      <c r="M653" s="19" t="s">
        <v>1098</v>
      </c>
      <c r="N653" s="19">
        <v>1169</v>
      </c>
      <c r="O653" s="19">
        <v>244963.95</v>
      </c>
      <c r="P653" s="19" t="s">
        <v>1098</v>
      </c>
      <c r="Q653" s="19">
        <v>0</v>
      </c>
      <c r="R653" s="19">
        <v>0.05</v>
      </c>
      <c r="S653" s="19">
        <v>122.48</v>
      </c>
      <c r="T653" s="19">
        <v>0.05</v>
      </c>
      <c r="U653" s="19">
        <v>122.48</v>
      </c>
      <c r="V653" s="19">
        <v>0</v>
      </c>
      <c r="W653" s="19">
        <v>0</v>
      </c>
      <c r="X653" s="19">
        <v>0</v>
      </c>
      <c r="Y653" s="19">
        <v>244.96</v>
      </c>
      <c r="Z653" s="19">
        <v>0</v>
      </c>
      <c r="AA653" s="19" t="s">
        <v>179</v>
      </c>
      <c r="AB653" s="19" t="s">
        <v>1289</v>
      </c>
      <c r="AC653" s="19">
        <v>63053200</v>
      </c>
      <c r="AD653" s="19" t="s">
        <v>1092</v>
      </c>
      <c r="AE653" s="19">
        <v>1</v>
      </c>
      <c r="AF653" s="19">
        <v>1169</v>
      </c>
      <c r="AG653" s="19" t="s">
        <v>1093</v>
      </c>
      <c r="AH653" s="19" t="s">
        <v>50</v>
      </c>
    </row>
    <row r="654" spans="2:34" x14ac:dyDescent="0.35">
      <c r="B654" s="76">
        <v>46231</v>
      </c>
      <c r="C654" s="19" t="s">
        <v>935</v>
      </c>
      <c r="D654" s="19" t="s">
        <v>173</v>
      </c>
      <c r="E654" s="19" t="s">
        <v>933</v>
      </c>
      <c r="F654" s="19" t="s">
        <v>123</v>
      </c>
      <c r="G654" s="19" t="s">
        <v>934</v>
      </c>
      <c r="H654" s="76">
        <v>46231</v>
      </c>
      <c r="I654" s="19" t="s">
        <v>49</v>
      </c>
      <c r="J654" s="19" t="s">
        <v>50</v>
      </c>
      <c r="K654" s="19" t="s">
        <v>50</v>
      </c>
      <c r="L654" s="19" t="s">
        <v>1095</v>
      </c>
      <c r="M654" s="19" t="s">
        <v>1098</v>
      </c>
      <c r="N654" s="19">
        <v>1168</v>
      </c>
      <c r="O654" s="19">
        <v>297454.56</v>
      </c>
      <c r="P654" s="19" t="s">
        <v>1098</v>
      </c>
      <c r="Q654" s="19">
        <v>0</v>
      </c>
      <c r="R654" s="19">
        <v>0.05</v>
      </c>
      <c r="S654" s="19">
        <v>148.72999999999999</v>
      </c>
      <c r="T654" s="19">
        <v>0.05</v>
      </c>
      <c r="U654" s="19">
        <v>148.72999999999999</v>
      </c>
      <c r="V654" s="19">
        <v>0</v>
      </c>
      <c r="W654" s="19">
        <v>0</v>
      </c>
      <c r="X654" s="19">
        <v>0</v>
      </c>
      <c r="Y654" s="19">
        <v>297.45999999999998</v>
      </c>
      <c r="Z654" s="19">
        <v>0</v>
      </c>
      <c r="AA654" s="19" t="s">
        <v>179</v>
      </c>
      <c r="AB654" s="19" t="s">
        <v>1289</v>
      </c>
      <c r="AC654" s="19">
        <v>63053200</v>
      </c>
      <c r="AD654" s="19" t="s">
        <v>1092</v>
      </c>
      <c r="AE654" s="19">
        <v>1</v>
      </c>
      <c r="AF654" s="19">
        <v>1168</v>
      </c>
      <c r="AG654" s="19" t="s">
        <v>1093</v>
      </c>
      <c r="AH654" s="19" t="s">
        <v>50</v>
      </c>
    </row>
    <row r="655" spans="2:34" x14ac:dyDescent="0.35">
      <c r="B655" s="76">
        <v>46231</v>
      </c>
      <c r="C655" s="19" t="s">
        <v>935</v>
      </c>
      <c r="D655" s="19" t="s">
        <v>173</v>
      </c>
      <c r="E655" s="19" t="s">
        <v>933</v>
      </c>
      <c r="F655" s="19" t="s">
        <v>123</v>
      </c>
      <c r="G655" s="19" t="s">
        <v>934</v>
      </c>
      <c r="H655" s="76">
        <v>46231</v>
      </c>
      <c r="I655" s="19" t="s">
        <v>49</v>
      </c>
      <c r="J655" s="19" t="s">
        <v>50</v>
      </c>
      <c r="K655" s="19" t="s">
        <v>50</v>
      </c>
      <c r="L655" s="19" t="s">
        <v>1095</v>
      </c>
      <c r="M655" s="19" t="s">
        <v>1098</v>
      </c>
      <c r="N655" s="19">
        <v>2157</v>
      </c>
      <c r="O655" s="19">
        <v>426029.07</v>
      </c>
      <c r="P655" s="19" t="s">
        <v>1098</v>
      </c>
      <c r="Q655" s="19">
        <v>0</v>
      </c>
      <c r="R655" s="19">
        <v>0.05</v>
      </c>
      <c r="S655" s="19">
        <v>213.01</v>
      </c>
      <c r="T655" s="19">
        <v>0.05</v>
      </c>
      <c r="U655" s="19">
        <v>213.01</v>
      </c>
      <c r="V655" s="19">
        <v>0</v>
      </c>
      <c r="W655" s="19">
        <v>0</v>
      </c>
      <c r="X655" s="19">
        <v>0</v>
      </c>
      <c r="Y655" s="19">
        <v>426.02</v>
      </c>
      <c r="Z655" s="19">
        <v>0</v>
      </c>
      <c r="AA655" s="19" t="s">
        <v>179</v>
      </c>
      <c r="AB655" s="19" t="s">
        <v>1289</v>
      </c>
      <c r="AC655" s="19">
        <v>63053200</v>
      </c>
      <c r="AD655" s="19" t="s">
        <v>1092</v>
      </c>
      <c r="AE655" s="19">
        <v>1</v>
      </c>
      <c r="AF655" s="19">
        <v>2157</v>
      </c>
      <c r="AG655" s="19" t="s">
        <v>1093</v>
      </c>
      <c r="AH655" s="19" t="s">
        <v>50</v>
      </c>
    </row>
    <row r="656" spans="2:34" x14ac:dyDescent="0.35">
      <c r="B656" s="76">
        <v>46231</v>
      </c>
      <c r="C656" s="19" t="s">
        <v>935</v>
      </c>
      <c r="D656" s="19" t="s">
        <v>173</v>
      </c>
      <c r="E656" s="19" t="s">
        <v>933</v>
      </c>
      <c r="F656" s="19" t="s">
        <v>123</v>
      </c>
      <c r="G656" s="19" t="s">
        <v>934</v>
      </c>
      <c r="H656" s="76">
        <v>46231</v>
      </c>
      <c r="I656" s="19" t="s">
        <v>49</v>
      </c>
      <c r="J656" s="19" t="s">
        <v>50</v>
      </c>
      <c r="K656" s="19" t="s">
        <v>50</v>
      </c>
      <c r="L656" s="19" t="s">
        <v>1095</v>
      </c>
      <c r="M656" s="19" t="s">
        <v>1098</v>
      </c>
      <c r="N656" s="19">
        <v>4226</v>
      </c>
      <c r="O656" s="19">
        <v>1003886.3</v>
      </c>
      <c r="P656" s="19" t="s">
        <v>1098</v>
      </c>
      <c r="Q656" s="19">
        <v>0</v>
      </c>
      <c r="R656" s="19">
        <v>0.05</v>
      </c>
      <c r="S656" s="19">
        <v>501.94</v>
      </c>
      <c r="T656" s="19">
        <v>0.05</v>
      </c>
      <c r="U656" s="19">
        <v>501.94</v>
      </c>
      <c r="V656" s="19">
        <v>0</v>
      </c>
      <c r="W656" s="19">
        <v>0</v>
      </c>
      <c r="X656" s="19">
        <v>0</v>
      </c>
      <c r="Y656" s="19">
        <v>1003.88</v>
      </c>
      <c r="Z656" s="19">
        <v>0</v>
      </c>
      <c r="AA656" s="19" t="s">
        <v>179</v>
      </c>
      <c r="AB656" s="19" t="s">
        <v>1289</v>
      </c>
      <c r="AC656" s="19">
        <v>63053200</v>
      </c>
      <c r="AD656" s="19" t="s">
        <v>1092</v>
      </c>
      <c r="AE656" s="19">
        <v>1</v>
      </c>
      <c r="AF656" s="19">
        <v>4226</v>
      </c>
      <c r="AG656" s="19" t="s">
        <v>1093</v>
      </c>
      <c r="AH656" s="19" t="s">
        <v>50</v>
      </c>
    </row>
    <row r="657" spans="2:34" x14ac:dyDescent="0.35">
      <c r="B657" s="76">
        <v>46231</v>
      </c>
      <c r="C657" s="19" t="s">
        <v>935</v>
      </c>
      <c r="D657" s="19" t="s">
        <v>173</v>
      </c>
      <c r="E657" s="19" t="s">
        <v>948</v>
      </c>
      <c r="F657" s="19" t="s">
        <v>123</v>
      </c>
      <c r="G657" s="19" t="s">
        <v>949</v>
      </c>
      <c r="H657" s="76">
        <v>46231</v>
      </c>
      <c r="I657" s="19" t="s">
        <v>49</v>
      </c>
      <c r="J657" s="19" t="s">
        <v>50</v>
      </c>
      <c r="K657" s="19" t="s">
        <v>50</v>
      </c>
      <c r="L657" s="19" t="s">
        <v>1095</v>
      </c>
      <c r="M657" s="19" t="s">
        <v>1098</v>
      </c>
      <c r="N657" s="19">
        <v>3280</v>
      </c>
      <c r="O657" s="19">
        <v>811668.8</v>
      </c>
      <c r="P657" s="19" t="s">
        <v>1098</v>
      </c>
      <c r="Q657" s="19">
        <v>4138427.27</v>
      </c>
      <c r="R657" s="19">
        <v>0.05</v>
      </c>
      <c r="S657" s="19">
        <v>405.83</v>
      </c>
      <c r="T657" s="19">
        <v>0.05</v>
      </c>
      <c r="U657" s="19">
        <v>405.83</v>
      </c>
      <c r="V657" s="19">
        <v>0</v>
      </c>
      <c r="W657" s="19">
        <v>0</v>
      </c>
      <c r="X657" s="19">
        <v>0</v>
      </c>
      <c r="Y657" s="19">
        <v>811.66</v>
      </c>
      <c r="Z657" s="19">
        <v>0</v>
      </c>
      <c r="AA657" s="19" t="s">
        <v>179</v>
      </c>
      <c r="AB657" s="19" t="s">
        <v>1289</v>
      </c>
      <c r="AC657" s="19">
        <v>63053200</v>
      </c>
      <c r="AD657" s="19" t="s">
        <v>1092</v>
      </c>
      <c r="AE657" s="19">
        <v>1</v>
      </c>
      <c r="AF657" s="19">
        <v>3280</v>
      </c>
      <c r="AG657" s="19" t="s">
        <v>1093</v>
      </c>
      <c r="AH657" s="19" t="s">
        <v>50</v>
      </c>
    </row>
    <row r="658" spans="2:34" x14ac:dyDescent="0.35">
      <c r="B658" s="76">
        <v>46231</v>
      </c>
      <c r="C658" s="19" t="s">
        <v>935</v>
      </c>
      <c r="D658" s="19" t="s">
        <v>173</v>
      </c>
      <c r="E658" s="19" t="s">
        <v>948</v>
      </c>
      <c r="F658" s="19" t="s">
        <v>123</v>
      </c>
      <c r="G658" s="19" t="s">
        <v>949</v>
      </c>
      <c r="H658" s="76">
        <v>46231</v>
      </c>
      <c r="I658" s="19" t="s">
        <v>49</v>
      </c>
      <c r="J658" s="19" t="s">
        <v>50</v>
      </c>
      <c r="K658" s="19" t="s">
        <v>50</v>
      </c>
      <c r="L658" s="19" t="s">
        <v>1095</v>
      </c>
      <c r="M658" s="19" t="s">
        <v>1098</v>
      </c>
      <c r="N658" s="19">
        <v>1752</v>
      </c>
      <c r="O658" s="19">
        <v>409144.56</v>
      </c>
      <c r="P658" s="19" t="s">
        <v>1098</v>
      </c>
      <c r="Q658" s="19">
        <v>0</v>
      </c>
      <c r="R658" s="19">
        <v>0.05</v>
      </c>
      <c r="S658" s="19">
        <v>204.57</v>
      </c>
      <c r="T658" s="19">
        <v>0.05</v>
      </c>
      <c r="U658" s="19">
        <v>204.57</v>
      </c>
      <c r="V658" s="19">
        <v>0</v>
      </c>
      <c r="W658" s="19">
        <v>0</v>
      </c>
      <c r="X658" s="19">
        <v>0</v>
      </c>
      <c r="Y658" s="19">
        <v>409.14</v>
      </c>
      <c r="Z658" s="19">
        <v>0</v>
      </c>
      <c r="AA658" s="19" t="s">
        <v>179</v>
      </c>
      <c r="AB658" s="19" t="s">
        <v>1289</v>
      </c>
      <c r="AC658" s="19">
        <v>63053200</v>
      </c>
      <c r="AD658" s="19" t="s">
        <v>1092</v>
      </c>
      <c r="AE658" s="19">
        <v>1</v>
      </c>
      <c r="AF658" s="19">
        <v>1752</v>
      </c>
      <c r="AG658" s="19" t="s">
        <v>1093</v>
      </c>
      <c r="AH658" s="19" t="s">
        <v>50</v>
      </c>
    </row>
    <row r="659" spans="2:34" x14ac:dyDescent="0.35">
      <c r="B659" s="76">
        <v>46231</v>
      </c>
      <c r="C659" s="19" t="s">
        <v>935</v>
      </c>
      <c r="D659" s="19" t="s">
        <v>173</v>
      </c>
      <c r="E659" s="19" t="s">
        <v>948</v>
      </c>
      <c r="F659" s="19" t="s">
        <v>123</v>
      </c>
      <c r="G659" s="19" t="s">
        <v>949</v>
      </c>
      <c r="H659" s="76">
        <v>46231</v>
      </c>
      <c r="I659" s="19" t="s">
        <v>49</v>
      </c>
      <c r="J659" s="19" t="s">
        <v>50</v>
      </c>
      <c r="K659" s="19" t="s">
        <v>50</v>
      </c>
      <c r="L659" s="19" t="s">
        <v>1095</v>
      </c>
      <c r="M659" s="19" t="s">
        <v>1098</v>
      </c>
      <c r="N659" s="19">
        <v>3909</v>
      </c>
      <c r="O659" s="19">
        <v>787507.14</v>
      </c>
      <c r="P659" s="19" t="s">
        <v>1098</v>
      </c>
      <c r="Q659" s="19">
        <v>0</v>
      </c>
      <c r="R659" s="19">
        <v>0.05</v>
      </c>
      <c r="S659" s="19">
        <v>393.75</v>
      </c>
      <c r="T659" s="19">
        <v>0.05</v>
      </c>
      <c r="U659" s="19">
        <v>393.75</v>
      </c>
      <c r="V659" s="19">
        <v>0</v>
      </c>
      <c r="W659" s="19">
        <v>0</v>
      </c>
      <c r="X659" s="19">
        <v>0</v>
      </c>
      <c r="Y659" s="19">
        <v>787.5</v>
      </c>
      <c r="Z659" s="19">
        <v>0</v>
      </c>
      <c r="AA659" s="19" t="s">
        <v>179</v>
      </c>
      <c r="AB659" s="19" t="s">
        <v>1289</v>
      </c>
      <c r="AC659" s="19">
        <v>63053200</v>
      </c>
      <c r="AD659" s="19" t="s">
        <v>1092</v>
      </c>
      <c r="AE659" s="19">
        <v>1</v>
      </c>
      <c r="AF659" s="19">
        <v>3909</v>
      </c>
      <c r="AG659" s="19" t="s">
        <v>1093</v>
      </c>
      <c r="AH659" s="19" t="s">
        <v>50</v>
      </c>
    </row>
    <row r="660" spans="2:34" x14ac:dyDescent="0.35">
      <c r="B660" s="76">
        <v>46231</v>
      </c>
      <c r="C660" s="19" t="s">
        <v>935</v>
      </c>
      <c r="D660" s="19" t="s">
        <v>173</v>
      </c>
      <c r="E660" s="19" t="s">
        <v>948</v>
      </c>
      <c r="F660" s="19" t="s">
        <v>123</v>
      </c>
      <c r="G660" s="19" t="s">
        <v>949</v>
      </c>
      <c r="H660" s="76">
        <v>46231</v>
      </c>
      <c r="I660" s="19" t="s">
        <v>49</v>
      </c>
      <c r="J660" s="19" t="s">
        <v>50</v>
      </c>
      <c r="K660" s="19" t="s">
        <v>50</v>
      </c>
      <c r="L660" s="19" t="s">
        <v>1095</v>
      </c>
      <c r="M660" s="19" t="s">
        <v>1098</v>
      </c>
      <c r="N660" s="19">
        <v>1774</v>
      </c>
      <c r="O660" s="19">
        <v>334647.36</v>
      </c>
      <c r="P660" s="19" t="s">
        <v>1098</v>
      </c>
      <c r="Q660" s="19">
        <v>0</v>
      </c>
      <c r="R660" s="19">
        <v>0.05</v>
      </c>
      <c r="S660" s="19">
        <v>167.32</v>
      </c>
      <c r="T660" s="19">
        <v>0.05</v>
      </c>
      <c r="U660" s="19">
        <v>167.32</v>
      </c>
      <c r="V660" s="19">
        <v>0</v>
      </c>
      <c r="W660" s="19">
        <v>0</v>
      </c>
      <c r="X660" s="19">
        <v>0</v>
      </c>
      <c r="Y660" s="19">
        <v>334.64</v>
      </c>
      <c r="Z660" s="19">
        <v>0</v>
      </c>
      <c r="AA660" s="19" t="s">
        <v>179</v>
      </c>
      <c r="AB660" s="19" t="s">
        <v>1289</v>
      </c>
      <c r="AC660" s="19">
        <v>63053200</v>
      </c>
      <c r="AD660" s="19" t="s">
        <v>1092</v>
      </c>
      <c r="AE660" s="19">
        <v>1</v>
      </c>
      <c r="AF660" s="19">
        <v>1774</v>
      </c>
      <c r="AG660" s="19" t="s">
        <v>1093</v>
      </c>
      <c r="AH660" s="19" t="s">
        <v>50</v>
      </c>
    </row>
    <row r="661" spans="2:34" x14ac:dyDescent="0.35">
      <c r="B661" s="76">
        <v>46231</v>
      </c>
      <c r="C661" s="19" t="s">
        <v>935</v>
      </c>
      <c r="D661" s="19" t="s">
        <v>173</v>
      </c>
      <c r="E661" s="19" t="s">
        <v>948</v>
      </c>
      <c r="F661" s="19" t="s">
        <v>123</v>
      </c>
      <c r="G661" s="19" t="s">
        <v>949</v>
      </c>
      <c r="H661" s="76">
        <v>46231</v>
      </c>
      <c r="I661" s="19" t="s">
        <v>49</v>
      </c>
      <c r="J661" s="19" t="s">
        <v>50</v>
      </c>
      <c r="K661" s="19" t="s">
        <v>50</v>
      </c>
      <c r="L661" s="19" t="s">
        <v>1095</v>
      </c>
      <c r="M661" s="19" t="s">
        <v>1098</v>
      </c>
      <c r="N661" s="19">
        <v>2940</v>
      </c>
      <c r="O661" s="19">
        <v>581884.80000000005</v>
      </c>
      <c r="P661" s="19" t="s">
        <v>1098</v>
      </c>
      <c r="Q661" s="19">
        <v>0</v>
      </c>
      <c r="R661" s="19">
        <v>0.05</v>
      </c>
      <c r="S661" s="19">
        <v>290.94</v>
      </c>
      <c r="T661" s="19">
        <v>0.05</v>
      </c>
      <c r="U661" s="19">
        <v>290.94</v>
      </c>
      <c r="V661" s="19">
        <v>0</v>
      </c>
      <c r="W661" s="19">
        <v>0</v>
      </c>
      <c r="X661" s="19">
        <v>0</v>
      </c>
      <c r="Y661" s="19">
        <v>581.88</v>
      </c>
      <c r="Z661" s="19">
        <v>0</v>
      </c>
      <c r="AA661" s="19" t="s">
        <v>179</v>
      </c>
      <c r="AB661" s="19" t="s">
        <v>1289</v>
      </c>
      <c r="AC661" s="19">
        <v>63053200</v>
      </c>
      <c r="AD661" s="19" t="s">
        <v>1092</v>
      </c>
      <c r="AE661" s="19">
        <v>1</v>
      </c>
      <c r="AF661" s="19">
        <v>2940</v>
      </c>
      <c r="AG661" s="19" t="s">
        <v>1093</v>
      </c>
      <c r="AH661" s="19" t="s">
        <v>50</v>
      </c>
    </row>
    <row r="662" spans="2:34" x14ac:dyDescent="0.35">
      <c r="B662" s="76">
        <v>46231</v>
      </c>
      <c r="C662" s="19" t="s">
        <v>935</v>
      </c>
      <c r="D662" s="19" t="s">
        <v>173</v>
      </c>
      <c r="E662" s="19" t="s">
        <v>948</v>
      </c>
      <c r="F662" s="19" t="s">
        <v>123</v>
      </c>
      <c r="G662" s="19" t="s">
        <v>949</v>
      </c>
      <c r="H662" s="76">
        <v>46231</v>
      </c>
      <c r="I662" s="19" t="s">
        <v>49</v>
      </c>
      <c r="J662" s="19" t="s">
        <v>50</v>
      </c>
      <c r="K662" s="19" t="s">
        <v>50</v>
      </c>
      <c r="L662" s="19" t="s">
        <v>1095</v>
      </c>
      <c r="M662" s="19" t="s">
        <v>1098</v>
      </c>
      <c r="N662" s="19">
        <v>399</v>
      </c>
      <c r="O662" s="19">
        <v>76939.17</v>
      </c>
      <c r="P662" s="19" t="s">
        <v>1098</v>
      </c>
      <c r="Q662" s="19">
        <v>0</v>
      </c>
      <c r="R662" s="19">
        <v>0.05</v>
      </c>
      <c r="S662" s="19">
        <v>38.47</v>
      </c>
      <c r="T662" s="19">
        <v>0.05</v>
      </c>
      <c r="U662" s="19">
        <v>38.47</v>
      </c>
      <c r="V662" s="19">
        <v>0</v>
      </c>
      <c r="W662" s="19">
        <v>0</v>
      </c>
      <c r="X662" s="19">
        <v>0</v>
      </c>
      <c r="Y662" s="19">
        <v>76.94</v>
      </c>
      <c r="Z662" s="19">
        <v>0</v>
      </c>
      <c r="AA662" s="19" t="s">
        <v>179</v>
      </c>
      <c r="AB662" s="19" t="s">
        <v>1289</v>
      </c>
      <c r="AC662" s="19">
        <v>63053200</v>
      </c>
      <c r="AD662" s="19" t="s">
        <v>1092</v>
      </c>
      <c r="AE662" s="19">
        <v>1</v>
      </c>
      <c r="AF662" s="19">
        <v>399</v>
      </c>
      <c r="AG662" s="19" t="s">
        <v>1093</v>
      </c>
      <c r="AH662" s="19" t="s">
        <v>50</v>
      </c>
    </row>
    <row r="663" spans="2:34" x14ac:dyDescent="0.35">
      <c r="B663" s="76">
        <v>46231</v>
      </c>
      <c r="C663" s="19" t="s">
        <v>935</v>
      </c>
      <c r="D663" s="19" t="s">
        <v>173</v>
      </c>
      <c r="E663" s="19" t="s">
        <v>948</v>
      </c>
      <c r="F663" s="19" t="s">
        <v>123</v>
      </c>
      <c r="G663" s="19" t="s">
        <v>949</v>
      </c>
      <c r="H663" s="76">
        <v>46231</v>
      </c>
      <c r="I663" s="19" t="s">
        <v>49</v>
      </c>
      <c r="J663" s="19" t="s">
        <v>50</v>
      </c>
      <c r="K663" s="19" t="s">
        <v>50</v>
      </c>
      <c r="L663" s="19" t="s">
        <v>1095</v>
      </c>
      <c r="M663" s="19" t="s">
        <v>1098</v>
      </c>
      <c r="N663" s="19">
        <v>396</v>
      </c>
      <c r="O663" s="19">
        <v>86941.8</v>
      </c>
      <c r="P663" s="19" t="s">
        <v>1098</v>
      </c>
      <c r="Q663" s="19">
        <v>0</v>
      </c>
      <c r="R663" s="19">
        <v>0.05</v>
      </c>
      <c r="S663" s="19">
        <v>43.47</v>
      </c>
      <c r="T663" s="19">
        <v>0.05</v>
      </c>
      <c r="U663" s="19">
        <v>43.47</v>
      </c>
      <c r="V663" s="19">
        <v>0</v>
      </c>
      <c r="W663" s="19">
        <v>0</v>
      </c>
      <c r="X663" s="19">
        <v>0</v>
      </c>
      <c r="Y663" s="19">
        <v>86.94</v>
      </c>
      <c r="Z663" s="19">
        <v>0</v>
      </c>
      <c r="AA663" s="19" t="s">
        <v>179</v>
      </c>
      <c r="AB663" s="19" t="s">
        <v>1289</v>
      </c>
      <c r="AC663" s="19">
        <v>63053200</v>
      </c>
      <c r="AD663" s="19" t="s">
        <v>1092</v>
      </c>
      <c r="AE663" s="19">
        <v>1</v>
      </c>
      <c r="AF663" s="19">
        <v>396</v>
      </c>
      <c r="AG663" s="19" t="s">
        <v>1093</v>
      </c>
      <c r="AH663" s="19" t="s">
        <v>50</v>
      </c>
    </row>
    <row r="664" spans="2:34" x14ac:dyDescent="0.35">
      <c r="B664" s="76">
        <v>46231</v>
      </c>
      <c r="C664" s="19" t="s">
        <v>935</v>
      </c>
      <c r="D664" s="19" t="s">
        <v>173</v>
      </c>
      <c r="E664" s="19" t="s">
        <v>948</v>
      </c>
      <c r="F664" s="19" t="s">
        <v>123</v>
      </c>
      <c r="G664" s="19" t="s">
        <v>949</v>
      </c>
      <c r="H664" s="76">
        <v>46231</v>
      </c>
      <c r="I664" s="19" t="s">
        <v>49</v>
      </c>
      <c r="J664" s="19" t="s">
        <v>50</v>
      </c>
      <c r="K664" s="19" t="s">
        <v>50</v>
      </c>
      <c r="L664" s="19" t="s">
        <v>1095</v>
      </c>
      <c r="M664" s="19" t="s">
        <v>1098</v>
      </c>
      <c r="N664" s="19">
        <v>3407</v>
      </c>
      <c r="O664" s="19">
        <v>673938.67</v>
      </c>
      <c r="P664" s="19" t="s">
        <v>1098</v>
      </c>
      <c r="Q664" s="19">
        <v>0</v>
      </c>
      <c r="R664" s="19">
        <v>0.05</v>
      </c>
      <c r="S664" s="19">
        <v>336.97</v>
      </c>
      <c r="T664" s="19">
        <v>0.05</v>
      </c>
      <c r="U664" s="19">
        <v>336.97</v>
      </c>
      <c r="V664" s="19">
        <v>0</v>
      </c>
      <c r="W664" s="19">
        <v>0</v>
      </c>
      <c r="X664" s="19">
        <v>0</v>
      </c>
      <c r="Y664" s="19">
        <v>673.94</v>
      </c>
      <c r="Z664" s="19">
        <v>0</v>
      </c>
      <c r="AA664" s="19" t="s">
        <v>179</v>
      </c>
      <c r="AB664" s="19" t="s">
        <v>1289</v>
      </c>
      <c r="AC664" s="19">
        <v>63053200</v>
      </c>
      <c r="AD664" s="19" t="s">
        <v>1092</v>
      </c>
      <c r="AE664" s="19">
        <v>1</v>
      </c>
      <c r="AF664" s="19">
        <v>3407</v>
      </c>
      <c r="AG664" s="19" t="s">
        <v>1093</v>
      </c>
      <c r="AH664" s="19" t="s">
        <v>50</v>
      </c>
    </row>
    <row r="665" spans="2:34" x14ac:dyDescent="0.35">
      <c r="B665" s="76">
        <v>46231</v>
      </c>
      <c r="C665" s="19" t="s">
        <v>935</v>
      </c>
      <c r="D665" s="19" t="s">
        <v>173</v>
      </c>
      <c r="E665" s="19" t="s">
        <v>948</v>
      </c>
      <c r="F665" s="19" t="s">
        <v>123</v>
      </c>
      <c r="G665" s="19" t="s">
        <v>949</v>
      </c>
      <c r="H665" s="76">
        <v>46231</v>
      </c>
      <c r="I665" s="19" t="s">
        <v>49</v>
      </c>
      <c r="J665" s="19" t="s">
        <v>50</v>
      </c>
      <c r="K665" s="19" t="s">
        <v>50</v>
      </c>
      <c r="L665" s="19" t="s">
        <v>1095</v>
      </c>
      <c r="M665" s="19" t="s">
        <v>1098</v>
      </c>
      <c r="N665" s="19">
        <v>1685</v>
      </c>
      <c r="O665" s="19">
        <v>375755</v>
      </c>
      <c r="P665" s="19" t="s">
        <v>1098</v>
      </c>
      <c r="Q665" s="19">
        <v>0</v>
      </c>
      <c r="R665" s="19">
        <v>0.05</v>
      </c>
      <c r="S665" s="19">
        <v>187.88</v>
      </c>
      <c r="T665" s="19">
        <v>0.05</v>
      </c>
      <c r="U665" s="19">
        <v>187.88</v>
      </c>
      <c r="V665" s="19">
        <v>0</v>
      </c>
      <c r="W665" s="19">
        <v>0</v>
      </c>
      <c r="X665" s="19">
        <v>0</v>
      </c>
      <c r="Y665" s="19">
        <v>375.76</v>
      </c>
      <c r="Z665" s="19">
        <v>0</v>
      </c>
      <c r="AA665" s="19" t="s">
        <v>179</v>
      </c>
      <c r="AB665" s="19" t="s">
        <v>1289</v>
      </c>
      <c r="AC665" s="19">
        <v>63053200</v>
      </c>
      <c r="AD665" s="19" t="s">
        <v>1092</v>
      </c>
      <c r="AE665" s="19">
        <v>1</v>
      </c>
      <c r="AF665" s="19">
        <v>1685</v>
      </c>
      <c r="AG665" s="19" t="s">
        <v>1093</v>
      </c>
      <c r="AH665" s="19" t="s">
        <v>50</v>
      </c>
    </row>
    <row r="666" spans="2:34" hidden="1" x14ac:dyDescent="0.35">
      <c r="B666" s="76">
        <v>46231</v>
      </c>
      <c r="C666" s="19" t="s">
        <v>907</v>
      </c>
      <c r="D666" s="19" t="s">
        <v>126</v>
      </c>
      <c r="E666" s="19" t="s">
        <v>905</v>
      </c>
      <c r="F666" s="19" t="s">
        <v>118</v>
      </c>
      <c r="G666" s="19" t="s">
        <v>906</v>
      </c>
      <c r="H666" s="76">
        <v>46228</v>
      </c>
      <c r="I666" s="19" t="s">
        <v>105</v>
      </c>
      <c r="J666" s="19" t="s">
        <v>1579</v>
      </c>
      <c r="K666" s="19" t="s">
        <v>1127</v>
      </c>
      <c r="L666" s="19" t="s">
        <v>1389</v>
      </c>
      <c r="M666" s="19" t="s">
        <v>1912</v>
      </c>
      <c r="N666" s="19">
        <v>2</v>
      </c>
      <c r="O666" s="19">
        <v>2300</v>
      </c>
      <c r="P666" s="19" t="s">
        <v>1912</v>
      </c>
      <c r="Q666" s="19">
        <v>2864</v>
      </c>
      <c r="R666" s="19">
        <v>9</v>
      </c>
      <c r="S666" s="19">
        <v>207</v>
      </c>
      <c r="T666" s="19">
        <v>9</v>
      </c>
      <c r="U666" s="19">
        <v>207</v>
      </c>
      <c r="V666" s="19">
        <v>0</v>
      </c>
      <c r="W666" s="19">
        <v>0</v>
      </c>
      <c r="X666" s="19">
        <v>0</v>
      </c>
      <c r="Y666" s="19">
        <v>414</v>
      </c>
      <c r="Z666" s="19">
        <v>0</v>
      </c>
      <c r="AA666" s="19" t="s">
        <v>908</v>
      </c>
      <c r="AB666" s="19" t="s">
        <v>1634</v>
      </c>
      <c r="AC666" s="19">
        <v>84834023</v>
      </c>
      <c r="AD666" s="19" t="s">
        <v>1092</v>
      </c>
      <c r="AE666" s="19">
        <v>1</v>
      </c>
      <c r="AF666" s="19">
        <v>0</v>
      </c>
      <c r="AG666" s="19" t="s">
        <v>1093</v>
      </c>
      <c r="AH666" s="19" t="s">
        <v>2319</v>
      </c>
    </row>
    <row r="667" spans="2:34" hidden="1" x14ac:dyDescent="0.35">
      <c r="B667" s="76">
        <v>46231</v>
      </c>
      <c r="C667" s="19" t="s">
        <v>884</v>
      </c>
      <c r="D667" s="19" t="s">
        <v>126</v>
      </c>
      <c r="E667" s="19" t="s">
        <v>882</v>
      </c>
      <c r="F667" s="19" t="s">
        <v>118</v>
      </c>
      <c r="G667" s="19" t="s">
        <v>883</v>
      </c>
      <c r="H667" s="76">
        <v>46226</v>
      </c>
      <c r="I667" s="19" t="s">
        <v>105</v>
      </c>
      <c r="J667" s="19" t="s">
        <v>1586</v>
      </c>
      <c r="K667" s="19" t="s">
        <v>1127</v>
      </c>
      <c r="L667" s="19" t="s">
        <v>1389</v>
      </c>
      <c r="M667" s="19" t="s">
        <v>1913</v>
      </c>
      <c r="N667" s="19">
        <v>10</v>
      </c>
      <c r="O667" s="19">
        <v>693</v>
      </c>
      <c r="P667" s="19" t="s">
        <v>1913</v>
      </c>
      <c r="Q667" s="19">
        <v>853</v>
      </c>
      <c r="R667" s="19">
        <v>9</v>
      </c>
      <c r="S667" s="19">
        <v>65.069999999999993</v>
      </c>
      <c r="T667" s="19">
        <v>9</v>
      </c>
      <c r="U667" s="19">
        <v>65.069999999999993</v>
      </c>
      <c r="V667" s="19">
        <v>0</v>
      </c>
      <c r="W667" s="19">
        <v>0</v>
      </c>
      <c r="X667" s="19">
        <v>0</v>
      </c>
      <c r="Y667" s="19">
        <v>130.13999999999999</v>
      </c>
      <c r="Z667" s="19">
        <v>0</v>
      </c>
      <c r="AA667" s="19" t="s">
        <v>885</v>
      </c>
      <c r="AB667" s="19" t="s">
        <v>1555</v>
      </c>
      <c r="AC667" s="19">
        <v>401699</v>
      </c>
      <c r="AD667" s="19" t="s">
        <v>1092</v>
      </c>
      <c r="AE667" s="19">
        <v>1</v>
      </c>
      <c r="AF667" s="19">
        <v>0</v>
      </c>
      <c r="AG667" s="19" t="s">
        <v>1093</v>
      </c>
      <c r="AH667" s="19" t="s">
        <v>2319</v>
      </c>
    </row>
    <row r="668" spans="2:34" hidden="1" x14ac:dyDescent="0.35">
      <c r="B668" s="76">
        <v>46231</v>
      </c>
      <c r="C668" s="19" t="s">
        <v>482</v>
      </c>
      <c r="D668" s="19" t="s">
        <v>126</v>
      </c>
      <c r="E668" s="19" t="s">
        <v>878</v>
      </c>
      <c r="F668" s="19" t="s">
        <v>118</v>
      </c>
      <c r="G668" s="19" t="s">
        <v>879</v>
      </c>
      <c r="H668" s="76">
        <v>46227</v>
      </c>
      <c r="I668" s="19" t="s">
        <v>105</v>
      </c>
      <c r="J668" s="19" t="s">
        <v>1561</v>
      </c>
      <c r="K668" s="19" t="s">
        <v>1127</v>
      </c>
      <c r="L668" s="19" t="s">
        <v>1389</v>
      </c>
      <c r="M668" s="19" t="s">
        <v>1803</v>
      </c>
      <c r="N668" s="19">
        <v>16</v>
      </c>
      <c r="O668" s="19">
        <v>23328</v>
      </c>
      <c r="P668" s="19" t="s">
        <v>1803</v>
      </c>
      <c r="Q668" s="19">
        <v>27328.240000000002</v>
      </c>
      <c r="R668" s="19">
        <v>9</v>
      </c>
      <c r="S668" s="19">
        <v>2084.36</v>
      </c>
      <c r="T668" s="19">
        <v>9</v>
      </c>
      <c r="U668" s="19">
        <v>2084.36</v>
      </c>
      <c r="V668" s="19">
        <v>0</v>
      </c>
      <c r="W668" s="19">
        <v>0</v>
      </c>
      <c r="X668" s="19">
        <v>0</v>
      </c>
      <c r="Y668" s="19">
        <v>4168.72</v>
      </c>
      <c r="Z668" s="19">
        <v>0</v>
      </c>
      <c r="AA668" s="19" t="s">
        <v>483</v>
      </c>
      <c r="AB668" s="19" t="s">
        <v>1555</v>
      </c>
      <c r="AC668" s="19">
        <v>84123100</v>
      </c>
      <c r="AD668" s="19" t="s">
        <v>1092</v>
      </c>
      <c r="AE668" s="19">
        <v>1</v>
      </c>
      <c r="AF668" s="19">
        <v>0</v>
      </c>
      <c r="AG668" s="19" t="s">
        <v>1093</v>
      </c>
      <c r="AH668" s="19" t="s">
        <v>2319</v>
      </c>
    </row>
    <row r="669" spans="2:34" hidden="1" x14ac:dyDescent="0.35">
      <c r="B669" s="76">
        <v>46231</v>
      </c>
      <c r="C669" s="19" t="s">
        <v>625</v>
      </c>
      <c r="D669" s="19" t="s">
        <v>126</v>
      </c>
      <c r="E669" s="19" t="s">
        <v>890</v>
      </c>
      <c r="F669" s="19" t="s">
        <v>118</v>
      </c>
      <c r="G669" s="19" t="s">
        <v>891</v>
      </c>
      <c r="H669" s="76">
        <v>46225</v>
      </c>
      <c r="I669" s="19" t="s">
        <v>105</v>
      </c>
      <c r="J669" s="19" t="s">
        <v>1561</v>
      </c>
      <c r="K669" s="19" t="s">
        <v>1127</v>
      </c>
      <c r="L669" s="19" t="s">
        <v>1389</v>
      </c>
      <c r="M669" s="19" t="s">
        <v>1803</v>
      </c>
      <c r="N669" s="19">
        <v>2</v>
      </c>
      <c r="O669" s="19">
        <v>2916</v>
      </c>
      <c r="P669" s="19" t="s">
        <v>1803</v>
      </c>
      <c r="Q669" s="19">
        <v>3416.02</v>
      </c>
      <c r="R669" s="19">
        <v>9</v>
      </c>
      <c r="S669" s="19">
        <v>260.54000000000002</v>
      </c>
      <c r="T669" s="19">
        <v>9</v>
      </c>
      <c r="U669" s="19">
        <v>260.54000000000002</v>
      </c>
      <c r="V669" s="19">
        <v>0</v>
      </c>
      <c r="W669" s="19">
        <v>0</v>
      </c>
      <c r="X669" s="19">
        <v>0</v>
      </c>
      <c r="Y669" s="19">
        <v>521.08000000000004</v>
      </c>
      <c r="Z669" s="19">
        <v>0</v>
      </c>
      <c r="AA669" s="19" t="s">
        <v>626</v>
      </c>
      <c r="AB669" s="19" t="s">
        <v>1555</v>
      </c>
      <c r="AC669" s="19">
        <v>84123100</v>
      </c>
      <c r="AD669" s="19" t="s">
        <v>1092</v>
      </c>
      <c r="AE669" s="19">
        <v>1</v>
      </c>
      <c r="AF669" s="19">
        <v>0</v>
      </c>
      <c r="AG669" s="19" t="s">
        <v>1093</v>
      </c>
      <c r="AH669" s="19" t="s">
        <v>2319</v>
      </c>
    </row>
    <row r="670" spans="2:34" hidden="1" x14ac:dyDescent="0.35">
      <c r="B670" s="76">
        <v>46231</v>
      </c>
      <c r="C670" s="19" t="s">
        <v>342</v>
      </c>
      <c r="D670" s="19" t="s">
        <v>126</v>
      </c>
      <c r="E670" s="19" t="s">
        <v>917</v>
      </c>
      <c r="F670" s="19" t="s">
        <v>121</v>
      </c>
      <c r="G670" s="19" t="s">
        <v>918</v>
      </c>
      <c r="H670" s="76">
        <v>46225</v>
      </c>
      <c r="I670" s="19" t="s">
        <v>105</v>
      </c>
      <c r="J670" s="19" t="s">
        <v>1579</v>
      </c>
      <c r="K670" s="19" t="s">
        <v>1127</v>
      </c>
      <c r="L670" s="19" t="s">
        <v>1389</v>
      </c>
      <c r="M670" s="19" t="s">
        <v>1914</v>
      </c>
      <c r="N670" s="19">
        <v>5</v>
      </c>
      <c r="O670" s="19">
        <v>1750</v>
      </c>
      <c r="P670" s="19" t="s">
        <v>1914</v>
      </c>
      <c r="Q670" s="19">
        <v>2065</v>
      </c>
      <c r="R670" s="19">
        <v>0</v>
      </c>
      <c r="S670" s="19">
        <v>0</v>
      </c>
      <c r="T670" s="19">
        <v>0</v>
      </c>
      <c r="U670" s="19">
        <v>0</v>
      </c>
      <c r="V670" s="19">
        <v>18</v>
      </c>
      <c r="W670" s="19">
        <v>315</v>
      </c>
      <c r="X670" s="19">
        <v>0</v>
      </c>
      <c r="Y670" s="19">
        <v>315</v>
      </c>
      <c r="Z670" s="19">
        <v>0</v>
      </c>
      <c r="AA670" s="19" t="s">
        <v>343</v>
      </c>
      <c r="AB670" s="19" t="s">
        <v>1555</v>
      </c>
      <c r="AC670" s="19">
        <v>844810</v>
      </c>
      <c r="AD670" s="19" t="s">
        <v>1092</v>
      </c>
      <c r="AE670" s="19">
        <v>1</v>
      </c>
      <c r="AF670" s="19">
        <v>0</v>
      </c>
      <c r="AG670" s="19" t="s">
        <v>1093</v>
      </c>
      <c r="AH670" s="19" t="s">
        <v>2319</v>
      </c>
    </row>
    <row r="671" spans="2:34" hidden="1" x14ac:dyDescent="0.35">
      <c r="B671" s="76">
        <v>46231</v>
      </c>
      <c r="C671" s="19" t="s">
        <v>342</v>
      </c>
      <c r="D671" s="19" t="s">
        <v>126</v>
      </c>
      <c r="E671" s="19" t="s">
        <v>919</v>
      </c>
      <c r="F671" s="19" t="s">
        <v>121</v>
      </c>
      <c r="G671" s="19" t="s">
        <v>920</v>
      </c>
      <c r="H671" s="76">
        <v>46225</v>
      </c>
      <c r="I671" s="19" t="s">
        <v>105</v>
      </c>
      <c r="J671" s="19" t="s">
        <v>1579</v>
      </c>
      <c r="K671" s="19" t="s">
        <v>1127</v>
      </c>
      <c r="L671" s="19" t="s">
        <v>1389</v>
      </c>
      <c r="M671" s="19" t="s">
        <v>1915</v>
      </c>
      <c r="N671" s="19">
        <v>2</v>
      </c>
      <c r="O671" s="19">
        <v>7000</v>
      </c>
      <c r="P671" s="19" t="s">
        <v>1915</v>
      </c>
      <c r="Q671" s="19">
        <v>17936</v>
      </c>
      <c r="R671" s="19">
        <v>0</v>
      </c>
      <c r="S671" s="19">
        <v>0</v>
      </c>
      <c r="T671" s="19">
        <v>0</v>
      </c>
      <c r="U671" s="19">
        <v>0</v>
      </c>
      <c r="V671" s="19">
        <v>18</v>
      </c>
      <c r="W671" s="19">
        <v>1260</v>
      </c>
      <c r="X671" s="19">
        <v>108</v>
      </c>
      <c r="Y671" s="19">
        <v>1368</v>
      </c>
      <c r="Z671" s="19">
        <v>0</v>
      </c>
      <c r="AA671" s="19" t="s">
        <v>343</v>
      </c>
      <c r="AB671" s="19" t="s">
        <v>1555</v>
      </c>
      <c r="AC671" s="19">
        <v>844810</v>
      </c>
      <c r="AD671" s="19" t="s">
        <v>1092</v>
      </c>
      <c r="AE671" s="19">
        <v>1</v>
      </c>
      <c r="AF671" s="19">
        <v>0</v>
      </c>
      <c r="AG671" s="19" t="s">
        <v>1093</v>
      </c>
      <c r="AH671" s="19" t="s">
        <v>2319</v>
      </c>
    </row>
    <row r="672" spans="2:34" hidden="1" x14ac:dyDescent="0.35">
      <c r="B672" s="76">
        <v>46231</v>
      </c>
      <c r="C672" s="19" t="s">
        <v>342</v>
      </c>
      <c r="D672" s="19" t="s">
        <v>126</v>
      </c>
      <c r="E672" s="19" t="s">
        <v>919</v>
      </c>
      <c r="F672" s="19" t="s">
        <v>121</v>
      </c>
      <c r="G672" s="19" t="s">
        <v>920</v>
      </c>
      <c r="H672" s="76">
        <v>46225</v>
      </c>
      <c r="I672" s="19" t="s">
        <v>105</v>
      </c>
      <c r="J672" s="19" t="s">
        <v>1579</v>
      </c>
      <c r="K672" s="19" t="s">
        <v>1127</v>
      </c>
      <c r="L672" s="19" t="s">
        <v>1389</v>
      </c>
      <c r="M672" s="19" t="s">
        <v>1916</v>
      </c>
      <c r="N672" s="19">
        <v>2</v>
      </c>
      <c r="O672" s="19">
        <v>7600</v>
      </c>
      <c r="P672" s="19" t="s">
        <v>1916</v>
      </c>
      <c r="Q672" s="19">
        <v>0</v>
      </c>
      <c r="R672" s="19">
        <v>0</v>
      </c>
      <c r="S672" s="19">
        <v>0</v>
      </c>
      <c r="T672" s="19">
        <v>0</v>
      </c>
      <c r="U672" s="19">
        <v>0</v>
      </c>
      <c r="V672" s="19">
        <v>18</v>
      </c>
      <c r="W672" s="19">
        <v>1368</v>
      </c>
      <c r="X672" s="19">
        <v>108</v>
      </c>
      <c r="Y672" s="19">
        <v>1476</v>
      </c>
      <c r="Z672" s="19">
        <v>0</v>
      </c>
      <c r="AA672" s="19" t="s">
        <v>343</v>
      </c>
      <c r="AB672" s="19" t="s">
        <v>1555</v>
      </c>
      <c r="AC672" s="19">
        <v>844810</v>
      </c>
      <c r="AD672" s="19" t="s">
        <v>1092</v>
      </c>
      <c r="AE672" s="19">
        <v>1</v>
      </c>
      <c r="AF672" s="19">
        <v>0</v>
      </c>
      <c r="AG672" s="19" t="s">
        <v>1093</v>
      </c>
      <c r="AH672" s="19" t="s">
        <v>2319</v>
      </c>
    </row>
    <row r="673" spans="2:34" hidden="1" x14ac:dyDescent="0.35">
      <c r="B673" s="76">
        <v>46231</v>
      </c>
      <c r="C673" s="19" t="s">
        <v>342</v>
      </c>
      <c r="D673" s="19" t="s">
        <v>126</v>
      </c>
      <c r="E673" s="19" t="s">
        <v>921</v>
      </c>
      <c r="F673" s="19" t="s">
        <v>121</v>
      </c>
      <c r="G673" s="19" t="s">
        <v>922</v>
      </c>
      <c r="H673" s="76">
        <v>46225</v>
      </c>
      <c r="I673" s="19" t="s">
        <v>105</v>
      </c>
      <c r="J673" s="19" t="s">
        <v>1579</v>
      </c>
      <c r="K673" s="19" t="s">
        <v>1127</v>
      </c>
      <c r="L673" s="19" t="s">
        <v>1389</v>
      </c>
      <c r="M673" s="19" t="s">
        <v>1917</v>
      </c>
      <c r="N673" s="19">
        <v>2</v>
      </c>
      <c r="O673" s="19">
        <v>3200</v>
      </c>
      <c r="P673" s="19" t="s">
        <v>1917</v>
      </c>
      <c r="Q673" s="19">
        <v>3870</v>
      </c>
      <c r="R673" s="19">
        <v>0</v>
      </c>
      <c r="S673" s="19">
        <v>0</v>
      </c>
      <c r="T673" s="19">
        <v>0</v>
      </c>
      <c r="U673" s="19">
        <v>0</v>
      </c>
      <c r="V673" s="19">
        <v>18</v>
      </c>
      <c r="W673" s="19">
        <v>576</v>
      </c>
      <c r="X673" s="19">
        <v>14.4</v>
      </c>
      <c r="Y673" s="19">
        <v>590.4</v>
      </c>
      <c r="Z673" s="19">
        <v>0</v>
      </c>
      <c r="AA673" s="19" t="s">
        <v>343</v>
      </c>
      <c r="AB673" s="19" t="s">
        <v>1555</v>
      </c>
      <c r="AC673" s="19">
        <v>844810</v>
      </c>
      <c r="AD673" s="19" t="s">
        <v>1092</v>
      </c>
      <c r="AE673" s="19">
        <v>1</v>
      </c>
      <c r="AF673" s="19">
        <v>0</v>
      </c>
      <c r="AG673" s="19" t="s">
        <v>1093</v>
      </c>
      <c r="AH673" s="19" t="s">
        <v>2319</v>
      </c>
    </row>
    <row r="674" spans="2:34" hidden="1" x14ac:dyDescent="0.35">
      <c r="B674" s="76">
        <v>46231</v>
      </c>
      <c r="C674" s="19" t="s">
        <v>342</v>
      </c>
      <c r="D674" s="19" t="s">
        <v>126</v>
      </c>
      <c r="E674" s="19" t="s">
        <v>923</v>
      </c>
      <c r="F674" s="19" t="s">
        <v>121</v>
      </c>
      <c r="G674" s="19" t="s">
        <v>924</v>
      </c>
      <c r="H674" s="76">
        <v>46225</v>
      </c>
      <c r="I674" s="19" t="s">
        <v>105</v>
      </c>
      <c r="J674" s="19" t="s">
        <v>1579</v>
      </c>
      <c r="K674" s="19" t="s">
        <v>1127</v>
      </c>
      <c r="L674" s="19" t="s">
        <v>1389</v>
      </c>
      <c r="M674" s="19" t="s">
        <v>1918</v>
      </c>
      <c r="N674" s="19">
        <v>2</v>
      </c>
      <c r="O674" s="19">
        <v>1300</v>
      </c>
      <c r="P674" s="19" t="s">
        <v>1918</v>
      </c>
      <c r="Q674" s="19">
        <v>1534</v>
      </c>
      <c r="R674" s="19">
        <v>0</v>
      </c>
      <c r="S674" s="19">
        <v>0</v>
      </c>
      <c r="T674" s="19">
        <v>0</v>
      </c>
      <c r="U674" s="19">
        <v>0</v>
      </c>
      <c r="V674" s="19">
        <v>18</v>
      </c>
      <c r="W674" s="19">
        <v>234</v>
      </c>
      <c r="X674" s="19">
        <v>0</v>
      </c>
      <c r="Y674" s="19">
        <v>234</v>
      </c>
      <c r="Z674" s="19">
        <v>0</v>
      </c>
      <c r="AA674" s="19" t="s">
        <v>343</v>
      </c>
      <c r="AB674" s="19" t="s">
        <v>1555</v>
      </c>
      <c r="AC674" s="19">
        <v>844810</v>
      </c>
      <c r="AD674" s="19" t="s">
        <v>1092</v>
      </c>
      <c r="AE674" s="19">
        <v>1</v>
      </c>
      <c r="AF674" s="19">
        <v>0</v>
      </c>
      <c r="AG674" s="19" t="s">
        <v>1093</v>
      </c>
      <c r="AH674" s="19" t="s">
        <v>2319</v>
      </c>
    </row>
    <row r="675" spans="2:34" hidden="1" x14ac:dyDescent="0.35">
      <c r="B675" s="76">
        <v>46231</v>
      </c>
      <c r="C675" s="19" t="s">
        <v>342</v>
      </c>
      <c r="D675" s="19" t="s">
        <v>126</v>
      </c>
      <c r="E675" s="19" t="s">
        <v>925</v>
      </c>
      <c r="F675" s="19" t="s">
        <v>121</v>
      </c>
      <c r="G675" s="19" t="s">
        <v>926</v>
      </c>
      <c r="H675" s="76">
        <v>46225</v>
      </c>
      <c r="I675" s="19" t="s">
        <v>105</v>
      </c>
      <c r="J675" s="19" t="s">
        <v>1586</v>
      </c>
      <c r="K675" s="19" t="s">
        <v>1127</v>
      </c>
      <c r="L675" s="19" t="s">
        <v>1389</v>
      </c>
      <c r="M675" s="19" t="s">
        <v>1919</v>
      </c>
      <c r="N675" s="19">
        <v>1000</v>
      </c>
      <c r="O675" s="19">
        <v>3000</v>
      </c>
      <c r="P675" s="19" t="s">
        <v>1919</v>
      </c>
      <c r="Q675" s="19">
        <v>3540</v>
      </c>
      <c r="R675" s="19">
        <v>0</v>
      </c>
      <c r="S675" s="19">
        <v>0</v>
      </c>
      <c r="T675" s="19">
        <v>0</v>
      </c>
      <c r="U675" s="19">
        <v>0</v>
      </c>
      <c r="V675" s="19">
        <v>18</v>
      </c>
      <c r="W675" s="19">
        <v>540</v>
      </c>
      <c r="X675" s="19">
        <v>0</v>
      </c>
      <c r="Y675" s="19">
        <v>540</v>
      </c>
      <c r="Z675" s="19">
        <v>0</v>
      </c>
      <c r="AA675" s="19" t="s">
        <v>343</v>
      </c>
      <c r="AB675" s="19" t="s">
        <v>1572</v>
      </c>
      <c r="AC675" s="19">
        <v>844849</v>
      </c>
      <c r="AD675" s="19" t="s">
        <v>1092</v>
      </c>
      <c r="AE675" s="19">
        <v>1</v>
      </c>
      <c r="AF675" s="19">
        <v>0</v>
      </c>
      <c r="AG675" s="19" t="s">
        <v>1093</v>
      </c>
      <c r="AH675" s="19" t="s">
        <v>2319</v>
      </c>
    </row>
    <row r="676" spans="2:34" hidden="1" x14ac:dyDescent="0.35">
      <c r="B676" s="76">
        <v>46231</v>
      </c>
      <c r="C676" s="19" t="s">
        <v>342</v>
      </c>
      <c r="D676" s="19" t="s">
        <v>126</v>
      </c>
      <c r="E676" s="19" t="s">
        <v>927</v>
      </c>
      <c r="F676" s="19" t="s">
        <v>121</v>
      </c>
      <c r="G676" s="19" t="s">
        <v>928</v>
      </c>
      <c r="H676" s="76">
        <v>46225</v>
      </c>
      <c r="I676" s="19" t="s">
        <v>105</v>
      </c>
      <c r="J676" s="19" t="s">
        <v>1579</v>
      </c>
      <c r="K676" s="19" t="s">
        <v>1127</v>
      </c>
      <c r="L676" s="19" t="s">
        <v>1389</v>
      </c>
      <c r="M676" s="19" t="s">
        <v>1920</v>
      </c>
      <c r="N676" s="19">
        <v>2</v>
      </c>
      <c r="O676" s="19">
        <v>2500</v>
      </c>
      <c r="P676" s="19" t="s">
        <v>1920</v>
      </c>
      <c r="Q676" s="19">
        <v>3068</v>
      </c>
      <c r="R676" s="19">
        <v>0</v>
      </c>
      <c r="S676" s="19">
        <v>0</v>
      </c>
      <c r="T676" s="19">
        <v>0</v>
      </c>
      <c r="U676" s="19">
        <v>0</v>
      </c>
      <c r="V676" s="19">
        <v>18</v>
      </c>
      <c r="W676" s="19">
        <v>450</v>
      </c>
      <c r="X676" s="19">
        <v>18</v>
      </c>
      <c r="Y676" s="19">
        <v>468</v>
      </c>
      <c r="Z676" s="19">
        <v>0</v>
      </c>
      <c r="AA676" s="19" t="s">
        <v>343</v>
      </c>
      <c r="AB676" s="19" t="s">
        <v>1555</v>
      </c>
      <c r="AC676" s="19">
        <v>84463090</v>
      </c>
      <c r="AD676" s="19" t="s">
        <v>1092</v>
      </c>
      <c r="AE676" s="19">
        <v>1</v>
      </c>
      <c r="AF676" s="19">
        <v>0</v>
      </c>
      <c r="AG676" s="19" t="s">
        <v>1093</v>
      </c>
      <c r="AH676" s="19" t="s">
        <v>2319</v>
      </c>
    </row>
    <row r="677" spans="2:34" hidden="1" x14ac:dyDescent="0.35">
      <c r="B677" s="76">
        <v>46231</v>
      </c>
      <c r="C677" s="19" t="s">
        <v>342</v>
      </c>
      <c r="D677" s="19" t="s">
        <v>126</v>
      </c>
      <c r="E677" s="19" t="s">
        <v>929</v>
      </c>
      <c r="F677" s="19" t="s">
        <v>121</v>
      </c>
      <c r="G677" s="19" t="s">
        <v>930</v>
      </c>
      <c r="H677" s="76">
        <v>46225</v>
      </c>
      <c r="I677" s="19" t="s">
        <v>105</v>
      </c>
      <c r="J677" s="19" t="s">
        <v>1579</v>
      </c>
      <c r="K677" s="19" t="s">
        <v>1127</v>
      </c>
      <c r="L677" s="19" t="s">
        <v>1389</v>
      </c>
      <c r="M677" s="19" t="s">
        <v>1921</v>
      </c>
      <c r="N677" s="19">
        <v>500</v>
      </c>
      <c r="O677" s="19">
        <v>1000</v>
      </c>
      <c r="P677" s="19" t="s">
        <v>1921</v>
      </c>
      <c r="Q677" s="19">
        <v>1239</v>
      </c>
      <c r="R677" s="19">
        <v>0</v>
      </c>
      <c r="S677" s="19">
        <v>0</v>
      </c>
      <c r="T677" s="19">
        <v>0</v>
      </c>
      <c r="U677" s="19">
        <v>0</v>
      </c>
      <c r="V677" s="19">
        <v>18</v>
      </c>
      <c r="W677" s="19">
        <v>180</v>
      </c>
      <c r="X677" s="19">
        <v>9</v>
      </c>
      <c r="Y677" s="19">
        <v>189</v>
      </c>
      <c r="Z677" s="19">
        <v>0</v>
      </c>
      <c r="AA677" s="19" t="s">
        <v>343</v>
      </c>
      <c r="AB677" s="19" t="s">
        <v>1555</v>
      </c>
      <c r="AC677" s="19">
        <v>844849</v>
      </c>
      <c r="AD677" s="19" t="s">
        <v>1092</v>
      </c>
      <c r="AE677" s="19">
        <v>1</v>
      </c>
      <c r="AF677" s="19">
        <v>0</v>
      </c>
      <c r="AG677" s="19" t="s">
        <v>1093</v>
      </c>
      <c r="AH677" s="19" t="s">
        <v>2319</v>
      </c>
    </row>
    <row r="678" spans="2:34" hidden="1" x14ac:dyDescent="0.35">
      <c r="B678" s="76">
        <v>46231</v>
      </c>
      <c r="C678" s="19" t="s">
        <v>308</v>
      </c>
      <c r="D678" s="19" t="s">
        <v>126</v>
      </c>
      <c r="E678" s="19" t="s">
        <v>910</v>
      </c>
      <c r="F678" s="19" t="s">
        <v>118</v>
      </c>
      <c r="G678" s="19">
        <v>1195</v>
      </c>
      <c r="H678" s="76">
        <v>46227</v>
      </c>
      <c r="I678" s="19" t="s">
        <v>105</v>
      </c>
      <c r="J678" s="19" t="s">
        <v>1586</v>
      </c>
      <c r="K678" s="19" t="s">
        <v>1127</v>
      </c>
      <c r="L678" s="19" t="s">
        <v>1389</v>
      </c>
      <c r="M678" s="19" t="s">
        <v>1922</v>
      </c>
      <c r="N678" s="19">
        <v>2</v>
      </c>
      <c r="O678" s="19">
        <v>280.32</v>
      </c>
      <c r="P678" s="19" t="s">
        <v>1922</v>
      </c>
      <c r="Q678" s="19">
        <v>943</v>
      </c>
      <c r="R678" s="19">
        <v>9</v>
      </c>
      <c r="S678" s="19">
        <v>25.23</v>
      </c>
      <c r="T678" s="19">
        <v>9</v>
      </c>
      <c r="U678" s="19">
        <v>25.23</v>
      </c>
      <c r="V678" s="19">
        <v>0</v>
      </c>
      <c r="W678" s="19">
        <v>0</v>
      </c>
      <c r="X678" s="19">
        <v>0</v>
      </c>
      <c r="Y678" s="19">
        <v>50.46</v>
      </c>
      <c r="Z678" s="19">
        <v>0</v>
      </c>
      <c r="AA678" s="19" t="s">
        <v>309</v>
      </c>
      <c r="AB678" s="19" t="s">
        <v>1555</v>
      </c>
      <c r="AC678" s="19">
        <v>82079090</v>
      </c>
      <c r="AD678" s="19" t="s">
        <v>1092</v>
      </c>
      <c r="AE678" s="19">
        <v>1</v>
      </c>
      <c r="AF678" s="19">
        <v>0</v>
      </c>
      <c r="AG678" s="19" t="s">
        <v>1093</v>
      </c>
      <c r="AH678" s="19" t="s">
        <v>2319</v>
      </c>
    </row>
    <row r="679" spans="2:34" hidden="1" x14ac:dyDescent="0.35">
      <c r="B679" s="76">
        <v>46231</v>
      </c>
      <c r="C679" s="19" t="s">
        <v>308</v>
      </c>
      <c r="D679" s="19" t="s">
        <v>126</v>
      </c>
      <c r="E679" s="19" t="s">
        <v>910</v>
      </c>
      <c r="F679" s="19" t="s">
        <v>118</v>
      </c>
      <c r="G679" s="19">
        <v>1195</v>
      </c>
      <c r="H679" s="76">
        <v>46227</v>
      </c>
      <c r="I679" s="19" t="s">
        <v>105</v>
      </c>
      <c r="J679" s="19" t="s">
        <v>1586</v>
      </c>
      <c r="K679" s="19" t="s">
        <v>1127</v>
      </c>
      <c r="L679" s="19" t="s">
        <v>1389</v>
      </c>
      <c r="M679" s="19" t="s">
        <v>1923</v>
      </c>
      <c r="N679" s="19">
        <v>100</v>
      </c>
      <c r="O679" s="19">
        <v>366.24</v>
      </c>
      <c r="P679" s="19" t="s">
        <v>1923</v>
      </c>
      <c r="Q679" s="19">
        <v>0</v>
      </c>
      <c r="R679" s="19">
        <v>9</v>
      </c>
      <c r="S679" s="19">
        <v>32.96</v>
      </c>
      <c r="T679" s="19">
        <v>9</v>
      </c>
      <c r="U679" s="19">
        <v>32.96</v>
      </c>
      <c r="V679" s="19">
        <v>0</v>
      </c>
      <c r="W679" s="19">
        <v>0</v>
      </c>
      <c r="X679" s="19">
        <v>0</v>
      </c>
      <c r="Y679" s="19">
        <v>65.92</v>
      </c>
      <c r="Z679" s="19">
        <v>0</v>
      </c>
      <c r="AA679" s="19" t="s">
        <v>309</v>
      </c>
      <c r="AB679" s="19" t="s">
        <v>1572</v>
      </c>
      <c r="AC679" s="19">
        <v>731810</v>
      </c>
      <c r="AD679" s="19" t="s">
        <v>1092</v>
      </c>
      <c r="AE679" s="19">
        <v>1</v>
      </c>
      <c r="AF679" s="19">
        <v>0</v>
      </c>
      <c r="AG679" s="19" t="s">
        <v>1093</v>
      </c>
      <c r="AH679" s="19" t="s">
        <v>2319</v>
      </c>
    </row>
    <row r="680" spans="2:34" hidden="1" x14ac:dyDescent="0.35">
      <c r="B680" s="76">
        <v>46231</v>
      </c>
      <c r="C680" s="19" t="s">
        <v>308</v>
      </c>
      <c r="D680" s="19" t="s">
        <v>126</v>
      </c>
      <c r="E680" s="19" t="s">
        <v>910</v>
      </c>
      <c r="F680" s="19" t="s">
        <v>118</v>
      </c>
      <c r="G680" s="19">
        <v>1195</v>
      </c>
      <c r="H680" s="76">
        <v>46227</v>
      </c>
      <c r="I680" s="19" t="s">
        <v>105</v>
      </c>
      <c r="J680" s="19" t="s">
        <v>1586</v>
      </c>
      <c r="K680" s="19" t="s">
        <v>1127</v>
      </c>
      <c r="L680" s="19" t="s">
        <v>1389</v>
      </c>
      <c r="M680" s="19" t="s">
        <v>1924</v>
      </c>
      <c r="N680" s="19">
        <v>100</v>
      </c>
      <c r="O680" s="19">
        <v>100</v>
      </c>
      <c r="P680" s="19" t="s">
        <v>1924</v>
      </c>
      <c r="Q680" s="19">
        <v>0</v>
      </c>
      <c r="R680" s="19">
        <v>9</v>
      </c>
      <c r="S680" s="19">
        <v>9</v>
      </c>
      <c r="T680" s="19">
        <v>9</v>
      </c>
      <c r="U680" s="19">
        <v>9</v>
      </c>
      <c r="V680" s="19">
        <v>0</v>
      </c>
      <c r="W680" s="19">
        <v>0</v>
      </c>
      <c r="X680" s="19">
        <v>0</v>
      </c>
      <c r="Y680" s="19">
        <v>18</v>
      </c>
      <c r="Z680" s="19">
        <v>0</v>
      </c>
      <c r="AA680" s="19" t="s">
        <v>309</v>
      </c>
      <c r="AB680" s="19" t="s">
        <v>1091</v>
      </c>
      <c r="AC680" s="19">
        <v>73181600</v>
      </c>
      <c r="AD680" s="19" t="s">
        <v>1092</v>
      </c>
      <c r="AE680" s="19">
        <v>1</v>
      </c>
      <c r="AF680" s="19">
        <v>0</v>
      </c>
      <c r="AG680" s="19" t="s">
        <v>1093</v>
      </c>
      <c r="AH680" s="19" t="s">
        <v>2319</v>
      </c>
    </row>
    <row r="681" spans="2:34" hidden="1" x14ac:dyDescent="0.35">
      <c r="B681" s="76">
        <v>46231</v>
      </c>
      <c r="C681" s="19" t="s">
        <v>308</v>
      </c>
      <c r="D681" s="19" t="s">
        <v>126</v>
      </c>
      <c r="E681" s="19" t="s">
        <v>910</v>
      </c>
      <c r="F681" s="19" t="s">
        <v>118</v>
      </c>
      <c r="G681" s="19">
        <v>1195</v>
      </c>
      <c r="H681" s="76">
        <v>46227</v>
      </c>
      <c r="I681" s="19" t="s">
        <v>105</v>
      </c>
      <c r="J681" s="19" t="s">
        <v>1586</v>
      </c>
      <c r="K681" s="19" t="s">
        <v>1127</v>
      </c>
      <c r="L681" s="19" t="s">
        <v>1389</v>
      </c>
      <c r="M681" s="19" t="s">
        <v>1661</v>
      </c>
      <c r="N681" s="19">
        <v>100</v>
      </c>
      <c r="O681" s="19">
        <v>53</v>
      </c>
      <c r="P681" s="19" t="s">
        <v>1661</v>
      </c>
      <c r="Q681" s="19">
        <v>0</v>
      </c>
      <c r="R681" s="19">
        <v>9</v>
      </c>
      <c r="S681" s="19">
        <v>4.7699999999999996</v>
      </c>
      <c r="T681" s="19">
        <v>9</v>
      </c>
      <c r="U681" s="19">
        <v>4.7699999999999996</v>
      </c>
      <c r="V681" s="19">
        <v>0</v>
      </c>
      <c r="W681" s="19">
        <v>0</v>
      </c>
      <c r="X681" s="19">
        <v>0</v>
      </c>
      <c r="Y681" s="19">
        <v>9.5399999999999991</v>
      </c>
      <c r="Z681" s="19">
        <v>0</v>
      </c>
      <c r="AA681" s="19" t="s">
        <v>309</v>
      </c>
      <c r="AB681" s="19" t="s">
        <v>1091</v>
      </c>
      <c r="AC681" s="19">
        <v>84529000</v>
      </c>
      <c r="AD681" s="19" t="s">
        <v>1092</v>
      </c>
      <c r="AE681" s="19">
        <v>1</v>
      </c>
      <c r="AF681" s="19">
        <v>0</v>
      </c>
      <c r="AG681" s="19" t="s">
        <v>1093</v>
      </c>
      <c r="AH681" s="19" t="s">
        <v>2319</v>
      </c>
    </row>
    <row r="682" spans="2:34" x14ac:dyDescent="0.35">
      <c r="B682" s="76">
        <v>46231</v>
      </c>
      <c r="C682" s="19" t="s">
        <v>944</v>
      </c>
      <c r="D682" s="19" t="s">
        <v>173</v>
      </c>
      <c r="E682" s="19" t="s">
        <v>942</v>
      </c>
      <c r="F682" s="19" t="s">
        <v>123</v>
      </c>
      <c r="G682" s="19" t="s">
        <v>943</v>
      </c>
      <c r="H682" s="76">
        <v>46230</v>
      </c>
      <c r="I682" s="19" t="s">
        <v>36</v>
      </c>
      <c r="J682" s="19" t="s">
        <v>1087</v>
      </c>
      <c r="K682" s="19" t="s">
        <v>46</v>
      </c>
      <c r="L682" s="19" t="s">
        <v>1240</v>
      </c>
      <c r="M682" s="19" t="s">
        <v>1241</v>
      </c>
      <c r="N682" s="19">
        <v>1676.08</v>
      </c>
      <c r="O682" s="19">
        <v>296666.15999999997</v>
      </c>
      <c r="P682" s="19" t="s">
        <v>1241</v>
      </c>
      <c r="Q682" s="19">
        <v>311499.46000000002</v>
      </c>
      <c r="R682" s="19">
        <v>2.5</v>
      </c>
      <c r="S682" s="19">
        <v>7416.65</v>
      </c>
      <c r="T682" s="19">
        <v>2.5</v>
      </c>
      <c r="U682" s="19">
        <v>7416.65</v>
      </c>
      <c r="V682" s="19">
        <v>0</v>
      </c>
      <c r="W682" s="19">
        <v>0</v>
      </c>
      <c r="X682" s="19">
        <v>0</v>
      </c>
      <c r="Y682" s="19">
        <v>14833.3</v>
      </c>
      <c r="Z682" s="19">
        <v>0</v>
      </c>
      <c r="AA682" s="19" t="s">
        <v>945</v>
      </c>
      <c r="AB682" s="19" t="s">
        <v>1289</v>
      </c>
      <c r="AC682" s="19">
        <v>540263</v>
      </c>
      <c r="AD682" s="19" t="s">
        <v>1092</v>
      </c>
      <c r="AE682" s="19">
        <v>1</v>
      </c>
      <c r="AF682" s="19">
        <v>1676.08</v>
      </c>
      <c r="AG682" s="19" t="s">
        <v>1093</v>
      </c>
      <c r="AH682" s="19" t="s">
        <v>46</v>
      </c>
    </row>
    <row r="683" spans="2:34" hidden="1" x14ac:dyDescent="0.35">
      <c r="B683" s="76">
        <v>46231</v>
      </c>
      <c r="C683" s="19" t="s">
        <v>621</v>
      </c>
      <c r="D683" s="19" t="s">
        <v>126</v>
      </c>
      <c r="E683" s="19" t="s">
        <v>886</v>
      </c>
      <c r="F683" s="19" t="s">
        <v>118</v>
      </c>
      <c r="G683" s="19" t="s">
        <v>887</v>
      </c>
      <c r="H683" s="76">
        <v>46226</v>
      </c>
      <c r="I683" s="19" t="s">
        <v>105</v>
      </c>
      <c r="J683" s="19" t="s">
        <v>1684</v>
      </c>
      <c r="K683" s="19" t="s">
        <v>1127</v>
      </c>
      <c r="L683" s="19" t="s">
        <v>1389</v>
      </c>
      <c r="M683" s="19" t="s">
        <v>1925</v>
      </c>
      <c r="N683" s="19">
        <v>40</v>
      </c>
      <c r="O683" s="19">
        <v>5253.6</v>
      </c>
      <c r="P683" s="19" t="s">
        <v>1925</v>
      </c>
      <c r="Q683" s="19">
        <v>9113</v>
      </c>
      <c r="R683" s="19">
        <v>9</v>
      </c>
      <c r="S683" s="19">
        <v>472.82</v>
      </c>
      <c r="T683" s="19">
        <v>9</v>
      </c>
      <c r="U683" s="19">
        <v>472.82</v>
      </c>
      <c r="V683" s="19">
        <v>0</v>
      </c>
      <c r="W683" s="19">
        <v>0</v>
      </c>
      <c r="X683" s="19">
        <v>0</v>
      </c>
      <c r="Y683" s="19">
        <v>945.64</v>
      </c>
      <c r="Z683" s="19">
        <v>0</v>
      </c>
      <c r="AA683" s="19" t="s">
        <v>622</v>
      </c>
      <c r="AB683" s="19" t="s">
        <v>1555</v>
      </c>
      <c r="AC683" s="19">
        <v>84822090</v>
      </c>
      <c r="AD683" s="19" t="s">
        <v>1092</v>
      </c>
      <c r="AE683" s="19">
        <v>1</v>
      </c>
      <c r="AF683" s="19">
        <v>0</v>
      </c>
      <c r="AG683" s="19" t="s">
        <v>1093</v>
      </c>
      <c r="AH683" s="19" t="s">
        <v>2319</v>
      </c>
    </row>
    <row r="684" spans="2:34" hidden="1" x14ac:dyDescent="0.35">
      <c r="B684" s="76">
        <v>46231</v>
      </c>
      <c r="C684" s="19" t="s">
        <v>621</v>
      </c>
      <c r="D684" s="19" t="s">
        <v>126</v>
      </c>
      <c r="E684" s="19" t="s">
        <v>886</v>
      </c>
      <c r="F684" s="19" t="s">
        <v>118</v>
      </c>
      <c r="G684" s="19" t="s">
        <v>887</v>
      </c>
      <c r="H684" s="76">
        <v>46226</v>
      </c>
      <c r="I684" s="19" t="s">
        <v>105</v>
      </c>
      <c r="J684" s="19" t="s">
        <v>1684</v>
      </c>
      <c r="K684" s="19" t="s">
        <v>1127</v>
      </c>
      <c r="L684" s="19" t="s">
        <v>1389</v>
      </c>
      <c r="M684" s="19" t="s">
        <v>1809</v>
      </c>
      <c r="N684" s="19">
        <v>8</v>
      </c>
      <c r="O684" s="19">
        <v>2278.88</v>
      </c>
      <c r="P684" s="19" t="s">
        <v>1809</v>
      </c>
      <c r="Q684" s="19">
        <v>0</v>
      </c>
      <c r="R684" s="19">
        <v>9</v>
      </c>
      <c r="S684" s="19">
        <v>222.2</v>
      </c>
      <c r="T684" s="19">
        <v>9</v>
      </c>
      <c r="U684" s="19">
        <v>222.2</v>
      </c>
      <c r="V684" s="19">
        <v>0</v>
      </c>
      <c r="W684" s="19">
        <v>0</v>
      </c>
      <c r="X684" s="19">
        <v>0</v>
      </c>
      <c r="Y684" s="19">
        <v>444.4</v>
      </c>
      <c r="Z684" s="19">
        <v>0</v>
      </c>
      <c r="AA684" s="19" t="s">
        <v>622</v>
      </c>
      <c r="AB684" s="19" t="s">
        <v>1572</v>
      </c>
      <c r="AC684" s="19">
        <v>84821011</v>
      </c>
      <c r="AD684" s="19" t="s">
        <v>1092</v>
      </c>
      <c r="AE684" s="19">
        <v>1</v>
      </c>
      <c r="AF684" s="19">
        <v>0</v>
      </c>
      <c r="AG684" s="19" t="s">
        <v>1093</v>
      </c>
      <c r="AH684" s="19" t="s">
        <v>2319</v>
      </c>
    </row>
    <row r="685" spans="2:34" hidden="1" x14ac:dyDescent="0.35">
      <c r="B685" s="76">
        <v>46231</v>
      </c>
      <c r="C685" s="19" t="s">
        <v>138</v>
      </c>
      <c r="D685" s="19" t="s">
        <v>7</v>
      </c>
      <c r="E685" s="19" t="s">
        <v>862</v>
      </c>
      <c r="F685" s="19" t="s">
        <v>119</v>
      </c>
      <c r="G685" s="19" t="s">
        <v>863</v>
      </c>
      <c r="H685" s="76">
        <v>46229</v>
      </c>
      <c r="I685" s="19" t="s">
        <v>105</v>
      </c>
      <c r="J685" s="19" t="s">
        <v>1142</v>
      </c>
      <c r="K685" s="19" t="s">
        <v>1509</v>
      </c>
      <c r="L685" s="19" t="s">
        <v>1509</v>
      </c>
      <c r="M685" s="19" t="s">
        <v>1196</v>
      </c>
      <c r="N685" s="19">
        <v>197</v>
      </c>
      <c r="O685" s="19">
        <v>9456</v>
      </c>
      <c r="P685" s="19" t="s">
        <v>1196</v>
      </c>
      <c r="Q685" s="19">
        <v>11148.62</v>
      </c>
      <c r="R685" s="19">
        <v>9</v>
      </c>
      <c r="S685" s="19">
        <v>851.04</v>
      </c>
      <c r="T685" s="19">
        <v>9</v>
      </c>
      <c r="U685" s="19">
        <v>851.04</v>
      </c>
      <c r="V685" s="19">
        <v>0</v>
      </c>
      <c r="W685" s="19">
        <v>0</v>
      </c>
      <c r="X685" s="19">
        <v>0</v>
      </c>
      <c r="Y685" s="19">
        <v>1702.08</v>
      </c>
      <c r="Z685" s="19">
        <v>0</v>
      </c>
      <c r="AA685" s="19" t="s">
        <v>135</v>
      </c>
      <c r="AB685" s="19" t="s">
        <v>1289</v>
      </c>
      <c r="AC685" s="19">
        <v>73063090</v>
      </c>
      <c r="AD685" s="19" t="s">
        <v>1092</v>
      </c>
      <c r="AE685" s="19">
        <v>1</v>
      </c>
      <c r="AF685" s="19">
        <v>197</v>
      </c>
      <c r="AG685" s="19" t="s">
        <v>1093</v>
      </c>
      <c r="AH685" s="19" t="s">
        <v>2319</v>
      </c>
    </row>
    <row r="686" spans="2:34" hidden="1" x14ac:dyDescent="0.35">
      <c r="B686" s="76">
        <v>46231</v>
      </c>
      <c r="C686" s="19" t="s">
        <v>138</v>
      </c>
      <c r="D686" s="19" t="s">
        <v>7</v>
      </c>
      <c r="E686" s="19" t="s">
        <v>874</v>
      </c>
      <c r="F686" s="19" t="s">
        <v>119</v>
      </c>
      <c r="G686" s="19" t="s">
        <v>875</v>
      </c>
      <c r="H686" s="76">
        <v>46230</v>
      </c>
      <c r="I686" s="19" t="s">
        <v>105</v>
      </c>
      <c r="J686" s="19" t="s">
        <v>1142</v>
      </c>
      <c r="K686" s="19" t="s">
        <v>1509</v>
      </c>
      <c r="L686" s="19" t="s">
        <v>1509</v>
      </c>
      <c r="M686" s="19" t="s">
        <v>1196</v>
      </c>
      <c r="N686" s="19">
        <v>157</v>
      </c>
      <c r="O686" s="19">
        <v>7536</v>
      </c>
      <c r="P686" s="19" t="s">
        <v>1196</v>
      </c>
      <c r="Q686" s="19">
        <v>8884.94</v>
      </c>
      <c r="R686" s="19">
        <v>9</v>
      </c>
      <c r="S686" s="19">
        <v>678.24</v>
      </c>
      <c r="T686" s="19">
        <v>9</v>
      </c>
      <c r="U686" s="19">
        <v>678.24</v>
      </c>
      <c r="V686" s="19">
        <v>0</v>
      </c>
      <c r="W686" s="19">
        <v>0</v>
      </c>
      <c r="X686" s="19">
        <v>0</v>
      </c>
      <c r="Y686" s="19">
        <v>1356.48</v>
      </c>
      <c r="Z686" s="19">
        <v>0</v>
      </c>
      <c r="AA686" s="19" t="s">
        <v>135</v>
      </c>
      <c r="AB686" s="19" t="s">
        <v>1289</v>
      </c>
      <c r="AC686" s="19">
        <v>73063090</v>
      </c>
      <c r="AD686" s="19" t="s">
        <v>1092</v>
      </c>
      <c r="AE686" s="19">
        <v>1</v>
      </c>
      <c r="AF686" s="19">
        <v>0</v>
      </c>
      <c r="AG686" s="19" t="s">
        <v>1093</v>
      </c>
      <c r="AH686" s="19" t="s">
        <v>2319</v>
      </c>
    </row>
    <row r="687" spans="2:34" x14ac:dyDescent="0.35">
      <c r="B687" s="76">
        <v>46231</v>
      </c>
      <c r="C687" s="19" t="s">
        <v>138</v>
      </c>
      <c r="D687" s="19" t="s">
        <v>173</v>
      </c>
      <c r="E687" s="19" t="s">
        <v>931</v>
      </c>
      <c r="F687" s="19" t="s">
        <v>123</v>
      </c>
      <c r="G687" s="19" t="s">
        <v>932</v>
      </c>
      <c r="H687" s="76">
        <v>46231</v>
      </c>
      <c r="I687" s="19" t="s">
        <v>49</v>
      </c>
      <c r="J687" s="19" t="s">
        <v>50</v>
      </c>
      <c r="K687" s="19" t="s">
        <v>50</v>
      </c>
      <c r="L687" s="19" t="s">
        <v>1095</v>
      </c>
      <c r="M687" s="19" t="s">
        <v>1096</v>
      </c>
      <c r="N687" s="19">
        <v>21689</v>
      </c>
      <c r="O687" s="19">
        <v>4590476.8499999996</v>
      </c>
      <c r="P687" s="19" t="s">
        <v>1096</v>
      </c>
      <c r="Q687" s="19">
        <v>4590476.8499999996</v>
      </c>
      <c r="R687" s="19">
        <v>0.05</v>
      </c>
      <c r="S687" s="19">
        <v>2295.2399999999998</v>
      </c>
      <c r="T687" s="19">
        <v>0.05</v>
      </c>
      <c r="U687" s="19">
        <v>2295.2399999999998</v>
      </c>
      <c r="V687" s="19">
        <v>0</v>
      </c>
      <c r="W687" s="19">
        <v>0</v>
      </c>
      <c r="X687" s="19">
        <v>0</v>
      </c>
      <c r="Y687" s="19">
        <v>4590.4799999999996</v>
      </c>
      <c r="Z687" s="19">
        <v>0</v>
      </c>
      <c r="AA687" s="19" t="s">
        <v>135</v>
      </c>
      <c r="AB687" s="19" t="s">
        <v>1289</v>
      </c>
      <c r="AC687" s="19">
        <v>63053200</v>
      </c>
      <c r="AD687" s="19" t="s">
        <v>1092</v>
      </c>
      <c r="AE687" s="19">
        <v>1</v>
      </c>
      <c r="AF687" s="19">
        <v>21689</v>
      </c>
      <c r="AG687" s="19" t="s">
        <v>1093</v>
      </c>
      <c r="AH687" s="19" t="s">
        <v>50</v>
      </c>
    </row>
    <row r="688" spans="2:34" x14ac:dyDescent="0.35">
      <c r="B688" s="76">
        <v>46231</v>
      </c>
      <c r="C688" s="19" t="s">
        <v>138</v>
      </c>
      <c r="D688" s="19" t="s">
        <v>173</v>
      </c>
      <c r="E688" s="19" t="s">
        <v>940</v>
      </c>
      <c r="F688" s="19" t="s">
        <v>123</v>
      </c>
      <c r="G688" s="19" t="s">
        <v>941</v>
      </c>
      <c r="H688" s="76">
        <v>46229</v>
      </c>
      <c r="I688" s="19" t="s">
        <v>36</v>
      </c>
      <c r="J688" s="19" t="s">
        <v>1117</v>
      </c>
      <c r="K688" s="19" t="s">
        <v>42</v>
      </c>
      <c r="L688" s="19" t="s">
        <v>1242</v>
      </c>
      <c r="M688" s="19" t="s">
        <v>1154</v>
      </c>
      <c r="N688" s="19">
        <v>1389</v>
      </c>
      <c r="O688" s="19">
        <v>210419.61</v>
      </c>
      <c r="P688" s="19" t="s">
        <v>1154</v>
      </c>
      <c r="Q688" s="19">
        <v>1787150.77</v>
      </c>
      <c r="R688" s="19">
        <v>9</v>
      </c>
      <c r="S688" s="19">
        <v>18937.759999999998</v>
      </c>
      <c r="T688" s="19">
        <v>9</v>
      </c>
      <c r="U688" s="19">
        <v>18937.759999999998</v>
      </c>
      <c r="V688" s="19">
        <v>0</v>
      </c>
      <c r="W688" s="19">
        <v>0</v>
      </c>
      <c r="X688" s="19">
        <v>0</v>
      </c>
      <c r="Y688" s="19">
        <v>37875.519999999997</v>
      </c>
      <c r="Z688" s="19">
        <v>0</v>
      </c>
      <c r="AA688" s="19" t="s">
        <v>135</v>
      </c>
      <c r="AB688" s="19" t="s">
        <v>1289</v>
      </c>
      <c r="AC688" s="19">
        <v>63053300</v>
      </c>
      <c r="AD688" s="19" t="s">
        <v>1092</v>
      </c>
      <c r="AE688" s="19">
        <v>1</v>
      </c>
      <c r="AF688" s="19">
        <v>1389</v>
      </c>
      <c r="AG688" s="19" t="s">
        <v>1093</v>
      </c>
      <c r="AH688" s="19" t="s">
        <v>42</v>
      </c>
    </row>
    <row r="689" spans="2:34" x14ac:dyDescent="0.35">
      <c r="B689" s="76">
        <v>46231</v>
      </c>
      <c r="C689" s="19" t="s">
        <v>138</v>
      </c>
      <c r="D689" s="19" t="s">
        <v>173</v>
      </c>
      <c r="E689" s="19" t="s">
        <v>940</v>
      </c>
      <c r="F689" s="19" t="s">
        <v>123</v>
      </c>
      <c r="G689" s="19" t="s">
        <v>941</v>
      </c>
      <c r="H689" s="76">
        <v>46229</v>
      </c>
      <c r="I689" s="19" t="s">
        <v>36</v>
      </c>
      <c r="J689" s="19" t="s">
        <v>1117</v>
      </c>
      <c r="K689" s="19" t="s">
        <v>42</v>
      </c>
      <c r="L689" s="19" t="s">
        <v>1242</v>
      </c>
      <c r="M689" s="19" t="s">
        <v>1154</v>
      </c>
      <c r="N689" s="19">
        <v>1967</v>
      </c>
      <c r="O689" s="19">
        <v>303881.83</v>
      </c>
      <c r="P689" s="19" t="s">
        <v>1154</v>
      </c>
      <c r="Q689" s="19">
        <v>0</v>
      </c>
      <c r="R689" s="19">
        <v>9</v>
      </c>
      <c r="S689" s="19">
        <v>27349.360000000001</v>
      </c>
      <c r="T689" s="19">
        <v>9</v>
      </c>
      <c r="U689" s="19">
        <v>27349.360000000001</v>
      </c>
      <c r="V689" s="19">
        <v>0</v>
      </c>
      <c r="W689" s="19">
        <v>0</v>
      </c>
      <c r="X689" s="19">
        <v>0</v>
      </c>
      <c r="Y689" s="19">
        <v>54698.720000000001</v>
      </c>
      <c r="Z689" s="19">
        <v>0</v>
      </c>
      <c r="AA689" s="19" t="s">
        <v>135</v>
      </c>
      <c r="AB689" s="19" t="s">
        <v>1289</v>
      </c>
      <c r="AC689" s="19">
        <v>63053300</v>
      </c>
      <c r="AD689" s="19" t="s">
        <v>1092</v>
      </c>
      <c r="AE689" s="19">
        <v>1</v>
      </c>
      <c r="AF689" s="19">
        <v>1967</v>
      </c>
      <c r="AG689" s="19" t="s">
        <v>1093</v>
      </c>
      <c r="AH689" s="19" t="s">
        <v>42</v>
      </c>
    </row>
    <row r="690" spans="2:34" x14ac:dyDescent="0.35">
      <c r="B690" s="76">
        <v>46231</v>
      </c>
      <c r="C690" s="19" t="s">
        <v>138</v>
      </c>
      <c r="D690" s="19" t="s">
        <v>173</v>
      </c>
      <c r="E690" s="19" t="s">
        <v>940</v>
      </c>
      <c r="F690" s="19" t="s">
        <v>123</v>
      </c>
      <c r="G690" s="19" t="s">
        <v>941</v>
      </c>
      <c r="H690" s="76">
        <v>46229</v>
      </c>
      <c r="I690" s="19" t="s">
        <v>36</v>
      </c>
      <c r="J690" s="19" t="s">
        <v>1117</v>
      </c>
      <c r="K690" s="19" t="s">
        <v>42</v>
      </c>
      <c r="L690" s="19" t="s">
        <v>1242</v>
      </c>
      <c r="M690" s="19" t="s">
        <v>1154</v>
      </c>
      <c r="N690" s="19">
        <v>914</v>
      </c>
      <c r="O690" s="19">
        <v>135719.85999999999</v>
      </c>
      <c r="P690" s="19" t="s">
        <v>1154</v>
      </c>
      <c r="Q690" s="19">
        <v>0</v>
      </c>
      <c r="R690" s="19">
        <v>9</v>
      </c>
      <c r="S690" s="19">
        <v>12214.79</v>
      </c>
      <c r="T690" s="19">
        <v>9</v>
      </c>
      <c r="U690" s="19">
        <v>12214.79</v>
      </c>
      <c r="V690" s="19">
        <v>0</v>
      </c>
      <c r="W690" s="19">
        <v>0</v>
      </c>
      <c r="X690" s="19">
        <v>0</v>
      </c>
      <c r="Y690" s="19">
        <v>24429.58</v>
      </c>
      <c r="Z690" s="19">
        <v>0</v>
      </c>
      <c r="AA690" s="19" t="s">
        <v>135</v>
      </c>
      <c r="AB690" s="19" t="s">
        <v>1289</v>
      </c>
      <c r="AC690" s="19">
        <v>63053300</v>
      </c>
      <c r="AD690" s="19" t="s">
        <v>1092</v>
      </c>
      <c r="AE690" s="19">
        <v>1</v>
      </c>
      <c r="AF690" s="19">
        <v>914</v>
      </c>
      <c r="AG690" s="19" t="s">
        <v>1093</v>
      </c>
      <c r="AH690" s="19" t="s">
        <v>42</v>
      </c>
    </row>
    <row r="691" spans="2:34" x14ac:dyDescent="0.35">
      <c r="B691" s="76">
        <v>46231</v>
      </c>
      <c r="C691" s="19" t="s">
        <v>138</v>
      </c>
      <c r="D691" s="19" t="s">
        <v>173</v>
      </c>
      <c r="E691" s="19" t="s">
        <v>940</v>
      </c>
      <c r="F691" s="19" t="s">
        <v>123</v>
      </c>
      <c r="G691" s="19" t="s">
        <v>941</v>
      </c>
      <c r="H691" s="76">
        <v>46229</v>
      </c>
      <c r="I691" s="19" t="s">
        <v>36</v>
      </c>
      <c r="J691" s="19" t="s">
        <v>1087</v>
      </c>
      <c r="K691" s="19" t="s">
        <v>46</v>
      </c>
      <c r="L691" s="19" t="s">
        <v>1213</v>
      </c>
      <c r="M691" s="19" t="s">
        <v>1782</v>
      </c>
      <c r="N691" s="19">
        <v>1828.15</v>
      </c>
      <c r="O691" s="19">
        <v>286087.19349999999</v>
      </c>
      <c r="P691" s="19" t="s">
        <v>1782</v>
      </c>
      <c r="Q691" s="19">
        <v>0</v>
      </c>
      <c r="R691" s="19">
        <v>2.5</v>
      </c>
      <c r="S691" s="19">
        <v>7152.18</v>
      </c>
      <c r="T691" s="19">
        <v>2.5</v>
      </c>
      <c r="U691" s="19">
        <v>7152.18</v>
      </c>
      <c r="V691" s="19">
        <v>0</v>
      </c>
      <c r="W691" s="19">
        <v>0</v>
      </c>
      <c r="X691" s="19">
        <v>0</v>
      </c>
      <c r="Y691" s="19">
        <v>14304.36</v>
      </c>
      <c r="Z691" s="19">
        <v>0</v>
      </c>
      <c r="AA691" s="19" t="s">
        <v>135</v>
      </c>
      <c r="AB691" s="19" t="s">
        <v>1091</v>
      </c>
      <c r="AC691" s="19">
        <v>54026930</v>
      </c>
      <c r="AD691" s="19" t="s">
        <v>1092</v>
      </c>
      <c r="AE691" s="19">
        <v>1</v>
      </c>
      <c r="AF691" s="19">
        <v>1828.15</v>
      </c>
      <c r="AG691" s="19" t="s">
        <v>1093</v>
      </c>
      <c r="AH691" s="19" t="s">
        <v>46</v>
      </c>
    </row>
    <row r="692" spans="2:34" x14ac:dyDescent="0.35">
      <c r="B692" s="76">
        <v>46231</v>
      </c>
      <c r="C692" s="19" t="s">
        <v>138</v>
      </c>
      <c r="D692" s="19" t="s">
        <v>173</v>
      </c>
      <c r="E692" s="19" t="s">
        <v>940</v>
      </c>
      <c r="F692" s="19" t="s">
        <v>123</v>
      </c>
      <c r="G692" s="19" t="s">
        <v>941</v>
      </c>
      <c r="H692" s="76">
        <v>46229</v>
      </c>
      <c r="I692" s="19" t="s">
        <v>36</v>
      </c>
      <c r="J692" s="19" t="s">
        <v>1350</v>
      </c>
      <c r="K692" s="19" t="s">
        <v>39</v>
      </c>
      <c r="L692" s="19" t="s">
        <v>1351</v>
      </c>
      <c r="M692" s="19" t="s">
        <v>1352</v>
      </c>
      <c r="N692" s="19">
        <v>571</v>
      </c>
      <c r="O692" s="19">
        <v>135315.57999999999</v>
      </c>
      <c r="P692" s="19" t="s">
        <v>1352</v>
      </c>
      <c r="Q692" s="19">
        <v>0</v>
      </c>
      <c r="R692" s="19">
        <v>9</v>
      </c>
      <c r="S692" s="19">
        <v>12178.4</v>
      </c>
      <c r="T692" s="19">
        <v>9</v>
      </c>
      <c r="U692" s="19">
        <v>12178.4</v>
      </c>
      <c r="V692" s="19">
        <v>0</v>
      </c>
      <c r="W692" s="19">
        <v>0</v>
      </c>
      <c r="X692" s="19">
        <v>0</v>
      </c>
      <c r="Y692" s="19">
        <v>24356.799999999999</v>
      </c>
      <c r="Z692" s="19">
        <v>0</v>
      </c>
      <c r="AA692" s="19" t="s">
        <v>135</v>
      </c>
      <c r="AB692" s="19" t="s">
        <v>1289</v>
      </c>
      <c r="AC692" s="19">
        <v>39200000</v>
      </c>
      <c r="AD692" s="19" t="s">
        <v>1092</v>
      </c>
      <c r="AE692" s="19">
        <v>1</v>
      </c>
      <c r="AF692" s="19">
        <v>571</v>
      </c>
      <c r="AG692" s="19" t="s">
        <v>1093</v>
      </c>
      <c r="AH692" s="19" t="s">
        <v>39</v>
      </c>
    </row>
    <row r="693" spans="2:34" x14ac:dyDescent="0.35">
      <c r="B693" s="76">
        <v>46231</v>
      </c>
      <c r="C693" s="19" t="s">
        <v>138</v>
      </c>
      <c r="D693" s="19" t="s">
        <v>173</v>
      </c>
      <c r="E693" s="19" t="s">
        <v>940</v>
      </c>
      <c r="F693" s="19" t="s">
        <v>123</v>
      </c>
      <c r="G693" s="19" t="s">
        <v>941</v>
      </c>
      <c r="H693" s="76">
        <v>46229</v>
      </c>
      <c r="I693" s="19" t="s">
        <v>36</v>
      </c>
      <c r="J693" s="19" t="s">
        <v>1350</v>
      </c>
      <c r="K693" s="19" t="s">
        <v>39</v>
      </c>
      <c r="L693" s="19" t="s">
        <v>1351</v>
      </c>
      <c r="M693" s="19" t="s">
        <v>1352</v>
      </c>
      <c r="N693" s="19">
        <v>5</v>
      </c>
      <c r="O693" s="19">
        <v>933.9</v>
      </c>
      <c r="P693" s="19" t="s">
        <v>1352</v>
      </c>
      <c r="Q693" s="19">
        <v>0</v>
      </c>
      <c r="R693" s="19">
        <v>9</v>
      </c>
      <c r="S693" s="19">
        <v>84.05</v>
      </c>
      <c r="T693" s="19">
        <v>9</v>
      </c>
      <c r="U693" s="19">
        <v>84.05</v>
      </c>
      <c r="V693" s="19">
        <v>0</v>
      </c>
      <c r="W693" s="19">
        <v>0</v>
      </c>
      <c r="X693" s="19">
        <v>0</v>
      </c>
      <c r="Y693" s="19">
        <v>168.1</v>
      </c>
      <c r="Z693" s="19">
        <v>0</v>
      </c>
      <c r="AA693" s="19" t="s">
        <v>135</v>
      </c>
      <c r="AB693" s="19" t="s">
        <v>1289</v>
      </c>
      <c r="AC693" s="19">
        <v>39200000</v>
      </c>
      <c r="AD693" s="19" t="s">
        <v>1092</v>
      </c>
      <c r="AE693" s="19">
        <v>1</v>
      </c>
      <c r="AF693" s="19">
        <v>5</v>
      </c>
      <c r="AG693" s="19" t="s">
        <v>1093</v>
      </c>
      <c r="AH693" s="19" t="s">
        <v>39</v>
      </c>
    </row>
    <row r="694" spans="2:34" x14ac:dyDescent="0.35">
      <c r="B694" s="76">
        <v>46231</v>
      </c>
      <c r="C694" s="19" t="s">
        <v>138</v>
      </c>
      <c r="D694" s="19" t="s">
        <v>173</v>
      </c>
      <c r="E694" s="19" t="s">
        <v>940</v>
      </c>
      <c r="F694" s="19" t="s">
        <v>123</v>
      </c>
      <c r="G694" s="19" t="s">
        <v>941</v>
      </c>
      <c r="H694" s="76">
        <v>46229</v>
      </c>
      <c r="I694" s="19" t="s">
        <v>36</v>
      </c>
      <c r="J694" s="19" t="s">
        <v>1350</v>
      </c>
      <c r="K694" s="19" t="s">
        <v>39</v>
      </c>
      <c r="L694" s="19" t="s">
        <v>1351</v>
      </c>
      <c r="M694" s="19" t="s">
        <v>1352</v>
      </c>
      <c r="N694" s="19">
        <v>1198</v>
      </c>
      <c r="O694" s="19">
        <v>247722.44</v>
      </c>
      <c r="P694" s="19" t="s">
        <v>1352</v>
      </c>
      <c r="Q694" s="19">
        <v>0</v>
      </c>
      <c r="R694" s="19">
        <v>9</v>
      </c>
      <c r="S694" s="19">
        <v>22295.02</v>
      </c>
      <c r="T694" s="19">
        <v>9</v>
      </c>
      <c r="U694" s="19">
        <v>22295.02</v>
      </c>
      <c r="V694" s="19">
        <v>0</v>
      </c>
      <c r="W694" s="19">
        <v>0</v>
      </c>
      <c r="X694" s="19">
        <v>0</v>
      </c>
      <c r="Y694" s="19">
        <v>44590.04</v>
      </c>
      <c r="Z694" s="19">
        <v>0</v>
      </c>
      <c r="AA694" s="19" t="s">
        <v>135</v>
      </c>
      <c r="AB694" s="19" t="s">
        <v>1289</v>
      </c>
      <c r="AC694" s="19">
        <v>39200000</v>
      </c>
      <c r="AD694" s="19" t="s">
        <v>1092</v>
      </c>
      <c r="AE694" s="19">
        <v>1</v>
      </c>
      <c r="AF694" s="19">
        <v>1198</v>
      </c>
      <c r="AG694" s="19" t="s">
        <v>1093</v>
      </c>
      <c r="AH694" s="19" t="s">
        <v>39</v>
      </c>
    </row>
    <row r="695" spans="2:34" x14ac:dyDescent="0.35">
      <c r="B695" s="76">
        <v>46231</v>
      </c>
      <c r="C695" s="19" t="s">
        <v>138</v>
      </c>
      <c r="D695" s="19" t="s">
        <v>173</v>
      </c>
      <c r="E695" s="19" t="s">
        <v>940</v>
      </c>
      <c r="F695" s="19" t="s">
        <v>123</v>
      </c>
      <c r="G695" s="19" t="s">
        <v>941</v>
      </c>
      <c r="H695" s="76">
        <v>46229</v>
      </c>
      <c r="I695" s="19" t="s">
        <v>36</v>
      </c>
      <c r="J695" s="19" t="s">
        <v>1117</v>
      </c>
      <c r="K695" s="19" t="s">
        <v>44</v>
      </c>
      <c r="L695" s="19" t="s">
        <v>1118</v>
      </c>
      <c r="M695" s="19" t="s">
        <v>1119</v>
      </c>
      <c r="N695" s="19">
        <v>362</v>
      </c>
      <c r="O695" s="19">
        <v>53391.38</v>
      </c>
      <c r="P695" s="19" t="s">
        <v>1119</v>
      </c>
      <c r="Q695" s="19">
        <v>0</v>
      </c>
      <c r="R695" s="19">
        <v>9</v>
      </c>
      <c r="S695" s="19">
        <v>4805.22</v>
      </c>
      <c r="T695" s="19">
        <v>9</v>
      </c>
      <c r="U695" s="19">
        <v>4805.22</v>
      </c>
      <c r="V695" s="19">
        <v>0</v>
      </c>
      <c r="W695" s="19">
        <v>0</v>
      </c>
      <c r="X695" s="19">
        <v>0</v>
      </c>
      <c r="Y695" s="19">
        <v>9610.44</v>
      </c>
      <c r="Z695" s="19">
        <v>0</v>
      </c>
      <c r="AA695" s="19" t="s">
        <v>135</v>
      </c>
      <c r="AB695" s="19" t="s">
        <v>1289</v>
      </c>
      <c r="AC695" s="19">
        <v>39269080</v>
      </c>
      <c r="AD695" s="19" t="s">
        <v>1092</v>
      </c>
      <c r="AE695" s="19">
        <v>1</v>
      </c>
      <c r="AF695" s="19">
        <v>362</v>
      </c>
      <c r="AG695" s="19" t="s">
        <v>1093</v>
      </c>
      <c r="AH695" s="19" t="s">
        <v>44</v>
      </c>
    </row>
    <row r="696" spans="2:34" x14ac:dyDescent="0.35">
      <c r="B696" s="76">
        <v>46231</v>
      </c>
      <c r="C696" s="19" t="s">
        <v>138</v>
      </c>
      <c r="D696" s="19" t="s">
        <v>173</v>
      </c>
      <c r="E696" s="19" t="s">
        <v>940</v>
      </c>
      <c r="F696" s="19" t="s">
        <v>123</v>
      </c>
      <c r="G696" s="19" t="s">
        <v>941</v>
      </c>
      <c r="H696" s="76">
        <v>46229</v>
      </c>
      <c r="I696" s="19" t="s">
        <v>36</v>
      </c>
      <c r="J696" s="19" t="s">
        <v>1117</v>
      </c>
      <c r="K696" s="19" t="s">
        <v>44</v>
      </c>
      <c r="L696" s="19" t="s">
        <v>1118</v>
      </c>
      <c r="M696" s="19" t="s">
        <v>1119</v>
      </c>
      <c r="N696" s="19">
        <v>561</v>
      </c>
      <c r="O696" s="19">
        <v>81058.89</v>
      </c>
      <c r="P696" s="19" t="s">
        <v>1119</v>
      </c>
      <c r="Q696" s="19">
        <v>0</v>
      </c>
      <c r="R696" s="19">
        <v>9</v>
      </c>
      <c r="S696" s="19">
        <v>7295.3</v>
      </c>
      <c r="T696" s="19">
        <v>9</v>
      </c>
      <c r="U696" s="19">
        <v>7295.3</v>
      </c>
      <c r="V696" s="19">
        <v>0</v>
      </c>
      <c r="W696" s="19">
        <v>0</v>
      </c>
      <c r="X696" s="19">
        <v>0</v>
      </c>
      <c r="Y696" s="19">
        <v>14590.6</v>
      </c>
      <c r="Z696" s="19">
        <v>0</v>
      </c>
      <c r="AA696" s="19" t="s">
        <v>135</v>
      </c>
      <c r="AB696" s="19" t="s">
        <v>1289</v>
      </c>
      <c r="AC696" s="19">
        <v>39269080</v>
      </c>
      <c r="AD696" s="19" t="s">
        <v>1092</v>
      </c>
      <c r="AE696" s="19">
        <v>1</v>
      </c>
      <c r="AF696" s="19">
        <v>561</v>
      </c>
      <c r="AG696" s="19" t="s">
        <v>1093</v>
      </c>
      <c r="AH696" s="19" t="s">
        <v>44</v>
      </c>
    </row>
    <row r="697" spans="2:34" x14ac:dyDescent="0.35">
      <c r="B697" s="76">
        <v>46231</v>
      </c>
      <c r="C697" s="19" t="s">
        <v>138</v>
      </c>
      <c r="D697" s="19" t="s">
        <v>173</v>
      </c>
      <c r="E697" s="19" t="s">
        <v>940</v>
      </c>
      <c r="F697" s="19" t="s">
        <v>123</v>
      </c>
      <c r="G697" s="19" t="s">
        <v>941</v>
      </c>
      <c r="H697" s="76">
        <v>46229</v>
      </c>
      <c r="I697" s="19" t="s">
        <v>36</v>
      </c>
      <c r="J697" s="19" t="s">
        <v>1117</v>
      </c>
      <c r="K697" s="19" t="s">
        <v>44</v>
      </c>
      <c r="L697" s="19" t="s">
        <v>1118</v>
      </c>
      <c r="M697" s="19" t="s">
        <v>1119</v>
      </c>
      <c r="N697" s="19">
        <v>621</v>
      </c>
      <c r="O697" s="19">
        <v>92833.29</v>
      </c>
      <c r="P697" s="19" t="s">
        <v>1119</v>
      </c>
      <c r="Q697" s="19">
        <v>0</v>
      </c>
      <c r="R697" s="19">
        <v>9</v>
      </c>
      <c r="S697" s="19">
        <v>8355</v>
      </c>
      <c r="T697" s="19">
        <v>9</v>
      </c>
      <c r="U697" s="19">
        <v>8355</v>
      </c>
      <c r="V697" s="19">
        <v>0</v>
      </c>
      <c r="W697" s="19">
        <v>0</v>
      </c>
      <c r="X697" s="19">
        <v>0</v>
      </c>
      <c r="Y697" s="19">
        <v>16710</v>
      </c>
      <c r="Z697" s="19">
        <v>0</v>
      </c>
      <c r="AA697" s="19" t="s">
        <v>135</v>
      </c>
      <c r="AB697" s="19" t="s">
        <v>1289</v>
      </c>
      <c r="AC697" s="19">
        <v>39269080</v>
      </c>
      <c r="AD697" s="19" t="s">
        <v>1092</v>
      </c>
      <c r="AE697" s="19">
        <v>1</v>
      </c>
      <c r="AF697" s="19">
        <v>621</v>
      </c>
      <c r="AG697" s="19" t="s">
        <v>1093</v>
      </c>
      <c r="AH697" s="19" t="s">
        <v>44</v>
      </c>
    </row>
    <row r="698" spans="2:34" x14ac:dyDescent="0.35">
      <c r="B698" s="76">
        <v>46231</v>
      </c>
      <c r="C698" s="19" t="s">
        <v>138</v>
      </c>
      <c r="D698" s="19" t="s">
        <v>173</v>
      </c>
      <c r="E698" s="19" t="s">
        <v>950</v>
      </c>
      <c r="F698" s="19" t="s">
        <v>123</v>
      </c>
      <c r="G698" s="19" t="s">
        <v>951</v>
      </c>
      <c r="H698" s="76">
        <v>46227</v>
      </c>
      <c r="I698" s="19" t="s">
        <v>36</v>
      </c>
      <c r="J698" s="19" t="s">
        <v>1350</v>
      </c>
      <c r="K698" s="19" t="s">
        <v>39</v>
      </c>
      <c r="L698" s="19" t="s">
        <v>1351</v>
      </c>
      <c r="M698" s="19" t="s">
        <v>1352</v>
      </c>
      <c r="N698" s="19">
        <v>3477</v>
      </c>
      <c r="O698" s="19">
        <v>718974.06</v>
      </c>
      <c r="P698" s="19" t="s">
        <v>1352</v>
      </c>
      <c r="Q698" s="19">
        <v>1797067.18</v>
      </c>
      <c r="R698" s="19">
        <v>9</v>
      </c>
      <c r="S698" s="19">
        <v>64707.67</v>
      </c>
      <c r="T698" s="19">
        <v>9</v>
      </c>
      <c r="U698" s="19">
        <v>64707.67</v>
      </c>
      <c r="V698" s="19">
        <v>0</v>
      </c>
      <c r="W698" s="19">
        <v>0</v>
      </c>
      <c r="X698" s="19">
        <v>0</v>
      </c>
      <c r="Y698" s="19">
        <v>129415.34</v>
      </c>
      <c r="Z698" s="19">
        <v>0</v>
      </c>
      <c r="AA698" s="19" t="s">
        <v>135</v>
      </c>
      <c r="AB698" s="19" t="s">
        <v>1289</v>
      </c>
      <c r="AC698" s="19">
        <v>39200000</v>
      </c>
      <c r="AD698" s="19" t="s">
        <v>1092</v>
      </c>
      <c r="AE698" s="19">
        <v>1</v>
      </c>
      <c r="AF698" s="19">
        <v>3477</v>
      </c>
      <c r="AG698" s="19" t="s">
        <v>1093</v>
      </c>
      <c r="AH698" s="19" t="s">
        <v>39</v>
      </c>
    </row>
    <row r="699" spans="2:34" x14ac:dyDescent="0.35">
      <c r="B699" s="76">
        <v>46231</v>
      </c>
      <c r="C699" s="19" t="s">
        <v>138</v>
      </c>
      <c r="D699" s="19" t="s">
        <v>173</v>
      </c>
      <c r="E699" s="19" t="s">
        <v>950</v>
      </c>
      <c r="F699" s="19" t="s">
        <v>123</v>
      </c>
      <c r="G699" s="19" t="s">
        <v>951</v>
      </c>
      <c r="H699" s="76">
        <v>46227</v>
      </c>
      <c r="I699" s="19" t="s">
        <v>36</v>
      </c>
      <c r="J699" s="19" t="s">
        <v>1117</v>
      </c>
      <c r="K699" s="19" t="s">
        <v>44</v>
      </c>
      <c r="L699" s="19" t="s">
        <v>1118</v>
      </c>
      <c r="M699" s="19" t="s">
        <v>1119</v>
      </c>
      <c r="N699" s="19">
        <v>1052</v>
      </c>
      <c r="O699" s="19">
        <v>185667.48</v>
      </c>
      <c r="P699" s="19" t="s">
        <v>1119</v>
      </c>
      <c r="Q699" s="19">
        <v>0</v>
      </c>
      <c r="R699" s="19">
        <v>9</v>
      </c>
      <c r="S699" s="19">
        <v>16710.07</v>
      </c>
      <c r="T699" s="19">
        <v>9</v>
      </c>
      <c r="U699" s="19">
        <v>16710.07</v>
      </c>
      <c r="V699" s="19">
        <v>0</v>
      </c>
      <c r="W699" s="19">
        <v>0</v>
      </c>
      <c r="X699" s="19">
        <v>0</v>
      </c>
      <c r="Y699" s="19">
        <v>33420.14</v>
      </c>
      <c r="Z699" s="19">
        <v>0</v>
      </c>
      <c r="AA699" s="19" t="s">
        <v>135</v>
      </c>
      <c r="AB699" s="19" t="s">
        <v>1289</v>
      </c>
      <c r="AC699" s="19">
        <v>39269080</v>
      </c>
      <c r="AD699" s="19" t="s">
        <v>1092</v>
      </c>
      <c r="AE699" s="19">
        <v>1</v>
      </c>
      <c r="AF699" s="19">
        <v>1052</v>
      </c>
      <c r="AG699" s="19" t="s">
        <v>1093</v>
      </c>
      <c r="AH699" s="19" t="s">
        <v>44</v>
      </c>
    </row>
    <row r="700" spans="2:34" x14ac:dyDescent="0.35">
      <c r="B700" s="76">
        <v>46231</v>
      </c>
      <c r="C700" s="19" t="s">
        <v>138</v>
      </c>
      <c r="D700" s="19" t="s">
        <v>173</v>
      </c>
      <c r="E700" s="19" t="s">
        <v>950</v>
      </c>
      <c r="F700" s="19" t="s">
        <v>123</v>
      </c>
      <c r="G700" s="19" t="s">
        <v>951</v>
      </c>
      <c r="H700" s="76">
        <v>46227</v>
      </c>
      <c r="I700" s="19" t="s">
        <v>36</v>
      </c>
      <c r="J700" s="19" t="s">
        <v>1117</v>
      </c>
      <c r="K700" s="19" t="s">
        <v>44</v>
      </c>
      <c r="L700" s="19" t="s">
        <v>1118</v>
      </c>
      <c r="M700" s="19" t="s">
        <v>1119</v>
      </c>
      <c r="N700" s="19">
        <v>2926</v>
      </c>
      <c r="O700" s="19">
        <v>422777.74</v>
      </c>
      <c r="P700" s="19" t="s">
        <v>1119</v>
      </c>
      <c r="Q700" s="19">
        <v>0</v>
      </c>
      <c r="R700" s="19">
        <v>9</v>
      </c>
      <c r="S700" s="19">
        <v>38050</v>
      </c>
      <c r="T700" s="19">
        <v>9</v>
      </c>
      <c r="U700" s="19">
        <v>38050</v>
      </c>
      <c r="V700" s="19">
        <v>0</v>
      </c>
      <c r="W700" s="19">
        <v>0</v>
      </c>
      <c r="X700" s="19">
        <v>0</v>
      </c>
      <c r="Y700" s="19">
        <v>76100</v>
      </c>
      <c r="Z700" s="19">
        <v>0</v>
      </c>
      <c r="AA700" s="19" t="s">
        <v>135</v>
      </c>
      <c r="AB700" s="19" t="s">
        <v>1289</v>
      </c>
      <c r="AC700" s="19">
        <v>39269080</v>
      </c>
      <c r="AD700" s="19" t="s">
        <v>1092</v>
      </c>
      <c r="AE700" s="19">
        <v>1</v>
      </c>
      <c r="AF700" s="19">
        <v>2926</v>
      </c>
      <c r="AG700" s="19" t="s">
        <v>1093</v>
      </c>
      <c r="AH700" s="19" t="s">
        <v>44</v>
      </c>
    </row>
    <row r="701" spans="2:34" x14ac:dyDescent="0.35">
      <c r="B701" s="76">
        <v>46231</v>
      </c>
      <c r="C701" s="19" t="s">
        <v>138</v>
      </c>
      <c r="D701" s="19" t="s">
        <v>173</v>
      </c>
      <c r="E701" s="19" t="s">
        <v>950</v>
      </c>
      <c r="F701" s="19" t="s">
        <v>123</v>
      </c>
      <c r="G701" s="19" t="s">
        <v>951</v>
      </c>
      <c r="H701" s="76">
        <v>46227</v>
      </c>
      <c r="I701" s="19" t="s">
        <v>36</v>
      </c>
      <c r="J701" s="19" t="s">
        <v>1117</v>
      </c>
      <c r="K701" s="19" t="s">
        <v>44</v>
      </c>
      <c r="L701" s="19" t="s">
        <v>1118</v>
      </c>
      <c r="M701" s="19" t="s">
        <v>1119</v>
      </c>
      <c r="N701" s="19">
        <v>300</v>
      </c>
      <c r="O701" s="19">
        <v>44247</v>
      </c>
      <c r="P701" s="19" t="s">
        <v>1119</v>
      </c>
      <c r="Q701" s="19">
        <v>0</v>
      </c>
      <c r="R701" s="19">
        <v>9</v>
      </c>
      <c r="S701" s="19">
        <v>3982.23</v>
      </c>
      <c r="T701" s="19">
        <v>9</v>
      </c>
      <c r="U701" s="19">
        <v>3982.23</v>
      </c>
      <c r="V701" s="19">
        <v>0</v>
      </c>
      <c r="W701" s="19">
        <v>0</v>
      </c>
      <c r="X701" s="19">
        <v>0</v>
      </c>
      <c r="Y701" s="19">
        <v>7964.46</v>
      </c>
      <c r="Z701" s="19">
        <v>0</v>
      </c>
      <c r="AA701" s="19" t="s">
        <v>135</v>
      </c>
      <c r="AB701" s="19" t="s">
        <v>1289</v>
      </c>
      <c r="AC701" s="19">
        <v>39269080</v>
      </c>
      <c r="AD701" s="19" t="s">
        <v>1092</v>
      </c>
      <c r="AE701" s="19">
        <v>1</v>
      </c>
      <c r="AF701" s="19">
        <v>300</v>
      </c>
      <c r="AG701" s="19" t="s">
        <v>1093</v>
      </c>
      <c r="AH701" s="19" t="s">
        <v>44</v>
      </c>
    </row>
    <row r="702" spans="2:34" x14ac:dyDescent="0.35">
      <c r="B702" s="76">
        <v>46231</v>
      </c>
      <c r="C702" s="19" t="s">
        <v>138</v>
      </c>
      <c r="D702" s="19" t="s">
        <v>173</v>
      </c>
      <c r="E702" s="19" t="s">
        <v>950</v>
      </c>
      <c r="F702" s="19" t="s">
        <v>123</v>
      </c>
      <c r="G702" s="19" t="s">
        <v>951</v>
      </c>
      <c r="H702" s="76">
        <v>46227</v>
      </c>
      <c r="I702" s="19" t="s">
        <v>36</v>
      </c>
      <c r="J702" s="19" t="s">
        <v>1117</v>
      </c>
      <c r="K702" s="19" t="s">
        <v>44</v>
      </c>
      <c r="L702" s="19" t="s">
        <v>1118</v>
      </c>
      <c r="M702" s="19" t="s">
        <v>1119</v>
      </c>
      <c r="N702" s="19">
        <v>296</v>
      </c>
      <c r="O702" s="19">
        <v>50761.04</v>
      </c>
      <c r="P702" s="19" t="s">
        <v>1119</v>
      </c>
      <c r="Q702" s="19">
        <v>0</v>
      </c>
      <c r="R702" s="19">
        <v>9</v>
      </c>
      <c r="S702" s="19">
        <v>4568.49</v>
      </c>
      <c r="T702" s="19">
        <v>9</v>
      </c>
      <c r="U702" s="19">
        <v>4568.49</v>
      </c>
      <c r="V702" s="19">
        <v>0</v>
      </c>
      <c r="W702" s="19">
        <v>0</v>
      </c>
      <c r="X702" s="19">
        <v>0</v>
      </c>
      <c r="Y702" s="19">
        <v>9136.98</v>
      </c>
      <c r="Z702" s="19">
        <v>0</v>
      </c>
      <c r="AA702" s="19" t="s">
        <v>135</v>
      </c>
      <c r="AB702" s="19" t="s">
        <v>1289</v>
      </c>
      <c r="AC702" s="19">
        <v>39269080</v>
      </c>
      <c r="AD702" s="19" t="s">
        <v>1092</v>
      </c>
      <c r="AE702" s="19">
        <v>1</v>
      </c>
      <c r="AF702" s="19">
        <v>296</v>
      </c>
      <c r="AG702" s="19" t="s">
        <v>1093</v>
      </c>
      <c r="AH702" s="19" t="s">
        <v>44</v>
      </c>
    </row>
    <row r="703" spans="2:34" x14ac:dyDescent="0.35">
      <c r="B703" s="76">
        <v>46231</v>
      </c>
      <c r="C703" s="19" t="s">
        <v>138</v>
      </c>
      <c r="D703" s="19" t="s">
        <v>173</v>
      </c>
      <c r="E703" s="19" t="s">
        <v>950</v>
      </c>
      <c r="F703" s="19" t="s">
        <v>123</v>
      </c>
      <c r="G703" s="19" t="s">
        <v>951</v>
      </c>
      <c r="H703" s="76">
        <v>46227</v>
      </c>
      <c r="I703" s="19" t="s">
        <v>36</v>
      </c>
      <c r="J703" s="19" t="s">
        <v>1117</v>
      </c>
      <c r="K703" s="19" t="s">
        <v>44</v>
      </c>
      <c r="L703" s="19" t="s">
        <v>1118</v>
      </c>
      <c r="M703" s="19" t="s">
        <v>1119</v>
      </c>
      <c r="N703" s="19">
        <v>681</v>
      </c>
      <c r="O703" s="19">
        <v>101802.69</v>
      </c>
      <c r="P703" s="19" t="s">
        <v>1119</v>
      </c>
      <c r="Q703" s="19">
        <v>0</v>
      </c>
      <c r="R703" s="19">
        <v>9</v>
      </c>
      <c r="S703" s="19">
        <v>9162.24</v>
      </c>
      <c r="T703" s="19">
        <v>9</v>
      </c>
      <c r="U703" s="19">
        <v>9162.24</v>
      </c>
      <c r="V703" s="19">
        <v>0</v>
      </c>
      <c r="W703" s="19">
        <v>0</v>
      </c>
      <c r="X703" s="19">
        <v>0</v>
      </c>
      <c r="Y703" s="19">
        <v>18324.48</v>
      </c>
      <c r="Z703" s="19">
        <v>0</v>
      </c>
      <c r="AA703" s="19" t="s">
        <v>135</v>
      </c>
      <c r="AB703" s="19" t="s">
        <v>1289</v>
      </c>
      <c r="AC703" s="19">
        <v>39269080</v>
      </c>
      <c r="AD703" s="19" t="s">
        <v>1092</v>
      </c>
      <c r="AE703" s="19">
        <v>1</v>
      </c>
      <c r="AF703" s="19">
        <v>681</v>
      </c>
      <c r="AG703" s="19" t="s">
        <v>1093</v>
      </c>
      <c r="AH703" s="19" t="s">
        <v>44</v>
      </c>
    </row>
    <row r="704" spans="2:34" x14ac:dyDescent="0.35">
      <c r="B704" s="76">
        <v>46231</v>
      </c>
      <c r="C704" s="19" t="s">
        <v>138</v>
      </c>
      <c r="D704" s="19" t="s">
        <v>173</v>
      </c>
      <c r="E704" s="19" t="s">
        <v>952</v>
      </c>
      <c r="F704" s="19" t="s">
        <v>123</v>
      </c>
      <c r="G704" s="19" t="s">
        <v>953</v>
      </c>
      <c r="H704" s="76">
        <v>46231</v>
      </c>
      <c r="I704" s="19" t="s">
        <v>49</v>
      </c>
      <c r="J704" s="19" t="s">
        <v>50</v>
      </c>
      <c r="K704" s="19" t="s">
        <v>50</v>
      </c>
      <c r="L704" s="19" t="s">
        <v>1095</v>
      </c>
      <c r="M704" s="19" t="s">
        <v>1098</v>
      </c>
      <c r="N704" s="19">
        <v>788</v>
      </c>
      <c r="O704" s="19">
        <v>177300</v>
      </c>
      <c r="P704" s="19" t="s">
        <v>1098</v>
      </c>
      <c r="Q704" s="19">
        <v>4087915.21</v>
      </c>
      <c r="R704" s="19">
        <v>0.05</v>
      </c>
      <c r="S704" s="19">
        <v>88.65</v>
      </c>
      <c r="T704" s="19">
        <v>0.05</v>
      </c>
      <c r="U704" s="19">
        <v>88.65</v>
      </c>
      <c r="V704" s="19">
        <v>0</v>
      </c>
      <c r="W704" s="19">
        <v>0</v>
      </c>
      <c r="X704" s="19">
        <v>0</v>
      </c>
      <c r="Y704" s="19">
        <v>177.3</v>
      </c>
      <c r="Z704" s="19">
        <v>0</v>
      </c>
      <c r="AA704" s="19" t="s">
        <v>135</v>
      </c>
      <c r="AB704" s="19" t="s">
        <v>1289</v>
      </c>
      <c r="AC704" s="19">
        <v>63053200</v>
      </c>
      <c r="AD704" s="19" t="s">
        <v>1092</v>
      </c>
      <c r="AE704" s="19">
        <v>1</v>
      </c>
      <c r="AF704" s="19">
        <v>788</v>
      </c>
      <c r="AG704" s="19" t="s">
        <v>1093</v>
      </c>
      <c r="AH704" s="19" t="s">
        <v>50</v>
      </c>
    </row>
    <row r="705" spans="2:34" x14ac:dyDescent="0.35">
      <c r="B705" s="76">
        <v>46231</v>
      </c>
      <c r="C705" s="19" t="s">
        <v>138</v>
      </c>
      <c r="D705" s="19" t="s">
        <v>173</v>
      </c>
      <c r="E705" s="19" t="s">
        <v>952</v>
      </c>
      <c r="F705" s="19" t="s">
        <v>123</v>
      </c>
      <c r="G705" s="19" t="s">
        <v>953</v>
      </c>
      <c r="H705" s="76">
        <v>46231</v>
      </c>
      <c r="I705" s="19" t="s">
        <v>49</v>
      </c>
      <c r="J705" s="19" t="s">
        <v>50</v>
      </c>
      <c r="K705" s="19" t="s">
        <v>50</v>
      </c>
      <c r="L705" s="19" t="s">
        <v>1095</v>
      </c>
      <c r="M705" s="19" t="s">
        <v>1098</v>
      </c>
      <c r="N705" s="19">
        <v>778</v>
      </c>
      <c r="O705" s="19">
        <v>157194.9</v>
      </c>
      <c r="P705" s="19" t="s">
        <v>1098</v>
      </c>
      <c r="Q705" s="19">
        <v>0</v>
      </c>
      <c r="R705" s="19">
        <v>0.05</v>
      </c>
      <c r="S705" s="19">
        <v>78.599999999999994</v>
      </c>
      <c r="T705" s="19">
        <v>0.05</v>
      </c>
      <c r="U705" s="19">
        <v>78.599999999999994</v>
      </c>
      <c r="V705" s="19">
        <v>0</v>
      </c>
      <c r="W705" s="19">
        <v>0</v>
      </c>
      <c r="X705" s="19">
        <v>0</v>
      </c>
      <c r="Y705" s="19">
        <v>157.19999999999999</v>
      </c>
      <c r="Z705" s="19">
        <v>0</v>
      </c>
      <c r="AA705" s="19" t="s">
        <v>135</v>
      </c>
      <c r="AB705" s="19" t="s">
        <v>1289</v>
      </c>
      <c r="AC705" s="19">
        <v>63053200</v>
      </c>
      <c r="AD705" s="19" t="s">
        <v>1092</v>
      </c>
      <c r="AE705" s="19">
        <v>1</v>
      </c>
      <c r="AF705" s="19">
        <v>778</v>
      </c>
      <c r="AG705" s="19" t="s">
        <v>1093</v>
      </c>
      <c r="AH705" s="19" t="s">
        <v>50</v>
      </c>
    </row>
    <row r="706" spans="2:34" x14ac:dyDescent="0.35">
      <c r="B706" s="76">
        <v>46231</v>
      </c>
      <c r="C706" s="19" t="s">
        <v>138</v>
      </c>
      <c r="D706" s="19" t="s">
        <v>173</v>
      </c>
      <c r="E706" s="19" t="s">
        <v>952</v>
      </c>
      <c r="F706" s="19" t="s">
        <v>123</v>
      </c>
      <c r="G706" s="19" t="s">
        <v>953</v>
      </c>
      <c r="H706" s="76">
        <v>46231</v>
      </c>
      <c r="I706" s="19" t="s">
        <v>49</v>
      </c>
      <c r="J706" s="19" t="s">
        <v>50</v>
      </c>
      <c r="K706" s="19" t="s">
        <v>50</v>
      </c>
      <c r="L706" s="19" t="s">
        <v>1095</v>
      </c>
      <c r="M706" s="19" t="s">
        <v>1098</v>
      </c>
      <c r="N706" s="19">
        <v>2228</v>
      </c>
      <c r="O706" s="19">
        <v>448585.52</v>
      </c>
      <c r="P706" s="19" t="s">
        <v>1098</v>
      </c>
      <c r="Q706" s="19">
        <v>0</v>
      </c>
      <c r="R706" s="19">
        <v>0.05</v>
      </c>
      <c r="S706" s="19">
        <v>224.29</v>
      </c>
      <c r="T706" s="19">
        <v>0.05</v>
      </c>
      <c r="U706" s="19">
        <v>224.29</v>
      </c>
      <c r="V706" s="19">
        <v>0</v>
      </c>
      <c r="W706" s="19">
        <v>0</v>
      </c>
      <c r="X706" s="19">
        <v>0</v>
      </c>
      <c r="Y706" s="19">
        <v>448.58</v>
      </c>
      <c r="Z706" s="19">
        <v>0</v>
      </c>
      <c r="AA706" s="19" t="s">
        <v>135</v>
      </c>
      <c r="AB706" s="19" t="s">
        <v>1289</v>
      </c>
      <c r="AC706" s="19">
        <v>63053200</v>
      </c>
      <c r="AD706" s="19" t="s">
        <v>1092</v>
      </c>
      <c r="AE706" s="19">
        <v>1</v>
      </c>
      <c r="AF706" s="19">
        <v>2228</v>
      </c>
      <c r="AG706" s="19" t="s">
        <v>1093</v>
      </c>
      <c r="AH706" s="19" t="s">
        <v>50</v>
      </c>
    </row>
    <row r="707" spans="2:34" x14ac:dyDescent="0.35">
      <c r="B707" s="76">
        <v>46231</v>
      </c>
      <c r="C707" s="19" t="s">
        <v>138</v>
      </c>
      <c r="D707" s="19" t="s">
        <v>173</v>
      </c>
      <c r="E707" s="19" t="s">
        <v>952</v>
      </c>
      <c r="F707" s="19" t="s">
        <v>123</v>
      </c>
      <c r="G707" s="19" t="s">
        <v>953</v>
      </c>
      <c r="H707" s="76">
        <v>46231</v>
      </c>
      <c r="I707" s="19" t="s">
        <v>49</v>
      </c>
      <c r="J707" s="19" t="s">
        <v>50</v>
      </c>
      <c r="K707" s="19" t="s">
        <v>50</v>
      </c>
      <c r="L707" s="19" t="s">
        <v>1095</v>
      </c>
      <c r="M707" s="19" t="s">
        <v>1098</v>
      </c>
      <c r="N707" s="19">
        <v>1031</v>
      </c>
      <c r="O707" s="19">
        <v>201117.17</v>
      </c>
      <c r="P707" s="19" t="s">
        <v>1098</v>
      </c>
      <c r="Q707" s="19">
        <v>0</v>
      </c>
      <c r="R707" s="19">
        <v>0.05</v>
      </c>
      <c r="S707" s="19">
        <v>100.56</v>
      </c>
      <c r="T707" s="19">
        <v>0.05</v>
      </c>
      <c r="U707" s="19">
        <v>100.56</v>
      </c>
      <c r="V707" s="19">
        <v>0</v>
      </c>
      <c r="W707" s="19">
        <v>0</v>
      </c>
      <c r="X707" s="19">
        <v>0</v>
      </c>
      <c r="Y707" s="19">
        <v>201.12</v>
      </c>
      <c r="Z707" s="19">
        <v>0</v>
      </c>
      <c r="AA707" s="19" t="s">
        <v>135</v>
      </c>
      <c r="AB707" s="19" t="s">
        <v>1289</v>
      </c>
      <c r="AC707" s="19">
        <v>63053200</v>
      </c>
      <c r="AD707" s="19" t="s">
        <v>1092</v>
      </c>
      <c r="AE707" s="19">
        <v>1</v>
      </c>
      <c r="AF707" s="19">
        <v>1031</v>
      </c>
      <c r="AG707" s="19" t="s">
        <v>1093</v>
      </c>
      <c r="AH707" s="19" t="s">
        <v>50</v>
      </c>
    </row>
    <row r="708" spans="2:34" x14ac:dyDescent="0.35">
      <c r="B708" s="76">
        <v>46231</v>
      </c>
      <c r="C708" s="19" t="s">
        <v>138</v>
      </c>
      <c r="D708" s="19" t="s">
        <v>173</v>
      </c>
      <c r="E708" s="19" t="s">
        <v>952</v>
      </c>
      <c r="F708" s="19" t="s">
        <v>123</v>
      </c>
      <c r="G708" s="19" t="s">
        <v>953</v>
      </c>
      <c r="H708" s="76">
        <v>46231</v>
      </c>
      <c r="I708" s="19" t="s">
        <v>49</v>
      </c>
      <c r="J708" s="19" t="s">
        <v>50</v>
      </c>
      <c r="K708" s="19" t="s">
        <v>50</v>
      </c>
      <c r="L708" s="19" t="s">
        <v>1095</v>
      </c>
      <c r="M708" s="19" t="s">
        <v>1098</v>
      </c>
      <c r="N708" s="19">
        <v>14538</v>
      </c>
      <c r="O708" s="19">
        <v>3103717.62</v>
      </c>
      <c r="P708" s="19" t="s">
        <v>1098</v>
      </c>
      <c r="Q708" s="19">
        <v>0</v>
      </c>
      <c r="R708" s="19">
        <v>0.05</v>
      </c>
      <c r="S708" s="19">
        <v>1551.86</v>
      </c>
      <c r="T708" s="19">
        <v>0.05</v>
      </c>
      <c r="U708" s="19">
        <v>1551.86</v>
      </c>
      <c r="V708" s="19">
        <v>0</v>
      </c>
      <c r="W708" s="19">
        <v>0</v>
      </c>
      <c r="X708" s="19">
        <v>0</v>
      </c>
      <c r="Y708" s="19">
        <v>3103.72</v>
      </c>
      <c r="Z708" s="19">
        <v>0</v>
      </c>
      <c r="AA708" s="19" t="s">
        <v>135</v>
      </c>
      <c r="AB708" s="19" t="s">
        <v>1289</v>
      </c>
      <c r="AC708" s="19">
        <v>63053200</v>
      </c>
      <c r="AD708" s="19" t="s">
        <v>1092</v>
      </c>
      <c r="AE708" s="19">
        <v>1</v>
      </c>
      <c r="AF708" s="19">
        <v>14538</v>
      </c>
      <c r="AG708" s="19" t="s">
        <v>1093</v>
      </c>
      <c r="AH708" s="19" t="s">
        <v>50</v>
      </c>
    </row>
    <row r="709" spans="2:34" x14ac:dyDescent="0.35">
      <c r="B709" s="76">
        <v>46231</v>
      </c>
      <c r="C709" s="19" t="s">
        <v>138</v>
      </c>
      <c r="D709" s="19" t="s">
        <v>173</v>
      </c>
      <c r="E709" s="19" t="s">
        <v>956</v>
      </c>
      <c r="F709" s="19" t="s">
        <v>123</v>
      </c>
      <c r="G709" s="19" t="s">
        <v>957</v>
      </c>
      <c r="H709" s="76">
        <v>46230</v>
      </c>
      <c r="I709" s="19" t="s">
        <v>36</v>
      </c>
      <c r="J709" s="19" t="s">
        <v>1350</v>
      </c>
      <c r="K709" s="19" t="s">
        <v>39</v>
      </c>
      <c r="L709" s="19" t="s">
        <v>1351</v>
      </c>
      <c r="M709" s="19" t="s">
        <v>1352</v>
      </c>
      <c r="N709" s="19">
        <v>3511</v>
      </c>
      <c r="O709" s="19">
        <v>726004.58</v>
      </c>
      <c r="P709" s="19" t="s">
        <v>1352</v>
      </c>
      <c r="Q709" s="19">
        <v>1984781.64</v>
      </c>
      <c r="R709" s="19">
        <v>9</v>
      </c>
      <c r="S709" s="19">
        <v>65340.41</v>
      </c>
      <c r="T709" s="19">
        <v>9</v>
      </c>
      <c r="U709" s="19">
        <v>65340.41</v>
      </c>
      <c r="V709" s="19">
        <v>0</v>
      </c>
      <c r="W709" s="19">
        <v>0</v>
      </c>
      <c r="X709" s="19">
        <v>0</v>
      </c>
      <c r="Y709" s="19">
        <v>130680.82</v>
      </c>
      <c r="Z709" s="19">
        <v>0</v>
      </c>
      <c r="AA709" s="19" t="s">
        <v>135</v>
      </c>
      <c r="AB709" s="19" t="s">
        <v>1289</v>
      </c>
      <c r="AC709" s="19">
        <v>39200000</v>
      </c>
      <c r="AD709" s="19" t="s">
        <v>1092</v>
      </c>
      <c r="AE709" s="19">
        <v>1</v>
      </c>
      <c r="AF709" s="19">
        <v>3511</v>
      </c>
      <c r="AG709" s="19" t="s">
        <v>1093</v>
      </c>
      <c r="AH709" s="19" t="s">
        <v>39</v>
      </c>
    </row>
    <row r="710" spans="2:34" x14ac:dyDescent="0.35">
      <c r="B710" s="76">
        <v>46231</v>
      </c>
      <c r="C710" s="19" t="s">
        <v>138</v>
      </c>
      <c r="D710" s="19" t="s">
        <v>173</v>
      </c>
      <c r="E710" s="19" t="s">
        <v>956</v>
      </c>
      <c r="F710" s="19" t="s">
        <v>123</v>
      </c>
      <c r="G710" s="19" t="s">
        <v>957</v>
      </c>
      <c r="H710" s="76">
        <v>46230</v>
      </c>
      <c r="I710" s="19" t="s">
        <v>36</v>
      </c>
      <c r="J710" s="19" t="s">
        <v>1350</v>
      </c>
      <c r="K710" s="19" t="s">
        <v>39</v>
      </c>
      <c r="L710" s="19" t="s">
        <v>1351</v>
      </c>
      <c r="M710" s="19" t="s">
        <v>1352</v>
      </c>
      <c r="N710" s="19">
        <v>528</v>
      </c>
      <c r="O710" s="19">
        <v>125125.44</v>
      </c>
      <c r="P710" s="19" t="s">
        <v>1352</v>
      </c>
      <c r="Q710" s="19">
        <v>0</v>
      </c>
      <c r="R710" s="19">
        <v>9</v>
      </c>
      <c r="S710" s="19">
        <v>11261.29</v>
      </c>
      <c r="T710" s="19">
        <v>9</v>
      </c>
      <c r="U710" s="19">
        <v>11261.29</v>
      </c>
      <c r="V710" s="19">
        <v>0</v>
      </c>
      <c r="W710" s="19">
        <v>0</v>
      </c>
      <c r="X710" s="19">
        <v>0</v>
      </c>
      <c r="Y710" s="19">
        <v>22522.58</v>
      </c>
      <c r="Z710" s="19">
        <v>0</v>
      </c>
      <c r="AA710" s="19" t="s">
        <v>135</v>
      </c>
      <c r="AB710" s="19" t="s">
        <v>1289</v>
      </c>
      <c r="AC710" s="19">
        <v>39200000</v>
      </c>
      <c r="AD710" s="19" t="s">
        <v>1092</v>
      </c>
      <c r="AE710" s="19">
        <v>1</v>
      </c>
      <c r="AF710" s="19">
        <v>528</v>
      </c>
      <c r="AG710" s="19" t="s">
        <v>1093</v>
      </c>
      <c r="AH710" s="19" t="s">
        <v>39</v>
      </c>
    </row>
    <row r="711" spans="2:34" x14ac:dyDescent="0.35">
      <c r="B711" s="76">
        <v>46231</v>
      </c>
      <c r="C711" s="19" t="s">
        <v>138</v>
      </c>
      <c r="D711" s="19" t="s">
        <v>173</v>
      </c>
      <c r="E711" s="19" t="s">
        <v>956</v>
      </c>
      <c r="F711" s="19" t="s">
        <v>123</v>
      </c>
      <c r="G711" s="19" t="s">
        <v>957</v>
      </c>
      <c r="H711" s="76">
        <v>46230</v>
      </c>
      <c r="I711" s="19" t="s">
        <v>36</v>
      </c>
      <c r="J711" s="19" t="s">
        <v>1350</v>
      </c>
      <c r="K711" s="19" t="s">
        <v>39</v>
      </c>
      <c r="L711" s="19" t="s">
        <v>1351</v>
      </c>
      <c r="M711" s="19" t="s">
        <v>1352</v>
      </c>
      <c r="N711" s="19">
        <v>471</v>
      </c>
      <c r="O711" s="19">
        <v>87973.38</v>
      </c>
      <c r="P711" s="19" t="s">
        <v>1352</v>
      </c>
      <c r="Q711" s="19">
        <v>0</v>
      </c>
      <c r="R711" s="19">
        <v>9</v>
      </c>
      <c r="S711" s="19">
        <v>7917.6</v>
      </c>
      <c r="T711" s="19">
        <v>9</v>
      </c>
      <c r="U711" s="19">
        <v>7917.6</v>
      </c>
      <c r="V711" s="19">
        <v>0</v>
      </c>
      <c r="W711" s="19">
        <v>0</v>
      </c>
      <c r="X711" s="19">
        <v>0</v>
      </c>
      <c r="Y711" s="19">
        <v>15835.2</v>
      </c>
      <c r="Z711" s="19">
        <v>0</v>
      </c>
      <c r="AA711" s="19" t="s">
        <v>135</v>
      </c>
      <c r="AB711" s="19" t="s">
        <v>1289</v>
      </c>
      <c r="AC711" s="19">
        <v>39200000</v>
      </c>
      <c r="AD711" s="19" t="s">
        <v>1092</v>
      </c>
      <c r="AE711" s="19">
        <v>1</v>
      </c>
      <c r="AF711" s="19">
        <v>471</v>
      </c>
      <c r="AG711" s="19" t="s">
        <v>1093</v>
      </c>
      <c r="AH711" s="19" t="s">
        <v>39</v>
      </c>
    </row>
    <row r="712" spans="2:34" x14ac:dyDescent="0.35">
      <c r="B712" s="76">
        <v>46231</v>
      </c>
      <c r="C712" s="19" t="s">
        <v>138</v>
      </c>
      <c r="D712" s="19" t="s">
        <v>173</v>
      </c>
      <c r="E712" s="19" t="s">
        <v>956</v>
      </c>
      <c r="F712" s="19" t="s">
        <v>123</v>
      </c>
      <c r="G712" s="19" t="s">
        <v>957</v>
      </c>
      <c r="H712" s="76">
        <v>46230</v>
      </c>
      <c r="I712" s="19" t="s">
        <v>36</v>
      </c>
      <c r="J712" s="19" t="s">
        <v>1117</v>
      </c>
      <c r="K712" s="19" t="s">
        <v>44</v>
      </c>
      <c r="L712" s="19" t="s">
        <v>1118</v>
      </c>
      <c r="M712" s="19" t="s">
        <v>1119</v>
      </c>
      <c r="N712" s="19">
        <v>398</v>
      </c>
      <c r="O712" s="19">
        <v>57507.02</v>
      </c>
      <c r="P712" s="19" t="s">
        <v>1119</v>
      </c>
      <c r="Q712" s="19">
        <v>0</v>
      </c>
      <c r="R712" s="19">
        <v>9</v>
      </c>
      <c r="S712" s="19">
        <v>5175.63</v>
      </c>
      <c r="T712" s="19">
        <v>9</v>
      </c>
      <c r="U712" s="19">
        <v>5175.63</v>
      </c>
      <c r="V712" s="19">
        <v>0</v>
      </c>
      <c r="W712" s="19">
        <v>0</v>
      </c>
      <c r="X712" s="19">
        <v>0</v>
      </c>
      <c r="Y712" s="19">
        <v>10351.26</v>
      </c>
      <c r="Z712" s="19">
        <v>0</v>
      </c>
      <c r="AA712" s="19" t="s">
        <v>135</v>
      </c>
      <c r="AB712" s="19" t="s">
        <v>1289</v>
      </c>
      <c r="AC712" s="19">
        <v>39269080</v>
      </c>
      <c r="AD712" s="19" t="s">
        <v>1092</v>
      </c>
      <c r="AE712" s="19">
        <v>1</v>
      </c>
      <c r="AF712" s="19">
        <v>398</v>
      </c>
      <c r="AG712" s="19" t="s">
        <v>1093</v>
      </c>
      <c r="AH712" s="19" t="s">
        <v>44</v>
      </c>
    </row>
    <row r="713" spans="2:34" x14ac:dyDescent="0.35">
      <c r="B713" s="76">
        <v>46231</v>
      </c>
      <c r="C713" s="19" t="s">
        <v>138</v>
      </c>
      <c r="D713" s="19" t="s">
        <v>173</v>
      </c>
      <c r="E713" s="19" t="s">
        <v>956</v>
      </c>
      <c r="F713" s="19" t="s">
        <v>123</v>
      </c>
      <c r="G713" s="19" t="s">
        <v>957</v>
      </c>
      <c r="H713" s="76">
        <v>46230</v>
      </c>
      <c r="I713" s="19" t="s">
        <v>36</v>
      </c>
      <c r="J713" s="19" t="s">
        <v>1117</v>
      </c>
      <c r="K713" s="19" t="s">
        <v>44</v>
      </c>
      <c r="L713" s="19" t="s">
        <v>1118</v>
      </c>
      <c r="M713" s="19" t="s">
        <v>1119</v>
      </c>
      <c r="N713" s="19">
        <v>3624</v>
      </c>
      <c r="O713" s="19">
        <v>541751.76</v>
      </c>
      <c r="P713" s="19" t="s">
        <v>1119</v>
      </c>
      <c r="Q713" s="19">
        <v>0</v>
      </c>
      <c r="R713" s="19">
        <v>9</v>
      </c>
      <c r="S713" s="19">
        <v>48757.66</v>
      </c>
      <c r="T713" s="19">
        <v>9</v>
      </c>
      <c r="U713" s="19">
        <v>48757.66</v>
      </c>
      <c r="V713" s="19">
        <v>0</v>
      </c>
      <c r="W713" s="19">
        <v>0</v>
      </c>
      <c r="X713" s="19">
        <v>0</v>
      </c>
      <c r="Y713" s="19">
        <v>97515.32</v>
      </c>
      <c r="Z713" s="19">
        <v>0</v>
      </c>
      <c r="AA713" s="19" t="s">
        <v>135</v>
      </c>
      <c r="AB713" s="19" t="s">
        <v>1289</v>
      </c>
      <c r="AC713" s="19">
        <v>39269080</v>
      </c>
      <c r="AD713" s="19" t="s">
        <v>1092</v>
      </c>
      <c r="AE713" s="19">
        <v>1</v>
      </c>
      <c r="AF713" s="19">
        <v>3624</v>
      </c>
      <c r="AG713" s="19" t="s">
        <v>1093</v>
      </c>
      <c r="AH713" s="19" t="s">
        <v>44</v>
      </c>
    </row>
    <row r="714" spans="2:34" x14ac:dyDescent="0.35">
      <c r="B714" s="76">
        <v>46231</v>
      </c>
      <c r="C714" s="19" t="s">
        <v>138</v>
      </c>
      <c r="D714" s="19" t="s">
        <v>173</v>
      </c>
      <c r="E714" s="19" t="s">
        <v>956</v>
      </c>
      <c r="F714" s="19" t="s">
        <v>123</v>
      </c>
      <c r="G714" s="19" t="s">
        <v>957</v>
      </c>
      <c r="H714" s="76">
        <v>46230</v>
      </c>
      <c r="I714" s="19" t="s">
        <v>36</v>
      </c>
      <c r="J714" s="19" t="s">
        <v>1087</v>
      </c>
      <c r="K714" s="19" t="s">
        <v>46</v>
      </c>
      <c r="L714" s="19" t="s">
        <v>1213</v>
      </c>
      <c r="M714" s="19" t="s">
        <v>1782</v>
      </c>
      <c r="N714" s="19">
        <v>1042</v>
      </c>
      <c r="O714" s="19">
        <v>163062.57999999999</v>
      </c>
      <c r="P714" s="19" t="s">
        <v>1782</v>
      </c>
      <c r="Q714" s="19">
        <v>0</v>
      </c>
      <c r="R714" s="19">
        <v>2.5</v>
      </c>
      <c r="S714" s="19">
        <v>4076.56</v>
      </c>
      <c r="T714" s="19">
        <v>2.5</v>
      </c>
      <c r="U714" s="19">
        <v>4076.56</v>
      </c>
      <c r="V714" s="19">
        <v>0</v>
      </c>
      <c r="W714" s="19">
        <v>0</v>
      </c>
      <c r="X714" s="19">
        <v>0</v>
      </c>
      <c r="Y714" s="19">
        <v>8153.12</v>
      </c>
      <c r="Z714" s="19">
        <v>0</v>
      </c>
      <c r="AA714" s="19" t="s">
        <v>135</v>
      </c>
      <c r="AB714" s="19" t="s">
        <v>1091</v>
      </c>
      <c r="AC714" s="19">
        <v>54026930</v>
      </c>
      <c r="AD714" s="19" t="s">
        <v>1092</v>
      </c>
      <c r="AE714" s="19">
        <v>1</v>
      </c>
      <c r="AF714" s="19">
        <v>1042</v>
      </c>
      <c r="AG714" s="19" t="s">
        <v>1093</v>
      </c>
      <c r="AH714" s="19" t="s">
        <v>46</v>
      </c>
    </row>
    <row r="715" spans="2:34" hidden="1" x14ac:dyDescent="0.35">
      <c r="B715" s="76">
        <v>46231</v>
      </c>
      <c r="C715" s="19" t="s">
        <v>134</v>
      </c>
      <c r="D715" s="19" t="s">
        <v>126</v>
      </c>
      <c r="E715" s="19" t="s">
        <v>860</v>
      </c>
      <c r="F715" s="19" t="s">
        <v>119</v>
      </c>
      <c r="G715" s="19" t="s">
        <v>861</v>
      </c>
      <c r="H715" s="76">
        <v>46229</v>
      </c>
      <c r="I715" s="19" t="s">
        <v>105</v>
      </c>
      <c r="J715" s="19" t="s">
        <v>1142</v>
      </c>
      <c r="K715" s="19" t="s">
        <v>1509</v>
      </c>
      <c r="L715" s="19" t="s">
        <v>1509</v>
      </c>
      <c r="M715" s="19" t="s">
        <v>1145</v>
      </c>
      <c r="N715" s="19">
        <v>32</v>
      </c>
      <c r="O715" s="19">
        <v>1536</v>
      </c>
      <c r="P715" s="19" t="s">
        <v>1145</v>
      </c>
      <c r="Q715" s="19">
        <v>1810.94</v>
      </c>
      <c r="R715" s="19">
        <v>9</v>
      </c>
      <c r="S715" s="19">
        <v>138.24</v>
      </c>
      <c r="T715" s="19">
        <v>9</v>
      </c>
      <c r="U715" s="19">
        <v>138.24</v>
      </c>
      <c r="V715" s="19">
        <v>0</v>
      </c>
      <c r="W715" s="19">
        <v>0</v>
      </c>
      <c r="X715" s="19">
        <v>0</v>
      </c>
      <c r="Y715" s="19">
        <v>276.48</v>
      </c>
      <c r="Z715" s="19">
        <v>0</v>
      </c>
      <c r="AA715" s="19" t="s">
        <v>135</v>
      </c>
      <c r="AB715" s="19" t="s">
        <v>1091</v>
      </c>
      <c r="AC715" s="19">
        <v>7306309</v>
      </c>
      <c r="AD715" s="19" t="s">
        <v>1092</v>
      </c>
      <c r="AE715" s="19">
        <v>1</v>
      </c>
      <c r="AF715" s="19">
        <v>0</v>
      </c>
      <c r="AG715" s="19" t="s">
        <v>1093</v>
      </c>
      <c r="AH715" s="19" t="s">
        <v>2319</v>
      </c>
    </row>
    <row r="716" spans="2:34" x14ac:dyDescent="0.35">
      <c r="B716" s="76">
        <v>46231</v>
      </c>
      <c r="C716" s="19" t="s">
        <v>134</v>
      </c>
      <c r="D716" s="19" t="s">
        <v>173</v>
      </c>
      <c r="E716" s="19" t="s">
        <v>936</v>
      </c>
      <c r="F716" s="19" t="s">
        <v>123</v>
      </c>
      <c r="G716" s="19" t="s">
        <v>937</v>
      </c>
      <c r="H716" s="76">
        <v>46229</v>
      </c>
      <c r="I716" s="19" t="s">
        <v>36</v>
      </c>
      <c r="J716" s="19" t="s">
        <v>1117</v>
      </c>
      <c r="K716" s="19" t="s">
        <v>44</v>
      </c>
      <c r="L716" s="19" t="s">
        <v>1118</v>
      </c>
      <c r="M716" s="19" t="s">
        <v>1119</v>
      </c>
      <c r="N716" s="19">
        <v>636</v>
      </c>
      <c r="O716" s="19">
        <v>78126.240000000005</v>
      </c>
      <c r="P716" s="19" t="s">
        <v>1119</v>
      </c>
      <c r="Q716" s="19">
        <v>200074.69</v>
      </c>
      <c r="R716" s="19">
        <v>9</v>
      </c>
      <c r="S716" s="19">
        <v>7031.36</v>
      </c>
      <c r="T716" s="19">
        <v>9</v>
      </c>
      <c r="U716" s="19">
        <v>7031.36</v>
      </c>
      <c r="V716" s="19">
        <v>0</v>
      </c>
      <c r="W716" s="19">
        <v>0</v>
      </c>
      <c r="X716" s="19">
        <v>0</v>
      </c>
      <c r="Y716" s="19">
        <v>14062.72</v>
      </c>
      <c r="Z716" s="19">
        <v>0</v>
      </c>
      <c r="AA716" s="19" t="s">
        <v>135</v>
      </c>
      <c r="AB716" s="19" t="s">
        <v>1289</v>
      </c>
      <c r="AC716" s="19">
        <v>39269080</v>
      </c>
      <c r="AD716" s="19" t="s">
        <v>1092</v>
      </c>
      <c r="AE716" s="19">
        <v>1</v>
      </c>
      <c r="AF716" s="19">
        <v>636</v>
      </c>
      <c r="AG716" s="19" t="s">
        <v>1093</v>
      </c>
      <c r="AH716" s="19" t="s">
        <v>44</v>
      </c>
    </row>
    <row r="717" spans="2:34" x14ac:dyDescent="0.35">
      <c r="B717" s="76">
        <v>46231</v>
      </c>
      <c r="C717" s="19" t="s">
        <v>134</v>
      </c>
      <c r="D717" s="19" t="s">
        <v>173</v>
      </c>
      <c r="E717" s="19" t="s">
        <v>936</v>
      </c>
      <c r="F717" s="19" t="s">
        <v>123</v>
      </c>
      <c r="G717" s="19" t="s">
        <v>937</v>
      </c>
      <c r="H717" s="76">
        <v>46229</v>
      </c>
      <c r="I717" s="19" t="s">
        <v>36</v>
      </c>
      <c r="J717" s="19" t="s">
        <v>1117</v>
      </c>
      <c r="K717" s="19" t="s">
        <v>42</v>
      </c>
      <c r="L717" s="19" t="s">
        <v>1242</v>
      </c>
      <c r="M717" s="19" t="s">
        <v>1154</v>
      </c>
      <c r="N717" s="19">
        <v>420</v>
      </c>
      <c r="O717" s="19">
        <v>53272.800000000003</v>
      </c>
      <c r="P717" s="19" t="s">
        <v>1154</v>
      </c>
      <c r="Q717" s="19">
        <v>0</v>
      </c>
      <c r="R717" s="19">
        <v>9</v>
      </c>
      <c r="S717" s="19">
        <v>4794.55</v>
      </c>
      <c r="T717" s="19">
        <v>9</v>
      </c>
      <c r="U717" s="19">
        <v>4794.55</v>
      </c>
      <c r="V717" s="19">
        <v>0</v>
      </c>
      <c r="W717" s="19">
        <v>0</v>
      </c>
      <c r="X717" s="19">
        <v>0</v>
      </c>
      <c r="Y717" s="19">
        <v>9589.1</v>
      </c>
      <c r="Z717" s="19">
        <v>0</v>
      </c>
      <c r="AA717" s="19" t="s">
        <v>135</v>
      </c>
      <c r="AB717" s="19" t="s">
        <v>1289</v>
      </c>
      <c r="AC717" s="19">
        <v>63053300</v>
      </c>
      <c r="AD717" s="19" t="s">
        <v>1092</v>
      </c>
      <c r="AE717" s="19">
        <v>1</v>
      </c>
      <c r="AF717" s="19">
        <v>420</v>
      </c>
      <c r="AG717" s="19" t="s">
        <v>1093</v>
      </c>
      <c r="AH717" s="19" t="s">
        <v>42</v>
      </c>
    </row>
    <row r="718" spans="2:34" x14ac:dyDescent="0.35">
      <c r="B718" s="76">
        <v>46231</v>
      </c>
      <c r="C718" s="19" t="s">
        <v>134</v>
      </c>
      <c r="D718" s="19" t="s">
        <v>173</v>
      </c>
      <c r="E718" s="19" t="s">
        <v>936</v>
      </c>
      <c r="F718" s="19" t="s">
        <v>123</v>
      </c>
      <c r="G718" s="19" t="s">
        <v>937</v>
      </c>
      <c r="H718" s="76">
        <v>46229</v>
      </c>
      <c r="I718" s="19" t="s">
        <v>36</v>
      </c>
      <c r="J718" s="19" t="s">
        <v>1087</v>
      </c>
      <c r="K718" s="19" t="s">
        <v>46</v>
      </c>
      <c r="L718" s="19" t="s">
        <v>1213</v>
      </c>
      <c r="M718" s="19" t="s">
        <v>1926</v>
      </c>
      <c r="N718" s="19">
        <v>200.6</v>
      </c>
      <c r="O718" s="19">
        <v>37490.133999999998</v>
      </c>
      <c r="P718" s="19" t="s">
        <v>1926</v>
      </c>
      <c r="Q718" s="19">
        <v>0</v>
      </c>
      <c r="R718" s="19">
        <v>2.5</v>
      </c>
      <c r="S718" s="19">
        <v>937.25</v>
      </c>
      <c r="T718" s="19">
        <v>2.5</v>
      </c>
      <c r="U718" s="19">
        <v>937.25</v>
      </c>
      <c r="V718" s="19">
        <v>0</v>
      </c>
      <c r="W718" s="19">
        <v>0</v>
      </c>
      <c r="X718" s="19">
        <v>0</v>
      </c>
      <c r="Y718" s="19">
        <v>1874.5</v>
      </c>
      <c r="Z718" s="19">
        <v>0</v>
      </c>
      <c r="AA718" s="19" t="s">
        <v>135</v>
      </c>
      <c r="AB718" s="19" t="s">
        <v>1289</v>
      </c>
      <c r="AC718" s="19">
        <v>540263</v>
      </c>
      <c r="AD718" s="19" t="s">
        <v>1092</v>
      </c>
      <c r="AE718" s="19">
        <v>1</v>
      </c>
      <c r="AF718" s="19">
        <v>200.6</v>
      </c>
      <c r="AG718" s="19" t="s">
        <v>1093</v>
      </c>
      <c r="AH718" s="19" t="s">
        <v>46</v>
      </c>
    </row>
    <row r="719" spans="2:34" hidden="1" x14ac:dyDescent="0.35">
      <c r="B719" s="76">
        <v>46231</v>
      </c>
      <c r="C719" s="19" t="s">
        <v>134</v>
      </c>
      <c r="D719" s="19" t="s">
        <v>173</v>
      </c>
      <c r="E719" s="19" t="s">
        <v>936</v>
      </c>
      <c r="F719" s="19" t="s">
        <v>123</v>
      </c>
      <c r="G719" s="19" t="s">
        <v>937</v>
      </c>
      <c r="H719" s="76">
        <v>46229</v>
      </c>
      <c r="I719" s="19" t="s">
        <v>36</v>
      </c>
      <c r="J719" s="19" t="s">
        <v>1350</v>
      </c>
      <c r="K719" s="19" t="s">
        <v>39</v>
      </c>
      <c r="L719" s="19" t="s">
        <v>1616</v>
      </c>
      <c r="M719" s="19" t="s">
        <v>1603</v>
      </c>
      <c r="N719" s="19">
        <f>AF719</f>
        <v>19</v>
      </c>
      <c r="O719" s="19">
        <v>4943.25</v>
      </c>
      <c r="P719" s="19" t="s">
        <v>1603</v>
      </c>
      <c r="Q719" s="19">
        <v>0</v>
      </c>
      <c r="R719" s="19">
        <v>9</v>
      </c>
      <c r="S719" s="19">
        <v>444.89</v>
      </c>
      <c r="T719" s="19">
        <v>9</v>
      </c>
      <c r="U719" s="19">
        <v>444.89</v>
      </c>
      <c r="V719" s="19">
        <v>0</v>
      </c>
      <c r="W719" s="19">
        <v>0</v>
      </c>
      <c r="X719" s="19">
        <v>0</v>
      </c>
      <c r="Y719" s="19">
        <v>889.78</v>
      </c>
      <c r="Z719" s="19">
        <v>0</v>
      </c>
      <c r="AA719" s="19" t="s">
        <v>135</v>
      </c>
      <c r="AB719" s="19" t="s">
        <v>1289</v>
      </c>
      <c r="AC719" s="19">
        <v>392300</v>
      </c>
      <c r="AD719" s="19" t="s">
        <v>1092</v>
      </c>
      <c r="AE719" s="19">
        <v>1</v>
      </c>
      <c r="AF719" s="19">
        <v>19</v>
      </c>
      <c r="AG719" s="19" t="s">
        <v>1093</v>
      </c>
      <c r="AH719" s="19" t="s">
        <v>2319</v>
      </c>
    </row>
    <row r="720" spans="2:34" x14ac:dyDescent="0.35">
      <c r="B720" s="76">
        <v>46231</v>
      </c>
      <c r="C720" s="19" t="s">
        <v>134</v>
      </c>
      <c r="D720" s="19" t="s">
        <v>173</v>
      </c>
      <c r="E720" s="19" t="s">
        <v>958</v>
      </c>
      <c r="F720" s="19" t="s">
        <v>123</v>
      </c>
      <c r="G720" s="19" t="s">
        <v>959</v>
      </c>
      <c r="H720" s="76">
        <v>46231</v>
      </c>
      <c r="I720" s="19" t="s">
        <v>28</v>
      </c>
      <c r="J720" s="19" t="s">
        <v>1173</v>
      </c>
      <c r="K720" s="19" t="s">
        <v>35</v>
      </c>
      <c r="L720" s="19" t="s">
        <v>1186</v>
      </c>
      <c r="M720" s="19" t="s">
        <v>1722</v>
      </c>
      <c r="N720" s="19">
        <v>3000</v>
      </c>
      <c r="O720" s="19">
        <v>720000</v>
      </c>
      <c r="P720" s="19" t="s">
        <v>1722</v>
      </c>
      <c r="Q720" s="19">
        <v>899859.58</v>
      </c>
      <c r="R720" s="19">
        <v>9</v>
      </c>
      <c r="S720" s="19">
        <v>64800</v>
      </c>
      <c r="T720" s="19">
        <v>9</v>
      </c>
      <c r="U720" s="19">
        <v>64800</v>
      </c>
      <c r="V720" s="19">
        <v>0</v>
      </c>
      <c r="W720" s="19">
        <v>0</v>
      </c>
      <c r="X720" s="19">
        <v>0</v>
      </c>
      <c r="Y720" s="19">
        <v>129600</v>
      </c>
      <c r="Z720" s="19">
        <v>0</v>
      </c>
      <c r="AA720" s="19" t="s">
        <v>135</v>
      </c>
      <c r="AB720" s="19" t="s">
        <v>1289</v>
      </c>
      <c r="AC720" s="19">
        <v>32061190</v>
      </c>
      <c r="AD720" s="19" t="s">
        <v>1092</v>
      </c>
      <c r="AE720" s="19">
        <v>1</v>
      </c>
      <c r="AF720" s="19">
        <v>3000</v>
      </c>
      <c r="AG720" s="19" t="s">
        <v>1093</v>
      </c>
      <c r="AH720" s="19" t="s">
        <v>35</v>
      </c>
    </row>
    <row r="721" spans="2:34" x14ac:dyDescent="0.35">
      <c r="B721" s="76">
        <v>46231</v>
      </c>
      <c r="C721" s="19" t="s">
        <v>134</v>
      </c>
      <c r="D721" s="19" t="s">
        <v>173</v>
      </c>
      <c r="E721" s="19" t="s">
        <v>958</v>
      </c>
      <c r="F721" s="19" t="s">
        <v>123</v>
      </c>
      <c r="G721" s="19" t="s">
        <v>959</v>
      </c>
      <c r="H721" s="76">
        <v>46231</v>
      </c>
      <c r="I721" s="19" t="s">
        <v>36</v>
      </c>
      <c r="J721" s="19" t="s">
        <v>1117</v>
      </c>
      <c r="K721" s="19" t="s">
        <v>44</v>
      </c>
      <c r="L721" s="19" t="s">
        <v>1118</v>
      </c>
      <c r="M721" s="19" t="s">
        <v>1119</v>
      </c>
      <c r="N721" s="19">
        <v>352</v>
      </c>
      <c r="O721" s="19">
        <v>43239.68</v>
      </c>
      <c r="P721" s="19" t="s">
        <v>1119</v>
      </c>
      <c r="Q721" s="19">
        <v>0</v>
      </c>
      <c r="R721" s="19">
        <v>9</v>
      </c>
      <c r="S721" s="19">
        <v>3891.57</v>
      </c>
      <c r="T721" s="19">
        <v>9</v>
      </c>
      <c r="U721" s="19">
        <v>3891.57</v>
      </c>
      <c r="V721" s="19">
        <v>0</v>
      </c>
      <c r="W721" s="19">
        <v>0</v>
      </c>
      <c r="X721" s="19">
        <v>0</v>
      </c>
      <c r="Y721" s="19">
        <v>7783.14</v>
      </c>
      <c r="Z721" s="19">
        <v>0</v>
      </c>
      <c r="AA721" s="19" t="s">
        <v>135</v>
      </c>
      <c r="AB721" s="19" t="s">
        <v>1289</v>
      </c>
      <c r="AC721" s="19">
        <v>39269080</v>
      </c>
      <c r="AD721" s="19" t="s">
        <v>1092</v>
      </c>
      <c r="AE721" s="19">
        <v>1</v>
      </c>
      <c r="AF721" s="19">
        <v>352</v>
      </c>
      <c r="AG721" s="19" t="s">
        <v>1093</v>
      </c>
      <c r="AH721" s="19" t="s">
        <v>44</v>
      </c>
    </row>
    <row r="722" spans="2:34" x14ac:dyDescent="0.35">
      <c r="B722" s="76">
        <v>46231</v>
      </c>
      <c r="C722" s="19" t="s">
        <v>134</v>
      </c>
      <c r="D722" s="19" t="s">
        <v>173</v>
      </c>
      <c r="E722" s="19" t="s">
        <v>960</v>
      </c>
      <c r="F722" s="19" t="s">
        <v>123</v>
      </c>
      <c r="G722" s="19" t="s">
        <v>961</v>
      </c>
      <c r="H722" s="76">
        <v>46230</v>
      </c>
      <c r="I722" s="19" t="s">
        <v>36</v>
      </c>
      <c r="J722" s="19" t="s">
        <v>1087</v>
      </c>
      <c r="K722" s="19" t="s">
        <v>46</v>
      </c>
      <c r="L722" s="19" t="s">
        <v>1240</v>
      </c>
      <c r="M722" s="19" t="s">
        <v>1241</v>
      </c>
      <c r="N722" s="19">
        <v>3209.29</v>
      </c>
      <c r="O722" s="19">
        <v>437554.59860000003</v>
      </c>
      <c r="P722" s="19" t="s">
        <v>1241</v>
      </c>
      <c r="Q722" s="19">
        <v>458994.77</v>
      </c>
      <c r="R722" s="19">
        <v>2.5</v>
      </c>
      <c r="S722" s="19">
        <v>10938.86</v>
      </c>
      <c r="T722" s="19">
        <v>2.5</v>
      </c>
      <c r="U722" s="19">
        <v>10938.86</v>
      </c>
      <c r="V722" s="19">
        <v>0</v>
      </c>
      <c r="W722" s="19">
        <v>0</v>
      </c>
      <c r="X722" s="19">
        <v>0</v>
      </c>
      <c r="Y722" s="19">
        <v>21877.72</v>
      </c>
      <c r="Z722" s="19">
        <v>0</v>
      </c>
      <c r="AA722" s="19" t="s">
        <v>135</v>
      </c>
      <c r="AB722" s="19" t="s">
        <v>1289</v>
      </c>
      <c r="AC722" s="19">
        <v>540263</v>
      </c>
      <c r="AD722" s="19" t="s">
        <v>1092</v>
      </c>
      <c r="AE722" s="19">
        <v>1</v>
      </c>
      <c r="AF722" s="19">
        <v>3209.29</v>
      </c>
      <c r="AG722" s="19" t="s">
        <v>1093</v>
      </c>
      <c r="AH722" s="19" t="s">
        <v>46</v>
      </c>
    </row>
    <row r="723" spans="2:34" hidden="1" x14ac:dyDescent="0.35">
      <c r="B723" s="76">
        <v>46231</v>
      </c>
      <c r="C723" s="19" t="s">
        <v>613</v>
      </c>
      <c r="D723" s="19" t="s">
        <v>126</v>
      </c>
      <c r="E723" s="19" t="s">
        <v>894</v>
      </c>
      <c r="F723" s="19" t="s">
        <v>118</v>
      </c>
      <c r="G723" s="19" t="s">
        <v>895</v>
      </c>
      <c r="H723" s="76">
        <v>46225</v>
      </c>
      <c r="I723" s="19" t="s">
        <v>105</v>
      </c>
      <c r="J723" s="19" t="s">
        <v>1388</v>
      </c>
      <c r="K723" s="19" t="s">
        <v>1127</v>
      </c>
      <c r="L723" s="19" t="s">
        <v>1389</v>
      </c>
      <c r="M723" s="19" t="s">
        <v>1390</v>
      </c>
      <c r="N723" s="19">
        <v>150</v>
      </c>
      <c r="O723" s="19">
        <v>19950</v>
      </c>
      <c r="P723" s="19" t="s">
        <v>1390</v>
      </c>
      <c r="Q723" s="19">
        <v>106118.42</v>
      </c>
      <c r="R723" s="19">
        <v>2.5</v>
      </c>
      <c r="S723" s="19">
        <v>498.75</v>
      </c>
      <c r="T723" s="19">
        <v>2.5</v>
      </c>
      <c r="U723" s="19">
        <v>498.75</v>
      </c>
      <c r="V723" s="19">
        <v>0</v>
      </c>
      <c r="W723" s="19">
        <v>0</v>
      </c>
      <c r="X723" s="19">
        <v>0</v>
      </c>
      <c r="Y723" s="19">
        <v>997.5</v>
      </c>
      <c r="Z723" s="19">
        <v>0</v>
      </c>
      <c r="AA723" s="19" t="s">
        <v>614</v>
      </c>
      <c r="AB723" s="19" t="s">
        <v>1555</v>
      </c>
      <c r="AC723" s="19">
        <v>84529099</v>
      </c>
      <c r="AD723" s="19" t="s">
        <v>1092</v>
      </c>
      <c r="AE723" s="19">
        <v>1</v>
      </c>
      <c r="AF723" s="19">
        <v>0</v>
      </c>
      <c r="AG723" s="19" t="s">
        <v>1093</v>
      </c>
      <c r="AH723" s="19" t="s">
        <v>2319</v>
      </c>
    </row>
    <row r="724" spans="2:34" hidden="1" x14ac:dyDescent="0.35">
      <c r="B724" s="76">
        <v>46231</v>
      </c>
      <c r="C724" s="19" t="s">
        <v>613</v>
      </c>
      <c r="D724" s="19" t="s">
        <v>126</v>
      </c>
      <c r="E724" s="19" t="s">
        <v>894</v>
      </c>
      <c r="F724" s="19" t="s">
        <v>118</v>
      </c>
      <c r="G724" s="19" t="s">
        <v>895</v>
      </c>
      <c r="H724" s="76">
        <v>46225</v>
      </c>
      <c r="I724" s="19" t="s">
        <v>105</v>
      </c>
      <c r="J724" s="19" t="s">
        <v>1388</v>
      </c>
      <c r="K724" s="19" t="s">
        <v>1127</v>
      </c>
      <c r="L724" s="19" t="s">
        <v>1389</v>
      </c>
      <c r="M724" s="19" t="s">
        <v>1927</v>
      </c>
      <c r="N724" s="19">
        <v>450</v>
      </c>
      <c r="O724" s="19">
        <v>81211.5</v>
      </c>
      <c r="P724" s="19" t="s">
        <v>1927</v>
      </c>
      <c r="Q724" s="19">
        <v>0</v>
      </c>
      <c r="R724" s="19">
        <v>2.5</v>
      </c>
      <c r="S724" s="19">
        <v>2030.29</v>
      </c>
      <c r="T724" s="19">
        <v>2.5</v>
      </c>
      <c r="U724" s="19">
        <v>2030.29</v>
      </c>
      <c r="V724" s="19">
        <v>0</v>
      </c>
      <c r="W724" s="19">
        <v>0</v>
      </c>
      <c r="X724" s="19">
        <v>0</v>
      </c>
      <c r="Y724" s="19">
        <v>4060.58</v>
      </c>
      <c r="Z724" s="19">
        <v>0</v>
      </c>
      <c r="AA724" s="19" t="s">
        <v>614</v>
      </c>
      <c r="AB724" s="19" t="s">
        <v>1555</v>
      </c>
      <c r="AC724" s="19">
        <v>84529099</v>
      </c>
      <c r="AD724" s="19" t="s">
        <v>1092</v>
      </c>
      <c r="AE724" s="19">
        <v>1</v>
      </c>
      <c r="AF724" s="19">
        <v>0</v>
      </c>
      <c r="AG724" s="19" t="s">
        <v>1093</v>
      </c>
      <c r="AH724" s="19" t="s">
        <v>2319</v>
      </c>
    </row>
    <row r="725" spans="2:34" hidden="1" x14ac:dyDescent="0.35">
      <c r="B725" s="76">
        <v>46231</v>
      </c>
      <c r="C725" s="19" t="s">
        <v>822</v>
      </c>
      <c r="D725" s="19" t="s">
        <v>126</v>
      </c>
      <c r="E725" s="19" t="s">
        <v>903</v>
      </c>
      <c r="F725" s="19" t="s">
        <v>121</v>
      </c>
      <c r="G725" s="19" t="s">
        <v>904</v>
      </c>
      <c r="H725" s="76">
        <v>46228</v>
      </c>
      <c r="I725" s="19" t="s">
        <v>105</v>
      </c>
      <c r="J725" s="19" t="s">
        <v>1553</v>
      </c>
      <c r="K725" s="19" t="s">
        <v>1127</v>
      </c>
      <c r="L725" s="19" t="s">
        <v>1389</v>
      </c>
      <c r="M725" s="19" t="s">
        <v>1892</v>
      </c>
      <c r="N725" s="19">
        <v>15</v>
      </c>
      <c r="O725" s="19">
        <v>3750</v>
      </c>
      <c r="P725" s="19" t="s">
        <v>1892</v>
      </c>
      <c r="Q725" s="19">
        <v>3990</v>
      </c>
      <c r="R725" s="19">
        <v>0</v>
      </c>
      <c r="S725" s="19">
        <v>0</v>
      </c>
      <c r="T725" s="19">
        <v>0</v>
      </c>
      <c r="U725" s="19">
        <v>0</v>
      </c>
      <c r="V725" s="19">
        <v>5</v>
      </c>
      <c r="W725" s="19">
        <v>187.5</v>
      </c>
      <c r="X725" s="19">
        <v>2.5</v>
      </c>
      <c r="Y725" s="19">
        <v>190</v>
      </c>
      <c r="Z725" s="19">
        <v>0</v>
      </c>
      <c r="AA725" s="19" t="s">
        <v>823</v>
      </c>
      <c r="AB725" s="19" t="s">
        <v>1555</v>
      </c>
      <c r="AC725" s="19">
        <v>84529099</v>
      </c>
      <c r="AD725" s="19" t="s">
        <v>1092</v>
      </c>
      <c r="AE725" s="19">
        <v>1</v>
      </c>
      <c r="AF725" s="19">
        <v>0</v>
      </c>
      <c r="AG725" s="19" t="s">
        <v>1093</v>
      </c>
      <c r="AH725" s="19" t="s">
        <v>2319</v>
      </c>
    </row>
    <row r="726" spans="2:34" hidden="1" x14ac:dyDescent="0.35">
      <c r="B726" s="76">
        <v>46231</v>
      </c>
      <c r="C726" s="19" t="s">
        <v>680</v>
      </c>
      <c r="D726" s="19" t="s">
        <v>126</v>
      </c>
      <c r="E726" s="19" t="s">
        <v>902</v>
      </c>
      <c r="F726" s="19" t="s">
        <v>121</v>
      </c>
      <c r="G726" s="19">
        <v>75</v>
      </c>
      <c r="H726" s="76">
        <v>46225</v>
      </c>
      <c r="I726" s="19" t="s">
        <v>105</v>
      </c>
      <c r="J726" s="19" t="s">
        <v>1579</v>
      </c>
      <c r="K726" s="19" t="s">
        <v>1127</v>
      </c>
      <c r="L726" s="19" t="s">
        <v>1389</v>
      </c>
      <c r="M726" s="19" t="s">
        <v>1928</v>
      </c>
      <c r="N726" s="19">
        <v>120</v>
      </c>
      <c r="O726" s="19">
        <v>38400</v>
      </c>
      <c r="P726" s="19" t="s">
        <v>1928</v>
      </c>
      <c r="Q726" s="19">
        <v>45312</v>
      </c>
      <c r="R726" s="19">
        <v>0</v>
      </c>
      <c r="S726" s="19">
        <v>0</v>
      </c>
      <c r="T726" s="19">
        <v>0</v>
      </c>
      <c r="U726" s="19">
        <v>0</v>
      </c>
      <c r="V726" s="19">
        <v>18</v>
      </c>
      <c r="W726" s="19">
        <v>6912</v>
      </c>
      <c r="X726" s="19">
        <v>0</v>
      </c>
      <c r="Y726" s="19">
        <v>6912</v>
      </c>
      <c r="Z726" s="19">
        <v>0</v>
      </c>
      <c r="AA726" s="19" t="s">
        <v>681</v>
      </c>
      <c r="AB726" s="19" t="s">
        <v>1555</v>
      </c>
      <c r="AC726" s="19">
        <v>844810</v>
      </c>
      <c r="AD726" s="19" t="s">
        <v>1092</v>
      </c>
      <c r="AE726" s="19">
        <v>1</v>
      </c>
      <c r="AF726" s="19">
        <v>0</v>
      </c>
      <c r="AG726" s="19" t="s">
        <v>1093</v>
      </c>
      <c r="AH726" s="19" t="s">
        <v>2319</v>
      </c>
    </row>
    <row r="727" spans="2:34" hidden="1" x14ac:dyDescent="0.35">
      <c r="B727" s="76">
        <v>46231</v>
      </c>
      <c r="C727" s="19" t="s">
        <v>145</v>
      </c>
      <c r="D727" s="19" t="s">
        <v>7</v>
      </c>
      <c r="E727" s="19" t="s">
        <v>872</v>
      </c>
      <c r="F727" s="19" t="s">
        <v>119</v>
      </c>
      <c r="G727" s="19" t="s">
        <v>873</v>
      </c>
      <c r="H727" s="76">
        <v>46204</v>
      </c>
      <c r="I727" s="19" t="s">
        <v>101</v>
      </c>
      <c r="J727" s="19" t="s">
        <v>1575</v>
      </c>
      <c r="K727" s="19" t="s">
        <v>1509</v>
      </c>
      <c r="L727" s="19" t="s">
        <v>1509</v>
      </c>
      <c r="M727" s="19" t="s">
        <v>1929</v>
      </c>
      <c r="N727" s="19">
        <v>90</v>
      </c>
      <c r="O727" s="19">
        <v>83070</v>
      </c>
      <c r="P727" s="19" t="s">
        <v>1929</v>
      </c>
      <c r="Q727" s="19">
        <v>146244</v>
      </c>
      <c r="R727" s="19">
        <v>2.5</v>
      </c>
      <c r="S727" s="19">
        <v>2076.75</v>
      </c>
      <c r="T727" s="19">
        <v>2.5</v>
      </c>
      <c r="U727" s="19">
        <v>2076.75</v>
      </c>
      <c r="V727" s="19">
        <v>0</v>
      </c>
      <c r="W727" s="19">
        <v>0</v>
      </c>
      <c r="X727" s="19">
        <v>0</v>
      </c>
      <c r="Y727" s="19">
        <v>4153.5</v>
      </c>
      <c r="Z727" s="19">
        <v>0</v>
      </c>
      <c r="AA727" s="19" t="s">
        <v>146</v>
      </c>
      <c r="AB727" s="19" t="s">
        <v>1555</v>
      </c>
      <c r="AC727" s="19">
        <v>4415200</v>
      </c>
      <c r="AD727" s="19" t="s">
        <v>1092</v>
      </c>
      <c r="AE727" s="19">
        <v>1</v>
      </c>
      <c r="AF727" s="19">
        <v>0</v>
      </c>
      <c r="AG727" s="19" t="s">
        <v>1093</v>
      </c>
      <c r="AH727" s="19" t="s">
        <v>2319</v>
      </c>
    </row>
    <row r="728" spans="2:34" hidden="1" x14ac:dyDescent="0.35">
      <c r="B728" s="76">
        <v>46231</v>
      </c>
      <c r="C728" s="19" t="s">
        <v>145</v>
      </c>
      <c r="D728" s="19" t="s">
        <v>7</v>
      </c>
      <c r="E728" s="19" t="s">
        <v>872</v>
      </c>
      <c r="F728" s="19" t="s">
        <v>119</v>
      </c>
      <c r="G728" s="19" t="s">
        <v>873</v>
      </c>
      <c r="H728" s="76">
        <v>46204</v>
      </c>
      <c r="I728" s="19" t="s">
        <v>101</v>
      </c>
      <c r="J728" s="19" t="s">
        <v>1575</v>
      </c>
      <c r="K728" s="19" t="s">
        <v>1575</v>
      </c>
      <c r="L728" s="19" t="s">
        <v>1509</v>
      </c>
      <c r="M728" s="19" t="s">
        <v>1576</v>
      </c>
      <c r="N728" s="19">
        <v>70</v>
      </c>
      <c r="O728" s="19">
        <v>56210</v>
      </c>
      <c r="P728" s="19" t="s">
        <v>1576</v>
      </c>
      <c r="Q728" s="19">
        <v>0</v>
      </c>
      <c r="R728" s="19">
        <v>2.5</v>
      </c>
      <c r="S728" s="19">
        <v>1405.25</v>
      </c>
      <c r="T728" s="19">
        <v>2.5</v>
      </c>
      <c r="U728" s="19">
        <v>1405.25</v>
      </c>
      <c r="V728" s="19">
        <v>0</v>
      </c>
      <c r="W728" s="19">
        <v>0</v>
      </c>
      <c r="X728" s="19">
        <v>0</v>
      </c>
      <c r="Y728" s="19">
        <v>2810.5</v>
      </c>
      <c r="Z728" s="19">
        <v>0</v>
      </c>
      <c r="AA728" s="19" t="s">
        <v>146</v>
      </c>
      <c r="AB728" s="19" t="s">
        <v>1555</v>
      </c>
      <c r="AC728" s="19">
        <v>44152000</v>
      </c>
      <c r="AD728" s="19" t="s">
        <v>1092</v>
      </c>
      <c r="AE728" s="19">
        <v>1</v>
      </c>
      <c r="AF728" s="19">
        <v>0</v>
      </c>
      <c r="AG728" s="19" t="s">
        <v>1093</v>
      </c>
      <c r="AH728" s="19" t="s">
        <v>2319</v>
      </c>
    </row>
    <row r="729" spans="2:34" hidden="1" x14ac:dyDescent="0.35">
      <c r="B729" s="76">
        <v>46231</v>
      </c>
      <c r="C729" s="19" t="s">
        <v>145</v>
      </c>
      <c r="D729" s="19" t="s">
        <v>7</v>
      </c>
      <c r="E729" s="19" t="s">
        <v>876</v>
      </c>
      <c r="F729" s="19" t="s">
        <v>119</v>
      </c>
      <c r="G729" s="19" t="s">
        <v>877</v>
      </c>
      <c r="H729" s="76">
        <v>46227</v>
      </c>
      <c r="I729" s="19" t="s">
        <v>101</v>
      </c>
      <c r="J729" s="19" t="s">
        <v>1575</v>
      </c>
      <c r="K729" s="19" t="s">
        <v>1575</v>
      </c>
      <c r="L729" s="19" t="s">
        <v>1509</v>
      </c>
      <c r="M729" s="19" t="s">
        <v>1576</v>
      </c>
      <c r="N729" s="19">
        <v>55</v>
      </c>
      <c r="O729" s="19">
        <v>44165</v>
      </c>
      <c r="P729" s="19" t="s">
        <v>1576</v>
      </c>
      <c r="Q729" s="19">
        <v>112129.5</v>
      </c>
      <c r="R729" s="19">
        <v>2.5</v>
      </c>
      <c r="S729" s="19">
        <v>1104.1199999999999</v>
      </c>
      <c r="T729" s="19">
        <v>2.5</v>
      </c>
      <c r="U729" s="19">
        <v>1104.1199999999999</v>
      </c>
      <c r="V729" s="19">
        <v>0</v>
      </c>
      <c r="W729" s="19">
        <v>0</v>
      </c>
      <c r="X729" s="19">
        <v>0</v>
      </c>
      <c r="Y729" s="19">
        <v>2208.2399999999998</v>
      </c>
      <c r="Z729" s="19">
        <v>0</v>
      </c>
      <c r="AA729" s="19" t="s">
        <v>146</v>
      </c>
      <c r="AB729" s="19" t="s">
        <v>1555</v>
      </c>
      <c r="AC729" s="19">
        <v>44152000</v>
      </c>
      <c r="AD729" s="19" t="s">
        <v>1092</v>
      </c>
      <c r="AE729" s="19">
        <v>1</v>
      </c>
      <c r="AF729" s="19">
        <v>0</v>
      </c>
      <c r="AG729" s="19" t="s">
        <v>1093</v>
      </c>
      <c r="AH729" s="19" t="s">
        <v>2319</v>
      </c>
    </row>
    <row r="730" spans="2:34" hidden="1" x14ac:dyDescent="0.35">
      <c r="B730" s="76">
        <v>46231</v>
      </c>
      <c r="C730" s="19" t="s">
        <v>145</v>
      </c>
      <c r="D730" s="19" t="s">
        <v>7</v>
      </c>
      <c r="E730" s="19" t="s">
        <v>876</v>
      </c>
      <c r="F730" s="19" t="s">
        <v>119</v>
      </c>
      <c r="G730" s="19" t="s">
        <v>877</v>
      </c>
      <c r="H730" s="76">
        <v>46227</v>
      </c>
      <c r="I730" s="19" t="s">
        <v>101</v>
      </c>
      <c r="J730" s="19" t="s">
        <v>1575</v>
      </c>
      <c r="K730" s="19" t="s">
        <v>1575</v>
      </c>
      <c r="L730" s="19" t="s">
        <v>1509</v>
      </c>
      <c r="M730" s="19" t="s">
        <v>1576</v>
      </c>
      <c r="N730" s="19">
        <v>45</v>
      </c>
      <c r="O730" s="19">
        <v>32625</v>
      </c>
      <c r="P730" s="19" t="s">
        <v>1576</v>
      </c>
      <c r="Q730" s="19">
        <v>0</v>
      </c>
      <c r="R730" s="19">
        <v>2.5</v>
      </c>
      <c r="S730" s="19">
        <v>815.62</v>
      </c>
      <c r="T730" s="19">
        <v>2.5</v>
      </c>
      <c r="U730" s="19">
        <v>815.62</v>
      </c>
      <c r="V730" s="19">
        <v>0</v>
      </c>
      <c r="W730" s="19">
        <v>0</v>
      </c>
      <c r="X730" s="19">
        <v>0</v>
      </c>
      <c r="Y730" s="19">
        <v>1631.24</v>
      </c>
      <c r="Z730" s="19">
        <v>0</v>
      </c>
      <c r="AA730" s="19" t="s">
        <v>146</v>
      </c>
      <c r="AB730" s="19" t="s">
        <v>1555</v>
      </c>
      <c r="AC730" s="19">
        <v>44152000</v>
      </c>
      <c r="AD730" s="19" t="s">
        <v>1092</v>
      </c>
      <c r="AE730" s="19">
        <v>1</v>
      </c>
      <c r="AF730" s="19">
        <v>0</v>
      </c>
      <c r="AG730" s="19" t="s">
        <v>1093</v>
      </c>
      <c r="AH730" s="19" t="s">
        <v>2319</v>
      </c>
    </row>
    <row r="731" spans="2:34" hidden="1" x14ac:dyDescent="0.35">
      <c r="B731" s="76">
        <v>46231</v>
      </c>
      <c r="C731" s="19" t="s">
        <v>145</v>
      </c>
      <c r="D731" s="19" t="s">
        <v>7</v>
      </c>
      <c r="E731" s="19" t="s">
        <v>876</v>
      </c>
      <c r="F731" s="19" t="s">
        <v>119</v>
      </c>
      <c r="G731" s="19" t="s">
        <v>877</v>
      </c>
      <c r="H731" s="76">
        <v>46227</v>
      </c>
      <c r="I731" s="19" t="s">
        <v>101</v>
      </c>
      <c r="J731" s="19" t="s">
        <v>1508</v>
      </c>
      <c r="K731" s="19" t="s">
        <v>1509</v>
      </c>
      <c r="L731" s="19" t="s">
        <v>1509</v>
      </c>
      <c r="M731" s="19" t="s">
        <v>1930</v>
      </c>
      <c r="N731" s="19">
        <v>50</v>
      </c>
      <c r="O731" s="19">
        <v>30000</v>
      </c>
      <c r="P731" s="19" t="s">
        <v>1930</v>
      </c>
      <c r="Q731" s="19">
        <v>0</v>
      </c>
      <c r="R731" s="19">
        <v>2.5</v>
      </c>
      <c r="S731" s="19">
        <v>750</v>
      </c>
      <c r="T731" s="19">
        <v>2.5</v>
      </c>
      <c r="U731" s="19">
        <v>750</v>
      </c>
      <c r="V731" s="19">
        <v>0</v>
      </c>
      <c r="W731" s="19">
        <v>0</v>
      </c>
      <c r="X731" s="19">
        <v>0</v>
      </c>
      <c r="Y731" s="19">
        <v>1500</v>
      </c>
      <c r="Z731" s="19">
        <v>0</v>
      </c>
      <c r="AA731" s="19" t="s">
        <v>146</v>
      </c>
      <c r="AB731" s="19" t="s">
        <v>1555</v>
      </c>
      <c r="AC731" s="19">
        <v>44152000</v>
      </c>
      <c r="AD731" s="19" t="s">
        <v>1092</v>
      </c>
      <c r="AE731" s="19">
        <v>1</v>
      </c>
      <c r="AF731" s="19">
        <v>0</v>
      </c>
      <c r="AG731" s="19" t="s">
        <v>1093</v>
      </c>
      <c r="AH731" s="19" t="s">
        <v>2319</v>
      </c>
    </row>
    <row r="732" spans="2:34" hidden="1" x14ac:dyDescent="0.35">
      <c r="B732" s="76">
        <v>46231</v>
      </c>
      <c r="C732" s="19" t="s">
        <v>197</v>
      </c>
      <c r="D732" s="19" t="s">
        <v>126</v>
      </c>
      <c r="E732" s="19" t="s">
        <v>880</v>
      </c>
      <c r="F732" s="19" t="s">
        <v>118</v>
      </c>
      <c r="G732" s="19" t="s">
        <v>881</v>
      </c>
      <c r="H732" s="76">
        <v>46225</v>
      </c>
      <c r="I732" s="19" t="s">
        <v>105</v>
      </c>
      <c r="J732" s="19" t="s">
        <v>1697</v>
      </c>
      <c r="K732" s="19" t="s">
        <v>1127</v>
      </c>
      <c r="L732" s="19" t="s">
        <v>1389</v>
      </c>
      <c r="M732" s="19" t="s">
        <v>1931</v>
      </c>
      <c r="N732" s="19">
        <v>20</v>
      </c>
      <c r="O732" s="19">
        <v>1263.9000000000001</v>
      </c>
      <c r="P732" s="19" t="s">
        <v>1931</v>
      </c>
      <c r="Q732" s="19">
        <v>31293</v>
      </c>
      <c r="R732" s="19">
        <v>9</v>
      </c>
      <c r="S732" s="19">
        <v>113.75</v>
      </c>
      <c r="T732" s="19">
        <v>9</v>
      </c>
      <c r="U732" s="19">
        <v>113.75</v>
      </c>
      <c r="V732" s="19">
        <v>0</v>
      </c>
      <c r="W732" s="19">
        <v>0</v>
      </c>
      <c r="X732" s="19">
        <v>0</v>
      </c>
      <c r="Y732" s="19">
        <v>227.5</v>
      </c>
      <c r="Z732" s="19">
        <v>0</v>
      </c>
      <c r="AA732" s="19" t="s">
        <v>198</v>
      </c>
      <c r="AB732" s="19" t="s">
        <v>1555</v>
      </c>
      <c r="AC732" s="19">
        <v>85366990</v>
      </c>
      <c r="AD732" s="19" t="s">
        <v>1092</v>
      </c>
      <c r="AE732" s="19">
        <v>1</v>
      </c>
      <c r="AF732" s="19">
        <v>0</v>
      </c>
      <c r="AG732" s="19" t="s">
        <v>1093</v>
      </c>
      <c r="AH732" s="19" t="s">
        <v>2319</v>
      </c>
    </row>
    <row r="733" spans="2:34" hidden="1" x14ac:dyDescent="0.35">
      <c r="B733" s="76">
        <v>46231</v>
      </c>
      <c r="C733" s="19" t="s">
        <v>197</v>
      </c>
      <c r="D733" s="19" t="s">
        <v>126</v>
      </c>
      <c r="E733" s="19" t="s">
        <v>880</v>
      </c>
      <c r="F733" s="19" t="s">
        <v>118</v>
      </c>
      <c r="G733" s="19" t="s">
        <v>881</v>
      </c>
      <c r="H733" s="76">
        <v>46225</v>
      </c>
      <c r="I733" s="19" t="s">
        <v>105</v>
      </c>
      <c r="J733" s="19" t="s">
        <v>1697</v>
      </c>
      <c r="K733" s="19" t="s">
        <v>1127</v>
      </c>
      <c r="L733" s="19" t="s">
        <v>1389</v>
      </c>
      <c r="M733" s="19" t="s">
        <v>1932</v>
      </c>
      <c r="N733" s="19">
        <v>200</v>
      </c>
      <c r="O733" s="19">
        <v>1258</v>
      </c>
      <c r="P733" s="19" t="s">
        <v>1932</v>
      </c>
      <c r="Q733" s="19">
        <v>0</v>
      </c>
      <c r="R733" s="19">
        <v>9</v>
      </c>
      <c r="S733" s="19">
        <v>113.22</v>
      </c>
      <c r="T733" s="19">
        <v>9</v>
      </c>
      <c r="U733" s="19">
        <v>113.22</v>
      </c>
      <c r="V733" s="19">
        <v>0</v>
      </c>
      <c r="W733" s="19">
        <v>0</v>
      </c>
      <c r="X733" s="19">
        <v>0</v>
      </c>
      <c r="Y733" s="19">
        <v>226.44</v>
      </c>
      <c r="Z733" s="19">
        <v>0</v>
      </c>
      <c r="AA733" s="19" t="s">
        <v>198</v>
      </c>
      <c r="AB733" s="19" t="s">
        <v>1555</v>
      </c>
      <c r="AC733" s="19">
        <v>853690</v>
      </c>
      <c r="AD733" s="19" t="s">
        <v>1092</v>
      </c>
      <c r="AE733" s="19">
        <v>1</v>
      </c>
      <c r="AF733" s="19">
        <v>0</v>
      </c>
      <c r="AG733" s="19" t="s">
        <v>1093</v>
      </c>
      <c r="AH733" s="19" t="s">
        <v>2319</v>
      </c>
    </row>
    <row r="734" spans="2:34" hidden="1" x14ac:dyDescent="0.35">
      <c r="B734" s="76">
        <v>46231</v>
      </c>
      <c r="C734" s="19" t="s">
        <v>197</v>
      </c>
      <c r="D734" s="19" t="s">
        <v>126</v>
      </c>
      <c r="E734" s="19" t="s">
        <v>880</v>
      </c>
      <c r="F734" s="19" t="s">
        <v>118</v>
      </c>
      <c r="G734" s="19" t="s">
        <v>881</v>
      </c>
      <c r="H734" s="76">
        <v>46225</v>
      </c>
      <c r="I734" s="19" t="s">
        <v>105</v>
      </c>
      <c r="J734" s="19" t="s">
        <v>1697</v>
      </c>
      <c r="K734" s="19" t="s">
        <v>1127</v>
      </c>
      <c r="L734" s="19" t="s">
        <v>1389</v>
      </c>
      <c r="M734" s="19" t="s">
        <v>1933</v>
      </c>
      <c r="N734" s="19">
        <v>100</v>
      </c>
      <c r="O734" s="19">
        <v>357.5</v>
      </c>
      <c r="P734" s="19" t="s">
        <v>1933</v>
      </c>
      <c r="Q734" s="19">
        <v>0</v>
      </c>
      <c r="R734" s="19">
        <v>9</v>
      </c>
      <c r="S734" s="19">
        <v>32.17</v>
      </c>
      <c r="T734" s="19">
        <v>9</v>
      </c>
      <c r="U734" s="19">
        <v>32.17</v>
      </c>
      <c r="V734" s="19">
        <v>0</v>
      </c>
      <c r="W734" s="19">
        <v>0</v>
      </c>
      <c r="X734" s="19">
        <v>0</v>
      </c>
      <c r="Y734" s="19">
        <v>64.34</v>
      </c>
      <c r="Z734" s="19">
        <v>0</v>
      </c>
      <c r="AA734" s="19" t="s">
        <v>198</v>
      </c>
      <c r="AB734" s="19" t="s">
        <v>1555</v>
      </c>
      <c r="AC734" s="19">
        <v>853690</v>
      </c>
      <c r="AD734" s="19" t="s">
        <v>1092</v>
      </c>
      <c r="AE734" s="19">
        <v>1</v>
      </c>
      <c r="AF734" s="19">
        <v>0</v>
      </c>
      <c r="AG734" s="19" t="s">
        <v>1093</v>
      </c>
      <c r="AH734" s="19" t="s">
        <v>2319</v>
      </c>
    </row>
    <row r="735" spans="2:34" hidden="1" x14ac:dyDescent="0.35">
      <c r="B735" s="76">
        <v>46231</v>
      </c>
      <c r="C735" s="19" t="s">
        <v>197</v>
      </c>
      <c r="D735" s="19" t="s">
        <v>126</v>
      </c>
      <c r="E735" s="19" t="s">
        <v>880</v>
      </c>
      <c r="F735" s="19" t="s">
        <v>118</v>
      </c>
      <c r="G735" s="19" t="s">
        <v>881</v>
      </c>
      <c r="H735" s="76">
        <v>46225</v>
      </c>
      <c r="I735" s="19" t="s">
        <v>105</v>
      </c>
      <c r="J735" s="19" t="s">
        <v>1785</v>
      </c>
      <c r="K735" s="19" t="s">
        <v>1127</v>
      </c>
      <c r="L735" s="19" t="s">
        <v>1389</v>
      </c>
      <c r="M735" s="19" t="s">
        <v>1934</v>
      </c>
      <c r="N735" s="19">
        <v>200</v>
      </c>
      <c r="O735" s="19">
        <v>5526.8</v>
      </c>
      <c r="P735" s="19" t="s">
        <v>1934</v>
      </c>
      <c r="Q735" s="19">
        <v>0</v>
      </c>
      <c r="R735" s="19">
        <v>9</v>
      </c>
      <c r="S735" s="19">
        <v>497.41</v>
      </c>
      <c r="T735" s="19">
        <v>9</v>
      </c>
      <c r="U735" s="19">
        <v>497.41</v>
      </c>
      <c r="V735" s="19">
        <v>0</v>
      </c>
      <c r="W735" s="19">
        <v>0</v>
      </c>
      <c r="X735" s="19">
        <v>0</v>
      </c>
      <c r="Y735" s="19">
        <v>994.82</v>
      </c>
      <c r="Z735" s="19">
        <v>0</v>
      </c>
      <c r="AA735" s="19" t="s">
        <v>198</v>
      </c>
      <c r="AB735" s="19" t="s">
        <v>1654</v>
      </c>
      <c r="AC735" s="19">
        <v>854460</v>
      </c>
      <c r="AD735" s="19" t="s">
        <v>1092</v>
      </c>
      <c r="AE735" s="19">
        <v>1</v>
      </c>
      <c r="AF735" s="19">
        <v>0</v>
      </c>
      <c r="AG735" s="19" t="s">
        <v>1093</v>
      </c>
      <c r="AH735" s="19" t="s">
        <v>2319</v>
      </c>
    </row>
    <row r="736" spans="2:34" hidden="1" x14ac:dyDescent="0.35">
      <c r="B736" s="76">
        <v>46231</v>
      </c>
      <c r="C736" s="19" t="s">
        <v>197</v>
      </c>
      <c r="D736" s="19" t="s">
        <v>126</v>
      </c>
      <c r="E736" s="19" t="s">
        <v>880</v>
      </c>
      <c r="F736" s="19" t="s">
        <v>118</v>
      </c>
      <c r="G736" s="19" t="s">
        <v>881</v>
      </c>
      <c r="H736" s="76">
        <v>46225</v>
      </c>
      <c r="I736" s="19" t="s">
        <v>105</v>
      </c>
      <c r="J736" s="19" t="s">
        <v>1785</v>
      </c>
      <c r="K736" s="19" t="s">
        <v>1127</v>
      </c>
      <c r="L736" s="19" t="s">
        <v>1389</v>
      </c>
      <c r="M736" s="19" t="s">
        <v>1935</v>
      </c>
      <c r="N736" s="19">
        <v>200</v>
      </c>
      <c r="O736" s="19">
        <v>18113.8</v>
      </c>
      <c r="P736" s="19" t="s">
        <v>1935</v>
      </c>
      <c r="Q736" s="19">
        <v>0</v>
      </c>
      <c r="R736" s="19">
        <v>9</v>
      </c>
      <c r="S736" s="19">
        <v>1630.24</v>
      </c>
      <c r="T736" s="19">
        <v>9</v>
      </c>
      <c r="U736" s="19">
        <v>1630.24</v>
      </c>
      <c r="V736" s="19">
        <v>0</v>
      </c>
      <c r="W736" s="19">
        <v>0</v>
      </c>
      <c r="X736" s="19">
        <v>0</v>
      </c>
      <c r="Y736" s="19">
        <v>3260.48</v>
      </c>
      <c r="Z736" s="19">
        <v>0</v>
      </c>
      <c r="AA736" s="19" t="s">
        <v>198</v>
      </c>
      <c r="AB736" s="19" t="s">
        <v>1654</v>
      </c>
      <c r="AC736" s="19">
        <v>854460</v>
      </c>
      <c r="AD736" s="19" t="s">
        <v>1092</v>
      </c>
      <c r="AE736" s="19">
        <v>1</v>
      </c>
      <c r="AF736" s="19">
        <v>0</v>
      </c>
      <c r="AG736" s="19" t="s">
        <v>1093</v>
      </c>
      <c r="AH736" s="19" t="s">
        <v>2319</v>
      </c>
    </row>
    <row r="737" spans="2:34" hidden="1" x14ac:dyDescent="0.35">
      <c r="B737" s="76">
        <v>46231</v>
      </c>
      <c r="C737" s="19" t="s">
        <v>305</v>
      </c>
      <c r="D737" s="19" t="s">
        <v>126</v>
      </c>
      <c r="E737" s="19" t="s">
        <v>850</v>
      </c>
      <c r="F737" s="19" t="s">
        <v>118</v>
      </c>
      <c r="G737" s="19" t="s">
        <v>851</v>
      </c>
      <c r="H737" s="76">
        <v>46227</v>
      </c>
      <c r="I737" s="19" t="s">
        <v>102</v>
      </c>
      <c r="J737" s="19" t="s">
        <v>1673</v>
      </c>
      <c r="K737" s="19" t="s">
        <v>1127</v>
      </c>
      <c r="L737" s="19" t="s">
        <v>1389</v>
      </c>
      <c r="M737" s="19" t="s">
        <v>1709</v>
      </c>
      <c r="N737" s="19">
        <v>318</v>
      </c>
      <c r="O737" s="19">
        <v>62010</v>
      </c>
      <c r="P737" s="19" t="s">
        <v>1709</v>
      </c>
      <c r="Q737" s="19">
        <v>66371</v>
      </c>
      <c r="R737" s="19">
        <v>2.5</v>
      </c>
      <c r="S737" s="19">
        <v>1550.25</v>
      </c>
      <c r="T737" s="19">
        <v>2.5</v>
      </c>
      <c r="U737" s="19">
        <v>1550.25</v>
      </c>
      <c r="V737" s="19">
        <v>0</v>
      </c>
      <c r="W737" s="19">
        <v>0</v>
      </c>
      <c r="X737" s="19">
        <v>60</v>
      </c>
      <c r="Y737" s="19">
        <v>3160.5</v>
      </c>
      <c r="Z737" s="19">
        <v>0</v>
      </c>
      <c r="AA737" s="19" t="s">
        <v>306</v>
      </c>
      <c r="AB737" s="19" t="s">
        <v>1555</v>
      </c>
      <c r="AC737" s="19">
        <v>320414</v>
      </c>
      <c r="AD737" s="19" t="s">
        <v>1092</v>
      </c>
      <c r="AE737" s="19">
        <v>1</v>
      </c>
      <c r="AF737" s="19">
        <v>0</v>
      </c>
      <c r="AG737" s="19" t="s">
        <v>1093</v>
      </c>
      <c r="AH737" s="19" t="s">
        <v>2319</v>
      </c>
    </row>
    <row r="738" spans="2:34" hidden="1" x14ac:dyDescent="0.35">
      <c r="B738" s="76">
        <v>46231</v>
      </c>
      <c r="C738" s="19" t="s">
        <v>854</v>
      </c>
      <c r="D738" s="19" t="s">
        <v>126</v>
      </c>
      <c r="E738" s="19" t="s">
        <v>852</v>
      </c>
      <c r="F738" s="19" t="s">
        <v>118</v>
      </c>
      <c r="G738" s="19" t="s">
        <v>853</v>
      </c>
      <c r="H738" s="76">
        <v>46230</v>
      </c>
      <c r="I738" s="19" t="s">
        <v>102</v>
      </c>
      <c r="J738" s="19" t="s">
        <v>1126</v>
      </c>
      <c r="K738" s="19" t="s">
        <v>1127</v>
      </c>
      <c r="L738" s="19" t="s">
        <v>102</v>
      </c>
      <c r="M738" s="19" t="s">
        <v>1936</v>
      </c>
      <c r="N738" s="19">
        <v>420</v>
      </c>
      <c r="O738" s="19">
        <v>52500</v>
      </c>
      <c r="P738" s="19" t="s">
        <v>1936</v>
      </c>
      <c r="Q738" s="19">
        <v>63720</v>
      </c>
      <c r="R738" s="19">
        <v>9</v>
      </c>
      <c r="S738" s="19">
        <v>4725</v>
      </c>
      <c r="T738" s="19">
        <v>9</v>
      </c>
      <c r="U738" s="19">
        <v>4725</v>
      </c>
      <c r="V738" s="19">
        <v>0</v>
      </c>
      <c r="W738" s="19">
        <v>0</v>
      </c>
      <c r="X738" s="19">
        <v>270</v>
      </c>
      <c r="Y738" s="19">
        <v>9720</v>
      </c>
      <c r="Z738" s="19">
        <v>0</v>
      </c>
      <c r="AA738" s="19" t="s">
        <v>855</v>
      </c>
      <c r="AB738" s="19" t="s">
        <v>1694</v>
      </c>
      <c r="AC738" s="19">
        <v>27109900</v>
      </c>
      <c r="AD738" s="19" t="s">
        <v>1092</v>
      </c>
      <c r="AE738" s="19">
        <v>1</v>
      </c>
      <c r="AF738" s="19">
        <v>0</v>
      </c>
      <c r="AG738" s="19" t="s">
        <v>1093</v>
      </c>
      <c r="AH738" s="19" t="s">
        <v>2319</v>
      </c>
    </row>
    <row r="739" spans="2:34" hidden="1" x14ac:dyDescent="0.35">
      <c r="B739" s="76">
        <v>46231</v>
      </c>
      <c r="C739" s="19" t="s">
        <v>368</v>
      </c>
      <c r="D739" s="19" t="s">
        <v>126</v>
      </c>
      <c r="E739" s="19" t="s">
        <v>900</v>
      </c>
      <c r="F739" s="19" t="s">
        <v>118</v>
      </c>
      <c r="G739" s="19" t="s">
        <v>901</v>
      </c>
      <c r="H739" s="76">
        <v>46228</v>
      </c>
      <c r="I739" s="19" t="s">
        <v>105</v>
      </c>
      <c r="J739" s="19" t="s">
        <v>1690</v>
      </c>
      <c r="K739" s="19" t="s">
        <v>1127</v>
      </c>
      <c r="L739" s="19" t="s">
        <v>1389</v>
      </c>
      <c r="M739" s="19" t="s">
        <v>1937</v>
      </c>
      <c r="N739" s="19">
        <v>8</v>
      </c>
      <c r="O739" s="19">
        <v>8278.7199999999993</v>
      </c>
      <c r="P739" s="19" t="s">
        <v>1937</v>
      </c>
      <c r="Q739" s="19">
        <v>14317</v>
      </c>
      <c r="R739" s="19">
        <v>9</v>
      </c>
      <c r="S739" s="19">
        <v>745.08</v>
      </c>
      <c r="T739" s="19">
        <v>9</v>
      </c>
      <c r="U739" s="19">
        <v>745.08</v>
      </c>
      <c r="V739" s="19">
        <v>0</v>
      </c>
      <c r="W739" s="19">
        <v>0</v>
      </c>
      <c r="X739" s="19">
        <v>0</v>
      </c>
      <c r="Y739" s="19">
        <v>1490.16</v>
      </c>
      <c r="Z739" s="19">
        <v>0</v>
      </c>
      <c r="AA739" s="19" t="s">
        <v>369</v>
      </c>
      <c r="AB739" s="19" t="s">
        <v>1555</v>
      </c>
      <c r="AC739" s="19">
        <v>84123100</v>
      </c>
      <c r="AD739" s="19" t="s">
        <v>1092</v>
      </c>
      <c r="AE739" s="19">
        <v>1</v>
      </c>
      <c r="AF739" s="19">
        <v>0</v>
      </c>
      <c r="AG739" s="19" t="s">
        <v>1093</v>
      </c>
      <c r="AH739" s="19" t="s">
        <v>2319</v>
      </c>
    </row>
    <row r="740" spans="2:34" hidden="1" x14ac:dyDescent="0.35">
      <c r="B740" s="76">
        <v>46231</v>
      </c>
      <c r="C740" s="19" t="s">
        <v>368</v>
      </c>
      <c r="D740" s="19" t="s">
        <v>126</v>
      </c>
      <c r="E740" s="19" t="s">
        <v>900</v>
      </c>
      <c r="F740" s="19" t="s">
        <v>118</v>
      </c>
      <c r="G740" s="19" t="s">
        <v>901</v>
      </c>
      <c r="H740" s="76">
        <v>46228</v>
      </c>
      <c r="I740" s="19" t="s">
        <v>105</v>
      </c>
      <c r="J740" s="19" t="s">
        <v>1561</v>
      </c>
      <c r="K740" s="19" t="s">
        <v>1127</v>
      </c>
      <c r="L740" s="19" t="s">
        <v>1389</v>
      </c>
      <c r="M740" s="19" t="s">
        <v>1938</v>
      </c>
      <c r="N740" s="19">
        <v>50</v>
      </c>
      <c r="O740" s="19">
        <v>3854</v>
      </c>
      <c r="P740" s="19" t="s">
        <v>1938</v>
      </c>
      <c r="Q740" s="19">
        <v>0</v>
      </c>
      <c r="R740" s="19">
        <v>9</v>
      </c>
      <c r="S740" s="19">
        <v>346.86</v>
      </c>
      <c r="T740" s="19">
        <v>9</v>
      </c>
      <c r="U740" s="19">
        <v>346.86</v>
      </c>
      <c r="V740" s="19">
        <v>0</v>
      </c>
      <c r="W740" s="19">
        <v>0</v>
      </c>
      <c r="X740" s="19">
        <v>0</v>
      </c>
      <c r="Y740" s="19">
        <v>693.72</v>
      </c>
      <c r="Z740" s="19">
        <v>0</v>
      </c>
      <c r="AA740" s="19" t="s">
        <v>369</v>
      </c>
      <c r="AB740" s="19" t="s">
        <v>1555</v>
      </c>
      <c r="AC740" s="19">
        <v>391713</v>
      </c>
      <c r="AD740" s="19" t="s">
        <v>1092</v>
      </c>
      <c r="AE740" s="19">
        <v>1</v>
      </c>
      <c r="AF740" s="19">
        <v>0</v>
      </c>
      <c r="AG740" s="19" t="s">
        <v>1093</v>
      </c>
      <c r="AH740" s="19" t="s">
        <v>2319</v>
      </c>
    </row>
    <row r="741" spans="2:34" hidden="1" x14ac:dyDescent="0.35">
      <c r="B741" s="76">
        <v>46231</v>
      </c>
      <c r="C741" s="19" t="s">
        <v>858</v>
      </c>
      <c r="D741" s="19" t="s">
        <v>126</v>
      </c>
      <c r="E741" s="19" t="s">
        <v>856</v>
      </c>
      <c r="F741" s="19" t="s">
        <v>118</v>
      </c>
      <c r="G741" s="19" t="s">
        <v>857</v>
      </c>
      <c r="H741" s="76">
        <v>46226</v>
      </c>
      <c r="I741" s="19" t="s">
        <v>102</v>
      </c>
      <c r="J741" s="19" t="s">
        <v>1621</v>
      </c>
      <c r="K741" s="19" t="s">
        <v>1127</v>
      </c>
      <c r="L741" s="19" t="s">
        <v>102</v>
      </c>
      <c r="M741" s="19" t="s">
        <v>1939</v>
      </c>
      <c r="N741" s="19">
        <v>420</v>
      </c>
      <c r="O741" s="19">
        <v>102900</v>
      </c>
      <c r="P741" s="19" t="s">
        <v>1939</v>
      </c>
      <c r="Q741" s="19">
        <v>121422</v>
      </c>
      <c r="R741" s="19">
        <v>9</v>
      </c>
      <c r="S741" s="19">
        <v>9261</v>
      </c>
      <c r="T741" s="19">
        <v>9</v>
      </c>
      <c r="U741" s="19">
        <v>9261</v>
      </c>
      <c r="V741" s="19">
        <v>0</v>
      </c>
      <c r="W741" s="19">
        <v>0</v>
      </c>
      <c r="X741" s="19">
        <v>0</v>
      </c>
      <c r="Y741" s="19">
        <v>18522</v>
      </c>
      <c r="Z741" s="19">
        <v>0</v>
      </c>
      <c r="AA741" s="19" t="s">
        <v>859</v>
      </c>
      <c r="AB741" s="19" t="s">
        <v>1764</v>
      </c>
      <c r="AC741" s="19">
        <v>27101979</v>
      </c>
      <c r="AD741" s="19" t="s">
        <v>1092</v>
      </c>
      <c r="AE741" s="19">
        <v>1</v>
      </c>
      <c r="AF741" s="19">
        <v>0</v>
      </c>
      <c r="AG741" s="19" t="s">
        <v>1093</v>
      </c>
      <c r="AH741" s="19" t="s">
        <v>2319</v>
      </c>
    </row>
    <row r="742" spans="2:34" hidden="1" x14ac:dyDescent="0.35">
      <c r="B742" s="76">
        <v>46231</v>
      </c>
      <c r="C742" s="19" t="s">
        <v>345</v>
      </c>
      <c r="D742" s="19" t="s">
        <v>126</v>
      </c>
      <c r="E742" s="19" t="s">
        <v>909</v>
      </c>
      <c r="F742" s="19" t="s">
        <v>121</v>
      </c>
      <c r="G742" s="19">
        <v>378</v>
      </c>
      <c r="H742" s="76">
        <v>46225</v>
      </c>
      <c r="I742" s="19" t="s">
        <v>105</v>
      </c>
      <c r="J742" s="19" t="s">
        <v>1579</v>
      </c>
      <c r="K742" s="19" t="s">
        <v>1127</v>
      </c>
      <c r="L742" s="19" t="s">
        <v>1389</v>
      </c>
      <c r="M742" s="19" t="s">
        <v>1940</v>
      </c>
      <c r="N742" s="19">
        <v>60</v>
      </c>
      <c r="O742" s="19">
        <v>16500</v>
      </c>
      <c r="P742" s="19" t="s">
        <v>1940</v>
      </c>
      <c r="Q742" s="19">
        <v>19470</v>
      </c>
      <c r="R742" s="19">
        <v>0</v>
      </c>
      <c r="S742" s="19">
        <v>0</v>
      </c>
      <c r="T742" s="19">
        <v>0</v>
      </c>
      <c r="U742" s="19">
        <v>0</v>
      </c>
      <c r="V742" s="19">
        <v>18</v>
      </c>
      <c r="W742" s="19">
        <v>2970</v>
      </c>
      <c r="X742" s="19">
        <v>0</v>
      </c>
      <c r="Y742" s="19">
        <v>2970</v>
      </c>
      <c r="Z742" s="19">
        <v>0</v>
      </c>
      <c r="AA742" s="19" t="s">
        <v>346</v>
      </c>
      <c r="AB742" s="19" t="s">
        <v>1555</v>
      </c>
      <c r="AC742" s="19">
        <v>844810</v>
      </c>
      <c r="AD742" s="19" t="s">
        <v>1092</v>
      </c>
      <c r="AE742" s="19">
        <v>1</v>
      </c>
      <c r="AF742" s="19">
        <v>0</v>
      </c>
      <c r="AG742" s="19" t="s">
        <v>1093</v>
      </c>
      <c r="AH742" s="19" t="s">
        <v>2319</v>
      </c>
    </row>
    <row r="743" spans="2:34" hidden="1" x14ac:dyDescent="0.35">
      <c r="B743" s="76">
        <v>46232</v>
      </c>
      <c r="C743" s="19" t="s">
        <v>482</v>
      </c>
      <c r="D743" s="19" t="s">
        <v>126</v>
      </c>
      <c r="E743" s="19" t="s">
        <v>966</v>
      </c>
      <c r="F743" s="19" t="s">
        <v>118</v>
      </c>
      <c r="G743" s="19" t="s">
        <v>967</v>
      </c>
      <c r="H743" s="76">
        <v>46230</v>
      </c>
      <c r="I743" s="19" t="s">
        <v>105</v>
      </c>
      <c r="J743" s="19" t="s">
        <v>1561</v>
      </c>
      <c r="K743" s="19" t="s">
        <v>1127</v>
      </c>
      <c r="L743" s="19" t="s">
        <v>1389</v>
      </c>
      <c r="M743" s="19" t="s">
        <v>1725</v>
      </c>
      <c r="N743" s="19">
        <v>4</v>
      </c>
      <c r="O743" s="19">
        <v>90</v>
      </c>
      <c r="P743" s="19" t="s">
        <v>1725</v>
      </c>
      <c r="Q743" s="19">
        <v>113.81</v>
      </c>
      <c r="R743" s="19">
        <v>9</v>
      </c>
      <c r="S743" s="19">
        <v>8.68</v>
      </c>
      <c r="T743" s="19">
        <v>9</v>
      </c>
      <c r="U743" s="19">
        <v>8.68</v>
      </c>
      <c r="V743" s="19">
        <v>0</v>
      </c>
      <c r="W743" s="19">
        <v>0</v>
      </c>
      <c r="X743" s="19">
        <v>0</v>
      </c>
      <c r="Y743" s="19">
        <v>17.36</v>
      </c>
      <c r="Z743" s="19">
        <v>0</v>
      </c>
      <c r="AA743" s="19" t="s">
        <v>483</v>
      </c>
      <c r="AB743" s="19" t="s">
        <v>1555</v>
      </c>
      <c r="AC743" s="19">
        <v>84798999</v>
      </c>
      <c r="AD743" s="19" t="s">
        <v>1092</v>
      </c>
      <c r="AE743" s="19">
        <v>1</v>
      </c>
      <c r="AF743" s="19">
        <v>0</v>
      </c>
      <c r="AG743" s="19" t="s">
        <v>1093</v>
      </c>
      <c r="AH743" s="19" t="s">
        <v>2319</v>
      </c>
    </row>
    <row r="744" spans="2:34" hidden="1" x14ac:dyDescent="0.35">
      <c r="B744" s="76">
        <v>46232</v>
      </c>
      <c r="C744" s="19" t="s">
        <v>482</v>
      </c>
      <c r="D744" s="19" t="s">
        <v>126</v>
      </c>
      <c r="E744" s="19" t="s">
        <v>968</v>
      </c>
      <c r="F744" s="19" t="s">
        <v>118</v>
      </c>
      <c r="G744" s="19" t="s">
        <v>969</v>
      </c>
      <c r="H744" s="76">
        <v>46230</v>
      </c>
      <c r="I744" s="19" t="s">
        <v>105</v>
      </c>
      <c r="J744" s="19" t="s">
        <v>1726</v>
      </c>
      <c r="K744" s="19" t="s">
        <v>1127</v>
      </c>
      <c r="L744" s="19" t="s">
        <v>1389</v>
      </c>
      <c r="M744" s="19" t="s">
        <v>1727</v>
      </c>
      <c r="N744" s="19">
        <v>94</v>
      </c>
      <c r="O744" s="19">
        <v>5076</v>
      </c>
      <c r="P744" s="19" t="s">
        <v>1727</v>
      </c>
      <c r="Q744" s="19">
        <v>5946.42</v>
      </c>
      <c r="R744" s="19">
        <v>9</v>
      </c>
      <c r="S744" s="19">
        <v>453.54</v>
      </c>
      <c r="T744" s="19">
        <v>9</v>
      </c>
      <c r="U744" s="19">
        <v>453.54</v>
      </c>
      <c r="V744" s="19">
        <v>0</v>
      </c>
      <c r="W744" s="19">
        <v>0</v>
      </c>
      <c r="X744" s="19">
        <v>0</v>
      </c>
      <c r="Y744" s="19">
        <v>907.08</v>
      </c>
      <c r="Z744" s="19">
        <v>0</v>
      </c>
      <c r="AA744" s="19" t="s">
        <v>483</v>
      </c>
      <c r="AB744" s="19" t="s">
        <v>1555</v>
      </c>
      <c r="AC744" s="19">
        <v>844820</v>
      </c>
      <c r="AD744" s="19" t="s">
        <v>1092</v>
      </c>
      <c r="AE744" s="19">
        <v>1</v>
      </c>
      <c r="AF744" s="19">
        <v>0</v>
      </c>
      <c r="AG744" s="19" t="s">
        <v>1093</v>
      </c>
      <c r="AH744" s="19" t="s">
        <v>2319</v>
      </c>
    </row>
    <row r="745" spans="2:34" hidden="1" x14ac:dyDescent="0.35">
      <c r="B745" s="76">
        <v>46232</v>
      </c>
      <c r="C745" s="19" t="s">
        <v>308</v>
      </c>
      <c r="D745" s="19" t="s">
        <v>126</v>
      </c>
      <c r="E745" s="19" t="s">
        <v>970</v>
      </c>
      <c r="F745" s="19" t="s">
        <v>118</v>
      </c>
      <c r="G745" s="19">
        <v>1030</v>
      </c>
      <c r="H745" s="76">
        <v>46210</v>
      </c>
      <c r="I745" s="19" t="s">
        <v>105</v>
      </c>
      <c r="J745" s="19" t="s">
        <v>1728</v>
      </c>
      <c r="K745" s="19" t="s">
        <v>1127</v>
      </c>
      <c r="L745" s="19" t="s">
        <v>1389</v>
      </c>
      <c r="M745" s="19" t="s">
        <v>1941</v>
      </c>
      <c r="N745" s="19">
        <v>200</v>
      </c>
      <c r="O745" s="19">
        <v>2000</v>
      </c>
      <c r="P745" s="19" t="s">
        <v>1941</v>
      </c>
      <c r="Q745" s="19">
        <v>5343</v>
      </c>
      <c r="R745" s="19">
        <v>9</v>
      </c>
      <c r="S745" s="19">
        <v>180</v>
      </c>
      <c r="T745" s="19">
        <v>9</v>
      </c>
      <c r="U745" s="19">
        <v>180</v>
      </c>
      <c r="V745" s="19">
        <v>0</v>
      </c>
      <c r="W745" s="19">
        <v>0</v>
      </c>
      <c r="X745" s="19">
        <v>0</v>
      </c>
      <c r="Y745" s="19">
        <v>360</v>
      </c>
      <c r="Z745" s="19">
        <v>0</v>
      </c>
      <c r="AA745" s="19" t="s">
        <v>309</v>
      </c>
      <c r="AB745" s="19" t="s">
        <v>1572</v>
      </c>
      <c r="AC745" s="19">
        <v>83113090</v>
      </c>
      <c r="AD745" s="19" t="s">
        <v>1092</v>
      </c>
      <c r="AE745" s="19">
        <v>1</v>
      </c>
      <c r="AF745" s="19">
        <v>0</v>
      </c>
      <c r="AG745" s="19" t="s">
        <v>1093</v>
      </c>
      <c r="AH745" s="19" t="s">
        <v>2319</v>
      </c>
    </row>
    <row r="746" spans="2:34" hidden="1" x14ac:dyDescent="0.35">
      <c r="B746" s="76">
        <v>46232</v>
      </c>
      <c r="C746" s="19" t="s">
        <v>308</v>
      </c>
      <c r="D746" s="19" t="s">
        <v>126</v>
      </c>
      <c r="E746" s="19" t="s">
        <v>970</v>
      </c>
      <c r="F746" s="19" t="s">
        <v>118</v>
      </c>
      <c r="G746" s="19">
        <v>1030</v>
      </c>
      <c r="H746" s="76">
        <v>46210</v>
      </c>
      <c r="I746" s="19" t="s">
        <v>105</v>
      </c>
      <c r="J746" s="19" t="s">
        <v>1586</v>
      </c>
      <c r="K746" s="19" t="s">
        <v>1127</v>
      </c>
      <c r="L746" s="19" t="s">
        <v>1389</v>
      </c>
      <c r="M746" s="19" t="s">
        <v>1942</v>
      </c>
      <c r="N746" s="19">
        <v>50</v>
      </c>
      <c r="O746" s="19">
        <v>305.33999999999997</v>
      </c>
      <c r="P746" s="19" t="s">
        <v>1942</v>
      </c>
      <c r="Q746" s="19">
        <v>0</v>
      </c>
      <c r="R746" s="19">
        <v>9</v>
      </c>
      <c r="S746" s="19">
        <v>27.48</v>
      </c>
      <c r="T746" s="19">
        <v>9</v>
      </c>
      <c r="U746" s="19">
        <v>27.48</v>
      </c>
      <c r="V746" s="19">
        <v>0</v>
      </c>
      <c r="W746" s="19">
        <v>0</v>
      </c>
      <c r="X746" s="19">
        <v>0</v>
      </c>
      <c r="Y746" s="19">
        <v>54.96</v>
      </c>
      <c r="Z746" s="19">
        <v>0</v>
      </c>
      <c r="AA746" s="19" t="s">
        <v>309</v>
      </c>
      <c r="AB746" s="19" t="s">
        <v>1555</v>
      </c>
      <c r="AC746" s="19">
        <v>73181500</v>
      </c>
      <c r="AD746" s="19" t="s">
        <v>1092</v>
      </c>
      <c r="AE746" s="19">
        <v>1</v>
      </c>
      <c r="AF746" s="19">
        <v>0</v>
      </c>
      <c r="AG746" s="19" t="s">
        <v>1093</v>
      </c>
      <c r="AH746" s="19" t="s">
        <v>2319</v>
      </c>
    </row>
    <row r="747" spans="2:34" hidden="1" x14ac:dyDescent="0.35">
      <c r="B747" s="76">
        <v>46232</v>
      </c>
      <c r="C747" s="19" t="s">
        <v>308</v>
      </c>
      <c r="D747" s="19" t="s">
        <v>126</v>
      </c>
      <c r="E747" s="19" t="s">
        <v>970</v>
      </c>
      <c r="F747" s="19" t="s">
        <v>118</v>
      </c>
      <c r="G747" s="19">
        <v>1030</v>
      </c>
      <c r="H747" s="76">
        <v>46210</v>
      </c>
      <c r="I747" s="19" t="s">
        <v>105</v>
      </c>
      <c r="J747" s="19" t="s">
        <v>1586</v>
      </c>
      <c r="K747" s="19" t="s">
        <v>1127</v>
      </c>
      <c r="L747" s="19" t="s">
        <v>1389</v>
      </c>
      <c r="M747" s="19" t="s">
        <v>1943</v>
      </c>
      <c r="N747" s="19">
        <v>50</v>
      </c>
      <c r="O747" s="19">
        <v>198.03</v>
      </c>
      <c r="P747" s="19" t="s">
        <v>1943</v>
      </c>
      <c r="Q747" s="19">
        <v>0</v>
      </c>
      <c r="R747" s="19">
        <v>9</v>
      </c>
      <c r="S747" s="19">
        <v>17.82</v>
      </c>
      <c r="T747" s="19">
        <v>9</v>
      </c>
      <c r="U747" s="19">
        <v>17.82</v>
      </c>
      <c r="V747" s="19">
        <v>0</v>
      </c>
      <c r="W747" s="19">
        <v>0</v>
      </c>
      <c r="X747" s="19">
        <v>0</v>
      </c>
      <c r="Y747" s="19">
        <v>35.64</v>
      </c>
      <c r="Z747" s="19">
        <v>0</v>
      </c>
      <c r="AA747" s="19" t="s">
        <v>309</v>
      </c>
      <c r="AB747" s="19" t="s">
        <v>1572</v>
      </c>
      <c r="AC747" s="19">
        <v>84821011</v>
      </c>
      <c r="AD747" s="19" t="s">
        <v>1092</v>
      </c>
      <c r="AE747" s="19">
        <v>1</v>
      </c>
      <c r="AF747" s="19">
        <v>0</v>
      </c>
      <c r="AG747" s="19" t="s">
        <v>1093</v>
      </c>
      <c r="AH747" s="19" t="s">
        <v>2319</v>
      </c>
    </row>
    <row r="748" spans="2:34" hidden="1" x14ac:dyDescent="0.35">
      <c r="B748" s="76">
        <v>46232</v>
      </c>
      <c r="C748" s="19" t="s">
        <v>308</v>
      </c>
      <c r="D748" s="19" t="s">
        <v>126</v>
      </c>
      <c r="E748" s="19" t="s">
        <v>970</v>
      </c>
      <c r="F748" s="19" t="s">
        <v>118</v>
      </c>
      <c r="G748" s="19">
        <v>1030</v>
      </c>
      <c r="H748" s="76">
        <v>46210</v>
      </c>
      <c r="I748" s="19" t="s">
        <v>105</v>
      </c>
      <c r="J748" s="19" t="s">
        <v>1944</v>
      </c>
      <c r="K748" s="19" t="s">
        <v>1127</v>
      </c>
      <c r="L748" s="19" t="s">
        <v>1389</v>
      </c>
      <c r="M748" s="19" t="s">
        <v>1945</v>
      </c>
      <c r="N748" s="19">
        <v>1</v>
      </c>
      <c r="O748" s="19">
        <v>2025</v>
      </c>
      <c r="P748" s="19" t="s">
        <v>1945</v>
      </c>
      <c r="Q748" s="19">
        <v>0</v>
      </c>
      <c r="R748" s="19">
        <v>9</v>
      </c>
      <c r="S748" s="19">
        <v>182.25</v>
      </c>
      <c r="T748" s="19">
        <v>9</v>
      </c>
      <c r="U748" s="19">
        <v>182.25</v>
      </c>
      <c r="V748" s="19">
        <v>0</v>
      </c>
      <c r="W748" s="19">
        <v>0</v>
      </c>
      <c r="X748" s="19">
        <v>0</v>
      </c>
      <c r="Y748" s="19">
        <v>364.5</v>
      </c>
      <c r="Z748" s="19">
        <v>0</v>
      </c>
      <c r="AA748" s="19" t="s">
        <v>309</v>
      </c>
      <c r="AB748" s="19" t="s">
        <v>1555</v>
      </c>
      <c r="AC748" s="19">
        <v>84603910</v>
      </c>
      <c r="AD748" s="19" t="s">
        <v>1092</v>
      </c>
      <c r="AE748" s="19">
        <v>1</v>
      </c>
      <c r="AF748" s="19">
        <v>0</v>
      </c>
      <c r="AG748" s="19" t="s">
        <v>1093</v>
      </c>
      <c r="AH748" s="19" t="s">
        <v>2319</v>
      </c>
    </row>
    <row r="749" spans="2:34" x14ac:dyDescent="0.35">
      <c r="B749" s="76">
        <v>46232</v>
      </c>
      <c r="C749" s="19" t="s">
        <v>138</v>
      </c>
      <c r="D749" s="19" t="s">
        <v>173</v>
      </c>
      <c r="E749" s="19" t="s">
        <v>971</v>
      </c>
      <c r="F749" s="19" t="s">
        <v>123</v>
      </c>
      <c r="G749" s="19" t="s">
        <v>972</v>
      </c>
      <c r="H749" s="76">
        <v>46232</v>
      </c>
      <c r="I749" s="19" t="s">
        <v>49</v>
      </c>
      <c r="J749" s="19" t="s">
        <v>50</v>
      </c>
      <c r="K749" s="19" t="s">
        <v>50</v>
      </c>
      <c r="L749" s="19" t="s">
        <v>1095</v>
      </c>
      <c r="M749" s="19" t="s">
        <v>1098</v>
      </c>
      <c r="N749" s="19">
        <v>3310.3</v>
      </c>
      <c r="O749" s="19">
        <v>639152.72400000005</v>
      </c>
      <c r="P749" s="19" t="s">
        <v>1098</v>
      </c>
      <c r="Q749" s="19">
        <v>3765717.86</v>
      </c>
      <c r="R749" s="19">
        <v>0.05</v>
      </c>
      <c r="S749" s="19">
        <v>319.58</v>
      </c>
      <c r="T749" s="19">
        <v>0.05</v>
      </c>
      <c r="U749" s="19">
        <v>319.58</v>
      </c>
      <c r="V749" s="19">
        <v>0</v>
      </c>
      <c r="W749" s="19">
        <v>0</v>
      </c>
      <c r="X749" s="19">
        <v>0</v>
      </c>
      <c r="Y749" s="19">
        <v>639.16</v>
      </c>
      <c r="Z749" s="19">
        <v>0</v>
      </c>
      <c r="AA749" s="19" t="s">
        <v>135</v>
      </c>
      <c r="AB749" s="19" t="s">
        <v>1289</v>
      </c>
      <c r="AC749" s="19">
        <v>63053200</v>
      </c>
      <c r="AD749" s="19" t="s">
        <v>1092</v>
      </c>
      <c r="AE749" s="19">
        <v>1</v>
      </c>
      <c r="AF749" s="19">
        <v>3310.3</v>
      </c>
      <c r="AG749" s="19" t="s">
        <v>1093</v>
      </c>
      <c r="AH749" s="19" t="s">
        <v>50</v>
      </c>
    </row>
    <row r="750" spans="2:34" x14ac:dyDescent="0.35">
      <c r="B750" s="76">
        <v>46232</v>
      </c>
      <c r="C750" s="19" t="s">
        <v>138</v>
      </c>
      <c r="D750" s="19" t="s">
        <v>173</v>
      </c>
      <c r="E750" s="19" t="s">
        <v>971</v>
      </c>
      <c r="F750" s="19" t="s">
        <v>123</v>
      </c>
      <c r="G750" s="19" t="s">
        <v>972</v>
      </c>
      <c r="H750" s="76">
        <v>46232</v>
      </c>
      <c r="I750" s="19" t="s">
        <v>49</v>
      </c>
      <c r="J750" s="19" t="s">
        <v>50</v>
      </c>
      <c r="K750" s="19" t="s">
        <v>50</v>
      </c>
      <c r="L750" s="19" t="s">
        <v>1095</v>
      </c>
      <c r="M750" s="19" t="s">
        <v>1098</v>
      </c>
      <c r="N750" s="19">
        <v>835.3</v>
      </c>
      <c r="O750" s="19">
        <v>164804.69</v>
      </c>
      <c r="P750" s="19" t="s">
        <v>1098</v>
      </c>
      <c r="Q750" s="19">
        <v>0</v>
      </c>
      <c r="R750" s="19">
        <v>0.05</v>
      </c>
      <c r="S750" s="19">
        <v>82.4</v>
      </c>
      <c r="T750" s="19">
        <v>0.05</v>
      </c>
      <c r="U750" s="19">
        <v>82.4</v>
      </c>
      <c r="V750" s="19">
        <v>0</v>
      </c>
      <c r="W750" s="19">
        <v>0</v>
      </c>
      <c r="X750" s="19">
        <v>0</v>
      </c>
      <c r="Y750" s="19">
        <v>164.8</v>
      </c>
      <c r="Z750" s="19">
        <v>0</v>
      </c>
      <c r="AA750" s="19" t="s">
        <v>135</v>
      </c>
      <c r="AB750" s="19" t="s">
        <v>1289</v>
      </c>
      <c r="AC750" s="19">
        <v>63053200</v>
      </c>
      <c r="AD750" s="19" t="s">
        <v>1092</v>
      </c>
      <c r="AE750" s="19">
        <v>1</v>
      </c>
      <c r="AF750" s="19">
        <v>835.3</v>
      </c>
      <c r="AG750" s="19" t="s">
        <v>1093</v>
      </c>
      <c r="AH750" s="19" t="s">
        <v>50</v>
      </c>
    </row>
    <row r="751" spans="2:34" x14ac:dyDescent="0.35">
      <c r="B751" s="76">
        <v>46232</v>
      </c>
      <c r="C751" s="19" t="s">
        <v>138</v>
      </c>
      <c r="D751" s="19" t="s">
        <v>173</v>
      </c>
      <c r="E751" s="19" t="s">
        <v>971</v>
      </c>
      <c r="F751" s="19" t="s">
        <v>123</v>
      </c>
      <c r="G751" s="19" t="s">
        <v>972</v>
      </c>
      <c r="H751" s="76">
        <v>46232</v>
      </c>
      <c r="I751" s="19" t="s">
        <v>49</v>
      </c>
      <c r="J751" s="19" t="s">
        <v>50</v>
      </c>
      <c r="K751" s="19" t="s">
        <v>50</v>
      </c>
      <c r="L751" s="19" t="s">
        <v>1095</v>
      </c>
      <c r="M751" s="19" t="s">
        <v>1098</v>
      </c>
      <c r="N751" s="19">
        <v>1647</v>
      </c>
      <c r="O751" s="19">
        <v>335790.36</v>
      </c>
      <c r="P751" s="19" t="s">
        <v>1098</v>
      </c>
      <c r="Q751" s="19">
        <v>0</v>
      </c>
      <c r="R751" s="19">
        <v>0.05</v>
      </c>
      <c r="S751" s="19">
        <v>167.9</v>
      </c>
      <c r="T751" s="19">
        <v>0.05</v>
      </c>
      <c r="U751" s="19">
        <v>167.9</v>
      </c>
      <c r="V751" s="19">
        <v>0</v>
      </c>
      <c r="W751" s="19">
        <v>0</v>
      </c>
      <c r="X751" s="19">
        <v>0</v>
      </c>
      <c r="Y751" s="19">
        <v>335.8</v>
      </c>
      <c r="Z751" s="19">
        <v>0</v>
      </c>
      <c r="AA751" s="19" t="s">
        <v>135</v>
      </c>
      <c r="AB751" s="19" t="s">
        <v>1289</v>
      </c>
      <c r="AC751" s="19">
        <v>63053200</v>
      </c>
      <c r="AD751" s="19" t="s">
        <v>1092</v>
      </c>
      <c r="AE751" s="19">
        <v>1</v>
      </c>
      <c r="AF751" s="19">
        <v>1647</v>
      </c>
      <c r="AG751" s="19" t="s">
        <v>1093</v>
      </c>
      <c r="AH751" s="19" t="s">
        <v>50</v>
      </c>
    </row>
    <row r="752" spans="2:34" x14ac:dyDescent="0.35">
      <c r="B752" s="76">
        <v>46232</v>
      </c>
      <c r="C752" s="19" t="s">
        <v>138</v>
      </c>
      <c r="D752" s="19" t="s">
        <v>173</v>
      </c>
      <c r="E752" s="19" t="s">
        <v>971</v>
      </c>
      <c r="F752" s="19" t="s">
        <v>123</v>
      </c>
      <c r="G752" s="19" t="s">
        <v>972</v>
      </c>
      <c r="H752" s="76">
        <v>46232</v>
      </c>
      <c r="I752" s="19" t="s">
        <v>49</v>
      </c>
      <c r="J752" s="19" t="s">
        <v>50</v>
      </c>
      <c r="K752" s="19" t="s">
        <v>50</v>
      </c>
      <c r="L752" s="19" t="s">
        <v>1095</v>
      </c>
      <c r="M752" s="19" t="s">
        <v>1098</v>
      </c>
      <c r="N752" s="19">
        <v>1941</v>
      </c>
      <c r="O752" s="19">
        <v>384356.82</v>
      </c>
      <c r="P752" s="19" t="s">
        <v>1098</v>
      </c>
      <c r="Q752" s="19">
        <v>0</v>
      </c>
      <c r="R752" s="19">
        <v>0.05</v>
      </c>
      <c r="S752" s="19">
        <v>192.18</v>
      </c>
      <c r="T752" s="19">
        <v>0.05</v>
      </c>
      <c r="U752" s="19">
        <v>192.18</v>
      </c>
      <c r="V752" s="19">
        <v>0</v>
      </c>
      <c r="W752" s="19">
        <v>0</v>
      </c>
      <c r="X752" s="19">
        <v>0</v>
      </c>
      <c r="Y752" s="19">
        <v>384.36</v>
      </c>
      <c r="Z752" s="19">
        <v>0</v>
      </c>
      <c r="AA752" s="19" t="s">
        <v>135</v>
      </c>
      <c r="AB752" s="19" t="s">
        <v>1289</v>
      </c>
      <c r="AC752" s="19">
        <v>63053200</v>
      </c>
      <c r="AD752" s="19" t="s">
        <v>1092</v>
      </c>
      <c r="AE752" s="19">
        <v>1</v>
      </c>
      <c r="AF752" s="19">
        <v>1941</v>
      </c>
      <c r="AG752" s="19" t="s">
        <v>1093</v>
      </c>
      <c r="AH752" s="19" t="s">
        <v>50</v>
      </c>
    </row>
    <row r="753" spans="2:34" x14ac:dyDescent="0.35">
      <c r="B753" s="76">
        <v>46232</v>
      </c>
      <c r="C753" s="19" t="s">
        <v>138</v>
      </c>
      <c r="D753" s="19" t="s">
        <v>173</v>
      </c>
      <c r="E753" s="19" t="s">
        <v>971</v>
      </c>
      <c r="F753" s="19" t="s">
        <v>123</v>
      </c>
      <c r="G753" s="19" t="s">
        <v>972</v>
      </c>
      <c r="H753" s="76">
        <v>46232</v>
      </c>
      <c r="I753" s="19" t="s">
        <v>49</v>
      </c>
      <c r="J753" s="19" t="s">
        <v>50</v>
      </c>
      <c r="K753" s="19" t="s">
        <v>50</v>
      </c>
      <c r="L753" s="19" t="s">
        <v>1095</v>
      </c>
      <c r="M753" s="19" t="s">
        <v>1098</v>
      </c>
      <c r="N753" s="19">
        <v>2738</v>
      </c>
      <c r="O753" s="19">
        <v>561290</v>
      </c>
      <c r="P753" s="19" t="s">
        <v>1098</v>
      </c>
      <c r="Q753" s="19">
        <v>0</v>
      </c>
      <c r="R753" s="19">
        <v>0.05</v>
      </c>
      <c r="S753" s="19">
        <v>280.64</v>
      </c>
      <c r="T753" s="19">
        <v>0.05</v>
      </c>
      <c r="U753" s="19">
        <v>280.64</v>
      </c>
      <c r="V753" s="19">
        <v>0</v>
      </c>
      <c r="W753" s="19">
        <v>0</v>
      </c>
      <c r="X753" s="19">
        <v>0</v>
      </c>
      <c r="Y753" s="19">
        <v>561.28</v>
      </c>
      <c r="Z753" s="19">
        <v>0</v>
      </c>
      <c r="AA753" s="19" t="s">
        <v>135</v>
      </c>
      <c r="AB753" s="19" t="s">
        <v>1289</v>
      </c>
      <c r="AC753" s="19">
        <v>63053200</v>
      </c>
      <c r="AD753" s="19" t="s">
        <v>1092</v>
      </c>
      <c r="AE753" s="19">
        <v>1</v>
      </c>
      <c r="AF753" s="19">
        <v>2738</v>
      </c>
      <c r="AG753" s="19" t="s">
        <v>1093</v>
      </c>
      <c r="AH753" s="19" t="s">
        <v>50</v>
      </c>
    </row>
    <row r="754" spans="2:34" x14ac:dyDescent="0.35">
      <c r="B754" s="76">
        <v>46232</v>
      </c>
      <c r="C754" s="19" t="s">
        <v>138</v>
      </c>
      <c r="D754" s="19" t="s">
        <v>173</v>
      </c>
      <c r="E754" s="19" t="s">
        <v>971</v>
      </c>
      <c r="F754" s="19" t="s">
        <v>123</v>
      </c>
      <c r="G754" s="19" t="s">
        <v>972</v>
      </c>
      <c r="H754" s="76">
        <v>46232</v>
      </c>
      <c r="I754" s="19" t="s">
        <v>49</v>
      </c>
      <c r="J754" s="19" t="s">
        <v>50</v>
      </c>
      <c r="K754" s="19" t="s">
        <v>50</v>
      </c>
      <c r="L754" s="19" t="s">
        <v>1095</v>
      </c>
      <c r="M754" s="19" t="s">
        <v>1098</v>
      </c>
      <c r="N754" s="19">
        <v>2281</v>
      </c>
      <c r="O754" s="19">
        <v>460944.48</v>
      </c>
      <c r="P754" s="19" t="s">
        <v>1098</v>
      </c>
      <c r="Q754" s="19">
        <v>0</v>
      </c>
      <c r="R754" s="19">
        <v>0.05</v>
      </c>
      <c r="S754" s="19">
        <v>230.47</v>
      </c>
      <c r="T754" s="19">
        <v>0.05</v>
      </c>
      <c r="U754" s="19">
        <v>230.47</v>
      </c>
      <c r="V754" s="19">
        <v>0</v>
      </c>
      <c r="W754" s="19">
        <v>0</v>
      </c>
      <c r="X754" s="19">
        <v>0</v>
      </c>
      <c r="Y754" s="19">
        <v>460.94</v>
      </c>
      <c r="Z754" s="19">
        <v>0</v>
      </c>
      <c r="AA754" s="19" t="s">
        <v>135</v>
      </c>
      <c r="AB754" s="19" t="s">
        <v>1289</v>
      </c>
      <c r="AC754" s="19">
        <v>63053200</v>
      </c>
      <c r="AD754" s="19" t="s">
        <v>1092</v>
      </c>
      <c r="AE754" s="19">
        <v>1</v>
      </c>
      <c r="AF754" s="19">
        <v>2281</v>
      </c>
      <c r="AG754" s="19" t="s">
        <v>1093</v>
      </c>
      <c r="AH754" s="19" t="s">
        <v>50</v>
      </c>
    </row>
    <row r="755" spans="2:34" x14ac:dyDescent="0.35">
      <c r="B755" s="76">
        <v>46232</v>
      </c>
      <c r="C755" s="19" t="s">
        <v>138</v>
      </c>
      <c r="D755" s="19" t="s">
        <v>173</v>
      </c>
      <c r="E755" s="19" t="s">
        <v>971</v>
      </c>
      <c r="F755" s="19" t="s">
        <v>123</v>
      </c>
      <c r="G755" s="19" t="s">
        <v>972</v>
      </c>
      <c r="H755" s="76">
        <v>46232</v>
      </c>
      <c r="I755" s="19" t="s">
        <v>49</v>
      </c>
      <c r="J755" s="19" t="s">
        <v>50</v>
      </c>
      <c r="K755" s="19" t="s">
        <v>50</v>
      </c>
      <c r="L755" s="19" t="s">
        <v>1095</v>
      </c>
      <c r="M755" s="19" t="s">
        <v>1098</v>
      </c>
      <c r="N755" s="19">
        <v>3941</v>
      </c>
      <c r="O755" s="19">
        <v>801559.99</v>
      </c>
      <c r="P755" s="19" t="s">
        <v>1098</v>
      </c>
      <c r="Q755" s="19">
        <v>0</v>
      </c>
      <c r="R755" s="19">
        <v>0.05</v>
      </c>
      <c r="S755" s="19">
        <v>400.78</v>
      </c>
      <c r="T755" s="19">
        <v>0.05</v>
      </c>
      <c r="U755" s="19">
        <v>400.78</v>
      </c>
      <c r="V755" s="19">
        <v>0</v>
      </c>
      <c r="W755" s="19">
        <v>0</v>
      </c>
      <c r="X755" s="19">
        <v>0</v>
      </c>
      <c r="Y755" s="19">
        <v>801.56</v>
      </c>
      <c r="Z755" s="19">
        <v>0</v>
      </c>
      <c r="AA755" s="19" t="s">
        <v>135</v>
      </c>
      <c r="AB755" s="19" t="s">
        <v>1289</v>
      </c>
      <c r="AC755" s="19">
        <v>63053200</v>
      </c>
      <c r="AD755" s="19" t="s">
        <v>1092</v>
      </c>
      <c r="AE755" s="19">
        <v>1</v>
      </c>
      <c r="AF755" s="19">
        <v>3941</v>
      </c>
      <c r="AG755" s="19" t="s">
        <v>1093</v>
      </c>
      <c r="AH755" s="19" t="s">
        <v>50</v>
      </c>
    </row>
    <row r="756" spans="2:34" x14ac:dyDescent="0.35">
      <c r="B756" s="76">
        <v>46232</v>
      </c>
      <c r="C756" s="19" t="s">
        <v>138</v>
      </c>
      <c r="D756" s="19" t="s">
        <v>173</v>
      </c>
      <c r="E756" s="19" t="s">
        <v>971</v>
      </c>
      <c r="F756" s="19" t="s">
        <v>123</v>
      </c>
      <c r="G756" s="19" t="s">
        <v>972</v>
      </c>
      <c r="H756" s="76">
        <v>46232</v>
      </c>
      <c r="I756" s="19" t="s">
        <v>49</v>
      </c>
      <c r="J756" s="19" t="s">
        <v>50</v>
      </c>
      <c r="K756" s="19" t="s">
        <v>50</v>
      </c>
      <c r="L756" s="19" t="s">
        <v>1095</v>
      </c>
      <c r="M756" s="19" t="s">
        <v>1098</v>
      </c>
      <c r="N756" s="19">
        <v>2072</v>
      </c>
      <c r="O756" s="19">
        <v>417818.8</v>
      </c>
      <c r="P756" s="19" t="s">
        <v>1098</v>
      </c>
      <c r="Q756" s="19">
        <v>0</v>
      </c>
      <c r="R756" s="19">
        <v>0.05</v>
      </c>
      <c r="S756" s="19">
        <v>208.91</v>
      </c>
      <c r="T756" s="19">
        <v>0.05</v>
      </c>
      <c r="U756" s="19">
        <v>208.91</v>
      </c>
      <c r="V756" s="19">
        <v>0</v>
      </c>
      <c r="W756" s="19">
        <v>0</v>
      </c>
      <c r="X756" s="19">
        <v>0</v>
      </c>
      <c r="Y756" s="19">
        <v>417.82</v>
      </c>
      <c r="Z756" s="19">
        <v>0</v>
      </c>
      <c r="AA756" s="19" t="s">
        <v>135</v>
      </c>
      <c r="AB756" s="19" t="s">
        <v>1289</v>
      </c>
      <c r="AC756" s="19">
        <v>63053200</v>
      </c>
      <c r="AD756" s="19" t="s">
        <v>1092</v>
      </c>
      <c r="AE756" s="19">
        <v>1</v>
      </c>
      <c r="AF756" s="19">
        <v>2072</v>
      </c>
      <c r="AG756" s="19" t="s">
        <v>1093</v>
      </c>
      <c r="AH756" s="19" t="s">
        <v>50</v>
      </c>
    </row>
    <row r="757" spans="2:34" x14ac:dyDescent="0.35">
      <c r="B757" s="76">
        <v>46232</v>
      </c>
      <c r="C757" s="19" t="s">
        <v>138</v>
      </c>
      <c r="D757" s="19" t="s">
        <v>173</v>
      </c>
      <c r="E757" s="19" t="s">
        <v>975</v>
      </c>
      <c r="F757" s="19" t="s">
        <v>123</v>
      </c>
      <c r="G757" s="19" t="s">
        <v>976</v>
      </c>
      <c r="H757" s="76">
        <v>46232</v>
      </c>
      <c r="I757" s="19" t="s">
        <v>49</v>
      </c>
      <c r="J757" s="19" t="s">
        <v>50</v>
      </c>
      <c r="K757" s="19" t="s">
        <v>50</v>
      </c>
      <c r="L757" s="19" t="s">
        <v>1095</v>
      </c>
      <c r="M757" s="19" t="s">
        <v>1098</v>
      </c>
      <c r="N757" s="19">
        <v>9685</v>
      </c>
      <c r="O757" s="19">
        <v>1890512</v>
      </c>
      <c r="P757" s="19" t="s">
        <v>1098</v>
      </c>
      <c r="Q757" s="19">
        <v>3804899.75</v>
      </c>
      <c r="R757" s="19">
        <v>0.05</v>
      </c>
      <c r="S757" s="19">
        <v>945.26</v>
      </c>
      <c r="T757" s="19">
        <v>0.05</v>
      </c>
      <c r="U757" s="19">
        <v>945.26</v>
      </c>
      <c r="V757" s="19">
        <v>0</v>
      </c>
      <c r="W757" s="19">
        <v>0</v>
      </c>
      <c r="X757" s="19">
        <v>0</v>
      </c>
      <c r="Y757" s="19">
        <v>1890.52</v>
      </c>
      <c r="Z757" s="19">
        <v>0</v>
      </c>
      <c r="AA757" s="19" t="s">
        <v>135</v>
      </c>
      <c r="AB757" s="19" t="s">
        <v>1289</v>
      </c>
      <c r="AC757" s="19">
        <v>63053200</v>
      </c>
      <c r="AD757" s="19" t="s">
        <v>1092</v>
      </c>
      <c r="AE757" s="19">
        <v>1</v>
      </c>
      <c r="AF757" s="19">
        <v>9685</v>
      </c>
      <c r="AG757" s="19" t="s">
        <v>1093</v>
      </c>
      <c r="AH757" s="19" t="s">
        <v>50</v>
      </c>
    </row>
    <row r="758" spans="2:34" x14ac:dyDescent="0.35">
      <c r="B758" s="76">
        <v>46232</v>
      </c>
      <c r="C758" s="19" t="s">
        <v>138</v>
      </c>
      <c r="D758" s="19" t="s">
        <v>173</v>
      </c>
      <c r="E758" s="19" t="s">
        <v>975</v>
      </c>
      <c r="F758" s="19" t="s">
        <v>123</v>
      </c>
      <c r="G758" s="19" t="s">
        <v>976</v>
      </c>
      <c r="H758" s="76">
        <v>46232</v>
      </c>
      <c r="I758" s="19" t="s">
        <v>49</v>
      </c>
      <c r="J758" s="19" t="s">
        <v>50</v>
      </c>
      <c r="K758" s="19" t="s">
        <v>50</v>
      </c>
      <c r="L758" s="19" t="s">
        <v>1095</v>
      </c>
      <c r="M758" s="19" t="s">
        <v>1098</v>
      </c>
      <c r="N758" s="19">
        <v>9735</v>
      </c>
      <c r="O758" s="19">
        <v>1914387.75</v>
      </c>
      <c r="P758" s="19" t="s">
        <v>1098</v>
      </c>
      <c r="Q758" s="19">
        <v>0</v>
      </c>
      <c r="R758" s="19">
        <v>0.05</v>
      </c>
      <c r="S758" s="19">
        <v>957.19</v>
      </c>
      <c r="T758" s="19">
        <v>0.05</v>
      </c>
      <c r="U758" s="19">
        <v>957.19</v>
      </c>
      <c r="V758" s="19">
        <v>0</v>
      </c>
      <c r="W758" s="19">
        <v>0</v>
      </c>
      <c r="X758" s="19">
        <v>0</v>
      </c>
      <c r="Y758" s="19">
        <v>1914.38</v>
      </c>
      <c r="Z758" s="19">
        <v>0</v>
      </c>
      <c r="AA758" s="19" t="s">
        <v>135</v>
      </c>
      <c r="AB758" s="19" t="s">
        <v>1289</v>
      </c>
      <c r="AC758" s="19">
        <v>63053200</v>
      </c>
      <c r="AD758" s="19" t="s">
        <v>1092</v>
      </c>
      <c r="AE758" s="19">
        <v>1</v>
      </c>
      <c r="AF758" s="19">
        <v>9735</v>
      </c>
      <c r="AG758" s="19" t="s">
        <v>1093</v>
      </c>
      <c r="AH758" s="19" t="s">
        <v>50</v>
      </c>
    </row>
    <row r="759" spans="2:34" x14ac:dyDescent="0.35">
      <c r="B759" s="76">
        <v>46232</v>
      </c>
      <c r="C759" s="19" t="s">
        <v>134</v>
      </c>
      <c r="D759" s="19" t="s">
        <v>173</v>
      </c>
      <c r="E759" s="19" t="s">
        <v>973</v>
      </c>
      <c r="F759" s="19" t="s">
        <v>123</v>
      </c>
      <c r="G759" s="19" t="s">
        <v>974</v>
      </c>
      <c r="H759" s="76">
        <v>46232</v>
      </c>
      <c r="I759" s="19" t="s">
        <v>49</v>
      </c>
      <c r="J759" s="19" t="s">
        <v>50</v>
      </c>
      <c r="K759" s="19" t="s">
        <v>50</v>
      </c>
      <c r="L759" s="19" t="s">
        <v>1095</v>
      </c>
      <c r="M759" s="19" t="s">
        <v>1098</v>
      </c>
      <c r="N759" s="19">
        <v>19647</v>
      </c>
      <c r="O759" s="19">
        <v>4300335.3600000003</v>
      </c>
      <c r="P759" s="19" t="s">
        <v>1098</v>
      </c>
      <c r="Q759" s="19">
        <v>5070095.38</v>
      </c>
      <c r="R759" s="19">
        <v>9</v>
      </c>
      <c r="S759" s="19">
        <v>387030.18</v>
      </c>
      <c r="T759" s="19">
        <v>9</v>
      </c>
      <c r="U759" s="19">
        <v>387030.18</v>
      </c>
      <c r="V759" s="19">
        <v>0</v>
      </c>
      <c r="W759" s="19">
        <v>0</v>
      </c>
      <c r="X759" s="19">
        <v>0</v>
      </c>
      <c r="Y759" s="19">
        <v>774060.36</v>
      </c>
      <c r="Z759" s="19">
        <v>0</v>
      </c>
      <c r="AA759" s="19" t="s">
        <v>135</v>
      </c>
      <c r="AB759" s="19" t="s">
        <v>1289</v>
      </c>
      <c r="AC759" s="19">
        <v>63053200</v>
      </c>
      <c r="AD759" s="19" t="s">
        <v>1092</v>
      </c>
      <c r="AE759" s="19">
        <v>1</v>
      </c>
      <c r="AF759" s="19">
        <v>19647</v>
      </c>
      <c r="AG759" s="19" t="s">
        <v>1093</v>
      </c>
      <c r="AH759" s="19" t="s">
        <v>50</v>
      </c>
    </row>
    <row r="760" spans="2:34" hidden="1" x14ac:dyDescent="0.35">
      <c r="B760" s="76">
        <v>46232</v>
      </c>
      <c r="C760" s="19" t="s">
        <v>677</v>
      </c>
      <c r="D760" s="19" t="s">
        <v>126</v>
      </c>
      <c r="E760" s="19" t="s">
        <v>964</v>
      </c>
      <c r="F760" s="19" t="s">
        <v>121</v>
      </c>
      <c r="G760" s="19" t="s">
        <v>965</v>
      </c>
      <c r="H760" s="76">
        <v>46225</v>
      </c>
      <c r="I760" s="19" t="s">
        <v>105</v>
      </c>
      <c r="J760" s="19" t="s">
        <v>1579</v>
      </c>
      <c r="K760" s="19" t="s">
        <v>1127</v>
      </c>
      <c r="L760" s="19" t="s">
        <v>1389</v>
      </c>
      <c r="M760" s="19" t="s">
        <v>1946</v>
      </c>
      <c r="N760" s="19">
        <v>5</v>
      </c>
      <c r="O760" s="19">
        <v>2030</v>
      </c>
      <c r="P760" s="19" t="s">
        <v>1946</v>
      </c>
      <c r="Q760" s="19">
        <v>2478</v>
      </c>
      <c r="R760" s="19">
        <v>0</v>
      </c>
      <c r="S760" s="19">
        <v>0</v>
      </c>
      <c r="T760" s="19">
        <v>0</v>
      </c>
      <c r="U760" s="19">
        <v>0</v>
      </c>
      <c r="V760" s="19">
        <v>18</v>
      </c>
      <c r="W760" s="19">
        <v>365.4</v>
      </c>
      <c r="X760" s="19">
        <v>12.6</v>
      </c>
      <c r="Y760" s="19">
        <v>378</v>
      </c>
      <c r="Z760" s="19">
        <v>0</v>
      </c>
      <c r="AA760" s="19" t="s">
        <v>678</v>
      </c>
      <c r="AB760" s="19" t="s">
        <v>1555</v>
      </c>
      <c r="AC760" s="19">
        <v>844849</v>
      </c>
      <c r="AD760" s="19" t="s">
        <v>1092</v>
      </c>
      <c r="AE760" s="19">
        <v>1</v>
      </c>
      <c r="AF760" s="19">
        <v>0</v>
      </c>
      <c r="AG760" s="19" t="s">
        <v>1093</v>
      </c>
      <c r="AH760" s="19" t="s">
        <v>2319</v>
      </c>
    </row>
    <row r="761" spans="2:34" hidden="1" x14ac:dyDescent="0.35">
      <c r="B761" s="76">
        <v>46232</v>
      </c>
      <c r="C761" s="19" t="s">
        <v>145</v>
      </c>
      <c r="D761" s="19" t="s">
        <v>7</v>
      </c>
      <c r="E761" s="19" t="s">
        <v>962</v>
      </c>
      <c r="F761" s="19" t="s">
        <v>119</v>
      </c>
      <c r="G761" s="19" t="s">
        <v>963</v>
      </c>
      <c r="H761" s="76">
        <v>46224</v>
      </c>
      <c r="I761" s="19" t="s">
        <v>101</v>
      </c>
      <c r="J761" s="19" t="s">
        <v>1575</v>
      </c>
      <c r="K761" s="19" t="s">
        <v>1575</v>
      </c>
      <c r="L761" s="19" t="s">
        <v>1509</v>
      </c>
      <c r="M761" s="19" t="s">
        <v>1576</v>
      </c>
      <c r="N761" s="19">
        <v>95</v>
      </c>
      <c r="O761" s="19">
        <v>68875</v>
      </c>
      <c r="P761" s="19" t="s">
        <v>1576</v>
      </c>
      <c r="Q761" s="19">
        <v>121800</v>
      </c>
      <c r="R761" s="19">
        <v>2.5</v>
      </c>
      <c r="S761" s="19">
        <v>1721.88</v>
      </c>
      <c r="T761" s="19">
        <v>2.5</v>
      </c>
      <c r="U761" s="19">
        <v>1721.88</v>
      </c>
      <c r="V761" s="19">
        <v>0</v>
      </c>
      <c r="W761" s="19">
        <v>0</v>
      </c>
      <c r="X761" s="19">
        <v>0</v>
      </c>
      <c r="Y761" s="19">
        <v>3443.76</v>
      </c>
      <c r="Z761" s="19">
        <v>0</v>
      </c>
      <c r="AA761" s="19" t="s">
        <v>146</v>
      </c>
      <c r="AB761" s="19" t="s">
        <v>1555</v>
      </c>
      <c r="AC761" s="19">
        <v>44152000</v>
      </c>
      <c r="AD761" s="19" t="s">
        <v>1092</v>
      </c>
      <c r="AE761" s="19">
        <v>1</v>
      </c>
      <c r="AF761" s="19">
        <v>0</v>
      </c>
      <c r="AG761" s="19" t="s">
        <v>1093</v>
      </c>
      <c r="AH761" s="19" t="s">
        <v>2319</v>
      </c>
    </row>
    <row r="762" spans="2:34" hidden="1" x14ac:dyDescent="0.35">
      <c r="B762" s="76">
        <v>46232</v>
      </c>
      <c r="C762" s="19" t="s">
        <v>145</v>
      </c>
      <c r="D762" s="19" t="s">
        <v>7</v>
      </c>
      <c r="E762" s="19" t="s">
        <v>962</v>
      </c>
      <c r="F762" s="19" t="s">
        <v>119</v>
      </c>
      <c r="G762" s="19" t="s">
        <v>963</v>
      </c>
      <c r="H762" s="76">
        <v>46224</v>
      </c>
      <c r="I762" s="19" t="s">
        <v>101</v>
      </c>
      <c r="J762" s="19" t="s">
        <v>1575</v>
      </c>
      <c r="K762" s="19" t="s">
        <v>1575</v>
      </c>
      <c r="L762" s="19" t="s">
        <v>1509</v>
      </c>
      <c r="M762" s="19" t="s">
        <v>1576</v>
      </c>
      <c r="N762" s="19">
        <v>60</v>
      </c>
      <c r="O762" s="19">
        <v>43500</v>
      </c>
      <c r="P762" s="19" t="s">
        <v>1576</v>
      </c>
      <c r="Q762" s="19">
        <v>0</v>
      </c>
      <c r="R762" s="19">
        <v>2.5</v>
      </c>
      <c r="S762" s="19">
        <v>1087.5</v>
      </c>
      <c r="T762" s="19">
        <v>2.5</v>
      </c>
      <c r="U762" s="19">
        <v>1087.5</v>
      </c>
      <c r="V762" s="19">
        <v>0</v>
      </c>
      <c r="W762" s="19">
        <v>0</v>
      </c>
      <c r="X762" s="19">
        <v>0</v>
      </c>
      <c r="Y762" s="19">
        <v>2175</v>
      </c>
      <c r="Z762" s="19">
        <v>0</v>
      </c>
      <c r="AA762" s="19" t="s">
        <v>146</v>
      </c>
      <c r="AB762" s="19" t="s">
        <v>1555</v>
      </c>
      <c r="AC762" s="19">
        <v>44152000</v>
      </c>
      <c r="AD762" s="19" t="s">
        <v>1092</v>
      </c>
      <c r="AE762" s="19">
        <v>1</v>
      </c>
      <c r="AF762" s="19">
        <v>0</v>
      </c>
      <c r="AG762" s="19" t="s">
        <v>1093</v>
      </c>
      <c r="AH762" s="19" t="s">
        <v>2319</v>
      </c>
    </row>
    <row r="763" spans="2:34" hidden="1" x14ac:dyDescent="0.35">
      <c r="B763" s="76">
        <v>46232</v>
      </c>
      <c r="C763" s="19" t="s">
        <v>145</v>
      </c>
      <c r="D763" s="19" t="s">
        <v>7</v>
      </c>
      <c r="E763" s="19" t="s">
        <v>962</v>
      </c>
      <c r="F763" s="19" t="s">
        <v>119</v>
      </c>
      <c r="G763" s="19" t="s">
        <v>963</v>
      </c>
      <c r="H763" s="76">
        <v>46224</v>
      </c>
      <c r="I763" s="19" t="s">
        <v>101</v>
      </c>
      <c r="J763" s="19" t="s">
        <v>1575</v>
      </c>
      <c r="K763" s="19" t="s">
        <v>1575</v>
      </c>
      <c r="L763" s="19" t="s">
        <v>1509</v>
      </c>
      <c r="M763" s="19" t="s">
        <v>1576</v>
      </c>
      <c r="N763" s="19">
        <v>5</v>
      </c>
      <c r="O763" s="19">
        <v>3625</v>
      </c>
      <c r="P763" s="19" t="s">
        <v>1576</v>
      </c>
      <c r="Q763" s="19">
        <v>0</v>
      </c>
      <c r="R763" s="19">
        <v>2.5</v>
      </c>
      <c r="S763" s="19">
        <v>90.62</v>
      </c>
      <c r="T763" s="19">
        <v>2.5</v>
      </c>
      <c r="U763" s="19">
        <v>90.62</v>
      </c>
      <c r="V763" s="19">
        <v>0</v>
      </c>
      <c r="W763" s="19">
        <v>0</v>
      </c>
      <c r="X763" s="19">
        <v>0</v>
      </c>
      <c r="Y763" s="19">
        <v>181.24</v>
      </c>
      <c r="Z763" s="19">
        <v>0</v>
      </c>
      <c r="AA763" s="19" t="s">
        <v>146</v>
      </c>
      <c r="AB763" s="19" t="s">
        <v>1555</v>
      </c>
      <c r="AC763" s="19">
        <v>44152000</v>
      </c>
      <c r="AD763" s="19" t="s">
        <v>1092</v>
      </c>
      <c r="AE763" s="19">
        <v>1</v>
      </c>
      <c r="AF763" s="19">
        <v>0</v>
      </c>
      <c r="AG763" s="19" t="s">
        <v>1093</v>
      </c>
      <c r="AH763" s="19" t="s">
        <v>2319</v>
      </c>
    </row>
    <row r="764" spans="2:34" hidden="1" x14ac:dyDescent="0.35">
      <c r="B764" s="76">
        <v>46233</v>
      </c>
      <c r="C764" s="19" t="s">
        <v>989</v>
      </c>
      <c r="D764" s="19" t="s">
        <v>7</v>
      </c>
      <c r="E764" s="19" t="s">
        <v>987</v>
      </c>
      <c r="F764" s="19" t="s">
        <v>119</v>
      </c>
      <c r="G764" s="19" t="s">
        <v>988</v>
      </c>
      <c r="H764" s="76">
        <v>46232</v>
      </c>
      <c r="I764" s="19" t="s">
        <v>101</v>
      </c>
      <c r="J764" s="19" t="s">
        <v>1575</v>
      </c>
      <c r="K764" s="19" t="s">
        <v>1575</v>
      </c>
      <c r="L764" s="19" t="s">
        <v>1509</v>
      </c>
      <c r="M764" s="19" t="s">
        <v>1576</v>
      </c>
      <c r="N764" s="19">
        <v>400</v>
      </c>
      <c r="O764" s="19">
        <v>324000</v>
      </c>
      <c r="P764" s="19" t="s">
        <v>1576</v>
      </c>
      <c r="Q764" s="19">
        <v>340200</v>
      </c>
      <c r="R764" s="19">
        <v>2.5</v>
      </c>
      <c r="S764" s="19">
        <v>8100</v>
      </c>
      <c r="T764" s="19">
        <v>2.5</v>
      </c>
      <c r="U764" s="19">
        <v>8100</v>
      </c>
      <c r="V764" s="19">
        <v>0</v>
      </c>
      <c r="W764" s="19">
        <v>0</v>
      </c>
      <c r="X764" s="19">
        <v>0</v>
      </c>
      <c r="Y764" s="19">
        <v>16200</v>
      </c>
      <c r="Z764" s="19">
        <v>0</v>
      </c>
      <c r="AA764" s="19" t="s">
        <v>990</v>
      </c>
      <c r="AB764" s="19" t="s">
        <v>1555</v>
      </c>
      <c r="AC764" s="19">
        <v>44152000</v>
      </c>
      <c r="AD764" s="19" t="s">
        <v>1092</v>
      </c>
      <c r="AE764" s="19">
        <v>1</v>
      </c>
      <c r="AF764" s="19">
        <v>0</v>
      </c>
      <c r="AG764" s="19" t="s">
        <v>1093</v>
      </c>
      <c r="AH764" s="19" t="s">
        <v>2319</v>
      </c>
    </row>
    <row r="765" spans="2:34" hidden="1" x14ac:dyDescent="0.35">
      <c r="B765" s="76">
        <v>46233</v>
      </c>
      <c r="C765" s="19" t="s">
        <v>980</v>
      </c>
      <c r="D765" s="19" t="s">
        <v>126</v>
      </c>
      <c r="E765" s="19" t="s">
        <v>979</v>
      </c>
      <c r="F765" s="19" t="s">
        <v>118</v>
      </c>
      <c r="G765" s="19">
        <v>2532</v>
      </c>
      <c r="H765" s="76">
        <v>46188</v>
      </c>
      <c r="I765" s="19" t="s">
        <v>103</v>
      </c>
      <c r="J765" s="19" t="s">
        <v>1765</v>
      </c>
      <c r="K765" s="19" t="s">
        <v>1127</v>
      </c>
      <c r="L765" s="19" t="s">
        <v>1389</v>
      </c>
      <c r="M765" s="19" t="s">
        <v>1947</v>
      </c>
      <c r="N765" s="19">
        <v>100</v>
      </c>
      <c r="O765" s="19">
        <v>15000</v>
      </c>
      <c r="P765" s="19" t="s">
        <v>1947</v>
      </c>
      <c r="Q765" s="19">
        <v>17700</v>
      </c>
      <c r="R765" s="19">
        <v>9</v>
      </c>
      <c r="S765" s="19">
        <v>1350</v>
      </c>
      <c r="T765" s="19">
        <v>9</v>
      </c>
      <c r="U765" s="19">
        <v>1350</v>
      </c>
      <c r="V765" s="19">
        <v>0</v>
      </c>
      <c r="W765" s="19">
        <v>0</v>
      </c>
      <c r="X765" s="19">
        <v>0</v>
      </c>
      <c r="Y765" s="19">
        <v>2700</v>
      </c>
      <c r="Z765" s="19">
        <v>0</v>
      </c>
      <c r="AA765" s="19" t="s">
        <v>981</v>
      </c>
      <c r="AB765" s="19" t="s">
        <v>1555</v>
      </c>
      <c r="AC765" s="19">
        <v>96110000</v>
      </c>
      <c r="AD765" s="19" t="s">
        <v>1092</v>
      </c>
      <c r="AE765" s="19">
        <v>1</v>
      </c>
      <c r="AF765" s="19">
        <v>0</v>
      </c>
      <c r="AG765" s="19" t="s">
        <v>1093</v>
      </c>
      <c r="AH765" s="19" t="s">
        <v>2319</v>
      </c>
    </row>
    <row r="766" spans="2:34" hidden="1" x14ac:dyDescent="0.35">
      <c r="B766" s="76">
        <v>46233</v>
      </c>
      <c r="C766" s="19" t="s">
        <v>607</v>
      </c>
      <c r="D766" s="19" t="s">
        <v>7</v>
      </c>
      <c r="E766" s="19" t="s">
        <v>984</v>
      </c>
      <c r="F766" s="19" t="s">
        <v>119</v>
      </c>
      <c r="G766" s="19">
        <v>135</v>
      </c>
      <c r="H766" s="76">
        <v>46231</v>
      </c>
      <c r="I766" s="19" t="s">
        <v>101</v>
      </c>
      <c r="J766" s="19" t="s">
        <v>1559</v>
      </c>
      <c r="K766" s="19" t="s">
        <v>1509</v>
      </c>
      <c r="L766" s="19" t="s">
        <v>1509</v>
      </c>
      <c r="M766" s="19" t="s">
        <v>1560</v>
      </c>
      <c r="N766" s="19">
        <v>265.60000000000002</v>
      </c>
      <c r="O766" s="19">
        <v>9827.2000000000007</v>
      </c>
      <c r="P766" s="19" t="s">
        <v>1560</v>
      </c>
      <c r="Q766" s="19">
        <v>43660</v>
      </c>
      <c r="R766" s="19">
        <v>9</v>
      </c>
      <c r="S766" s="19">
        <v>884.45</v>
      </c>
      <c r="T766" s="19">
        <v>9</v>
      </c>
      <c r="U766" s="19">
        <v>884.45</v>
      </c>
      <c r="V766" s="19">
        <v>0</v>
      </c>
      <c r="W766" s="19">
        <v>0</v>
      </c>
      <c r="X766" s="19">
        <v>0</v>
      </c>
      <c r="Y766" s="19">
        <v>1768.9</v>
      </c>
      <c r="Z766" s="19">
        <v>0</v>
      </c>
      <c r="AA766" s="19" t="s">
        <v>608</v>
      </c>
      <c r="AB766" s="19" t="s">
        <v>1289</v>
      </c>
      <c r="AC766" s="19">
        <v>482290</v>
      </c>
      <c r="AD766" s="19" t="s">
        <v>1092</v>
      </c>
      <c r="AE766" s="19">
        <v>1</v>
      </c>
      <c r="AF766" s="19">
        <v>0</v>
      </c>
      <c r="AG766" s="19" t="s">
        <v>1093</v>
      </c>
      <c r="AH766" s="19" t="s">
        <v>2319</v>
      </c>
    </row>
    <row r="767" spans="2:34" hidden="1" x14ac:dyDescent="0.35">
      <c r="B767" s="76">
        <v>46233</v>
      </c>
      <c r="C767" s="19" t="s">
        <v>607</v>
      </c>
      <c r="D767" s="19" t="s">
        <v>7</v>
      </c>
      <c r="E767" s="19" t="s">
        <v>984</v>
      </c>
      <c r="F767" s="19" t="s">
        <v>119</v>
      </c>
      <c r="G767" s="19">
        <v>135</v>
      </c>
      <c r="H767" s="76">
        <v>46231</v>
      </c>
      <c r="I767" s="19" t="s">
        <v>101</v>
      </c>
      <c r="J767" s="19" t="s">
        <v>1559</v>
      </c>
      <c r="K767" s="19" t="s">
        <v>1509</v>
      </c>
      <c r="L767" s="19" t="s">
        <v>1509</v>
      </c>
      <c r="M767" s="19" t="s">
        <v>1560</v>
      </c>
      <c r="N767" s="19">
        <v>330.91</v>
      </c>
      <c r="O767" s="19">
        <v>12243.67</v>
      </c>
      <c r="P767" s="19" t="s">
        <v>1560</v>
      </c>
      <c r="Q767" s="19">
        <v>0</v>
      </c>
      <c r="R767" s="19">
        <v>9</v>
      </c>
      <c r="S767" s="19">
        <v>1101.93</v>
      </c>
      <c r="T767" s="19">
        <v>9</v>
      </c>
      <c r="U767" s="19">
        <v>1101.93</v>
      </c>
      <c r="V767" s="19">
        <v>0</v>
      </c>
      <c r="W767" s="19">
        <v>0</v>
      </c>
      <c r="X767" s="19">
        <v>0</v>
      </c>
      <c r="Y767" s="19">
        <v>2203.86</v>
      </c>
      <c r="Z767" s="19">
        <v>0</v>
      </c>
      <c r="AA767" s="19" t="s">
        <v>608</v>
      </c>
      <c r="AB767" s="19" t="s">
        <v>1289</v>
      </c>
      <c r="AC767" s="19">
        <v>482290</v>
      </c>
      <c r="AD767" s="19" t="s">
        <v>1092</v>
      </c>
      <c r="AE767" s="19">
        <v>1</v>
      </c>
      <c r="AF767" s="19">
        <v>0</v>
      </c>
      <c r="AG767" s="19" t="s">
        <v>1093</v>
      </c>
      <c r="AH767" s="19" t="s">
        <v>2319</v>
      </c>
    </row>
    <row r="768" spans="2:34" hidden="1" x14ac:dyDescent="0.35">
      <c r="B768" s="76">
        <v>46233</v>
      </c>
      <c r="C768" s="19" t="s">
        <v>607</v>
      </c>
      <c r="D768" s="19" t="s">
        <v>7</v>
      </c>
      <c r="E768" s="19" t="s">
        <v>984</v>
      </c>
      <c r="F768" s="19" t="s">
        <v>119</v>
      </c>
      <c r="G768" s="19">
        <v>135</v>
      </c>
      <c r="H768" s="76">
        <v>46231</v>
      </c>
      <c r="I768" s="19" t="s">
        <v>101</v>
      </c>
      <c r="J768" s="19" t="s">
        <v>1559</v>
      </c>
      <c r="K768" s="19" t="s">
        <v>1509</v>
      </c>
      <c r="L768" s="19" t="s">
        <v>1509</v>
      </c>
      <c r="M768" s="19" t="s">
        <v>1560</v>
      </c>
      <c r="N768" s="19">
        <v>283.41000000000003</v>
      </c>
      <c r="O768" s="19">
        <v>10486.17</v>
      </c>
      <c r="P768" s="19" t="s">
        <v>1560</v>
      </c>
      <c r="Q768" s="19">
        <v>0</v>
      </c>
      <c r="R768" s="19">
        <v>9</v>
      </c>
      <c r="S768" s="19">
        <v>943.76</v>
      </c>
      <c r="T768" s="19">
        <v>9</v>
      </c>
      <c r="U768" s="19">
        <v>943.76</v>
      </c>
      <c r="V768" s="19">
        <v>0</v>
      </c>
      <c r="W768" s="19">
        <v>0</v>
      </c>
      <c r="X768" s="19">
        <v>0</v>
      </c>
      <c r="Y768" s="19">
        <v>1887.52</v>
      </c>
      <c r="Z768" s="19">
        <v>0</v>
      </c>
      <c r="AA768" s="19" t="s">
        <v>608</v>
      </c>
      <c r="AB768" s="19" t="s">
        <v>1289</v>
      </c>
      <c r="AC768" s="19">
        <v>482290</v>
      </c>
      <c r="AD768" s="19" t="s">
        <v>1092</v>
      </c>
      <c r="AE768" s="19">
        <v>1</v>
      </c>
      <c r="AF768" s="19">
        <v>0</v>
      </c>
      <c r="AG768" s="19" t="s">
        <v>1093</v>
      </c>
      <c r="AH768" s="19" t="s">
        <v>2319</v>
      </c>
    </row>
    <row r="769" spans="2:34" hidden="1" x14ac:dyDescent="0.35">
      <c r="B769" s="76">
        <v>46233</v>
      </c>
      <c r="C769" s="19" t="s">
        <v>607</v>
      </c>
      <c r="D769" s="19" t="s">
        <v>7</v>
      </c>
      <c r="E769" s="19" t="s">
        <v>984</v>
      </c>
      <c r="F769" s="19" t="s">
        <v>119</v>
      </c>
      <c r="G769" s="19">
        <v>135</v>
      </c>
      <c r="H769" s="76">
        <v>46231</v>
      </c>
      <c r="I769" s="19" t="s">
        <v>101</v>
      </c>
      <c r="J769" s="19" t="s">
        <v>1559</v>
      </c>
      <c r="K769" s="19" t="s">
        <v>1509</v>
      </c>
      <c r="L769" s="19" t="s">
        <v>1509</v>
      </c>
      <c r="M769" s="19" t="s">
        <v>1560</v>
      </c>
      <c r="N769" s="19">
        <v>71.94</v>
      </c>
      <c r="O769" s="19">
        <v>2661.78</v>
      </c>
      <c r="P769" s="19" t="s">
        <v>1560</v>
      </c>
      <c r="Q769" s="19">
        <v>0</v>
      </c>
      <c r="R769" s="19">
        <v>9</v>
      </c>
      <c r="S769" s="19">
        <v>239.56</v>
      </c>
      <c r="T769" s="19">
        <v>9</v>
      </c>
      <c r="U769" s="19">
        <v>239.56</v>
      </c>
      <c r="V769" s="19">
        <v>0</v>
      </c>
      <c r="W769" s="19">
        <v>0</v>
      </c>
      <c r="X769" s="19">
        <v>0</v>
      </c>
      <c r="Y769" s="19">
        <v>479.12</v>
      </c>
      <c r="Z769" s="19">
        <v>0</v>
      </c>
      <c r="AA769" s="19" t="s">
        <v>608</v>
      </c>
      <c r="AB769" s="19" t="s">
        <v>1289</v>
      </c>
      <c r="AC769" s="19">
        <v>482290</v>
      </c>
      <c r="AD769" s="19" t="s">
        <v>1092</v>
      </c>
      <c r="AE769" s="19">
        <v>1</v>
      </c>
      <c r="AF769" s="19">
        <v>0</v>
      </c>
      <c r="AG769" s="19" t="s">
        <v>1093</v>
      </c>
      <c r="AH769" s="19" t="s">
        <v>2319</v>
      </c>
    </row>
    <row r="770" spans="2:34" hidden="1" x14ac:dyDescent="0.35">
      <c r="B770" s="76">
        <v>46233</v>
      </c>
      <c r="C770" s="19" t="s">
        <v>607</v>
      </c>
      <c r="D770" s="19" t="s">
        <v>7</v>
      </c>
      <c r="E770" s="19" t="s">
        <v>984</v>
      </c>
      <c r="F770" s="19" t="s">
        <v>119</v>
      </c>
      <c r="G770" s="19">
        <v>135</v>
      </c>
      <c r="H770" s="76">
        <v>46231</v>
      </c>
      <c r="I770" s="19" t="s">
        <v>101</v>
      </c>
      <c r="J770" s="19" t="s">
        <v>1559</v>
      </c>
      <c r="K770" s="19" t="s">
        <v>1509</v>
      </c>
      <c r="L770" s="19" t="s">
        <v>1509</v>
      </c>
      <c r="M770" s="19" t="s">
        <v>1560</v>
      </c>
      <c r="N770" s="19">
        <v>48.14</v>
      </c>
      <c r="O770" s="19">
        <v>1781.18</v>
      </c>
      <c r="P770" s="19" t="s">
        <v>1560</v>
      </c>
      <c r="Q770" s="19">
        <v>0</v>
      </c>
      <c r="R770" s="19">
        <v>9</v>
      </c>
      <c r="S770" s="19">
        <v>160.31</v>
      </c>
      <c r="T770" s="19">
        <v>9</v>
      </c>
      <c r="U770" s="19">
        <v>160.31</v>
      </c>
      <c r="V770" s="19">
        <v>0</v>
      </c>
      <c r="W770" s="19">
        <v>0</v>
      </c>
      <c r="X770" s="19">
        <v>0</v>
      </c>
      <c r="Y770" s="19">
        <v>320.62</v>
      </c>
      <c r="Z770" s="19">
        <v>0</v>
      </c>
      <c r="AA770" s="19" t="s">
        <v>608</v>
      </c>
      <c r="AB770" s="19" t="s">
        <v>1289</v>
      </c>
      <c r="AC770" s="19">
        <v>482290</v>
      </c>
      <c r="AD770" s="19" t="s">
        <v>1092</v>
      </c>
      <c r="AE770" s="19">
        <v>1</v>
      </c>
      <c r="AF770" s="19">
        <v>0</v>
      </c>
      <c r="AG770" s="19" t="s">
        <v>1093</v>
      </c>
      <c r="AH770" s="19" t="s">
        <v>2319</v>
      </c>
    </row>
    <row r="771" spans="2:34" x14ac:dyDescent="0.35">
      <c r="B771" s="76">
        <v>46233</v>
      </c>
      <c r="C771" s="19" t="s">
        <v>186</v>
      </c>
      <c r="D771" s="19" t="s">
        <v>173</v>
      </c>
      <c r="E771" s="19" t="s">
        <v>997</v>
      </c>
      <c r="F771" s="19" t="s">
        <v>123</v>
      </c>
      <c r="G771" s="19" t="s">
        <v>998</v>
      </c>
      <c r="H771" s="76">
        <v>46214</v>
      </c>
      <c r="I771" s="19" t="s">
        <v>36</v>
      </c>
      <c r="J771" s="19" t="s">
        <v>1087</v>
      </c>
      <c r="K771" s="19" t="s">
        <v>46</v>
      </c>
      <c r="L771" s="19" t="s">
        <v>1213</v>
      </c>
      <c r="M771" s="19" t="s">
        <v>1948</v>
      </c>
      <c r="N771" s="19">
        <v>1438.87</v>
      </c>
      <c r="O771" s="19">
        <v>280568.13903999998</v>
      </c>
      <c r="P771" s="19" t="s">
        <v>1948</v>
      </c>
      <c r="Q771" s="19">
        <v>1056651.71</v>
      </c>
      <c r="R771" s="19">
        <v>2.5</v>
      </c>
      <c r="S771" s="19">
        <v>7014.2</v>
      </c>
      <c r="T771" s="19">
        <v>2.5</v>
      </c>
      <c r="U771" s="19">
        <v>7014.2</v>
      </c>
      <c r="V771" s="19">
        <v>0</v>
      </c>
      <c r="W771" s="19">
        <v>0</v>
      </c>
      <c r="X771" s="19">
        <v>0</v>
      </c>
      <c r="Y771" s="19">
        <v>14028.4</v>
      </c>
      <c r="Z771" s="19">
        <v>0</v>
      </c>
      <c r="AA771" s="19" t="s">
        <v>187</v>
      </c>
      <c r="AB771" s="19" t="s">
        <v>1289</v>
      </c>
      <c r="AC771" s="19">
        <v>54041200</v>
      </c>
      <c r="AD771" s="19" t="s">
        <v>1092</v>
      </c>
      <c r="AE771" s="19">
        <v>1</v>
      </c>
      <c r="AF771" s="19">
        <v>1438.87</v>
      </c>
      <c r="AG771" s="19" t="s">
        <v>1093</v>
      </c>
      <c r="AH771" s="19" t="s">
        <v>46</v>
      </c>
    </row>
    <row r="772" spans="2:34" x14ac:dyDescent="0.35">
      <c r="B772" s="76">
        <v>46233</v>
      </c>
      <c r="C772" s="19" t="s">
        <v>186</v>
      </c>
      <c r="D772" s="19" t="s">
        <v>173</v>
      </c>
      <c r="E772" s="19" t="s">
        <v>997</v>
      </c>
      <c r="F772" s="19" t="s">
        <v>123</v>
      </c>
      <c r="G772" s="19" t="s">
        <v>998</v>
      </c>
      <c r="H772" s="76">
        <v>46214</v>
      </c>
      <c r="I772" s="19" t="s">
        <v>36</v>
      </c>
      <c r="J772" s="19" t="s">
        <v>1087</v>
      </c>
      <c r="K772" s="19" t="s">
        <v>46</v>
      </c>
      <c r="L772" s="19" t="s">
        <v>1213</v>
      </c>
      <c r="M772" s="19" t="s">
        <v>1564</v>
      </c>
      <c r="N772" s="19">
        <v>586.62</v>
      </c>
      <c r="O772" s="19">
        <v>120254.1669</v>
      </c>
      <c r="P772" s="19" t="s">
        <v>1564</v>
      </c>
      <c r="Q772" s="19">
        <v>0</v>
      </c>
      <c r="R772" s="19">
        <v>2.5</v>
      </c>
      <c r="S772" s="19">
        <v>3006.35</v>
      </c>
      <c r="T772" s="19">
        <v>2.5</v>
      </c>
      <c r="U772" s="19">
        <v>3006.35</v>
      </c>
      <c r="V772" s="19">
        <v>0</v>
      </c>
      <c r="W772" s="19">
        <v>0</v>
      </c>
      <c r="X772" s="19">
        <v>0</v>
      </c>
      <c r="Y772" s="19">
        <v>6012.7</v>
      </c>
      <c r="Z772" s="19">
        <v>0</v>
      </c>
      <c r="AA772" s="19" t="s">
        <v>187</v>
      </c>
      <c r="AB772" s="19" t="s">
        <v>1289</v>
      </c>
      <c r="AC772" s="19">
        <v>12345678</v>
      </c>
      <c r="AD772" s="19" t="s">
        <v>1092</v>
      </c>
      <c r="AE772" s="19">
        <v>1</v>
      </c>
      <c r="AF772" s="19">
        <v>586.62</v>
      </c>
      <c r="AG772" s="19" t="s">
        <v>1093</v>
      </c>
      <c r="AH772" s="19" t="s">
        <v>46</v>
      </c>
    </row>
    <row r="773" spans="2:34" x14ac:dyDescent="0.35">
      <c r="B773" s="76">
        <v>46233</v>
      </c>
      <c r="C773" s="19" t="s">
        <v>186</v>
      </c>
      <c r="D773" s="19" t="s">
        <v>173</v>
      </c>
      <c r="E773" s="19" t="s">
        <v>997</v>
      </c>
      <c r="F773" s="19" t="s">
        <v>123</v>
      </c>
      <c r="G773" s="19" t="s">
        <v>998</v>
      </c>
      <c r="H773" s="76">
        <v>46214</v>
      </c>
      <c r="I773" s="19" t="s">
        <v>36</v>
      </c>
      <c r="J773" s="19" t="s">
        <v>1087</v>
      </c>
      <c r="K773" s="19" t="s">
        <v>46</v>
      </c>
      <c r="L773" s="19" t="s">
        <v>1213</v>
      </c>
      <c r="M773" s="19" t="s">
        <v>1949</v>
      </c>
      <c r="N773" s="19">
        <v>2958.47</v>
      </c>
      <c r="O773" s="19">
        <v>606471.55764999997</v>
      </c>
      <c r="P773" s="19" t="s">
        <v>1949</v>
      </c>
      <c r="Q773" s="19">
        <v>0</v>
      </c>
      <c r="R773" s="19">
        <v>2.5</v>
      </c>
      <c r="S773" s="19">
        <v>15161.79</v>
      </c>
      <c r="T773" s="19">
        <v>2.5</v>
      </c>
      <c r="U773" s="19">
        <v>15161.79</v>
      </c>
      <c r="V773" s="19">
        <v>0</v>
      </c>
      <c r="W773" s="19">
        <v>0</v>
      </c>
      <c r="X773" s="19">
        <v>0</v>
      </c>
      <c r="Y773" s="19">
        <v>30323.58</v>
      </c>
      <c r="Z773" s="19">
        <v>0</v>
      </c>
      <c r="AA773" s="19" t="s">
        <v>187</v>
      </c>
      <c r="AB773" s="19" t="s">
        <v>1289</v>
      </c>
      <c r="AC773" s="19">
        <v>63416381</v>
      </c>
      <c r="AD773" s="19" t="s">
        <v>1092</v>
      </c>
      <c r="AE773" s="19">
        <v>1</v>
      </c>
      <c r="AF773" s="19">
        <f t="shared" ref="AF773:AF774" si="24">N773</f>
        <v>2958.47</v>
      </c>
      <c r="AG773" s="19" t="s">
        <v>1093</v>
      </c>
      <c r="AH773" s="19" t="s">
        <v>46</v>
      </c>
    </row>
    <row r="774" spans="2:34" x14ac:dyDescent="0.35">
      <c r="B774" s="76">
        <v>46233</v>
      </c>
      <c r="C774" s="19" t="s">
        <v>186</v>
      </c>
      <c r="D774" s="19" t="s">
        <v>173</v>
      </c>
      <c r="E774" s="19" t="s">
        <v>999</v>
      </c>
      <c r="F774" s="19" t="s">
        <v>123</v>
      </c>
      <c r="G774" s="19" t="s">
        <v>1000</v>
      </c>
      <c r="H774" s="76">
        <v>46225</v>
      </c>
      <c r="I774" s="19" t="s">
        <v>36</v>
      </c>
      <c r="J774" s="19" t="s">
        <v>1087</v>
      </c>
      <c r="K774" s="19" t="s">
        <v>46</v>
      </c>
      <c r="L774" s="19" t="s">
        <v>1213</v>
      </c>
      <c r="M774" s="19" t="s">
        <v>1564</v>
      </c>
      <c r="N774" s="19">
        <v>713.84</v>
      </c>
      <c r="O774" s="19">
        <v>132768.52927999999</v>
      </c>
      <c r="P774" s="19" t="s">
        <v>1564</v>
      </c>
      <c r="Q774" s="19">
        <v>139274.23000000001</v>
      </c>
      <c r="R774" s="19">
        <v>2.5</v>
      </c>
      <c r="S774" s="19">
        <v>3319.21</v>
      </c>
      <c r="T774" s="19">
        <v>2.5</v>
      </c>
      <c r="U774" s="19">
        <v>3319.21</v>
      </c>
      <c r="V774" s="19">
        <v>0</v>
      </c>
      <c r="W774" s="19">
        <v>0</v>
      </c>
      <c r="X774" s="19">
        <v>0</v>
      </c>
      <c r="Y774" s="19">
        <v>6638.42</v>
      </c>
      <c r="Z774" s="19">
        <v>0</v>
      </c>
      <c r="AA774" s="19" t="s">
        <v>187</v>
      </c>
      <c r="AB774" s="19" t="s">
        <v>1289</v>
      </c>
      <c r="AC774" s="19">
        <v>12345678</v>
      </c>
      <c r="AD774" s="19" t="s">
        <v>1092</v>
      </c>
      <c r="AE774" s="19">
        <v>1</v>
      </c>
      <c r="AF774" s="19">
        <f t="shared" si="24"/>
        <v>713.84</v>
      </c>
      <c r="AG774" s="19" t="s">
        <v>1093</v>
      </c>
      <c r="AH774" s="19" t="s">
        <v>46</v>
      </c>
    </row>
    <row r="775" spans="2:34" hidden="1" x14ac:dyDescent="0.35">
      <c r="B775" s="76">
        <v>46233</v>
      </c>
      <c r="C775" s="19" t="s">
        <v>138</v>
      </c>
      <c r="D775" s="19" t="s">
        <v>7</v>
      </c>
      <c r="E775" s="19" t="s">
        <v>985</v>
      </c>
      <c r="F775" s="19" t="s">
        <v>119</v>
      </c>
      <c r="G775" s="19" t="s">
        <v>986</v>
      </c>
      <c r="H775" s="76">
        <v>46232</v>
      </c>
      <c r="I775" s="19" t="s">
        <v>105</v>
      </c>
      <c r="J775" s="19" t="s">
        <v>1142</v>
      </c>
      <c r="K775" s="19" t="s">
        <v>1509</v>
      </c>
      <c r="L775" s="19" t="s">
        <v>1509</v>
      </c>
      <c r="M775" s="19" t="s">
        <v>1196</v>
      </c>
      <c r="N775" s="19">
        <v>317</v>
      </c>
      <c r="O775" s="19">
        <v>15216</v>
      </c>
      <c r="P775" s="19" t="s">
        <v>1196</v>
      </c>
      <c r="Q775" s="19">
        <v>17939.66</v>
      </c>
      <c r="R775" s="19">
        <v>9</v>
      </c>
      <c r="S775" s="19">
        <v>1369.44</v>
      </c>
      <c r="T775" s="19">
        <v>9</v>
      </c>
      <c r="U775" s="19">
        <v>1369.44</v>
      </c>
      <c r="V775" s="19">
        <v>0</v>
      </c>
      <c r="W775" s="19">
        <v>0</v>
      </c>
      <c r="X775" s="19">
        <v>0</v>
      </c>
      <c r="Y775" s="19">
        <v>2738.88</v>
      </c>
      <c r="Z775" s="19">
        <v>0</v>
      </c>
      <c r="AA775" s="19" t="s">
        <v>135</v>
      </c>
      <c r="AB775" s="19" t="s">
        <v>1289</v>
      </c>
      <c r="AC775" s="19">
        <v>73063090</v>
      </c>
      <c r="AD775" s="19" t="s">
        <v>1092</v>
      </c>
      <c r="AE775" s="19">
        <v>1</v>
      </c>
      <c r="AF775" s="19">
        <v>0</v>
      </c>
      <c r="AG775" s="19" t="s">
        <v>1093</v>
      </c>
      <c r="AH775" s="19" t="s">
        <v>2319</v>
      </c>
    </row>
    <row r="776" spans="2:34" x14ac:dyDescent="0.35">
      <c r="B776" s="76">
        <v>46233</v>
      </c>
      <c r="C776" s="19" t="s">
        <v>138</v>
      </c>
      <c r="D776" s="19" t="s">
        <v>173</v>
      </c>
      <c r="E776" s="19" t="s">
        <v>993</v>
      </c>
      <c r="F776" s="19" t="s">
        <v>123</v>
      </c>
      <c r="G776" s="19" t="s">
        <v>994</v>
      </c>
      <c r="H776" s="76">
        <v>46232</v>
      </c>
      <c r="I776" s="19" t="s">
        <v>36</v>
      </c>
      <c r="J776" s="19" t="s">
        <v>1117</v>
      </c>
      <c r="K776" s="19" t="s">
        <v>44</v>
      </c>
      <c r="L776" s="19" t="s">
        <v>1118</v>
      </c>
      <c r="M776" s="19" t="s">
        <v>1119</v>
      </c>
      <c r="N776" s="19">
        <v>617</v>
      </c>
      <c r="O776" s="19">
        <v>243715</v>
      </c>
      <c r="P776" s="19" t="s">
        <v>1119</v>
      </c>
      <c r="Q776" s="19">
        <v>287340.28999999998</v>
      </c>
      <c r="R776" s="19">
        <v>9</v>
      </c>
      <c r="S776" s="19">
        <v>21934.35</v>
      </c>
      <c r="T776" s="19">
        <v>9</v>
      </c>
      <c r="U776" s="19">
        <v>21934.35</v>
      </c>
      <c r="V776" s="19">
        <v>0</v>
      </c>
      <c r="W776" s="19">
        <v>0</v>
      </c>
      <c r="X776" s="19">
        <v>0</v>
      </c>
      <c r="Y776" s="19">
        <v>43868.7</v>
      </c>
      <c r="Z776" s="19">
        <v>0</v>
      </c>
      <c r="AA776" s="19" t="s">
        <v>135</v>
      </c>
      <c r="AB776" s="19" t="s">
        <v>1289</v>
      </c>
      <c r="AC776" s="19">
        <v>39269080</v>
      </c>
      <c r="AD776" s="19" t="s">
        <v>1092</v>
      </c>
      <c r="AE776" s="19">
        <v>1</v>
      </c>
      <c r="AF776" s="19">
        <v>617</v>
      </c>
      <c r="AG776" s="19" t="s">
        <v>1093</v>
      </c>
      <c r="AH776" s="19" t="s">
        <v>44</v>
      </c>
    </row>
    <row r="777" spans="2:34" x14ac:dyDescent="0.35">
      <c r="B777" s="76">
        <v>46233</v>
      </c>
      <c r="C777" s="19" t="s">
        <v>138</v>
      </c>
      <c r="D777" s="19" t="s">
        <v>173</v>
      </c>
      <c r="E777" s="19" t="s">
        <v>995</v>
      </c>
      <c r="F777" s="19" t="s">
        <v>123</v>
      </c>
      <c r="G777" s="19" t="s">
        <v>996</v>
      </c>
      <c r="H777" s="76">
        <v>46232</v>
      </c>
      <c r="I777" s="19" t="s">
        <v>36</v>
      </c>
      <c r="J777" s="19" t="s">
        <v>1117</v>
      </c>
      <c r="K777" s="19" t="s">
        <v>44</v>
      </c>
      <c r="L777" s="19" t="s">
        <v>1118</v>
      </c>
      <c r="M777" s="19" t="s">
        <v>1119</v>
      </c>
      <c r="N777" s="19">
        <v>1677</v>
      </c>
      <c r="O777" s="19">
        <v>242309.73</v>
      </c>
      <c r="P777" s="19" t="s">
        <v>1119</v>
      </c>
      <c r="Q777" s="19">
        <v>1479117.66</v>
      </c>
      <c r="R777" s="19">
        <v>9</v>
      </c>
      <c r="S777" s="19">
        <v>21807.88</v>
      </c>
      <c r="T777" s="19">
        <v>9</v>
      </c>
      <c r="U777" s="19">
        <v>21807.88</v>
      </c>
      <c r="V777" s="19">
        <v>0</v>
      </c>
      <c r="W777" s="19">
        <v>0</v>
      </c>
      <c r="X777" s="19">
        <v>0</v>
      </c>
      <c r="Y777" s="19">
        <v>43615.76</v>
      </c>
      <c r="Z777" s="19">
        <v>0</v>
      </c>
      <c r="AA777" s="19" t="s">
        <v>135</v>
      </c>
      <c r="AB777" s="19" t="s">
        <v>1289</v>
      </c>
      <c r="AC777" s="19">
        <v>39269080</v>
      </c>
      <c r="AD777" s="19" t="s">
        <v>1092</v>
      </c>
      <c r="AE777" s="19">
        <v>1</v>
      </c>
      <c r="AF777" s="19">
        <v>1677</v>
      </c>
      <c r="AG777" s="19" t="s">
        <v>1093</v>
      </c>
      <c r="AH777" s="19" t="s">
        <v>44</v>
      </c>
    </row>
    <row r="778" spans="2:34" x14ac:dyDescent="0.35">
      <c r="B778" s="76">
        <v>46233</v>
      </c>
      <c r="C778" s="19" t="s">
        <v>138</v>
      </c>
      <c r="D778" s="19" t="s">
        <v>173</v>
      </c>
      <c r="E778" s="19" t="s">
        <v>995</v>
      </c>
      <c r="F778" s="19" t="s">
        <v>123</v>
      </c>
      <c r="G778" s="19" t="s">
        <v>996</v>
      </c>
      <c r="H778" s="76">
        <v>46232</v>
      </c>
      <c r="I778" s="19" t="s">
        <v>36</v>
      </c>
      <c r="J778" s="19" t="s">
        <v>1117</v>
      </c>
      <c r="K778" s="19" t="s">
        <v>44</v>
      </c>
      <c r="L778" s="19" t="s">
        <v>1118</v>
      </c>
      <c r="M778" s="19" t="s">
        <v>1119</v>
      </c>
      <c r="N778" s="19">
        <v>2970</v>
      </c>
      <c r="O778" s="19">
        <v>438045.3</v>
      </c>
      <c r="P778" s="19" t="s">
        <v>1119</v>
      </c>
      <c r="Q778" s="19">
        <v>0</v>
      </c>
      <c r="R778" s="19">
        <v>9</v>
      </c>
      <c r="S778" s="19">
        <v>39424.080000000002</v>
      </c>
      <c r="T778" s="19">
        <v>9</v>
      </c>
      <c r="U778" s="19">
        <v>39424.080000000002</v>
      </c>
      <c r="V778" s="19">
        <v>0</v>
      </c>
      <c r="W778" s="19">
        <v>0</v>
      </c>
      <c r="X778" s="19">
        <v>0</v>
      </c>
      <c r="Y778" s="19">
        <v>78848.160000000003</v>
      </c>
      <c r="Z778" s="19">
        <v>0</v>
      </c>
      <c r="AA778" s="19" t="s">
        <v>135</v>
      </c>
      <c r="AB778" s="19" t="s">
        <v>1289</v>
      </c>
      <c r="AC778" s="19">
        <v>39269080</v>
      </c>
      <c r="AD778" s="19" t="s">
        <v>1092</v>
      </c>
      <c r="AE778" s="19">
        <v>1</v>
      </c>
      <c r="AF778" s="19">
        <v>2970</v>
      </c>
      <c r="AG778" s="19" t="s">
        <v>1093</v>
      </c>
      <c r="AH778" s="19" t="s">
        <v>44</v>
      </c>
    </row>
    <row r="779" spans="2:34" x14ac:dyDescent="0.35">
      <c r="B779" s="76">
        <v>46233</v>
      </c>
      <c r="C779" s="19" t="s">
        <v>138</v>
      </c>
      <c r="D779" s="19" t="s">
        <v>173</v>
      </c>
      <c r="E779" s="19" t="s">
        <v>995</v>
      </c>
      <c r="F779" s="19" t="s">
        <v>123</v>
      </c>
      <c r="G779" s="19" t="s">
        <v>996</v>
      </c>
      <c r="H779" s="76">
        <v>46232</v>
      </c>
      <c r="I779" s="19" t="s">
        <v>36</v>
      </c>
      <c r="J779" s="19" t="s">
        <v>1117</v>
      </c>
      <c r="K779" s="19" t="s">
        <v>44</v>
      </c>
      <c r="L779" s="19" t="s">
        <v>1118</v>
      </c>
      <c r="M779" s="19" t="s">
        <v>1119</v>
      </c>
      <c r="N779" s="19">
        <v>3156</v>
      </c>
      <c r="O779" s="19">
        <v>471790.44</v>
      </c>
      <c r="P779" s="19" t="s">
        <v>1119</v>
      </c>
      <c r="Q779" s="19">
        <v>0</v>
      </c>
      <c r="R779" s="19">
        <v>9</v>
      </c>
      <c r="S779" s="19">
        <v>42461.14</v>
      </c>
      <c r="T779" s="19">
        <v>9</v>
      </c>
      <c r="U779" s="19">
        <v>42461.14</v>
      </c>
      <c r="V779" s="19">
        <v>0</v>
      </c>
      <c r="W779" s="19">
        <v>0</v>
      </c>
      <c r="X779" s="19">
        <v>0</v>
      </c>
      <c r="Y779" s="19">
        <v>84922.28</v>
      </c>
      <c r="Z779" s="19">
        <v>0</v>
      </c>
      <c r="AA779" s="19" t="s">
        <v>135</v>
      </c>
      <c r="AB779" s="19" t="s">
        <v>1289</v>
      </c>
      <c r="AC779" s="19">
        <v>39269080</v>
      </c>
      <c r="AD779" s="19" t="s">
        <v>1092</v>
      </c>
      <c r="AE779" s="19">
        <v>1</v>
      </c>
      <c r="AF779" s="19">
        <v>3156</v>
      </c>
      <c r="AG779" s="19" t="s">
        <v>1093</v>
      </c>
      <c r="AH779" s="19" t="s">
        <v>44</v>
      </c>
    </row>
    <row r="780" spans="2:34" x14ac:dyDescent="0.35">
      <c r="B780" s="76">
        <v>46233</v>
      </c>
      <c r="C780" s="19" t="s">
        <v>138</v>
      </c>
      <c r="D780" s="19" t="s">
        <v>173</v>
      </c>
      <c r="E780" s="19" t="s">
        <v>995</v>
      </c>
      <c r="F780" s="19" t="s">
        <v>123</v>
      </c>
      <c r="G780" s="19" t="s">
        <v>996</v>
      </c>
      <c r="H780" s="76">
        <v>46232</v>
      </c>
      <c r="I780" s="19" t="s">
        <v>36</v>
      </c>
      <c r="J780" s="19" t="s">
        <v>1117</v>
      </c>
      <c r="K780" s="19" t="s">
        <v>42</v>
      </c>
      <c r="L780" s="19" t="s">
        <v>1242</v>
      </c>
      <c r="M780" s="19" t="s">
        <v>1154</v>
      </c>
      <c r="N780" s="19">
        <v>676</v>
      </c>
      <c r="O780" s="19">
        <v>102407.24</v>
      </c>
      <c r="P780" s="19" t="s">
        <v>1154</v>
      </c>
      <c r="Q780" s="19">
        <v>0</v>
      </c>
      <c r="R780" s="19">
        <v>9</v>
      </c>
      <c r="S780" s="19">
        <v>9216.65</v>
      </c>
      <c r="T780" s="19">
        <v>9</v>
      </c>
      <c r="U780" s="19">
        <v>9216.65</v>
      </c>
      <c r="V780" s="19">
        <v>0</v>
      </c>
      <c r="W780" s="19">
        <v>0</v>
      </c>
      <c r="X780" s="19">
        <v>0</v>
      </c>
      <c r="Y780" s="19">
        <v>18433.3</v>
      </c>
      <c r="Z780" s="19">
        <v>0</v>
      </c>
      <c r="AA780" s="19" t="s">
        <v>135</v>
      </c>
      <c r="AB780" s="19" t="s">
        <v>1289</v>
      </c>
      <c r="AC780" s="19">
        <v>63053300</v>
      </c>
      <c r="AD780" s="19" t="s">
        <v>1092</v>
      </c>
      <c r="AE780" s="19">
        <v>1</v>
      </c>
      <c r="AF780" s="19">
        <v>676</v>
      </c>
      <c r="AG780" s="19" t="s">
        <v>1093</v>
      </c>
      <c r="AH780" s="19" t="s">
        <v>42</v>
      </c>
    </row>
    <row r="781" spans="2:34" hidden="1" x14ac:dyDescent="0.35">
      <c r="B781" s="76">
        <v>46233</v>
      </c>
      <c r="C781" s="19" t="s">
        <v>134</v>
      </c>
      <c r="D781" s="19" t="s">
        <v>126</v>
      </c>
      <c r="E781" s="19" t="s">
        <v>982</v>
      </c>
      <c r="F781" s="19" t="s">
        <v>118</v>
      </c>
      <c r="G781" s="19" t="s">
        <v>983</v>
      </c>
      <c r="H781" s="76">
        <v>46233</v>
      </c>
      <c r="I781" s="19" t="s">
        <v>36</v>
      </c>
      <c r="J781" s="19" t="s">
        <v>1350</v>
      </c>
      <c r="K781" s="19" t="s">
        <v>39</v>
      </c>
      <c r="L781" s="19" t="s">
        <v>102</v>
      </c>
      <c r="M781" s="19" t="s">
        <v>1603</v>
      </c>
      <c r="N781" s="19">
        <f>AF781</f>
        <v>14.8</v>
      </c>
      <c r="O781" s="19">
        <v>4185</v>
      </c>
      <c r="P781" s="19" t="s">
        <v>1603</v>
      </c>
      <c r="Q781" s="19">
        <v>12243.92</v>
      </c>
      <c r="R781" s="19">
        <v>9</v>
      </c>
      <c r="S781" s="19">
        <v>376.65</v>
      </c>
      <c r="T781" s="19">
        <v>9</v>
      </c>
      <c r="U781" s="19">
        <v>376.65</v>
      </c>
      <c r="V781" s="19">
        <v>0</v>
      </c>
      <c r="W781" s="19">
        <v>0</v>
      </c>
      <c r="X781" s="19">
        <v>0</v>
      </c>
      <c r="Y781" s="19">
        <v>753.3</v>
      </c>
      <c r="Z781" s="19">
        <v>0</v>
      </c>
      <c r="AA781" s="19" t="s">
        <v>135</v>
      </c>
      <c r="AB781" s="19" t="s">
        <v>1289</v>
      </c>
      <c r="AC781" s="19">
        <v>392300</v>
      </c>
      <c r="AD781" s="19" t="s">
        <v>1092</v>
      </c>
      <c r="AE781" s="19">
        <v>1</v>
      </c>
      <c r="AF781" s="19">
        <v>14.8</v>
      </c>
      <c r="AG781" s="19" t="s">
        <v>1093</v>
      </c>
      <c r="AH781" s="19" t="s">
        <v>2319</v>
      </c>
    </row>
    <row r="782" spans="2:34" hidden="1" x14ac:dyDescent="0.35">
      <c r="B782" s="76">
        <v>46233</v>
      </c>
      <c r="C782" s="19" t="s">
        <v>134</v>
      </c>
      <c r="D782" s="19" t="s">
        <v>126</v>
      </c>
      <c r="E782" s="19" t="s">
        <v>982</v>
      </c>
      <c r="F782" s="19" t="s">
        <v>118</v>
      </c>
      <c r="G782" s="19" t="s">
        <v>983</v>
      </c>
      <c r="H782" s="76">
        <v>46233</v>
      </c>
      <c r="I782" s="19" t="s">
        <v>36</v>
      </c>
      <c r="J782" s="19" t="s">
        <v>1350</v>
      </c>
      <c r="K782" s="19" t="s">
        <v>39</v>
      </c>
      <c r="L782" s="19" t="s">
        <v>102</v>
      </c>
      <c r="M782" s="19" t="s">
        <v>1603</v>
      </c>
      <c r="N782" s="19">
        <f>AF782</f>
        <v>20.399999999999999</v>
      </c>
      <c r="O782" s="19">
        <v>6200</v>
      </c>
      <c r="P782" s="19" t="s">
        <v>1603</v>
      </c>
      <c r="Q782" s="19">
        <v>0</v>
      </c>
      <c r="R782" s="19">
        <v>9</v>
      </c>
      <c r="S782" s="19">
        <v>558</v>
      </c>
      <c r="T782" s="19">
        <v>9</v>
      </c>
      <c r="U782" s="19">
        <v>558</v>
      </c>
      <c r="V782" s="19">
        <v>0</v>
      </c>
      <c r="W782" s="19">
        <v>0</v>
      </c>
      <c r="X782" s="19">
        <v>0</v>
      </c>
      <c r="Y782" s="19">
        <v>1116</v>
      </c>
      <c r="Z782" s="19">
        <v>0</v>
      </c>
      <c r="AA782" s="19" t="s">
        <v>135</v>
      </c>
      <c r="AB782" s="19" t="s">
        <v>1289</v>
      </c>
      <c r="AC782" s="19">
        <v>392300</v>
      </c>
      <c r="AD782" s="19" t="s">
        <v>1092</v>
      </c>
      <c r="AE782" s="19">
        <v>1</v>
      </c>
      <c r="AF782" s="19">
        <v>20.399999999999999</v>
      </c>
      <c r="AG782" s="19" t="s">
        <v>1093</v>
      </c>
      <c r="AH782" s="19" t="s">
        <v>2319</v>
      </c>
    </row>
    <row r="783" spans="2:34" x14ac:dyDescent="0.35">
      <c r="B783" s="76">
        <v>46233</v>
      </c>
      <c r="C783" s="19" t="s">
        <v>134</v>
      </c>
      <c r="D783" s="19" t="s">
        <v>173</v>
      </c>
      <c r="E783" s="19" t="s">
        <v>1001</v>
      </c>
      <c r="F783" s="19" t="s">
        <v>123</v>
      </c>
      <c r="G783" s="19" t="s">
        <v>1002</v>
      </c>
      <c r="H783" s="76">
        <v>46233</v>
      </c>
      <c r="I783" s="19" t="s">
        <v>36</v>
      </c>
      <c r="J783" s="19" t="s">
        <v>1087</v>
      </c>
      <c r="K783" s="19" t="s">
        <v>41</v>
      </c>
      <c r="L783" s="19" t="s">
        <v>1213</v>
      </c>
      <c r="M783" s="19" t="s">
        <v>1239</v>
      </c>
      <c r="N783" s="19">
        <v>1550.3</v>
      </c>
      <c r="O783" s="19">
        <v>282154.59999999998</v>
      </c>
      <c r="P783" s="19" t="s">
        <v>1239</v>
      </c>
      <c r="Q783" s="19">
        <v>295980.17</v>
      </c>
      <c r="R783" s="19">
        <v>2.5</v>
      </c>
      <c r="S783" s="19">
        <v>7053.86</v>
      </c>
      <c r="T783" s="19">
        <v>2.5</v>
      </c>
      <c r="U783" s="19">
        <v>7053.86</v>
      </c>
      <c r="V783" s="19">
        <v>0</v>
      </c>
      <c r="W783" s="19">
        <v>0</v>
      </c>
      <c r="X783" s="19">
        <v>0</v>
      </c>
      <c r="Y783" s="19">
        <v>14107.72</v>
      </c>
      <c r="Z783" s="19">
        <v>0</v>
      </c>
      <c r="AA783" s="19" t="s">
        <v>135</v>
      </c>
      <c r="AB783" s="19" t="s">
        <v>1289</v>
      </c>
      <c r="AC783" s="19">
        <v>54026990</v>
      </c>
      <c r="AD783" s="19" t="s">
        <v>1092</v>
      </c>
      <c r="AE783" s="19">
        <v>1</v>
      </c>
      <c r="AF783" s="19">
        <f t="shared" ref="AF783" si="25">N783</f>
        <v>1550.3</v>
      </c>
      <c r="AG783" s="19" t="s">
        <v>1093</v>
      </c>
      <c r="AH783" s="19" t="s">
        <v>41</v>
      </c>
    </row>
    <row r="784" spans="2:34" hidden="1" x14ac:dyDescent="0.35">
      <c r="B784" s="76">
        <v>46233</v>
      </c>
      <c r="C784" s="19" t="s">
        <v>153</v>
      </c>
      <c r="D784" s="19" t="s">
        <v>126</v>
      </c>
      <c r="E784" s="19" t="s">
        <v>977</v>
      </c>
      <c r="F784" s="19" t="s">
        <v>118</v>
      </c>
      <c r="G784" s="19" t="s">
        <v>978</v>
      </c>
      <c r="H784" s="76">
        <v>46225</v>
      </c>
      <c r="I784" s="19" t="s">
        <v>105</v>
      </c>
      <c r="J784" s="19" t="s">
        <v>1568</v>
      </c>
      <c r="K784" s="19" t="s">
        <v>1127</v>
      </c>
      <c r="L784" s="19" t="s">
        <v>102</v>
      </c>
      <c r="M784" s="19" t="s">
        <v>1632</v>
      </c>
      <c r="N784" s="19">
        <v>100</v>
      </c>
      <c r="O784" s="19">
        <v>715</v>
      </c>
      <c r="P784" s="19" t="s">
        <v>1632</v>
      </c>
      <c r="Q784" s="19">
        <v>1025</v>
      </c>
      <c r="R784" s="19">
        <v>9</v>
      </c>
      <c r="S784" s="19">
        <v>64.349999999999994</v>
      </c>
      <c r="T784" s="19">
        <v>9</v>
      </c>
      <c r="U784" s="19">
        <v>64.349999999999994</v>
      </c>
      <c r="V784" s="19">
        <v>0</v>
      </c>
      <c r="W784" s="19">
        <v>0</v>
      </c>
      <c r="X784" s="19">
        <v>0</v>
      </c>
      <c r="Y784" s="19">
        <v>128.69999999999999</v>
      </c>
      <c r="Z784" s="19">
        <v>0</v>
      </c>
      <c r="AA784" s="19" t="s">
        <v>154</v>
      </c>
      <c r="AB784" s="19" t="s">
        <v>1555</v>
      </c>
      <c r="AC784" s="19">
        <v>82089090</v>
      </c>
      <c r="AD784" s="19" t="s">
        <v>1092</v>
      </c>
      <c r="AE784" s="19">
        <v>1</v>
      </c>
      <c r="AF784" s="19">
        <v>0</v>
      </c>
      <c r="AG784" s="19" t="s">
        <v>1093</v>
      </c>
      <c r="AH784" s="19" t="s">
        <v>2319</v>
      </c>
    </row>
    <row r="785" spans="2:34" hidden="1" x14ac:dyDescent="0.35">
      <c r="B785" s="76">
        <v>46233</v>
      </c>
      <c r="C785" s="19" t="s">
        <v>153</v>
      </c>
      <c r="D785" s="19" t="s">
        <v>126</v>
      </c>
      <c r="E785" s="19" t="s">
        <v>977</v>
      </c>
      <c r="F785" s="19" t="s">
        <v>118</v>
      </c>
      <c r="G785" s="19" t="s">
        <v>978</v>
      </c>
      <c r="H785" s="76">
        <v>46225</v>
      </c>
      <c r="I785" s="19" t="s">
        <v>105</v>
      </c>
      <c r="J785" s="19" t="s">
        <v>1568</v>
      </c>
      <c r="K785" s="19" t="s">
        <v>1127</v>
      </c>
      <c r="L785" s="19" t="s">
        <v>102</v>
      </c>
      <c r="M785" s="19" t="s">
        <v>1700</v>
      </c>
      <c r="N785" s="19">
        <v>2</v>
      </c>
      <c r="O785" s="19">
        <v>60</v>
      </c>
      <c r="P785" s="19" t="s">
        <v>1700</v>
      </c>
      <c r="Q785" s="19">
        <v>0</v>
      </c>
      <c r="R785" s="19">
        <v>9</v>
      </c>
      <c r="S785" s="19">
        <v>5.4</v>
      </c>
      <c r="T785" s="19">
        <v>9</v>
      </c>
      <c r="U785" s="19">
        <v>5.4</v>
      </c>
      <c r="V785" s="19">
        <v>0</v>
      </c>
      <c r="W785" s="19">
        <v>0</v>
      </c>
      <c r="X785" s="19">
        <v>0</v>
      </c>
      <c r="Y785" s="19">
        <v>10.8</v>
      </c>
      <c r="Z785" s="19">
        <v>0</v>
      </c>
      <c r="AA785" s="19" t="s">
        <v>154</v>
      </c>
      <c r="AB785" s="19" t="s">
        <v>1572</v>
      </c>
      <c r="AC785" s="19">
        <v>820770</v>
      </c>
      <c r="AD785" s="19" t="s">
        <v>1092</v>
      </c>
      <c r="AE785" s="19">
        <v>1</v>
      </c>
      <c r="AF785" s="19">
        <v>0</v>
      </c>
      <c r="AG785" s="19" t="s">
        <v>1093</v>
      </c>
      <c r="AH785" s="19" t="s">
        <v>2319</v>
      </c>
    </row>
    <row r="786" spans="2:34" hidden="1" x14ac:dyDescent="0.35">
      <c r="B786" s="76">
        <v>46233</v>
      </c>
      <c r="C786" s="19" t="s">
        <v>153</v>
      </c>
      <c r="D786" s="19" t="s">
        <v>126</v>
      </c>
      <c r="E786" s="19" t="s">
        <v>977</v>
      </c>
      <c r="F786" s="19" t="s">
        <v>118</v>
      </c>
      <c r="G786" s="19" t="s">
        <v>978</v>
      </c>
      <c r="H786" s="76">
        <v>46225</v>
      </c>
      <c r="I786" s="19" t="s">
        <v>103</v>
      </c>
      <c r="J786" s="19" t="s">
        <v>1765</v>
      </c>
      <c r="K786" s="19" t="s">
        <v>1127</v>
      </c>
      <c r="L786" s="19" t="s">
        <v>102</v>
      </c>
      <c r="M786" s="19" t="s">
        <v>1950</v>
      </c>
      <c r="N786" s="19">
        <v>2</v>
      </c>
      <c r="O786" s="19">
        <v>94</v>
      </c>
      <c r="P786" s="19" t="s">
        <v>1950</v>
      </c>
      <c r="Q786" s="19">
        <v>0</v>
      </c>
      <c r="R786" s="19">
        <v>9</v>
      </c>
      <c r="S786" s="19">
        <v>8.4600000000000009</v>
      </c>
      <c r="T786" s="19">
        <v>9</v>
      </c>
      <c r="U786" s="19">
        <v>8.4600000000000009</v>
      </c>
      <c r="V786" s="19">
        <v>0</v>
      </c>
      <c r="W786" s="19">
        <v>0</v>
      </c>
      <c r="X786" s="19">
        <v>0</v>
      </c>
      <c r="Y786" s="19">
        <v>16.920000000000002</v>
      </c>
      <c r="Z786" s="19">
        <v>0</v>
      </c>
      <c r="AA786" s="19" t="s">
        <v>154</v>
      </c>
      <c r="AB786" s="19" t="s">
        <v>1555</v>
      </c>
      <c r="AC786" s="19">
        <v>321590</v>
      </c>
      <c r="AD786" s="19" t="s">
        <v>1092</v>
      </c>
      <c r="AE786" s="19">
        <v>1</v>
      </c>
      <c r="AF786" s="19">
        <v>0</v>
      </c>
      <c r="AG786" s="19" t="s">
        <v>1093</v>
      </c>
      <c r="AH786" s="19" t="s">
        <v>2319</v>
      </c>
    </row>
    <row r="787" spans="2:34" hidden="1" x14ac:dyDescent="0.35">
      <c r="B787" s="76">
        <v>46233</v>
      </c>
      <c r="C787" s="19" t="s">
        <v>653</v>
      </c>
      <c r="D787" s="19" t="s">
        <v>126</v>
      </c>
      <c r="E787" s="19" t="s">
        <v>991</v>
      </c>
      <c r="F787" s="19" t="s">
        <v>118</v>
      </c>
      <c r="G787" s="19" t="s">
        <v>992</v>
      </c>
      <c r="H787" s="76">
        <v>46213</v>
      </c>
      <c r="I787" s="19" t="s">
        <v>105</v>
      </c>
      <c r="J787" s="19" t="s">
        <v>1611</v>
      </c>
      <c r="K787" s="19" t="s">
        <v>1127</v>
      </c>
      <c r="L787" s="19" t="s">
        <v>1389</v>
      </c>
      <c r="M787" s="19" t="s">
        <v>1951</v>
      </c>
      <c r="N787" s="19">
        <v>10</v>
      </c>
      <c r="O787" s="19">
        <v>4436.5</v>
      </c>
      <c r="P787" s="19" t="s">
        <v>1951</v>
      </c>
      <c r="Q787" s="19">
        <v>52243</v>
      </c>
      <c r="R787" s="19">
        <v>9</v>
      </c>
      <c r="S787" s="19">
        <v>399.28</v>
      </c>
      <c r="T787" s="19">
        <v>9</v>
      </c>
      <c r="U787" s="19">
        <v>399.28</v>
      </c>
      <c r="V787" s="19">
        <v>0</v>
      </c>
      <c r="W787" s="19">
        <v>0</v>
      </c>
      <c r="X787" s="19">
        <v>0</v>
      </c>
      <c r="Y787" s="19">
        <v>798.56</v>
      </c>
      <c r="Z787" s="19">
        <v>0</v>
      </c>
      <c r="AA787" s="19" t="s">
        <v>654</v>
      </c>
      <c r="AB787" s="19" t="s">
        <v>1555</v>
      </c>
      <c r="AC787" s="19">
        <v>844819</v>
      </c>
      <c r="AD787" s="19" t="s">
        <v>1092</v>
      </c>
      <c r="AE787" s="19">
        <v>1</v>
      </c>
      <c r="AF787" s="19">
        <v>0</v>
      </c>
      <c r="AG787" s="19" t="s">
        <v>1093</v>
      </c>
      <c r="AH787" s="19" t="s">
        <v>2319</v>
      </c>
    </row>
    <row r="788" spans="2:34" hidden="1" x14ac:dyDescent="0.35">
      <c r="B788" s="76">
        <v>46233</v>
      </c>
      <c r="C788" s="19" t="s">
        <v>653</v>
      </c>
      <c r="D788" s="19" t="s">
        <v>126</v>
      </c>
      <c r="E788" s="19" t="s">
        <v>991</v>
      </c>
      <c r="F788" s="19" t="s">
        <v>118</v>
      </c>
      <c r="G788" s="19" t="s">
        <v>992</v>
      </c>
      <c r="H788" s="76">
        <v>46213</v>
      </c>
      <c r="I788" s="19" t="s">
        <v>105</v>
      </c>
      <c r="J788" s="19" t="s">
        <v>1611</v>
      </c>
      <c r="K788" s="19" t="s">
        <v>1127</v>
      </c>
      <c r="L788" s="19" t="s">
        <v>1389</v>
      </c>
      <c r="M788" s="19" t="s">
        <v>1952</v>
      </c>
      <c r="N788" s="19">
        <v>2</v>
      </c>
      <c r="O788" s="19">
        <v>250.8</v>
      </c>
      <c r="P788" s="19" t="s">
        <v>1952</v>
      </c>
      <c r="Q788" s="19">
        <v>0</v>
      </c>
      <c r="R788" s="19">
        <v>9</v>
      </c>
      <c r="S788" s="19">
        <v>22.57</v>
      </c>
      <c r="T788" s="19">
        <v>9</v>
      </c>
      <c r="U788" s="19">
        <v>22.57</v>
      </c>
      <c r="V788" s="19">
        <v>0</v>
      </c>
      <c r="W788" s="19">
        <v>0</v>
      </c>
      <c r="X788" s="19">
        <v>0</v>
      </c>
      <c r="Y788" s="19">
        <v>45.14</v>
      </c>
      <c r="Z788" s="19">
        <v>0</v>
      </c>
      <c r="AA788" s="19" t="s">
        <v>654</v>
      </c>
      <c r="AB788" s="19" t="s">
        <v>1555</v>
      </c>
      <c r="AC788" s="19">
        <v>844849</v>
      </c>
      <c r="AD788" s="19" t="s">
        <v>1092</v>
      </c>
      <c r="AE788" s="19">
        <v>1</v>
      </c>
      <c r="AF788" s="19">
        <v>0</v>
      </c>
      <c r="AG788" s="19" t="s">
        <v>1093</v>
      </c>
      <c r="AH788" s="19" t="s">
        <v>2319</v>
      </c>
    </row>
    <row r="789" spans="2:34" hidden="1" x14ac:dyDescent="0.35">
      <c r="B789" s="76">
        <v>46233</v>
      </c>
      <c r="C789" s="19" t="s">
        <v>653</v>
      </c>
      <c r="D789" s="19" t="s">
        <v>126</v>
      </c>
      <c r="E789" s="19" t="s">
        <v>991</v>
      </c>
      <c r="F789" s="19" t="s">
        <v>118</v>
      </c>
      <c r="G789" s="19" t="s">
        <v>992</v>
      </c>
      <c r="H789" s="76">
        <v>46213</v>
      </c>
      <c r="I789" s="19" t="s">
        <v>105</v>
      </c>
      <c r="J789" s="19" t="s">
        <v>1611</v>
      </c>
      <c r="K789" s="19" t="s">
        <v>1127</v>
      </c>
      <c r="L789" s="19" t="s">
        <v>1389</v>
      </c>
      <c r="M789" s="19" t="s">
        <v>1953</v>
      </c>
      <c r="N789" s="19">
        <v>2</v>
      </c>
      <c r="O789" s="19">
        <v>3040</v>
      </c>
      <c r="P789" s="19" t="s">
        <v>1953</v>
      </c>
      <c r="Q789" s="19">
        <v>0</v>
      </c>
      <c r="R789" s="19">
        <v>9</v>
      </c>
      <c r="S789" s="19">
        <v>273.60000000000002</v>
      </c>
      <c r="T789" s="19">
        <v>9</v>
      </c>
      <c r="U789" s="19">
        <v>273.60000000000002</v>
      </c>
      <c r="V789" s="19">
        <v>0</v>
      </c>
      <c r="W789" s="19">
        <v>0</v>
      </c>
      <c r="X789" s="19">
        <v>0</v>
      </c>
      <c r="Y789" s="19">
        <v>547.20000000000005</v>
      </c>
      <c r="Z789" s="19">
        <v>0</v>
      </c>
      <c r="AA789" s="19" t="s">
        <v>654</v>
      </c>
      <c r="AB789" s="19" t="s">
        <v>1555</v>
      </c>
      <c r="AC789" s="19">
        <v>844849</v>
      </c>
      <c r="AD789" s="19" t="s">
        <v>1092</v>
      </c>
      <c r="AE789" s="19">
        <v>1</v>
      </c>
      <c r="AF789" s="19">
        <v>0</v>
      </c>
      <c r="AG789" s="19" t="s">
        <v>1093</v>
      </c>
      <c r="AH789" s="19" t="s">
        <v>2319</v>
      </c>
    </row>
    <row r="790" spans="2:34" hidden="1" x14ac:dyDescent="0.35">
      <c r="B790" s="76">
        <v>46233</v>
      </c>
      <c r="C790" s="19" t="s">
        <v>653</v>
      </c>
      <c r="D790" s="19" t="s">
        <v>126</v>
      </c>
      <c r="E790" s="19" t="s">
        <v>991</v>
      </c>
      <c r="F790" s="19" t="s">
        <v>118</v>
      </c>
      <c r="G790" s="19" t="s">
        <v>992</v>
      </c>
      <c r="H790" s="76">
        <v>46213</v>
      </c>
      <c r="I790" s="19" t="s">
        <v>105</v>
      </c>
      <c r="J790" s="19" t="s">
        <v>1611</v>
      </c>
      <c r="K790" s="19" t="s">
        <v>1127</v>
      </c>
      <c r="L790" s="19" t="s">
        <v>1389</v>
      </c>
      <c r="M790" s="19" t="s">
        <v>1954</v>
      </c>
      <c r="N790" s="19">
        <v>10</v>
      </c>
      <c r="O790" s="19">
        <v>24662</v>
      </c>
      <c r="P790" s="19" t="s">
        <v>1954</v>
      </c>
      <c r="Q790" s="19">
        <v>0</v>
      </c>
      <c r="R790" s="19">
        <v>9</v>
      </c>
      <c r="S790" s="19">
        <v>2219.58</v>
      </c>
      <c r="T790" s="19">
        <v>9</v>
      </c>
      <c r="U790" s="19">
        <v>2219.58</v>
      </c>
      <c r="V790" s="19">
        <v>0</v>
      </c>
      <c r="W790" s="19">
        <v>0</v>
      </c>
      <c r="X790" s="19">
        <v>0</v>
      </c>
      <c r="Y790" s="19">
        <v>4439.16</v>
      </c>
      <c r="Z790" s="19">
        <v>0</v>
      </c>
      <c r="AA790" s="19" t="s">
        <v>654</v>
      </c>
      <c r="AB790" s="19" t="s">
        <v>1555</v>
      </c>
      <c r="AC790" s="19">
        <v>844649</v>
      </c>
      <c r="AD790" s="19" t="s">
        <v>1092</v>
      </c>
      <c r="AE790" s="19">
        <v>1</v>
      </c>
      <c r="AF790" s="19">
        <v>0</v>
      </c>
      <c r="AG790" s="19" t="s">
        <v>1093</v>
      </c>
      <c r="AH790" s="19" t="s">
        <v>2319</v>
      </c>
    </row>
    <row r="791" spans="2:34" hidden="1" x14ac:dyDescent="0.35">
      <c r="B791" s="76">
        <v>46233</v>
      </c>
      <c r="C791" s="19" t="s">
        <v>653</v>
      </c>
      <c r="D791" s="19" t="s">
        <v>126</v>
      </c>
      <c r="E791" s="19" t="s">
        <v>991</v>
      </c>
      <c r="F791" s="19" t="s">
        <v>118</v>
      </c>
      <c r="G791" s="19" t="s">
        <v>992</v>
      </c>
      <c r="H791" s="76">
        <v>46213</v>
      </c>
      <c r="I791" s="19" t="s">
        <v>105</v>
      </c>
      <c r="J791" s="19" t="s">
        <v>1611</v>
      </c>
      <c r="K791" s="19" t="s">
        <v>1127</v>
      </c>
      <c r="L791" s="19" t="s">
        <v>1389</v>
      </c>
      <c r="M791" s="19" t="s">
        <v>1955</v>
      </c>
      <c r="N791" s="19">
        <v>10</v>
      </c>
      <c r="O791" s="19">
        <v>4921</v>
      </c>
      <c r="P791" s="19" t="s">
        <v>1955</v>
      </c>
      <c r="Q791" s="19">
        <v>0</v>
      </c>
      <c r="R791" s="19">
        <v>9</v>
      </c>
      <c r="S791" s="19">
        <v>442.89</v>
      </c>
      <c r="T791" s="19">
        <v>9</v>
      </c>
      <c r="U791" s="19">
        <v>442.89</v>
      </c>
      <c r="V791" s="19">
        <v>0</v>
      </c>
      <c r="W791" s="19">
        <v>0</v>
      </c>
      <c r="X791" s="19">
        <v>0</v>
      </c>
      <c r="Y791" s="19">
        <v>885.78</v>
      </c>
      <c r="Z791" s="19">
        <v>0</v>
      </c>
      <c r="AA791" s="19" t="s">
        <v>654</v>
      </c>
      <c r="AB791" s="19" t="s">
        <v>1555</v>
      </c>
      <c r="AC791" s="19">
        <v>844630</v>
      </c>
      <c r="AD791" s="19" t="s">
        <v>1092</v>
      </c>
      <c r="AE791" s="19">
        <v>1</v>
      </c>
      <c r="AF791" s="19">
        <v>0</v>
      </c>
      <c r="AG791" s="19" t="s">
        <v>1093</v>
      </c>
      <c r="AH791" s="19" t="s">
        <v>2319</v>
      </c>
    </row>
    <row r="792" spans="2:34" hidden="1" x14ac:dyDescent="0.35">
      <c r="B792" s="76">
        <v>46233</v>
      </c>
      <c r="C792" s="19" t="s">
        <v>653</v>
      </c>
      <c r="D792" s="19" t="s">
        <v>126</v>
      </c>
      <c r="E792" s="19" t="s">
        <v>991</v>
      </c>
      <c r="F792" s="19" t="s">
        <v>118</v>
      </c>
      <c r="G792" s="19" t="s">
        <v>992</v>
      </c>
      <c r="H792" s="76">
        <v>46213</v>
      </c>
      <c r="I792" s="19" t="s">
        <v>105</v>
      </c>
      <c r="J792" s="19" t="s">
        <v>1611</v>
      </c>
      <c r="K792" s="19" t="s">
        <v>1127</v>
      </c>
      <c r="L792" s="19" t="s">
        <v>1389</v>
      </c>
      <c r="M792" s="19" t="s">
        <v>1956</v>
      </c>
      <c r="N792" s="19">
        <v>10</v>
      </c>
      <c r="O792" s="19">
        <v>6963.5</v>
      </c>
      <c r="P792" s="19" t="s">
        <v>1956</v>
      </c>
      <c r="Q792" s="19">
        <v>0</v>
      </c>
      <c r="R792" s="19">
        <v>9</v>
      </c>
      <c r="S792" s="19">
        <v>626.72</v>
      </c>
      <c r="T792" s="19">
        <v>9</v>
      </c>
      <c r="U792" s="19">
        <v>626.72</v>
      </c>
      <c r="V792" s="19">
        <v>0</v>
      </c>
      <c r="W792" s="19">
        <v>0</v>
      </c>
      <c r="X792" s="19">
        <v>0</v>
      </c>
      <c r="Y792" s="19">
        <v>1253.44</v>
      </c>
      <c r="Z792" s="19">
        <v>0</v>
      </c>
      <c r="AA792" s="19" t="s">
        <v>654</v>
      </c>
      <c r="AB792" s="19" t="s">
        <v>1555</v>
      </c>
      <c r="AC792" s="19">
        <v>844649</v>
      </c>
      <c r="AD792" s="19" t="s">
        <v>1092</v>
      </c>
      <c r="AE792" s="19">
        <v>1</v>
      </c>
      <c r="AF792" s="19">
        <v>0</v>
      </c>
      <c r="AG792" s="19" t="s">
        <v>1093</v>
      </c>
      <c r="AH792" s="19" t="s">
        <v>2319</v>
      </c>
    </row>
    <row r="793" spans="2:34" hidden="1" x14ac:dyDescent="0.35">
      <c r="B793" s="76">
        <v>46234</v>
      </c>
      <c r="C793" s="19" t="s">
        <v>515</v>
      </c>
      <c r="D793" s="19" t="s">
        <v>126</v>
      </c>
      <c r="E793" s="19" t="s">
        <v>1009</v>
      </c>
      <c r="F793" s="19" t="s">
        <v>121</v>
      </c>
      <c r="G793" s="19" t="s">
        <v>1010</v>
      </c>
      <c r="H793" s="76">
        <v>46226</v>
      </c>
      <c r="I793" s="19" t="s">
        <v>57</v>
      </c>
      <c r="J793" s="19" t="s">
        <v>29</v>
      </c>
      <c r="K793" s="19" t="s">
        <v>29</v>
      </c>
      <c r="L793" s="19" t="s">
        <v>102</v>
      </c>
      <c r="M793" s="19" t="s">
        <v>1604</v>
      </c>
      <c r="N793" s="19">
        <v>9570</v>
      </c>
      <c r="O793" s="19">
        <v>40194</v>
      </c>
      <c r="P793" s="19" t="s">
        <v>1604</v>
      </c>
      <c r="Q793" s="19">
        <v>80167</v>
      </c>
      <c r="R793" s="19">
        <v>0</v>
      </c>
      <c r="S793" s="19">
        <v>0</v>
      </c>
      <c r="T793" s="19">
        <v>0</v>
      </c>
      <c r="U793" s="19">
        <v>0</v>
      </c>
      <c r="V793" s="19">
        <v>18</v>
      </c>
      <c r="W793" s="19">
        <v>7234.92</v>
      </c>
      <c r="X793" s="19">
        <v>0</v>
      </c>
      <c r="Y793" s="19">
        <v>7234.92</v>
      </c>
      <c r="Z793" s="19">
        <v>0</v>
      </c>
      <c r="AA793" s="19" t="s">
        <v>516</v>
      </c>
      <c r="AB793" s="19" t="s">
        <v>1555</v>
      </c>
      <c r="AC793" s="19">
        <v>58079010</v>
      </c>
      <c r="AD793" s="19" t="s">
        <v>1092</v>
      </c>
      <c r="AE793" s="19">
        <v>1</v>
      </c>
      <c r="AF793" s="19">
        <v>31.5</v>
      </c>
      <c r="AG793" s="19" t="s">
        <v>1093</v>
      </c>
      <c r="AH793" s="19" t="s">
        <v>2319</v>
      </c>
    </row>
    <row r="794" spans="2:34" hidden="1" x14ac:dyDescent="0.35">
      <c r="B794" s="76">
        <v>46234</v>
      </c>
      <c r="C794" s="19" t="s">
        <v>515</v>
      </c>
      <c r="D794" s="19" t="s">
        <v>126</v>
      </c>
      <c r="E794" s="19" t="s">
        <v>1009</v>
      </c>
      <c r="F794" s="19" t="s">
        <v>121</v>
      </c>
      <c r="G794" s="19" t="s">
        <v>1010</v>
      </c>
      <c r="H794" s="76">
        <v>46226</v>
      </c>
      <c r="I794" s="19" t="s">
        <v>57</v>
      </c>
      <c r="J794" s="19" t="s">
        <v>29</v>
      </c>
      <c r="K794" s="19" t="s">
        <v>29</v>
      </c>
      <c r="L794" s="19" t="s">
        <v>102</v>
      </c>
      <c r="M794" s="19" t="s">
        <v>1604</v>
      </c>
      <c r="N794" s="19">
        <v>1720</v>
      </c>
      <c r="O794" s="19">
        <v>7224</v>
      </c>
      <c r="P794" s="19" t="s">
        <v>1604</v>
      </c>
      <c r="Q794" s="19">
        <v>0</v>
      </c>
      <c r="R794" s="19">
        <v>0</v>
      </c>
      <c r="S794" s="19">
        <v>0</v>
      </c>
      <c r="T794" s="19">
        <v>0</v>
      </c>
      <c r="U794" s="19">
        <v>0</v>
      </c>
      <c r="V794" s="19">
        <v>18</v>
      </c>
      <c r="W794" s="19">
        <v>1300.32</v>
      </c>
      <c r="X794" s="19">
        <v>0</v>
      </c>
      <c r="Y794" s="19">
        <v>1300.32</v>
      </c>
      <c r="Z794" s="19">
        <v>0</v>
      </c>
      <c r="AA794" s="19" t="s">
        <v>516</v>
      </c>
      <c r="AB794" s="19" t="s">
        <v>1555</v>
      </c>
      <c r="AC794" s="19">
        <v>58079010</v>
      </c>
      <c r="AD794" s="19" t="s">
        <v>1092</v>
      </c>
      <c r="AE794" s="19">
        <v>1</v>
      </c>
      <c r="AF794" s="19">
        <v>5.6</v>
      </c>
      <c r="AG794" s="19" t="s">
        <v>1093</v>
      </c>
      <c r="AH794" s="19" t="s">
        <v>2319</v>
      </c>
    </row>
    <row r="795" spans="2:34" hidden="1" x14ac:dyDescent="0.35">
      <c r="B795" s="76">
        <v>46234</v>
      </c>
      <c r="C795" s="19" t="s">
        <v>515</v>
      </c>
      <c r="D795" s="19" t="s">
        <v>126</v>
      </c>
      <c r="E795" s="19" t="s">
        <v>1009</v>
      </c>
      <c r="F795" s="19" t="s">
        <v>121</v>
      </c>
      <c r="G795" s="19" t="s">
        <v>1010</v>
      </c>
      <c r="H795" s="76">
        <v>46226</v>
      </c>
      <c r="I795" s="19" t="s">
        <v>57</v>
      </c>
      <c r="J795" s="19" t="s">
        <v>29</v>
      </c>
      <c r="K795" s="19" t="s">
        <v>29</v>
      </c>
      <c r="L795" s="19" t="s">
        <v>102</v>
      </c>
      <c r="M795" s="19" t="s">
        <v>1604</v>
      </c>
      <c r="N795" s="19">
        <v>11400</v>
      </c>
      <c r="O795" s="19">
        <v>20520</v>
      </c>
      <c r="P795" s="19" t="s">
        <v>1604</v>
      </c>
      <c r="Q795" s="19">
        <v>0</v>
      </c>
      <c r="R795" s="19">
        <v>0</v>
      </c>
      <c r="S795" s="19">
        <v>0</v>
      </c>
      <c r="T795" s="19">
        <v>0</v>
      </c>
      <c r="U795" s="19">
        <v>0</v>
      </c>
      <c r="V795" s="19">
        <v>18</v>
      </c>
      <c r="W795" s="19">
        <v>3693.6</v>
      </c>
      <c r="X795" s="19">
        <v>0</v>
      </c>
      <c r="Y795" s="19">
        <v>3693.6</v>
      </c>
      <c r="Z795" s="19">
        <v>0</v>
      </c>
      <c r="AA795" s="19" t="s">
        <v>516</v>
      </c>
      <c r="AB795" s="19" t="s">
        <v>1555</v>
      </c>
      <c r="AC795" s="19">
        <v>58079010</v>
      </c>
      <c r="AD795" s="19" t="s">
        <v>1092</v>
      </c>
      <c r="AE795" s="19">
        <v>1</v>
      </c>
      <c r="AF795" s="19">
        <v>37.6</v>
      </c>
      <c r="AG795" s="19" t="s">
        <v>1093</v>
      </c>
      <c r="AH795" s="19" t="s">
        <v>2319</v>
      </c>
    </row>
    <row r="796" spans="2:34" hidden="1" x14ac:dyDescent="0.35">
      <c r="B796" s="76">
        <v>46234</v>
      </c>
      <c r="C796" s="19" t="s">
        <v>515</v>
      </c>
      <c r="D796" s="19" t="s">
        <v>126</v>
      </c>
      <c r="E796" s="19" t="s">
        <v>1011</v>
      </c>
      <c r="F796" s="19" t="s">
        <v>121</v>
      </c>
      <c r="G796" s="19" t="s">
        <v>1012</v>
      </c>
      <c r="H796" s="76">
        <v>46226</v>
      </c>
      <c r="I796" s="19" t="s">
        <v>57</v>
      </c>
      <c r="J796" s="19" t="s">
        <v>29</v>
      </c>
      <c r="K796" s="19" t="s">
        <v>29</v>
      </c>
      <c r="L796" s="19" t="s">
        <v>102</v>
      </c>
      <c r="M796" s="19" t="s">
        <v>1604</v>
      </c>
      <c r="N796" s="19">
        <v>11000</v>
      </c>
      <c r="O796" s="19">
        <v>26400</v>
      </c>
      <c r="P796" s="19" t="s">
        <v>1604</v>
      </c>
      <c r="Q796" s="19">
        <v>171079</v>
      </c>
      <c r="R796" s="19">
        <v>0</v>
      </c>
      <c r="S796" s="19">
        <v>0</v>
      </c>
      <c r="T796" s="19">
        <v>0</v>
      </c>
      <c r="U796" s="19">
        <v>0</v>
      </c>
      <c r="V796" s="19">
        <v>18</v>
      </c>
      <c r="W796" s="19">
        <v>4752</v>
      </c>
      <c r="X796" s="19">
        <v>0</v>
      </c>
      <c r="Y796" s="19">
        <v>4752</v>
      </c>
      <c r="Z796" s="19">
        <v>0</v>
      </c>
      <c r="AA796" s="19" t="s">
        <v>516</v>
      </c>
      <c r="AB796" s="19" t="s">
        <v>1555</v>
      </c>
      <c r="AC796" s="19">
        <v>58079010</v>
      </c>
      <c r="AD796" s="19" t="s">
        <v>1092</v>
      </c>
      <c r="AE796" s="19">
        <v>1</v>
      </c>
      <c r="AF796" s="19">
        <v>36.299999999999997</v>
      </c>
      <c r="AG796" s="19" t="s">
        <v>1093</v>
      </c>
      <c r="AH796" s="19" t="s">
        <v>2319</v>
      </c>
    </row>
    <row r="797" spans="2:34" hidden="1" x14ac:dyDescent="0.35">
      <c r="B797" s="76">
        <v>46234</v>
      </c>
      <c r="C797" s="19" t="s">
        <v>515</v>
      </c>
      <c r="D797" s="19" t="s">
        <v>126</v>
      </c>
      <c r="E797" s="19" t="s">
        <v>1011</v>
      </c>
      <c r="F797" s="19" t="s">
        <v>121</v>
      </c>
      <c r="G797" s="19" t="s">
        <v>1012</v>
      </c>
      <c r="H797" s="76">
        <v>46226</v>
      </c>
      <c r="I797" s="19" t="s">
        <v>57</v>
      </c>
      <c r="J797" s="19" t="s">
        <v>29</v>
      </c>
      <c r="K797" s="19" t="s">
        <v>29</v>
      </c>
      <c r="L797" s="19" t="s">
        <v>102</v>
      </c>
      <c r="M797" s="19" t="s">
        <v>1604</v>
      </c>
      <c r="N797" s="19">
        <v>435</v>
      </c>
      <c r="O797" s="19">
        <v>1870.5</v>
      </c>
      <c r="P797" s="19" t="s">
        <v>1604</v>
      </c>
      <c r="Q797" s="19">
        <v>0</v>
      </c>
      <c r="R797" s="19">
        <v>0</v>
      </c>
      <c r="S797" s="19">
        <v>0</v>
      </c>
      <c r="T797" s="19">
        <v>0</v>
      </c>
      <c r="U797" s="19">
        <v>0</v>
      </c>
      <c r="V797" s="19">
        <v>18</v>
      </c>
      <c r="W797" s="19">
        <v>336.69</v>
      </c>
      <c r="X797" s="19">
        <v>0</v>
      </c>
      <c r="Y797" s="19">
        <v>336.69</v>
      </c>
      <c r="Z797" s="19">
        <v>0</v>
      </c>
      <c r="AA797" s="19" t="s">
        <v>516</v>
      </c>
      <c r="AB797" s="19" t="s">
        <v>1555</v>
      </c>
      <c r="AC797" s="19">
        <v>58079010</v>
      </c>
      <c r="AD797" s="19" t="s">
        <v>1092</v>
      </c>
      <c r="AE797" s="19">
        <v>1</v>
      </c>
      <c r="AF797" s="19">
        <v>1.4</v>
      </c>
      <c r="AG797" s="19" t="s">
        <v>1093</v>
      </c>
      <c r="AH797" s="19" t="s">
        <v>2319</v>
      </c>
    </row>
    <row r="798" spans="2:34" hidden="1" x14ac:dyDescent="0.35">
      <c r="B798" s="76">
        <v>46234</v>
      </c>
      <c r="C798" s="19" t="s">
        <v>515</v>
      </c>
      <c r="D798" s="19" t="s">
        <v>126</v>
      </c>
      <c r="E798" s="19" t="s">
        <v>1011</v>
      </c>
      <c r="F798" s="19" t="s">
        <v>121</v>
      </c>
      <c r="G798" s="19" t="s">
        <v>1012</v>
      </c>
      <c r="H798" s="76">
        <v>46226</v>
      </c>
      <c r="I798" s="19" t="s">
        <v>57</v>
      </c>
      <c r="J798" s="19" t="s">
        <v>29</v>
      </c>
      <c r="K798" s="19" t="s">
        <v>29</v>
      </c>
      <c r="L798" s="19" t="s">
        <v>102</v>
      </c>
      <c r="M798" s="19" t="s">
        <v>1604</v>
      </c>
      <c r="N798" s="19">
        <v>570</v>
      </c>
      <c r="O798" s="19">
        <v>2451</v>
      </c>
      <c r="P798" s="19" t="s">
        <v>1604</v>
      </c>
      <c r="Q798" s="19">
        <v>0</v>
      </c>
      <c r="R798" s="19">
        <v>0</v>
      </c>
      <c r="S798" s="19">
        <v>0</v>
      </c>
      <c r="T798" s="19">
        <v>0</v>
      </c>
      <c r="U798" s="19">
        <v>0</v>
      </c>
      <c r="V798" s="19">
        <v>18</v>
      </c>
      <c r="W798" s="19">
        <v>441.18</v>
      </c>
      <c r="X798" s="19">
        <v>0</v>
      </c>
      <c r="Y798" s="19">
        <v>441.18</v>
      </c>
      <c r="Z798" s="19">
        <v>0</v>
      </c>
      <c r="AA798" s="19" t="s">
        <v>516</v>
      </c>
      <c r="AB798" s="19" t="s">
        <v>1555</v>
      </c>
      <c r="AC798" s="19">
        <v>58079010</v>
      </c>
      <c r="AD798" s="19" t="s">
        <v>1092</v>
      </c>
      <c r="AE798" s="19">
        <v>1</v>
      </c>
      <c r="AF798" s="19">
        <v>1.8</v>
      </c>
      <c r="AG798" s="19" t="s">
        <v>1093</v>
      </c>
      <c r="AH798" s="19" t="s">
        <v>2319</v>
      </c>
    </row>
    <row r="799" spans="2:34" hidden="1" x14ac:dyDescent="0.35">
      <c r="B799" s="76">
        <v>46234</v>
      </c>
      <c r="C799" s="19" t="s">
        <v>515</v>
      </c>
      <c r="D799" s="19" t="s">
        <v>126</v>
      </c>
      <c r="E799" s="19" t="s">
        <v>1011</v>
      </c>
      <c r="F799" s="19" t="s">
        <v>121</v>
      </c>
      <c r="G799" s="19" t="s">
        <v>1012</v>
      </c>
      <c r="H799" s="76">
        <v>46226</v>
      </c>
      <c r="I799" s="19" t="s">
        <v>57</v>
      </c>
      <c r="J799" s="19" t="s">
        <v>29</v>
      </c>
      <c r="K799" s="19" t="s">
        <v>29</v>
      </c>
      <c r="L799" s="19" t="s">
        <v>102</v>
      </c>
      <c r="M799" s="19" t="s">
        <v>1604</v>
      </c>
      <c r="N799" s="19">
        <v>5570</v>
      </c>
      <c r="O799" s="19">
        <v>23951</v>
      </c>
      <c r="P799" s="19" t="s">
        <v>1604</v>
      </c>
      <c r="Q799" s="19">
        <v>0</v>
      </c>
      <c r="R799" s="19">
        <v>0</v>
      </c>
      <c r="S799" s="19">
        <v>0</v>
      </c>
      <c r="T799" s="19">
        <v>0</v>
      </c>
      <c r="U799" s="19">
        <v>0</v>
      </c>
      <c r="V799" s="19">
        <v>18</v>
      </c>
      <c r="W799" s="19">
        <v>4311.18</v>
      </c>
      <c r="X799" s="19">
        <v>0</v>
      </c>
      <c r="Y799" s="19">
        <v>4311.18</v>
      </c>
      <c r="Z799" s="19">
        <v>0</v>
      </c>
      <c r="AA799" s="19" t="s">
        <v>516</v>
      </c>
      <c r="AB799" s="19" t="s">
        <v>1555</v>
      </c>
      <c r="AC799" s="19">
        <v>58079010</v>
      </c>
      <c r="AD799" s="19" t="s">
        <v>1092</v>
      </c>
      <c r="AE799" s="19">
        <v>1</v>
      </c>
      <c r="AF799" s="19">
        <v>18.3</v>
      </c>
      <c r="AG799" s="19" t="s">
        <v>1093</v>
      </c>
      <c r="AH799" s="19" t="s">
        <v>2319</v>
      </c>
    </row>
    <row r="800" spans="2:34" hidden="1" x14ac:dyDescent="0.35">
      <c r="B800" s="76">
        <v>46234</v>
      </c>
      <c r="C800" s="19" t="s">
        <v>515</v>
      </c>
      <c r="D800" s="19" t="s">
        <v>126</v>
      </c>
      <c r="E800" s="19" t="s">
        <v>1011</v>
      </c>
      <c r="F800" s="19" t="s">
        <v>121</v>
      </c>
      <c r="G800" s="19" t="s">
        <v>1012</v>
      </c>
      <c r="H800" s="76">
        <v>46226</v>
      </c>
      <c r="I800" s="19" t="s">
        <v>57</v>
      </c>
      <c r="J800" s="19" t="s">
        <v>29</v>
      </c>
      <c r="K800" s="19" t="s">
        <v>29</v>
      </c>
      <c r="L800" s="19" t="s">
        <v>102</v>
      </c>
      <c r="M800" s="19" t="s">
        <v>1604</v>
      </c>
      <c r="N800" s="19">
        <v>5570</v>
      </c>
      <c r="O800" s="19">
        <v>23951</v>
      </c>
      <c r="P800" s="19" t="s">
        <v>1604</v>
      </c>
      <c r="Q800" s="19">
        <v>0</v>
      </c>
      <c r="R800" s="19">
        <v>0</v>
      </c>
      <c r="S800" s="19">
        <v>0</v>
      </c>
      <c r="T800" s="19">
        <v>0</v>
      </c>
      <c r="U800" s="19">
        <v>0</v>
      </c>
      <c r="V800" s="19">
        <v>18</v>
      </c>
      <c r="W800" s="19">
        <v>4311.18</v>
      </c>
      <c r="X800" s="19">
        <v>0</v>
      </c>
      <c r="Y800" s="19">
        <v>4311.18</v>
      </c>
      <c r="Z800" s="19">
        <v>0</v>
      </c>
      <c r="AA800" s="19" t="s">
        <v>516</v>
      </c>
      <c r="AB800" s="19" t="s">
        <v>1555</v>
      </c>
      <c r="AC800" s="19">
        <v>58079010</v>
      </c>
      <c r="AD800" s="19" t="s">
        <v>1092</v>
      </c>
      <c r="AE800" s="19">
        <v>1</v>
      </c>
      <c r="AF800" s="19">
        <v>18.3</v>
      </c>
      <c r="AG800" s="19" t="s">
        <v>1093</v>
      </c>
      <c r="AH800" s="19" t="s">
        <v>2319</v>
      </c>
    </row>
    <row r="801" spans="2:34" hidden="1" x14ac:dyDescent="0.35">
      <c r="B801" s="76">
        <v>46234</v>
      </c>
      <c r="C801" s="19" t="s">
        <v>515</v>
      </c>
      <c r="D801" s="19" t="s">
        <v>126</v>
      </c>
      <c r="E801" s="19" t="s">
        <v>1011</v>
      </c>
      <c r="F801" s="19" t="s">
        <v>121</v>
      </c>
      <c r="G801" s="19" t="s">
        <v>1012</v>
      </c>
      <c r="H801" s="76">
        <v>46226</v>
      </c>
      <c r="I801" s="19" t="s">
        <v>57</v>
      </c>
      <c r="J801" s="19" t="s">
        <v>29</v>
      </c>
      <c r="K801" s="19" t="s">
        <v>29</v>
      </c>
      <c r="L801" s="19" t="s">
        <v>102</v>
      </c>
      <c r="M801" s="19" t="s">
        <v>1604</v>
      </c>
      <c r="N801" s="19">
        <v>3190</v>
      </c>
      <c r="O801" s="19">
        <v>13717</v>
      </c>
      <c r="P801" s="19" t="s">
        <v>1604</v>
      </c>
      <c r="Q801" s="19">
        <v>0</v>
      </c>
      <c r="R801" s="19">
        <v>0</v>
      </c>
      <c r="S801" s="19">
        <v>0</v>
      </c>
      <c r="T801" s="19">
        <v>0</v>
      </c>
      <c r="U801" s="19">
        <v>0</v>
      </c>
      <c r="V801" s="19">
        <v>18</v>
      </c>
      <c r="W801" s="19">
        <v>2469.06</v>
      </c>
      <c r="X801" s="19">
        <v>0</v>
      </c>
      <c r="Y801" s="19">
        <v>2469.06</v>
      </c>
      <c r="Z801" s="19">
        <v>0</v>
      </c>
      <c r="AA801" s="19" t="s">
        <v>516</v>
      </c>
      <c r="AB801" s="19" t="s">
        <v>1555</v>
      </c>
      <c r="AC801" s="19">
        <v>58079010</v>
      </c>
      <c r="AD801" s="19" t="s">
        <v>1092</v>
      </c>
      <c r="AE801" s="19">
        <v>1</v>
      </c>
      <c r="AF801" s="19">
        <v>10.5</v>
      </c>
      <c r="AG801" s="19" t="s">
        <v>1093</v>
      </c>
      <c r="AH801" s="19" t="s">
        <v>2319</v>
      </c>
    </row>
    <row r="802" spans="2:34" hidden="1" x14ac:dyDescent="0.35">
      <c r="B802" s="76">
        <v>46234</v>
      </c>
      <c r="C802" s="19" t="s">
        <v>515</v>
      </c>
      <c r="D802" s="19" t="s">
        <v>126</v>
      </c>
      <c r="E802" s="19" t="s">
        <v>1011</v>
      </c>
      <c r="F802" s="19" t="s">
        <v>121</v>
      </c>
      <c r="G802" s="19" t="s">
        <v>1012</v>
      </c>
      <c r="H802" s="76">
        <v>46226</v>
      </c>
      <c r="I802" s="19" t="s">
        <v>57</v>
      </c>
      <c r="J802" s="19" t="s">
        <v>29</v>
      </c>
      <c r="K802" s="19" t="s">
        <v>29</v>
      </c>
      <c r="L802" s="19" t="s">
        <v>102</v>
      </c>
      <c r="M802" s="19" t="s">
        <v>1604</v>
      </c>
      <c r="N802" s="19">
        <v>2280</v>
      </c>
      <c r="O802" s="19">
        <v>9804</v>
      </c>
      <c r="P802" s="19" t="s">
        <v>1604</v>
      </c>
      <c r="Q802" s="19">
        <v>0</v>
      </c>
      <c r="R802" s="19">
        <v>0</v>
      </c>
      <c r="S802" s="19">
        <v>0</v>
      </c>
      <c r="T802" s="19">
        <v>0</v>
      </c>
      <c r="U802" s="19">
        <v>0</v>
      </c>
      <c r="V802" s="19">
        <v>18</v>
      </c>
      <c r="W802" s="19">
        <v>1764.72</v>
      </c>
      <c r="X802" s="19">
        <v>0</v>
      </c>
      <c r="Y802" s="19">
        <v>1764.72</v>
      </c>
      <c r="Z802" s="19">
        <v>0</v>
      </c>
      <c r="AA802" s="19" t="s">
        <v>516</v>
      </c>
      <c r="AB802" s="19" t="s">
        <v>1555</v>
      </c>
      <c r="AC802" s="19">
        <v>58079010</v>
      </c>
      <c r="AD802" s="19" t="s">
        <v>1092</v>
      </c>
      <c r="AE802" s="19">
        <v>1</v>
      </c>
      <c r="AF802" s="19">
        <v>7.5</v>
      </c>
      <c r="AG802" s="19" t="s">
        <v>1093</v>
      </c>
      <c r="AH802" s="19" t="s">
        <v>2319</v>
      </c>
    </row>
    <row r="803" spans="2:34" hidden="1" x14ac:dyDescent="0.35">
      <c r="B803" s="76">
        <v>46234</v>
      </c>
      <c r="C803" s="19" t="s">
        <v>515</v>
      </c>
      <c r="D803" s="19" t="s">
        <v>126</v>
      </c>
      <c r="E803" s="19" t="s">
        <v>1011</v>
      </c>
      <c r="F803" s="19" t="s">
        <v>121</v>
      </c>
      <c r="G803" s="19" t="s">
        <v>1012</v>
      </c>
      <c r="H803" s="76">
        <v>46226</v>
      </c>
      <c r="I803" s="19" t="s">
        <v>57</v>
      </c>
      <c r="J803" s="19" t="s">
        <v>29</v>
      </c>
      <c r="K803" s="19" t="s">
        <v>29</v>
      </c>
      <c r="L803" s="19" t="s">
        <v>102</v>
      </c>
      <c r="M803" s="19" t="s">
        <v>1604</v>
      </c>
      <c r="N803" s="19">
        <v>2541</v>
      </c>
      <c r="O803" s="19">
        <v>10926.3</v>
      </c>
      <c r="P803" s="19" t="s">
        <v>1604</v>
      </c>
      <c r="Q803" s="19">
        <v>0</v>
      </c>
      <c r="R803" s="19">
        <v>0</v>
      </c>
      <c r="S803" s="19">
        <v>0</v>
      </c>
      <c r="T803" s="19">
        <v>0</v>
      </c>
      <c r="U803" s="19">
        <v>0</v>
      </c>
      <c r="V803" s="19">
        <v>18</v>
      </c>
      <c r="W803" s="19">
        <v>1966.73</v>
      </c>
      <c r="X803" s="19">
        <v>0</v>
      </c>
      <c r="Y803" s="19">
        <v>1966.73</v>
      </c>
      <c r="Z803" s="19">
        <v>0</v>
      </c>
      <c r="AA803" s="19" t="s">
        <v>516</v>
      </c>
      <c r="AB803" s="19" t="s">
        <v>1555</v>
      </c>
      <c r="AC803" s="19">
        <v>58079010</v>
      </c>
      <c r="AD803" s="19" t="s">
        <v>1092</v>
      </c>
      <c r="AE803" s="19">
        <v>1</v>
      </c>
      <c r="AF803" s="19">
        <v>8.3000000000000007</v>
      </c>
      <c r="AG803" s="19" t="s">
        <v>1093</v>
      </c>
      <c r="AH803" s="19" t="s">
        <v>2319</v>
      </c>
    </row>
    <row r="804" spans="2:34" hidden="1" x14ac:dyDescent="0.35">
      <c r="B804" s="76">
        <v>46234</v>
      </c>
      <c r="C804" s="19" t="s">
        <v>515</v>
      </c>
      <c r="D804" s="19" t="s">
        <v>126</v>
      </c>
      <c r="E804" s="19" t="s">
        <v>1011</v>
      </c>
      <c r="F804" s="19" t="s">
        <v>121</v>
      </c>
      <c r="G804" s="19" t="s">
        <v>1012</v>
      </c>
      <c r="H804" s="76">
        <v>46226</v>
      </c>
      <c r="I804" s="19" t="s">
        <v>57</v>
      </c>
      <c r="J804" s="19" t="s">
        <v>29</v>
      </c>
      <c r="K804" s="19" t="s">
        <v>29</v>
      </c>
      <c r="L804" s="19" t="s">
        <v>102</v>
      </c>
      <c r="M804" s="19" t="s">
        <v>1604</v>
      </c>
      <c r="N804" s="19">
        <v>840</v>
      </c>
      <c r="O804" s="19">
        <v>3612</v>
      </c>
      <c r="P804" s="19" t="s">
        <v>1604</v>
      </c>
      <c r="Q804" s="19">
        <v>0</v>
      </c>
      <c r="R804" s="19">
        <v>0</v>
      </c>
      <c r="S804" s="19">
        <v>0</v>
      </c>
      <c r="T804" s="19">
        <v>0</v>
      </c>
      <c r="U804" s="19">
        <v>0</v>
      </c>
      <c r="V804" s="19">
        <v>18</v>
      </c>
      <c r="W804" s="19">
        <v>650.16</v>
      </c>
      <c r="X804" s="19">
        <v>0</v>
      </c>
      <c r="Y804" s="19">
        <v>650.16</v>
      </c>
      <c r="Z804" s="19">
        <v>0</v>
      </c>
      <c r="AA804" s="19" t="s">
        <v>516</v>
      </c>
      <c r="AB804" s="19" t="s">
        <v>1555</v>
      </c>
      <c r="AC804" s="19">
        <v>58079010</v>
      </c>
      <c r="AD804" s="19" t="s">
        <v>1092</v>
      </c>
      <c r="AE804" s="19">
        <v>1</v>
      </c>
      <c r="AF804" s="19">
        <v>2.7</v>
      </c>
      <c r="AG804" s="19" t="s">
        <v>1093</v>
      </c>
      <c r="AH804" s="19" t="s">
        <v>2319</v>
      </c>
    </row>
    <row r="805" spans="2:34" hidden="1" x14ac:dyDescent="0.35">
      <c r="B805" s="76">
        <v>46234</v>
      </c>
      <c r="C805" s="19" t="s">
        <v>515</v>
      </c>
      <c r="D805" s="19" t="s">
        <v>126</v>
      </c>
      <c r="E805" s="19" t="s">
        <v>1011</v>
      </c>
      <c r="F805" s="19" t="s">
        <v>121</v>
      </c>
      <c r="G805" s="19" t="s">
        <v>1012</v>
      </c>
      <c r="H805" s="76">
        <v>46226</v>
      </c>
      <c r="I805" s="19" t="s">
        <v>57</v>
      </c>
      <c r="J805" s="19" t="s">
        <v>29</v>
      </c>
      <c r="K805" s="19" t="s">
        <v>29</v>
      </c>
      <c r="L805" s="19" t="s">
        <v>102</v>
      </c>
      <c r="M805" s="19" t="s">
        <v>1604</v>
      </c>
      <c r="N805" s="19">
        <v>14150</v>
      </c>
      <c r="O805" s="19">
        <v>28300</v>
      </c>
      <c r="P805" s="19" t="s">
        <v>1604</v>
      </c>
      <c r="Q805" s="19">
        <v>0</v>
      </c>
      <c r="R805" s="19">
        <v>0</v>
      </c>
      <c r="S805" s="19">
        <v>0</v>
      </c>
      <c r="T805" s="19">
        <v>0</v>
      </c>
      <c r="U805" s="19">
        <v>0</v>
      </c>
      <c r="V805" s="19">
        <v>18</v>
      </c>
      <c r="W805" s="19">
        <v>5094</v>
      </c>
      <c r="X805" s="19">
        <v>0</v>
      </c>
      <c r="Y805" s="19">
        <v>5094</v>
      </c>
      <c r="Z805" s="19">
        <v>0</v>
      </c>
      <c r="AA805" s="19" t="s">
        <v>516</v>
      </c>
      <c r="AB805" s="19" t="s">
        <v>1555</v>
      </c>
      <c r="AC805" s="19">
        <v>58079010</v>
      </c>
      <c r="AD805" s="19" t="s">
        <v>1092</v>
      </c>
      <c r="AE805" s="19">
        <v>1</v>
      </c>
      <c r="AF805" s="19">
        <v>46.6</v>
      </c>
      <c r="AG805" s="19" t="s">
        <v>1093</v>
      </c>
      <c r="AH805" s="19" t="s">
        <v>2319</v>
      </c>
    </row>
    <row r="806" spans="2:34" hidden="1" x14ac:dyDescent="0.35">
      <c r="B806" s="76">
        <v>46234</v>
      </c>
      <c r="C806" s="19" t="s">
        <v>435</v>
      </c>
      <c r="D806" s="19" t="s">
        <v>126</v>
      </c>
      <c r="E806" s="19" t="s">
        <v>1034</v>
      </c>
      <c r="F806" s="19" t="s">
        <v>118</v>
      </c>
      <c r="G806" s="19" t="s">
        <v>1035</v>
      </c>
      <c r="H806" s="76">
        <v>46230</v>
      </c>
      <c r="I806" s="19" t="s">
        <v>105</v>
      </c>
      <c r="J806" s="19" t="s">
        <v>1553</v>
      </c>
      <c r="K806" s="19" t="s">
        <v>1127</v>
      </c>
      <c r="L806" s="19" t="s">
        <v>1389</v>
      </c>
      <c r="M806" s="19" t="s">
        <v>1957</v>
      </c>
      <c r="N806" s="19">
        <v>10</v>
      </c>
      <c r="O806" s="19">
        <v>42000</v>
      </c>
      <c r="P806" s="19" t="s">
        <v>1957</v>
      </c>
      <c r="Q806" s="19">
        <v>100281</v>
      </c>
      <c r="R806" s="19">
        <v>2.5</v>
      </c>
      <c r="S806" s="19">
        <v>1050</v>
      </c>
      <c r="T806" s="19">
        <v>2.5</v>
      </c>
      <c r="U806" s="19">
        <v>1050</v>
      </c>
      <c r="V806" s="19">
        <v>0</v>
      </c>
      <c r="W806" s="19">
        <v>0</v>
      </c>
      <c r="X806" s="19">
        <v>0</v>
      </c>
      <c r="Y806" s="19">
        <v>2100</v>
      </c>
      <c r="Z806" s="19">
        <v>0</v>
      </c>
      <c r="AA806" s="19" t="s">
        <v>436</v>
      </c>
      <c r="AB806" s="19" t="s">
        <v>1555</v>
      </c>
      <c r="AC806" s="19">
        <v>84529099</v>
      </c>
      <c r="AD806" s="19" t="s">
        <v>1092</v>
      </c>
      <c r="AE806" s="19">
        <v>1</v>
      </c>
      <c r="AF806" s="19">
        <v>0</v>
      </c>
      <c r="AG806" s="19" t="s">
        <v>1093</v>
      </c>
      <c r="AH806" s="19" t="s">
        <v>2319</v>
      </c>
    </row>
    <row r="807" spans="2:34" hidden="1" x14ac:dyDescent="0.35">
      <c r="B807" s="76">
        <v>46234</v>
      </c>
      <c r="C807" s="19" t="s">
        <v>435</v>
      </c>
      <c r="D807" s="19" t="s">
        <v>126</v>
      </c>
      <c r="E807" s="19" t="s">
        <v>1034</v>
      </c>
      <c r="F807" s="19" t="s">
        <v>118</v>
      </c>
      <c r="G807" s="19" t="s">
        <v>1035</v>
      </c>
      <c r="H807" s="76">
        <v>46230</v>
      </c>
      <c r="I807" s="19" t="s">
        <v>105</v>
      </c>
      <c r="J807" s="19" t="s">
        <v>1553</v>
      </c>
      <c r="K807" s="19" t="s">
        <v>1127</v>
      </c>
      <c r="L807" s="19" t="s">
        <v>1389</v>
      </c>
      <c r="M807" s="19" t="s">
        <v>1958</v>
      </c>
      <c r="N807" s="19">
        <v>5</v>
      </c>
      <c r="O807" s="19">
        <v>12200</v>
      </c>
      <c r="P807" s="19" t="s">
        <v>1958</v>
      </c>
      <c r="Q807" s="19">
        <v>0</v>
      </c>
      <c r="R807" s="19">
        <v>2.5</v>
      </c>
      <c r="S807" s="19">
        <v>305</v>
      </c>
      <c r="T807" s="19">
        <v>2.5</v>
      </c>
      <c r="U807" s="19">
        <v>305</v>
      </c>
      <c r="V807" s="19">
        <v>0</v>
      </c>
      <c r="W807" s="19">
        <v>0</v>
      </c>
      <c r="X807" s="19">
        <v>0</v>
      </c>
      <c r="Y807" s="19">
        <v>610</v>
      </c>
      <c r="Z807" s="19">
        <v>0</v>
      </c>
      <c r="AA807" s="19" t="s">
        <v>436</v>
      </c>
      <c r="AB807" s="19" t="s">
        <v>1555</v>
      </c>
      <c r="AC807" s="19">
        <v>84529099</v>
      </c>
      <c r="AD807" s="19" t="s">
        <v>1092</v>
      </c>
      <c r="AE807" s="19">
        <v>1</v>
      </c>
      <c r="AF807" s="19">
        <v>0</v>
      </c>
      <c r="AG807" s="19" t="s">
        <v>1093</v>
      </c>
      <c r="AH807" s="19" t="s">
        <v>2319</v>
      </c>
    </row>
    <row r="808" spans="2:34" hidden="1" x14ac:dyDescent="0.35">
      <c r="B808" s="76">
        <v>46234</v>
      </c>
      <c r="C808" s="19" t="s">
        <v>435</v>
      </c>
      <c r="D808" s="19" t="s">
        <v>126</v>
      </c>
      <c r="E808" s="19" t="s">
        <v>1034</v>
      </c>
      <c r="F808" s="19" t="s">
        <v>118</v>
      </c>
      <c r="G808" s="19" t="s">
        <v>1035</v>
      </c>
      <c r="H808" s="76">
        <v>46230</v>
      </c>
      <c r="I808" s="19" t="s">
        <v>105</v>
      </c>
      <c r="J808" s="19" t="s">
        <v>1586</v>
      </c>
      <c r="K808" s="19" t="s">
        <v>1127</v>
      </c>
      <c r="L808" s="19" t="s">
        <v>1389</v>
      </c>
      <c r="M808" s="19" t="s">
        <v>1959</v>
      </c>
      <c r="N808" s="19">
        <v>20</v>
      </c>
      <c r="O808" s="19">
        <v>1600</v>
      </c>
      <c r="P808" s="19" t="s">
        <v>1959</v>
      </c>
      <c r="Q808" s="19">
        <v>0</v>
      </c>
      <c r="R808" s="19">
        <v>9</v>
      </c>
      <c r="S808" s="19">
        <v>144</v>
      </c>
      <c r="T808" s="19">
        <v>9</v>
      </c>
      <c r="U808" s="19">
        <v>144</v>
      </c>
      <c r="V808" s="19">
        <v>0</v>
      </c>
      <c r="W808" s="19">
        <v>0</v>
      </c>
      <c r="X808" s="19">
        <v>0</v>
      </c>
      <c r="Y808" s="19">
        <v>288</v>
      </c>
      <c r="Z808" s="19">
        <v>0</v>
      </c>
      <c r="AA808" s="19" t="s">
        <v>436</v>
      </c>
      <c r="AB808" s="19" t="s">
        <v>1572</v>
      </c>
      <c r="AC808" s="19">
        <v>73181500</v>
      </c>
      <c r="AD808" s="19" t="s">
        <v>1092</v>
      </c>
      <c r="AE808" s="19">
        <v>1</v>
      </c>
      <c r="AF808" s="19">
        <v>0</v>
      </c>
      <c r="AG808" s="19" t="s">
        <v>1093</v>
      </c>
      <c r="AH808" s="19" t="s">
        <v>2319</v>
      </c>
    </row>
    <row r="809" spans="2:34" hidden="1" x14ac:dyDescent="0.35">
      <c r="B809" s="76">
        <v>46234</v>
      </c>
      <c r="C809" s="19" t="s">
        <v>435</v>
      </c>
      <c r="D809" s="19" t="s">
        <v>126</v>
      </c>
      <c r="E809" s="19" t="s">
        <v>1034</v>
      </c>
      <c r="F809" s="19" t="s">
        <v>118</v>
      </c>
      <c r="G809" s="19" t="s">
        <v>1035</v>
      </c>
      <c r="H809" s="76">
        <v>46230</v>
      </c>
      <c r="I809" s="19" t="s">
        <v>105</v>
      </c>
      <c r="J809" s="19" t="s">
        <v>1586</v>
      </c>
      <c r="K809" s="19" t="s">
        <v>1127</v>
      </c>
      <c r="L809" s="19" t="s">
        <v>1389</v>
      </c>
      <c r="M809" s="19" t="s">
        <v>1960</v>
      </c>
      <c r="N809" s="19">
        <v>25</v>
      </c>
      <c r="O809" s="19">
        <v>6500</v>
      </c>
      <c r="P809" s="19" t="s">
        <v>1960</v>
      </c>
      <c r="Q809" s="19">
        <v>0</v>
      </c>
      <c r="R809" s="19">
        <v>9</v>
      </c>
      <c r="S809" s="19">
        <v>585</v>
      </c>
      <c r="T809" s="19">
        <v>9</v>
      </c>
      <c r="U809" s="19">
        <v>585</v>
      </c>
      <c r="V809" s="19">
        <v>0</v>
      </c>
      <c r="W809" s="19">
        <v>0</v>
      </c>
      <c r="X809" s="19">
        <v>0</v>
      </c>
      <c r="Y809" s="19">
        <v>1170</v>
      </c>
      <c r="Z809" s="19">
        <v>0</v>
      </c>
      <c r="AA809" s="19" t="s">
        <v>436</v>
      </c>
      <c r="AB809" s="19" t="s">
        <v>1572</v>
      </c>
      <c r="AC809" s="19">
        <v>73181500</v>
      </c>
      <c r="AD809" s="19" t="s">
        <v>1092</v>
      </c>
      <c r="AE809" s="19">
        <v>1</v>
      </c>
      <c r="AF809" s="19">
        <v>0</v>
      </c>
      <c r="AG809" s="19" t="s">
        <v>1093</v>
      </c>
      <c r="AH809" s="19" t="s">
        <v>2319</v>
      </c>
    </row>
    <row r="810" spans="2:34" hidden="1" x14ac:dyDescent="0.35">
      <c r="B810" s="76">
        <v>46234</v>
      </c>
      <c r="C810" s="19" t="s">
        <v>435</v>
      </c>
      <c r="D810" s="19" t="s">
        <v>126</v>
      </c>
      <c r="E810" s="19" t="s">
        <v>1034</v>
      </c>
      <c r="F810" s="19" t="s">
        <v>118</v>
      </c>
      <c r="G810" s="19" t="s">
        <v>1035</v>
      </c>
      <c r="H810" s="76">
        <v>46230</v>
      </c>
      <c r="I810" s="19" t="s">
        <v>105</v>
      </c>
      <c r="J810" s="19" t="s">
        <v>1553</v>
      </c>
      <c r="K810" s="19" t="s">
        <v>1127</v>
      </c>
      <c r="L810" s="19" t="s">
        <v>1389</v>
      </c>
      <c r="M810" s="19" t="s">
        <v>1961</v>
      </c>
      <c r="N810" s="19">
        <v>10</v>
      </c>
      <c r="O810" s="19">
        <v>17760</v>
      </c>
      <c r="P810" s="19" t="s">
        <v>1961</v>
      </c>
      <c r="Q810" s="19">
        <v>0</v>
      </c>
      <c r="R810" s="19">
        <v>2.5</v>
      </c>
      <c r="S810" s="19">
        <v>444</v>
      </c>
      <c r="T810" s="19">
        <v>2.5</v>
      </c>
      <c r="U810" s="19">
        <v>444</v>
      </c>
      <c r="V810" s="19">
        <v>0</v>
      </c>
      <c r="W810" s="19">
        <v>0</v>
      </c>
      <c r="X810" s="19">
        <v>0</v>
      </c>
      <c r="Y810" s="19">
        <v>888</v>
      </c>
      <c r="Z810" s="19">
        <v>0</v>
      </c>
      <c r="AA810" s="19" t="s">
        <v>436</v>
      </c>
      <c r="AB810" s="19" t="s">
        <v>1555</v>
      </c>
      <c r="AC810" s="19">
        <v>84522900</v>
      </c>
      <c r="AD810" s="19" t="s">
        <v>1092</v>
      </c>
      <c r="AE810" s="19">
        <v>1</v>
      </c>
      <c r="AF810" s="19">
        <v>0</v>
      </c>
      <c r="AG810" s="19" t="s">
        <v>1093</v>
      </c>
      <c r="AH810" s="19" t="s">
        <v>2319</v>
      </c>
    </row>
    <row r="811" spans="2:34" hidden="1" x14ac:dyDescent="0.35">
      <c r="B811" s="76">
        <v>46234</v>
      </c>
      <c r="C811" s="19" t="s">
        <v>435</v>
      </c>
      <c r="D811" s="19" t="s">
        <v>126</v>
      </c>
      <c r="E811" s="19" t="s">
        <v>1034</v>
      </c>
      <c r="F811" s="19" t="s">
        <v>118</v>
      </c>
      <c r="G811" s="19" t="s">
        <v>1035</v>
      </c>
      <c r="H811" s="76">
        <v>46230</v>
      </c>
      <c r="I811" s="19" t="s">
        <v>105</v>
      </c>
      <c r="J811" s="19" t="s">
        <v>1553</v>
      </c>
      <c r="K811" s="19" t="s">
        <v>1127</v>
      </c>
      <c r="L811" s="19" t="s">
        <v>1389</v>
      </c>
      <c r="M811" s="19" t="s">
        <v>1962</v>
      </c>
      <c r="N811" s="19">
        <v>4</v>
      </c>
      <c r="O811" s="19">
        <v>71.760000000000005</v>
      </c>
      <c r="P811" s="19" t="s">
        <v>1962</v>
      </c>
      <c r="Q811" s="19">
        <v>0</v>
      </c>
      <c r="R811" s="19">
        <v>9</v>
      </c>
      <c r="S811" s="19">
        <v>6.46</v>
      </c>
      <c r="T811" s="19">
        <v>9</v>
      </c>
      <c r="U811" s="19">
        <v>6.46</v>
      </c>
      <c r="V811" s="19">
        <v>0</v>
      </c>
      <c r="W811" s="19">
        <v>0</v>
      </c>
      <c r="X811" s="19">
        <v>0</v>
      </c>
      <c r="Y811" s="19">
        <v>12.92</v>
      </c>
      <c r="Z811" s="19">
        <v>0</v>
      </c>
      <c r="AA811" s="19" t="s">
        <v>436</v>
      </c>
      <c r="AB811" s="19" t="s">
        <v>1555</v>
      </c>
      <c r="AC811" s="19">
        <v>84529099</v>
      </c>
      <c r="AD811" s="19" t="s">
        <v>1092</v>
      </c>
      <c r="AE811" s="19">
        <v>1</v>
      </c>
      <c r="AF811" s="19">
        <v>0</v>
      </c>
      <c r="AG811" s="19" t="s">
        <v>1093</v>
      </c>
      <c r="AH811" s="19" t="s">
        <v>2319</v>
      </c>
    </row>
    <row r="812" spans="2:34" hidden="1" x14ac:dyDescent="0.35">
      <c r="B812" s="76">
        <v>46234</v>
      </c>
      <c r="C812" s="19" t="s">
        <v>435</v>
      </c>
      <c r="D812" s="19" t="s">
        <v>126</v>
      </c>
      <c r="E812" s="19" t="s">
        <v>1034</v>
      </c>
      <c r="F812" s="19" t="s">
        <v>118</v>
      </c>
      <c r="G812" s="19" t="s">
        <v>1035</v>
      </c>
      <c r="H812" s="76">
        <v>46230</v>
      </c>
      <c r="I812" s="19" t="s">
        <v>105</v>
      </c>
      <c r="J812" s="19" t="s">
        <v>1586</v>
      </c>
      <c r="K812" s="19" t="s">
        <v>1127</v>
      </c>
      <c r="L812" s="19" t="s">
        <v>1389</v>
      </c>
      <c r="M812" s="19" t="s">
        <v>1963</v>
      </c>
      <c r="N812" s="19">
        <v>20</v>
      </c>
      <c r="O812" s="19">
        <v>3360</v>
      </c>
      <c r="P812" s="19" t="s">
        <v>1963</v>
      </c>
      <c r="Q812" s="19">
        <v>0</v>
      </c>
      <c r="R812" s="19">
        <v>9</v>
      </c>
      <c r="S812" s="19">
        <v>302.39999999999998</v>
      </c>
      <c r="T812" s="19">
        <v>9</v>
      </c>
      <c r="U812" s="19">
        <v>302.39999999999998</v>
      </c>
      <c r="V812" s="19">
        <v>0</v>
      </c>
      <c r="W812" s="19">
        <v>0</v>
      </c>
      <c r="X812" s="19">
        <v>0</v>
      </c>
      <c r="Y812" s="19">
        <v>604.79999999999995</v>
      </c>
      <c r="Z812" s="19">
        <v>0</v>
      </c>
      <c r="AA812" s="19" t="s">
        <v>436</v>
      </c>
      <c r="AB812" s="19" t="s">
        <v>1555</v>
      </c>
      <c r="AC812" s="19">
        <v>73181500</v>
      </c>
      <c r="AD812" s="19" t="s">
        <v>1092</v>
      </c>
      <c r="AE812" s="19">
        <v>1</v>
      </c>
      <c r="AF812" s="19">
        <v>0</v>
      </c>
      <c r="AG812" s="19" t="s">
        <v>1093</v>
      </c>
      <c r="AH812" s="19" t="s">
        <v>2319</v>
      </c>
    </row>
    <row r="813" spans="2:34" hidden="1" x14ac:dyDescent="0.35">
      <c r="B813" s="76">
        <v>46234</v>
      </c>
      <c r="C813" s="19" t="s">
        <v>435</v>
      </c>
      <c r="D813" s="19" t="s">
        <v>126</v>
      </c>
      <c r="E813" s="19" t="s">
        <v>1034</v>
      </c>
      <c r="F813" s="19" t="s">
        <v>118</v>
      </c>
      <c r="G813" s="19" t="s">
        <v>1035</v>
      </c>
      <c r="H813" s="76">
        <v>46230</v>
      </c>
      <c r="I813" s="19" t="s">
        <v>105</v>
      </c>
      <c r="J813" s="19" t="s">
        <v>1553</v>
      </c>
      <c r="K813" s="19" t="s">
        <v>1127</v>
      </c>
      <c r="L813" s="19" t="s">
        <v>1389</v>
      </c>
      <c r="M813" s="19" t="s">
        <v>1964</v>
      </c>
      <c r="N813" s="19">
        <v>5</v>
      </c>
      <c r="O813" s="19">
        <v>4840</v>
      </c>
      <c r="P813" s="19" t="s">
        <v>1964</v>
      </c>
      <c r="Q813" s="19">
        <v>0</v>
      </c>
      <c r="R813" s="19">
        <v>2.5</v>
      </c>
      <c r="S813" s="19">
        <v>121</v>
      </c>
      <c r="T813" s="19">
        <v>2.5</v>
      </c>
      <c r="U813" s="19">
        <v>121</v>
      </c>
      <c r="V813" s="19">
        <v>0</v>
      </c>
      <c r="W813" s="19">
        <v>0</v>
      </c>
      <c r="X813" s="19">
        <v>0</v>
      </c>
      <c r="Y813" s="19">
        <v>242</v>
      </c>
      <c r="Z813" s="19">
        <v>0</v>
      </c>
      <c r="AA813" s="19" t="s">
        <v>436</v>
      </c>
      <c r="AB813" s="19" t="s">
        <v>1555</v>
      </c>
      <c r="AC813" s="19">
        <v>84529099</v>
      </c>
      <c r="AD813" s="19" t="s">
        <v>1092</v>
      </c>
      <c r="AE813" s="19">
        <v>1</v>
      </c>
      <c r="AF813" s="19">
        <v>0</v>
      </c>
      <c r="AG813" s="19" t="s">
        <v>1093</v>
      </c>
      <c r="AH813" s="19" t="s">
        <v>2319</v>
      </c>
    </row>
    <row r="814" spans="2:34" hidden="1" x14ac:dyDescent="0.35">
      <c r="B814" s="76">
        <v>46234</v>
      </c>
      <c r="C814" s="19" t="s">
        <v>435</v>
      </c>
      <c r="D814" s="19" t="s">
        <v>126</v>
      </c>
      <c r="E814" s="19" t="s">
        <v>1034</v>
      </c>
      <c r="F814" s="19" t="s">
        <v>118</v>
      </c>
      <c r="G814" s="19" t="s">
        <v>1035</v>
      </c>
      <c r="H814" s="76">
        <v>46230</v>
      </c>
      <c r="I814" s="19" t="s">
        <v>105</v>
      </c>
      <c r="J814" s="19" t="s">
        <v>1553</v>
      </c>
      <c r="K814" s="19" t="s">
        <v>1127</v>
      </c>
      <c r="L814" s="19" t="s">
        <v>1389</v>
      </c>
      <c r="M814" s="19" t="s">
        <v>1965</v>
      </c>
      <c r="N814" s="19">
        <v>25</v>
      </c>
      <c r="O814" s="19">
        <v>2200</v>
      </c>
      <c r="P814" s="19" t="s">
        <v>1965</v>
      </c>
      <c r="Q814" s="19">
        <v>0</v>
      </c>
      <c r="R814" s="19">
        <v>9</v>
      </c>
      <c r="S814" s="19">
        <v>211.5</v>
      </c>
      <c r="T814" s="19">
        <v>9</v>
      </c>
      <c r="U814" s="19">
        <v>211.5</v>
      </c>
      <c r="V814" s="19">
        <v>0</v>
      </c>
      <c r="W814" s="19">
        <v>0</v>
      </c>
      <c r="X814" s="19">
        <v>0</v>
      </c>
      <c r="Y814" s="19">
        <v>423</v>
      </c>
      <c r="Z814" s="19">
        <v>0</v>
      </c>
      <c r="AA814" s="19" t="s">
        <v>436</v>
      </c>
      <c r="AB814" s="19" t="s">
        <v>1555</v>
      </c>
      <c r="AC814" s="19">
        <v>84821011</v>
      </c>
      <c r="AD814" s="19" t="s">
        <v>1092</v>
      </c>
      <c r="AE814" s="19">
        <v>1</v>
      </c>
      <c r="AF814" s="19">
        <v>0</v>
      </c>
      <c r="AG814" s="19" t="s">
        <v>1093</v>
      </c>
      <c r="AH814" s="19" t="s">
        <v>2319</v>
      </c>
    </row>
    <row r="815" spans="2:34" hidden="1" x14ac:dyDescent="0.35">
      <c r="B815" s="76">
        <v>46234</v>
      </c>
      <c r="C815" s="19" t="s">
        <v>435</v>
      </c>
      <c r="D815" s="19" t="s">
        <v>126</v>
      </c>
      <c r="E815" s="19" t="s">
        <v>1034</v>
      </c>
      <c r="F815" s="19" t="s">
        <v>118</v>
      </c>
      <c r="G815" s="19" t="s">
        <v>1035</v>
      </c>
      <c r="H815" s="76">
        <v>46230</v>
      </c>
      <c r="I815" s="19" t="s">
        <v>105</v>
      </c>
      <c r="J815" s="19" t="s">
        <v>1553</v>
      </c>
      <c r="K815" s="19" t="s">
        <v>1127</v>
      </c>
      <c r="L815" s="19" t="s">
        <v>1389</v>
      </c>
      <c r="M815" s="19" t="s">
        <v>1966</v>
      </c>
      <c r="N815" s="19">
        <v>5</v>
      </c>
      <c r="O815" s="19">
        <v>3105</v>
      </c>
      <c r="P815" s="19" t="s">
        <v>1966</v>
      </c>
      <c r="Q815" s="19">
        <v>0</v>
      </c>
      <c r="R815" s="19">
        <v>2.5</v>
      </c>
      <c r="S815" s="19">
        <v>77.62</v>
      </c>
      <c r="T815" s="19">
        <v>2.5</v>
      </c>
      <c r="U815" s="19">
        <v>77.62</v>
      </c>
      <c r="V815" s="19">
        <v>0</v>
      </c>
      <c r="W815" s="19">
        <v>0</v>
      </c>
      <c r="X815" s="19">
        <v>0</v>
      </c>
      <c r="Y815" s="19">
        <v>155.24</v>
      </c>
      <c r="Z815" s="19">
        <v>0</v>
      </c>
      <c r="AA815" s="19" t="s">
        <v>436</v>
      </c>
      <c r="AB815" s="19" t="s">
        <v>1555</v>
      </c>
      <c r="AC815" s="19">
        <v>84522900</v>
      </c>
      <c r="AD815" s="19" t="s">
        <v>1092</v>
      </c>
      <c r="AE815" s="19">
        <v>1</v>
      </c>
      <c r="AF815" s="19">
        <v>0</v>
      </c>
      <c r="AG815" s="19" t="s">
        <v>1093</v>
      </c>
      <c r="AH815" s="19" t="s">
        <v>2319</v>
      </c>
    </row>
    <row r="816" spans="2:34" hidden="1" x14ac:dyDescent="0.35">
      <c r="B816" s="76">
        <v>46234</v>
      </c>
      <c r="C816" s="19" t="s">
        <v>1017</v>
      </c>
      <c r="D816" s="19" t="s">
        <v>7</v>
      </c>
      <c r="E816" s="19" t="s">
        <v>1015</v>
      </c>
      <c r="F816" s="19" t="s">
        <v>119</v>
      </c>
      <c r="G816" s="19" t="s">
        <v>1016</v>
      </c>
      <c r="H816" s="76">
        <v>46225</v>
      </c>
      <c r="I816" s="19" t="s">
        <v>101</v>
      </c>
      <c r="J816" s="19" t="s">
        <v>1902</v>
      </c>
      <c r="K816" s="19" t="s">
        <v>1509</v>
      </c>
      <c r="L816" s="19" t="s">
        <v>1509</v>
      </c>
      <c r="M816" s="19" t="s">
        <v>1967</v>
      </c>
      <c r="N816" s="19">
        <v>494.1</v>
      </c>
      <c r="O816" s="19">
        <v>71644.5</v>
      </c>
      <c r="P816" s="19" t="s">
        <v>1967</v>
      </c>
      <c r="Q816" s="19">
        <v>84541</v>
      </c>
      <c r="R816" s="19">
        <v>9</v>
      </c>
      <c r="S816" s="19">
        <v>6448</v>
      </c>
      <c r="T816" s="19">
        <v>9</v>
      </c>
      <c r="U816" s="19">
        <v>6448</v>
      </c>
      <c r="V816" s="19">
        <v>0</v>
      </c>
      <c r="W816" s="19">
        <v>0</v>
      </c>
      <c r="X816" s="19">
        <v>0</v>
      </c>
      <c r="Y816" s="19">
        <v>12896</v>
      </c>
      <c r="Z816" s="19">
        <v>0</v>
      </c>
      <c r="AA816" s="19" t="s">
        <v>1018</v>
      </c>
      <c r="AB816" s="19" t="s">
        <v>1091</v>
      </c>
      <c r="AC816" s="19">
        <v>39201099</v>
      </c>
      <c r="AD816" s="19" t="s">
        <v>1092</v>
      </c>
      <c r="AE816" s="19">
        <v>1</v>
      </c>
      <c r="AF816" s="19">
        <v>0</v>
      </c>
      <c r="AG816" s="19" t="s">
        <v>1093</v>
      </c>
      <c r="AH816" s="19" t="s">
        <v>2319</v>
      </c>
    </row>
    <row r="817" spans="2:34" hidden="1" x14ac:dyDescent="0.35">
      <c r="B817" s="76">
        <v>46234</v>
      </c>
      <c r="C817" s="19" t="s">
        <v>535</v>
      </c>
      <c r="D817" s="19" t="s">
        <v>126</v>
      </c>
      <c r="E817" s="19" t="s">
        <v>1033</v>
      </c>
      <c r="F817" s="19" t="s">
        <v>118</v>
      </c>
      <c r="G817" s="19">
        <v>2870</v>
      </c>
      <c r="H817" s="76">
        <v>46232</v>
      </c>
      <c r="I817" s="19" t="s">
        <v>100</v>
      </c>
      <c r="J817" s="19" t="s">
        <v>1667</v>
      </c>
      <c r="K817" s="19" t="s">
        <v>1127</v>
      </c>
      <c r="L817" s="19" t="s">
        <v>1389</v>
      </c>
      <c r="M817" s="19" t="s">
        <v>1668</v>
      </c>
      <c r="N817" s="19">
        <v>2</v>
      </c>
      <c r="O817" s="19">
        <v>1400</v>
      </c>
      <c r="P817" s="19" t="s">
        <v>1668</v>
      </c>
      <c r="Q817" s="19">
        <v>3422</v>
      </c>
      <c r="R817" s="19">
        <v>9</v>
      </c>
      <c r="S817" s="19">
        <v>126</v>
      </c>
      <c r="T817" s="19">
        <v>9</v>
      </c>
      <c r="U817" s="19">
        <v>126</v>
      </c>
      <c r="V817" s="19">
        <v>0</v>
      </c>
      <c r="W817" s="19">
        <v>0</v>
      </c>
      <c r="X817" s="19">
        <v>0</v>
      </c>
      <c r="Y817" s="19">
        <v>252</v>
      </c>
      <c r="Z817" s="19">
        <v>0</v>
      </c>
      <c r="AA817" s="19" t="s">
        <v>536</v>
      </c>
      <c r="AB817" s="19" t="s">
        <v>1669</v>
      </c>
      <c r="AC817" s="19">
        <v>139020</v>
      </c>
      <c r="AD817" s="19" t="s">
        <v>1092</v>
      </c>
      <c r="AE817" s="19">
        <v>1</v>
      </c>
      <c r="AF817" s="19">
        <v>0</v>
      </c>
      <c r="AG817" s="19" t="s">
        <v>1093</v>
      </c>
      <c r="AH817" s="19" t="s">
        <v>2319</v>
      </c>
    </row>
    <row r="818" spans="2:34" hidden="1" x14ac:dyDescent="0.35">
      <c r="B818" s="76">
        <v>46234</v>
      </c>
      <c r="C818" s="19" t="s">
        <v>535</v>
      </c>
      <c r="D818" s="19" t="s">
        <v>126</v>
      </c>
      <c r="E818" s="19" t="s">
        <v>1033</v>
      </c>
      <c r="F818" s="19" t="s">
        <v>118</v>
      </c>
      <c r="G818" s="19">
        <v>2870</v>
      </c>
      <c r="H818" s="76">
        <v>46232</v>
      </c>
      <c r="I818" s="19" t="s">
        <v>100</v>
      </c>
      <c r="J818" s="19" t="s">
        <v>1667</v>
      </c>
      <c r="K818" s="19" t="s">
        <v>1127</v>
      </c>
      <c r="L818" s="19" t="s">
        <v>1389</v>
      </c>
      <c r="M818" s="19" t="s">
        <v>1668</v>
      </c>
      <c r="N818" s="19">
        <v>3</v>
      </c>
      <c r="O818" s="19">
        <v>1500</v>
      </c>
      <c r="P818" s="19" t="s">
        <v>1668</v>
      </c>
      <c r="Q818" s="19">
        <v>0</v>
      </c>
      <c r="R818" s="19">
        <v>9</v>
      </c>
      <c r="S818" s="19">
        <v>135</v>
      </c>
      <c r="T818" s="19">
        <v>9</v>
      </c>
      <c r="U818" s="19">
        <v>135</v>
      </c>
      <c r="V818" s="19">
        <v>0</v>
      </c>
      <c r="W818" s="19">
        <v>0</v>
      </c>
      <c r="X818" s="19">
        <v>0</v>
      </c>
      <c r="Y818" s="19">
        <v>270</v>
      </c>
      <c r="Z818" s="19">
        <v>0</v>
      </c>
      <c r="AA818" s="19" t="s">
        <v>536</v>
      </c>
      <c r="AB818" s="19" t="s">
        <v>1669</v>
      </c>
      <c r="AC818" s="19">
        <v>139020</v>
      </c>
      <c r="AD818" s="19" t="s">
        <v>1092</v>
      </c>
      <c r="AE818" s="19">
        <v>1</v>
      </c>
      <c r="AF818" s="19">
        <v>0</v>
      </c>
      <c r="AG818" s="19" t="s">
        <v>1093</v>
      </c>
      <c r="AH818" s="19" t="s">
        <v>2319</v>
      </c>
    </row>
    <row r="819" spans="2:34" hidden="1" x14ac:dyDescent="0.35">
      <c r="B819" s="76">
        <v>46234</v>
      </c>
      <c r="C819" s="19" t="s">
        <v>237</v>
      </c>
      <c r="D819" s="19" t="s">
        <v>126</v>
      </c>
      <c r="E819" s="19" t="s">
        <v>1013</v>
      </c>
      <c r="F819" s="19" t="s">
        <v>118</v>
      </c>
      <c r="G819" s="19">
        <v>367</v>
      </c>
      <c r="H819" s="76">
        <v>46226</v>
      </c>
      <c r="I819" s="19" t="s">
        <v>36</v>
      </c>
      <c r="J819" s="19" t="s">
        <v>1350</v>
      </c>
      <c r="K819" s="19" t="s">
        <v>39</v>
      </c>
      <c r="L819" s="19" t="s">
        <v>102</v>
      </c>
      <c r="M819" s="19" t="s">
        <v>1603</v>
      </c>
      <c r="N819" s="19">
        <f t="shared" ref="N819:N824" si="26">AF819</f>
        <v>3.9</v>
      </c>
      <c r="O819" s="19">
        <v>1200</v>
      </c>
      <c r="P819" s="19" t="s">
        <v>1603</v>
      </c>
      <c r="Q819" s="19">
        <v>2832</v>
      </c>
      <c r="R819" s="19">
        <v>9</v>
      </c>
      <c r="S819" s="19">
        <v>108</v>
      </c>
      <c r="T819" s="19">
        <v>9</v>
      </c>
      <c r="U819" s="19">
        <v>108</v>
      </c>
      <c r="V819" s="19">
        <v>0</v>
      </c>
      <c r="W819" s="19">
        <v>0</v>
      </c>
      <c r="X819" s="19">
        <v>216</v>
      </c>
      <c r="Y819" s="19">
        <v>432</v>
      </c>
      <c r="Z819" s="19">
        <v>0</v>
      </c>
      <c r="AA819" s="19" t="s">
        <v>238</v>
      </c>
      <c r="AB819" s="19" t="s">
        <v>1289</v>
      </c>
      <c r="AC819" s="19">
        <v>392300</v>
      </c>
      <c r="AD819" s="19" t="s">
        <v>1092</v>
      </c>
      <c r="AE819" s="19">
        <v>1</v>
      </c>
      <c r="AF819" s="19">
        <v>3.9</v>
      </c>
      <c r="AG819" s="19"/>
      <c r="AH819" s="19" t="s">
        <v>2319</v>
      </c>
    </row>
    <row r="820" spans="2:34" hidden="1" x14ac:dyDescent="0.35">
      <c r="B820" s="76">
        <v>46234</v>
      </c>
      <c r="C820" s="19" t="s">
        <v>237</v>
      </c>
      <c r="D820" s="19" t="s">
        <v>126</v>
      </c>
      <c r="E820" s="19" t="s">
        <v>1014</v>
      </c>
      <c r="F820" s="19" t="s">
        <v>118</v>
      </c>
      <c r="G820" s="19">
        <v>364</v>
      </c>
      <c r="H820" s="76">
        <v>46223</v>
      </c>
      <c r="I820" s="19" t="s">
        <v>36</v>
      </c>
      <c r="J820" s="19" t="s">
        <v>1350</v>
      </c>
      <c r="K820" s="19" t="s">
        <v>39</v>
      </c>
      <c r="L820" s="19" t="s">
        <v>102</v>
      </c>
      <c r="M820" s="19" t="s">
        <v>1603</v>
      </c>
      <c r="N820" s="19">
        <f t="shared" si="26"/>
        <v>17.100000000000001</v>
      </c>
      <c r="O820" s="19">
        <v>5200</v>
      </c>
      <c r="P820" s="19" t="s">
        <v>1603</v>
      </c>
      <c r="Q820" s="19">
        <v>22918</v>
      </c>
      <c r="R820" s="19">
        <v>9</v>
      </c>
      <c r="S820" s="19">
        <v>468</v>
      </c>
      <c r="T820" s="19">
        <v>9</v>
      </c>
      <c r="U820" s="19">
        <v>468</v>
      </c>
      <c r="V820" s="19">
        <v>0</v>
      </c>
      <c r="W820" s="19">
        <v>0</v>
      </c>
      <c r="X820" s="19">
        <v>90</v>
      </c>
      <c r="Y820" s="19">
        <v>1026</v>
      </c>
      <c r="Z820" s="19">
        <v>0</v>
      </c>
      <c r="AA820" s="19" t="s">
        <v>238</v>
      </c>
      <c r="AB820" s="19" t="s">
        <v>1289</v>
      </c>
      <c r="AC820" s="19">
        <v>392300</v>
      </c>
      <c r="AD820" s="19" t="s">
        <v>1092</v>
      </c>
      <c r="AE820" s="19">
        <v>1</v>
      </c>
      <c r="AF820" s="19">
        <v>17.100000000000001</v>
      </c>
      <c r="AG820" s="19"/>
      <c r="AH820" s="19" t="s">
        <v>2319</v>
      </c>
    </row>
    <row r="821" spans="2:34" hidden="1" x14ac:dyDescent="0.35">
      <c r="B821" s="76">
        <v>46234</v>
      </c>
      <c r="C821" s="19" t="s">
        <v>237</v>
      </c>
      <c r="D821" s="19" t="s">
        <v>126</v>
      </c>
      <c r="E821" s="19" t="s">
        <v>1014</v>
      </c>
      <c r="F821" s="19" t="s">
        <v>118</v>
      </c>
      <c r="G821" s="19">
        <v>364</v>
      </c>
      <c r="H821" s="76">
        <v>46223</v>
      </c>
      <c r="I821" s="19" t="s">
        <v>36</v>
      </c>
      <c r="J821" s="19" t="s">
        <v>1350</v>
      </c>
      <c r="K821" s="19" t="s">
        <v>39</v>
      </c>
      <c r="L821" s="19" t="s">
        <v>102</v>
      </c>
      <c r="M821" s="19" t="s">
        <v>1603</v>
      </c>
      <c r="N821" s="19">
        <f t="shared" si="26"/>
        <v>7.6</v>
      </c>
      <c r="O821" s="19">
        <v>2824</v>
      </c>
      <c r="P821" s="19" t="s">
        <v>1603</v>
      </c>
      <c r="Q821" s="19">
        <v>0</v>
      </c>
      <c r="R821" s="19">
        <v>9</v>
      </c>
      <c r="S821" s="19">
        <v>254.16</v>
      </c>
      <c r="T821" s="19">
        <v>9</v>
      </c>
      <c r="U821" s="19">
        <v>254.16</v>
      </c>
      <c r="V821" s="19">
        <v>0</v>
      </c>
      <c r="W821" s="19">
        <v>0</v>
      </c>
      <c r="X821" s="19">
        <v>90</v>
      </c>
      <c r="Y821" s="19">
        <v>598.31999999999994</v>
      </c>
      <c r="Z821" s="19">
        <v>0</v>
      </c>
      <c r="AA821" s="19" t="s">
        <v>238</v>
      </c>
      <c r="AB821" s="19" t="s">
        <v>1289</v>
      </c>
      <c r="AC821" s="19">
        <v>392300</v>
      </c>
      <c r="AD821" s="19" t="s">
        <v>1092</v>
      </c>
      <c r="AE821" s="19">
        <v>1</v>
      </c>
      <c r="AF821" s="19">
        <v>7.6</v>
      </c>
      <c r="AG821" s="19"/>
      <c r="AH821" s="19" t="s">
        <v>2319</v>
      </c>
    </row>
    <row r="822" spans="2:34" hidden="1" x14ac:dyDescent="0.35">
      <c r="B822" s="76">
        <v>46234</v>
      </c>
      <c r="C822" s="19" t="s">
        <v>237</v>
      </c>
      <c r="D822" s="19" t="s">
        <v>126</v>
      </c>
      <c r="E822" s="19" t="s">
        <v>1014</v>
      </c>
      <c r="F822" s="19" t="s">
        <v>118</v>
      </c>
      <c r="G822" s="19">
        <v>364</v>
      </c>
      <c r="H822" s="76">
        <v>46223</v>
      </c>
      <c r="I822" s="19" t="s">
        <v>36</v>
      </c>
      <c r="J822" s="19" t="s">
        <v>1350</v>
      </c>
      <c r="K822" s="19" t="s">
        <v>39</v>
      </c>
      <c r="L822" s="19" t="s">
        <v>102</v>
      </c>
      <c r="M822" s="19" t="s">
        <v>1603</v>
      </c>
      <c r="N822" s="19">
        <f t="shared" si="26"/>
        <v>5.2</v>
      </c>
      <c r="O822" s="19">
        <v>2938</v>
      </c>
      <c r="P822" s="19" t="s">
        <v>1603</v>
      </c>
      <c r="Q822" s="19">
        <v>0</v>
      </c>
      <c r="R822" s="19">
        <v>9</v>
      </c>
      <c r="S822" s="19">
        <v>264.42</v>
      </c>
      <c r="T822" s="19">
        <v>9</v>
      </c>
      <c r="U822" s="19">
        <v>264.42</v>
      </c>
      <c r="V822" s="19">
        <v>0</v>
      </c>
      <c r="W822" s="19">
        <v>0</v>
      </c>
      <c r="X822" s="19">
        <v>90</v>
      </c>
      <c r="Y822" s="19">
        <v>618.84</v>
      </c>
      <c r="Z822" s="19">
        <v>0</v>
      </c>
      <c r="AA822" s="19" t="s">
        <v>238</v>
      </c>
      <c r="AB822" s="19" t="s">
        <v>1289</v>
      </c>
      <c r="AC822" s="19">
        <v>392300</v>
      </c>
      <c r="AD822" s="19" t="s">
        <v>1092</v>
      </c>
      <c r="AE822" s="19">
        <v>1</v>
      </c>
      <c r="AF822" s="19">
        <v>5.2</v>
      </c>
      <c r="AG822" s="19"/>
      <c r="AH822" s="19" t="s">
        <v>2319</v>
      </c>
    </row>
    <row r="823" spans="2:34" hidden="1" x14ac:dyDescent="0.35">
      <c r="B823" s="76">
        <v>46234</v>
      </c>
      <c r="C823" s="19" t="s">
        <v>237</v>
      </c>
      <c r="D823" s="19" t="s">
        <v>126</v>
      </c>
      <c r="E823" s="19" t="s">
        <v>1014</v>
      </c>
      <c r="F823" s="19" t="s">
        <v>118</v>
      </c>
      <c r="G823" s="19">
        <v>364</v>
      </c>
      <c r="H823" s="76">
        <v>46223</v>
      </c>
      <c r="I823" s="19" t="s">
        <v>36</v>
      </c>
      <c r="J823" s="19" t="s">
        <v>1350</v>
      </c>
      <c r="K823" s="19" t="s">
        <v>39</v>
      </c>
      <c r="L823" s="19" t="s">
        <v>102</v>
      </c>
      <c r="M823" s="19" t="s">
        <v>1603</v>
      </c>
      <c r="N823" s="19">
        <f t="shared" si="26"/>
        <v>1.6</v>
      </c>
      <c r="O823" s="19">
        <v>1710</v>
      </c>
      <c r="P823" s="19" t="s">
        <v>1603</v>
      </c>
      <c r="Q823" s="19">
        <v>0</v>
      </c>
      <c r="R823" s="19">
        <v>9</v>
      </c>
      <c r="S823" s="19">
        <v>153.9</v>
      </c>
      <c r="T823" s="19">
        <v>9</v>
      </c>
      <c r="U823" s="19">
        <v>153.9</v>
      </c>
      <c r="V823" s="19">
        <v>0</v>
      </c>
      <c r="W823" s="19">
        <v>0</v>
      </c>
      <c r="X823" s="19">
        <v>90</v>
      </c>
      <c r="Y823" s="19">
        <v>397.8</v>
      </c>
      <c r="Z823" s="19">
        <v>0</v>
      </c>
      <c r="AA823" s="19" t="s">
        <v>238</v>
      </c>
      <c r="AB823" s="19" t="s">
        <v>1289</v>
      </c>
      <c r="AC823" s="19">
        <v>392300</v>
      </c>
      <c r="AD823" s="19" t="s">
        <v>1092</v>
      </c>
      <c r="AE823" s="19">
        <v>1</v>
      </c>
      <c r="AF823" s="19">
        <v>1.6</v>
      </c>
      <c r="AG823" s="19"/>
      <c r="AH823" s="19" t="s">
        <v>2319</v>
      </c>
    </row>
    <row r="824" spans="2:34" hidden="1" x14ac:dyDescent="0.35">
      <c r="B824" s="76">
        <v>46234</v>
      </c>
      <c r="C824" s="19" t="s">
        <v>237</v>
      </c>
      <c r="D824" s="19" t="s">
        <v>126</v>
      </c>
      <c r="E824" s="19" t="s">
        <v>1014</v>
      </c>
      <c r="F824" s="19" t="s">
        <v>118</v>
      </c>
      <c r="G824" s="19">
        <v>364</v>
      </c>
      <c r="H824" s="76">
        <v>46223</v>
      </c>
      <c r="I824" s="19" t="s">
        <v>36</v>
      </c>
      <c r="J824" s="19" t="s">
        <v>1350</v>
      </c>
      <c r="K824" s="19" t="s">
        <v>39</v>
      </c>
      <c r="L824" s="19" t="s">
        <v>102</v>
      </c>
      <c r="M824" s="19" t="s">
        <v>1603</v>
      </c>
      <c r="N824" s="19">
        <f t="shared" si="26"/>
        <v>20.6</v>
      </c>
      <c r="O824" s="19">
        <v>6250</v>
      </c>
      <c r="P824" s="19" t="s">
        <v>1603</v>
      </c>
      <c r="Q824" s="19">
        <v>0</v>
      </c>
      <c r="R824" s="19">
        <v>9</v>
      </c>
      <c r="S824" s="19">
        <v>562.5</v>
      </c>
      <c r="T824" s="19">
        <v>9</v>
      </c>
      <c r="U824" s="19">
        <v>562.5</v>
      </c>
      <c r="V824" s="19">
        <v>0</v>
      </c>
      <c r="W824" s="19">
        <v>0</v>
      </c>
      <c r="X824" s="19">
        <v>90</v>
      </c>
      <c r="Y824" s="19">
        <v>1215</v>
      </c>
      <c r="Z824" s="19">
        <v>0</v>
      </c>
      <c r="AA824" s="19" t="s">
        <v>238</v>
      </c>
      <c r="AB824" s="19" t="s">
        <v>1289</v>
      </c>
      <c r="AC824" s="19">
        <v>392300</v>
      </c>
      <c r="AD824" s="19" t="s">
        <v>1092</v>
      </c>
      <c r="AE824" s="19">
        <v>1</v>
      </c>
      <c r="AF824" s="19">
        <v>20.6</v>
      </c>
      <c r="AG824" s="19"/>
      <c r="AH824" s="19" t="s">
        <v>2319</v>
      </c>
    </row>
    <row r="825" spans="2:34" hidden="1" x14ac:dyDescent="0.35">
      <c r="B825" s="76">
        <v>46234</v>
      </c>
      <c r="C825" s="19" t="s">
        <v>284</v>
      </c>
      <c r="D825" s="19" t="s">
        <v>126</v>
      </c>
      <c r="E825" s="19" t="s">
        <v>1031</v>
      </c>
      <c r="F825" s="19" t="s">
        <v>118</v>
      </c>
      <c r="G825" s="19" t="s">
        <v>1032</v>
      </c>
      <c r="H825" s="76">
        <v>46231</v>
      </c>
      <c r="I825" s="19" t="s">
        <v>102</v>
      </c>
      <c r="J825" s="19" t="s">
        <v>1621</v>
      </c>
      <c r="K825" s="19" t="s">
        <v>1127</v>
      </c>
      <c r="L825" s="19" t="s">
        <v>1389</v>
      </c>
      <c r="M825" s="19" t="s">
        <v>1968</v>
      </c>
      <c r="N825" s="19">
        <v>2</v>
      </c>
      <c r="O825" s="19">
        <v>5900</v>
      </c>
      <c r="P825" s="19" t="s">
        <v>1968</v>
      </c>
      <c r="Q825" s="19">
        <v>7080</v>
      </c>
      <c r="R825" s="19">
        <v>9</v>
      </c>
      <c r="S825" s="19">
        <v>531</v>
      </c>
      <c r="T825" s="19">
        <v>9</v>
      </c>
      <c r="U825" s="19">
        <v>531</v>
      </c>
      <c r="V825" s="19">
        <v>0</v>
      </c>
      <c r="W825" s="19">
        <v>0</v>
      </c>
      <c r="X825" s="19">
        <v>18</v>
      </c>
      <c r="Y825" s="19">
        <v>1080</v>
      </c>
      <c r="Z825" s="19">
        <v>0</v>
      </c>
      <c r="AA825" s="19" t="s">
        <v>285</v>
      </c>
      <c r="AB825" s="19" t="s">
        <v>1672</v>
      </c>
      <c r="AC825" s="19">
        <v>392610</v>
      </c>
      <c r="AD825" s="19" t="s">
        <v>1092</v>
      </c>
      <c r="AE825" s="19">
        <v>1</v>
      </c>
      <c r="AF825" s="19">
        <v>0</v>
      </c>
      <c r="AG825" s="19" t="s">
        <v>1093</v>
      </c>
      <c r="AH825" s="19" t="s">
        <v>2319</v>
      </c>
    </row>
    <row r="826" spans="2:34" hidden="1" x14ac:dyDescent="0.35">
      <c r="B826" s="76">
        <v>46234</v>
      </c>
      <c r="C826" s="19" t="s">
        <v>1005</v>
      </c>
      <c r="D826" s="19" t="s">
        <v>126</v>
      </c>
      <c r="E826" s="19" t="s">
        <v>1004</v>
      </c>
      <c r="F826" s="19" t="s">
        <v>118</v>
      </c>
      <c r="G826" s="19">
        <v>1224</v>
      </c>
      <c r="H826" s="76">
        <v>46230</v>
      </c>
      <c r="I826" s="19" t="s">
        <v>102</v>
      </c>
      <c r="J826" s="19" t="s">
        <v>1570</v>
      </c>
      <c r="K826" s="19" t="s">
        <v>1127</v>
      </c>
      <c r="L826" s="19" t="s">
        <v>102</v>
      </c>
      <c r="M826" s="19" t="s">
        <v>1571</v>
      </c>
      <c r="N826" s="19">
        <v>1</v>
      </c>
      <c r="O826" s="19">
        <v>593.4</v>
      </c>
      <c r="P826" s="19" t="s">
        <v>1571</v>
      </c>
      <c r="Q826" s="19">
        <v>1751</v>
      </c>
      <c r="R826" s="19">
        <v>9</v>
      </c>
      <c r="S826" s="19">
        <v>53.41</v>
      </c>
      <c r="T826" s="19">
        <v>9</v>
      </c>
      <c r="U826" s="19">
        <v>53.41</v>
      </c>
      <c r="V826" s="19">
        <v>0</v>
      </c>
      <c r="W826" s="19">
        <v>0</v>
      </c>
      <c r="X826" s="19">
        <v>0</v>
      </c>
      <c r="Y826" s="19">
        <v>106.82</v>
      </c>
      <c r="Z826" s="19">
        <v>0</v>
      </c>
      <c r="AA826" s="19" t="s">
        <v>1006</v>
      </c>
      <c r="AB826" s="19" t="s">
        <v>1572</v>
      </c>
      <c r="AC826" s="19">
        <v>400200</v>
      </c>
      <c r="AD826" s="19" t="s">
        <v>1092</v>
      </c>
      <c r="AE826" s="19">
        <v>1</v>
      </c>
      <c r="AF826" s="19">
        <v>0</v>
      </c>
      <c r="AG826" s="19" t="s">
        <v>1093</v>
      </c>
      <c r="AH826" s="19" t="s">
        <v>2319</v>
      </c>
    </row>
    <row r="827" spans="2:34" hidden="1" x14ac:dyDescent="0.35">
      <c r="B827" s="76">
        <v>46234</v>
      </c>
      <c r="C827" s="19" t="s">
        <v>1005</v>
      </c>
      <c r="D827" s="19" t="s">
        <v>126</v>
      </c>
      <c r="E827" s="19" t="s">
        <v>1004</v>
      </c>
      <c r="F827" s="19" t="s">
        <v>118</v>
      </c>
      <c r="G827" s="19">
        <v>1224</v>
      </c>
      <c r="H827" s="76">
        <v>46230</v>
      </c>
      <c r="I827" s="19" t="s">
        <v>102</v>
      </c>
      <c r="J827" s="19" t="s">
        <v>1570</v>
      </c>
      <c r="K827" s="19" t="s">
        <v>1127</v>
      </c>
      <c r="L827" s="19" t="s">
        <v>102</v>
      </c>
      <c r="M827" s="19" t="s">
        <v>1571</v>
      </c>
      <c r="N827" s="19">
        <v>1</v>
      </c>
      <c r="O827" s="19">
        <v>890.1</v>
      </c>
      <c r="P827" s="19" t="s">
        <v>1571</v>
      </c>
      <c r="Q827" s="19">
        <v>0</v>
      </c>
      <c r="R827" s="19">
        <v>9</v>
      </c>
      <c r="S827" s="19">
        <v>80.11</v>
      </c>
      <c r="T827" s="19">
        <v>9</v>
      </c>
      <c r="U827" s="19">
        <v>80.11</v>
      </c>
      <c r="V827" s="19">
        <v>0</v>
      </c>
      <c r="W827" s="19">
        <v>0</v>
      </c>
      <c r="X827" s="19">
        <v>0</v>
      </c>
      <c r="Y827" s="19">
        <v>160.22</v>
      </c>
      <c r="Z827" s="19">
        <v>0</v>
      </c>
      <c r="AA827" s="19" t="s">
        <v>1006</v>
      </c>
      <c r="AB827" s="19" t="s">
        <v>1572</v>
      </c>
      <c r="AC827" s="19">
        <v>400200</v>
      </c>
      <c r="AD827" s="19" t="s">
        <v>1092</v>
      </c>
      <c r="AE827" s="19">
        <v>1</v>
      </c>
      <c r="AF827" s="19">
        <v>0</v>
      </c>
      <c r="AG827" s="19" t="s">
        <v>1093</v>
      </c>
      <c r="AH827" s="19" t="s">
        <v>2319</v>
      </c>
    </row>
    <row r="828" spans="2:34" x14ac:dyDescent="0.35">
      <c r="B828" s="76">
        <v>46234</v>
      </c>
      <c r="C828" s="19" t="s">
        <v>178</v>
      </c>
      <c r="D828" s="19" t="s">
        <v>173</v>
      </c>
      <c r="E828" s="19" t="s">
        <v>1036</v>
      </c>
      <c r="F828" s="19" t="s">
        <v>123</v>
      </c>
      <c r="G828" s="19" t="s">
        <v>1037</v>
      </c>
      <c r="H828" s="76">
        <v>46233</v>
      </c>
      <c r="I828" s="19" t="s">
        <v>36</v>
      </c>
      <c r="J828" s="19" t="s">
        <v>1117</v>
      </c>
      <c r="K828" s="19" t="s">
        <v>44</v>
      </c>
      <c r="L828" s="19" t="s">
        <v>1118</v>
      </c>
      <c r="M828" s="19" t="s">
        <v>1119</v>
      </c>
      <c r="N828" s="19">
        <v>335</v>
      </c>
      <c r="O828" s="19">
        <v>53429.15</v>
      </c>
      <c r="P828" s="19" t="s">
        <v>1119</v>
      </c>
      <c r="Q828" s="19">
        <v>1018025.62</v>
      </c>
      <c r="R828" s="19">
        <v>9</v>
      </c>
      <c r="S828" s="19">
        <v>4808.62</v>
      </c>
      <c r="T828" s="19">
        <v>9</v>
      </c>
      <c r="U828" s="19">
        <v>4808.62</v>
      </c>
      <c r="V828" s="19">
        <v>0</v>
      </c>
      <c r="W828" s="19">
        <v>0</v>
      </c>
      <c r="X828" s="19">
        <v>0</v>
      </c>
      <c r="Y828" s="19">
        <v>9617.24</v>
      </c>
      <c r="Z828" s="19">
        <v>0</v>
      </c>
      <c r="AA828" s="19" t="s">
        <v>179</v>
      </c>
      <c r="AB828" s="19" t="s">
        <v>1289</v>
      </c>
      <c r="AC828" s="19">
        <v>39269080</v>
      </c>
      <c r="AD828" s="19" t="s">
        <v>1092</v>
      </c>
      <c r="AE828" s="19">
        <v>1</v>
      </c>
      <c r="AF828" s="19">
        <v>335</v>
      </c>
      <c r="AG828" s="19" t="s">
        <v>1093</v>
      </c>
      <c r="AH828" s="19" t="s">
        <v>44</v>
      </c>
    </row>
    <row r="829" spans="2:34" x14ac:dyDescent="0.35">
      <c r="B829" s="76">
        <v>46234</v>
      </c>
      <c r="C829" s="19" t="s">
        <v>178</v>
      </c>
      <c r="D829" s="19" t="s">
        <v>173</v>
      </c>
      <c r="E829" s="19" t="s">
        <v>1036</v>
      </c>
      <c r="F829" s="19" t="s">
        <v>123</v>
      </c>
      <c r="G829" s="19" t="s">
        <v>1037</v>
      </c>
      <c r="H829" s="76">
        <v>46233</v>
      </c>
      <c r="I829" s="19" t="s">
        <v>36</v>
      </c>
      <c r="J829" s="19" t="s">
        <v>1117</v>
      </c>
      <c r="K829" s="19" t="s">
        <v>44</v>
      </c>
      <c r="L829" s="19" t="s">
        <v>1118</v>
      </c>
      <c r="M829" s="19" t="s">
        <v>1119</v>
      </c>
      <c r="N829" s="19">
        <v>291</v>
      </c>
      <c r="O829" s="19">
        <v>44956.59</v>
      </c>
      <c r="P829" s="19" t="s">
        <v>1119</v>
      </c>
      <c r="Q829" s="19">
        <v>0</v>
      </c>
      <c r="R829" s="19">
        <v>9</v>
      </c>
      <c r="S829" s="19">
        <v>4046.09</v>
      </c>
      <c r="T829" s="19">
        <v>9</v>
      </c>
      <c r="U829" s="19">
        <v>4046.09</v>
      </c>
      <c r="V829" s="19">
        <v>0</v>
      </c>
      <c r="W829" s="19">
        <v>0</v>
      </c>
      <c r="X829" s="19">
        <v>0</v>
      </c>
      <c r="Y829" s="19">
        <v>8092.18</v>
      </c>
      <c r="Z829" s="19">
        <v>0</v>
      </c>
      <c r="AA829" s="19" t="s">
        <v>179</v>
      </c>
      <c r="AB829" s="19" t="s">
        <v>1289</v>
      </c>
      <c r="AC829" s="19">
        <v>39269080</v>
      </c>
      <c r="AD829" s="19" t="s">
        <v>1092</v>
      </c>
      <c r="AE829" s="19">
        <v>1</v>
      </c>
      <c r="AF829" s="19">
        <v>291</v>
      </c>
      <c r="AG829" s="19" t="s">
        <v>1093</v>
      </c>
      <c r="AH829" s="19" t="s">
        <v>44</v>
      </c>
    </row>
    <row r="830" spans="2:34" x14ac:dyDescent="0.35">
      <c r="B830" s="76">
        <v>46234</v>
      </c>
      <c r="C830" s="19" t="s">
        <v>178</v>
      </c>
      <c r="D830" s="19" t="s">
        <v>173</v>
      </c>
      <c r="E830" s="19" t="s">
        <v>1036</v>
      </c>
      <c r="F830" s="19" t="s">
        <v>123</v>
      </c>
      <c r="G830" s="19" t="s">
        <v>1037</v>
      </c>
      <c r="H830" s="76">
        <v>46233</v>
      </c>
      <c r="I830" s="19" t="s">
        <v>36</v>
      </c>
      <c r="J830" s="19" t="s">
        <v>1117</v>
      </c>
      <c r="K830" s="19" t="s">
        <v>44</v>
      </c>
      <c r="L830" s="19" t="s">
        <v>1118</v>
      </c>
      <c r="M830" s="19" t="s">
        <v>1119</v>
      </c>
      <c r="N830" s="19">
        <v>4889</v>
      </c>
      <c r="O830" s="19">
        <v>765079.61</v>
      </c>
      <c r="P830" s="19" t="s">
        <v>1119</v>
      </c>
      <c r="Q830" s="19">
        <v>0</v>
      </c>
      <c r="R830" s="19">
        <v>9</v>
      </c>
      <c r="S830" s="19">
        <v>68857.16</v>
      </c>
      <c r="T830" s="19">
        <v>9</v>
      </c>
      <c r="U830" s="19">
        <v>68857.16</v>
      </c>
      <c r="V830" s="19">
        <v>0</v>
      </c>
      <c r="W830" s="19">
        <v>0</v>
      </c>
      <c r="X830" s="19">
        <v>0</v>
      </c>
      <c r="Y830" s="19">
        <v>137714.32</v>
      </c>
      <c r="Z830" s="19">
        <v>0</v>
      </c>
      <c r="AA830" s="19" t="s">
        <v>179</v>
      </c>
      <c r="AB830" s="19" t="s">
        <v>1289</v>
      </c>
      <c r="AC830" s="19">
        <v>39269080</v>
      </c>
      <c r="AD830" s="19" t="s">
        <v>1092</v>
      </c>
      <c r="AE830" s="19">
        <v>1</v>
      </c>
      <c r="AF830" s="19">
        <v>4889</v>
      </c>
      <c r="AG830" s="19" t="s">
        <v>1093</v>
      </c>
      <c r="AH830" s="19" t="s">
        <v>44</v>
      </c>
    </row>
    <row r="831" spans="2:34" x14ac:dyDescent="0.35">
      <c r="B831" s="76">
        <v>46234</v>
      </c>
      <c r="C831" s="19" t="s">
        <v>178</v>
      </c>
      <c r="D831" s="19" t="s">
        <v>173</v>
      </c>
      <c r="E831" s="19" t="s">
        <v>1047</v>
      </c>
      <c r="F831" s="19" t="s">
        <v>123</v>
      </c>
      <c r="G831" s="19" t="s">
        <v>1048</v>
      </c>
      <c r="H831" s="76">
        <v>46234</v>
      </c>
      <c r="I831" s="19" t="s">
        <v>36</v>
      </c>
      <c r="J831" s="19" t="s">
        <v>1350</v>
      </c>
      <c r="K831" s="19" t="s">
        <v>39</v>
      </c>
      <c r="L831" s="19" t="s">
        <v>1351</v>
      </c>
      <c r="M831" s="19" t="s">
        <v>1594</v>
      </c>
      <c r="N831" s="19">
        <v>1131</v>
      </c>
      <c r="O831" s="19">
        <v>183697.02</v>
      </c>
      <c r="P831" s="19" t="s">
        <v>1594</v>
      </c>
      <c r="Q831" s="19">
        <v>1150546.17</v>
      </c>
      <c r="R831" s="19">
        <v>9</v>
      </c>
      <c r="S831" s="19">
        <v>16532.73</v>
      </c>
      <c r="T831" s="19">
        <v>9</v>
      </c>
      <c r="U831" s="19">
        <v>16532.73</v>
      </c>
      <c r="V831" s="19">
        <v>0</v>
      </c>
      <c r="W831" s="19">
        <v>0</v>
      </c>
      <c r="X831" s="19">
        <v>0</v>
      </c>
      <c r="Y831" s="19">
        <v>33065.46</v>
      </c>
      <c r="Z831" s="19">
        <v>0</v>
      </c>
      <c r="AA831" s="19" t="s">
        <v>179</v>
      </c>
      <c r="AB831" s="19" t="s">
        <v>1289</v>
      </c>
      <c r="AC831" s="19">
        <v>39232100</v>
      </c>
      <c r="AD831" s="19" t="s">
        <v>1092</v>
      </c>
      <c r="AE831" s="19">
        <v>1</v>
      </c>
      <c r="AF831" s="19">
        <f t="shared" ref="AF831:AF836" si="27">N831</f>
        <v>1131</v>
      </c>
      <c r="AG831" s="19" t="s">
        <v>1093</v>
      </c>
      <c r="AH831" s="19" t="s">
        <v>39</v>
      </c>
    </row>
    <row r="832" spans="2:34" x14ac:dyDescent="0.35">
      <c r="B832" s="76">
        <v>46234</v>
      </c>
      <c r="C832" s="19" t="s">
        <v>178</v>
      </c>
      <c r="D832" s="19" t="s">
        <v>173</v>
      </c>
      <c r="E832" s="19" t="s">
        <v>1047</v>
      </c>
      <c r="F832" s="19" t="s">
        <v>123</v>
      </c>
      <c r="G832" s="19" t="s">
        <v>1048</v>
      </c>
      <c r="H832" s="76">
        <v>46234</v>
      </c>
      <c r="I832" s="19" t="s">
        <v>36</v>
      </c>
      <c r="J832" s="19" t="s">
        <v>1617</v>
      </c>
      <c r="K832" s="19" t="s">
        <v>40</v>
      </c>
      <c r="L832" s="19" t="s">
        <v>1616</v>
      </c>
      <c r="M832" s="19" t="s">
        <v>1618</v>
      </c>
      <c r="N832" s="19">
        <v>145</v>
      </c>
      <c r="O832" s="19">
        <v>22825.9</v>
      </c>
      <c r="P832" s="19" t="s">
        <v>1618</v>
      </c>
      <c r="Q832" s="19">
        <v>0</v>
      </c>
      <c r="R832" s="19">
        <v>9</v>
      </c>
      <c r="S832" s="19">
        <v>2054.33</v>
      </c>
      <c r="T832" s="19">
        <v>9</v>
      </c>
      <c r="U832" s="19">
        <v>2054.33</v>
      </c>
      <c r="V832" s="19">
        <v>0</v>
      </c>
      <c r="W832" s="19">
        <v>0</v>
      </c>
      <c r="X832" s="19">
        <v>0</v>
      </c>
      <c r="Y832" s="19">
        <v>4108.66</v>
      </c>
      <c r="Z832" s="19">
        <v>0</v>
      </c>
      <c r="AA832" s="19" t="s">
        <v>179</v>
      </c>
      <c r="AB832" s="19" t="s">
        <v>1289</v>
      </c>
      <c r="AC832" s="19">
        <v>39201019</v>
      </c>
      <c r="AD832" s="19" t="s">
        <v>1092</v>
      </c>
      <c r="AE832" s="19">
        <v>1</v>
      </c>
      <c r="AF832" s="19">
        <f t="shared" si="27"/>
        <v>145</v>
      </c>
      <c r="AG832" s="19" t="s">
        <v>1093</v>
      </c>
      <c r="AH832" s="19" t="s">
        <v>40</v>
      </c>
    </row>
    <row r="833" spans="2:34" x14ac:dyDescent="0.35">
      <c r="B833" s="76">
        <v>46234</v>
      </c>
      <c r="C833" s="19" t="s">
        <v>178</v>
      </c>
      <c r="D833" s="19" t="s">
        <v>173</v>
      </c>
      <c r="E833" s="19" t="s">
        <v>1047</v>
      </c>
      <c r="F833" s="19" t="s">
        <v>123</v>
      </c>
      <c r="G833" s="19" t="s">
        <v>1048</v>
      </c>
      <c r="H833" s="76">
        <v>46234</v>
      </c>
      <c r="I833" s="19" t="s">
        <v>36</v>
      </c>
      <c r="J833" s="19" t="s">
        <v>1117</v>
      </c>
      <c r="K833" s="19" t="s">
        <v>44</v>
      </c>
      <c r="L833" s="19" t="s">
        <v>1118</v>
      </c>
      <c r="M833" s="19" t="s">
        <v>1119</v>
      </c>
      <c r="N833" s="19">
        <v>335</v>
      </c>
      <c r="O833" s="19">
        <v>53429.15</v>
      </c>
      <c r="P833" s="19" t="s">
        <v>1119</v>
      </c>
      <c r="Q833" s="19">
        <v>0</v>
      </c>
      <c r="R833" s="19">
        <v>9</v>
      </c>
      <c r="S833" s="19">
        <v>4808.62</v>
      </c>
      <c r="T833" s="19">
        <v>9</v>
      </c>
      <c r="U833" s="19">
        <v>4808.62</v>
      </c>
      <c r="V833" s="19">
        <v>0</v>
      </c>
      <c r="W833" s="19">
        <v>0</v>
      </c>
      <c r="X833" s="19">
        <v>0</v>
      </c>
      <c r="Y833" s="19">
        <v>9617.24</v>
      </c>
      <c r="Z833" s="19">
        <v>0</v>
      </c>
      <c r="AA833" s="19" t="s">
        <v>179</v>
      </c>
      <c r="AB833" s="19" t="s">
        <v>1289</v>
      </c>
      <c r="AC833" s="19">
        <v>39269080</v>
      </c>
      <c r="AD833" s="19" t="s">
        <v>1092</v>
      </c>
      <c r="AE833" s="19">
        <v>1</v>
      </c>
      <c r="AF833" s="19">
        <f t="shared" si="27"/>
        <v>335</v>
      </c>
      <c r="AG833" s="19" t="s">
        <v>1093</v>
      </c>
      <c r="AH833" s="19" t="s">
        <v>44</v>
      </c>
    </row>
    <row r="834" spans="2:34" x14ac:dyDescent="0.35">
      <c r="B834" s="76">
        <v>46234</v>
      </c>
      <c r="C834" s="19" t="s">
        <v>178</v>
      </c>
      <c r="D834" s="19" t="s">
        <v>173</v>
      </c>
      <c r="E834" s="19" t="s">
        <v>1047</v>
      </c>
      <c r="F834" s="19" t="s">
        <v>123</v>
      </c>
      <c r="G834" s="19" t="s">
        <v>1048</v>
      </c>
      <c r="H834" s="76">
        <v>46234</v>
      </c>
      <c r="I834" s="19" t="s">
        <v>36</v>
      </c>
      <c r="J834" s="19" t="s">
        <v>1117</v>
      </c>
      <c r="K834" s="19" t="s">
        <v>44</v>
      </c>
      <c r="L834" s="19" t="s">
        <v>1118</v>
      </c>
      <c r="M834" s="19" t="s">
        <v>1119</v>
      </c>
      <c r="N834" s="19">
        <v>83</v>
      </c>
      <c r="O834" s="19">
        <v>17968.669999999998</v>
      </c>
      <c r="P834" s="19" t="s">
        <v>1119</v>
      </c>
      <c r="Q834" s="19">
        <v>0</v>
      </c>
      <c r="R834" s="19">
        <v>9</v>
      </c>
      <c r="S834" s="19">
        <v>1617.18</v>
      </c>
      <c r="T834" s="19">
        <v>9</v>
      </c>
      <c r="U834" s="19">
        <v>1617.18</v>
      </c>
      <c r="V834" s="19">
        <v>0</v>
      </c>
      <c r="W834" s="19">
        <v>0</v>
      </c>
      <c r="X834" s="19">
        <v>0</v>
      </c>
      <c r="Y834" s="19">
        <v>3234.36</v>
      </c>
      <c r="Z834" s="19">
        <v>0</v>
      </c>
      <c r="AA834" s="19" t="s">
        <v>179</v>
      </c>
      <c r="AB834" s="19" t="s">
        <v>1289</v>
      </c>
      <c r="AC834" s="19">
        <v>39269080</v>
      </c>
      <c r="AD834" s="19" t="s">
        <v>1092</v>
      </c>
      <c r="AE834" s="19">
        <v>1</v>
      </c>
      <c r="AF834" s="19">
        <f t="shared" si="27"/>
        <v>83</v>
      </c>
      <c r="AG834" s="19" t="s">
        <v>1093</v>
      </c>
      <c r="AH834" s="19" t="s">
        <v>44</v>
      </c>
    </row>
    <row r="835" spans="2:34" x14ac:dyDescent="0.35">
      <c r="B835" s="76">
        <v>46234</v>
      </c>
      <c r="C835" s="19" t="s">
        <v>178</v>
      </c>
      <c r="D835" s="19" t="s">
        <v>173</v>
      </c>
      <c r="E835" s="19" t="s">
        <v>1047</v>
      </c>
      <c r="F835" s="19" t="s">
        <v>123</v>
      </c>
      <c r="G835" s="19" t="s">
        <v>1048</v>
      </c>
      <c r="H835" s="76">
        <v>46234</v>
      </c>
      <c r="I835" s="19" t="s">
        <v>36</v>
      </c>
      <c r="J835" s="19" t="s">
        <v>1117</v>
      </c>
      <c r="K835" s="19" t="s">
        <v>44</v>
      </c>
      <c r="L835" s="19" t="s">
        <v>1118</v>
      </c>
      <c r="M835" s="19" t="s">
        <v>1119</v>
      </c>
      <c r="N835" s="19">
        <v>4460</v>
      </c>
      <c r="O835" s="19">
        <v>697945.4</v>
      </c>
      <c r="P835" s="19" t="s">
        <v>1119</v>
      </c>
      <c r="Q835" s="19">
        <v>0</v>
      </c>
      <c r="R835" s="19">
        <v>9</v>
      </c>
      <c r="S835" s="19">
        <v>62815.09</v>
      </c>
      <c r="T835" s="19">
        <v>9</v>
      </c>
      <c r="U835" s="19">
        <v>62815.09</v>
      </c>
      <c r="V835" s="19">
        <v>0</v>
      </c>
      <c r="W835" s="19">
        <v>0</v>
      </c>
      <c r="X835" s="19">
        <v>0</v>
      </c>
      <c r="Y835" s="19">
        <v>125630.18</v>
      </c>
      <c r="Z835" s="19">
        <v>0</v>
      </c>
      <c r="AA835" s="19" t="s">
        <v>179</v>
      </c>
      <c r="AB835" s="19" t="s">
        <v>1289</v>
      </c>
      <c r="AC835" s="19">
        <v>39269080</v>
      </c>
      <c r="AD835" s="19" t="s">
        <v>1092</v>
      </c>
      <c r="AE835" s="19">
        <v>1</v>
      </c>
      <c r="AF835" s="19">
        <f t="shared" si="27"/>
        <v>4460</v>
      </c>
      <c r="AG835" s="19" t="s">
        <v>1093</v>
      </c>
      <c r="AH835" s="19" t="s">
        <v>44</v>
      </c>
    </row>
    <row r="836" spans="2:34" x14ac:dyDescent="0.35">
      <c r="B836" s="76">
        <v>46234</v>
      </c>
      <c r="C836" s="19" t="s">
        <v>935</v>
      </c>
      <c r="D836" s="19" t="s">
        <v>173</v>
      </c>
      <c r="E836" s="19" t="s">
        <v>1040</v>
      </c>
      <c r="F836" s="19" t="s">
        <v>123</v>
      </c>
      <c r="G836" s="19" t="s">
        <v>1041</v>
      </c>
      <c r="H836" s="76">
        <v>46234</v>
      </c>
      <c r="I836" s="19" t="s">
        <v>49</v>
      </c>
      <c r="J836" s="19" t="s">
        <v>50</v>
      </c>
      <c r="K836" s="19" t="s">
        <v>50</v>
      </c>
      <c r="L836" s="19" t="s">
        <v>1351</v>
      </c>
      <c r="M836" s="19" t="s">
        <v>1098</v>
      </c>
      <c r="N836" s="19">
        <v>2433</v>
      </c>
      <c r="O836" s="19">
        <v>585598.77</v>
      </c>
      <c r="P836" s="19" t="s">
        <v>1098</v>
      </c>
      <c r="Q836" s="19">
        <v>4086330.26</v>
      </c>
      <c r="R836" s="19">
        <v>0.05</v>
      </c>
      <c r="S836" s="19">
        <v>292.8</v>
      </c>
      <c r="T836" s="19">
        <v>0.05</v>
      </c>
      <c r="U836" s="19">
        <v>292.8</v>
      </c>
      <c r="V836" s="19">
        <v>0</v>
      </c>
      <c r="W836" s="19">
        <v>0</v>
      </c>
      <c r="X836" s="19">
        <v>0</v>
      </c>
      <c r="Y836" s="19">
        <v>585.6</v>
      </c>
      <c r="Z836" s="19">
        <v>0</v>
      </c>
      <c r="AA836" s="19" t="s">
        <v>179</v>
      </c>
      <c r="AB836" s="19" t="s">
        <v>1289</v>
      </c>
      <c r="AC836" s="19">
        <v>63053200</v>
      </c>
      <c r="AD836" s="19" t="s">
        <v>1092</v>
      </c>
      <c r="AE836" s="19">
        <v>1</v>
      </c>
      <c r="AF836" s="19">
        <f t="shared" si="27"/>
        <v>2433</v>
      </c>
      <c r="AG836" s="19" t="s">
        <v>1093</v>
      </c>
      <c r="AH836" s="19" t="s">
        <v>50</v>
      </c>
    </row>
    <row r="837" spans="2:34" x14ac:dyDescent="0.35">
      <c r="B837" s="76">
        <v>46234</v>
      </c>
      <c r="C837" s="19" t="s">
        <v>935</v>
      </c>
      <c r="D837" s="19" t="s">
        <v>173</v>
      </c>
      <c r="E837" s="19" t="s">
        <v>1040</v>
      </c>
      <c r="F837" s="19" t="s">
        <v>123</v>
      </c>
      <c r="G837" s="19" t="s">
        <v>1041</v>
      </c>
      <c r="H837" s="76">
        <v>46234</v>
      </c>
      <c r="I837" s="19" t="s">
        <v>49</v>
      </c>
      <c r="J837" s="19" t="s">
        <v>50</v>
      </c>
      <c r="K837" s="19" t="s">
        <v>50</v>
      </c>
      <c r="L837" s="19" t="s">
        <v>1351</v>
      </c>
      <c r="M837" s="19" t="s">
        <v>1098</v>
      </c>
      <c r="N837" s="19">
        <v>10325</v>
      </c>
      <c r="O837" s="19">
        <v>2000159</v>
      </c>
      <c r="P837" s="19" t="s">
        <v>1098</v>
      </c>
      <c r="Q837" s="19">
        <v>0</v>
      </c>
      <c r="R837" s="19">
        <v>0.05</v>
      </c>
      <c r="S837" s="19">
        <v>1000.08</v>
      </c>
      <c r="T837" s="19">
        <v>0.05</v>
      </c>
      <c r="U837" s="19">
        <v>1000.08</v>
      </c>
      <c r="V837" s="19">
        <v>0</v>
      </c>
      <c r="W837" s="19">
        <v>0</v>
      </c>
      <c r="X837" s="19">
        <v>0</v>
      </c>
      <c r="Y837" s="19">
        <v>2000.16</v>
      </c>
      <c r="Z837" s="19">
        <v>0</v>
      </c>
      <c r="AA837" s="19" t="s">
        <v>179</v>
      </c>
      <c r="AB837" s="19" t="s">
        <v>1289</v>
      </c>
      <c r="AC837" s="19">
        <v>63053200</v>
      </c>
      <c r="AD837" s="19" t="s">
        <v>1092</v>
      </c>
      <c r="AE837" s="19">
        <v>1</v>
      </c>
      <c r="AF837" s="19">
        <v>10325</v>
      </c>
      <c r="AG837" s="19" t="s">
        <v>1093</v>
      </c>
      <c r="AH837" s="19" t="s">
        <v>50</v>
      </c>
    </row>
    <row r="838" spans="2:34" x14ac:dyDescent="0.35">
      <c r="B838" s="76">
        <v>46234</v>
      </c>
      <c r="C838" s="19" t="s">
        <v>935</v>
      </c>
      <c r="D838" s="19" t="s">
        <v>173</v>
      </c>
      <c r="E838" s="19" t="s">
        <v>1040</v>
      </c>
      <c r="F838" s="19" t="s">
        <v>123</v>
      </c>
      <c r="G838" s="19" t="s">
        <v>1041</v>
      </c>
      <c r="H838" s="76">
        <v>46234</v>
      </c>
      <c r="I838" s="19" t="s">
        <v>49</v>
      </c>
      <c r="J838" s="19" t="s">
        <v>50</v>
      </c>
      <c r="K838" s="19" t="s">
        <v>50</v>
      </c>
      <c r="L838" s="19" t="s">
        <v>1351</v>
      </c>
      <c r="M838" s="19" t="s">
        <v>1098</v>
      </c>
      <c r="N838" s="19">
        <v>7822</v>
      </c>
      <c r="O838" s="19">
        <v>1500572.48</v>
      </c>
      <c r="P838" s="19" t="s">
        <v>1098</v>
      </c>
      <c r="Q838" s="19">
        <v>0</v>
      </c>
      <c r="R838" s="19">
        <v>0.05</v>
      </c>
      <c r="S838" s="19">
        <v>750.29</v>
      </c>
      <c r="T838" s="19">
        <v>0.05</v>
      </c>
      <c r="U838" s="19">
        <v>750.29</v>
      </c>
      <c r="V838" s="19">
        <v>0</v>
      </c>
      <c r="W838" s="19">
        <v>0</v>
      </c>
      <c r="X838" s="19">
        <v>0</v>
      </c>
      <c r="Y838" s="19">
        <v>1500.58</v>
      </c>
      <c r="Z838" s="19">
        <v>0</v>
      </c>
      <c r="AA838" s="19" t="s">
        <v>179</v>
      </c>
      <c r="AB838" s="19" t="s">
        <v>1289</v>
      </c>
      <c r="AC838" s="19">
        <v>63053200</v>
      </c>
      <c r="AD838" s="19" t="s">
        <v>1092</v>
      </c>
      <c r="AE838" s="19">
        <v>1</v>
      </c>
      <c r="AF838" s="19">
        <v>7822</v>
      </c>
      <c r="AG838" s="19" t="s">
        <v>1093</v>
      </c>
      <c r="AH838" s="19" t="s">
        <v>50</v>
      </c>
    </row>
    <row r="839" spans="2:34" x14ac:dyDescent="0.35">
      <c r="B839" s="76">
        <v>46234</v>
      </c>
      <c r="C839" s="19" t="s">
        <v>1046</v>
      </c>
      <c r="D839" s="19" t="s">
        <v>173</v>
      </c>
      <c r="E839" s="19" t="s">
        <v>1044</v>
      </c>
      <c r="F839" s="19" t="s">
        <v>123</v>
      </c>
      <c r="G839" s="19" t="s">
        <v>1045</v>
      </c>
      <c r="H839" s="76">
        <v>46233</v>
      </c>
      <c r="I839" s="19" t="s">
        <v>49</v>
      </c>
      <c r="J839" s="19" t="s">
        <v>50</v>
      </c>
      <c r="K839" s="19" t="s">
        <v>50</v>
      </c>
      <c r="L839" s="19" t="s">
        <v>1351</v>
      </c>
      <c r="M839" s="19" t="s">
        <v>1096</v>
      </c>
      <c r="N839" s="19">
        <v>561.4</v>
      </c>
      <c r="O839" s="19">
        <v>183516.046</v>
      </c>
      <c r="P839" s="19" t="s">
        <v>1096</v>
      </c>
      <c r="Q839" s="19">
        <v>283600.67</v>
      </c>
      <c r="R839" s="19">
        <v>9</v>
      </c>
      <c r="S839" s="19">
        <v>16516.439999999999</v>
      </c>
      <c r="T839" s="19">
        <v>9</v>
      </c>
      <c r="U839" s="19">
        <v>16516.439999999999</v>
      </c>
      <c r="V839" s="19">
        <v>0</v>
      </c>
      <c r="W839" s="19">
        <v>0</v>
      </c>
      <c r="X839" s="19">
        <v>0</v>
      </c>
      <c r="Y839" s="19">
        <v>33032.879999999997</v>
      </c>
      <c r="Z839" s="19">
        <v>0</v>
      </c>
      <c r="AA839" s="19" t="s">
        <v>179</v>
      </c>
      <c r="AB839" s="19" t="s">
        <v>1289</v>
      </c>
      <c r="AC839" s="19">
        <v>63053200</v>
      </c>
      <c r="AD839" s="19" t="s">
        <v>1092</v>
      </c>
      <c r="AE839" s="19">
        <v>1</v>
      </c>
      <c r="AF839" s="19">
        <f t="shared" ref="AF839:AF840" si="28">N839</f>
        <v>561.4</v>
      </c>
      <c r="AG839" s="19" t="s">
        <v>1093</v>
      </c>
      <c r="AH839" s="19" t="s">
        <v>50</v>
      </c>
    </row>
    <row r="840" spans="2:34" x14ac:dyDescent="0.35">
      <c r="B840" s="76">
        <v>46234</v>
      </c>
      <c r="C840" s="19" t="s">
        <v>1046</v>
      </c>
      <c r="D840" s="19" t="s">
        <v>173</v>
      </c>
      <c r="E840" s="19" t="s">
        <v>1044</v>
      </c>
      <c r="F840" s="19" t="s">
        <v>123</v>
      </c>
      <c r="G840" s="19" t="s">
        <v>1045</v>
      </c>
      <c r="H840" s="76">
        <v>46233</v>
      </c>
      <c r="I840" s="19" t="s">
        <v>36</v>
      </c>
      <c r="J840" s="19" t="s">
        <v>1350</v>
      </c>
      <c r="K840" s="19" t="s">
        <v>39</v>
      </c>
      <c r="L840" s="19" t="s">
        <v>1351</v>
      </c>
      <c r="M840" s="19" t="s">
        <v>1352</v>
      </c>
      <c r="N840" s="19">
        <v>312</v>
      </c>
      <c r="O840" s="19">
        <v>57027.360000000001</v>
      </c>
      <c r="P840" s="19" t="s">
        <v>1352</v>
      </c>
      <c r="Q840" s="19">
        <v>0</v>
      </c>
      <c r="R840" s="19">
        <v>9</v>
      </c>
      <c r="S840" s="19">
        <v>5132.46</v>
      </c>
      <c r="T840" s="19">
        <v>9</v>
      </c>
      <c r="U840" s="19">
        <v>5132.46</v>
      </c>
      <c r="V840" s="19">
        <v>0</v>
      </c>
      <c r="W840" s="19">
        <v>0</v>
      </c>
      <c r="X840" s="19">
        <v>0</v>
      </c>
      <c r="Y840" s="19">
        <v>10264.92</v>
      </c>
      <c r="Z840" s="19">
        <v>0</v>
      </c>
      <c r="AA840" s="19" t="s">
        <v>179</v>
      </c>
      <c r="AB840" s="19" t="s">
        <v>1289</v>
      </c>
      <c r="AC840" s="19">
        <v>39200000</v>
      </c>
      <c r="AD840" s="19" t="s">
        <v>1092</v>
      </c>
      <c r="AE840" s="19">
        <v>1</v>
      </c>
      <c r="AF840" s="19">
        <f t="shared" si="28"/>
        <v>312</v>
      </c>
      <c r="AG840" s="19" t="s">
        <v>1093</v>
      </c>
      <c r="AH840" s="19" t="s">
        <v>39</v>
      </c>
    </row>
    <row r="841" spans="2:34" hidden="1" x14ac:dyDescent="0.35">
      <c r="B841" s="76">
        <v>46234</v>
      </c>
      <c r="C841" s="19" t="s">
        <v>607</v>
      </c>
      <c r="D841" s="19" t="s">
        <v>1754</v>
      </c>
      <c r="E841" s="19" t="s">
        <v>1969</v>
      </c>
      <c r="F841" s="19" t="s">
        <v>1756</v>
      </c>
      <c r="G841" s="19" t="s">
        <v>1969</v>
      </c>
      <c r="H841" s="76">
        <v>46234</v>
      </c>
      <c r="I841" s="19" t="s">
        <v>101</v>
      </c>
      <c r="J841" s="19" t="s">
        <v>1559</v>
      </c>
      <c r="K841" s="19" t="s">
        <v>1509</v>
      </c>
      <c r="L841" s="19" t="s">
        <v>1509</v>
      </c>
      <c r="M841" s="19" t="s">
        <v>1560</v>
      </c>
      <c r="N841" s="19">
        <v>-410</v>
      </c>
      <c r="O841" s="19">
        <v>-15170</v>
      </c>
      <c r="P841" s="19" t="s">
        <v>1139</v>
      </c>
      <c r="Q841" s="19">
        <v>-17900.599999999999</v>
      </c>
      <c r="R841" s="19">
        <v>9</v>
      </c>
      <c r="S841" s="19">
        <v>1365.3</v>
      </c>
      <c r="T841" s="19">
        <v>9</v>
      </c>
      <c r="U841" s="19">
        <v>1365.3</v>
      </c>
      <c r="V841" s="19">
        <v>0</v>
      </c>
      <c r="W841" s="19">
        <v>0</v>
      </c>
      <c r="X841" s="19">
        <v>0</v>
      </c>
      <c r="Y841" s="19">
        <v>2730.6</v>
      </c>
      <c r="Z841" s="19">
        <v>0</v>
      </c>
      <c r="AA841" s="19" t="s">
        <v>608</v>
      </c>
      <c r="AB841" s="19" t="s">
        <v>1091</v>
      </c>
      <c r="AC841" s="19">
        <v>4822000</v>
      </c>
      <c r="AD841" s="19" t="s">
        <v>1092</v>
      </c>
      <c r="AE841" s="19">
        <v>1</v>
      </c>
      <c r="AF841" s="19">
        <v>0</v>
      </c>
      <c r="AG841" s="19" t="s">
        <v>1093</v>
      </c>
      <c r="AH841" s="19" t="s">
        <v>2319</v>
      </c>
    </row>
    <row r="842" spans="2:34" x14ac:dyDescent="0.35">
      <c r="B842" s="76">
        <v>46234</v>
      </c>
      <c r="C842" s="19" t="s">
        <v>944</v>
      </c>
      <c r="D842" s="19" t="s">
        <v>173</v>
      </c>
      <c r="E842" s="19" t="s">
        <v>1051</v>
      </c>
      <c r="F842" s="19" t="s">
        <v>123</v>
      </c>
      <c r="G842" s="19" t="s">
        <v>1052</v>
      </c>
      <c r="H842" s="76">
        <v>46234</v>
      </c>
      <c r="I842" s="19" t="s">
        <v>36</v>
      </c>
      <c r="J842" s="19" t="s">
        <v>1087</v>
      </c>
      <c r="K842" s="19" t="s">
        <v>46</v>
      </c>
      <c r="L842" s="19" t="s">
        <v>1240</v>
      </c>
      <c r="M842" s="19" t="s">
        <v>1241</v>
      </c>
      <c r="N842" s="19">
        <v>2145.54</v>
      </c>
      <c r="O842" s="19">
        <v>379760.58</v>
      </c>
      <c r="P842" s="19" t="s">
        <v>1241</v>
      </c>
      <c r="Q842" s="19">
        <v>398749</v>
      </c>
      <c r="R842" s="19">
        <v>2.5</v>
      </c>
      <c r="S842" s="19">
        <v>9494.01</v>
      </c>
      <c r="T842" s="19">
        <v>2.5</v>
      </c>
      <c r="U842" s="19">
        <v>9494.01</v>
      </c>
      <c r="V842" s="19">
        <v>0</v>
      </c>
      <c r="W842" s="19">
        <v>0</v>
      </c>
      <c r="X842" s="19">
        <v>0</v>
      </c>
      <c r="Y842" s="19">
        <v>18988.02</v>
      </c>
      <c r="Z842" s="19">
        <v>0</v>
      </c>
      <c r="AA842" s="19" t="s">
        <v>945</v>
      </c>
      <c r="AB842" s="19" t="s">
        <v>1289</v>
      </c>
      <c r="AC842" s="19">
        <v>540263</v>
      </c>
      <c r="AD842" s="19" t="s">
        <v>1092</v>
      </c>
      <c r="AE842" s="19">
        <v>1</v>
      </c>
      <c r="AF842" s="19">
        <f t="shared" ref="AF842" si="29">N842</f>
        <v>2145.54</v>
      </c>
      <c r="AG842" s="19" t="s">
        <v>1093</v>
      </c>
      <c r="AH842" s="19" t="s">
        <v>46</v>
      </c>
    </row>
    <row r="843" spans="2:34" hidden="1" x14ac:dyDescent="0.35">
      <c r="B843" s="76">
        <v>46234</v>
      </c>
      <c r="C843" s="19" t="s">
        <v>355</v>
      </c>
      <c r="D843" s="19" t="s">
        <v>126</v>
      </c>
      <c r="E843" s="19" t="s">
        <v>1023</v>
      </c>
      <c r="F843" s="19" t="s">
        <v>118</v>
      </c>
      <c r="G843" s="19" t="s">
        <v>1024</v>
      </c>
      <c r="H843" s="76">
        <v>46232</v>
      </c>
      <c r="I843" s="19" t="s">
        <v>100</v>
      </c>
      <c r="J843" s="19" t="s">
        <v>1667</v>
      </c>
      <c r="K843" s="19" t="s">
        <v>1127</v>
      </c>
      <c r="L843" s="19" t="s">
        <v>1389</v>
      </c>
      <c r="M843" s="19" t="s">
        <v>1668</v>
      </c>
      <c r="N843" s="19">
        <v>2</v>
      </c>
      <c r="O843" s="19">
        <v>1900</v>
      </c>
      <c r="P843" s="19" t="s">
        <v>1668</v>
      </c>
      <c r="Q843" s="19">
        <v>2242</v>
      </c>
      <c r="R843" s="19">
        <v>9</v>
      </c>
      <c r="S843" s="19">
        <v>171</v>
      </c>
      <c r="T843" s="19">
        <v>9</v>
      </c>
      <c r="U843" s="19">
        <v>171</v>
      </c>
      <c r="V843" s="19">
        <v>0</v>
      </c>
      <c r="W843" s="19">
        <v>0</v>
      </c>
      <c r="X843" s="19">
        <v>0</v>
      </c>
      <c r="Y843" s="19">
        <v>342</v>
      </c>
      <c r="Z843" s="19">
        <v>0</v>
      </c>
      <c r="AA843" s="19" t="s">
        <v>356</v>
      </c>
      <c r="AB843" s="19" t="s">
        <v>1669</v>
      </c>
      <c r="AC843" s="19">
        <v>139020</v>
      </c>
      <c r="AD843" s="19" t="s">
        <v>1092</v>
      </c>
      <c r="AE843" s="19">
        <v>1</v>
      </c>
      <c r="AF843" s="19">
        <v>0</v>
      </c>
      <c r="AG843" s="19" t="s">
        <v>1093</v>
      </c>
      <c r="AH843" s="19" t="s">
        <v>2319</v>
      </c>
    </row>
    <row r="844" spans="2:34" hidden="1" x14ac:dyDescent="0.35">
      <c r="B844" s="76">
        <v>46234</v>
      </c>
      <c r="C844" s="19" t="s">
        <v>621</v>
      </c>
      <c r="D844" s="19" t="s">
        <v>126</v>
      </c>
      <c r="E844" s="19" t="s">
        <v>1029</v>
      </c>
      <c r="F844" s="19" t="s">
        <v>118</v>
      </c>
      <c r="G844" s="19" t="s">
        <v>1030</v>
      </c>
      <c r="H844" s="76">
        <v>46231</v>
      </c>
      <c r="I844" s="19" t="s">
        <v>105</v>
      </c>
      <c r="J844" s="19" t="s">
        <v>1684</v>
      </c>
      <c r="K844" s="19" t="s">
        <v>1127</v>
      </c>
      <c r="L844" s="19" t="s">
        <v>1389</v>
      </c>
      <c r="M844" s="19" t="s">
        <v>1806</v>
      </c>
      <c r="N844" s="19">
        <v>40</v>
      </c>
      <c r="O844" s="19">
        <v>3338.8</v>
      </c>
      <c r="P844" s="19" t="s">
        <v>1806</v>
      </c>
      <c r="Q844" s="19">
        <v>4117</v>
      </c>
      <c r="R844" s="19">
        <v>9</v>
      </c>
      <c r="S844" s="19">
        <v>300.49200000000002</v>
      </c>
      <c r="T844" s="19">
        <v>9</v>
      </c>
      <c r="U844" s="19">
        <v>300.49200000000002</v>
      </c>
      <c r="V844" s="19">
        <v>0</v>
      </c>
      <c r="W844" s="19">
        <v>0</v>
      </c>
      <c r="X844" s="19">
        <v>27</v>
      </c>
      <c r="Y844" s="19">
        <v>627.98400000000004</v>
      </c>
      <c r="Z844" s="19">
        <v>0</v>
      </c>
      <c r="AA844" s="19" t="s">
        <v>622</v>
      </c>
      <c r="AB844" s="19" t="s">
        <v>1572</v>
      </c>
      <c r="AC844" s="19">
        <v>84821011</v>
      </c>
      <c r="AD844" s="19" t="s">
        <v>1092</v>
      </c>
      <c r="AE844" s="19">
        <v>1</v>
      </c>
      <c r="AF844" s="19">
        <v>0</v>
      </c>
      <c r="AG844" s="19" t="s">
        <v>1093</v>
      </c>
      <c r="AH844" s="19" t="s">
        <v>2319</v>
      </c>
    </row>
    <row r="845" spans="2:34" hidden="1" x14ac:dyDescent="0.35">
      <c r="B845" s="76">
        <v>46234</v>
      </c>
      <c r="C845" s="19" t="s">
        <v>138</v>
      </c>
      <c r="D845" s="19" t="s">
        <v>7</v>
      </c>
      <c r="E845" s="19" t="s">
        <v>1021</v>
      </c>
      <c r="F845" s="19" t="s">
        <v>119</v>
      </c>
      <c r="G845" s="19" t="s">
        <v>1022</v>
      </c>
      <c r="H845" s="76">
        <v>46233</v>
      </c>
      <c r="I845" s="19" t="s">
        <v>105</v>
      </c>
      <c r="J845" s="19" t="s">
        <v>1142</v>
      </c>
      <c r="K845" s="19" t="s">
        <v>1509</v>
      </c>
      <c r="L845" s="19" t="s">
        <v>1509</v>
      </c>
      <c r="M845" s="19" t="s">
        <v>1196</v>
      </c>
      <c r="N845" s="19">
        <v>172</v>
      </c>
      <c r="O845" s="19">
        <v>8256</v>
      </c>
      <c r="P845" s="19" t="s">
        <v>1196</v>
      </c>
      <c r="Q845" s="19">
        <v>9733.82</v>
      </c>
      <c r="R845" s="19">
        <v>9</v>
      </c>
      <c r="S845" s="19">
        <v>743.04</v>
      </c>
      <c r="T845" s="19">
        <v>9</v>
      </c>
      <c r="U845" s="19">
        <v>743.04</v>
      </c>
      <c r="V845" s="19">
        <v>0</v>
      </c>
      <c r="W845" s="19">
        <v>0</v>
      </c>
      <c r="X845" s="19">
        <v>0</v>
      </c>
      <c r="Y845" s="19">
        <v>1486.08</v>
      </c>
      <c r="Z845" s="19">
        <v>0</v>
      </c>
      <c r="AA845" s="19" t="s">
        <v>135</v>
      </c>
      <c r="AB845" s="19" t="s">
        <v>1289</v>
      </c>
      <c r="AC845" s="19">
        <v>73063090</v>
      </c>
      <c r="AD845" s="19" t="s">
        <v>1092</v>
      </c>
      <c r="AE845" s="19">
        <v>1</v>
      </c>
      <c r="AF845" s="19">
        <v>0</v>
      </c>
      <c r="AG845" s="19" t="s">
        <v>1093</v>
      </c>
      <c r="AH845" s="19" t="s">
        <v>2319</v>
      </c>
    </row>
    <row r="846" spans="2:34" x14ac:dyDescent="0.35">
      <c r="B846" s="76">
        <v>46234</v>
      </c>
      <c r="C846" s="19" t="s">
        <v>138</v>
      </c>
      <c r="D846" s="19" t="s">
        <v>173</v>
      </c>
      <c r="E846" s="19" t="s">
        <v>1042</v>
      </c>
      <c r="F846" s="19" t="s">
        <v>123</v>
      </c>
      <c r="G846" s="19" t="s">
        <v>1043</v>
      </c>
      <c r="H846" s="76">
        <v>46233</v>
      </c>
      <c r="I846" s="19" t="s">
        <v>36</v>
      </c>
      <c r="J846" s="19" t="s">
        <v>1117</v>
      </c>
      <c r="K846" s="19" t="s">
        <v>44</v>
      </c>
      <c r="L846" s="19" t="s">
        <v>1118</v>
      </c>
      <c r="M846" s="19" t="s">
        <v>1119</v>
      </c>
      <c r="N846" s="19">
        <v>342</v>
      </c>
      <c r="O846" s="19">
        <v>135090</v>
      </c>
      <c r="P846" s="19" t="s">
        <v>1119</v>
      </c>
      <c r="Q846" s="19">
        <v>159270.91</v>
      </c>
      <c r="R846" s="19">
        <v>9</v>
      </c>
      <c r="S846" s="19">
        <v>12158.1</v>
      </c>
      <c r="T846" s="19">
        <v>9</v>
      </c>
      <c r="U846" s="19">
        <v>12158.1</v>
      </c>
      <c r="V846" s="19">
        <v>0</v>
      </c>
      <c r="W846" s="19">
        <v>0</v>
      </c>
      <c r="X846" s="19">
        <v>0</v>
      </c>
      <c r="Y846" s="19">
        <v>24316.2</v>
      </c>
      <c r="Z846" s="19">
        <v>0</v>
      </c>
      <c r="AA846" s="19" t="s">
        <v>135</v>
      </c>
      <c r="AB846" s="19" t="s">
        <v>1289</v>
      </c>
      <c r="AC846" s="19">
        <v>39269080</v>
      </c>
      <c r="AD846" s="19" t="s">
        <v>1092</v>
      </c>
      <c r="AE846" s="19">
        <v>1</v>
      </c>
      <c r="AF846" s="19">
        <f t="shared" ref="AF846:AF853" si="30">N846</f>
        <v>342</v>
      </c>
      <c r="AG846" s="19" t="s">
        <v>1093</v>
      </c>
      <c r="AH846" s="19" t="s">
        <v>44</v>
      </c>
    </row>
    <row r="847" spans="2:34" x14ac:dyDescent="0.35">
      <c r="B847" s="76">
        <v>46234</v>
      </c>
      <c r="C847" s="19" t="s">
        <v>138</v>
      </c>
      <c r="D847" s="19" t="s">
        <v>173</v>
      </c>
      <c r="E847" s="19" t="s">
        <v>1049</v>
      </c>
      <c r="F847" s="19" t="s">
        <v>123</v>
      </c>
      <c r="G847" s="19" t="s">
        <v>1050</v>
      </c>
      <c r="H847" s="76">
        <v>46233</v>
      </c>
      <c r="I847" s="19" t="s">
        <v>36</v>
      </c>
      <c r="J847" s="19" t="s">
        <v>1350</v>
      </c>
      <c r="K847" s="19" t="s">
        <v>39</v>
      </c>
      <c r="L847" s="19" t="s">
        <v>1351</v>
      </c>
      <c r="M847" s="19" t="s">
        <v>1352</v>
      </c>
      <c r="N847" s="19">
        <v>1299</v>
      </c>
      <c r="O847" s="19">
        <v>333817.02</v>
      </c>
      <c r="P847" s="19" t="s">
        <v>1352</v>
      </c>
      <c r="Q847" s="19">
        <v>1769038.04</v>
      </c>
      <c r="R847" s="19">
        <v>9</v>
      </c>
      <c r="S847" s="19">
        <v>30043.53</v>
      </c>
      <c r="T847" s="19">
        <v>9</v>
      </c>
      <c r="U847" s="19">
        <v>30043.53</v>
      </c>
      <c r="V847" s="19">
        <v>0</v>
      </c>
      <c r="W847" s="19">
        <v>0</v>
      </c>
      <c r="X847" s="19">
        <v>0</v>
      </c>
      <c r="Y847" s="19">
        <v>60087.06</v>
      </c>
      <c r="Z847" s="19">
        <v>0</v>
      </c>
      <c r="AA847" s="19" t="s">
        <v>135</v>
      </c>
      <c r="AB847" s="19" t="s">
        <v>1289</v>
      </c>
      <c r="AC847" s="19">
        <v>39200000</v>
      </c>
      <c r="AD847" s="19" t="s">
        <v>1092</v>
      </c>
      <c r="AE847" s="19">
        <v>1</v>
      </c>
      <c r="AF847" s="19">
        <f t="shared" si="30"/>
        <v>1299</v>
      </c>
      <c r="AG847" s="19" t="s">
        <v>1093</v>
      </c>
      <c r="AH847" s="19" t="s">
        <v>39</v>
      </c>
    </row>
    <row r="848" spans="2:34" x14ac:dyDescent="0.35">
      <c r="B848" s="76">
        <v>46234</v>
      </c>
      <c r="C848" s="19" t="s">
        <v>138</v>
      </c>
      <c r="D848" s="19" t="s">
        <v>173</v>
      </c>
      <c r="E848" s="19" t="s">
        <v>1049</v>
      </c>
      <c r="F848" s="19" t="s">
        <v>123</v>
      </c>
      <c r="G848" s="19" t="s">
        <v>1050</v>
      </c>
      <c r="H848" s="76">
        <v>46233</v>
      </c>
      <c r="I848" s="19" t="s">
        <v>36</v>
      </c>
      <c r="J848" s="19" t="s">
        <v>1350</v>
      </c>
      <c r="K848" s="19" t="s">
        <v>39</v>
      </c>
      <c r="L848" s="19" t="s">
        <v>1351</v>
      </c>
      <c r="M848" s="19" t="s">
        <v>1352</v>
      </c>
      <c r="N848" s="19">
        <v>7</v>
      </c>
      <c r="O848" s="19">
        <v>1307.46</v>
      </c>
      <c r="P848" s="19" t="s">
        <v>1352</v>
      </c>
      <c r="Q848" s="19">
        <v>0</v>
      </c>
      <c r="R848" s="19">
        <v>9</v>
      </c>
      <c r="S848" s="19">
        <v>117.67</v>
      </c>
      <c r="T848" s="19">
        <v>9</v>
      </c>
      <c r="U848" s="19">
        <v>117.67</v>
      </c>
      <c r="V848" s="19">
        <v>0</v>
      </c>
      <c r="W848" s="19">
        <v>0</v>
      </c>
      <c r="X848" s="19">
        <v>0</v>
      </c>
      <c r="Y848" s="19">
        <v>235.34</v>
      </c>
      <c r="Z848" s="19">
        <v>0</v>
      </c>
      <c r="AA848" s="19" t="s">
        <v>135</v>
      </c>
      <c r="AB848" s="19" t="s">
        <v>1289</v>
      </c>
      <c r="AC848" s="19">
        <v>39200000</v>
      </c>
      <c r="AD848" s="19" t="s">
        <v>1092</v>
      </c>
      <c r="AE848" s="19">
        <v>1</v>
      </c>
      <c r="AF848" s="19">
        <f t="shared" si="30"/>
        <v>7</v>
      </c>
      <c r="AG848" s="19" t="s">
        <v>1093</v>
      </c>
      <c r="AH848" s="19" t="s">
        <v>39</v>
      </c>
    </row>
    <row r="849" spans="2:34" x14ac:dyDescent="0.35">
      <c r="B849" s="76">
        <v>46234</v>
      </c>
      <c r="C849" s="19" t="s">
        <v>138</v>
      </c>
      <c r="D849" s="19" t="s">
        <v>173</v>
      </c>
      <c r="E849" s="19" t="s">
        <v>1049</v>
      </c>
      <c r="F849" s="19" t="s">
        <v>123</v>
      </c>
      <c r="G849" s="19" t="s">
        <v>1050</v>
      </c>
      <c r="H849" s="76">
        <v>46233</v>
      </c>
      <c r="I849" s="19" t="s">
        <v>36</v>
      </c>
      <c r="J849" s="19" t="s">
        <v>1117</v>
      </c>
      <c r="K849" s="19" t="s">
        <v>44</v>
      </c>
      <c r="L849" s="19" t="s">
        <v>1118</v>
      </c>
      <c r="M849" s="19" t="s">
        <v>1119</v>
      </c>
      <c r="N849" s="19">
        <v>3321</v>
      </c>
      <c r="O849" s="19">
        <v>496456.29</v>
      </c>
      <c r="P849" s="19" t="s">
        <v>1119</v>
      </c>
      <c r="Q849" s="19">
        <v>0</v>
      </c>
      <c r="R849" s="19">
        <v>9</v>
      </c>
      <c r="S849" s="19">
        <v>44681.07</v>
      </c>
      <c r="T849" s="19">
        <v>9</v>
      </c>
      <c r="U849" s="19">
        <v>44681.07</v>
      </c>
      <c r="V849" s="19">
        <v>0</v>
      </c>
      <c r="W849" s="19">
        <v>0</v>
      </c>
      <c r="X849" s="19">
        <v>0</v>
      </c>
      <c r="Y849" s="19">
        <v>89362.14</v>
      </c>
      <c r="Z849" s="19">
        <v>0</v>
      </c>
      <c r="AA849" s="19" t="s">
        <v>135</v>
      </c>
      <c r="AB849" s="19" t="s">
        <v>1289</v>
      </c>
      <c r="AC849" s="19">
        <v>39269080</v>
      </c>
      <c r="AD849" s="19" t="s">
        <v>1092</v>
      </c>
      <c r="AE849" s="19">
        <v>1</v>
      </c>
      <c r="AF849" s="19">
        <f t="shared" si="30"/>
        <v>3321</v>
      </c>
      <c r="AG849" s="19" t="s">
        <v>1093</v>
      </c>
      <c r="AH849" s="19" t="s">
        <v>44</v>
      </c>
    </row>
    <row r="850" spans="2:34" x14ac:dyDescent="0.35">
      <c r="B850" s="76">
        <v>46234</v>
      </c>
      <c r="C850" s="19" t="s">
        <v>138</v>
      </c>
      <c r="D850" s="19" t="s">
        <v>173</v>
      </c>
      <c r="E850" s="19" t="s">
        <v>1049</v>
      </c>
      <c r="F850" s="19" t="s">
        <v>123</v>
      </c>
      <c r="G850" s="19" t="s">
        <v>1050</v>
      </c>
      <c r="H850" s="76">
        <v>46233</v>
      </c>
      <c r="I850" s="19" t="s">
        <v>36</v>
      </c>
      <c r="J850" s="19" t="s">
        <v>1117</v>
      </c>
      <c r="K850" s="19" t="s">
        <v>44</v>
      </c>
      <c r="L850" s="19" t="s">
        <v>1118</v>
      </c>
      <c r="M850" s="19" t="s">
        <v>1119</v>
      </c>
      <c r="N850" s="19">
        <v>64</v>
      </c>
      <c r="O850" s="19">
        <v>9439.36</v>
      </c>
      <c r="P850" s="19" t="s">
        <v>1119</v>
      </c>
      <c r="Q850" s="19">
        <v>0</v>
      </c>
      <c r="R850" s="19">
        <v>9</v>
      </c>
      <c r="S850" s="19">
        <v>849.54</v>
      </c>
      <c r="T850" s="19">
        <v>9</v>
      </c>
      <c r="U850" s="19">
        <v>849.54</v>
      </c>
      <c r="V850" s="19">
        <v>0</v>
      </c>
      <c r="W850" s="19">
        <v>0</v>
      </c>
      <c r="X850" s="19">
        <v>0</v>
      </c>
      <c r="Y850" s="19">
        <v>1699.08</v>
      </c>
      <c r="Z850" s="19">
        <v>0</v>
      </c>
      <c r="AA850" s="19" t="s">
        <v>135</v>
      </c>
      <c r="AB850" s="19" t="s">
        <v>1289</v>
      </c>
      <c r="AC850" s="19">
        <v>39269080</v>
      </c>
      <c r="AD850" s="19" t="s">
        <v>1092</v>
      </c>
      <c r="AE850" s="19">
        <v>1</v>
      </c>
      <c r="AF850" s="19">
        <f t="shared" si="30"/>
        <v>64</v>
      </c>
      <c r="AG850" s="19" t="s">
        <v>1093</v>
      </c>
      <c r="AH850" s="19" t="s">
        <v>44</v>
      </c>
    </row>
    <row r="851" spans="2:34" x14ac:dyDescent="0.35">
      <c r="B851" s="76">
        <v>46234</v>
      </c>
      <c r="C851" s="19" t="s">
        <v>138</v>
      </c>
      <c r="D851" s="19" t="s">
        <v>173</v>
      </c>
      <c r="E851" s="19" t="s">
        <v>1049</v>
      </c>
      <c r="F851" s="19" t="s">
        <v>123</v>
      </c>
      <c r="G851" s="19" t="s">
        <v>1050</v>
      </c>
      <c r="H851" s="76">
        <v>46233</v>
      </c>
      <c r="I851" s="19" t="s">
        <v>36</v>
      </c>
      <c r="J851" s="19" t="s">
        <v>1117</v>
      </c>
      <c r="K851" s="19" t="s">
        <v>44</v>
      </c>
      <c r="L851" s="19" t="s">
        <v>1118</v>
      </c>
      <c r="M851" s="19" t="s">
        <v>1119</v>
      </c>
      <c r="N851" s="19">
        <v>1381</v>
      </c>
      <c r="O851" s="19">
        <v>199540.69</v>
      </c>
      <c r="P851" s="19" t="s">
        <v>1119</v>
      </c>
      <c r="Q851" s="19">
        <v>0</v>
      </c>
      <c r="R851" s="19">
        <v>9</v>
      </c>
      <c r="S851" s="19">
        <v>17958.66</v>
      </c>
      <c r="T851" s="19">
        <v>9</v>
      </c>
      <c r="U851" s="19">
        <v>17958.66</v>
      </c>
      <c r="V851" s="19">
        <v>0</v>
      </c>
      <c r="W851" s="19">
        <v>0</v>
      </c>
      <c r="X851" s="19">
        <v>0</v>
      </c>
      <c r="Y851" s="19">
        <v>35917.32</v>
      </c>
      <c r="Z851" s="19">
        <v>0</v>
      </c>
      <c r="AA851" s="19" t="s">
        <v>135</v>
      </c>
      <c r="AB851" s="19" t="s">
        <v>1289</v>
      </c>
      <c r="AC851" s="19">
        <v>39269080</v>
      </c>
      <c r="AD851" s="19" t="s">
        <v>1092</v>
      </c>
      <c r="AE851" s="19">
        <v>1</v>
      </c>
      <c r="AF851" s="19">
        <f t="shared" si="30"/>
        <v>1381</v>
      </c>
      <c r="AG851" s="19" t="s">
        <v>1093</v>
      </c>
      <c r="AH851" s="19" t="s">
        <v>44</v>
      </c>
    </row>
    <row r="852" spans="2:34" x14ac:dyDescent="0.35">
      <c r="B852" s="76">
        <v>46234</v>
      </c>
      <c r="C852" s="19" t="s">
        <v>138</v>
      </c>
      <c r="D852" s="19" t="s">
        <v>173</v>
      </c>
      <c r="E852" s="19" t="s">
        <v>1049</v>
      </c>
      <c r="F852" s="19" t="s">
        <v>123</v>
      </c>
      <c r="G852" s="19" t="s">
        <v>1050</v>
      </c>
      <c r="H852" s="76">
        <v>46233</v>
      </c>
      <c r="I852" s="19" t="s">
        <v>36</v>
      </c>
      <c r="J852" s="19" t="s">
        <v>1087</v>
      </c>
      <c r="K852" s="19" t="s">
        <v>46</v>
      </c>
      <c r="L852" s="19" t="s">
        <v>1213</v>
      </c>
      <c r="M852" s="19" t="s">
        <v>1782</v>
      </c>
      <c r="N852" s="19">
        <v>1978.3</v>
      </c>
      <c r="O852" s="19">
        <v>309584.16700000002</v>
      </c>
      <c r="P852" s="19" t="s">
        <v>1782</v>
      </c>
      <c r="Q852" s="19">
        <v>0</v>
      </c>
      <c r="R852" s="19">
        <v>2.5</v>
      </c>
      <c r="S852" s="19">
        <v>7739.6</v>
      </c>
      <c r="T852" s="19">
        <v>2.5</v>
      </c>
      <c r="U852" s="19">
        <v>7739.6</v>
      </c>
      <c r="V852" s="19">
        <v>0</v>
      </c>
      <c r="W852" s="19">
        <v>0</v>
      </c>
      <c r="X852" s="19">
        <v>0</v>
      </c>
      <c r="Y852" s="19">
        <v>15479.2</v>
      </c>
      <c r="Z852" s="19">
        <v>0</v>
      </c>
      <c r="AA852" s="19" t="s">
        <v>135</v>
      </c>
      <c r="AB852" s="19" t="s">
        <v>1091</v>
      </c>
      <c r="AC852" s="19">
        <v>54026930</v>
      </c>
      <c r="AD852" s="19" t="s">
        <v>1092</v>
      </c>
      <c r="AE852" s="19">
        <v>1</v>
      </c>
      <c r="AF852" s="19">
        <f t="shared" si="30"/>
        <v>1978.3</v>
      </c>
      <c r="AG852" s="19" t="s">
        <v>1093</v>
      </c>
      <c r="AH852" s="19" t="s">
        <v>46</v>
      </c>
    </row>
    <row r="853" spans="2:34" x14ac:dyDescent="0.35">
      <c r="B853" s="76">
        <v>46234</v>
      </c>
      <c r="C853" s="19" t="s">
        <v>138</v>
      </c>
      <c r="D853" s="19" t="s">
        <v>173</v>
      </c>
      <c r="E853" s="19" t="s">
        <v>1049</v>
      </c>
      <c r="F853" s="19" t="s">
        <v>123</v>
      </c>
      <c r="G853" s="19" t="s">
        <v>1050</v>
      </c>
      <c r="H853" s="76">
        <v>46233</v>
      </c>
      <c r="I853" s="19" t="s">
        <v>36</v>
      </c>
      <c r="J853" s="19" t="s">
        <v>1087</v>
      </c>
      <c r="K853" s="19" t="s">
        <v>46</v>
      </c>
      <c r="L853" s="19" t="s">
        <v>1213</v>
      </c>
      <c r="M853" s="19" t="s">
        <v>1783</v>
      </c>
      <c r="N853" s="19">
        <v>1299.8</v>
      </c>
      <c r="O853" s="19">
        <v>207305.10200000001</v>
      </c>
      <c r="P853" s="19" t="s">
        <v>1783</v>
      </c>
      <c r="Q853" s="19">
        <v>0</v>
      </c>
      <c r="R853" s="19">
        <v>2.5</v>
      </c>
      <c r="S853" s="19">
        <v>5182.63</v>
      </c>
      <c r="T853" s="19">
        <v>2.5</v>
      </c>
      <c r="U853" s="19">
        <v>5182.63</v>
      </c>
      <c r="V853" s="19">
        <v>0</v>
      </c>
      <c r="W853" s="19">
        <v>0</v>
      </c>
      <c r="X853" s="19">
        <v>0</v>
      </c>
      <c r="Y853" s="19">
        <v>10365.26</v>
      </c>
      <c r="Z853" s="19">
        <v>0</v>
      </c>
      <c r="AA853" s="19" t="s">
        <v>135</v>
      </c>
      <c r="AB853" s="19" t="s">
        <v>1091</v>
      </c>
      <c r="AC853" s="19">
        <v>54026300</v>
      </c>
      <c r="AD853" s="19" t="s">
        <v>1092</v>
      </c>
      <c r="AE853" s="19">
        <v>1</v>
      </c>
      <c r="AF853" s="19">
        <f t="shared" si="30"/>
        <v>1299.8</v>
      </c>
      <c r="AG853" s="19" t="s">
        <v>1093</v>
      </c>
      <c r="AH853" s="19" t="s">
        <v>46</v>
      </c>
    </row>
    <row r="854" spans="2:34" hidden="1" x14ac:dyDescent="0.35">
      <c r="B854" s="76">
        <v>46234</v>
      </c>
      <c r="C854" s="19" t="s">
        <v>134</v>
      </c>
      <c r="D854" s="19" t="s">
        <v>7</v>
      </c>
      <c r="E854" s="19" t="s">
        <v>1019</v>
      </c>
      <c r="F854" s="19" t="s">
        <v>119</v>
      </c>
      <c r="G854" s="19" t="s">
        <v>1020</v>
      </c>
      <c r="H854" s="76">
        <v>46233</v>
      </c>
      <c r="I854" s="19" t="s">
        <v>105</v>
      </c>
      <c r="J854" s="19" t="s">
        <v>1142</v>
      </c>
      <c r="K854" s="19" t="s">
        <v>1509</v>
      </c>
      <c r="L854" s="19" t="s">
        <v>1509</v>
      </c>
      <c r="M854" s="19" t="s">
        <v>1145</v>
      </c>
      <c r="N854" s="19">
        <v>193</v>
      </c>
      <c r="O854" s="19">
        <v>9264</v>
      </c>
      <c r="P854" s="19" t="s">
        <v>1145</v>
      </c>
      <c r="Q854" s="19">
        <v>10922.26</v>
      </c>
      <c r="R854" s="19">
        <v>9</v>
      </c>
      <c r="S854" s="19">
        <v>833.76</v>
      </c>
      <c r="T854" s="19">
        <v>9</v>
      </c>
      <c r="U854" s="19">
        <v>833.76</v>
      </c>
      <c r="V854" s="19">
        <v>0</v>
      </c>
      <c r="W854" s="19">
        <v>0</v>
      </c>
      <c r="X854" s="19">
        <v>0</v>
      </c>
      <c r="Y854" s="19">
        <v>1667.52</v>
      </c>
      <c r="Z854" s="19">
        <v>0</v>
      </c>
      <c r="AA854" s="19" t="s">
        <v>135</v>
      </c>
      <c r="AB854" s="19" t="s">
        <v>1091</v>
      </c>
      <c r="AC854" s="19">
        <v>7306309</v>
      </c>
      <c r="AD854" s="19" t="s">
        <v>1092</v>
      </c>
      <c r="AE854" s="19">
        <v>1</v>
      </c>
      <c r="AF854" s="19">
        <v>0</v>
      </c>
      <c r="AG854" s="19" t="s">
        <v>1093</v>
      </c>
      <c r="AH854" s="19" t="s">
        <v>2319</v>
      </c>
    </row>
    <row r="855" spans="2:34" x14ac:dyDescent="0.35">
      <c r="B855" s="76">
        <v>46234</v>
      </c>
      <c r="C855" s="19" t="s">
        <v>134</v>
      </c>
      <c r="D855" s="19" t="s">
        <v>173</v>
      </c>
      <c r="E855" s="19" t="s">
        <v>1038</v>
      </c>
      <c r="F855" s="19" t="s">
        <v>123</v>
      </c>
      <c r="G855" s="19" t="s">
        <v>1039</v>
      </c>
      <c r="H855" s="76">
        <v>46233</v>
      </c>
      <c r="I855" s="19" t="s">
        <v>36</v>
      </c>
      <c r="J855" s="19" t="s">
        <v>1117</v>
      </c>
      <c r="K855" s="19" t="s">
        <v>44</v>
      </c>
      <c r="L855" s="19" t="s">
        <v>1118</v>
      </c>
      <c r="M855" s="19" t="s">
        <v>1119</v>
      </c>
      <c r="N855" s="19">
        <v>4987</v>
      </c>
      <c r="O855" s="19">
        <v>612603.07999999996</v>
      </c>
      <c r="P855" s="19" t="s">
        <v>1119</v>
      </c>
      <c r="Q855" s="19">
        <v>896033.35</v>
      </c>
      <c r="R855" s="19">
        <v>9</v>
      </c>
      <c r="S855" s="19">
        <v>55134.28</v>
      </c>
      <c r="T855" s="19">
        <v>9</v>
      </c>
      <c r="U855" s="19">
        <v>55134.28</v>
      </c>
      <c r="V855" s="19">
        <v>0</v>
      </c>
      <c r="W855" s="19">
        <v>0</v>
      </c>
      <c r="X855" s="19">
        <v>0</v>
      </c>
      <c r="Y855" s="19">
        <v>110268.56</v>
      </c>
      <c r="Z855" s="19">
        <v>0</v>
      </c>
      <c r="AA855" s="19" t="s">
        <v>135</v>
      </c>
      <c r="AB855" s="19" t="s">
        <v>1289</v>
      </c>
      <c r="AC855" s="19">
        <v>39269080</v>
      </c>
      <c r="AD855" s="19" t="s">
        <v>1092</v>
      </c>
      <c r="AE855" s="19">
        <v>1</v>
      </c>
      <c r="AF855" s="19">
        <v>4987</v>
      </c>
      <c r="AG855" s="19" t="s">
        <v>1093</v>
      </c>
      <c r="AH855" s="19" t="s">
        <v>44</v>
      </c>
    </row>
    <row r="856" spans="2:34" x14ac:dyDescent="0.35">
      <c r="B856" s="76">
        <v>46234</v>
      </c>
      <c r="C856" s="19" t="s">
        <v>134</v>
      </c>
      <c r="D856" s="19" t="s">
        <v>173</v>
      </c>
      <c r="E856" s="19" t="s">
        <v>1038</v>
      </c>
      <c r="F856" s="19" t="s">
        <v>123</v>
      </c>
      <c r="G856" s="19" t="s">
        <v>1039</v>
      </c>
      <c r="H856" s="76">
        <v>46233</v>
      </c>
      <c r="I856" s="19" t="s">
        <v>36</v>
      </c>
      <c r="J856" s="19" t="s">
        <v>1156</v>
      </c>
      <c r="K856" s="19" t="s">
        <v>45</v>
      </c>
      <c r="L856" s="19" t="s">
        <v>1157</v>
      </c>
      <c r="M856" s="19" t="s">
        <v>1567</v>
      </c>
      <c r="N856" s="19">
        <v>716.4</v>
      </c>
      <c r="O856" s="19">
        <v>106628.976</v>
      </c>
      <c r="P856" s="19" t="s">
        <v>1567</v>
      </c>
      <c r="Q856" s="19">
        <v>0</v>
      </c>
      <c r="R856" s="19">
        <v>9</v>
      </c>
      <c r="S856" s="19">
        <v>9596.61</v>
      </c>
      <c r="T856" s="19">
        <v>9</v>
      </c>
      <c r="U856" s="19">
        <v>9596.61</v>
      </c>
      <c r="V856" s="19">
        <v>0</v>
      </c>
      <c r="W856" s="19">
        <v>0</v>
      </c>
      <c r="X856" s="19">
        <v>0</v>
      </c>
      <c r="Y856" s="19">
        <v>19193.22</v>
      </c>
      <c r="Z856" s="19">
        <v>0</v>
      </c>
      <c r="AA856" s="19" t="s">
        <v>135</v>
      </c>
      <c r="AB856" s="19" t="s">
        <v>1289</v>
      </c>
      <c r="AC856" s="19">
        <v>39269080</v>
      </c>
      <c r="AD856" s="19" t="s">
        <v>1092</v>
      </c>
      <c r="AE856" s="19">
        <v>1</v>
      </c>
      <c r="AF856" s="19">
        <v>716.4</v>
      </c>
      <c r="AG856" s="19" t="s">
        <v>1093</v>
      </c>
      <c r="AH856" s="19" t="s">
        <v>45</v>
      </c>
    </row>
    <row r="857" spans="2:34" x14ac:dyDescent="0.35">
      <c r="B857" s="76">
        <v>46234</v>
      </c>
      <c r="C857" s="19" t="s">
        <v>134</v>
      </c>
      <c r="D857" s="19" t="s">
        <v>173</v>
      </c>
      <c r="E857" s="19" t="s">
        <v>1038</v>
      </c>
      <c r="F857" s="19" t="s">
        <v>123</v>
      </c>
      <c r="G857" s="19" t="s">
        <v>1039</v>
      </c>
      <c r="H857" s="76">
        <v>46233</v>
      </c>
      <c r="I857" s="19" t="s">
        <v>36</v>
      </c>
      <c r="J857" s="19" t="s">
        <v>1156</v>
      </c>
      <c r="K857" s="19" t="s">
        <v>45</v>
      </c>
      <c r="L857" s="19" t="s">
        <v>1157</v>
      </c>
      <c r="M857" s="19" t="s">
        <v>1567</v>
      </c>
      <c r="N857" s="19">
        <v>279.5</v>
      </c>
      <c r="O857" s="19">
        <v>40762.28</v>
      </c>
      <c r="P857" s="19" t="s">
        <v>1567</v>
      </c>
      <c r="Q857" s="19">
        <v>0</v>
      </c>
      <c r="R857" s="19">
        <v>9</v>
      </c>
      <c r="S857" s="19">
        <v>3668.61</v>
      </c>
      <c r="T857" s="19">
        <v>9</v>
      </c>
      <c r="U857" s="19">
        <v>3668.61</v>
      </c>
      <c r="V857" s="19">
        <v>0</v>
      </c>
      <c r="W857" s="19">
        <v>0</v>
      </c>
      <c r="X857" s="19">
        <v>0</v>
      </c>
      <c r="Y857" s="19">
        <v>7337.22</v>
      </c>
      <c r="Z857" s="19">
        <v>0</v>
      </c>
      <c r="AA857" s="19" t="s">
        <v>135</v>
      </c>
      <c r="AB857" s="19" t="s">
        <v>1289</v>
      </c>
      <c r="AC857" s="19">
        <v>39269080</v>
      </c>
      <c r="AD857" s="19" t="s">
        <v>1092</v>
      </c>
      <c r="AE857" s="19">
        <v>1</v>
      </c>
      <c r="AF857" s="19">
        <v>279.5</v>
      </c>
      <c r="AG857" s="19" t="s">
        <v>1093</v>
      </c>
      <c r="AH857" s="19" t="s">
        <v>45</v>
      </c>
    </row>
    <row r="858" spans="2:34" hidden="1" x14ac:dyDescent="0.35">
      <c r="B858" s="76">
        <v>46234</v>
      </c>
      <c r="C858" s="19" t="s">
        <v>130</v>
      </c>
      <c r="D858" s="19" t="s">
        <v>126</v>
      </c>
      <c r="E858" s="19" t="s">
        <v>1003</v>
      </c>
      <c r="F858" s="19" t="s">
        <v>118</v>
      </c>
      <c r="G858" s="19">
        <v>1631</v>
      </c>
      <c r="H858" s="76">
        <v>46230</v>
      </c>
      <c r="I858" s="19" t="s">
        <v>102</v>
      </c>
      <c r="J858" s="19" t="s">
        <v>1570</v>
      </c>
      <c r="K858" s="19" t="s">
        <v>1127</v>
      </c>
      <c r="L858" s="19" t="s">
        <v>102</v>
      </c>
      <c r="M858" s="19" t="s">
        <v>1571</v>
      </c>
      <c r="N858" s="19">
        <v>1</v>
      </c>
      <c r="O858" s="19">
        <v>539</v>
      </c>
      <c r="P858" s="19" t="s">
        <v>1571</v>
      </c>
      <c r="Q858" s="19">
        <v>636</v>
      </c>
      <c r="R858" s="19">
        <v>9</v>
      </c>
      <c r="S858" s="19">
        <v>48.51</v>
      </c>
      <c r="T858" s="19">
        <v>9</v>
      </c>
      <c r="U858" s="19">
        <v>48.51</v>
      </c>
      <c r="V858" s="19">
        <v>0</v>
      </c>
      <c r="W858" s="19">
        <v>0</v>
      </c>
      <c r="X858" s="19">
        <v>0</v>
      </c>
      <c r="Y858" s="19">
        <v>97.02</v>
      </c>
      <c r="Z858" s="19">
        <v>0</v>
      </c>
      <c r="AA858" s="19" t="s">
        <v>131</v>
      </c>
      <c r="AB858" s="19" t="s">
        <v>1572</v>
      </c>
      <c r="AC858" s="19">
        <v>400200</v>
      </c>
      <c r="AD858" s="19" t="s">
        <v>1092</v>
      </c>
      <c r="AE858" s="19">
        <v>1</v>
      </c>
      <c r="AF858" s="19">
        <v>0</v>
      </c>
      <c r="AG858" s="19" t="s">
        <v>1093</v>
      </c>
      <c r="AH858" s="19" t="s">
        <v>2319</v>
      </c>
    </row>
    <row r="859" spans="2:34" hidden="1" x14ac:dyDescent="0.35">
      <c r="B859" s="76">
        <v>46234</v>
      </c>
      <c r="C859" s="19" t="s">
        <v>130</v>
      </c>
      <c r="D859" s="19" t="s">
        <v>126</v>
      </c>
      <c r="E859" s="19" t="s">
        <v>1007</v>
      </c>
      <c r="F859" s="19" t="s">
        <v>118</v>
      </c>
      <c r="G859" s="19">
        <v>1602</v>
      </c>
      <c r="H859" s="76">
        <v>46230</v>
      </c>
      <c r="I859" s="19" t="s">
        <v>102</v>
      </c>
      <c r="J859" s="19" t="s">
        <v>1570</v>
      </c>
      <c r="K859" s="19" t="s">
        <v>1127</v>
      </c>
      <c r="L859" s="19" t="s">
        <v>1389</v>
      </c>
      <c r="M859" s="19" t="s">
        <v>1571</v>
      </c>
      <c r="N859" s="19">
        <v>1</v>
      </c>
      <c r="O859" s="19">
        <v>1933.75</v>
      </c>
      <c r="P859" s="19" t="s">
        <v>1571</v>
      </c>
      <c r="Q859" s="19">
        <v>2282</v>
      </c>
      <c r="R859" s="19">
        <v>9</v>
      </c>
      <c r="S859" s="19">
        <v>174.04</v>
      </c>
      <c r="T859" s="19">
        <v>9</v>
      </c>
      <c r="U859" s="19">
        <v>174.04</v>
      </c>
      <c r="V859" s="19">
        <v>0</v>
      </c>
      <c r="W859" s="19">
        <v>0</v>
      </c>
      <c r="X859" s="19">
        <v>0</v>
      </c>
      <c r="Y859" s="19">
        <v>348.08</v>
      </c>
      <c r="Z859" s="19">
        <v>0</v>
      </c>
      <c r="AA859" s="19" t="s">
        <v>131</v>
      </c>
      <c r="AB859" s="19" t="s">
        <v>1572</v>
      </c>
      <c r="AC859" s="19">
        <v>400200</v>
      </c>
      <c r="AD859" s="19" t="s">
        <v>1092</v>
      </c>
      <c r="AE859" s="19">
        <v>1</v>
      </c>
      <c r="AF859" s="19">
        <v>0</v>
      </c>
      <c r="AG859" s="19" t="s">
        <v>1093</v>
      </c>
      <c r="AH859" s="19" t="s">
        <v>2319</v>
      </c>
    </row>
    <row r="860" spans="2:34" hidden="1" x14ac:dyDescent="0.35">
      <c r="B860" s="76">
        <v>46234</v>
      </c>
      <c r="C860" s="19" t="s">
        <v>130</v>
      </c>
      <c r="D860" s="19" t="s">
        <v>126</v>
      </c>
      <c r="E860" s="19" t="s">
        <v>1008</v>
      </c>
      <c r="F860" s="19" t="s">
        <v>118</v>
      </c>
      <c r="G860" s="19">
        <v>1625</v>
      </c>
      <c r="H860" s="76">
        <v>46228</v>
      </c>
      <c r="I860" s="19" t="s">
        <v>102</v>
      </c>
      <c r="J860" s="19" t="s">
        <v>1570</v>
      </c>
      <c r="K860" s="19" t="s">
        <v>1127</v>
      </c>
      <c r="L860" s="19" t="s">
        <v>102</v>
      </c>
      <c r="M860" s="19" t="s">
        <v>1571</v>
      </c>
      <c r="N860" s="19">
        <v>1</v>
      </c>
      <c r="O860" s="19">
        <v>766.5</v>
      </c>
      <c r="P860" s="19" t="s">
        <v>1571</v>
      </c>
      <c r="Q860" s="19">
        <v>2443</v>
      </c>
      <c r="R860" s="19">
        <v>9</v>
      </c>
      <c r="S860" s="19">
        <v>68.98</v>
      </c>
      <c r="T860" s="19">
        <v>9</v>
      </c>
      <c r="U860" s="19">
        <v>68.98</v>
      </c>
      <c r="V860" s="19">
        <v>0</v>
      </c>
      <c r="W860" s="19">
        <v>0</v>
      </c>
      <c r="X860" s="19">
        <v>0</v>
      </c>
      <c r="Y860" s="19">
        <v>137.96</v>
      </c>
      <c r="Z860" s="19">
        <v>0</v>
      </c>
      <c r="AA860" s="19" t="s">
        <v>131</v>
      </c>
      <c r="AB860" s="19" t="s">
        <v>1572</v>
      </c>
      <c r="AC860" s="19">
        <v>400200</v>
      </c>
      <c r="AD860" s="19" t="s">
        <v>1092</v>
      </c>
      <c r="AE860" s="19">
        <v>1</v>
      </c>
      <c r="AF860" s="19">
        <v>0</v>
      </c>
      <c r="AG860" s="19" t="s">
        <v>1093</v>
      </c>
      <c r="AH860" s="19" t="s">
        <v>2319</v>
      </c>
    </row>
    <row r="861" spans="2:34" hidden="1" x14ac:dyDescent="0.35">
      <c r="B861" s="76">
        <v>46234</v>
      </c>
      <c r="C861" s="19" t="s">
        <v>130</v>
      </c>
      <c r="D861" s="19" t="s">
        <v>126</v>
      </c>
      <c r="E861" s="19" t="s">
        <v>1008</v>
      </c>
      <c r="F861" s="19" t="s">
        <v>118</v>
      </c>
      <c r="G861" s="19">
        <v>1625</v>
      </c>
      <c r="H861" s="76">
        <v>46228</v>
      </c>
      <c r="I861" s="19" t="s">
        <v>102</v>
      </c>
      <c r="J861" s="19" t="s">
        <v>1570</v>
      </c>
      <c r="K861" s="19" t="s">
        <v>1127</v>
      </c>
      <c r="L861" s="19" t="s">
        <v>102</v>
      </c>
      <c r="M861" s="19" t="s">
        <v>1571</v>
      </c>
      <c r="N861" s="19">
        <v>1</v>
      </c>
      <c r="O861" s="19">
        <v>319.2</v>
      </c>
      <c r="P861" s="19" t="s">
        <v>1571</v>
      </c>
      <c r="Q861" s="19">
        <v>0</v>
      </c>
      <c r="R861" s="19">
        <v>9</v>
      </c>
      <c r="S861" s="19">
        <v>28.73</v>
      </c>
      <c r="T861" s="19">
        <v>9</v>
      </c>
      <c r="U861" s="19">
        <v>28.73</v>
      </c>
      <c r="V861" s="19">
        <v>0</v>
      </c>
      <c r="W861" s="19">
        <v>0</v>
      </c>
      <c r="X861" s="19">
        <v>0</v>
      </c>
      <c r="Y861" s="19">
        <v>57.46</v>
      </c>
      <c r="Z861" s="19">
        <v>0</v>
      </c>
      <c r="AA861" s="19" t="s">
        <v>131</v>
      </c>
      <c r="AB861" s="19" t="s">
        <v>1572</v>
      </c>
      <c r="AC861" s="19">
        <v>400200</v>
      </c>
      <c r="AD861" s="19" t="s">
        <v>1092</v>
      </c>
      <c r="AE861" s="19">
        <v>1</v>
      </c>
      <c r="AF861" s="19">
        <v>0</v>
      </c>
      <c r="AG861" s="19" t="s">
        <v>1093</v>
      </c>
      <c r="AH861" s="19" t="s">
        <v>2319</v>
      </c>
    </row>
    <row r="862" spans="2:34" hidden="1" x14ac:dyDescent="0.35">
      <c r="B862" s="76">
        <v>46234</v>
      </c>
      <c r="C862" s="19" t="s">
        <v>130</v>
      </c>
      <c r="D862" s="19" t="s">
        <v>126</v>
      </c>
      <c r="E862" s="19" t="s">
        <v>1008</v>
      </c>
      <c r="F862" s="19" t="s">
        <v>118</v>
      </c>
      <c r="G862" s="19">
        <v>1625</v>
      </c>
      <c r="H862" s="76">
        <v>46228</v>
      </c>
      <c r="I862" s="19" t="s">
        <v>102</v>
      </c>
      <c r="J862" s="19" t="s">
        <v>1570</v>
      </c>
      <c r="K862" s="19" t="s">
        <v>1127</v>
      </c>
      <c r="L862" s="19" t="s">
        <v>102</v>
      </c>
      <c r="M862" s="19" t="s">
        <v>1571</v>
      </c>
      <c r="N862" s="19">
        <v>1</v>
      </c>
      <c r="O862" s="19">
        <v>984.2</v>
      </c>
      <c r="P862" s="19" t="s">
        <v>1571</v>
      </c>
      <c r="Q862" s="19">
        <v>0</v>
      </c>
      <c r="R862" s="19">
        <v>9</v>
      </c>
      <c r="S862" s="19">
        <v>88.58</v>
      </c>
      <c r="T862" s="19">
        <v>9</v>
      </c>
      <c r="U862" s="19">
        <v>88.58</v>
      </c>
      <c r="V862" s="19">
        <v>0</v>
      </c>
      <c r="W862" s="19">
        <v>0</v>
      </c>
      <c r="X862" s="19">
        <v>0</v>
      </c>
      <c r="Y862" s="19">
        <v>177.16</v>
      </c>
      <c r="Z862" s="19">
        <v>0</v>
      </c>
      <c r="AA862" s="19" t="s">
        <v>131</v>
      </c>
      <c r="AB862" s="19" t="s">
        <v>1572</v>
      </c>
      <c r="AC862" s="19">
        <v>400200</v>
      </c>
      <c r="AD862" s="19" t="s">
        <v>1092</v>
      </c>
      <c r="AE862" s="19">
        <v>1</v>
      </c>
      <c r="AF862" s="19">
        <v>0</v>
      </c>
      <c r="AG862" s="19" t="s">
        <v>1093</v>
      </c>
      <c r="AH862" s="19" t="s">
        <v>2319</v>
      </c>
    </row>
    <row r="863" spans="2:34" hidden="1" x14ac:dyDescent="0.35">
      <c r="B863" s="76">
        <v>46234</v>
      </c>
      <c r="C863" s="19" t="s">
        <v>1027</v>
      </c>
      <c r="D863" s="19" t="s">
        <v>126</v>
      </c>
      <c r="E863" s="19" t="s">
        <v>1025</v>
      </c>
      <c r="F863" s="19" t="s">
        <v>118</v>
      </c>
      <c r="G863" s="19" t="s">
        <v>1026</v>
      </c>
      <c r="H863" s="76">
        <v>46231</v>
      </c>
      <c r="I863" s="19" t="s">
        <v>105</v>
      </c>
      <c r="J863" s="19" t="s">
        <v>1586</v>
      </c>
      <c r="K863" s="19" t="s">
        <v>1127</v>
      </c>
      <c r="L863" s="19" t="s">
        <v>1389</v>
      </c>
      <c r="M863" s="19" t="s">
        <v>1970</v>
      </c>
      <c r="N863" s="19">
        <v>3</v>
      </c>
      <c r="O863" s="19">
        <v>3030</v>
      </c>
      <c r="P863" s="19" t="s">
        <v>1970</v>
      </c>
      <c r="Q863" s="19">
        <v>3575</v>
      </c>
      <c r="R863" s="19">
        <v>9</v>
      </c>
      <c r="S863" s="19">
        <v>272.7</v>
      </c>
      <c r="T863" s="19">
        <v>9</v>
      </c>
      <c r="U863" s="19">
        <v>272.7</v>
      </c>
      <c r="V863" s="19">
        <v>0</v>
      </c>
      <c r="W863" s="19">
        <v>0</v>
      </c>
      <c r="X863" s="19">
        <v>0</v>
      </c>
      <c r="Y863" s="19">
        <v>545.4</v>
      </c>
      <c r="Z863" s="19">
        <v>0</v>
      </c>
      <c r="AA863" s="19" t="s">
        <v>1028</v>
      </c>
      <c r="AB863" s="19" t="s">
        <v>1555</v>
      </c>
      <c r="AC863" s="19">
        <v>82078090</v>
      </c>
      <c r="AD863" s="19" t="s">
        <v>1092</v>
      </c>
      <c r="AE863" s="19">
        <v>1</v>
      </c>
      <c r="AF863" s="19">
        <v>0</v>
      </c>
      <c r="AG863" s="19" t="s">
        <v>1093</v>
      </c>
      <c r="AH863" s="19" t="s">
        <v>2319</v>
      </c>
    </row>
    <row r="864" spans="2:34" hidden="1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>
        <v>1848099.62</v>
      </c>
      <c r="O864" s="1">
        <v>198365253.87</v>
      </c>
      <c r="P864" s="1"/>
      <c r="Q864" s="1">
        <v>216648796.53999999</v>
      </c>
      <c r="R864" s="1"/>
      <c r="S864" s="1">
        <v>8955452.9199999999</v>
      </c>
      <c r="T864" s="1"/>
      <c r="U864" s="1">
        <v>8955452.9199999999</v>
      </c>
      <c r="V864" s="1"/>
      <c r="W864" s="1">
        <v>460186.48</v>
      </c>
      <c r="X864" s="1">
        <v>5816.93</v>
      </c>
      <c r="Y864" s="1">
        <v>18376909.260000002</v>
      </c>
      <c r="Z864" s="1">
        <v>0</v>
      </c>
      <c r="AA864" s="1"/>
      <c r="AB864" s="1"/>
      <c r="AC864" s="1"/>
      <c r="AD864" s="1"/>
      <c r="AE864" s="1"/>
      <c r="AF864" s="1"/>
      <c r="AG864" s="1"/>
    </row>
    <row r="868" spans="38:42" x14ac:dyDescent="0.35">
      <c r="AL868" s="77" t="s">
        <v>2320</v>
      </c>
      <c r="AM868" t="s">
        <v>2322</v>
      </c>
      <c r="AN868" t="s">
        <v>2323</v>
      </c>
      <c r="AO868" t="s">
        <v>2325</v>
      </c>
    </row>
    <row r="869" spans="38:42" x14ac:dyDescent="0.35">
      <c r="AL869" s="78" t="s">
        <v>29</v>
      </c>
      <c r="AM869">
        <v>1699.3</v>
      </c>
      <c r="AN869">
        <v>1699.3</v>
      </c>
      <c r="AO869">
        <v>254895</v>
      </c>
      <c r="AP869" s="90">
        <f>AO869/AN869</f>
        <v>150</v>
      </c>
    </row>
    <row r="870" spans="38:42" x14ac:dyDescent="0.35">
      <c r="AL870" s="78" t="s">
        <v>50</v>
      </c>
      <c r="AM870">
        <v>334889.15000000002</v>
      </c>
      <c r="AN870">
        <v>334889.15000000002</v>
      </c>
      <c r="AO870">
        <v>72807722.431999996</v>
      </c>
      <c r="AP870" s="90">
        <f>AO870/AN870</f>
        <v>217.40842434578724</v>
      </c>
    </row>
    <row r="871" spans="38:42" x14ac:dyDescent="0.35">
      <c r="AL871" s="78" t="s">
        <v>30</v>
      </c>
      <c r="AM871">
        <v>30000</v>
      </c>
      <c r="AN871">
        <v>30000</v>
      </c>
      <c r="AO871">
        <v>1140000</v>
      </c>
      <c r="AP871" s="90">
        <f t="shared" ref="AP871:AP887" si="31">AO871/AN871</f>
        <v>38</v>
      </c>
    </row>
    <row r="872" spans="38:42" x14ac:dyDescent="0.35">
      <c r="AL872" s="78" t="s">
        <v>37</v>
      </c>
      <c r="AM872">
        <v>1166</v>
      </c>
      <c r="AN872">
        <v>1166</v>
      </c>
      <c r="AO872">
        <v>213378</v>
      </c>
      <c r="AP872" s="90">
        <f t="shared" si="31"/>
        <v>183</v>
      </c>
    </row>
    <row r="873" spans="38:42" x14ac:dyDescent="0.35">
      <c r="AL873" s="78" t="s">
        <v>38</v>
      </c>
      <c r="AM873">
        <v>2268.6999999999998</v>
      </c>
      <c r="AN873">
        <v>2268.6999999999998</v>
      </c>
      <c r="AO873">
        <v>471714.91009999998</v>
      </c>
      <c r="AP873" s="90">
        <f t="shared" si="31"/>
        <v>207.923</v>
      </c>
    </row>
    <row r="874" spans="38:42" x14ac:dyDescent="0.35">
      <c r="AL874" s="78" t="s">
        <v>39</v>
      </c>
      <c r="AM874">
        <v>39518.33</v>
      </c>
      <c r="AN874">
        <v>39518.33</v>
      </c>
      <c r="AO874">
        <v>8248356.2314000009</v>
      </c>
      <c r="AP874" s="90">
        <f t="shared" si="31"/>
        <v>208.72228738916854</v>
      </c>
    </row>
    <row r="875" spans="38:42" x14ac:dyDescent="0.35">
      <c r="AL875" s="78" t="s">
        <v>32</v>
      </c>
      <c r="AM875">
        <v>33000</v>
      </c>
      <c r="AN875">
        <v>33000</v>
      </c>
      <c r="AO875">
        <v>4142200</v>
      </c>
      <c r="AP875" s="90">
        <f t="shared" si="31"/>
        <v>125.52121212121212</v>
      </c>
    </row>
    <row r="876" spans="38:42" x14ac:dyDescent="0.35">
      <c r="AL876" s="78" t="s">
        <v>33</v>
      </c>
      <c r="AM876">
        <v>3000</v>
      </c>
      <c r="AN876">
        <v>3000</v>
      </c>
      <c r="AO876">
        <v>682235.5</v>
      </c>
      <c r="AP876" s="90">
        <f t="shared" si="31"/>
        <v>227.41183333333333</v>
      </c>
    </row>
    <row r="877" spans="38:42" hidden="1" x14ac:dyDescent="0.35">
      <c r="AL877" s="78" t="s">
        <v>2319</v>
      </c>
      <c r="AM877">
        <v>295029.13999999996</v>
      </c>
      <c r="AN877">
        <v>61718.66</v>
      </c>
      <c r="AO877">
        <v>7064187.9518000009</v>
      </c>
      <c r="AP877" s="90">
        <f t="shared" si="31"/>
        <v>114.45789574498215</v>
      </c>
    </row>
    <row r="878" spans="38:42" x14ac:dyDescent="0.35">
      <c r="AL878" s="78" t="s">
        <v>40</v>
      </c>
      <c r="AM878">
        <v>605</v>
      </c>
      <c r="AN878">
        <v>605</v>
      </c>
      <c r="AO878">
        <v>102423.9</v>
      </c>
      <c r="AP878" s="90">
        <f t="shared" si="31"/>
        <v>169.29570247933884</v>
      </c>
    </row>
    <row r="879" spans="38:42" x14ac:dyDescent="0.35">
      <c r="AL879" s="78" t="s">
        <v>41</v>
      </c>
      <c r="AM879">
        <v>1550.3</v>
      </c>
      <c r="AN879">
        <v>1550.3</v>
      </c>
      <c r="AO879">
        <v>282154.59999999998</v>
      </c>
      <c r="AP879" s="90">
        <f t="shared" si="31"/>
        <v>182</v>
      </c>
    </row>
    <row r="880" spans="38:42" x14ac:dyDescent="0.35">
      <c r="AL880" s="78" t="s">
        <v>53</v>
      </c>
      <c r="AM880">
        <v>4.5999999999999996</v>
      </c>
      <c r="AN880">
        <v>4.5999999999999996</v>
      </c>
      <c r="AO880">
        <v>490.36</v>
      </c>
      <c r="AP880" s="90">
        <f t="shared" si="31"/>
        <v>106.60000000000001</v>
      </c>
    </row>
    <row r="881" spans="38:42" x14ac:dyDescent="0.35">
      <c r="AL881" s="78" t="s">
        <v>34</v>
      </c>
      <c r="AM881">
        <v>666050</v>
      </c>
      <c r="AN881">
        <v>666050</v>
      </c>
      <c r="AO881">
        <v>55328505.5</v>
      </c>
      <c r="AP881" s="90">
        <f t="shared" si="31"/>
        <v>83.06959762780572</v>
      </c>
    </row>
    <row r="882" spans="38:42" x14ac:dyDescent="0.35">
      <c r="AL882" s="78" t="s">
        <v>42</v>
      </c>
      <c r="AM882">
        <v>55701.8</v>
      </c>
      <c r="AN882">
        <v>55701.8</v>
      </c>
      <c r="AO882">
        <v>9318904.7539999988</v>
      </c>
      <c r="AP882" s="90">
        <f t="shared" si="31"/>
        <v>167.29988535379465</v>
      </c>
    </row>
    <row r="883" spans="38:42" x14ac:dyDescent="0.35">
      <c r="AL883" s="78" t="s">
        <v>44</v>
      </c>
      <c r="AM883">
        <v>191637.66</v>
      </c>
      <c r="AN883">
        <v>191637.66</v>
      </c>
      <c r="AO883">
        <v>29599142.546399992</v>
      </c>
      <c r="AP883" s="90">
        <f t="shared" si="31"/>
        <v>154.45368382394145</v>
      </c>
    </row>
    <row r="884" spans="38:42" x14ac:dyDescent="0.35">
      <c r="AL884" s="78" t="s">
        <v>45</v>
      </c>
      <c r="AM884">
        <v>9180.6</v>
      </c>
      <c r="AN884">
        <v>9180.6</v>
      </c>
      <c r="AO884">
        <v>1165209.7760000001</v>
      </c>
      <c r="AP884" s="90">
        <f t="shared" si="31"/>
        <v>126.92087401694879</v>
      </c>
    </row>
    <row r="885" spans="38:42" x14ac:dyDescent="0.35">
      <c r="AL885" s="78" t="s">
        <v>46</v>
      </c>
      <c r="AM885">
        <v>39194.600000000006</v>
      </c>
      <c r="AN885">
        <v>39194.36</v>
      </c>
      <c r="AO885">
        <v>6319732.4079700001</v>
      </c>
      <c r="AP885" s="90">
        <f t="shared" si="31"/>
        <v>161.24086240903029</v>
      </c>
    </row>
    <row r="886" spans="38:42" x14ac:dyDescent="0.35">
      <c r="AL886" s="78" t="s">
        <v>35</v>
      </c>
      <c r="AM886">
        <v>5100</v>
      </c>
      <c r="AN886">
        <v>5100</v>
      </c>
      <c r="AO886">
        <v>1224000</v>
      </c>
      <c r="AP886" s="90">
        <f t="shared" si="31"/>
        <v>240</v>
      </c>
    </row>
    <row r="887" spans="38:42" hidden="1" x14ac:dyDescent="0.35">
      <c r="AL887" s="78" t="s">
        <v>2324</v>
      </c>
      <c r="AM887">
        <v>1848099.62</v>
      </c>
      <c r="AO887">
        <v>198365253.87</v>
      </c>
      <c r="AP887" s="90" t="e">
        <f t="shared" si="31"/>
        <v>#DIV/0!</v>
      </c>
    </row>
    <row r="888" spans="38:42" x14ac:dyDescent="0.35">
      <c r="AL888" s="78" t="s">
        <v>2321</v>
      </c>
      <c r="AM888">
        <v>3557694.8000000003</v>
      </c>
      <c r="AN888">
        <v>1476284.4600000002</v>
      </c>
      <c r="AO888">
        <v>396730507.73966998</v>
      </c>
    </row>
  </sheetData>
  <autoFilter ref="B3:AJ864" xr:uid="{CBC90508-1823-490A-A899-FF3F55B4C14A}">
    <filterColumn colId="7">
      <filters>
        <filter val="FG"/>
        <filter val="RM"/>
        <filter val="SF"/>
      </filters>
    </filterColumn>
    <filterColumn colId="14">
      <filters>
        <filter val="DOC Pouch"/>
        <filter val="FIBC Bags With UV With Liner"/>
        <filter val="FIBC Bags With UV Without Liner"/>
        <filter val="Filler Cord"/>
        <filter val="Filler Soltex PTUFF23"/>
        <filter val="HD Lam Fabric With UV"/>
        <filter val="HD UL Fabric With UV (Raschel Fabric)"/>
        <filter val="LDPE/LLDPE Bags/Liner"/>
        <filter val="LDPE/LLDPE Film – Conductive"/>
        <filter val="LLDPE F0120L HMEL"/>
        <filter val="LLDPE KUNLUN DFDA9047"/>
        <filter val="MB Alok Blue 10363"/>
        <filter val="MB Alok Blue AM10430 Pantone 072C"/>
        <filter val="MB Colman Shiny Black ( RD Black-01 )"/>
        <filter val="MB JJ White WE9381PT"/>
        <filter val="MB Karnavati  New Chrome Yellow"/>
        <filter val="MB Karnavati Leaf Green"/>
        <filter val="MB Karnavati Polyplast Blue"/>
        <filter val="MB Karnavati Rishi Green-T"/>
        <filter val="MB Karnavati Shiny Black"/>
        <filter val="Monofilament Yarn"/>
        <filter val="Monofilament Yarn 400 Denier"/>
        <filter val="Monofilament Yarn 840 Denier"/>
        <filter val="Non Woven Fabric (Felt) 170Gsm.Pati Cut Length- 2&quot; ( 5 Cm ) (Food Grade Quality)"/>
        <filter val="Polyester Yarn Twisted"/>
        <filter val="PP Advanced H312"/>
        <filter val="PP Basell 462S"/>
        <filter val="PP HPCL Y35GR"/>
        <filter val="PP Lam Fabric With UV"/>
        <filter val="PP MF Yarn Flat 1000 Denier UV NW"/>
        <filter val="PP MF Yarn Twisted 1000 Blue"/>
        <filter val="PP MF Yarn Twisted 1000 UV NW"/>
        <filter val="PP MF Yarn Twisted 2500 Blue"/>
        <filter val="PP MF Yarn Twisted 2500 Denier UV NW"/>
        <filter val="PP MF Yarn Twisted 2500 Green"/>
        <filter val="PP NSRP NSY114G"/>
        <filter val="PP RIL H350EC"/>
        <filter val="PP RIL H350FG"/>
        <filter val="PP UL Bags Without UV"/>
        <filter val="PP UL Fabric With UV"/>
        <filter val="PP Zhongjing T30S"/>
        <filter val="UV PIL NFG Natural MFY PP 20%"/>
        <filter val="Webbing"/>
        <filter val="Webbing MF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7359-D249-484C-B994-C7A35EE9A5DE}">
  <sheetPr filterMode="1"/>
  <dimension ref="B1:AP405"/>
  <sheetViews>
    <sheetView zoomScale="80" zoomScaleNormal="80" workbookViewId="0">
      <pane ySplit="3" topLeftCell="A4" activePane="bottomLeft" state="frozen"/>
      <selection pane="bottomLeft" activeCell="AL390" sqref="AL390:AL403"/>
    </sheetView>
  </sheetViews>
  <sheetFormatPr defaultRowHeight="14.5" x14ac:dyDescent="0.35"/>
  <cols>
    <col min="2" max="2" width="13.36328125" style="72" customWidth="1"/>
    <col min="3" max="3" width="36.6328125" bestFit="1" customWidth="1"/>
    <col min="4" max="4" width="13" hidden="1" customWidth="1"/>
    <col min="5" max="5" width="15.1796875" style="72" hidden="1" customWidth="1"/>
    <col min="6" max="6" width="34.453125" hidden="1" customWidth="1"/>
    <col min="7" max="7" width="15.1796875" hidden="1" customWidth="1"/>
    <col min="8" max="8" width="12" hidden="1" customWidth="1"/>
    <col min="9" max="9" width="14.90625" bestFit="1" customWidth="1"/>
    <col min="10" max="10" width="16.1796875" hidden="1" customWidth="1"/>
    <col min="11" max="11" width="20.6328125" bestFit="1" customWidth="1"/>
    <col min="12" max="12" width="24.7265625" hidden="1" customWidth="1"/>
    <col min="13" max="13" width="31.90625" hidden="1" customWidth="1"/>
    <col min="14" max="14" width="15.1796875" customWidth="1"/>
    <col min="15" max="15" width="19.36328125" customWidth="1"/>
    <col min="16" max="16" width="38.36328125" hidden="1" customWidth="1"/>
    <col min="17" max="17" width="11.81640625" hidden="1" customWidth="1"/>
    <col min="18" max="18" width="3.81640625" hidden="1" customWidth="1"/>
    <col min="19" max="19" width="11.81640625" hidden="1" customWidth="1"/>
    <col min="20" max="20" width="3.81640625" hidden="1" customWidth="1"/>
    <col min="21" max="21" width="11.81640625" hidden="1" customWidth="1"/>
    <col min="22" max="22" width="2.81640625" hidden="1" customWidth="1"/>
    <col min="23" max="23" width="11.81640625" hidden="1" customWidth="1"/>
    <col min="24" max="24" width="9.81640625" hidden="1" customWidth="1"/>
    <col min="25" max="25" width="11.81640625" hidden="1" customWidth="1"/>
    <col min="26" max="26" width="8.81640625" hidden="1" customWidth="1"/>
    <col min="27" max="27" width="17.453125" hidden="1" customWidth="1"/>
    <col min="28" max="28" width="7.08984375" customWidth="1"/>
    <col min="29" max="29" width="8.81640625" hidden="1" customWidth="1"/>
    <col min="30" max="30" width="3.36328125" hidden="1" customWidth="1"/>
    <col min="31" max="31" width="5.81640625" hidden="1" customWidth="1"/>
    <col min="32" max="32" width="14.36328125" customWidth="1"/>
    <col min="33" max="33" width="18" hidden="1" customWidth="1"/>
    <col min="34" max="34" width="18.54296875" customWidth="1"/>
    <col min="37" max="37" width="15.6328125" bestFit="1" customWidth="1"/>
    <col min="38" max="38" width="14.54296875" bestFit="1" customWidth="1"/>
    <col min="39" max="39" width="12.90625" bestFit="1" customWidth="1"/>
    <col min="40" max="40" width="13.81640625" bestFit="1" customWidth="1"/>
  </cols>
  <sheetData>
    <row r="1" spans="2:35" x14ac:dyDescent="0.35">
      <c r="N1">
        <v>1283156</v>
      </c>
      <c r="O1">
        <f>N2-N1</f>
        <v>66170.250000000233</v>
      </c>
    </row>
    <row r="2" spans="2:35" s="1" customFormat="1" x14ac:dyDescent="0.35">
      <c r="B2" s="33"/>
      <c r="D2"/>
      <c r="E2" s="72"/>
      <c r="F2"/>
      <c r="G2"/>
      <c r="H2"/>
      <c r="J2"/>
      <c r="L2"/>
      <c r="M2"/>
      <c r="N2" s="1">
        <f>SUBTOTAL(9,N4:N388)</f>
        <v>1349326.2500000002</v>
      </c>
      <c r="O2" s="1">
        <f>SUBTOTAL(9,O4:O388)</f>
        <v>248521811.42749992</v>
      </c>
      <c r="P2"/>
      <c r="Q2"/>
      <c r="R2"/>
      <c r="S2"/>
      <c r="T2"/>
      <c r="U2"/>
      <c r="V2"/>
      <c r="W2"/>
      <c r="X2"/>
      <c r="Y2"/>
      <c r="Z2"/>
      <c r="AA2"/>
      <c r="AC2"/>
      <c r="AD2"/>
      <c r="AE2"/>
      <c r="AF2" s="1">
        <f>SUBTOTAL(9,AF4:AF388)</f>
        <v>1349326.2500000002</v>
      </c>
      <c r="AG2"/>
    </row>
    <row r="3" spans="2:35" s="18" customFormat="1" ht="41" customHeight="1" x14ac:dyDescent="0.35">
      <c r="B3" s="74" t="s">
        <v>1053</v>
      </c>
      <c r="C3" s="74" t="s">
        <v>1054</v>
      </c>
      <c r="D3" s="14" t="s">
        <v>1055</v>
      </c>
      <c r="E3" s="14" t="s">
        <v>1056</v>
      </c>
      <c r="F3" s="14" t="s">
        <v>1057</v>
      </c>
      <c r="G3" s="14" t="s">
        <v>1058</v>
      </c>
      <c r="H3" s="14" t="s">
        <v>1059</v>
      </c>
      <c r="I3" s="74" t="s">
        <v>1060</v>
      </c>
      <c r="J3" s="14" t="s">
        <v>1061</v>
      </c>
      <c r="K3" s="74" t="s">
        <v>1062</v>
      </c>
      <c r="L3" s="14" t="s">
        <v>1063</v>
      </c>
      <c r="M3" s="14" t="s">
        <v>1064</v>
      </c>
      <c r="N3" s="74" t="s">
        <v>1065</v>
      </c>
      <c r="O3" s="74" t="s">
        <v>1066</v>
      </c>
      <c r="P3" s="14" t="s">
        <v>1067</v>
      </c>
      <c r="Q3" s="14" t="s">
        <v>1068</v>
      </c>
      <c r="R3" s="14" t="s">
        <v>1069</v>
      </c>
      <c r="S3" s="14" t="s">
        <v>1070</v>
      </c>
      <c r="T3" s="14" t="s">
        <v>1071</v>
      </c>
      <c r="U3" s="14" t="s">
        <v>1072</v>
      </c>
      <c r="V3" s="14" t="s">
        <v>1073</v>
      </c>
      <c r="W3" s="14" t="s">
        <v>1074</v>
      </c>
      <c r="X3" s="14" t="s">
        <v>1075</v>
      </c>
      <c r="Y3" s="14" t="s">
        <v>1076</v>
      </c>
      <c r="Z3" s="14" t="s">
        <v>1077</v>
      </c>
      <c r="AA3" s="14" t="s">
        <v>1078</v>
      </c>
      <c r="AB3" s="74" t="s">
        <v>117</v>
      </c>
      <c r="AC3" s="14" t="s">
        <v>1079</v>
      </c>
      <c r="AD3" s="14" t="s">
        <v>1080</v>
      </c>
      <c r="AE3" s="14" t="s">
        <v>1081</v>
      </c>
      <c r="AF3" s="74" t="s">
        <v>1082</v>
      </c>
      <c r="AG3" s="14" t="s">
        <v>1083</v>
      </c>
      <c r="AH3" s="85" t="s">
        <v>2318</v>
      </c>
      <c r="AI3" s="81">
        <v>1</v>
      </c>
    </row>
    <row r="4" spans="2:35" x14ac:dyDescent="0.35">
      <c r="B4" s="82">
        <v>46204</v>
      </c>
      <c r="C4" s="19" t="s">
        <v>1084</v>
      </c>
      <c r="D4" s="19" t="s">
        <v>11</v>
      </c>
      <c r="E4" s="83">
        <v>380</v>
      </c>
      <c r="F4" s="19" t="s">
        <v>1085</v>
      </c>
      <c r="G4" s="19" t="s">
        <v>1086</v>
      </c>
      <c r="H4" s="76">
        <v>46204</v>
      </c>
      <c r="I4" s="19" t="s">
        <v>36</v>
      </c>
      <c r="J4" s="19" t="s">
        <v>1087</v>
      </c>
      <c r="K4" s="19" t="s">
        <v>46</v>
      </c>
      <c r="L4" s="19" t="s">
        <v>1088</v>
      </c>
      <c r="M4" s="19" t="s">
        <v>1089</v>
      </c>
      <c r="N4" s="19">
        <v>1210</v>
      </c>
      <c r="O4" s="19">
        <v>182891.5</v>
      </c>
      <c r="P4" s="19" t="s">
        <v>1090</v>
      </c>
      <c r="Q4" s="19">
        <v>215629.09</v>
      </c>
      <c r="R4" s="19">
        <v>9</v>
      </c>
      <c r="S4" s="19">
        <v>16460.240000000002</v>
      </c>
      <c r="T4" s="19">
        <v>9</v>
      </c>
      <c r="U4" s="19">
        <v>16460.240000000002</v>
      </c>
      <c r="V4" s="19">
        <v>0</v>
      </c>
      <c r="W4" s="19">
        <v>0</v>
      </c>
      <c r="X4" s="19">
        <v>0</v>
      </c>
      <c r="Y4" s="19">
        <v>32920.480000000003</v>
      </c>
      <c r="Z4" s="19">
        <v>0</v>
      </c>
      <c r="AA4" s="19" t="s">
        <v>135</v>
      </c>
      <c r="AB4" s="19" t="s">
        <v>1091</v>
      </c>
      <c r="AC4" s="19">
        <v>39199090</v>
      </c>
      <c r="AD4" s="19" t="s">
        <v>1092</v>
      </c>
      <c r="AE4" s="19">
        <v>1</v>
      </c>
      <c r="AF4" s="19">
        <v>1210</v>
      </c>
      <c r="AG4" s="19" t="s">
        <v>1093</v>
      </c>
      <c r="AH4" s="19" t="s">
        <v>46</v>
      </c>
      <c r="AI4" s="19"/>
    </row>
    <row r="5" spans="2:35" x14ac:dyDescent="0.35">
      <c r="B5" s="82">
        <v>46204</v>
      </c>
      <c r="C5" s="19" t="s">
        <v>1084</v>
      </c>
      <c r="D5" s="19" t="s">
        <v>11</v>
      </c>
      <c r="E5" s="83">
        <v>382</v>
      </c>
      <c r="F5" s="19" t="s">
        <v>1085</v>
      </c>
      <c r="G5" s="19" t="s">
        <v>1094</v>
      </c>
      <c r="H5" s="76">
        <v>46204</v>
      </c>
      <c r="I5" s="19" t="s">
        <v>49</v>
      </c>
      <c r="J5" s="19" t="s">
        <v>50</v>
      </c>
      <c r="K5" s="19" t="s">
        <v>50</v>
      </c>
      <c r="L5" s="19" t="s">
        <v>1095</v>
      </c>
      <c r="M5" s="19" t="s">
        <v>1096</v>
      </c>
      <c r="N5" s="19">
        <v>1241</v>
      </c>
      <c r="O5" s="19">
        <v>411019.2</v>
      </c>
      <c r="P5" s="19" t="s">
        <v>1097</v>
      </c>
      <c r="Q5" s="19">
        <v>1588073.07</v>
      </c>
      <c r="R5" s="19">
        <v>9</v>
      </c>
      <c r="S5" s="19">
        <v>36991.730000000003</v>
      </c>
      <c r="T5" s="19">
        <v>9</v>
      </c>
      <c r="U5" s="19">
        <v>36991.730000000003</v>
      </c>
      <c r="V5" s="19">
        <v>0</v>
      </c>
      <c r="W5" s="19">
        <v>0</v>
      </c>
      <c r="X5" s="19">
        <v>0</v>
      </c>
      <c r="Y5" s="19">
        <v>73983.460000000006</v>
      </c>
      <c r="Z5" s="19">
        <v>0</v>
      </c>
      <c r="AA5" s="19" t="s">
        <v>135</v>
      </c>
      <c r="AB5" s="19" t="s">
        <v>1091</v>
      </c>
      <c r="AC5" s="19">
        <v>63053200</v>
      </c>
      <c r="AD5" s="19" t="s">
        <v>1092</v>
      </c>
      <c r="AE5" s="19">
        <v>1</v>
      </c>
      <c r="AF5" s="19">
        <v>1241</v>
      </c>
      <c r="AG5" s="19" t="s">
        <v>1093</v>
      </c>
      <c r="AH5" s="19" t="s">
        <v>50</v>
      </c>
      <c r="AI5" s="19"/>
    </row>
    <row r="6" spans="2:35" x14ac:dyDescent="0.35">
      <c r="B6" s="82">
        <v>46204</v>
      </c>
      <c r="C6" s="19" t="s">
        <v>1084</v>
      </c>
      <c r="D6" s="19" t="s">
        <v>11</v>
      </c>
      <c r="E6" s="83">
        <v>382</v>
      </c>
      <c r="F6" s="19" t="s">
        <v>1085</v>
      </c>
      <c r="G6" s="19" t="s">
        <v>1094</v>
      </c>
      <c r="H6" s="76">
        <v>46204</v>
      </c>
      <c r="I6" s="19" t="s">
        <v>49</v>
      </c>
      <c r="J6" s="19" t="s">
        <v>50</v>
      </c>
      <c r="K6" s="19" t="s">
        <v>50</v>
      </c>
      <c r="L6" s="19" t="s">
        <v>1095</v>
      </c>
      <c r="M6" s="19" t="s">
        <v>1098</v>
      </c>
      <c r="N6" s="19">
        <v>2700.6</v>
      </c>
      <c r="O6" s="19">
        <v>935946.94</v>
      </c>
      <c r="P6" s="19" t="s">
        <v>1099</v>
      </c>
      <c r="Q6" s="19">
        <v>0</v>
      </c>
      <c r="R6" s="19">
        <v>9</v>
      </c>
      <c r="S6" s="19">
        <v>84235.22</v>
      </c>
      <c r="T6" s="19">
        <v>9</v>
      </c>
      <c r="U6" s="19">
        <v>84235.22</v>
      </c>
      <c r="V6" s="19">
        <v>0</v>
      </c>
      <c r="W6" s="19">
        <v>0</v>
      </c>
      <c r="X6" s="19">
        <v>0</v>
      </c>
      <c r="Y6" s="19">
        <v>168470.44</v>
      </c>
      <c r="Z6" s="19">
        <v>0</v>
      </c>
      <c r="AA6" s="19" t="s">
        <v>135</v>
      </c>
      <c r="AB6" s="19" t="s">
        <v>1091</v>
      </c>
      <c r="AC6" s="19">
        <v>63053200</v>
      </c>
      <c r="AD6" s="19" t="s">
        <v>1092</v>
      </c>
      <c r="AE6" s="19">
        <v>1</v>
      </c>
      <c r="AF6" s="19">
        <v>2700.6</v>
      </c>
      <c r="AG6" s="19" t="s">
        <v>1093</v>
      </c>
      <c r="AH6" s="19" t="s">
        <v>50</v>
      </c>
      <c r="AI6" s="19"/>
    </row>
    <row r="7" spans="2:35" x14ac:dyDescent="0.35">
      <c r="B7" s="82">
        <v>46204</v>
      </c>
      <c r="C7" s="19" t="s">
        <v>1084</v>
      </c>
      <c r="D7" s="19" t="s">
        <v>11</v>
      </c>
      <c r="E7" s="83">
        <v>383</v>
      </c>
      <c r="F7" s="19" t="s">
        <v>1085</v>
      </c>
      <c r="G7" s="19" t="s">
        <v>1100</v>
      </c>
      <c r="H7" s="76">
        <v>46204</v>
      </c>
      <c r="I7" s="19" t="s">
        <v>49</v>
      </c>
      <c r="J7" s="19" t="s">
        <v>50</v>
      </c>
      <c r="K7" s="19" t="s">
        <v>50</v>
      </c>
      <c r="L7" s="19" t="s">
        <v>1095</v>
      </c>
      <c r="M7" s="19" t="s">
        <v>1098</v>
      </c>
      <c r="N7" s="19">
        <v>410</v>
      </c>
      <c r="O7" s="19">
        <v>98748.5</v>
      </c>
      <c r="P7" s="19" t="s">
        <v>1101</v>
      </c>
      <c r="Q7" s="19">
        <v>116424.47</v>
      </c>
      <c r="R7" s="19">
        <v>9</v>
      </c>
      <c r="S7" s="19">
        <v>8887.36</v>
      </c>
      <c r="T7" s="19">
        <v>9</v>
      </c>
      <c r="U7" s="19">
        <v>8887.36</v>
      </c>
      <c r="V7" s="19">
        <v>0</v>
      </c>
      <c r="W7" s="19">
        <v>0</v>
      </c>
      <c r="X7" s="19">
        <v>0</v>
      </c>
      <c r="Y7" s="19">
        <v>17774.72</v>
      </c>
      <c r="Z7" s="19">
        <v>0</v>
      </c>
      <c r="AA7" s="19" t="s">
        <v>135</v>
      </c>
      <c r="AB7" s="19" t="s">
        <v>1091</v>
      </c>
      <c r="AC7" s="19">
        <v>63053200</v>
      </c>
      <c r="AD7" s="19" t="s">
        <v>1092</v>
      </c>
      <c r="AE7" s="19">
        <v>1</v>
      </c>
      <c r="AF7" s="19">
        <v>410</v>
      </c>
      <c r="AG7" s="19" t="s">
        <v>1093</v>
      </c>
      <c r="AH7" s="19" t="s">
        <v>50</v>
      </c>
      <c r="AI7" s="19"/>
    </row>
    <row r="8" spans="2:35" x14ac:dyDescent="0.35">
      <c r="B8" s="82">
        <v>46204</v>
      </c>
      <c r="C8" s="19" t="s">
        <v>1102</v>
      </c>
      <c r="D8" s="19" t="s">
        <v>11</v>
      </c>
      <c r="E8" s="83">
        <v>381</v>
      </c>
      <c r="F8" s="19" t="s">
        <v>1103</v>
      </c>
      <c r="G8" s="19" t="s">
        <v>1104</v>
      </c>
      <c r="H8" s="76">
        <v>46204</v>
      </c>
      <c r="I8" s="19" t="s">
        <v>36</v>
      </c>
      <c r="J8" s="19" t="s">
        <v>47</v>
      </c>
      <c r="K8" s="19" t="s">
        <v>47</v>
      </c>
      <c r="L8" s="19" t="s">
        <v>1105</v>
      </c>
      <c r="M8" s="19" t="s">
        <v>47</v>
      </c>
      <c r="N8" s="19">
        <v>19000</v>
      </c>
      <c r="O8" s="19">
        <v>1280600</v>
      </c>
      <c r="P8" s="19" t="s">
        <v>1106</v>
      </c>
      <c r="Q8" s="19">
        <v>1509827.4</v>
      </c>
      <c r="R8" s="19">
        <v>0</v>
      </c>
      <c r="S8" s="19">
        <v>0</v>
      </c>
      <c r="T8" s="19">
        <v>0</v>
      </c>
      <c r="U8" s="19">
        <v>0</v>
      </c>
      <c r="V8" s="19">
        <v>18</v>
      </c>
      <c r="W8" s="19">
        <v>230508</v>
      </c>
      <c r="X8" s="19">
        <v>0</v>
      </c>
      <c r="Y8" s="19">
        <v>230508</v>
      </c>
      <c r="Z8" s="19">
        <v>0</v>
      </c>
      <c r="AA8" s="19" t="s">
        <v>1107</v>
      </c>
      <c r="AB8" s="19" t="s">
        <v>1091</v>
      </c>
      <c r="AC8" s="19">
        <v>39029000</v>
      </c>
      <c r="AD8" s="19" t="s">
        <v>1092</v>
      </c>
      <c r="AE8" s="19">
        <v>1</v>
      </c>
      <c r="AF8" s="19">
        <v>19000</v>
      </c>
      <c r="AG8" s="19" t="s">
        <v>1093</v>
      </c>
      <c r="AH8" s="19" t="s">
        <v>47</v>
      </c>
      <c r="AI8" s="19"/>
    </row>
    <row r="9" spans="2:35" x14ac:dyDescent="0.35">
      <c r="B9" s="82">
        <v>46204</v>
      </c>
      <c r="C9" s="19" t="s">
        <v>1108</v>
      </c>
      <c r="D9" s="19" t="s">
        <v>1109</v>
      </c>
      <c r="E9" s="83" t="s">
        <v>1110</v>
      </c>
      <c r="F9" s="19" t="s">
        <v>1111</v>
      </c>
      <c r="G9" s="19" t="s">
        <v>1110</v>
      </c>
      <c r="H9" s="76">
        <v>46204</v>
      </c>
      <c r="I9" s="19" t="s">
        <v>49</v>
      </c>
      <c r="J9" s="19" t="s">
        <v>50</v>
      </c>
      <c r="K9" s="19" t="s">
        <v>50</v>
      </c>
      <c r="L9" s="19" t="s">
        <v>1095</v>
      </c>
      <c r="M9" s="19" t="s">
        <v>1098</v>
      </c>
      <c r="N9" s="19">
        <v>19021.400000000001</v>
      </c>
      <c r="O9" s="19">
        <v>4308595.2</v>
      </c>
      <c r="P9" s="19" t="s">
        <v>1112</v>
      </c>
      <c r="Q9" s="19">
        <v>4308595.2</v>
      </c>
      <c r="R9" s="19">
        <v>0</v>
      </c>
      <c r="S9" s="19">
        <v>0</v>
      </c>
      <c r="T9" s="19">
        <v>0</v>
      </c>
      <c r="U9" s="19">
        <v>0</v>
      </c>
      <c r="V9" s="19">
        <v>18</v>
      </c>
      <c r="W9" s="19">
        <v>775547.13600000006</v>
      </c>
      <c r="X9" s="19">
        <v>0.17</v>
      </c>
      <c r="Y9" s="19">
        <v>775547.30599999998</v>
      </c>
      <c r="Z9" s="19">
        <v>0</v>
      </c>
      <c r="AA9" s="19" t="s">
        <v>229</v>
      </c>
      <c r="AB9" s="19" t="s">
        <v>1091</v>
      </c>
      <c r="AC9" s="19">
        <v>63053200</v>
      </c>
      <c r="AD9" s="19" t="s">
        <v>1113</v>
      </c>
      <c r="AE9" s="19">
        <v>93.6</v>
      </c>
      <c r="AF9" s="19">
        <v>19021.400000000001</v>
      </c>
      <c r="AG9" s="19" t="s">
        <v>1114</v>
      </c>
      <c r="AH9" s="19" t="s">
        <v>50</v>
      </c>
      <c r="AI9" s="19"/>
    </row>
    <row r="10" spans="2:35" x14ac:dyDescent="0.35">
      <c r="B10" s="82">
        <v>46205</v>
      </c>
      <c r="C10" s="19" t="s">
        <v>1115</v>
      </c>
      <c r="D10" s="19" t="s">
        <v>1109</v>
      </c>
      <c r="E10" s="83" t="s">
        <v>1116</v>
      </c>
      <c r="F10" s="19" t="s">
        <v>1111</v>
      </c>
      <c r="G10" s="19" t="s">
        <v>1116</v>
      </c>
      <c r="H10" s="76">
        <v>46205</v>
      </c>
      <c r="I10" s="19" t="s">
        <v>36</v>
      </c>
      <c r="J10" s="19" t="s">
        <v>1117</v>
      </c>
      <c r="K10" s="19" t="s">
        <v>44</v>
      </c>
      <c r="L10" s="19" t="s">
        <v>1118</v>
      </c>
      <c r="M10" s="19" t="s">
        <v>1119</v>
      </c>
      <c r="N10" s="19">
        <v>20346.2</v>
      </c>
      <c r="O10" s="19">
        <v>3798377.2140000002</v>
      </c>
      <c r="P10" s="19" t="s">
        <v>1120</v>
      </c>
      <c r="Q10" s="19">
        <v>4098074.57</v>
      </c>
      <c r="R10" s="19">
        <v>0</v>
      </c>
      <c r="S10" s="19">
        <v>0</v>
      </c>
      <c r="T10" s="19">
        <v>0</v>
      </c>
      <c r="U10" s="19">
        <v>0</v>
      </c>
      <c r="V10" s="19">
        <v>18</v>
      </c>
      <c r="W10" s="19">
        <v>683707.91989999998</v>
      </c>
      <c r="X10" s="19">
        <v>53576.66</v>
      </c>
      <c r="Y10" s="19">
        <v>737284.57990000001</v>
      </c>
      <c r="Z10" s="19">
        <v>0</v>
      </c>
      <c r="AA10" s="19" t="s">
        <v>229</v>
      </c>
      <c r="AB10" s="19" t="s">
        <v>1091</v>
      </c>
      <c r="AC10" s="19">
        <v>39269080</v>
      </c>
      <c r="AD10" s="19" t="s">
        <v>1121</v>
      </c>
      <c r="AE10" s="19">
        <v>106.9</v>
      </c>
      <c r="AF10" s="19">
        <v>20346.2</v>
      </c>
      <c r="AG10" s="19" t="s">
        <v>1122</v>
      </c>
      <c r="AH10" s="19" t="s">
        <v>44</v>
      </c>
      <c r="AI10" s="19"/>
    </row>
    <row r="11" spans="2:35" hidden="1" x14ac:dyDescent="0.35">
      <c r="B11" s="82">
        <v>46205</v>
      </c>
      <c r="C11" s="19" t="s">
        <v>1123</v>
      </c>
      <c r="D11" s="19" t="s">
        <v>11</v>
      </c>
      <c r="E11" s="83">
        <v>385</v>
      </c>
      <c r="F11" s="19" t="s">
        <v>1124</v>
      </c>
      <c r="G11" s="19" t="s">
        <v>1125</v>
      </c>
      <c r="H11" s="76">
        <v>46205</v>
      </c>
      <c r="I11" s="19" t="s">
        <v>102</v>
      </c>
      <c r="J11" s="19" t="s">
        <v>1126</v>
      </c>
      <c r="K11" s="19" t="s">
        <v>1127</v>
      </c>
      <c r="L11" s="19" t="s">
        <v>102</v>
      </c>
      <c r="M11" s="19" t="s">
        <v>1128</v>
      </c>
      <c r="N11" s="19">
        <v>420</v>
      </c>
      <c r="O11" s="19">
        <v>54600</v>
      </c>
      <c r="P11" s="19" t="s">
        <v>1128</v>
      </c>
      <c r="Q11" s="19">
        <v>64373.4</v>
      </c>
      <c r="R11" s="19">
        <v>9</v>
      </c>
      <c r="S11" s="19">
        <v>4914</v>
      </c>
      <c r="T11" s="19">
        <v>9</v>
      </c>
      <c r="U11" s="19">
        <v>4914</v>
      </c>
      <c r="V11" s="19">
        <v>0</v>
      </c>
      <c r="W11" s="19">
        <v>0</v>
      </c>
      <c r="X11" s="19">
        <v>0</v>
      </c>
      <c r="Y11" s="19">
        <v>9828</v>
      </c>
      <c r="Z11" s="19">
        <v>0</v>
      </c>
      <c r="AA11" s="19" t="s">
        <v>179</v>
      </c>
      <c r="AB11" s="19" t="s">
        <v>1091</v>
      </c>
      <c r="AC11" s="19">
        <v>271019</v>
      </c>
      <c r="AD11" s="19" t="s">
        <v>1092</v>
      </c>
      <c r="AE11" s="19">
        <v>1</v>
      </c>
      <c r="AF11" s="19">
        <v>420</v>
      </c>
      <c r="AG11" s="19" t="s">
        <v>1093</v>
      </c>
      <c r="AH11" s="83" t="s">
        <v>2319</v>
      </c>
      <c r="AI11" s="19"/>
    </row>
    <row r="12" spans="2:35" x14ac:dyDescent="0.35">
      <c r="B12" s="82">
        <v>46205</v>
      </c>
      <c r="C12" s="19" t="s">
        <v>1123</v>
      </c>
      <c r="D12" s="19" t="s">
        <v>1129</v>
      </c>
      <c r="E12" s="83" t="s">
        <v>1130</v>
      </c>
      <c r="F12" s="19" t="s">
        <v>1131</v>
      </c>
      <c r="G12" s="19" t="s">
        <v>1130</v>
      </c>
      <c r="H12" s="76">
        <v>46205</v>
      </c>
      <c r="I12" s="19" t="s">
        <v>49</v>
      </c>
      <c r="J12" s="19" t="s">
        <v>50</v>
      </c>
      <c r="K12" s="19" t="s">
        <v>50</v>
      </c>
      <c r="L12" s="19" t="s">
        <v>1095</v>
      </c>
      <c r="M12" s="19" t="s">
        <v>1098</v>
      </c>
      <c r="N12" s="19">
        <v>2377.3000000000002</v>
      </c>
      <c r="O12" s="19">
        <v>461695.43300000002</v>
      </c>
      <c r="P12" s="19" t="s">
        <v>1132</v>
      </c>
      <c r="Q12" s="19">
        <v>4585006.13</v>
      </c>
      <c r="R12" s="19">
        <v>9</v>
      </c>
      <c r="S12" s="19">
        <v>41552.589999999997</v>
      </c>
      <c r="T12" s="19">
        <v>9</v>
      </c>
      <c r="U12" s="19">
        <v>41552.589999999997</v>
      </c>
      <c r="V12" s="19">
        <v>0</v>
      </c>
      <c r="W12" s="19">
        <v>0</v>
      </c>
      <c r="X12" s="19">
        <v>0</v>
      </c>
      <c r="Y12" s="19">
        <v>83105.179999999993</v>
      </c>
      <c r="Z12" s="19">
        <v>0</v>
      </c>
      <c r="AA12" s="19" t="s">
        <v>179</v>
      </c>
      <c r="AB12" s="19" t="s">
        <v>1091</v>
      </c>
      <c r="AC12" s="19">
        <v>998852</v>
      </c>
      <c r="AD12" s="19" t="s">
        <v>1092</v>
      </c>
      <c r="AE12" s="19">
        <v>1</v>
      </c>
      <c r="AF12" s="19">
        <v>2377.3000000000002</v>
      </c>
      <c r="AG12" s="19" t="s">
        <v>1093</v>
      </c>
      <c r="AH12" s="19" t="s">
        <v>50</v>
      </c>
      <c r="AI12" s="19"/>
    </row>
    <row r="13" spans="2:35" x14ac:dyDescent="0.35">
      <c r="B13" s="82">
        <v>46205</v>
      </c>
      <c r="C13" s="19" t="s">
        <v>1123</v>
      </c>
      <c r="D13" s="19" t="s">
        <v>1129</v>
      </c>
      <c r="E13" s="83" t="s">
        <v>1130</v>
      </c>
      <c r="F13" s="19" t="s">
        <v>1131</v>
      </c>
      <c r="G13" s="19" t="s">
        <v>1130</v>
      </c>
      <c r="H13" s="76">
        <v>46205</v>
      </c>
      <c r="I13" s="19" t="s">
        <v>49</v>
      </c>
      <c r="J13" s="19" t="s">
        <v>50</v>
      </c>
      <c r="K13" s="19" t="s">
        <v>50</v>
      </c>
      <c r="L13" s="19" t="s">
        <v>1095</v>
      </c>
      <c r="M13" s="19" t="s">
        <v>1098</v>
      </c>
      <c r="N13" s="19">
        <v>5064</v>
      </c>
      <c r="O13" s="19">
        <v>1004191.2</v>
      </c>
      <c r="P13" s="19" t="s">
        <v>1133</v>
      </c>
      <c r="Q13" s="19">
        <v>0</v>
      </c>
      <c r="R13" s="19">
        <v>9</v>
      </c>
      <c r="S13" s="19">
        <v>90377.21</v>
      </c>
      <c r="T13" s="19">
        <v>9</v>
      </c>
      <c r="U13" s="19">
        <v>90377.21</v>
      </c>
      <c r="V13" s="19">
        <v>0</v>
      </c>
      <c r="W13" s="19">
        <v>0</v>
      </c>
      <c r="X13" s="19">
        <v>0</v>
      </c>
      <c r="Y13" s="19">
        <v>180754.42</v>
      </c>
      <c r="Z13" s="19">
        <v>0</v>
      </c>
      <c r="AA13" s="19" t="s">
        <v>179</v>
      </c>
      <c r="AB13" s="19" t="s">
        <v>1091</v>
      </c>
      <c r="AC13" s="19">
        <v>998852</v>
      </c>
      <c r="AD13" s="19" t="s">
        <v>1092</v>
      </c>
      <c r="AE13" s="19">
        <v>1</v>
      </c>
      <c r="AF13" s="19">
        <v>5064</v>
      </c>
      <c r="AG13" s="19" t="s">
        <v>1093</v>
      </c>
      <c r="AH13" s="19" t="s">
        <v>50</v>
      </c>
      <c r="AI13" s="19"/>
    </row>
    <row r="14" spans="2:35" x14ac:dyDescent="0.35">
      <c r="B14" s="82">
        <v>46205</v>
      </c>
      <c r="C14" s="19" t="s">
        <v>1123</v>
      </c>
      <c r="D14" s="19" t="s">
        <v>1129</v>
      </c>
      <c r="E14" s="83" t="s">
        <v>1130</v>
      </c>
      <c r="F14" s="19" t="s">
        <v>1131</v>
      </c>
      <c r="G14" s="19" t="s">
        <v>1130</v>
      </c>
      <c r="H14" s="76">
        <v>46205</v>
      </c>
      <c r="I14" s="19" t="s">
        <v>49</v>
      </c>
      <c r="J14" s="19" t="s">
        <v>50</v>
      </c>
      <c r="K14" s="19" t="s">
        <v>50</v>
      </c>
      <c r="L14" s="19" t="s">
        <v>1095</v>
      </c>
      <c r="M14" s="19" t="s">
        <v>1098</v>
      </c>
      <c r="N14" s="19">
        <v>10334.299999999999</v>
      </c>
      <c r="O14" s="19">
        <v>2004027.456</v>
      </c>
      <c r="P14" s="19" t="s">
        <v>1134</v>
      </c>
      <c r="Q14" s="19">
        <v>0</v>
      </c>
      <c r="R14" s="19">
        <v>9</v>
      </c>
      <c r="S14" s="19">
        <v>180362.47</v>
      </c>
      <c r="T14" s="19">
        <v>9</v>
      </c>
      <c r="U14" s="19">
        <v>180362.47</v>
      </c>
      <c r="V14" s="19">
        <v>0</v>
      </c>
      <c r="W14" s="19">
        <v>0</v>
      </c>
      <c r="X14" s="19">
        <v>0</v>
      </c>
      <c r="Y14" s="19">
        <v>360724.94</v>
      </c>
      <c r="Z14" s="19">
        <v>0</v>
      </c>
      <c r="AA14" s="19" t="s">
        <v>179</v>
      </c>
      <c r="AB14" s="19" t="s">
        <v>1091</v>
      </c>
      <c r="AC14" s="19">
        <v>998852</v>
      </c>
      <c r="AD14" s="19" t="s">
        <v>1092</v>
      </c>
      <c r="AE14" s="19">
        <v>1</v>
      </c>
      <c r="AF14" s="19">
        <v>10334.299999999999</v>
      </c>
      <c r="AG14" s="19" t="s">
        <v>1093</v>
      </c>
      <c r="AH14" s="19" t="s">
        <v>50</v>
      </c>
      <c r="AI14" s="19"/>
    </row>
    <row r="15" spans="2:35" x14ac:dyDescent="0.35">
      <c r="B15" s="82">
        <v>46205</v>
      </c>
      <c r="C15" s="19" t="s">
        <v>1123</v>
      </c>
      <c r="D15" s="19" t="s">
        <v>1129</v>
      </c>
      <c r="E15" s="83" t="s">
        <v>1130</v>
      </c>
      <c r="F15" s="19" t="s">
        <v>1131</v>
      </c>
      <c r="G15" s="19" t="s">
        <v>1130</v>
      </c>
      <c r="H15" s="76">
        <v>46205</v>
      </c>
      <c r="I15" s="19" t="s">
        <v>49</v>
      </c>
      <c r="J15" s="19" t="s">
        <v>50</v>
      </c>
      <c r="K15" s="19" t="s">
        <v>50</v>
      </c>
      <c r="L15" s="19" t="s">
        <v>1095</v>
      </c>
      <c r="M15" s="19" t="s">
        <v>1098</v>
      </c>
      <c r="N15" s="19">
        <v>835.2</v>
      </c>
      <c r="O15" s="19">
        <v>165620.16</v>
      </c>
      <c r="P15" s="19" t="s">
        <v>1133</v>
      </c>
      <c r="Q15" s="19">
        <v>0</v>
      </c>
      <c r="R15" s="19">
        <v>9</v>
      </c>
      <c r="S15" s="19">
        <v>14905.81</v>
      </c>
      <c r="T15" s="19">
        <v>9</v>
      </c>
      <c r="U15" s="19">
        <v>14905.81</v>
      </c>
      <c r="V15" s="19">
        <v>0</v>
      </c>
      <c r="W15" s="19">
        <v>0</v>
      </c>
      <c r="X15" s="19">
        <v>0</v>
      </c>
      <c r="Y15" s="19">
        <v>29811.62</v>
      </c>
      <c r="Z15" s="19">
        <v>0</v>
      </c>
      <c r="AA15" s="19" t="s">
        <v>179</v>
      </c>
      <c r="AB15" s="19" t="s">
        <v>1091</v>
      </c>
      <c r="AC15" s="19">
        <v>998852</v>
      </c>
      <c r="AD15" s="19" t="s">
        <v>1092</v>
      </c>
      <c r="AE15" s="19">
        <v>1</v>
      </c>
      <c r="AF15" s="19">
        <v>835.2</v>
      </c>
      <c r="AG15" s="19" t="s">
        <v>1093</v>
      </c>
      <c r="AH15" s="19" t="s">
        <v>50</v>
      </c>
      <c r="AI15" s="19"/>
    </row>
    <row r="16" spans="2:35" x14ac:dyDescent="0.35">
      <c r="B16" s="82">
        <v>46205</v>
      </c>
      <c r="C16" s="19" t="s">
        <v>1123</v>
      </c>
      <c r="D16" s="19" t="s">
        <v>1129</v>
      </c>
      <c r="E16" s="83" t="s">
        <v>1130</v>
      </c>
      <c r="F16" s="19" t="s">
        <v>1131</v>
      </c>
      <c r="G16" s="19" t="s">
        <v>1130</v>
      </c>
      <c r="H16" s="76">
        <v>46205</v>
      </c>
      <c r="I16" s="19" t="s">
        <v>49</v>
      </c>
      <c r="J16" s="19" t="s">
        <v>50</v>
      </c>
      <c r="K16" s="19" t="s">
        <v>50</v>
      </c>
      <c r="L16" s="19" t="s">
        <v>1095</v>
      </c>
      <c r="M16" s="19" t="s">
        <v>1098</v>
      </c>
      <c r="N16" s="19">
        <v>421.2</v>
      </c>
      <c r="O16" s="19">
        <v>82765.8</v>
      </c>
      <c r="P16" s="19" t="s">
        <v>1135</v>
      </c>
      <c r="Q16" s="19">
        <v>0</v>
      </c>
      <c r="R16" s="19">
        <v>9</v>
      </c>
      <c r="S16" s="19">
        <v>7448.92</v>
      </c>
      <c r="T16" s="19">
        <v>9</v>
      </c>
      <c r="U16" s="19">
        <v>7448.92</v>
      </c>
      <c r="V16" s="19">
        <v>0</v>
      </c>
      <c r="W16" s="19">
        <v>0</v>
      </c>
      <c r="X16" s="19">
        <v>0</v>
      </c>
      <c r="Y16" s="19">
        <v>14897.84</v>
      </c>
      <c r="Z16" s="19">
        <v>0</v>
      </c>
      <c r="AA16" s="19" t="s">
        <v>179</v>
      </c>
      <c r="AB16" s="19" t="s">
        <v>1091</v>
      </c>
      <c r="AC16" s="19">
        <v>998852</v>
      </c>
      <c r="AD16" s="19" t="s">
        <v>1092</v>
      </c>
      <c r="AE16" s="19">
        <v>1</v>
      </c>
      <c r="AF16" s="19">
        <v>421.2</v>
      </c>
      <c r="AG16" s="19" t="s">
        <v>1093</v>
      </c>
      <c r="AH16" s="19" t="s">
        <v>50</v>
      </c>
      <c r="AI16" s="19"/>
    </row>
    <row r="17" spans="2:35" x14ac:dyDescent="0.35">
      <c r="B17" s="82">
        <v>46205</v>
      </c>
      <c r="C17" s="19" t="s">
        <v>1123</v>
      </c>
      <c r="D17" s="19" t="s">
        <v>1129</v>
      </c>
      <c r="E17" s="83" t="s">
        <v>1130</v>
      </c>
      <c r="F17" s="19" t="s">
        <v>1131</v>
      </c>
      <c r="G17" s="19" t="s">
        <v>1130</v>
      </c>
      <c r="H17" s="76">
        <v>46205</v>
      </c>
      <c r="I17" s="19" t="s">
        <v>49</v>
      </c>
      <c r="J17" s="19" t="s">
        <v>50</v>
      </c>
      <c r="K17" s="19" t="s">
        <v>50</v>
      </c>
      <c r="L17" s="19" t="s">
        <v>1095</v>
      </c>
      <c r="M17" s="19" t="s">
        <v>1098</v>
      </c>
      <c r="N17" s="19">
        <v>1181.5</v>
      </c>
      <c r="O17" s="19">
        <v>234291.45</v>
      </c>
      <c r="P17" s="19" t="s">
        <v>1133</v>
      </c>
      <c r="Q17" s="19">
        <v>0</v>
      </c>
      <c r="R17" s="19">
        <v>9</v>
      </c>
      <c r="S17" s="19">
        <v>21086.23</v>
      </c>
      <c r="T17" s="19">
        <v>9</v>
      </c>
      <c r="U17" s="19">
        <v>21086.23</v>
      </c>
      <c r="V17" s="19">
        <v>0</v>
      </c>
      <c r="W17" s="19">
        <v>0</v>
      </c>
      <c r="X17" s="19">
        <v>0</v>
      </c>
      <c r="Y17" s="19">
        <v>42172.46</v>
      </c>
      <c r="Z17" s="19">
        <v>0</v>
      </c>
      <c r="AA17" s="19" t="s">
        <v>179</v>
      </c>
      <c r="AB17" s="19" t="s">
        <v>1091</v>
      </c>
      <c r="AC17" s="19">
        <v>998852</v>
      </c>
      <c r="AD17" s="19" t="s">
        <v>1092</v>
      </c>
      <c r="AE17" s="19">
        <v>1</v>
      </c>
      <c r="AF17" s="19">
        <v>1181.5</v>
      </c>
      <c r="AG17" s="19" t="s">
        <v>1093</v>
      </c>
      <c r="AH17" s="19" t="s">
        <v>50</v>
      </c>
      <c r="AI17" s="19"/>
    </row>
    <row r="18" spans="2:35" x14ac:dyDescent="0.35">
      <c r="B18" s="82">
        <v>46205</v>
      </c>
      <c r="C18" s="19" t="s">
        <v>1136</v>
      </c>
      <c r="D18" s="19" t="s">
        <v>11</v>
      </c>
      <c r="E18" s="83">
        <v>386</v>
      </c>
      <c r="F18" s="19" t="s">
        <v>1085</v>
      </c>
      <c r="G18" s="19" t="s">
        <v>1137</v>
      </c>
      <c r="H18" s="76">
        <v>46205</v>
      </c>
      <c r="I18" s="19" t="s">
        <v>36</v>
      </c>
      <c r="J18" s="19" t="s">
        <v>1087</v>
      </c>
      <c r="K18" s="19" t="s">
        <v>46</v>
      </c>
      <c r="L18" s="19" t="s">
        <v>1138</v>
      </c>
      <c r="M18" s="19" t="s">
        <v>1089</v>
      </c>
      <c r="N18" s="19">
        <v>800</v>
      </c>
      <c r="O18" s="19">
        <v>123520</v>
      </c>
      <c r="P18" s="19" t="s">
        <v>1090</v>
      </c>
      <c r="Q18" s="19">
        <v>1038954.56</v>
      </c>
      <c r="R18" s="19">
        <v>2.5</v>
      </c>
      <c r="S18" s="19">
        <v>3088</v>
      </c>
      <c r="T18" s="19">
        <v>2.5</v>
      </c>
      <c r="U18" s="19">
        <v>3088</v>
      </c>
      <c r="V18" s="19">
        <v>0</v>
      </c>
      <c r="W18" s="19">
        <v>0</v>
      </c>
      <c r="X18" s="19">
        <v>0</v>
      </c>
      <c r="Y18" s="19">
        <v>6176</v>
      </c>
      <c r="Z18" s="19">
        <v>0</v>
      </c>
      <c r="AA18" s="19" t="s">
        <v>135</v>
      </c>
      <c r="AB18" s="19" t="s">
        <v>1091</v>
      </c>
      <c r="AC18" s="19">
        <v>54026930</v>
      </c>
      <c r="AD18" s="19" t="s">
        <v>1092</v>
      </c>
      <c r="AE18" s="19">
        <v>1</v>
      </c>
      <c r="AF18" s="19">
        <v>800</v>
      </c>
      <c r="AG18" s="19" t="s">
        <v>1093</v>
      </c>
      <c r="AH18" s="19" t="s">
        <v>46</v>
      </c>
      <c r="AI18" s="19"/>
    </row>
    <row r="19" spans="2:35" x14ac:dyDescent="0.35">
      <c r="B19" s="82">
        <v>46205</v>
      </c>
      <c r="C19" s="19" t="s">
        <v>1136</v>
      </c>
      <c r="D19" s="19" t="s">
        <v>11</v>
      </c>
      <c r="E19" s="83">
        <v>386</v>
      </c>
      <c r="F19" s="19" t="s">
        <v>1085</v>
      </c>
      <c r="G19" s="19" t="s">
        <v>1137</v>
      </c>
      <c r="H19" s="76">
        <v>46205</v>
      </c>
      <c r="I19" s="19" t="s">
        <v>36</v>
      </c>
      <c r="J19" s="19" t="s">
        <v>1117</v>
      </c>
      <c r="K19" s="19" t="s">
        <v>44</v>
      </c>
      <c r="L19" s="19" t="s">
        <v>1118</v>
      </c>
      <c r="M19" s="19" t="s">
        <v>1119</v>
      </c>
      <c r="N19" s="19">
        <v>3493.4</v>
      </c>
      <c r="O19" s="19">
        <v>574314.96</v>
      </c>
      <c r="P19" s="19" t="s">
        <v>1139</v>
      </c>
      <c r="Q19" s="19">
        <v>0</v>
      </c>
      <c r="R19" s="19">
        <v>9</v>
      </c>
      <c r="S19" s="19">
        <v>51688.35</v>
      </c>
      <c r="T19" s="19">
        <v>9</v>
      </c>
      <c r="U19" s="19">
        <v>51688.35</v>
      </c>
      <c r="V19" s="19">
        <v>0</v>
      </c>
      <c r="W19" s="19">
        <v>0</v>
      </c>
      <c r="X19" s="19">
        <v>0</v>
      </c>
      <c r="Y19" s="19">
        <v>103376.7</v>
      </c>
      <c r="Z19" s="19">
        <v>0</v>
      </c>
      <c r="AA19" s="19" t="s">
        <v>135</v>
      </c>
      <c r="AB19" s="19" t="s">
        <v>1091</v>
      </c>
      <c r="AC19" s="19">
        <v>39269080</v>
      </c>
      <c r="AD19" s="19" t="s">
        <v>1092</v>
      </c>
      <c r="AE19" s="19">
        <v>1</v>
      </c>
      <c r="AF19" s="19">
        <v>3493.4</v>
      </c>
      <c r="AG19" s="19" t="s">
        <v>1093</v>
      </c>
      <c r="AH19" s="19" t="s">
        <v>44</v>
      </c>
      <c r="AI19" s="19"/>
    </row>
    <row r="20" spans="2:35" x14ac:dyDescent="0.35">
      <c r="B20" s="82">
        <v>46205</v>
      </c>
      <c r="C20" s="19" t="s">
        <v>1136</v>
      </c>
      <c r="D20" s="19" t="s">
        <v>11</v>
      </c>
      <c r="E20" s="83">
        <v>386</v>
      </c>
      <c r="F20" s="19" t="s">
        <v>1085</v>
      </c>
      <c r="G20" s="19" t="s">
        <v>1137</v>
      </c>
      <c r="H20" s="76">
        <v>46205</v>
      </c>
      <c r="I20" s="19" t="s">
        <v>36</v>
      </c>
      <c r="J20" s="19" t="s">
        <v>1117</v>
      </c>
      <c r="K20" s="19" t="s">
        <v>44</v>
      </c>
      <c r="L20" s="19" t="s">
        <v>1118</v>
      </c>
      <c r="M20" s="19" t="s">
        <v>1119</v>
      </c>
      <c r="N20" s="19">
        <v>1142.7</v>
      </c>
      <c r="O20" s="19">
        <v>197001.48</v>
      </c>
      <c r="P20" s="19" t="s">
        <v>1140</v>
      </c>
      <c r="Q20" s="19">
        <v>0</v>
      </c>
      <c r="R20" s="19">
        <v>9</v>
      </c>
      <c r="S20" s="19">
        <v>17730.13</v>
      </c>
      <c r="T20" s="19">
        <v>9</v>
      </c>
      <c r="U20" s="19">
        <v>17730.13</v>
      </c>
      <c r="V20" s="19">
        <v>0</v>
      </c>
      <c r="W20" s="19">
        <v>0</v>
      </c>
      <c r="X20" s="19">
        <v>0</v>
      </c>
      <c r="Y20" s="19">
        <v>35460.26</v>
      </c>
      <c r="Z20" s="19">
        <v>0</v>
      </c>
      <c r="AA20" s="19" t="s">
        <v>135</v>
      </c>
      <c r="AB20" s="19" t="s">
        <v>1091</v>
      </c>
      <c r="AC20" s="19">
        <v>39269080</v>
      </c>
      <c r="AD20" s="19" t="s">
        <v>1092</v>
      </c>
      <c r="AE20" s="19">
        <v>1</v>
      </c>
      <c r="AF20" s="19">
        <v>1142.7</v>
      </c>
      <c r="AG20" s="19" t="s">
        <v>1093</v>
      </c>
      <c r="AH20" s="19" t="s">
        <v>44</v>
      </c>
      <c r="AI20" s="19"/>
    </row>
    <row r="21" spans="2:35" hidden="1" x14ac:dyDescent="0.35">
      <c r="B21" s="82">
        <v>46205</v>
      </c>
      <c r="C21" s="19" t="s">
        <v>1136</v>
      </c>
      <c r="D21" s="19" t="s">
        <v>11</v>
      </c>
      <c r="E21" s="83">
        <v>387</v>
      </c>
      <c r="F21" s="19" t="s">
        <v>1124</v>
      </c>
      <c r="G21" s="19" t="s">
        <v>1141</v>
      </c>
      <c r="H21" s="76">
        <v>46205</v>
      </c>
      <c r="I21" s="19" t="s">
        <v>105</v>
      </c>
      <c r="J21" s="19" t="s">
        <v>1142</v>
      </c>
      <c r="K21" s="19" t="s">
        <v>1143</v>
      </c>
      <c r="L21" s="19" t="s">
        <v>1144</v>
      </c>
      <c r="M21" s="19" t="s">
        <v>1145</v>
      </c>
      <c r="N21" s="19">
        <v>195</v>
      </c>
      <c r="O21" s="19">
        <v>9360</v>
      </c>
      <c r="P21" s="19" t="s">
        <v>1139</v>
      </c>
      <c r="Q21" s="19">
        <v>11035.44</v>
      </c>
      <c r="R21" s="19">
        <v>9</v>
      </c>
      <c r="S21" s="19">
        <v>842.4</v>
      </c>
      <c r="T21" s="19">
        <v>9</v>
      </c>
      <c r="U21" s="19">
        <v>842.4</v>
      </c>
      <c r="V21" s="19">
        <v>0</v>
      </c>
      <c r="W21" s="19">
        <v>0</v>
      </c>
      <c r="X21" s="19">
        <v>0</v>
      </c>
      <c r="Y21" s="19">
        <v>1684.8</v>
      </c>
      <c r="Z21" s="19">
        <v>0</v>
      </c>
      <c r="AA21" s="19" t="s">
        <v>135</v>
      </c>
      <c r="AB21" s="19" t="s">
        <v>1091</v>
      </c>
      <c r="AC21" s="19">
        <v>73063090</v>
      </c>
      <c r="AD21" s="19" t="s">
        <v>1092</v>
      </c>
      <c r="AE21" s="19">
        <v>1</v>
      </c>
      <c r="AF21" s="19">
        <v>195</v>
      </c>
      <c r="AG21" s="19" t="s">
        <v>1093</v>
      </c>
      <c r="AH21" s="83" t="s">
        <v>2319</v>
      </c>
      <c r="AI21" s="19"/>
    </row>
    <row r="22" spans="2:35" x14ac:dyDescent="0.35">
      <c r="B22" s="82">
        <v>46205</v>
      </c>
      <c r="C22" s="19" t="s">
        <v>1146</v>
      </c>
      <c r="D22" s="19" t="s">
        <v>1129</v>
      </c>
      <c r="E22" s="83" t="s">
        <v>1147</v>
      </c>
      <c r="F22" s="19" t="s">
        <v>1131</v>
      </c>
      <c r="G22" s="19" t="s">
        <v>1147</v>
      </c>
      <c r="H22" s="76">
        <v>46205</v>
      </c>
      <c r="I22" s="19" t="s">
        <v>36</v>
      </c>
      <c r="J22" s="19" t="s">
        <v>1117</v>
      </c>
      <c r="K22" s="19" t="s">
        <v>44</v>
      </c>
      <c r="L22" s="19" t="s">
        <v>1118</v>
      </c>
      <c r="M22" s="19" t="s">
        <v>1119</v>
      </c>
      <c r="N22" s="19">
        <v>652.79999999999995</v>
      </c>
      <c r="O22" s="19">
        <v>31334.400000000001</v>
      </c>
      <c r="P22" s="19" t="s">
        <v>1148</v>
      </c>
      <c r="Q22" s="19">
        <v>36347.910000000003</v>
      </c>
      <c r="R22" s="19">
        <v>9</v>
      </c>
      <c r="S22" s="19">
        <v>2820.1</v>
      </c>
      <c r="T22" s="19">
        <v>9</v>
      </c>
      <c r="U22" s="19">
        <v>2820.1</v>
      </c>
      <c r="V22" s="19">
        <v>0</v>
      </c>
      <c r="W22" s="19">
        <v>0</v>
      </c>
      <c r="X22" s="19">
        <v>0</v>
      </c>
      <c r="Y22" s="19">
        <v>5640.2</v>
      </c>
      <c r="Z22" s="19">
        <v>0</v>
      </c>
      <c r="AA22" s="19" t="s">
        <v>1149</v>
      </c>
      <c r="AB22" s="19" t="s">
        <v>1091</v>
      </c>
      <c r="AC22" s="19">
        <v>998852</v>
      </c>
      <c r="AD22" s="19" t="s">
        <v>1092</v>
      </c>
      <c r="AE22" s="19">
        <v>1</v>
      </c>
      <c r="AF22" s="19">
        <v>652.79999999999995</v>
      </c>
      <c r="AG22" s="19" t="s">
        <v>1093</v>
      </c>
      <c r="AH22" s="19" t="s">
        <v>44</v>
      </c>
      <c r="AI22" s="19"/>
    </row>
    <row r="23" spans="2:35" x14ac:dyDescent="0.35">
      <c r="B23" s="82">
        <v>46205</v>
      </c>
      <c r="C23" s="19" t="s">
        <v>1146</v>
      </c>
      <c r="D23" s="19" t="s">
        <v>1129</v>
      </c>
      <c r="E23" s="83" t="s">
        <v>1150</v>
      </c>
      <c r="F23" s="19" t="s">
        <v>1131</v>
      </c>
      <c r="G23" s="19" t="s">
        <v>1150</v>
      </c>
      <c r="H23" s="76">
        <v>46205</v>
      </c>
      <c r="I23" s="19" t="s">
        <v>36</v>
      </c>
      <c r="J23" s="19" t="s">
        <v>1117</v>
      </c>
      <c r="K23" s="19" t="s">
        <v>44</v>
      </c>
      <c r="L23" s="19" t="s">
        <v>1118</v>
      </c>
      <c r="M23" s="19" t="s">
        <v>1119</v>
      </c>
      <c r="N23" s="19">
        <v>1564</v>
      </c>
      <c r="O23" s="19">
        <v>75072</v>
      </c>
      <c r="P23" s="19" t="s">
        <v>1148</v>
      </c>
      <c r="Q23" s="19">
        <v>87083.520000000004</v>
      </c>
      <c r="R23" s="19">
        <v>9</v>
      </c>
      <c r="S23" s="19">
        <v>6756.48</v>
      </c>
      <c r="T23" s="19">
        <v>9</v>
      </c>
      <c r="U23" s="19">
        <v>6756.48</v>
      </c>
      <c r="V23" s="19">
        <v>0</v>
      </c>
      <c r="W23" s="19">
        <v>0</v>
      </c>
      <c r="X23" s="19">
        <v>0</v>
      </c>
      <c r="Y23" s="19">
        <v>13512.96</v>
      </c>
      <c r="Z23" s="19">
        <v>0</v>
      </c>
      <c r="AA23" s="19" t="s">
        <v>1149</v>
      </c>
      <c r="AB23" s="19" t="s">
        <v>1091</v>
      </c>
      <c r="AC23" s="19">
        <v>998852</v>
      </c>
      <c r="AD23" s="19" t="s">
        <v>1092</v>
      </c>
      <c r="AE23" s="19">
        <v>1</v>
      </c>
      <c r="AF23" s="19">
        <v>1564</v>
      </c>
      <c r="AG23" s="19" t="s">
        <v>1093</v>
      </c>
      <c r="AH23" s="19" t="s">
        <v>44</v>
      </c>
      <c r="AI23" s="19"/>
    </row>
    <row r="24" spans="2:35" x14ac:dyDescent="0.35">
      <c r="B24" s="82">
        <v>46206</v>
      </c>
      <c r="C24" s="19" t="s">
        <v>1123</v>
      </c>
      <c r="D24" s="19" t="s">
        <v>11</v>
      </c>
      <c r="E24" s="83">
        <v>391</v>
      </c>
      <c r="F24" s="19" t="s">
        <v>1085</v>
      </c>
      <c r="G24" s="19" t="s">
        <v>1151</v>
      </c>
      <c r="H24" s="76">
        <v>46206</v>
      </c>
      <c r="I24" s="19" t="s">
        <v>49</v>
      </c>
      <c r="J24" s="19" t="s">
        <v>50</v>
      </c>
      <c r="K24" s="19" t="s">
        <v>50</v>
      </c>
      <c r="L24" s="19" t="s">
        <v>1095</v>
      </c>
      <c r="M24" s="19" t="s">
        <v>1098</v>
      </c>
      <c r="N24" s="19">
        <v>7738.2</v>
      </c>
      <c r="O24" s="19">
        <v>1752160.63</v>
      </c>
      <c r="P24" s="19" t="s">
        <v>1152</v>
      </c>
      <c r="Q24" s="19">
        <v>2065797.39</v>
      </c>
      <c r="R24" s="19">
        <v>9</v>
      </c>
      <c r="S24" s="19">
        <v>157694.46</v>
      </c>
      <c r="T24" s="19">
        <v>9</v>
      </c>
      <c r="U24" s="19">
        <v>157694.46</v>
      </c>
      <c r="V24" s="19">
        <v>0</v>
      </c>
      <c r="W24" s="19">
        <v>0</v>
      </c>
      <c r="X24" s="19">
        <v>0</v>
      </c>
      <c r="Y24" s="19">
        <v>315388.92</v>
      </c>
      <c r="Z24" s="19">
        <v>0</v>
      </c>
      <c r="AA24" s="19" t="s">
        <v>179</v>
      </c>
      <c r="AB24" s="19" t="s">
        <v>1091</v>
      </c>
      <c r="AC24" s="19">
        <v>63053200</v>
      </c>
      <c r="AD24" s="19" t="s">
        <v>1092</v>
      </c>
      <c r="AE24" s="19">
        <v>1</v>
      </c>
      <c r="AF24" s="19">
        <v>7738.2</v>
      </c>
      <c r="AG24" s="19" t="s">
        <v>1093</v>
      </c>
      <c r="AH24" s="19" t="s">
        <v>50</v>
      </c>
      <c r="AI24" s="19"/>
    </row>
    <row r="25" spans="2:35" ht="29" x14ac:dyDescent="0.35">
      <c r="B25" s="82">
        <v>46206</v>
      </c>
      <c r="C25" s="19" t="s">
        <v>1123</v>
      </c>
      <c r="D25" s="19" t="s">
        <v>11</v>
      </c>
      <c r="E25" s="83">
        <v>394</v>
      </c>
      <c r="F25" s="19" t="s">
        <v>1085</v>
      </c>
      <c r="G25" s="19" t="s">
        <v>1153</v>
      </c>
      <c r="H25" s="76">
        <v>46206</v>
      </c>
      <c r="I25" s="19" t="s">
        <v>36</v>
      </c>
      <c r="J25" s="19" t="s">
        <v>1117</v>
      </c>
      <c r="K25" s="19" t="s">
        <v>42</v>
      </c>
      <c r="L25" s="19" t="s">
        <v>1118</v>
      </c>
      <c r="M25" s="19" t="s">
        <v>1154</v>
      </c>
      <c r="N25" s="19">
        <v>463</v>
      </c>
      <c r="O25" s="19">
        <v>72760.45</v>
      </c>
      <c r="P25" s="84" t="s">
        <v>1155</v>
      </c>
      <c r="Q25" s="19">
        <v>92369.76</v>
      </c>
      <c r="R25" s="19">
        <v>9</v>
      </c>
      <c r="S25" s="19">
        <v>6548.44</v>
      </c>
      <c r="T25" s="19">
        <v>9</v>
      </c>
      <c r="U25" s="19">
        <v>6548.44</v>
      </c>
      <c r="V25" s="19">
        <v>0</v>
      </c>
      <c r="W25" s="19">
        <v>0</v>
      </c>
      <c r="X25" s="19">
        <v>0</v>
      </c>
      <c r="Y25" s="19">
        <v>13096.88</v>
      </c>
      <c r="Z25" s="19">
        <v>0</v>
      </c>
      <c r="AA25" s="19" t="s">
        <v>179</v>
      </c>
      <c r="AB25" s="19" t="s">
        <v>1091</v>
      </c>
      <c r="AC25" s="19">
        <v>39269080</v>
      </c>
      <c r="AD25" s="19" t="s">
        <v>1092</v>
      </c>
      <c r="AE25" s="19">
        <v>1</v>
      </c>
      <c r="AF25" s="19">
        <v>463</v>
      </c>
      <c r="AG25" s="19" t="s">
        <v>1093</v>
      </c>
      <c r="AH25" s="19" t="s">
        <v>42</v>
      </c>
      <c r="AI25" s="19"/>
    </row>
    <row r="26" spans="2:35" x14ac:dyDescent="0.35">
      <c r="B26" s="82">
        <v>46206</v>
      </c>
      <c r="C26" s="19" t="s">
        <v>1123</v>
      </c>
      <c r="D26" s="19" t="s">
        <v>11</v>
      </c>
      <c r="E26" s="83">
        <v>394</v>
      </c>
      <c r="F26" s="19" t="s">
        <v>1085</v>
      </c>
      <c r="G26" s="19" t="s">
        <v>1153</v>
      </c>
      <c r="H26" s="76">
        <v>46206</v>
      </c>
      <c r="I26" s="19" t="s">
        <v>36</v>
      </c>
      <c r="J26" s="19" t="s">
        <v>1156</v>
      </c>
      <c r="K26" s="19" t="s">
        <v>45</v>
      </c>
      <c r="L26" s="19" t="s">
        <v>1157</v>
      </c>
      <c r="M26" s="19" t="s">
        <v>1156</v>
      </c>
      <c r="N26" s="19">
        <v>36</v>
      </c>
      <c r="O26" s="19">
        <v>5585.4</v>
      </c>
      <c r="P26" s="19" t="s">
        <v>1158</v>
      </c>
      <c r="Q26" s="19">
        <v>0</v>
      </c>
      <c r="R26" s="19">
        <v>9</v>
      </c>
      <c r="S26" s="19">
        <v>502.69</v>
      </c>
      <c r="T26" s="19">
        <v>9</v>
      </c>
      <c r="U26" s="19">
        <v>502.69</v>
      </c>
      <c r="V26" s="19">
        <v>0</v>
      </c>
      <c r="W26" s="19">
        <v>0</v>
      </c>
      <c r="X26" s="19">
        <v>0</v>
      </c>
      <c r="Y26" s="19">
        <v>1005.38</v>
      </c>
      <c r="Z26" s="19">
        <v>0</v>
      </c>
      <c r="AA26" s="19" t="s">
        <v>179</v>
      </c>
      <c r="AB26" s="19" t="s">
        <v>1091</v>
      </c>
      <c r="AC26" s="19">
        <v>39269080</v>
      </c>
      <c r="AD26" s="19" t="s">
        <v>1092</v>
      </c>
      <c r="AE26" s="19">
        <v>1</v>
      </c>
      <c r="AF26" s="19">
        <v>36</v>
      </c>
      <c r="AG26" s="19" t="s">
        <v>1093</v>
      </c>
      <c r="AH26" s="19" t="s">
        <v>45</v>
      </c>
      <c r="AI26" s="19"/>
    </row>
    <row r="27" spans="2:35" hidden="1" x14ac:dyDescent="0.35">
      <c r="B27" s="82">
        <v>46206</v>
      </c>
      <c r="C27" s="19" t="s">
        <v>1123</v>
      </c>
      <c r="D27" s="19" t="s">
        <v>11</v>
      </c>
      <c r="E27" s="83">
        <v>395</v>
      </c>
      <c r="F27" s="19" t="s">
        <v>1124</v>
      </c>
      <c r="G27" s="19" t="s">
        <v>1159</v>
      </c>
      <c r="H27" s="76">
        <v>46206</v>
      </c>
      <c r="I27" s="19" t="s">
        <v>105</v>
      </c>
      <c r="J27" s="19" t="s">
        <v>1142</v>
      </c>
      <c r="K27" s="19" t="s">
        <v>1143</v>
      </c>
      <c r="L27" s="19" t="s">
        <v>1144</v>
      </c>
      <c r="M27" s="19" t="s">
        <v>1145</v>
      </c>
      <c r="N27" s="19">
        <v>8</v>
      </c>
      <c r="O27" s="19">
        <v>384</v>
      </c>
      <c r="P27" s="19" t="s">
        <v>1139</v>
      </c>
      <c r="Q27" s="19">
        <v>452.74</v>
      </c>
      <c r="R27" s="19">
        <v>9</v>
      </c>
      <c r="S27" s="19">
        <v>34.56</v>
      </c>
      <c r="T27" s="19">
        <v>9</v>
      </c>
      <c r="U27" s="19">
        <v>34.56</v>
      </c>
      <c r="V27" s="19">
        <v>0</v>
      </c>
      <c r="W27" s="19">
        <v>0</v>
      </c>
      <c r="X27" s="19">
        <v>0</v>
      </c>
      <c r="Y27" s="19">
        <v>69.12</v>
      </c>
      <c r="Z27" s="19">
        <v>0</v>
      </c>
      <c r="AA27" s="19" t="s">
        <v>179</v>
      </c>
      <c r="AB27" s="19" t="s">
        <v>1091</v>
      </c>
      <c r="AC27" s="19">
        <v>73063090</v>
      </c>
      <c r="AD27" s="19" t="s">
        <v>1092</v>
      </c>
      <c r="AE27" s="19">
        <v>1</v>
      </c>
      <c r="AF27" s="19">
        <v>8</v>
      </c>
      <c r="AG27" s="19" t="s">
        <v>1093</v>
      </c>
      <c r="AH27" s="83" t="s">
        <v>2319</v>
      </c>
      <c r="AI27" s="19"/>
    </row>
    <row r="28" spans="2:35" x14ac:dyDescent="0.35">
      <c r="B28" s="82">
        <v>46206</v>
      </c>
      <c r="C28" s="19" t="s">
        <v>1123</v>
      </c>
      <c r="D28" s="19" t="s">
        <v>11</v>
      </c>
      <c r="E28" s="83">
        <v>396</v>
      </c>
      <c r="F28" s="19" t="s">
        <v>1085</v>
      </c>
      <c r="G28" s="19" t="s">
        <v>1160</v>
      </c>
      <c r="H28" s="76">
        <v>46206</v>
      </c>
      <c r="I28" s="19" t="s">
        <v>36</v>
      </c>
      <c r="J28" s="19" t="s">
        <v>1156</v>
      </c>
      <c r="K28" s="19" t="s">
        <v>45</v>
      </c>
      <c r="L28" s="19" t="s">
        <v>1157</v>
      </c>
      <c r="M28" s="19" t="s">
        <v>1156</v>
      </c>
      <c r="N28" s="19">
        <v>780</v>
      </c>
      <c r="O28" s="19">
        <v>123357</v>
      </c>
      <c r="P28" s="19" t="s">
        <v>1161</v>
      </c>
      <c r="Q28" s="19">
        <v>483032.58</v>
      </c>
      <c r="R28" s="19">
        <v>9</v>
      </c>
      <c r="S28" s="19">
        <v>11102.13</v>
      </c>
      <c r="T28" s="19">
        <v>9</v>
      </c>
      <c r="U28" s="19">
        <v>11102.13</v>
      </c>
      <c r="V28" s="19">
        <v>0</v>
      </c>
      <c r="W28" s="19">
        <v>0</v>
      </c>
      <c r="X28" s="19">
        <v>0</v>
      </c>
      <c r="Y28" s="19">
        <v>22204.26</v>
      </c>
      <c r="Z28" s="19">
        <v>0</v>
      </c>
      <c r="AA28" s="19" t="s">
        <v>179</v>
      </c>
      <c r="AB28" s="19" t="s">
        <v>1091</v>
      </c>
      <c r="AC28" s="19">
        <v>39269080</v>
      </c>
      <c r="AD28" s="19" t="s">
        <v>1092</v>
      </c>
      <c r="AE28" s="19">
        <v>1</v>
      </c>
      <c r="AF28" s="19">
        <v>780</v>
      </c>
      <c r="AG28" s="19" t="s">
        <v>1093</v>
      </c>
      <c r="AH28" s="19" t="s">
        <v>45</v>
      </c>
      <c r="AI28" s="19"/>
    </row>
    <row r="29" spans="2:35" x14ac:dyDescent="0.35">
      <c r="B29" s="82">
        <v>46206</v>
      </c>
      <c r="C29" s="19" t="s">
        <v>1123</v>
      </c>
      <c r="D29" s="19" t="s">
        <v>11</v>
      </c>
      <c r="E29" s="83">
        <v>396</v>
      </c>
      <c r="F29" s="19" t="s">
        <v>1085</v>
      </c>
      <c r="G29" s="19" t="s">
        <v>1160</v>
      </c>
      <c r="H29" s="76">
        <v>46206</v>
      </c>
      <c r="I29" s="19" t="s">
        <v>36</v>
      </c>
      <c r="J29" s="19" t="s">
        <v>1156</v>
      </c>
      <c r="K29" s="19" t="s">
        <v>45</v>
      </c>
      <c r="L29" s="19" t="s">
        <v>1157</v>
      </c>
      <c r="M29" s="19" t="s">
        <v>1156</v>
      </c>
      <c r="N29" s="19">
        <v>685</v>
      </c>
      <c r="O29" s="19">
        <v>106277.75</v>
      </c>
      <c r="P29" s="19" t="s">
        <v>1162</v>
      </c>
      <c r="Q29" s="19">
        <v>0</v>
      </c>
      <c r="R29" s="19">
        <v>9</v>
      </c>
      <c r="S29" s="19">
        <v>9565</v>
      </c>
      <c r="T29" s="19">
        <v>9</v>
      </c>
      <c r="U29" s="19">
        <v>9565</v>
      </c>
      <c r="V29" s="19">
        <v>0</v>
      </c>
      <c r="W29" s="19">
        <v>0</v>
      </c>
      <c r="X29" s="19">
        <v>0</v>
      </c>
      <c r="Y29" s="19">
        <v>19130</v>
      </c>
      <c r="Z29" s="19">
        <v>0</v>
      </c>
      <c r="AA29" s="19" t="s">
        <v>179</v>
      </c>
      <c r="AB29" s="19" t="s">
        <v>1091</v>
      </c>
      <c r="AC29" s="19">
        <v>39269080</v>
      </c>
      <c r="AD29" s="19" t="s">
        <v>1092</v>
      </c>
      <c r="AE29" s="19">
        <v>1</v>
      </c>
      <c r="AF29" s="19">
        <v>685</v>
      </c>
      <c r="AG29" s="19" t="s">
        <v>1093</v>
      </c>
      <c r="AH29" s="19" t="s">
        <v>45</v>
      </c>
      <c r="AI29" s="19"/>
    </row>
    <row r="30" spans="2:35" ht="29" x14ac:dyDescent="0.35">
      <c r="B30" s="82">
        <v>46206</v>
      </c>
      <c r="C30" s="19" t="s">
        <v>1123</v>
      </c>
      <c r="D30" s="19" t="s">
        <v>11</v>
      </c>
      <c r="E30" s="83">
        <v>396</v>
      </c>
      <c r="F30" s="19" t="s">
        <v>1085</v>
      </c>
      <c r="G30" s="19" t="s">
        <v>1160</v>
      </c>
      <c r="H30" s="76">
        <v>46206</v>
      </c>
      <c r="I30" s="19" t="s">
        <v>36</v>
      </c>
      <c r="J30" s="19" t="s">
        <v>1117</v>
      </c>
      <c r="K30" s="19" t="s">
        <v>44</v>
      </c>
      <c r="L30" s="19" t="s">
        <v>1118</v>
      </c>
      <c r="M30" s="19" t="s">
        <v>1119</v>
      </c>
      <c r="N30" s="19">
        <v>836.3</v>
      </c>
      <c r="O30" s="19">
        <v>153168.34</v>
      </c>
      <c r="P30" s="84" t="s">
        <v>1163</v>
      </c>
      <c r="Q30" s="19">
        <v>0</v>
      </c>
      <c r="R30" s="19">
        <v>9</v>
      </c>
      <c r="S30" s="19">
        <v>13785.15</v>
      </c>
      <c r="T30" s="19">
        <v>9</v>
      </c>
      <c r="U30" s="19">
        <v>13785.15</v>
      </c>
      <c r="V30" s="19">
        <v>0</v>
      </c>
      <c r="W30" s="19">
        <v>0</v>
      </c>
      <c r="X30" s="19">
        <v>0</v>
      </c>
      <c r="Y30" s="19">
        <v>27570.3</v>
      </c>
      <c r="Z30" s="19">
        <v>0</v>
      </c>
      <c r="AA30" s="19" t="s">
        <v>179</v>
      </c>
      <c r="AB30" s="19" t="s">
        <v>1091</v>
      </c>
      <c r="AC30" s="19">
        <v>39269080</v>
      </c>
      <c r="AD30" s="19" t="s">
        <v>1092</v>
      </c>
      <c r="AE30" s="19">
        <v>1</v>
      </c>
      <c r="AF30" s="19">
        <v>836.3</v>
      </c>
      <c r="AG30" s="19" t="s">
        <v>1093</v>
      </c>
      <c r="AH30" s="19" t="s">
        <v>44</v>
      </c>
      <c r="AI30" s="19"/>
    </row>
    <row r="31" spans="2:35" ht="43.5" x14ac:dyDescent="0.35">
      <c r="B31" s="82">
        <v>46206</v>
      </c>
      <c r="C31" s="19" t="s">
        <v>1123</v>
      </c>
      <c r="D31" s="19" t="s">
        <v>11</v>
      </c>
      <c r="E31" s="83">
        <v>396</v>
      </c>
      <c r="F31" s="19" t="s">
        <v>1085</v>
      </c>
      <c r="G31" s="19" t="s">
        <v>1160</v>
      </c>
      <c r="H31" s="76">
        <v>46206</v>
      </c>
      <c r="I31" s="19" t="s">
        <v>36</v>
      </c>
      <c r="J31" s="19" t="s">
        <v>1117</v>
      </c>
      <c r="K31" s="19" t="s">
        <v>44</v>
      </c>
      <c r="L31" s="19" t="s">
        <v>1118</v>
      </c>
      <c r="M31" s="19" t="s">
        <v>1119</v>
      </c>
      <c r="N31" s="19">
        <v>125</v>
      </c>
      <c r="O31" s="19">
        <v>26893.75</v>
      </c>
      <c r="P31" s="84" t="s">
        <v>1164</v>
      </c>
      <c r="Q31" s="19">
        <v>0</v>
      </c>
      <c r="R31" s="19">
        <v>9</v>
      </c>
      <c r="S31" s="19">
        <v>2420.44</v>
      </c>
      <c r="T31" s="19">
        <v>9</v>
      </c>
      <c r="U31" s="19">
        <v>2420.44</v>
      </c>
      <c r="V31" s="19">
        <v>0</v>
      </c>
      <c r="W31" s="19">
        <v>0</v>
      </c>
      <c r="X31" s="19">
        <v>0</v>
      </c>
      <c r="Y31" s="19">
        <v>4840.88</v>
      </c>
      <c r="Z31" s="19">
        <v>0</v>
      </c>
      <c r="AA31" s="19" t="s">
        <v>179</v>
      </c>
      <c r="AB31" s="19" t="s">
        <v>1091</v>
      </c>
      <c r="AC31" s="19">
        <v>39269080</v>
      </c>
      <c r="AD31" s="19" t="s">
        <v>1092</v>
      </c>
      <c r="AE31" s="19">
        <v>1</v>
      </c>
      <c r="AF31" s="19">
        <v>125</v>
      </c>
      <c r="AG31" s="19" t="s">
        <v>1093</v>
      </c>
      <c r="AH31" s="19" t="s">
        <v>44</v>
      </c>
      <c r="AI31" s="19"/>
    </row>
    <row r="32" spans="2:35" hidden="1" x14ac:dyDescent="0.35">
      <c r="B32" s="82">
        <v>46206</v>
      </c>
      <c r="C32" s="19" t="s">
        <v>1123</v>
      </c>
      <c r="D32" s="19" t="s">
        <v>11</v>
      </c>
      <c r="E32" s="83">
        <v>397</v>
      </c>
      <c r="F32" s="19" t="s">
        <v>1124</v>
      </c>
      <c r="G32" s="19" t="s">
        <v>1165</v>
      </c>
      <c r="H32" s="76">
        <v>46206</v>
      </c>
      <c r="I32" s="19" t="s">
        <v>105</v>
      </c>
      <c r="J32" s="19" t="s">
        <v>1142</v>
      </c>
      <c r="K32" s="19" t="s">
        <v>1143</v>
      </c>
      <c r="L32" s="19" t="s">
        <v>1144</v>
      </c>
      <c r="M32" s="19" t="s">
        <v>1145</v>
      </c>
      <c r="N32" s="19">
        <v>28</v>
      </c>
      <c r="O32" s="19">
        <v>1344</v>
      </c>
      <c r="P32" s="19" t="s">
        <v>1139</v>
      </c>
      <c r="Q32" s="19">
        <v>1584.58</v>
      </c>
      <c r="R32" s="19">
        <v>9</v>
      </c>
      <c r="S32" s="19">
        <v>120.96</v>
      </c>
      <c r="T32" s="19">
        <v>9</v>
      </c>
      <c r="U32" s="19">
        <v>120.96</v>
      </c>
      <c r="V32" s="19">
        <v>0</v>
      </c>
      <c r="W32" s="19">
        <v>0</v>
      </c>
      <c r="X32" s="19">
        <v>0</v>
      </c>
      <c r="Y32" s="19">
        <v>241.92</v>
      </c>
      <c r="Z32" s="19">
        <v>0</v>
      </c>
      <c r="AA32" s="19" t="s">
        <v>179</v>
      </c>
      <c r="AB32" s="19" t="s">
        <v>1091</v>
      </c>
      <c r="AC32" s="19">
        <v>73063090</v>
      </c>
      <c r="AD32" s="19" t="s">
        <v>1092</v>
      </c>
      <c r="AE32" s="19">
        <v>1</v>
      </c>
      <c r="AF32" s="19">
        <v>28</v>
      </c>
      <c r="AG32" s="19" t="s">
        <v>1093</v>
      </c>
      <c r="AH32" s="83" t="s">
        <v>2319</v>
      </c>
      <c r="AI32" s="19"/>
    </row>
    <row r="33" spans="2:35" x14ac:dyDescent="0.35">
      <c r="B33" s="82">
        <v>46206</v>
      </c>
      <c r="C33" s="19" t="s">
        <v>1123</v>
      </c>
      <c r="D33" s="19" t="s">
        <v>1129</v>
      </c>
      <c r="E33" s="83" t="s">
        <v>1166</v>
      </c>
      <c r="F33" s="19" t="s">
        <v>1131</v>
      </c>
      <c r="G33" s="19" t="s">
        <v>1166</v>
      </c>
      <c r="H33" s="76">
        <v>46206</v>
      </c>
      <c r="I33" s="19" t="s">
        <v>49</v>
      </c>
      <c r="J33" s="19" t="s">
        <v>50</v>
      </c>
      <c r="K33" s="19" t="s">
        <v>50</v>
      </c>
      <c r="L33" s="19" t="s">
        <v>1095</v>
      </c>
      <c r="M33" s="19" t="s">
        <v>1098</v>
      </c>
      <c r="N33" s="19">
        <v>1342.6</v>
      </c>
      <c r="O33" s="19">
        <v>299238.68800000002</v>
      </c>
      <c r="P33" s="19" t="s">
        <v>1167</v>
      </c>
      <c r="Q33" s="19">
        <v>5126424.53</v>
      </c>
      <c r="R33" s="19">
        <v>9</v>
      </c>
      <c r="S33" s="19">
        <v>26931.48</v>
      </c>
      <c r="T33" s="19">
        <v>9</v>
      </c>
      <c r="U33" s="19">
        <v>26931.48</v>
      </c>
      <c r="V33" s="19">
        <v>0</v>
      </c>
      <c r="W33" s="19">
        <v>0</v>
      </c>
      <c r="X33" s="19">
        <v>0</v>
      </c>
      <c r="Y33" s="19">
        <v>53862.96</v>
      </c>
      <c r="Z33" s="19">
        <v>0</v>
      </c>
      <c r="AA33" s="19" t="s">
        <v>179</v>
      </c>
      <c r="AB33" s="19" t="s">
        <v>1091</v>
      </c>
      <c r="AC33" s="19">
        <v>998852</v>
      </c>
      <c r="AD33" s="19" t="s">
        <v>1092</v>
      </c>
      <c r="AE33" s="19">
        <v>1</v>
      </c>
      <c r="AF33" s="19">
        <v>1342.6</v>
      </c>
      <c r="AG33" s="19" t="s">
        <v>1093</v>
      </c>
      <c r="AH33" s="19" t="s">
        <v>50</v>
      </c>
      <c r="AI33" s="19"/>
    </row>
    <row r="34" spans="2:35" x14ac:dyDescent="0.35">
      <c r="B34" s="82">
        <v>46206</v>
      </c>
      <c r="C34" s="19" t="s">
        <v>1123</v>
      </c>
      <c r="D34" s="19" t="s">
        <v>1129</v>
      </c>
      <c r="E34" s="83" t="s">
        <v>1166</v>
      </c>
      <c r="F34" s="19" t="s">
        <v>1131</v>
      </c>
      <c r="G34" s="19" t="s">
        <v>1166</v>
      </c>
      <c r="H34" s="76">
        <v>46206</v>
      </c>
      <c r="I34" s="19" t="s">
        <v>49</v>
      </c>
      <c r="J34" s="19" t="s">
        <v>50</v>
      </c>
      <c r="K34" s="19" t="s">
        <v>50</v>
      </c>
      <c r="L34" s="19" t="s">
        <v>1095</v>
      </c>
      <c r="M34" s="19" t="s">
        <v>1098</v>
      </c>
      <c r="N34" s="19">
        <v>18485.7</v>
      </c>
      <c r="O34" s="19">
        <v>4120092.8160000001</v>
      </c>
      <c r="P34" s="19" t="s">
        <v>1167</v>
      </c>
      <c r="Q34" s="19">
        <v>0</v>
      </c>
      <c r="R34" s="19">
        <v>9</v>
      </c>
      <c r="S34" s="19">
        <v>370808.35</v>
      </c>
      <c r="T34" s="19">
        <v>9</v>
      </c>
      <c r="U34" s="19">
        <v>370808.35</v>
      </c>
      <c r="V34" s="19">
        <v>0</v>
      </c>
      <c r="W34" s="19">
        <v>0</v>
      </c>
      <c r="X34" s="19">
        <v>0</v>
      </c>
      <c r="Y34" s="19">
        <v>741616.7</v>
      </c>
      <c r="Z34" s="19">
        <v>0</v>
      </c>
      <c r="AA34" s="19" t="s">
        <v>179</v>
      </c>
      <c r="AB34" s="19" t="s">
        <v>1091</v>
      </c>
      <c r="AC34" s="19">
        <v>998852</v>
      </c>
      <c r="AD34" s="19" t="s">
        <v>1092</v>
      </c>
      <c r="AE34" s="19">
        <v>1</v>
      </c>
      <c r="AF34" s="19">
        <v>18485.7</v>
      </c>
      <c r="AG34" s="19" t="s">
        <v>1093</v>
      </c>
      <c r="AH34" s="19" t="s">
        <v>50</v>
      </c>
      <c r="AI34" s="19"/>
    </row>
    <row r="35" spans="2:35" x14ac:dyDescent="0.35">
      <c r="B35" s="82">
        <v>46206</v>
      </c>
      <c r="C35" s="19" t="s">
        <v>1084</v>
      </c>
      <c r="D35" s="19" t="s">
        <v>11</v>
      </c>
      <c r="E35" s="83">
        <v>393</v>
      </c>
      <c r="F35" s="19" t="s">
        <v>1085</v>
      </c>
      <c r="G35" s="19" t="s">
        <v>1168</v>
      </c>
      <c r="H35" s="76">
        <v>46206</v>
      </c>
      <c r="I35" s="19" t="s">
        <v>36</v>
      </c>
      <c r="J35" s="19" t="s">
        <v>1087</v>
      </c>
      <c r="K35" s="19" t="s">
        <v>46</v>
      </c>
      <c r="L35" s="19" t="s">
        <v>1088</v>
      </c>
      <c r="M35" s="19" t="s">
        <v>1089</v>
      </c>
      <c r="N35" s="19">
        <v>1480</v>
      </c>
      <c r="O35" s="19">
        <v>223702</v>
      </c>
      <c r="P35" s="19" t="s">
        <v>1090</v>
      </c>
      <c r="Q35" s="19">
        <v>829327.65</v>
      </c>
      <c r="R35" s="19">
        <v>9</v>
      </c>
      <c r="S35" s="19">
        <v>20133.18</v>
      </c>
      <c r="T35" s="19">
        <v>9</v>
      </c>
      <c r="U35" s="19">
        <v>20133.18</v>
      </c>
      <c r="V35" s="19">
        <v>0</v>
      </c>
      <c r="W35" s="19">
        <v>0</v>
      </c>
      <c r="X35" s="19">
        <v>0</v>
      </c>
      <c r="Y35" s="19">
        <v>40266.36</v>
      </c>
      <c r="Z35" s="19">
        <v>0</v>
      </c>
      <c r="AA35" s="19" t="s">
        <v>135</v>
      </c>
      <c r="AB35" s="19" t="s">
        <v>1091</v>
      </c>
      <c r="AC35" s="19">
        <v>39199090</v>
      </c>
      <c r="AD35" s="19" t="s">
        <v>1092</v>
      </c>
      <c r="AE35" s="19">
        <v>1</v>
      </c>
      <c r="AF35" s="19">
        <v>1480</v>
      </c>
      <c r="AG35" s="19" t="s">
        <v>1093</v>
      </c>
      <c r="AH35" s="19" t="s">
        <v>46</v>
      </c>
      <c r="AI35" s="19"/>
    </row>
    <row r="36" spans="2:35" x14ac:dyDescent="0.35">
      <c r="B36" s="82">
        <v>46206</v>
      </c>
      <c r="C36" s="19" t="s">
        <v>1084</v>
      </c>
      <c r="D36" s="19" t="s">
        <v>11</v>
      </c>
      <c r="E36" s="83">
        <v>393</v>
      </c>
      <c r="F36" s="19" t="s">
        <v>1085</v>
      </c>
      <c r="G36" s="19" t="s">
        <v>1168</v>
      </c>
      <c r="H36" s="76">
        <v>46206</v>
      </c>
      <c r="I36" s="19" t="s">
        <v>36</v>
      </c>
      <c r="J36" s="19" t="s">
        <v>1117</v>
      </c>
      <c r="K36" s="19" t="s">
        <v>44</v>
      </c>
      <c r="L36" s="19" t="s">
        <v>1118</v>
      </c>
      <c r="M36" s="19" t="s">
        <v>1119</v>
      </c>
      <c r="N36" s="19">
        <v>2210.6</v>
      </c>
      <c r="O36" s="19">
        <v>365080.59</v>
      </c>
      <c r="P36" s="19" t="s">
        <v>1169</v>
      </c>
      <c r="Q36" s="19">
        <v>0</v>
      </c>
      <c r="R36" s="19">
        <v>9</v>
      </c>
      <c r="S36" s="19">
        <v>32857.25</v>
      </c>
      <c r="T36" s="19">
        <v>9</v>
      </c>
      <c r="U36" s="19">
        <v>32857.25</v>
      </c>
      <c r="V36" s="19">
        <v>0</v>
      </c>
      <c r="W36" s="19">
        <v>0</v>
      </c>
      <c r="X36" s="19">
        <v>0</v>
      </c>
      <c r="Y36" s="19">
        <v>65714.5</v>
      </c>
      <c r="Z36" s="19">
        <v>0</v>
      </c>
      <c r="AA36" s="19" t="s">
        <v>135</v>
      </c>
      <c r="AB36" s="19" t="s">
        <v>1091</v>
      </c>
      <c r="AC36" s="19">
        <v>39269080</v>
      </c>
      <c r="AD36" s="19" t="s">
        <v>1092</v>
      </c>
      <c r="AE36" s="19">
        <v>1</v>
      </c>
      <c r="AF36" s="19">
        <v>2210.6</v>
      </c>
      <c r="AG36" s="19" t="s">
        <v>1093</v>
      </c>
      <c r="AH36" s="19" t="s">
        <v>44</v>
      </c>
      <c r="AI36" s="19"/>
    </row>
    <row r="37" spans="2:35" ht="29" x14ac:dyDescent="0.35">
      <c r="B37" s="82">
        <v>46206</v>
      </c>
      <c r="C37" s="19" t="s">
        <v>1084</v>
      </c>
      <c r="D37" s="19" t="s">
        <v>11</v>
      </c>
      <c r="E37" s="83">
        <v>393</v>
      </c>
      <c r="F37" s="19" t="s">
        <v>1085</v>
      </c>
      <c r="G37" s="19" t="s">
        <v>1168</v>
      </c>
      <c r="H37" s="76">
        <v>46206</v>
      </c>
      <c r="I37" s="19" t="s">
        <v>36</v>
      </c>
      <c r="J37" s="19" t="s">
        <v>1117</v>
      </c>
      <c r="K37" s="19" t="s">
        <v>44</v>
      </c>
      <c r="L37" s="19" t="s">
        <v>1118</v>
      </c>
      <c r="M37" s="19" t="s">
        <v>1119</v>
      </c>
      <c r="N37" s="19">
        <v>625.9</v>
      </c>
      <c r="O37" s="19">
        <v>114633.58</v>
      </c>
      <c r="P37" s="84" t="s">
        <v>1163</v>
      </c>
      <c r="Q37" s="19">
        <v>0</v>
      </c>
      <c r="R37" s="19">
        <v>9</v>
      </c>
      <c r="S37" s="19">
        <v>10317.02</v>
      </c>
      <c r="T37" s="19">
        <v>9</v>
      </c>
      <c r="U37" s="19">
        <v>10317.02</v>
      </c>
      <c r="V37" s="19">
        <v>0</v>
      </c>
      <c r="W37" s="19">
        <v>0</v>
      </c>
      <c r="X37" s="19">
        <v>0</v>
      </c>
      <c r="Y37" s="19">
        <v>20634.04</v>
      </c>
      <c r="Z37" s="19">
        <v>0</v>
      </c>
      <c r="AA37" s="19" t="s">
        <v>135</v>
      </c>
      <c r="AB37" s="19" t="s">
        <v>1091</v>
      </c>
      <c r="AC37" s="19">
        <v>39269080</v>
      </c>
      <c r="AD37" s="19" t="s">
        <v>1092</v>
      </c>
      <c r="AE37" s="19">
        <v>1</v>
      </c>
      <c r="AF37" s="19">
        <v>625.9</v>
      </c>
      <c r="AG37" s="19" t="s">
        <v>1093</v>
      </c>
      <c r="AH37" s="19" t="s">
        <v>44</v>
      </c>
      <c r="AI37" s="19"/>
    </row>
    <row r="38" spans="2:35" x14ac:dyDescent="0.35">
      <c r="B38" s="82">
        <v>46206</v>
      </c>
      <c r="C38" s="19" t="s">
        <v>1084</v>
      </c>
      <c r="D38" s="19" t="s">
        <v>11</v>
      </c>
      <c r="E38" s="83">
        <v>398</v>
      </c>
      <c r="F38" s="19" t="s">
        <v>1085</v>
      </c>
      <c r="G38" s="19" t="s">
        <v>1170</v>
      </c>
      <c r="H38" s="76">
        <v>46206</v>
      </c>
      <c r="I38" s="19" t="s">
        <v>49</v>
      </c>
      <c r="J38" s="19" t="s">
        <v>50</v>
      </c>
      <c r="K38" s="19" t="s">
        <v>50</v>
      </c>
      <c r="L38" s="19" t="s">
        <v>1095</v>
      </c>
      <c r="M38" s="19" t="s">
        <v>1096</v>
      </c>
      <c r="N38" s="19">
        <v>835</v>
      </c>
      <c r="O38" s="19">
        <v>272953.15000000002</v>
      </c>
      <c r="P38" s="19" t="s">
        <v>1097</v>
      </c>
      <c r="Q38" s="19">
        <v>321811.76</v>
      </c>
      <c r="R38" s="19">
        <v>9</v>
      </c>
      <c r="S38" s="19">
        <v>24565.78</v>
      </c>
      <c r="T38" s="19">
        <v>9</v>
      </c>
      <c r="U38" s="19">
        <v>24565.78</v>
      </c>
      <c r="V38" s="19">
        <v>0</v>
      </c>
      <c r="W38" s="19">
        <v>0</v>
      </c>
      <c r="X38" s="19">
        <v>0</v>
      </c>
      <c r="Y38" s="19">
        <v>49131.56</v>
      </c>
      <c r="Z38" s="19">
        <v>0</v>
      </c>
      <c r="AA38" s="19" t="s">
        <v>135</v>
      </c>
      <c r="AB38" s="19" t="s">
        <v>1091</v>
      </c>
      <c r="AC38" s="19">
        <v>63053200</v>
      </c>
      <c r="AD38" s="19" t="s">
        <v>1092</v>
      </c>
      <c r="AE38" s="19">
        <v>1</v>
      </c>
      <c r="AF38" s="19">
        <v>835</v>
      </c>
      <c r="AG38" s="19" t="s">
        <v>1093</v>
      </c>
      <c r="AH38" s="19" t="s">
        <v>50</v>
      </c>
      <c r="AI38" s="19"/>
    </row>
    <row r="39" spans="2:35" x14ac:dyDescent="0.35">
      <c r="B39" s="82">
        <v>46206</v>
      </c>
      <c r="C39" s="19" t="s">
        <v>1171</v>
      </c>
      <c r="D39" s="19" t="s">
        <v>11</v>
      </c>
      <c r="E39" s="83">
        <v>392</v>
      </c>
      <c r="F39" s="19" t="s">
        <v>1085</v>
      </c>
      <c r="G39" s="19" t="s">
        <v>1172</v>
      </c>
      <c r="H39" s="76">
        <v>46206</v>
      </c>
      <c r="I39" s="19" t="s">
        <v>28</v>
      </c>
      <c r="J39" s="19" t="s">
        <v>1173</v>
      </c>
      <c r="K39" s="19" t="s">
        <v>34</v>
      </c>
      <c r="L39" s="19" t="s">
        <v>1105</v>
      </c>
      <c r="M39" s="19" t="s">
        <v>1174</v>
      </c>
      <c r="N39" s="19">
        <v>49500</v>
      </c>
      <c r="O39" s="19">
        <v>3821053.5</v>
      </c>
      <c r="P39" s="19" t="s">
        <v>1174</v>
      </c>
      <c r="Q39" s="19">
        <v>4505022.09</v>
      </c>
      <c r="R39" s="19">
        <v>9</v>
      </c>
      <c r="S39" s="19">
        <v>343894.82</v>
      </c>
      <c r="T39" s="19">
        <v>9</v>
      </c>
      <c r="U39" s="19">
        <v>343894.82</v>
      </c>
      <c r="V39" s="19">
        <v>0</v>
      </c>
      <c r="W39" s="19">
        <v>0</v>
      </c>
      <c r="X39" s="19">
        <v>0</v>
      </c>
      <c r="Y39" s="19">
        <v>687789.64</v>
      </c>
      <c r="Z39" s="19">
        <v>0</v>
      </c>
      <c r="AA39" s="19" t="s">
        <v>614</v>
      </c>
      <c r="AB39" s="19" t="s">
        <v>1091</v>
      </c>
      <c r="AC39" s="19">
        <v>39021000</v>
      </c>
      <c r="AD39" s="19" t="s">
        <v>1092</v>
      </c>
      <c r="AE39" s="19">
        <v>1</v>
      </c>
      <c r="AF39" s="19">
        <v>49500</v>
      </c>
      <c r="AG39" s="19" t="s">
        <v>1093</v>
      </c>
      <c r="AH39" s="19" t="s">
        <v>34</v>
      </c>
      <c r="AI39" s="19"/>
    </row>
    <row r="40" spans="2:35" x14ac:dyDescent="0.35">
      <c r="B40" s="82">
        <v>46207</v>
      </c>
      <c r="C40" s="19" t="s">
        <v>1175</v>
      </c>
      <c r="D40" s="19" t="s">
        <v>11</v>
      </c>
      <c r="E40" s="83">
        <v>402</v>
      </c>
      <c r="F40" s="19" t="s">
        <v>1085</v>
      </c>
      <c r="G40" s="19" t="s">
        <v>1176</v>
      </c>
      <c r="H40" s="76">
        <v>46207</v>
      </c>
      <c r="I40" s="19" t="s">
        <v>49</v>
      </c>
      <c r="J40" s="19" t="s">
        <v>50</v>
      </c>
      <c r="K40" s="19" t="s">
        <v>50</v>
      </c>
      <c r="L40" s="19" t="s">
        <v>1095</v>
      </c>
      <c r="M40" s="19" t="s">
        <v>1098</v>
      </c>
      <c r="N40" s="19">
        <v>279.5</v>
      </c>
      <c r="O40" s="19">
        <v>67800</v>
      </c>
      <c r="P40" s="19" t="s">
        <v>1177</v>
      </c>
      <c r="Q40" s="19">
        <v>80004</v>
      </c>
      <c r="R40" s="19">
        <v>9</v>
      </c>
      <c r="S40" s="19">
        <v>6102</v>
      </c>
      <c r="T40" s="19">
        <v>9</v>
      </c>
      <c r="U40" s="19">
        <v>6102</v>
      </c>
      <c r="V40" s="19">
        <v>0</v>
      </c>
      <c r="W40" s="19">
        <v>0</v>
      </c>
      <c r="X40" s="19">
        <v>0</v>
      </c>
      <c r="Y40" s="19">
        <v>12204</v>
      </c>
      <c r="Z40" s="19">
        <v>0</v>
      </c>
      <c r="AA40" s="19" t="s">
        <v>1178</v>
      </c>
      <c r="AB40" s="19" t="s">
        <v>1091</v>
      </c>
      <c r="AC40" s="19">
        <v>63053200</v>
      </c>
      <c r="AD40" s="19" t="s">
        <v>1092</v>
      </c>
      <c r="AE40" s="19">
        <v>1</v>
      </c>
      <c r="AF40" s="19">
        <v>279.5</v>
      </c>
      <c r="AG40" s="19" t="s">
        <v>1093</v>
      </c>
      <c r="AH40" s="19" t="s">
        <v>50</v>
      </c>
      <c r="AI40" s="19"/>
    </row>
    <row r="41" spans="2:35" x14ac:dyDescent="0.35">
      <c r="B41" s="82">
        <v>46207</v>
      </c>
      <c r="C41" s="19" t="s">
        <v>1179</v>
      </c>
      <c r="D41" s="19" t="s">
        <v>11</v>
      </c>
      <c r="E41" s="83">
        <v>404</v>
      </c>
      <c r="F41" s="19" t="s">
        <v>1085</v>
      </c>
      <c r="G41" s="19" t="s">
        <v>1180</v>
      </c>
      <c r="H41" s="76">
        <v>46207</v>
      </c>
      <c r="I41" s="19" t="s">
        <v>36</v>
      </c>
      <c r="J41" s="19" t="s">
        <v>1087</v>
      </c>
      <c r="K41" s="19" t="s">
        <v>46</v>
      </c>
      <c r="L41" s="19" t="s">
        <v>1138</v>
      </c>
      <c r="M41" s="19" t="s">
        <v>1181</v>
      </c>
      <c r="N41" s="19">
        <v>1340</v>
      </c>
      <c r="O41" s="19">
        <v>206561</v>
      </c>
      <c r="P41" s="19" t="s">
        <v>1182</v>
      </c>
      <c r="Q41" s="19">
        <v>297546.21000000002</v>
      </c>
      <c r="R41" s="19">
        <v>2.5</v>
      </c>
      <c r="S41" s="19">
        <v>5164.0200000000004</v>
      </c>
      <c r="T41" s="19">
        <v>2.5</v>
      </c>
      <c r="U41" s="19">
        <v>5164.0200000000004</v>
      </c>
      <c r="V41" s="19">
        <v>0</v>
      </c>
      <c r="W41" s="19">
        <v>0</v>
      </c>
      <c r="X41" s="19">
        <v>0</v>
      </c>
      <c r="Y41" s="19">
        <v>10328.040000000001</v>
      </c>
      <c r="Z41" s="19">
        <v>0</v>
      </c>
      <c r="AA41" s="19" t="s">
        <v>179</v>
      </c>
      <c r="AB41" s="19" t="s">
        <v>1091</v>
      </c>
      <c r="AC41" s="19">
        <v>54026930</v>
      </c>
      <c r="AD41" s="19" t="s">
        <v>1092</v>
      </c>
      <c r="AE41" s="19">
        <v>1</v>
      </c>
      <c r="AF41" s="19">
        <v>1340</v>
      </c>
      <c r="AG41" s="19" t="s">
        <v>1093</v>
      </c>
      <c r="AH41" s="19" t="s">
        <v>46</v>
      </c>
      <c r="AI41" s="19"/>
    </row>
    <row r="42" spans="2:35" x14ac:dyDescent="0.35">
      <c r="B42" s="82">
        <v>46207</v>
      </c>
      <c r="C42" s="19" t="s">
        <v>1179</v>
      </c>
      <c r="D42" s="19" t="s">
        <v>11</v>
      </c>
      <c r="E42" s="83">
        <v>404</v>
      </c>
      <c r="F42" s="19" t="s">
        <v>1085</v>
      </c>
      <c r="G42" s="19" t="s">
        <v>1180</v>
      </c>
      <c r="H42" s="76">
        <v>46207</v>
      </c>
      <c r="I42" s="19" t="s">
        <v>36</v>
      </c>
      <c r="J42" s="19" t="s">
        <v>1087</v>
      </c>
      <c r="K42" s="19" t="s">
        <v>46</v>
      </c>
      <c r="L42" s="19" t="s">
        <v>1138</v>
      </c>
      <c r="M42" s="19" t="s">
        <v>1089</v>
      </c>
      <c r="N42" s="19">
        <v>510</v>
      </c>
      <c r="O42" s="19">
        <v>77086.5</v>
      </c>
      <c r="P42" s="19" t="s">
        <v>1090</v>
      </c>
      <c r="Q42" s="19">
        <v>0</v>
      </c>
      <c r="R42" s="19">
        <v>2.5</v>
      </c>
      <c r="S42" s="19">
        <v>1927.16</v>
      </c>
      <c r="T42" s="19">
        <v>2.5</v>
      </c>
      <c r="U42" s="19">
        <v>1927.16</v>
      </c>
      <c r="V42" s="19">
        <v>0</v>
      </c>
      <c r="W42" s="19">
        <v>0</v>
      </c>
      <c r="X42" s="19">
        <v>0</v>
      </c>
      <c r="Y42" s="19">
        <v>3854.32</v>
      </c>
      <c r="Z42" s="19">
        <v>0</v>
      </c>
      <c r="AA42" s="19" t="s">
        <v>179</v>
      </c>
      <c r="AB42" s="19" t="s">
        <v>1091</v>
      </c>
      <c r="AC42" s="19">
        <v>54026930</v>
      </c>
      <c r="AD42" s="19" t="s">
        <v>1092</v>
      </c>
      <c r="AE42" s="19">
        <v>1</v>
      </c>
      <c r="AF42" s="19">
        <v>510</v>
      </c>
      <c r="AG42" s="19" t="s">
        <v>1093</v>
      </c>
      <c r="AH42" s="19" t="s">
        <v>46</v>
      </c>
      <c r="AI42" s="19"/>
    </row>
    <row r="43" spans="2:35" x14ac:dyDescent="0.35">
      <c r="B43" s="82">
        <v>46207</v>
      </c>
      <c r="C43" s="19" t="s">
        <v>1084</v>
      </c>
      <c r="D43" s="19" t="s">
        <v>11</v>
      </c>
      <c r="E43" s="83">
        <v>399</v>
      </c>
      <c r="F43" s="19" t="s">
        <v>1085</v>
      </c>
      <c r="G43" s="19" t="s">
        <v>1183</v>
      </c>
      <c r="H43" s="76">
        <v>46207</v>
      </c>
      <c r="I43" s="19" t="s">
        <v>28</v>
      </c>
      <c r="J43" s="19" t="s">
        <v>1173</v>
      </c>
      <c r="K43" s="19" t="s">
        <v>34</v>
      </c>
      <c r="L43" s="19" t="s">
        <v>1105</v>
      </c>
      <c r="M43" s="19" t="s">
        <v>1174</v>
      </c>
      <c r="N43" s="19">
        <v>90750</v>
      </c>
      <c r="O43" s="19">
        <v>7005264.75</v>
      </c>
      <c r="P43" s="19" t="s">
        <v>1174</v>
      </c>
      <c r="Q43" s="19">
        <v>8259207.1500000004</v>
      </c>
      <c r="R43" s="19">
        <v>9</v>
      </c>
      <c r="S43" s="19">
        <v>630473.82999999996</v>
      </c>
      <c r="T43" s="19">
        <v>9</v>
      </c>
      <c r="U43" s="19">
        <v>630473.82999999996</v>
      </c>
      <c r="V43" s="19">
        <v>0</v>
      </c>
      <c r="W43" s="19">
        <v>0</v>
      </c>
      <c r="X43" s="19">
        <v>0</v>
      </c>
      <c r="Y43" s="19">
        <v>1260947.6599999999</v>
      </c>
      <c r="Z43" s="19">
        <v>0</v>
      </c>
      <c r="AA43" s="19" t="s">
        <v>135</v>
      </c>
      <c r="AB43" s="19" t="s">
        <v>1091</v>
      </c>
      <c r="AC43" s="19">
        <v>39021000</v>
      </c>
      <c r="AD43" s="19" t="s">
        <v>1092</v>
      </c>
      <c r="AE43" s="19">
        <v>1</v>
      </c>
      <c r="AF43" s="19">
        <v>90750</v>
      </c>
      <c r="AG43" s="19" t="s">
        <v>1093</v>
      </c>
      <c r="AH43" s="19" t="s">
        <v>34</v>
      </c>
      <c r="AI43" s="19"/>
    </row>
    <row r="44" spans="2:35" x14ac:dyDescent="0.35">
      <c r="B44" s="82">
        <v>46207</v>
      </c>
      <c r="C44" s="19" t="s">
        <v>1136</v>
      </c>
      <c r="D44" s="19" t="s">
        <v>11</v>
      </c>
      <c r="E44" s="83">
        <v>400</v>
      </c>
      <c r="F44" s="19" t="s">
        <v>1085</v>
      </c>
      <c r="G44" s="19" t="s">
        <v>1184</v>
      </c>
      <c r="H44" s="76">
        <v>46207</v>
      </c>
      <c r="I44" s="19" t="s">
        <v>36</v>
      </c>
      <c r="J44" s="19" t="s">
        <v>1087</v>
      </c>
      <c r="K44" s="19" t="s">
        <v>46</v>
      </c>
      <c r="L44" s="19" t="s">
        <v>1138</v>
      </c>
      <c r="M44" s="19" t="s">
        <v>1089</v>
      </c>
      <c r="N44" s="19">
        <v>1520</v>
      </c>
      <c r="O44" s="19">
        <v>229748</v>
      </c>
      <c r="P44" s="19" t="s">
        <v>1090</v>
      </c>
      <c r="Q44" s="19">
        <v>897775.77</v>
      </c>
      <c r="R44" s="19">
        <v>2.5</v>
      </c>
      <c r="S44" s="19">
        <v>5743.7</v>
      </c>
      <c r="T44" s="19">
        <v>2.5</v>
      </c>
      <c r="U44" s="19">
        <v>5743.7</v>
      </c>
      <c r="V44" s="19">
        <v>0</v>
      </c>
      <c r="W44" s="19">
        <v>0</v>
      </c>
      <c r="X44" s="19">
        <v>0</v>
      </c>
      <c r="Y44" s="19">
        <v>11487.4</v>
      </c>
      <c r="Z44" s="19">
        <v>0</v>
      </c>
      <c r="AA44" s="19" t="s">
        <v>135</v>
      </c>
      <c r="AB44" s="19" t="s">
        <v>1091</v>
      </c>
      <c r="AC44" s="19">
        <v>54026930</v>
      </c>
      <c r="AD44" s="19" t="s">
        <v>1092</v>
      </c>
      <c r="AE44" s="19">
        <v>1</v>
      </c>
      <c r="AF44" s="19">
        <v>1520</v>
      </c>
      <c r="AG44" s="19" t="s">
        <v>1093</v>
      </c>
      <c r="AH44" s="19" t="s">
        <v>46</v>
      </c>
      <c r="AI44" s="19"/>
    </row>
    <row r="45" spans="2:35" x14ac:dyDescent="0.35">
      <c r="B45" s="82">
        <v>46207</v>
      </c>
      <c r="C45" s="19" t="s">
        <v>1136</v>
      </c>
      <c r="D45" s="19" t="s">
        <v>11</v>
      </c>
      <c r="E45" s="83">
        <v>400</v>
      </c>
      <c r="F45" s="19" t="s">
        <v>1085</v>
      </c>
      <c r="G45" s="19" t="s">
        <v>1184</v>
      </c>
      <c r="H45" s="76">
        <v>46207</v>
      </c>
      <c r="I45" s="19" t="s">
        <v>36</v>
      </c>
      <c r="J45" s="19" t="s">
        <v>1087</v>
      </c>
      <c r="K45" s="19" t="s">
        <v>46</v>
      </c>
      <c r="L45" s="19" t="s">
        <v>1138</v>
      </c>
      <c r="M45" s="19" t="s">
        <v>1181</v>
      </c>
      <c r="N45" s="19">
        <v>460</v>
      </c>
      <c r="O45" s="19">
        <v>70909</v>
      </c>
      <c r="P45" s="19" t="s">
        <v>1182</v>
      </c>
      <c r="Q45" s="19">
        <v>0</v>
      </c>
      <c r="R45" s="19">
        <v>2.5</v>
      </c>
      <c r="S45" s="19">
        <v>1772.72</v>
      </c>
      <c r="T45" s="19">
        <v>2.5</v>
      </c>
      <c r="U45" s="19">
        <v>1772.72</v>
      </c>
      <c r="V45" s="19">
        <v>0</v>
      </c>
      <c r="W45" s="19">
        <v>0</v>
      </c>
      <c r="X45" s="19">
        <v>0</v>
      </c>
      <c r="Y45" s="19">
        <v>3545.44</v>
      </c>
      <c r="Z45" s="19">
        <v>0</v>
      </c>
      <c r="AA45" s="19" t="s">
        <v>135</v>
      </c>
      <c r="AB45" s="19" t="s">
        <v>1091</v>
      </c>
      <c r="AC45" s="19">
        <v>54026930</v>
      </c>
      <c r="AD45" s="19" t="s">
        <v>1092</v>
      </c>
      <c r="AE45" s="19">
        <v>1</v>
      </c>
      <c r="AF45" s="19">
        <v>460</v>
      </c>
      <c r="AG45" s="19" t="s">
        <v>1093</v>
      </c>
      <c r="AH45" s="19" t="s">
        <v>46</v>
      </c>
      <c r="AI45" s="19"/>
    </row>
    <row r="46" spans="2:35" x14ac:dyDescent="0.35">
      <c r="B46" s="82">
        <v>46207</v>
      </c>
      <c r="C46" s="19" t="s">
        <v>1136</v>
      </c>
      <c r="D46" s="19" t="s">
        <v>11</v>
      </c>
      <c r="E46" s="83">
        <v>400</v>
      </c>
      <c r="F46" s="19" t="s">
        <v>1085</v>
      </c>
      <c r="G46" s="19" t="s">
        <v>1184</v>
      </c>
      <c r="H46" s="76">
        <v>46207</v>
      </c>
      <c r="I46" s="19" t="s">
        <v>36</v>
      </c>
      <c r="J46" s="19" t="s">
        <v>1156</v>
      </c>
      <c r="K46" s="19" t="s">
        <v>45</v>
      </c>
      <c r="L46" s="19" t="s">
        <v>1157</v>
      </c>
      <c r="M46" s="19" t="s">
        <v>1156</v>
      </c>
      <c r="N46" s="19">
        <v>3183.8</v>
      </c>
      <c r="O46" s="19">
        <v>493966.57</v>
      </c>
      <c r="P46" s="19" t="s">
        <v>1162</v>
      </c>
      <c r="Q46" s="19">
        <v>0</v>
      </c>
      <c r="R46" s="19">
        <v>9</v>
      </c>
      <c r="S46" s="19">
        <v>44456.99</v>
      </c>
      <c r="T46" s="19">
        <v>9</v>
      </c>
      <c r="U46" s="19">
        <v>44456.99</v>
      </c>
      <c r="V46" s="19">
        <v>0</v>
      </c>
      <c r="W46" s="19">
        <v>0</v>
      </c>
      <c r="X46" s="19">
        <v>0</v>
      </c>
      <c r="Y46" s="19">
        <v>88913.98</v>
      </c>
      <c r="Z46" s="19">
        <v>0</v>
      </c>
      <c r="AA46" s="19" t="s">
        <v>135</v>
      </c>
      <c r="AB46" s="19" t="s">
        <v>1091</v>
      </c>
      <c r="AC46" s="19">
        <v>39269080</v>
      </c>
      <c r="AD46" s="19" t="s">
        <v>1092</v>
      </c>
      <c r="AE46" s="19">
        <v>1</v>
      </c>
      <c r="AF46" s="19">
        <v>3183.8</v>
      </c>
      <c r="AG46" s="19" t="s">
        <v>1093</v>
      </c>
      <c r="AH46" s="19" t="s">
        <v>45</v>
      </c>
      <c r="AI46" s="19"/>
    </row>
    <row r="47" spans="2:35" x14ac:dyDescent="0.35">
      <c r="B47" s="82">
        <v>46207</v>
      </c>
      <c r="C47" s="19" t="s">
        <v>1136</v>
      </c>
      <c r="D47" s="19" t="s">
        <v>11</v>
      </c>
      <c r="E47" s="83">
        <v>401</v>
      </c>
      <c r="F47" s="19" t="s">
        <v>1085</v>
      </c>
      <c r="G47" s="19" t="s">
        <v>1185</v>
      </c>
      <c r="H47" s="76">
        <v>46207</v>
      </c>
      <c r="I47" s="19" t="s">
        <v>28</v>
      </c>
      <c r="J47" s="19" t="s">
        <v>1173</v>
      </c>
      <c r="K47" s="19" t="s">
        <v>33</v>
      </c>
      <c r="L47" s="19" t="s">
        <v>1186</v>
      </c>
      <c r="M47" s="19" t="s">
        <v>1187</v>
      </c>
      <c r="N47" s="19">
        <v>25</v>
      </c>
      <c r="O47" s="19">
        <v>4400</v>
      </c>
      <c r="P47" s="19" t="s">
        <v>1187</v>
      </c>
      <c r="Q47" s="19">
        <v>5187.6000000000004</v>
      </c>
      <c r="R47" s="19">
        <v>9</v>
      </c>
      <c r="S47" s="19">
        <v>396</v>
      </c>
      <c r="T47" s="19">
        <v>9</v>
      </c>
      <c r="U47" s="19">
        <v>396</v>
      </c>
      <c r="V47" s="19">
        <v>0</v>
      </c>
      <c r="W47" s="19">
        <v>0</v>
      </c>
      <c r="X47" s="19">
        <v>0</v>
      </c>
      <c r="Y47" s="19">
        <v>792</v>
      </c>
      <c r="Z47" s="19">
        <v>0</v>
      </c>
      <c r="AA47" s="19" t="s">
        <v>135</v>
      </c>
      <c r="AB47" s="19" t="s">
        <v>1091</v>
      </c>
      <c r="AC47" s="19">
        <v>32064990</v>
      </c>
      <c r="AD47" s="19" t="s">
        <v>1092</v>
      </c>
      <c r="AE47" s="19">
        <v>1</v>
      </c>
      <c r="AF47" s="19">
        <v>25</v>
      </c>
      <c r="AG47" s="19" t="s">
        <v>1093</v>
      </c>
      <c r="AH47" s="19" t="s">
        <v>33</v>
      </c>
      <c r="AI47" s="19"/>
    </row>
    <row r="48" spans="2:35" x14ac:dyDescent="0.35">
      <c r="B48" s="82">
        <v>46207</v>
      </c>
      <c r="C48" s="19" t="s">
        <v>1171</v>
      </c>
      <c r="D48" s="19" t="s">
        <v>11</v>
      </c>
      <c r="E48" s="83">
        <v>403</v>
      </c>
      <c r="F48" s="19" t="s">
        <v>1085</v>
      </c>
      <c r="G48" s="19" t="s">
        <v>1188</v>
      </c>
      <c r="H48" s="76">
        <v>46207</v>
      </c>
      <c r="I48" s="19" t="s">
        <v>36</v>
      </c>
      <c r="J48" s="19" t="s">
        <v>1087</v>
      </c>
      <c r="K48" s="19" t="s">
        <v>46</v>
      </c>
      <c r="L48" s="19" t="s">
        <v>1138</v>
      </c>
      <c r="M48" s="19" t="s">
        <v>1089</v>
      </c>
      <c r="N48" s="19">
        <v>3250</v>
      </c>
      <c r="O48" s="19">
        <v>491237.5</v>
      </c>
      <c r="P48" s="19" t="s">
        <v>1090</v>
      </c>
      <c r="Q48" s="19">
        <v>515308.14</v>
      </c>
      <c r="R48" s="19">
        <v>2.5</v>
      </c>
      <c r="S48" s="19">
        <v>12280.94</v>
      </c>
      <c r="T48" s="19">
        <v>2.5</v>
      </c>
      <c r="U48" s="19">
        <v>12280.94</v>
      </c>
      <c r="V48" s="19">
        <v>0</v>
      </c>
      <c r="W48" s="19">
        <v>0</v>
      </c>
      <c r="X48" s="19">
        <v>0</v>
      </c>
      <c r="Y48" s="19">
        <v>24561.88</v>
      </c>
      <c r="Z48" s="19">
        <v>0</v>
      </c>
      <c r="AA48" s="19" t="s">
        <v>614</v>
      </c>
      <c r="AB48" s="19" t="s">
        <v>1091</v>
      </c>
      <c r="AC48" s="19">
        <v>54026930</v>
      </c>
      <c r="AD48" s="19" t="s">
        <v>1092</v>
      </c>
      <c r="AE48" s="19">
        <v>1</v>
      </c>
      <c r="AF48" s="19">
        <v>3250</v>
      </c>
      <c r="AG48" s="19" t="s">
        <v>1093</v>
      </c>
      <c r="AH48" s="19" t="s">
        <v>46</v>
      </c>
      <c r="AI48" s="19"/>
    </row>
    <row r="49" spans="2:35" x14ac:dyDescent="0.35">
      <c r="B49" s="82">
        <v>46207</v>
      </c>
      <c r="C49" s="19" t="s">
        <v>1189</v>
      </c>
      <c r="D49" s="19" t="s">
        <v>1109</v>
      </c>
      <c r="E49" s="83" t="s">
        <v>1190</v>
      </c>
      <c r="F49" s="19" t="s">
        <v>1111</v>
      </c>
      <c r="G49" s="19" t="s">
        <v>1190</v>
      </c>
      <c r="H49" s="76">
        <v>46207</v>
      </c>
      <c r="I49" s="19" t="s">
        <v>49</v>
      </c>
      <c r="J49" s="19" t="s">
        <v>50</v>
      </c>
      <c r="K49" s="19" t="s">
        <v>50</v>
      </c>
      <c r="L49" s="19" t="s">
        <v>1095</v>
      </c>
      <c r="M49" s="19" t="s">
        <v>1098</v>
      </c>
      <c r="N49" s="19">
        <v>19817.400000000001</v>
      </c>
      <c r="O49" s="19">
        <v>3751968</v>
      </c>
      <c r="P49" s="19" t="s">
        <v>1112</v>
      </c>
      <c r="Q49" s="19">
        <v>3751968</v>
      </c>
      <c r="R49" s="19">
        <v>0</v>
      </c>
      <c r="S49" s="19">
        <v>0</v>
      </c>
      <c r="T49" s="19">
        <v>0</v>
      </c>
      <c r="U49" s="19">
        <v>0</v>
      </c>
      <c r="V49" s="19">
        <v>18</v>
      </c>
      <c r="W49" s="19">
        <v>675354.24</v>
      </c>
      <c r="X49" s="19">
        <v>0.17</v>
      </c>
      <c r="Y49" s="19">
        <v>675354.41</v>
      </c>
      <c r="Z49" s="19">
        <v>0</v>
      </c>
      <c r="AA49" s="19" t="s">
        <v>229</v>
      </c>
      <c r="AB49" s="19" t="s">
        <v>1091</v>
      </c>
      <c r="AC49" s="19">
        <v>63053200</v>
      </c>
      <c r="AD49" s="19" t="s">
        <v>1113</v>
      </c>
      <c r="AE49" s="19">
        <v>93.5</v>
      </c>
      <c r="AF49" s="19">
        <v>19817.400000000001</v>
      </c>
      <c r="AG49" s="19" t="s">
        <v>1191</v>
      </c>
      <c r="AH49" s="19" t="s">
        <v>50</v>
      </c>
      <c r="AI49" s="19"/>
    </row>
    <row r="50" spans="2:35" x14ac:dyDescent="0.35">
      <c r="B50" s="82">
        <v>46208</v>
      </c>
      <c r="C50" s="19" t="s">
        <v>1123</v>
      </c>
      <c r="D50" s="19" t="s">
        <v>11</v>
      </c>
      <c r="E50" s="83">
        <v>405</v>
      </c>
      <c r="F50" s="19" t="s">
        <v>1085</v>
      </c>
      <c r="G50" s="19" t="s">
        <v>1192</v>
      </c>
      <c r="H50" s="76">
        <v>46208</v>
      </c>
      <c r="I50" s="19" t="s">
        <v>36</v>
      </c>
      <c r="J50" s="19" t="s">
        <v>1156</v>
      </c>
      <c r="K50" s="19" t="s">
        <v>45</v>
      </c>
      <c r="L50" s="19" t="s">
        <v>1157</v>
      </c>
      <c r="M50" s="19" t="s">
        <v>1156</v>
      </c>
      <c r="N50" s="19">
        <v>261</v>
      </c>
      <c r="O50" s="19">
        <v>41277.15</v>
      </c>
      <c r="P50" s="19" t="s">
        <v>1193</v>
      </c>
      <c r="Q50" s="19">
        <v>496051.52</v>
      </c>
      <c r="R50" s="19">
        <v>9</v>
      </c>
      <c r="S50" s="19">
        <v>3714.94</v>
      </c>
      <c r="T50" s="19">
        <v>9</v>
      </c>
      <c r="U50" s="19">
        <v>3714.94</v>
      </c>
      <c r="V50" s="19">
        <v>0</v>
      </c>
      <c r="W50" s="19">
        <v>0</v>
      </c>
      <c r="X50" s="19">
        <v>0</v>
      </c>
      <c r="Y50" s="19">
        <v>7429.88</v>
      </c>
      <c r="Z50" s="19">
        <v>0</v>
      </c>
      <c r="AA50" s="19" t="s">
        <v>179</v>
      </c>
      <c r="AB50" s="19" t="s">
        <v>1091</v>
      </c>
      <c r="AC50" s="19">
        <v>39269080</v>
      </c>
      <c r="AD50" s="19" t="s">
        <v>1092</v>
      </c>
      <c r="AE50" s="19">
        <v>1</v>
      </c>
      <c r="AF50" s="19">
        <v>261</v>
      </c>
      <c r="AG50" s="19" t="s">
        <v>1093</v>
      </c>
      <c r="AH50" s="19" t="s">
        <v>45</v>
      </c>
      <c r="AI50" s="19"/>
    </row>
    <row r="51" spans="2:35" x14ac:dyDescent="0.35">
      <c r="B51" s="82">
        <v>46208</v>
      </c>
      <c r="C51" s="19" t="s">
        <v>1123</v>
      </c>
      <c r="D51" s="19" t="s">
        <v>11</v>
      </c>
      <c r="E51" s="83">
        <v>405</v>
      </c>
      <c r="F51" s="19" t="s">
        <v>1085</v>
      </c>
      <c r="G51" s="19" t="s">
        <v>1192</v>
      </c>
      <c r="H51" s="76">
        <v>46208</v>
      </c>
      <c r="I51" s="19" t="s">
        <v>36</v>
      </c>
      <c r="J51" s="19" t="s">
        <v>1156</v>
      </c>
      <c r="K51" s="19" t="s">
        <v>45</v>
      </c>
      <c r="L51" s="19" t="s">
        <v>1157</v>
      </c>
      <c r="M51" s="19" t="s">
        <v>1156</v>
      </c>
      <c r="N51" s="19">
        <v>971</v>
      </c>
      <c r="O51" s="19">
        <v>153563.65</v>
      </c>
      <c r="P51" s="19" t="s">
        <v>1194</v>
      </c>
      <c r="Q51" s="19">
        <v>0</v>
      </c>
      <c r="R51" s="19">
        <v>9</v>
      </c>
      <c r="S51" s="19">
        <v>13820.73</v>
      </c>
      <c r="T51" s="19">
        <v>9</v>
      </c>
      <c r="U51" s="19">
        <v>13820.73</v>
      </c>
      <c r="V51" s="19">
        <v>0</v>
      </c>
      <c r="W51" s="19">
        <v>0</v>
      </c>
      <c r="X51" s="19">
        <v>0</v>
      </c>
      <c r="Y51" s="19">
        <v>27641.46</v>
      </c>
      <c r="Z51" s="19">
        <v>0</v>
      </c>
      <c r="AA51" s="19" t="s">
        <v>179</v>
      </c>
      <c r="AB51" s="19" t="s">
        <v>1091</v>
      </c>
      <c r="AC51" s="19">
        <v>39269080</v>
      </c>
      <c r="AD51" s="19" t="s">
        <v>1092</v>
      </c>
      <c r="AE51" s="19">
        <v>1</v>
      </c>
      <c r="AF51" s="19">
        <v>971</v>
      </c>
      <c r="AG51" s="19" t="s">
        <v>1093</v>
      </c>
      <c r="AH51" s="19" t="s">
        <v>45</v>
      </c>
      <c r="AI51" s="19"/>
    </row>
    <row r="52" spans="2:35" x14ac:dyDescent="0.35">
      <c r="B52" s="82">
        <v>46208</v>
      </c>
      <c r="C52" s="19" t="s">
        <v>1123</v>
      </c>
      <c r="D52" s="19" t="s">
        <v>11</v>
      </c>
      <c r="E52" s="83">
        <v>405</v>
      </c>
      <c r="F52" s="19" t="s">
        <v>1085</v>
      </c>
      <c r="G52" s="19" t="s">
        <v>1192</v>
      </c>
      <c r="H52" s="76">
        <v>46208</v>
      </c>
      <c r="I52" s="19" t="s">
        <v>36</v>
      </c>
      <c r="J52" s="19" t="s">
        <v>1156</v>
      </c>
      <c r="K52" s="19" t="s">
        <v>45</v>
      </c>
      <c r="L52" s="19" t="s">
        <v>1157</v>
      </c>
      <c r="M52" s="19" t="s">
        <v>1156</v>
      </c>
      <c r="N52" s="19">
        <v>1456</v>
      </c>
      <c r="O52" s="19">
        <v>225898.4</v>
      </c>
      <c r="P52" s="19" t="s">
        <v>1162</v>
      </c>
      <c r="Q52" s="19">
        <v>0</v>
      </c>
      <c r="R52" s="19">
        <v>9</v>
      </c>
      <c r="S52" s="19">
        <v>20330.86</v>
      </c>
      <c r="T52" s="19">
        <v>9</v>
      </c>
      <c r="U52" s="19">
        <v>20330.86</v>
      </c>
      <c r="V52" s="19">
        <v>0</v>
      </c>
      <c r="W52" s="19">
        <v>0</v>
      </c>
      <c r="X52" s="19">
        <v>0</v>
      </c>
      <c r="Y52" s="19">
        <v>40661.72</v>
      </c>
      <c r="Z52" s="19">
        <v>0</v>
      </c>
      <c r="AA52" s="19" t="s">
        <v>179</v>
      </c>
      <c r="AB52" s="19" t="s">
        <v>1091</v>
      </c>
      <c r="AC52" s="19">
        <v>39269080</v>
      </c>
      <c r="AD52" s="19" t="s">
        <v>1092</v>
      </c>
      <c r="AE52" s="19">
        <v>1</v>
      </c>
      <c r="AF52" s="19">
        <v>1456</v>
      </c>
      <c r="AG52" s="19" t="s">
        <v>1093</v>
      </c>
      <c r="AH52" s="19" t="s">
        <v>45</v>
      </c>
      <c r="AI52" s="19"/>
    </row>
    <row r="53" spans="2:35" hidden="1" x14ac:dyDescent="0.35">
      <c r="B53" s="82">
        <v>46208</v>
      </c>
      <c r="C53" s="19" t="s">
        <v>1123</v>
      </c>
      <c r="D53" s="19" t="s">
        <v>11</v>
      </c>
      <c r="E53" s="83">
        <v>406</v>
      </c>
      <c r="F53" s="19" t="s">
        <v>1124</v>
      </c>
      <c r="G53" s="19" t="s">
        <v>1195</v>
      </c>
      <c r="H53" s="76">
        <v>46208</v>
      </c>
      <c r="I53" s="19" t="s">
        <v>105</v>
      </c>
      <c r="J53" s="19" t="s">
        <v>1142</v>
      </c>
      <c r="K53" s="19" t="s">
        <v>1143</v>
      </c>
      <c r="L53" s="19" t="s">
        <v>1144</v>
      </c>
      <c r="M53" s="19" t="s">
        <v>1196</v>
      </c>
      <c r="N53" s="19">
        <v>1022</v>
      </c>
      <c r="O53" s="19">
        <v>49056</v>
      </c>
      <c r="P53" s="19" t="s">
        <v>1139</v>
      </c>
      <c r="Q53" s="19">
        <v>57837.02</v>
      </c>
      <c r="R53" s="19">
        <v>9</v>
      </c>
      <c r="S53" s="19">
        <v>4415.04</v>
      </c>
      <c r="T53" s="19">
        <v>9</v>
      </c>
      <c r="U53" s="19">
        <v>4415.04</v>
      </c>
      <c r="V53" s="19">
        <v>0</v>
      </c>
      <c r="W53" s="19">
        <v>0</v>
      </c>
      <c r="X53" s="19">
        <v>0</v>
      </c>
      <c r="Y53" s="19">
        <v>8830.08</v>
      </c>
      <c r="Z53" s="19">
        <v>0</v>
      </c>
      <c r="AA53" s="19" t="s">
        <v>179</v>
      </c>
      <c r="AB53" s="19" t="s">
        <v>1091</v>
      </c>
      <c r="AC53" s="19">
        <v>73063090</v>
      </c>
      <c r="AD53" s="19" t="s">
        <v>1092</v>
      </c>
      <c r="AE53" s="19">
        <v>1</v>
      </c>
      <c r="AF53" s="19">
        <v>1022</v>
      </c>
      <c r="AG53" s="19" t="s">
        <v>1093</v>
      </c>
      <c r="AH53" s="83" t="s">
        <v>2319</v>
      </c>
      <c r="AI53" s="19"/>
    </row>
    <row r="54" spans="2:35" x14ac:dyDescent="0.35">
      <c r="B54" s="82">
        <v>46208</v>
      </c>
      <c r="C54" s="19" t="s">
        <v>1084</v>
      </c>
      <c r="D54" s="19" t="s">
        <v>11</v>
      </c>
      <c r="E54" s="83">
        <v>407</v>
      </c>
      <c r="F54" s="19" t="s">
        <v>1085</v>
      </c>
      <c r="G54" s="19" t="s">
        <v>1197</v>
      </c>
      <c r="H54" s="76">
        <v>46208</v>
      </c>
      <c r="I54" s="19" t="s">
        <v>49</v>
      </c>
      <c r="J54" s="19" t="s">
        <v>50</v>
      </c>
      <c r="K54" s="19" t="s">
        <v>50</v>
      </c>
      <c r="L54" s="19" t="s">
        <v>1095</v>
      </c>
      <c r="M54" s="19" t="s">
        <v>1096</v>
      </c>
      <c r="N54" s="19">
        <v>1923</v>
      </c>
      <c r="O54" s="19">
        <v>828178.41</v>
      </c>
      <c r="P54" s="19" t="s">
        <v>1198</v>
      </c>
      <c r="Q54" s="19">
        <v>2759451.33</v>
      </c>
      <c r="R54" s="19">
        <v>9</v>
      </c>
      <c r="S54" s="19">
        <v>74536.06</v>
      </c>
      <c r="T54" s="19">
        <v>9</v>
      </c>
      <c r="U54" s="19">
        <v>74536.06</v>
      </c>
      <c r="V54" s="19">
        <v>0</v>
      </c>
      <c r="W54" s="19">
        <v>0</v>
      </c>
      <c r="X54" s="19">
        <v>0</v>
      </c>
      <c r="Y54" s="19">
        <v>149072.12</v>
      </c>
      <c r="Z54" s="19">
        <v>0</v>
      </c>
      <c r="AA54" s="19" t="s">
        <v>135</v>
      </c>
      <c r="AB54" s="19" t="s">
        <v>1091</v>
      </c>
      <c r="AC54" s="19">
        <v>63053200</v>
      </c>
      <c r="AD54" s="19" t="s">
        <v>1092</v>
      </c>
      <c r="AE54" s="19">
        <v>1</v>
      </c>
      <c r="AF54" s="19">
        <v>1923</v>
      </c>
      <c r="AG54" s="19" t="s">
        <v>1093</v>
      </c>
      <c r="AH54" s="19" t="s">
        <v>50</v>
      </c>
      <c r="AI54" s="19"/>
    </row>
    <row r="55" spans="2:35" x14ac:dyDescent="0.35">
      <c r="B55" s="82">
        <v>46208</v>
      </c>
      <c r="C55" s="19" t="s">
        <v>1084</v>
      </c>
      <c r="D55" s="19" t="s">
        <v>11</v>
      </c>
      <c r="E55" s="83">
        <v>407</v>
      </c>
      <c r="F55" s="19" t="s">
        <v>1085</v>
      </c>
      <c r="G55" s="19" t="s">
        <v>1197</v>
      </c>
      <c r="H55" s="76">
        <v>46208</v>
      </c>
      <c r="I55" s="19" t="s">
        <v>49</v>
      </c>
      <c r="J55" s="19" t="s">
        <v>50</v>
      </c>
      <c r="K55" s="19" t="s">
        <v>50</v>
      </c>
      <c r="L55" s="19" t="s">
        <v>1095</v>
      </c>
      <c r="M55" s="19" t="s">
        <v>1098</v>
      </c>
      <c r="N55" s="19">
        <v>817</v>
      </c>
      <c r="O55" s="19">
        <v>124666.03</v>
      </c>
      <c r="P55" s="19" t="s">
        <v>1199</v>
      </c>
      <c r="Q55" s="19">
        <v>0</v>
      </c>
      <c r="R55" s="19">
        <v>9</v>
      </c>
      <c r="S55" s="19">
        <v>11219.94</v>
      </c>
      <c r="T55" s="19">
        <v>9</v>
      </c>
      <c r="U55" s="19">
        <v>11219.94</v>
      </c>
      <c r="V55" s="19">
        <v>0</v>
      </c>
      <c r="W55" s="19">
        <v>0</v>
      </c>
      <c r="X55" s="19">
        <v>0</v>
      </c>
      <c r="Y55" s="19">
        <v>22439.88</v>
      </c>
      <c r="Z55" s="19">
        <v>0</v>
      </c>
      <c r="AA55" s="19" t="s">
        <v>135</v>
      </c>
      <c r="AB55" s="19" t="s">
        <v>1091</v>
      </c>
      <c r="AC55" s="19">
        <v>63053200</v>
      </c>
      <c r="AD55" s="19" t="s">
        <v>1092</v>
      </c>
      <c r="AE55" s="19">
        <v>1</v>
      </c>
      <c r="AF55" s="19">
        <v>817</v>
      </c>
      <c r="AG55" s="19" t="s">
        <v>1093</v>
      </c>
      <c r="AH55" s="19" t="s">
        <v>50</v>
      </c>
      <c r="AI55" s="19"/>
    </row>
    <row r="56" spans="2:35" x14ac:dyDescent="0.35">
      <c r="B56" s="82">
        <v>46208</v>
      </c>
      <c r="C56" s="19" t="s">
        <v>1084</v>
      </c>
      <c r="D56" s="19" t="s">
        <v>11</v>
      </c>
      <c r="E56" s="83">
        <v>407</v>
      </c>
      <c r="F56" s="19" t="s">
        <v>1085</v>
      </c>
      <c r="G56" s="19" t="s">
        <v>1197</v>
      </c>
      <c r="H56" s="76">
        <v>46208</v>
      </c>
      <c r="I56" s="19" t="s">
        <v>49</v>
      </c>
      <c r="J56" s="19" t="s">
        <v>50</v>
      </c>
      <c r="K56" s="19" t="s">
        <v>50</v>
      </c>
      <c r="L56" s="19" t="s">
        <v>1095</v>
      </c>
      <c r="M56" s="19" t="s">
        <v>1098</v>
      </c>
      <c r="N56" s="19">
        <v>4582.6000000000004</v>
      </c>
      <c r="O56" s="19">
        <v>1387657.11</v>
      </c>
      <c r="P56" s="19" t="s">
        <v>1099</v>
      </c>
      <c r="Q56" s="19">
        <v>0</v>
      </c>
      <c r="R56" s="19">
        <v>9</v>
      </c>
      <c r="S56" s="19">
        <v>124889.14</v>
      </c>
      <c r="T56" s="19">
        <v>9</v>
      </c>
      <c r="U56" s="19">
        <v>124889.14</v>
      </c>
      <c r="V56" s="19">
        <v>0</v>
      </c>
      <c r="W56" s="19">
        <v>0</v>
      </c>
      <c r="X56" s="19">
        <v>0</v>
      </c>
      <c r="Y56" s="19">
        <v>249778.28</v>
      </c>
      <c r="Z56" s="19">
        <v>0</v>
      </c>
      <c r="AA56" s="19" t="s">
        <v>135</v>
      </c>
      <c r="AB56" s="19" t="s">
        <v>1091</v>
      </c>
      <c r="AC56" s="19">
        <v>63053200</v>
      </c>
      <c r="AD56" s="19" t="s">
        <v>1092</v>
      </c>
      <c r="AE56" s="19">
        <v>1</v>
      </c>
      <c r="AF56" s="19">
        <v>4582.6000000000004</v>
      </c>
      <c r="AG56" s="19" t="s">
        <v>1093</v>
      </c>
      <c r="AH56" s="19" t="s">
        <v>50</v>
      </c>
      <c r="AI56" s="19"/>
    </row>
    <row r="57" spans="2:35" x14ac:dyDescent="0.35">
      <c r="B57" s="82">
        <v>46209</v>
      </c>
      <c r="C57" s="19" t="s">
        <v>1123</v>
      </c>
      <c r="D57" s="19" t="s">
        <v>11</v>
      </c>
      <c r="E57" s="83">
        <v>409</v>
      </c>
      <c r="F57" s="19" t="s">
        <v>1085</v>
      </c>
      <c r="G57" s="19" t="s">
        <v>1200</v>
      </c>
      <c r="H57" s="76">
        <v>46209</v>
      </c>
      <c r="I57" s="19" t="s">
        <v>49</v>
      </c>
      <c r="J57" s="19" t="s">
        <v>50</v>
      </c>
      <c r="K57" s="19" t="s">
        <v>50</v>
      </c>
      <c r="L57" s="19" t="s">
        <v>1095</v>
      </c>
      <c r="M57" s="19" t="s">
        <v>1098</v>
      </c>
      <c r="N57" s="19">
        <v>5172.5</v>
      </c>
      <c r="O57" s="19">
        <v>1462576.1</v>
      </c>
      <c r="P57" s="19" t="s">
        <v>1201</v>
      </c>
      <c r="Q57" s="19">
        <v>6186574.75</v>
      </c>
      <c r="R57" s="19">
        <v>9</v>
      </c>
      <c r="S57" s="19">
        <v>131631.85</v>
      </c>
      <c r="T57" s="19">
        <v>9</v>
      </c>
      <c r="U57" s="19">
        <v>131631.85</v>
      </c>
      <c r="V57" s="19">
        <v>0</v>
      </c>
      <c r="W57" s="19">
        <v>0</v>
      </c>
      <c r="X57" s="19">
        <v>0</v>
      </c>
      <c r="Y57" s="19">
        <v>263263.7</v>
      </c>
      <c r="Z57" s="19">
        <v>0</v>
      </c>
      <c r="AA57" s="19" t="s">
        <v>179</v>
      </c>
      <c r="AB57" s="19" t="s">
        <v>1091</v>
      </c>
      <c r="AC57" s="19">
        <v>63053200</v>
      </c>
      <c r="AD57" s="19" t="s">
        <v>1092</v>
      </c>
      <c r="AE57" s="19">
        <v>1</v>
      </c>
      <c r="AF57" s="19">
        <v>5172.5</v>
      </c>
      <c r="AG57" s="19" t="s">
        <v>1093</v>
      </c>
      <c r="AH57" s="19" t="s">
        <v>50</v>
      </c>
      <c r="AI57" s="19"/>
    </row>
    <row r="58" spans="2:35" x14ac:dyDescent="0.35">
      <c r="B58" s="82">
        <v>46209</v>
      </c>
      <c r="C58" s="19" t="s">
        <v>1123</v>
      </c>
      <c r="D58" s="19" t="s">
        <v>11</v>
      </c>
      <c r="E58" s="83">
        <v>409</v>
      </c>
      <c r="F58" s="19" t="s">
        <v>1085</v>
      </c>
      <c r="G58" s="19" t="s">
        <v>1200</v>
      </c>
      <c r="H58" s="76">
        <v>46209</v>
      </c>
      <c r="I58" s="19" t="s">
        <v>49</v>
      </c>
      <c r="J58" s="19" t="s">
        <v>50</v>
      </c>
      <c r="K58" s="19" t="s">
        <v>50</v>
      </c>
      <c r="L58" s="19" t="s">
        <v>1095</v>
      </c>
      <c r="M58" s="19" t="s">
        <v>1098</v>
      </c>
      <c r="N58" s="19">
        <v>889</v>
      </c>
      <c r="O58" s="19">
        <v>238865.41</v>
      </c>
      <c r="P58" s="19" t="s">
        <v>1202</v>
      </c>
      <c r="Q58" s="19">
        <v>0</v>
      </c>
      <c r="R58" s="19">
        <v>9</v>
      </c>
      <c r="S58" s="19">
        <v>21497.89</v>
      </c>
      <c r="T58" s="19">
        <v>9</v>
      </c>
      <c r="U58" s="19">
        <v>21497.89</v>
      </c>
      <c r="V58" s="19">
        <v>0</v>
      </c>
      <c r="W58" s="19">
        <v>0</v>
      </c>
      <c r="X58" s="19">
        <v>0</v>
      </c>
      <c r="Y58" s="19">
        <v>42995.78</v>
      </c>
      <c r="Z58" s="19">
        <v>0</v>
      </c>
      <c r="AA58" s="19" t="s">
        <v>179</v>
      </c>
      <c r="AB58" s="19" t="s">
        <v>1091</v>
      </c>
      <c r="AC58" s="19">
        <v>63053200</v>
      </c>
      <c r="AD58" s="19" t="s">
        <v>1092</v>
      </c>
      <c r="AE58" s="19">
        <v>1</v>
      </c>
      <c r="AF58" s="19">
        <v>889</v>
      </c>
      <c r="AG58" s="19" t="s">
        <v>1093</v>
      </c>
      <c r="AH58" s="19" t="s">
        <v>50</v>
      </c>
      <c r="AI58" s="19"/>
    </row>
    <row r="59" spans="2:35" x14ac:dyDescent="0.35">
      <c r="B59" s="82">
        <v>46209</v>
      </c>
      <c r="C59" s="19" t="s">
        <v>1123</v>
      </c>
      <c r="D59" s="19" t="s">
        <v>11</v>
      </c>
      <c r="E59" s="83">
        <v>409</v>
      </c>
      <c r="F59" s="19" t="s">
        <v>1085</v>
      </c>
      <c r="G59" s="19" t="s">
        <v>1200</v>
      </c>
      <c r="H59" s="76">
        <v>46209</v>
      </c>
      <c r="I59" s="19" t="s">
        <v>49</v>
      </c>
      <c r="J59" s="19" t="s">
        <v>50</v>
      </c>
      <c r="K59" s="19" t="s">
        <v>50</v>
      </c>
      <c r="L59" s="19" t="s">
        <v>1095</v>
      </c>
      <c r="M59" s="19" t="s">
        <v>1098</v>
      </c>
      <c r="N59" s="19">
        <v>2236.8000000000002</v>
      </c>
      <c r="O59" s="19">
        <v>597270.34</v>
      </c>
      <c r="P59" s="19" t="s">
        <v>1203</v>
      </c>
      <c r="Q59" s="19">
        <v>0</v>
      </c>
      <c r="R59" s="19">
        <v>9</v>
      </c>
      <c r="S59" s="19">
        <v>53754.33</v>
      </c>
      <c r="T59" s="19">
        <v>9</v>
      </c>
      <c r="U59" s="19">
        <v>53754.33</v>
      </c>
      <c r="V59" s="19">
        <v>0</v>
      </c>
      <c r="W59" s="19">
        <v>0</v>
      </c>
      <c r="X59" s="19">
        <v>0</v>
      </c>
      <c r="Y59" s="19">
        <v>107508.66</v>
      </c>
      <c r="Z59" s="19">
        <v>0</v>
      </c>
      <c r="AA59" s="19" t="s">
        <v>179</v>
      </c>
      <c r="AB59" s="19" t="s">
        <v>1091</v>
      </c>
      <c r="AC59" s="19">
        <v>63053200</v>
      </c>
      <c r="AD59" s="19" t="s">
        <v>1092</v>
      </c>
      <c r="AE59" s="19">
        <v>1</v>
      </c>
      <c r="AF59" s="19">
        <v>2236.8000000000002</v>
      </c>
      <c r="AG59" s="19" t="s">
        <v>1093</v>
      </c>
      <c r="AH59" s="19" t="s">
        <v>50</v>
      </c>
      <c r="AI59" s="19"/>
    </row>
    <row r="60" spans="2:35" x14ac:dyDescent="0.35">
      <c r="B60" s="82">
        <v>46209</v>
      </c>
      <c r="C60" s="19" t="s">
        <v>1123</v>
      </c>
      <c r="D60" s="19" t="s">
        <v>11</v>
      </c>
      <c r="E60" s="83">
        <v>409</v>
      </c>
      <c r="F60" s="19" t="s">
        <v>1085</v>
      </c>
      <c r="G60" s="19" t="s">
        <v>1200</v>
      </c>
      <c r="H60" s="76">
        <v>46209</v>
      </c>
      <c r="I60" s="19" t="s">
        <v>49</v>
      </c>
      <c r="J60" s="19" t="s">
        <v>50</v>
      </c>
      <c r="K60" s="19" t="s">
        <v>50</v>
      </c>
      <c r="L60" s="19" t="s">
        <v>1095</v>
      </c>
      <c r="M60" s="19" t="s">
        <v>1098</v>
      </c>
      <c r="N60" s="19">
        <v>2164.6999999999998</v>
      </c>
      <c r="O60" s="19">
        <v>565138.23</v>
      </c>
      <c r="P60" s="19" t="s">
        <v>1204</v>
      </c>
      <c r="Q60" s="19">
        <v>0</v>
      </c>
      <c r="R60" s="19">
        <v>9</v>
      </c>
      <c r="S60" s="19">
        <v>50862.44</v>
      </c>
      <c r="T60" s="19">
        <v>9</v>
      </c>
      <c r="U60" s="19">
        <v>50862.44</v>
      </c>
      <c r="V60" s="19">
        <v>0</v>
      </c>
      <c r="W60" s="19">
        <v>0</v>
      </c>
      <c r="X60" s="19">
        <v>0</v>
      </c>
      <c r="Y60" s="19">
        <v>101724.88</v>
      </c>
      <c r="Z60" s="19">
        <v>0</v>
      </c>
      <c r="AA60" s="19" t="s">
        <v>179</v>
      </c>
      <c r="AB60" s="19" t="s">
        <v>1091</v>
      </c>
      <c r="AC60" s="19">
        <v>63053200</v>
      </c>
      <c r="AD60" s="19" t="s">
        <v>1092</v>
      </c>
      <c r="AE60" s="19">
        <v>1</v>
      </c>
      <c r="AF60" s="19">
        <v>2164.6999999999998</v>
      </c>
      <c r="AG60" s="19" t="s">
        <v>1093</v>
      </c>
      <c r="AH60" s="19" t="s">
        <v>50</v>
      </c>
      <c r="AI60" s="19"/>
    </row>
    <row r="61" spans="2:35" x14ac:dyDescent="0.35">
      <c r="B61" s="82">
        <v>46209</v>
      </c>
      <c r="C61" s="19" t="s">
        <v>1123</v>
      </c>
      <c r="D61" s="19" t="s">
        <v>11</v>
      </c>
      <c r="E61" s="83">
        <v>409</v>
      </c>
      <c r="F61" s="19" t="s">
        <v>1085</v>
      </c>
      <c r="G61" s="19" t="s">
        <v>1200</v>
      </c>
      <c r="H61" s="76">
        <v>46209</v>
      </c>
      <c r="I61" s="19" t="s">
        <v>49</v>
      </c>
      <c r="J61" s="19" t="s">
        <v>50</v>
      </c>
      <c r="K61" s="19" t="s">
        <v>50</v>
      </c>
      <c r="L61" s="19" t="s">
        <v>1095</v>
      </c>
      <c r="M61" s="19" t="s">
        <v>1098</v>
      </c>
      <c r="N61" s="19">
        <v>4235.3</v>
      </c>
      <c r="O61" s="19">
        <v>1074665.02</v>
      </c>
      <c r="P61" s="19" t="s">
        <v>1205</v>
      </c>
      <c r="Q61" s="19">
        <v>0</v>
      </c>
      <c r="R61" s="19">
        <v>9</v>
      </c>
      <c r="S61" s="19">
        <v>96719.85</v>
      </c>
      <c r="T61" s="19">
        <v>9</v>
      </c>
      <c r="U61" s="19">
        <v>96719.85</v>
      </c>
      <c r="V61" s="19">
        <v>0</v>
      </c>
      <c r="W61" s="19">
        <v>0</v>
      </c>
      <c r="X61" s="19">
        <v>0</v>
      </c>
      <c r="Y61" s="19">
        <v>193439.7</v>
      </c>
      <c r="Z61" s="19">
        <v>0</v>
      </c>
      <c r="AA61" s="19" t="s">
        <v>179</v>
      </c>
      <c r="AB61" s="19" t="s">
        <v>1091</v>
      </c>
      <c r="AC61" s="19">
        <v>63053200</v>
      </c>
      <c r="AD61" s="19" t="s">
        <v>1092</v>
      </c>
      <c r="AE61" s="19">
        <v>1</v>
      </c>
      <c r="AF61" s="19">
        <v>4235.3</v>
      </c>
      <c r="AG61" s="19" t="s">
        <v>1093</v>
      </c>
      <c r="AH61" s="19" t="s">
        <v>50</v>
      </c>
      <c r="AI61" s="19"/>
    </row>
    <row r="62" spans="2:35" x14ac:dyDescent="0.35">
      <c r="B62" s="82">
        <v>46209</v>
      </c>
      <c r="C62" s="19" t="s">
        <v>1123</v>
      </c>
      <c r="D62" s="19" t="s">
        <v>11</v>
      </c>
      <c r="E62" s="83">
        <v>409</v>
      </c>
      <c r="F62" s="19" t="s">
        <v>1085</v>
      </c>
      <c r="G62" s="19" t="s">
        <v>1200</v>
      </c>
      <c r="H62" s="76">
        <v>46209</v>
      </c>
      <c r="I62" s="19" t="s">
        <v>49</v>
      </c>
      <c r="J62" s="19" t="s">
        <v>50</v>
      </c>
      <c r="K62" s="19" t="s">
        <v>50</v>
      </c>
      <c r="L62" s="19" t="s">
        <v>1095</v>
      </c>
      <c r="M62" s="19" t="s">
        <v>1098</v>
      </c>
      <c r="N62" s="19">
        <v>2451</v>
      </c>
      <c r="O62" s="19">
        <v>462283.11</v>
      </c>
      <c r="P62" s="19" t="s">
        <v>1206</v>
      </c>
      <c r="Q62" s="19">
        <v>0</v>
      </c>
      <c r="R62" s="19">
        <v>9</v>
      </c>
      <c r="S62" s="19">
        <v>41605.480000000003</v>
      </c>
      <c r="T62" s="19">
        <v>9</v>
      </c>
      <c r="U62" s="19">
        <v>41605.480000000003</v>
      </c>
      <c r="V62" s="19">
        <v>0</v>
      </c>
      <c r="W62" s="19">
        <v>0</v>
      </c>
      <c r="X62" s="19">
        <v>0</v>
      </c>
      <c r="Y62" s="19">
        <v>83210.960000000006</v>
      </c>
      <c r="Z62" s="19">
        <v>0</v>
      </c>
      <c r="AA62" s="19" t="s">
        <v>179</v>
      </c>
      <c r="AB62" s="19" t="s">
        <v>1091</v>
      </c>
      <c r="AC62" s="19">
        <v>63053200</v>
      </c>
      <c r="AD62" s="19" t="s">
        <v>1092</v>
      </c>
      <c r="AE62" s="19">
        <v>1</v>
      </c>
      <c r="AF62" s="19">
        <v>2451</v>
      </c>
      <c r="AG62" s="19" t="s">
        <v>1093</v>
      </c>
      <c r="AH62" s="19" t="s">
        <v>50</v>
      </c>
      <c r="AI62" s="19"/>
    </row>
    <row r="63" spans="2:35" x14ac:dyDescent="0.35">
      <c r="B63" s="82">
        <v>46209</v>
      </c>
      <c r="C63" s="19" t="s">
        <v>1123</v>
      </c>
      <c r="D63" s="19" t="s">
        <v>11</v>
      </c>
      <c r="E63" s="83">
        <v>409</v>
      </c>
      <c r="F63" s="19" t="s">
        <v>1085</v>
      </c>
      <c r="G63" s="19" t="s">
        <v>1200</v>
      </c>
      <c r="H63" s="76">
        <v>46209</v>
      </c>
      <c r="I63" s="19" t="s">
        <v>49</v>
      </c>
      <c r="J63" s="19" t="s">
        <v>50</v>
      </c>
      <c r="K63" s="19" t="s">
        <v>50</v>
      </c>
      <c r="L63" s="19" t="s">
        <v>1095</v>
      </c>
      <c r="M63" s="19" t="s">
        <v>1098</v>
      </c>
      <c r="N63" s="19">
        <v>433.6</v>
      </c>
      <c r="O63" s="19">
        <v>84578.02</v>
      </c>
      <c r="P63" s="19" t="s">
        <v>1207</v>
      </c>
      <c r="Q63" s="19">
        <v>0</v>
      </c>
      <c r="R63" s="19">
        <v>9</v>
      </c>
      <c r="S63" s="19">
        <v>7612.02</v>
      </c>
      <c r="T63" s="19">
        <v>9</v>
      </c>
      <c r="U63" s="19">
        <v>7612.02</v>
      </c>
      <c r="V63" s="19">
        <v>0</v>
      </c>
      <c r="W63" s="19">
        <v>0</v>
      </c>
      <c r="X63" s="19">
        <v>0</v>
      </c>
      <c r="Y63" s="19">
        <v>15224.04</v>
      </c>
      <c r="Z63" s="19">
        <v>0</v>
      </c>
      <c r="AA63" s="19" t="s">
        <v>179</v>
      </c>
      <c r="AB63" s="19" t="s">
        <v>1091</v>
      </c>
      <c r="AC63" s="19">
        <v>63053200</v>
      </c>
      <c r="AD63" s="19" t="s">
        <v>1092</v>
      </c>
      <c r="AE63" s="19">
        <v>1</v>
      </c>
      <c r="AF63" s="19">
        <v>433.6</v>
      </c>
      <c r="AG63" s="19" t="s">
        <v>1093</v>
      </c>
      <c r="AH63" s="19" t="s">
        <v>50</v>
      </c>
      <c r="AI63" s="19"/>
    </row>
    <row r="64" spans="2:35" x14ac:dyDescent="0.35">
      <c r="B64" s="82">
        <v>46209</v>
      </c>
      <c r="C64" s="19" t="s">
        <v>1123</v>
      </c>
      <c r="D64" s="19" t="s">
        <v>11</v>
      </c>
      <c r="E64" s="83">
        <v>409</v>
      </c>
      <c r="F64" s="19" t="s">
        <v>1085</v>
      </c>
      <c r="G64" s="19" t="s">
        <v>1200</v>
      </c>
      <c r="H64" s="76">
        <v>46209</v>
      </c>
      <c r="I64" s="19" t="s">
        <v>49</v>
      </c>
      <c r="J64" s="19" t="s">
        <v>50</v>
      </c>
      <c r="K64" s="19" t="s">
        <v>50</v>
      </c>
      <c r="L64" s="19" t="s">
        <v>1095</v>
      </c>
      <c r="M64" s="19" t="s">
        <v>1098</v>
      </c>
      <c r="N64" s="19">
        <v>2899.5</v>
      </c>
      <c r="O64" s="19">
        <v>761930.61</v>
      </c>
      <c r="P64" s="19" t="s">
        <v>1208</v>
      </c>
      <c r="Q64" s="19">
        <v>0</v>
      </c>
      <c r="R64" s="19">
        <v>9</v>
      </c>
      <c r="S64" s="19">
        <v>68573.75</v>
      </c>
      <c r="T64" s="19">
        <v>9</v>
      </c>
      <c r="U64" s="19">
        <v>68573.75</v>
      </c>
      <c r="V64" s="19">
        <v>0</v>
      </c>
      <c r="W64" s="19">
        <v>0</v>
      </c>
      <c r="X64" s="19">
        <v>0</v>
      </c>
      <c r="Y64" s="19">
        <v>137147.5</v>
      </c>
      <c r="Z64" s="19">
        <v>0</v>
      </c>
      <c r="AA64" s="19" t="s">
        <v>179</v>
      </c>
      <c r="AB64" s="19" t="s">
        <v>1091</v>
      </c>
      <c r="AC64" s="19">
        <v>63053200</v>
      </c>
      <c r="AD64" s="19" t="s">
        <v>1092</v>
      </c>
      <c r="AE64" s="19">
        <v>1</v>
      </c>
      <c r="AF64" s="19">
        <v>2899.5</v>
      </c>
      <c r="AG64" s="19" t="s">
        <v>1093</v>
      </c>
      <c r="AH64" s="19" t="s">
        <v>50</v>
      </c>
      <c r="AI64" s="19"/>
    </row>
    <row r="65" spans="2:35" x14ac:dyDescent="0.35">
      <c r="B65" s="82">
        <v>46209</v>
      </c>
      <c r="C65" s="19" t="s">
        <v>1136</v>
      </c>
      <c r="D65" s="19" t="s">
        <v>11</v>
      </c>
      <c r="E65" s="83">
        <v>408</v>
      </c>
      <c r="F65" s="19" t="s">
        <v>1085</v>
      </c>
      <c r="G65" s="19" t="s">
        <v>1209</v>
      </c>
      <c r="H65" s="76">
        <v>46209</v>
      </c>
      <c r="I65" s="19" t="s">
        <v>28</v>
      </c>
      <c r="J65" s="19" t="s">
        <v>1173</v>
      </c>
      <c r="K65" s="19" t="s">
        <v>34</v>
      </c>
      <c r="L65" s="19" t="s">
        <v>1105</v>
      </c>
      <c r="M65" s="19" t="s">
        <v>1174</v>
      </c>
      <c r="N65" s="19">
        <v>99000</v>
      </c>
      <c r="O65" s="19">
        <v>7642107</v>
      </c>
      <c r="P65" s="19" t="s">
        <v>1174</v>
      </c>
      <c r="Q65" s="19">
        <v>9010044.1500000004</v>
      </c>
      <c r="R65" s="19">
        <v>9</v>
      </c>
      <c r="S65" s="19">
        <v>687789.63</v>
      </c>
      <c r="T65" s="19">
        <v>9</v>
      </c>
      <c r="U65" s="19">
        <v>687789.63</v>
      </c>
      <c r="V65" s="19">
        <v>0</v>
      </c>
      <c r="W65" s="19">
        <v>0</v>
      </c>
      <c r="X65" s="19">
        <v>0</v>
      </c>
      <c r="Y65" s="19">
        <v>1375579.26</v>
      </c>
      <c r="Z65" s="19">
        <v>0</v>
      </c>
      <c r="AA65" s="19" t="s">
        <v>135</v>
      </c>
      <c r="AB65" s="19" t="s">
        <v>1091</v>
      </c>
      <c r="AC65" s="19">
        <v>39021000</v>
      </c>
      <c r="AD65" s="19" t="s">
        <v>1092</v>
      </c>
      <c r="AE65" s="19">
        <v>1</v>
      </c>
      <c r="AF65" s="19">
        <v>99000</v>
      </c>
      <c r="AG65" s="19" t="s">
        <v>1093</v>
      </c>
      <c r="AH65" s="19" t="s">
        <v>34</v>
      </c>
      <c r="AI65" s="19"/>
    </row>
    <row r="66" spans="2:35" x14ac:dyDescent="0.35">
      <c r="B66" s="82">
        <v>46209</v>
      </c>
      <c r="C66" s="19" t="s">
        <v>1136</v>
      </c>
      <c r="D66" s="19" t="s">
        <v>11</v>
      </c>
      <c r="E66" s="83">
        <v>410</v>
      </c>
      <c r="F66" s="19" t="s">
        <v>1085</v>
      </c>
      <c r="G66" s="19" t="s">
        <v>1210</v>
      </c>
      <c r="H66" s="76">
        <v>46209</v>
      </c>
      <c r="I66" s="19" t="s">
        <v>36</v>
      </c>
      <c r="J66" s="19" t="s">
        <v>1117</v>
      </c>
      <c r="K66" s="19" t="s">
        <v>44</v>
      </c>
      <c r="L66" s="19" t="s">
        <v>1118</v>
      </c>
      <c r="M66" s="19" t="s">
        <v>1119</v>
      </c>
      <c r="N66" s="19">
        <v>3269.8</v>
      </c>
      <c r="O66" s="19">
        <v>526928.27</v>
      </c>
      <c r="P66" s="19" t="s">
        <v>1211</v>
      </c>
      <c r="Q66" s="19">
        <v>898424.19</v>
      </c>
      <c r="R66" s="19">
        <v>9</v>
      </c>
      <c r="S66" s="19">
        <v>47423.54</v>
      </c>
      <c r="T66" s="19">
        <v>9</v>
      </c>
      <c r="U66" s="19">
        <v>47423.54</v>
      </c>
      <c r="V66" s="19">
        <v>0</v>
      </c>
      <c r="W66" s="19">
        <v>0</v>
      </c>
      <c r="X66" s="19">
        <v>0</v>
      </c>
      <c r="Y66" s="19">
        <v>94847.08</v>
      </c>
      <c r="Z66" s="19">
        <v>0</v>
      </c>
      <c r="AA66" s="19" t="s">
        <v>135</v>
      </c>
      <c r="AB66" s="19" t="s">
        <v>1091</v>
      </c>
      <c r="AC66" s="19">
        <v>39269080</v>
      </c>
      <c r="AD66" s="19" t="s">
        <v>1092</v>
      </c>
      <c r="AE66" s="19">
        <v>1</v>
      </c>
      <c r="AF66" s="19">
        <v>3269.8</v>
      </c>
      <c r="AG66" s="19" t="s">
        <v>1093</v>
      </c>
      <c r="AH66" s="19" t="s">
        <v>44</v>
      </c>
      <c r="AI66" s="19"/>
    </row>
    <row r="67" spans="2:35" ht="29" x14ac:dyDescent="0.35">
      <c r="B67" s="82">
        <v>46209</v>
      </c>
      <c r="C67" s="19" t="s">
        <v>1136</v>
      </c>
      <c r="D67" s="19" t="s">
        <v>11</v>
      </c>
      <c r="E67" s="83">
        <v>410</v>
      </c>
      <c r="F67" s="19" t="s">
        <v>1085</v>
      </c>
      <c r="G67" s="19" t="s">
        <v>1210</v>
      </c>
      <c r="H67" s="76">
        <v>46209</v>
      </c>
      <c r="I67" s="19" t="s">
        <v>36</v>
      </c>
      <c r="J67" s="19" t="s">
        <v>1117</v>
      </c>
      <c r="K67" s="19" t="s">
        <v>44</v>
      </c>
      <c r="L67" s="19" t="s">
        <v>1118</v>
      </c>
      <c r="M67" s="19" t="s">
        <v>1119</v>
      </c>
      <c r="N67" s="19">
        <v>520.70000000000005</v>
      </c>
      <c r="O67" s="19">
        <v>88076.41</v>
      </c>
      <c r="P67" s="84" t="s">
        <v>1212</v>
      </c>
      <c r="Q67" s="19">
        <v>0</v>
      </c>
      <c r="R67" s="19">
        <v>9</v>
      </c>
      <c r="S67" s="19">
        <v>7926.88</v>
      </c>
      <c r="T67" s="19">
        <v>9</v>
      </c>
      <c r="U67" s="19">
        <v>7926.88</v>
      </c>
      <c r="V67" s="19">
        <v>0</v>
      </c>
      <c r="W67" s="19">
        <v>0</v>
      </c>
      <c r="X67" s="19">
        <v>0</v>
      </c>
      <c r="Y67" s="19">
        <v>15853.76</v>
      </c>
      <c r="Z67" s="19">
        <v>0</v>
      </c>
      <c r="AA67" s="19" t="s">
        <v>135</v>
      </c>
      <c r="AB67" s="19" t="s">
        <v>1091</v>
      </c>
      <c r="AC67" s="19">
        <v>39269080</v>
      </c>
      <c r="AD67" s="19" t="s">
        <v>1092</v>
      </c>
      <c r="AE67" s="19">
        <v>1</v>
      </c>
      <c r="AF67" s="19">
        <v>520.70000000000005</v>
      </c>
      <c r="AG67" s="19" t="s">
        <v>1093</v>
      </c>
      <c r="AH67" s="19" t="s">
        <v>44</v>
      </c>
      <c r="AI67" s="19"/>
    </row>
    <row r="68" spans="2:35" x14ac:dyDescent="0.35">
      <c r="B68" s="82">
        <v>46209</v>
      </c>
      <c r="C68" s="19" t="s">
        <v>1136</v>
      </c>
      <c r="D68" s="19" t="s">
        <v>11</v>
      </c>
      <c r="E68" s="83">
        <v>410</v>
      </c>
      <c r="F68" s="19" t="s">
        <v>1085</v>
      </c>
      <c r="G68" s="19" t="s">
        <v>1210</v>
      </c>
      <c r="H68" s="76">
        <v>46209</v>
      </c>
      <c r="I68" s="19" t="s">
        <v>36</v>
      </c>
      <c r="J68" s="19" t="s">
        <v>1087</v>
      </c>
      <c r="K68" s="19" t="s">
        <v>46</v>
      </c>
      <c r="L68" s="19" t="s">
        <v>1213</v>
      </c>
      <c r="M68" s="19" t="s">
        <v>1214</v>
      </c>
      <c r="N68" s="19">
        <v>360</v>
      </c>
      <c r="O68" s="19">
        <v>69256.800000000003</v>
      </c>
      <c r="P68" s="19" t="s">
        <v>1214</v>
      </c>
      <c r="Q68" s="19">
        <v>0</v>
      </c>
      <c r="R68" s="19">
        <v>2.5</v>
      </c>
      <c r="S68" s="19">
        <v>1731.42</v>
      </c>
      <c r="T68" s="19">
        <v>2.5</v>
      </c>
      <c r="U68" s="19">
        <v>1731.42</v>
      </c>
      <c r="V68" s="19">
        <v>0</v>
      </c>
      <c r="W68" s="19">
        <v>0</v>
      </c>
      <c r="X68" s="19">
        <v>0</v>
      </c>
      <c r="Y68" s="19">
        <v>3462.84</v>
      </c>
      <c r="Z68" s="19">
        <v>0</v>
      </c>
      <c r="AA68" s="19" t="s">
        <v>135</v>
      </c>
      <c r="AB68" s="19" t="s">
        <v>1091</v>
      </c>
      <c r="AC68" s="19">
        <v>54026930</v>
      </c>
      <c r="AD68" s="19" t="s">
        <v>1092</v>
      </c>
      <c r="AE68" s="19">
        <v>1</v>
      </c>
      <c r="AF68" s="19">
        <v>360</v>
      </c>
      <c r="AG68" s="19" t="s">
        <v>1093</v>
      </c>
      <c r="AH68" s="19" t="s">
        <v>46</v>
      </c>
      <c r="AI68" s="19"/>
    </row>
    <row r="69" spans="2:35" x14ac:dyDescent="0.35">
      <c r="B69" s="82">
        <v>46209</v>
      </c>
      <c r="C69" s="19" t="s">
        <v>1136</v>
      </c>
      <c r="D69" s="19" t="s">
        <v>11</v>
      </c>
      <c r="E69" s="83">
        <v>410</v>
      </c>
      <c r="F69" s="19" t="s">
        <v>1085</v>
      </c>
      <c r="G69" s="19" t="s">
        <v>1210</v>
      </c>
      <c r="H69" s="76">
        <v>46209</v>
      </c>
      <c r="I69" s="19" t="s">
        <v>36</v>
      </c>
      <c r="J69" s="19" t="s">
        <v>1087</v>
      </c>
      <c r="K69" s="19" t="s">
        <v>46</v>
      </c>
      <c r="L69" s="19" t="s">
        <v>1138</v>
      </c>
      <c r="M69" s="19" t="s">
        <v>1089</v>
      </c>
      <c r="N69" s="19">
        <v>635</v>
      </c>
      <c r="O69" s="19">
        <v>95980.25</v>
      </c>
      <c r="P69" s="19" t="s">
        <v>1090</v>
      </c>
      <c r="Q69" s="19">
        <v>0</v>
      </c>
      <c r="R69" s="19">
        <v>2.5</v>
      </c>
      <c r="S69" s="19">
        <v>2399.5100000000002</v>
      </c>
      <c r="T69" s="19">
        <v>2.5</v>
      </c>
      <c r="U69" s="19">
        <v>2399.5100000000002</v>
      </c>
      <c r="V69" s="19">
        <v>0</v>
      </c>
      <c r="W69" s="19">
        <v>0</v>
      </c>
      <c r="X69" s="19">
        <v>0</v>
      </c>
      <c r="Y69" s="19">
        <v>4799.0200000000004</v>
      </c>
      <c r="Z69" s="19">
        <v>0</v>
      </c>
      <c r="AA69" s="19" t="s">
        <v>135</v>
      </c>
      <c r="AB69" s="19" t="s">
        <v>1091</v>
      </c>
      <c r="AC69" s="19">
        <v>54026930</v>
      </c>
      <c r="AD69" s="19" t="s">
        <v>1092</v>
      </c>
      <c r="AE69" s="19">
        <v>1</v>
      </c>
      <c r="AF69" s="19">
        <v>635</v>
      </c>
      <c r="AG69" s="19" t="s">
        <v>1093</v>
      </c>
      <c r="AH69" s="19" t="s">
        <v>46</v>
      </c>
      <c r="AI69" s="19"/>
    </row>
    <row r="70" spans="2:35" hidden="1" x14ac:dyDescent="0.35">
      <c r="B70" s="82">
        <v>46209</v>
      </c>
      <c r="C70" s="19" t="s">
        <v>1136</v>
      </c>
      <c r="D70" s="19" t="s">
        <v>11</v>
      </c>
      <c r="E70" s="83">
        <v>411</v>
      </c>
      <c r="F70" s="19" t="s">
        <v>1124</v>
      </c>
      <c r="G70" s="19" t="s">
        <v>1215</v>
      </c>
      <c r="H70" s="76">
        <v>46209</v>
      </c>
      <c r="I70" s="19" t="s">
        <v>105</v>
      </c>
      <c r="J70" s="19" t="s">
        <v>1142</v>
      </c>
      <c r="K70" s="19" t="s">
        <v>1143</v>
      </c>
      <c r="L70" s="19" t="s">
        <v>1144</v>
      </c>
      <c r="M70" s="19" t="s">
        <v>1145</v>
      </c>
      <c r="N70" s="19">
        <v>153</v>
      </c>
      <c r="O70" s="19">
        <v>7344</v>
      </c>
      <c r="P70" s="19" t="s">
        <v>1139</v>
      </c>
      <c r="Q70" s="19">
        <v>8658.58</v>
      </c>
      <c r="R70" s="19">
        <v>9</v>
      </c>
      <c r="S70" s="19">
        <v>660.96</v>
      </c>
      <c r="T70" s="19">
        <v>9</v>
      </c>
      <c r="U70" s="19">
        <v>660.96</v>
      </c>
      <c r="V70" s="19">
        <v>0</v>
      </c>
      <c r="W70" s="19">
        <v>0</v>
      </c>
      <c r="X70" s="19">
        <v>0</v>
      </c>
      <c r="Y70" s="19">
        <v>1321.92</v>
      </c>
      <c r="Z70" s="19">
        <v>0</v>
      </c>
      <c r="AA70" s="19" t="s">
        <v>135</v>
      </c>
      <c r="AB70" s="19" t="s">
        <v>1091</v>
      </c>
      <c r="AC70" s="19">
        <v>73063090</v>
      </c>
      <c r="AD70" s="19" t="s">
        <v>1092</v>
      </c>
      <c r="AE70" s="19">
        <v>1</v>
      </c>
      <c r="AF70" s="19">
        <v>153</v>
      </c>
      <c r="AG70" s="19" t="s">
        <v>1093</v>
      </c>
      <c r="AH70" s="83" t="s">
        <v>2319</v>
      </c>
      <c r="AI70" s="19"/>
    </row>
    <row r="71" spans="2:35" x14ac:dyDescent="0.35">
      <c r="B71" s="82">
        <v>46209</v>
      </c>
      <c r="C71" s="19" t="s">
        <v>1136</v>
      </c>
      <c r="D71" s="19" t="s">
        <v>11</v>
      </c>
      <c r="E71" s="83">
        <v>412</v>
      </c>
      <c r="F71" s="19" t="s">
        <v>1085</v>
      </c>
      <c r="G71" s="19" t="s">
        <v>1216</v>
      </c>
      <c r="H71" s="76">
        <v>46209</v>
      </c>
      <c r="I71" s="19" t="s">
        <v>28</v>
      </c>
      <c r="J71" s="19" t="s">
        <v>1173</v>
      </c>
      <c r="K71" s="19" t="s">
        <v>33</v>
      </c>
      <c r="L71" s="19" t="s">
        <v>1186</v>
      </c>
      <c r="M71" s="19" t="s">
        <v>1187</v>
      </c>
      <c r="N71" s="19">
        <v>25</v>
      </c>
      <c r="O71" s="19">
        <v>3831.5</v>
      </c>
      <c r="P71" s="19" t="s">
        <v>1187</v>
      </c>
      <c r="Q71" s="19">
        <v>4517.3500000000004</v>
      </c>
      <c r="R71" s="19">
        <v>9</v>
      </c>
      <c r="S71" s="19">
        <v>344.84</v>
      </c>
      <c r="T71" s="19">
        <v>9</v>
      </c>
      <c r="U71" s="19">
        <v>344.84</v>
      </c>
      <c r="V71" s="19">
        <v>0</v>
      </c>
      <c r="W71" s="19">
        <v>0</v>
      </c>
      <c r="X71" s="19">
        <v>0</v>
      </c>
      <c r="Y71" s="19">
        <v>689.68</v>
      </c>
      <c r="Z71" s="19">
        <v>0</v>
      </c>
      <c r="AA71" s="19" t="s">
        <v>135</v>
      </c>
      <c r="AB71" s="19" t="s">
        <v>1091</v>
      </c>
      <c r="AC71" s="19">
        <v>32064990</v>
      </c>
      <c r="AD71" s="19" t="s">
        <v>1092</v>
      </c>
      <c r="AE71" s="19">
        <v>1</v>
      </c>
      <c r="AF71" s="19">
        <v>25</v>
      </c>
      <c r="AG71" s="19" t="s">
        <v>1093</v>
      </c>
      <c r="AH71" s="19" t="s">
        <v>33</v>
      </c>
      <c r="AI71" s="19"/>
    </row>
    <row r="72" spans="2:35" hidden="1" x14ac:dyDescent="0.35">
      <c r="B72" s="82">
        <v>46209</v>
      </c>
      <c r="C72" s="19" t="s">
        <v>1136</v>
      </c>
      <c r="D72" s="19" t="s">
        <v>11</v>
      </c>
      <c r="E72" s="83">
        <v>413</v>
      </c>
      <c r="F72" s="19" t="s">
        <v>1124</v>
      </c>
      <c r="G72" s="19" t="s">
        <v>1217</v>
      </c>
      <c r="H72" s="76">
        <v>46209</v>
      </c>
      <c r="I72" s="19" t="s">
        <v>57</v>
      </c>
      <c r="J72" s="19" t="s">
        <v>58</v>
      </c>
      <c r="K72" s="19" t="s">
        <v>58</v>
      </c>
      <c r="L72" s="19" t="s">
        <v>1218</v>
      </c>
      <c r="M72" s="19" t="s">
        <v>1219</v>
      </c>
      <c r="N72" s="19">
        <v>25</v>
      </c>
      <c r="O72" s="19">
        <v>7725</v>
      </c>
      <c r="P72" s="19" t="s">
        <v>1219</v>
      </c>
      <c r="Q72" s="19">
        <v>9107.7800000000007</v>
      </c>
      <c r="R72" s="19">
        <v>9</v>
      </c>
      <c r="S72" s="19">
        <v>695.25</v>
      </c>
      <c r="T72" s="19">
        <v>9</v>
      </c>
      <c r="U72" s="19">
        <v>695.25</v>
      </c>
      <c r="V72" s="19">
        <v>0</v>
      </c>
      <c r="W72" s="19">
        <v>0</v>
      </c>
      <c r="X72" s="19">
        <v>0</v>
      </c>
      <c r="Y72" s="19">
        <v>1390.5</v>
      </c>
      <c r="Z72" s="19">
        <v>0</v>
      </c>
      <c r="AA72" s="19" t="s">
        <v>135</v>
      </c>
      <c r="AB72" s="19" t="s">
        <v>1091</v>
      </c>
      <c r="AC72" s="19">
        <v>32151990</v>
      </c>
      <c r="AD72" s="19" t="s">
        <v>1092</v>
      </c>
      <c r="AE72" s="19">
        <v>1</v>
      </c>
      <c r="AF72" s="19">
        <v>25</v>
      </c>
      <c r="AG72" s="19" t="s">
        <v>1093</v>
      </c>
      <c r="AH72" s="83" t="s">
        <v>2319</v>
      </c>
      <c r="AI72" s="19"/>
    </row>
    <row r="73" spans="2:35" x14ac:dyDescent="0.35">
      <c r="B73" s="82">
        <v>46209</v>
      </c>
      <c r="C73" s="19" t="s">
        <v>1171</v>
      </c>
      <c r="D73" s="19" t="s">
        <v>11</v>
      </c>
      <c r="E73" s="83">
        <v>414</v>
      </c>
      <c r="F73" s="19" t="s">
        <v>1085</v>
      </c>
      <c r="G73" s="19" t="s">
        <v>1220</v>
      </c>
      <c r="H73" s="76">
        <v>46209</v>
      </c>
      <c r="I73" s="19" t="s">
        <v>49</v>
      </c>
      <c r="J73" s="19" t="s">
        <v>50</v>
      </c>
      <c r="K73" s="19" t="s">
        <v>50</v>
      </c>
      <c r="L73" s="19" t="s">
        <v>1095</v>
      </c>
      <c r="M73" s="19" t="s">
        <v>1098</v>
      </c>
      <c r="N73" s="19">
        <v>19278.400000000001</v>
      </c>
      <c r="O73" s="19">
        <v>4570715.8600000003</v>
      </c>
      <c r="P73" s="19" t="s">
        <v>1221</v>
      </c>
      <c r="Q73" s="19">
        <v>5388874</v>
      </c>
      <c r="R73" s="19">
        <v>9</v>
      </c>
      <c r="S73" s="19">
        <v>411364.43</v>
      </c>
      <c r="T73" s="19">
        <v>9</v>
      </c>
      <c r="U73" s="19">
        <v>411364.43</v>
      </c>
      <c r="V73" s="19">
        <v>0</v>
      </c>
      <c r="W73" s="19">
        <v>0</v>
      </c>
      <c r="X73" s="19">
        <v>0</v>
      </c>
      <c r="Y73" s="19">
        <v>822728.86</v>
      </c>
      <c r="Z73" s="19">
        <v>0</v>
      </c>
      <c r="AA73" s="19" t="s">
        <v>614</v>
      </c>
      <c r="AB73" s="19" t="s">
        <v>1091</v>
      </c>
      <c r="AC73" s="19">
        <v>63053200</v>
      </c>
      <c r="AD73" s="19" t="s">
        <v>1092</v>
      </c>
      <c r="AE73" s="19">
        <v>1</v>
      </c>
      <c r="AF73" s="19">
        <v>19278.400000000001</v>
      </c>
      <c r="AG73" s="19" t="s">
        <v>1093</v>
      </c>
      <c r="AH73" s="19" t="s">
        <v>50</v>
      </c>
      <c r="AI73" s="19"/>
    </row>
    <row r="74" spans="2:35" x14ac:dyDescent="0.35">
      <c r="B74" s="82">
        <v>46210</v>
      </c>
      <c r="C74" s="19" t="s">
        <v>1222</v>
      </c>
      <c r="D74" s="19" t="s">
        <v>1109</v>
      </c>
      <c r="E74" s="83" t="s">
        <v>1223</v>
      </c>
      <c r="F74" s="19" t="s">
        <v>1111</v>
      </c>
      <c r="G74" s="19" t="s">
        <v>1223</v>
      </c>
      <c r="H74" s="76">
        <v>46210</v>
      </c>
      <c r="I74" s="19" t="s">
        <v>49</v>
      </c>
      <c r="J74" s="19" t="s">
        <v>50</v>
      </c>
      <c r="K74" s="19" t="s">
        <v>50</v>
      </c>
      <c r="L74" s="19" t="s">
        <v>1095</v>
      </c>
      <c r="M74" s="19" t="s">
        <v>1096</v>
      </c>
      <c r="N74" s="19">
        <v>17484.7</v>
      </c>
      <c r="O74" s="19">
        <v>4957444.8</v>
      </c>
      <c r="P74" s="19" t="s">
        <v>1112</v>
      </c>
      <c r="Q74" s="19">
        <v>4957444.8</v>
      </c>
      <c r="R74" s="19">
        <v>0</v>
      </c>
      <c r="S74" s="19">
        <v>0</v>
      </c>
      <c r="T74" s="19">
        <v>0</v>
      </c>
      <c r="U74" s="19">
        <v>0</v>
      </c>
      <c r="V74" s="19">
        <v>18</v>
      </c>
      <c r="W74" s="19">
        <v>892340.06400000001</v>
      </c>
      <c r="X74" s="19">
        <v>0.17</v>
      </c>
      <c r="Y74" s="19">
        <v>892340.23400000005</v>
      </c>
      <c r="Z74" s="19">
        <v>0</v>
      </c>
      <c r="AA74" s="19" t="s">
        <v>229</v>
      </c>
      <c r="AB74" s="19" t="s">
        <v>1091</v>
      </c>
      <c r="AC74" s="19">
        <v>63053200</v>
      </c>
      <c r="AD74" s="19" t="s">
        <v>1113</v>
      </c>
      <c r="AE74" s="19">
        <v>93.5</v>
      </c>
      <c r="AF74" s="19">
        <v>17484.7</v>
      </c>
      <c r="AG74" s="19" t="s">
        <v>1114</v>
      </c>
      <c r="AH74" s="19" t="s">
        <v>50</v>
      </c>
      <c r="AI74" s="19"/>
    </row>
    <row r="75" spans="2:35" x14ac:dyDescent="0.35">
      <c r="B75" s="82">
        <v>46210</v>
      </c>
      <c r="C75" s="19" t="s">
        <v>1224</v>
      </c>
      <c r="D75" s="19" t="s">
        <v>1109</v>
      </c>
      <c r="E75" s="83" t="s">
        <v>1225</v>
      </c>
      <c r="F75" s="19" t="s">
        <v>1111</v>
      </c>
      <c r="G75" s="19" t="s">
        <v>1225</v>
      </c>
      <c r="H75" s="76">
        <v>46210</v>
      </c>
      <c r="I75" s="19" t="s">
        <v>49</v>
      </c>
      <c r="J75" s="19" t="s">
        <v>50</v>
      </c>
      <c r="K75" s="19" t="s">
        <v>50</v>
      </c>
      <c r="L75" s="19" t="s">
        <v>1095</v>
      </c>
      <c r="M75" s="19" t="s">
        <v>1096</v>
      </c>
      <c r="N75" s="19">
        <v>4320.7</v>
      </c>
      <c r="O75" s="19">
        <v>1246658.875</v>
      </c>
      <c r="P75" s="19" t="s">
        <v>1112</v>
      </c>
      <c r="Q75" s="19">
        <v>4825974.45</v>
      </c>
      <c r="R75" s="19">
        <v>0</v>
      </c>
      <c r="S75" s="19">
        <v>0</v>
      </c>
      <c r="T75" s="19">
        <v>0</v>
      </c>
      <c r="U75" s="19">
        <v>0</v>
      </c>
      <c r="V75" s="19">
        <v>18</v>
      </c>
      <c r="W75" s="19">
        <v>224398.13</v>
      </c>
      <c r="X75" s="19">
        <v>0.17</v>
      </c>
      <c r="Y75" s="19">
        <v>224398.30000000002</v>
      </c>
      <c r="Z75" s="19">
        <v>0</v>
      </c>
      <c r="AA75" s="19" t="s">
        <v>229</v>
      </c>
      <c r="AB75" s="19" t="s">
        <v>1091</v>
      </c>
      <c r="AC75" s="19">
        <v>63053200</v>
      </c>
      <c r="AD75" s="19" t="s">
        <v>1113</v>
      </c>
      <c r="AE75" s="19">
        <v>93.5</v>
      </c>
      <c r="AF75" s="19">
        <v>4320.7</v>
      </c>
      <c r="AG75" s="19" t="s">
        <v>1114</v>
      </c>
      <c r="AH75" s="19" t="s">
        <v>50</v>
      </c>
      <c r="AI75" s="19"/>
    </row>
    <row r="76" spans="2:35" x14ac:dyDescent="0.35">
      <c r="B76" s="82">
        <v>46210</v>
      </c>
      <c r="C76" s="19" t="s">
        <v>1224</v>
      </c>
      <c r="D76" s="19" t="s">
        <v>1109</v>
      </c>
      <c r="E76" s="83" t="s">
        <v>1225</v>
      </c>
      <c r="F76" s="19" t="s">
        <v>1111</v>
      </c>
      <c r="G76" s="19" t="s">
        <v>1225</v>
      </c>
      <c r="H76" s="76">
        <v>46210</v>
      </c>
      <c r="I76" s="19" t="s">
        <v>49</v>
      </c>
      <c r="J76" s="19" t="s">
        <v>50</v>
      </c>
      <c r="K76" s="19" t="s">
        <v>50</v>
      </c>
      <c r="L76" s="19" t="s">
        <v>1095</v>
      </c>
      <c r="M76" s="19" t="s">
        <v>1098</v>
      </c>
      <c r="N76" s="19">
        <v>12732.8</v>
      </c>
      <c r="O76" s="19">
        <v>3579315.5749999997</v>
      </c>
      <c r="P76" s="19" t="s">
        <v>1112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18</v>
      </c>
      <c r="W76" s="19">
        <v>644276.71</v>
      </c>
      <c r="X76" s="19">
        <v>0.17</v>
      </c>
      <c r="Y76" s="19">
        <v>644276.88</v>
      </c>
      <c r="Z76" s="19">
        <v>0</v>
      </c>
      <c r="AA76" s="19" t="s">
        <v>229</v>
      </c>
      <c r="AB76" s="19" t="s">
        <v>1091</v>
      </c>
      <c r="AC76" s="19">
        <v>63053200</v>
      </c>
      <c r="AD76" s="19" t="s">
        <v>1113</v>
      </c>
      <c r="AE76" s="19">
        <v>93.5</v>
      </c>
      <c r="AF76" s="19">
        <v>12732.8</v>
      </c>
      <c r="AG76" s="19" t="s">
        <v>1114</v>
      </c>
      <c r="AH76" s="19" t="s">
        <v>50</v>
      </c>
      <c r="AI76" s="19"/>
    </row>
    <row r="77" spans="2:35" hidden="1" x14ac:dyDescent="0.35">
      <c r="B77" s="82">
        <v>46210</v>
      </c>
      <c r="C77" s="19" t="s">
        <v>1123</v>
      </c>
      <c r="D77" s="19" t="s">
        <v>11</v>
      </c>
      <c r="E77" s="83">
        <v>415</v>
      </c>
      <c r="F77" s="19" t="s">
        <v>1124</v>
      </c>
      <c r="G77" s="19" t="s">
        <v>1226</v>
      </c>
      <c r="H77" s="76">
        <v>46210</v>
      </c>
      <c r="I77" s="19" t="s">
        <v>102</v>
      </c>
      <c r="J77" s="19" t="s">
        <v>102</v>
      </c>
      <c r="K77" s="19" t="s">
        <v>102</v>
      </c>
      <c r="L77" s="19" t="s">
        <v>1118</v>
      </c>
      <c r="M77" s="19" t="s">
        <v>1227</v>
      </c>
      <c r="N77" s="19">
        <v>200</v>
      </c>
      <c r="O77" s="19">
        <v>64000</v>
      </c>
      <c r="P77" s="19" t="s">
        <v>1227</v>
      </c>
      <c r="Q77" s="19">
        <v>75456</v>
      </c>
      <c r="R77" s="19">
        <v>9</v>
      </c>
      <c r="S77" s="19">
        <v>5760</v>
      </c>
      <c r="T77" s="19">
        <v>9</v>
      </c>
      <c r="U77" s="19">
        <v>5760</v>
      </c>
      <c r="V77" s="19">
        <v>0</v>
      </c>
      <c r="W77" s="19">
        <v>0</v>
      </c>
      <c r="X77" s="19">
        <v>0</v>
      </c>
      <c r="Y77" s="19">
        <v>11520</v>
      </c>
      <c r="Z77" s="19">
        <v>0</v>
      </c>
      <c r="AA77" s="19" t="s">
        <v>179</v>
      </c>
      <c r="AB77" s="19" t="s">
        <v>1091</v>
      </c>
      <c r="AC77" s="19">
        <v>350610</v>
      </c>
      <c r="AD77" s="19" t="s">
        <v>1092</v>
      </c>
      <c r="AE77" s="19">
        <v>1</v>
      </c>
      <c r="AF77" s="19">
        <v>200</v>
      </c>
      <c r="AG77" s="19" t="s">
        <v>1093</v>
      </c>
      <c r="AH77" s="83" t="s">
        <v>2319</v>
      </c>
      <c r="AI77" s="19"/>
    </row>
    <row r="78" spans="2:35" x14ac:dyDescent="0.35">
      <c r="B78" s="82">
        <v>46211</v>
      </c>
      <c r="C78" s="19" t="s">
        <v>1123</v>
      </c>
      <c r="D78" s="19" t="s">
        <v>1129</v>
      </c>
      <c r="E78" s="83" t="s">
        <v>1228</v>
      </c>
      <c r="F78" s="19" t="s">
        <v>1131</v>
      </c>
      <c r="G78" s="19" t="s">
        <v>1228</v>
      </c>
      <c r="H78" s="76">
        <v>46211</v>
      </c>
      <c r="I78" s="19" t="s">
        <v>49</v>
      </c>
      <c r="J78" s="19" t="s">
        <v>50</v>
      </c>
      <c r="K78" s="19" t="s">
        <v>50</v>
      </c>
      <c r="L78" s="19" t="s">
        <v>1095</v>
      </c>
      <c r="M78" s="19" t="s">
        <v>1098</v>
      </c>
      <c r="N78" s="19">
        <v>20260.7</v>
      </c>
      <c r="O78" s="19">
        <v>4441550.6540000001</v>
      </c>
      <c r="P78" s="19" t="s">
        <v>1229</v>
      </c>
      <c r="Q78" s="19">
        <v>5152198.76</v>
      </c>
      <c r="R78" s="19">
        <v>9</v>
      </c>
      <c r="S78" s="19">
        <v>399739.56</v>
      </c>
      <c r="T78" s="19">
        <v>9</v>
      </c>
      <c r="U78" s="19">
        <v>399739.56</v>
      </c>
      <c r="V78" s="19">
        <v>0</v>
      </c>
      <c r="W78" s="19">
        <v>0</v>
      </c>
      <c r="X78" s="19">
        <v>0</v>
      </c>
      <c r="Y78" s="19">
        <v>799479.12</v>
      </c>
      <c r="Z78" s="19">
        <v>0</v>
      </c>
      <c r="AA78" s="19" t="s">
        <v>179</v>
      </c>
      <c r="AB78" s="19" t="s">
        <v>1091</v>
      </c>
      <c r="AC78" s="19">
        <v>998852</v>
      </c>
      <c r="AD78" s="19" t="s">
        <v>1092</v>
      </c>
      <c r="AE78" s="19">
        <v>1</v>
      </c>
      <c r="AF78" s="19">
        <v>20260.7</v>
      </c>
      <c r="AG78" s="19" t="s">
        <v>1093</v>
      </c>
      <c r="AH78" s="19" t="s">
        <v>50</v>
      </c>
      <c r="AI78" s="19"/>
    </row>
    <row r="79" spans="2:35" x14ac:dyDescent="0.35">
      <c r="B79" s="82">
        <v>46211</v>
      </c>
      <c r="C79" s="19" t="s">
        <v>1084</v>
      </c>
      <c r="D79" s="19" t="s">
        <v>11</v>
      </c>
      <c r="E79" s="83">
        <v>418</v>
      </c>
      <c r="F79" s="19" t="s">
        <v>1085</v>
      </c>
      <c r="G79" s="19" t="s">
        <v>1230</v>
      </c>
      <c r="H79" s="76">
        <v>46211</v>
      </c>
      <c r="I79" s="19" t="s">
        <v>36</v>
      </c>
      <c r="J79" s="19" t="s">
        <v>1087</v>
      </c>
      <c r="K79" s="19" t="s">
        <v>46</v>
      </c>
      <c r="L79" s="19" t="s">
        <v>1138</v>
      </c>
      <c r="M79" s="19" t="s">
        <v>1181</v>
      </c>
      <c r="N79" s="19">
        <v>1063.2</v>
      </c>
      <c r="O79" s="19">
        <v>163892.28</v>
      </c>
      <c r="P79" s="19" t="s">
        <v>1182</v>
      </c>
      <c r="Q79" s="19">
        <v>334252.99</v>
      </c>
      <c r="R79" s="19">
        <v>2.5</v>
      </c>
      <c r="S79" s="19">
        <v>4097.3100000000004</v>
      </c>
      <c r="T79" s="19">
        <v>2.5</v>
      </c>
      <c r="U79" s="19">
        <v>4097.3100000000004</v>
      </c>
      <c r="V79" s="19">
        <v>0</v>
      </c>
      <c r="W79" s="19">
        <v>0</v>
      </c>
      <c r="X79" s="19">
        <v>0</v>
      </c>
      <c r="Y79" s="19">
        <v>8194.6200000000008</v>
      </c>
      <c r="Z79" s="19">
        <v>0</v>
      </c>
      <c r="AA79" s="19" t="s">
        <v>135</v>
      </c>
      <c r="AB79" s="19" t="s">
        <v>1091</v>
      </c>
      <c r="AC79" s="19">
        <v>54026930</v>
      </c>
      <c r="AD79" s="19" t="s">
        <v>1092</v>
      </c>
      <c r="AE79" s="19">
        <v>1</v>
      </c>
      <c r="AF79" s="19">
        <v>1063.2</v>
      </c>
      <c r="AG79" s="19" t="s">
        <v>1093</v>
      </c>
      <c r="AH79" s="19" t="s">
        <v>46</v>
      </c>
      <c r="AI79" s="19"/>
    </row>
    <row r="80" spans="2:35" x14ac:dyDescent="0.35">
      <c r="B80" s="82">
        <v>46211</v>
      </c>
      <c r="C80" s="19" t="s">
        <v>1084</v>
      </c>
      <c r="D80" s="19" t="s">
        <v>11</v>
      </c>
      <c r="E80" s="83">
        <v>418</v>
      </c>
      <c r="F80" s="19" t="s">
        <v>1085</v>
      </c>
      <c r="G80" s="19" t="s">
        <v>1230</v>
      </c>
      <c r="H80" s="76">
        <v>46211</v>
      </c>
      <c r="I80" s="19" t="s">
        <v>36</v>
      </c>
      <c r="J80" s="19" t="s">
        <v>1087</v>
      </c>
      <c r="K80" s="19" t="s">
        <v>46</v>
      </c>
      <c r="L80" s="19" t="s">
        <v>1138</v>
      </c>
      <c r="M80" s="19" t="s">
        <v>1089</v>
      </c>
      <c r="N80" s="19">
        <v>1023.8</v>
      </c>
      <c r="O80" s="19">
        <v>154747.37</v>
      </c>
      <c r="P80" s="19" t="s">
        <v>1090</v>
      </c>
      <c r="Q80" s="19">
        <v>0</v>
      </c>
      <c r="R80" s="19">
        <v>2.5</v>
      </c>
      <c r="S80" s="19">
        <v>3868.68</v>
      </c>
      <c r="T80" s="19">
        <v>2.5</v>
      </c>
      <c r="U80" s="19">
        <v>3868.68</v>
      </c>
      <c r="V80" s="19">
        <v>0</v>
      </c>
      <c r="W80" s="19">
        <v>0</v>
      </c>
      <c r="X80" s="19">
        <v>0</v>
      </c>
      <c r="Y80" s="19">
        <v>7737.36</v>
      </c>
      <c r="Z80" s="19">
        <v>0</v>
      </c>
      <c r="AA80" s="19" t="s">
        <v>135</v>
      </c>
      <c r="AB80" s="19" t="s">
        <v>1091</v>
      </c>
      <c r="AC80" s="19">
        <v>54026930</v>
      </c>
      <c r="AD80" s="19" t="s">
        <v>1092</v>
      </c>
      <c r="AE80" s="19">
        <v>1</v>
      </c>
      <c r="AF80" s="19">
        <v>1023.8</v>
      </c>
      <c r="AG80" s="19" t="s">
        <v>1093</v>
      </c>
      <c r="AH80" s="19" t="s">
        <v>46</v>
      </c>
      <c r="AI80" s="19"/>
    </row>
    <row r="81" spans="2:35" hidden="1" x14ac:dyDescent="0.35">
      <c r="B81" s="82">
        <v>46211</v>
      </c>
      <c r="C81" s="19" t="s">
        <v>1084</v>
      </c>
      <c r="D81" s="19" t="s">
        <v>11</v>
      </c>
      <c r="E81" s="83">
        <v>419</v>
      </c>
      <c r="F81" s="19" t="s">
        <v>1124</v>
      </c>
      <c r="G81" s="19" t="s">
        <v>1231</v>
      </c>
      <c r="H81" s="76">
        <v>46211</v>
      </c>
      <c r="I81" s="19" t="s">
        <v>105</v>
      </c>
      <c r="J81" s="19" t="s">
        <v>1142</v>
      </c>
      <c r="K81" s="19" t="s">
        <v>1143</v>
      </c>
      <c r="L81" s="19" t="s">
        <v>1144</v>
      </c>
      <c r="M81" s="19" t="s">
        <v>1196</v>
      </c>
      <c r="N81" s="19">
        <v>1068</v>
      </c>
      <c r="O81" s="19">
        <v>51264</v>
      </c>
      <c r="P81" s="19" t="s">
        <v>1139</v>
      </c>
      <c r="Q81" s="19">
        <v>60440.26</v>
      </c>
      <c r="R81" s="19">
        <v>9</v>
      </c>
      <c r="S81" s="19">
        <v>4613.76</v>
      </c>
      <c r="T81" s="19">
        <v>9</v>
      </c>
      <c r="U81" s="19">
        <v>4613.76</v>
      </c>
      <c r="V81" s="19">
        <v>0</v>
      </c>
      <c r="W81" s="19">
        <v>0</v>
      </c>
      <c r="X81" s="19">
        <v>0</v>
      </c>
      <c r="Y81" s="19">
        <v>9227.52</v>
      </c>
      <c r="Z81" s="19">
        <v>0</v>
      </c>
      <c r="AA81" s="19" t="s">
        <v>135</v>
      </c>
      <c r="AB81" s="19" t="s">
        <v>1091</v>
      </c>
      <c r="AC81" s="19">
        <v>73063090</v>
      </c>
      <c r="AD81" s="19" t="s">
        <v>1092</v>
      </c>
      <c r="AE81" s="19">
        <v>1</v>
      </c>
      <c r="AF81" s="19">
        <v>1068</v>
      </c>
      <c r="AG81" s="19" t="s">
        <v>1093</v>
      </c>
      <c r="AH81" s="83" t="s">
        <v>2319</v>
      </c>
      <c r="AI81" s="19"/>
    </row>
    <row r="82" spans="2:35" x14ac:dyDescent="0.35">
      <c r="B82" s="82">
        <v>46211</v>
      </c>
      <c r="C82" s="19" t="s">
        <v>1084</v>
      </c>
      <c r="D82" s="19" t="s">
        <v>11</v>
      </c>
      <c r="E82" s="83">
        <v>420</v>
      </c>
      <c r="F82" s="19" t="s">
        <v>1085</v>
      </c>
      <c r="G82" s="19" t="s">
        <v>1232</v>
      </c>
      <c r="H82" s="76">
        <v>46211</v>
      </c>
      <c r="I82" s="19" t="s">
        <v>36</v>
      </c>
      <c r="J82" s="19" t="s">
        <v>1087</v>
      </c>
      <c r="K82" s="19" t="s">
        <v>46</v>
      </c>
      <c r="L82" s="19" t="s">
        <v>1138</v>
      </c>
      <c r="M82" s="19" t="s">
        <v>1181</v>
      </c>
      <c r="N82" s="19">
        <v>727.1</v>
      </c>
      <c r="O82" s="19">
        <v>112082.47</v>
      </c>
      <c r="P82" s="19" t="s">
        <v>1182</v>
      </c>
      <c r="Q82" s="19">
        <v>474535.58</v>
      </c>
      <c r="R82" s="19">
        <v>9</v>
      </c>
      <c r="S82" s="19">
        <v>10087.42</v>
      </c>
      <c r="T82" s="19">
        <v>9</v>
      </c>
      <c r="U82" s="19">
        <v>10087.42</v>
      </c>
      <c r="V82" s="19">
        <v>0</v>
      </c>
      <c r="W82" s="19">
        <v>0</v>
      </c>
      <c r="X82" s="19">
        <v>0</v>
      </c>
      <c r="Y82" s="19">
        <v>20174.84</v>
      </c>
      <c r="Z82" s="19">
        <v>0</v>
      </c>
      <c r="AA82" s="19" t="s">
        <v>135</v>
      </c>
      <c r="AB82" s="19" t="s">
        <v>1091</v>
      </c>
      <c r="AC82" s="19">
        <v>39199090</v>
      </c>
      <c r="AD82" s="19" t="s">
        <v>1092</v>
      </c>
      <c r="AE82" s="19">
        <v>1</v>
      </c>
      <c r="AF82" s="19">
        <v>727.1</v>
      </c>
      <c r="AG82" s="19" t="s">
        <v>1093</v>
      </c>
      <c r="AH82" s="19" t="s">
        <v>46</v>
      </c>
      <c r="AI82" s="19"/>
    </row>
    <row r="83" spans="2:35" x14ac:dyDescent="0.35">
      <c r="B83" s="82">
        <v>46211</v>
      </c>
      <c r="C83" s="19" t="s">
        <v>1084</v>
      </c>
      <c r="D83" s="19" t="s">
        <v>11</v>
      </c>
      <c r="E83" s="83">
        <v>420</v>
      </c>
      <c r="F83" s="19" t="s">
        <v>1085</v>
      </c>
      <c r="G83" s="19" t="s">
        <v>1232</v>
      </c>
      <c r="H83" s="76">
        <v>46211</v>
      </c>
      <c r="I83" s="19" t="s">
        <v>36</v>
      </c>
      <c r="J83" s="19" t="s">
        <v>1087</v>
      </c>
      <c r="K83" s="19" t="s">
        <v>46</v>
      </c>
      <c r="L83" s="19" t="s">
        <v>1138</v>
      </c>
      <c r="M83" s="19" t="s">
        <v>1089</v>
      </c>
      <c r="N83" s="19">
        <v>1034</v>
      </c>
      <c r="O83" s="19">
        <v>156289.1</v>
      </c>
      <c r="P83" s="19" t="s">
        <v>1090</v>
      </c>
      <c r="Q83" s="19">
        <v>0</v>
      </c>
      <c r="R83" s="19">
        <v>9</v>
      </c>
      <c r="S83" s="19">
        <v>14066.02</v>
      </c>
      <c r="T83" s="19">
        <v>9</v>
      </c>
      <c r="U83" s="19">
        <v>14066.02</v>
      </c>
      <c r="V83" s="19">
        <v>0</v>
      </c>
      <c r="W83" s="19">
        <v>0</v>
      </c>
      <c r="X83" s="19">
        <v>0</v>
      </c>
      <c r="Y83" s="19">
        <v>28132.04</v>
      </c>
      <c r="Z83" s="19">
        <v>0</v>
      </c>
      <c r="AA83" s="19" t="s">
        <v>135</v>
      </c>
      <c r="AB83" s="19" t="s">
        <v>1091</v>
      </c>
      <c r="AC83" s="19">
        <v>39199090</v>
      </c>
      <c r="AD83" s="19" t="s">
        <v>1092</v>
      </c>
      <c r="AE83" s="19">
        <v>1</v>
      </c>
      <c r="AF83" s="19">
        <v>1034</v>
      </c>
      <c r="AG83" s="19" t="s">
        <v>1093</v>
      </c>
      <c r="AH83" s="19" t="s">
        <v>46</v>
      </c>
      <c r="AI83" s="19"/>
    </row>
    <row r="84" spans="2:35" x14ac:dyDescent="0.35">
      <c r="B84" s="82">
        <v>46211</v>
      </c>
      <c r="C84" s="19" t="s">
        <v>1084</v>
      </c>
      <c r="D84" s="19" t="s">
        <v>11</v>
      </c>
      <c r="E84" s="83">
        <v>420</v>
      </c>
      <c r="F84" s="19" t="s">
        <v>1085</v>
      </c>
      <c r="G84" s="19" t="s">
        <v>1232</v>
      </c>
      <c r="H84" s="76">
        <v>46211</v>
      </c>
      <c r="I84" s="19" t="s">
        <v>36</v>
      </c>
      <c r="J84" s="19" t="s">
        <v>1117</v>
      </c>
      <c r="K84" s="19" t="s">
        <v>44</v>
      </c>
      <c r="L84" s="19" t="s">
        <v>1118</v>
      </c>
      <c r="M84" s="19" t="s">
        <v>1119</v>
      </c>
      <c r="N84" s="19">
        <v>812.1</v>
      </c>
      <c r="O84" s="19">
        <v>134118.32</v>
      </c>
      <c r="P84" s="19" t="s">
        <v>1233</v>
      </c>
      <c r="Q84" s="19">
        <v>0</v>
      </c>
      <c r="R84" s="19">
        <v>9</v>
      </c>
      <c r="S84" s="19">
        <v>12070.65</v>
      </c>
      <c r="T84" s="19">
        <v>9</v>
      </c>
      <c r="U84" s="19">
        <v>12070.65</v>
      </c>
      <c r="V84" s="19">
        <v>0</v>
      </c>
      <c r="W84" s="19">
        <v>0</v>
      </c>
      <c r="X84" s="19">
        <v>0</v>
      </c>
      <c r="Y84" s="19">
        <v>24141.3</v>
      </c>
      <c r="Z84" s="19">
        <v>0</v>
      </c>
      <c r="AA84" s="19" t="s">
        <v>135</v>
      </c>
      <c r="AB84" s="19" t="s">
        <v>1091</v>
      </c>
      <c r="AC84" s="19">
        <v>39269080</v>
      </c>
      <c r="AD84" s="19" t="s">
        <v>1092</v>
      </c>
      <c r="AE84" s="19">
        <v>1</v>
      </c>
      <c r="AF84" s="19">
        <v>812.1</v>
      </c>
      <c r="AG84" s="19" t="s">
        <v>1093</v>
      </c>
      <c r="AH84" s="19" t="s">
        <v>44</v>
      </c>
      <c r="AI84" s="19"/>
    </row>
    <row r="85" spans="2:35" x14ac:dyDescent="0.35">
      <c r="B85" s="82">
        <v>46211</v>
      </c>
      <c r="C85" s="19" t="s">
        <v>1234</v>
      </c>
      <c r="D85" s="19" t="s">
        <v>1109</v>
      </c>
      <c r="E85" s="83" t="s">
        <v>1235</v>
      </c>
      <c r="F85" s="19" t="s">
        <v>1111</v>
      </c>
      <c r="G85" s="19" t="s">
        <v>1235</v>
      </c>
      <c r="H85" s="76">
        <v>46211</v>
      </c>
      <c r="I85" s="19" t="s">
        <v>49</v>
      </c>
      <c r="J85" s="19" t="s">
        <v>50</v>
      </c>
      <c r="K85" s="19" t="s">
        <v>50</v>
      </c>
      <c r="L85" s="19" t="s">
        <v>1095</v>
      </c>
      <c r="M85" s="19" t="s">
        <v>1098</v>
      </c>
      <c r="N85" s="19">
        <v>22144.85</v>
      </c>
      <c r="O85" s="19">
        <v>4679354.21</v>
      </c>
      <c r="P85" s="19" t="s">
        <v>1112</v>
      </c>
      <c r="Q85" s="19">
        <v>4999754.4000000004</v>
      </c>
      <c r="R85" s="19">
        <v>0</v>
      </c>
      <c r="S85" s="19">
        <v>0</v>
      </c>
      <c r="T85" s="19">
        <v>0</v>
      </c>
      <c r="U85" s="19">
        <v>0</v>
      </c>
      <c r="V85" s="19">
        <v>18</v>
      </c>
      <c r="W85" s="19">
        <v>842283.75780000002</v>
      </c>
      <c r="X85" s="19">
        <v>57222.02</v>
      </c>
      <c r="Y85" s="19">
        <v>899505.77780000004</v>
      </c>
      <c r="Z85" s="19">
        <v>0</v>
      </c>
      <c r="AA85" s="19" t="s">
        <v>229</v>
      </c>
      <c r="AB85" s="19" t="s">
        <v>1091</v>
      </c>
      <c r="AC85" s="19">
        <v>63053200</v>
      </c>
      <c r="AD85" s="19" t="s">
        <v>1121</v>
      </c>
      <c r="AE85" s="19">
        <v>105.4</v>
      </c>
      <c r="AF85" s="19">
        <v>22144.85</v>
      </c>
      <c r="AG85" s="19" t="s">
        <v>1191</v>
      </c>
      <c r="AH85" s="19" t="s">
        <v>50</v>
      </c>
      <c r="AI85" s="19"/>
    </row>
    <row r="86" spans="2:35" x14ac:dyDescent="0.35">
      <c r="B86" s="82">
        <v>46212</v>
      </c>
      <c r="C86" s="19" t="s">
        <v>1123</v>
      </c>
      <c r="D86" s="19" t="s">
        <v>11</v>
      </c>
      <c r="E86" s="83">
        <v>426</v>
      </c>
      <c r="F86" s="19" t="s">
        <v>1085</v>
      </c>
      <c r="G86" s="19" t="s">
        <v>1236</v>
      </c>
      <c r="H86" s="76">
        <v>46212</v>
      </c>
      <c r="I86" s="19" t="s">
        <v>36</v>
      </c>
      <c r="J86" s="19" t="s">
        <v>1156</v>
      </c>
      <c r="K86" s="19" t="s">
        <v>45</v>
      </c>
      <c r="L86" s="19" t="s">
        <v>1157</v>
      </c>
      <c r="M86" s="19" t="s">
        <v>1156</v>
      </c>
      <c r="N86" s="19">
        <v>243</v>
      </c>
      <c r="O86" s="19">
        <v>38430.449999999997</v>
      </c>
      <c r="P86" s="19" t="s">
        <v>1182</v>
      </c>
      <c r="Q86" s="19">
        <v>506821.7</v>
      </c>
      <c r="R86" s="19">
        <v>9</v>
      </c>
      <c r="S86" s="19">
        <v>3458.74</v>
      </c>
      <c r="T86" s="19">
        <v>9</v>
      </c>
      <c r="U86" s="19">
        <v>3458.74</v>
      </c>
      <c r="V86" s="19">
        <v>0</v>
      </c>
      <c r="W86" s="19">
        <v>0</v>
      </c>
      <c r="X86" s="19">
        <v>0</v>
      </c>
      <c r="Y86" s="19">
        <v>6917.48</v>
      </c>
      <c r="Z86" s="19">
        <v>0</v>
      </c>
      <c r="AA86" s="19" t="s">
        <v>179</v>
      </c>
      <c r="AB86" s="19" t="s">
        <v>1091</v>
      </c>
      <c r="AC86" s="19">
        <v>39269080</v>
      </c>
      <c r="AD86" s="19" t="s">
        <v>1092</v>
      </c>
      <c r="AE86" s="19">
        <v>1</v>
      </c>
      <c r="AF86" s="19">
        <v>243</v>
      </c>
      <c r="AG86" s="19" t="s">
        <v>1093</v>
      </c>
      <c r="AH86" s="19" t="s">
        <v>45</v>
      </c>
      <c r="AI86" s="19"/>
    </row>
    <row r="87" spans="2:35" x14ac:dyDescent="0.35">
      <c r="B87" s="82">
        <v>46212</v>
      </c>
      <c r="C87" s="19" t="s">
        <v>1123</v>
      </c>
      <c r="D87" s="19" t="s">
        <v>11</v>
      </c>
      <c r="E87" s="83">
        <v>426</v>
      </c>
      <c r="F87" s="19" t="s">
        <v>1085</v>
      </c>
      <c r="G87" s="19" t="s">
        <v>1236</v>
      </c>
      <c r="H87" s="76">
        <v>46212</v>
      </c>
      <c r="I87" s="19" t="s">
        <v>36</v>
      </c>
      <c r="J87" s="19" t="s">
        <v>1156</v>
      </c>
      <c r="K87" s="19" t="s">
        <v>45</v>
      </c>
      <c r="L87" s="19" t="s">
        <v>1157</v>
      </c>
      <c r="M87" s="19" t="s">
        <v>1156</v>
      </c>
      <c r="N87" s="19">
        <v>662</v>
      </c>
      <c r="O87" s="19">
        <v>102709.3</v>
      </c>
      <c r="P87" s="19" t="s">
        <v>1090</v>
      </c>
      <c r="Q87" s="19">
        <v>0</v>
      </c>
      <c r="R87" s="19">
        <v>9</v>
      </c>
      <c r="S87" s="19">
        <v>9243.84</v>
      </c>
      <c r="T87" s="19">
        <v>9</v>
      </c>
      <c r="U87" s="19">
        <v>9243.84</v>
      </c>
      <c r="V87" s="19">
        <v>0</v>
      </c>
      <c r="W87" s="19">
        <v>0</v>
      </c>
      <c r="X87" s="19">
        <v>0</v>
      </c>
      <c r="Y87" s="19">
        <v>18487.68</v>
      </c>
      <c r="Z87" s="19">
        <v>0</v>
      </c>
      <c r="AA87" s="19" t="s">
        <v>179</v>
      </c>
      <c r="AB87" s="19" t="s">
        <v>1091</v>
      </c>
      <c r="AC87" s="19">
        <v>39269080</v>
      </c>
      <c r="AD87" s="19" t="s">
        <v>1092</v>
      </c>
      <c r="AE87" s="19">
        <v>1</v>
      </c>
      <c r="AF87" s="19">
        <v>662</v>
      </c>
      <c r="AG87" s="19" t="s">
        <v>1093</v>
      </c>
      <c r="AH87" s="19" t="s">
        <v>45</v>
      </c>
      <c r="AI87" s="19"/>
    </row>
    <row r="88" spans="2:35" x14ac:dyDescent="0.35">
      <c r="B88" s="82">
        <v>46212</v>
      </c>
      <c r="C88" s="19" t="s">
        <v>1123</v>
      </c>
      <c r="D88" s="19" t="s">
        <v>11</v>
      </c>
      <c r="E88" s="83">
        <v>426</v>
      </c>
      <c r="F88" s="19" t="s">
        <v>1085</v>
      </c>
      <c r="G88" s="19" t="s">
        <v>1236</v>
      </c>
      <c r="H88" s="76">
        <v>46212</v>
      </c>
      <c r="I88" s="19" t="s">
        <v>36</v>
      </c>
      <c r="J88" s="19" t="s">
        <v>1156</v>
      </c>
      <c r="K88" s="19" t="s">
        <v>45</v>
      </c>
      <c r="L88" s="19" t="s">
        <v>1157</v>
      </c>
      <c r="M88" s="19" t="s">
        <v>1156</v>
      </c>
      <c r="N88" s="19">
        <v>1825.7</v>
      </c>
      <c r="O88" s="19">
        <v>288734.46000000002</v>
      </c>
      <c r="P88" s="19" t="s">
        <v>1237</v>
      </c>
      <c r="Q88" s="19">
        <v>0</v>
      </c>
      <c r="R88" s="19">
        <v>9</v>
      </c>
      <c r="S88" s="19">
        <v>25986.1</v>
      </c>
      <c r="T88" s="19">
        <v>9</v>
      </c>
      <c r="U88" s="19">
        <v>25986.1</v>
      </c>
      <c r="V88" s="19">
        <v>0</v>
      </c>
      <c r="W88" s="19">
        <v>0</v>
      </c>
      <c r="X88" s="19">
        <v>0</v>
      </c>
      <c r="Y88" s="19">
        <v>51972.2</v>
      </c>
      <c r="Z88" s="19">
        <v>0</v>
      </c>
      <c r="AA88" s="19" t="s">
        <v>179</v>
      </c>
      <c r="AB88" s="19" t="s">
        <v>1091</v>
      </c>
      <c r="AC88" s="19">
        <v>39269080</v>
      </c>
      <c r="AD88" s="19" t="s">
        <v>1092</v>
      </c>
      <c r="AE88" s="19">
        <v>1</v>
      </c>
      <c r="AF88" s="19">
        <v>1825.7</v>
      </c>
      <c r="AG88" s="19" t="s">
        <v>1093</v>
      </c>
      <c r="AH88" s="19" t="s">
        <v>45</v>
      </c>
      <c r="AI88" s="19"/>
    </row>
    <row r="89" spans="2:35" x14ac:dyDescent="0.35">
      <c r="B89" s="82">
        <v>46212</v>
      </c>
      <c r="C89" s="19" t="s">
        <v>245</v>
      </c>
      <c r="D89" s="19" t="s">
        <v>11</v>
      </c>
      <c r="E89" s="83">
        <v>430</v>
      </c>
      <c r="F89" s="19" t="s">
        <v>1085</v>
      </c>
      <c r="G89" s="19" t="s">
        <v>1238</v>
      </c>
      <c r="H89" s="76">
        <v>46212</v>
      </c>
      <c r="I89" s="19" t="s">
        <v>36</v>
      </c>
      <c r="J89" s="19" t="s">
        <v>1087</v>
      </c>
      <c r="K89" s="19" t="s">
        <v>46</v>
      </c>
      <c r="L89" s="19" t="s">
        <v>1138</v>
      </c>
      <c r="M89" s="19" t="s">
        <v>1181</v>
      </c>
      <c r="N89" s="19">
        <v>630</v>
      </c>
      <c r="O89" s="19">
        <v>97114.5</v>
      </c>
      <c r="P89" s="19" t="s">
        <v>1182</v>
      </c>
      <c r="Q89" s="19">
        <v>635227.49</v>
      </c>
      <c r="R89" s="19">
        <v>2.5</v>
      </c>
      <c r="S89" s="19">
        <v>2427.86</v>
      </c>
      <c r="T89" s="19">
        <v>2.5</v>
      </c>
      <c r="U89" s="19">
        <v>2427.86</v>
      </c>
      <c r="V89" s="19">
        <v>0</v>
      </c>
      <c r="W89" s="19">
        <v>0</v>
      </c>
      <c r="X89" s="19">
        <v>0</v>
      </c>
      <c r="Y89" s="19">
        <v>4855.72</v>
      </c>
      <c r="Z89" s="19">
        <v>0</v>
      </c>
      <c r="AA89" s="19" t="s">
        <v>179</v>
      </c>
      <c r="AB89" s="19" t="s">
        <v>1091</v>
      </c>
      <c r="AC89" s="19">
        <v>54026930</v>
      </c>
      <c r="AD89" s="19" t="s">
        <v>1092</v>
      </c>
      <c r="AE89" s="19">
        <v>1</v>
      </c>
      <c r="AF89" s="19">
        <v>630</v>
      </c>
      <c r="AG89" s="19" t="s">
        <v>1093</v>
      </c>
      <c r="AH89" s="19" t="s">
        <v>46</v>
      </c>
      <c r="AI89" s="19"/>
    </row>
    <row r="90" spans="2:35" x14ac:dyDescent="0.35">
      <c r="B90" s="82">
        <v>46212</v>
      </c>
      <c r="C90" s="19" t="s">
        <v>245</v>
      </c>
      <c r="D90" s="19" t="s">
        <v>11</v>
      </c>
      <c r="E90" s="83">
        <v>430</v>
      </c>
      <c r="F90" s="19" t="s">
        <v>1085</v>
      </c>
      <c r="G90" s="19" t="s">
        <v>1238</v>
      </c>
      <c r="H90" s="76">
        <v>46212</v>
      </c>
      <c r="I90" s="19" t="s">
        <v>36</v>
      </c>
      <c r="J90" s="19" t="s">
        <v>1087</v>
      </c>
      <c r="K90" s="19" t="s">
        <v>46</v>
      </c>
      <c r="L90" s="19" t="s">
        <v>1138</v>
      </c>
      <c r="M90" s="19" t="s">
        <v>1089</v>
      </c>
      <c r="N90" s="19">
        <v>530</v>
      </c>
      <c r="O90" s="19">
        <v>80109.5</v>
      </c>
      <c r="P90" s="19" t="s">
        <v>1090</v>
      </c>
      <c r="Q90" s="19">
        <v>0</v>
      </c>
      <c r="R90" s="19">
        <v>2.5</v>
      </c>
      <c r="S90" s="19">
        <v>2002.74</v>
      </c>
      <c r="T90" s="19">
        <v>2.5</v>
      </c>
      <c r="U90" s="19">
        <v>2002.74</v>
      </c>
      <c r="V90" s="19">
        <v>0</v>
      </c>
      <c r="W90" s="19">
        <v>0</v>
      </c>
      <c r="X90" s="19">
        <v>0</v>
      </c>
      <c r="Y90" s="19">
        <v>4005.48</v>
      </c>
      <c r="Z90" s="19">
        <v>0</v>
      </c>
      <c r="AA90" s="19" t="s">
        <v>179</v>
      </c>
      <c r="AB90" s="19" t="s">
        <v>1091</v>
      </c>
      <c r="AC90" s="19">
        <v>54026930</v>
      </c>
      <c r="AD90" s="19" t="s">
        <v>1092</v>
      </c>
      <c r="AE90" s="19">
        <v>1</v>
      </c>
      <c r="AF90" s="19">
        <v>530</v>
      </c>
      <c r="AG90" s="19" t="s">
        <v>1093</v>
      </c>
      <c r="AH90" s="19" t="s">
        <v>46</v>
      </c>
      <c r="AI90" s="19"/>
    </row>
    <row r="91" spans="2:35" x14ac:dyDescent="0.35">
      <c r="B91" s="82">
        <v>46212</v>
      </c>
      <c r="C91" s="19" t="s">
        <v>245</v>
      </c>
      <c r="D91" s="19" t="s">
        <v>11</v>
      </c>
      <c r="E91" s="83">
        <v>430</v>
      </c>
      <c r="F91" s="19" t="s">
        <v>1085</v>
      </c>
      <c r="G91" s="19" t="s">
        <v>1238</v>
      </c>
      <c r="H91" s="76">
        <v>46212</v>
      </c>
      <c r="I91" s="19" t="s">
        <v>36</v>
      </c>
      <c r="J91" s="19" t="s">
        <v>1087</v>
      </c>
      <c r="K91" s="19" t="s">
        <v>41</v>
      </c>
      <c r="L91" s="19" t="s">
        <v>1213</v>
      </c>
      <c r="M91" s="19" t="s">
        <v>1239</v>
      </c>
      <c r="N91" s="19">
        <v>80</v>
      </c>
      <c r="O91" s="19">
        <v>10640</v>
      </c>
      <c r="P91" s="19" t="s">
        <v>1239</v>
      </c>
      <c r="Q91" s="19">
        <v>0</v>
      </c>
      <c r="R91" s="19">
        <v>2.5</v>
      </c>
      <c r="S91" s="19">
        <v>266</v>
      </c>
      <c r="T91" s="19">
        <v>2.5</v>
      </c>
      <c r="U91" s="19">
        <v>266</v>
      </c>
      <c r="V91" s="19">
        <v>0</v>
      </c>
      <c r="W91" s="19">
        <v>0</v>
      </c>
      <c r="X91" s="19">
        <v>0</v>
      </c>
      <c r="Y91" s="19">
        <v>532</v>
      </c>
      <c r="Z91" s="19">
        <v>0</v>
      </c>
      <c r="AA91" s="19" t="s">
        <v>179</v>
      </c>
      <c r="AB91" s="19" t="s">
        <v>1091</v>
      </c>
      <c r="AC91" s="19">
        <v>54026990</v>
      </c>
      <c r="AD91" s="19" t="s">
        <v>1092</v>
      </c>
      <c r="AE91" s="19">
        <v>1</v>
      </c>
      <c r="AF91" s="19">
        <v>80</v>
      </c>
      <c r="AG91" s="19" t="s">
        <v>1093</v>
      </c>
      <c r="AH91" s="19" t="s">
        <v>41</v>
      </c>
      <c r="AI91" s="19"/>
    </row>
    <row r="92" spans="2:35" x14ac:dyDescent="0.35">
      <c r="B92" s="82">
        <v>46212</v>
      </c>
      <c r="C92" s="19" t="s">
        <v>245</v>
      </c>
      <c r="D92" s="19" t="s">
        <v>11</v>
      </c>
      <c r="E92" s="83">
        <v>430</v>
      </c>
      <c r="F92" s="19" t="s">
        <v>1085</v>
      </c>
      <c r="G92" s="19" t="s">
        <v>1238</v>
      </c>
      <c r="H92" s="76">
        <v>46212</v>
      </c>
      <c r="I92" s="19" t="s">
        <v>36</v>
      </c>
      <c r="J92" s="19" t="s">
        <v>1087</v>
      </c>
      <c r="K92" s="19" t="s">
        <v>46</v>
      </c>
      <c r="L92" s="19" t="s">
        <v>1240</v>
      </c>
      <c r="M92" s="19" t="s">
        <v>1241</v>
      </c>
      <c r="N92" s="19">
        <v>307</v>
      </c>
      <c r="O92" s="19">
        <v>51161.55</v>
      </c>
      <c r="P92" s="19" t="s">
        <v>1241</v>
      </c>
      <c r="Q92" s="19">
        <v>0</v>
      </c>
      <c r="R92" s="19">
        <v>2.5</v>
      </c>
      <c r="S92" s="19">
        <v>1279.04</v>
      </c>
      <c r="T92" s="19">
        <v>2.5</v>
      </c>
      <c r="U92" s="19">
        <v>1279.04</v>
      </c>
      <c r="V92" s="19">
        <v>0</v>
      </c>
      <c r="W92" s="19">
        <v>0</v>
      </c>
      <c r="X92" s="19">
        <v>0</v>
      </c>
      <c r="Y92" s="19">
        <v>2558.08</v>
      </c>
      <c r="Z92" s="19">
        <v>0</v>
      </c>
      <c r="AA92" s="19" t="s">
        <v>179</v>
      </c>
      <c r="AB92" s="19" t="s">
        <v>1091</v>
      </c>
      <c r="AC92" s="19">
        <v>54026930</v>
      </c>
      <c r="AD92" s="19" t="s">
        <v>1092</v>
      </c>
      <c r="AE92" s="19">
        <v>1</v>
      </c>
      <c r="AF92" s="19">
        <v>307</v>
      </c>
      <c r="AG92" s="19" t="s">
        <v>1093</v>
      </c>
      <c r="AH92" s="19" t="s">
        <v>46</v>
      </c>
      <c r="AI92" s="19"/>
    </row>
    <row r="93" spans="2:35" ht="43.5" x14ac:dyDescent="0.35">
      <c r="B93" s="82">
        <v>46212</v>
      </c>
      <c r="C93" s="19" t="s">
        <v>245</v>
      </c>
      <c r="D93" s="19" t="s">
        <v>11</v>
      </c>
      <c r="E93" s="83">
        <v>430</v>
      </c>
      <c r="F93" s="19" t="s">
        <v>1085</v>
      </c>
      <c r="G93" s="19" t="s">
        <v>1238</v>
      </c>
      <c r="H93" s="76">
        <v>46212</v>
      </c>
      <c r="I93" s="19" t="s">
        <v>36</v>
      </c>
      <c r="J93" s="19" t="s">
        <v>1117</v>
      </c>
      <c r="K93" s="19" t="s">
        <v>42</v>
      </c>
      <c r="L93" s="19" t="s">
        <v>1242</v>
      </c>
      <c r="M93" s="19" t="s">
        <v>1154</v>
      </c>
      <c r="N93" s="19">
        <v>817</v>
      </c>
      <c r="O93" s="19">
        <v>147182.54999999999</v>
      </c>
      <c r="P93" s="84" t="s">
        <v>1243</v>
      </c>
      <c r="Q93" s="19">
        <v>0</v>
      </c>
      <c r="R93" s="19">
        <v>9</v>
      </c>
      <c r="S93" s="19">
        <v>13246.43</v>
      </c>
      <c r="T93" s="19">
        <v>9</v>
      </c>
      <c r="U93" s="19">
        <v>13246.43</v>
      </c>
      <c r="V93" s="19">
        <v>0</v>
      </c>
      <c r="W93" s="19">
        <v>0</v>
      </c>
      <c r="X93" s="19">
        <v>0</v>
      </c>
      <c r="Y93" s="19">
        <v>26492.86</v>
      </c>
      <c r="Z93" s="19">
        <v>0</v>
      </c>
      <c r="AA93" s="19" t="s">
        <v>179</v>
      </c>
      <c r="AB93" s="19" t="s">
        <v>1091</v>
      </c>
      <c r="AC93" s="19">
        <v>39269080</v>
      </c>
      <c r="AD93" s="19" t="s">
        <v>1092</v>
      </c>
      <c r="AE93" s="19">
        <v>1</v>
      </c>
      <c r="AF93" s="19">
        <v>817</v>
      </c>
      <c r="AG93" s="19" t="s">
        <v>1093</v>
      </c>
      <c r="AH93" s="19" t="s">
        <v>42</v>
      </c>
      <c r="AI93" s="19"/>
    </row>
    <row r="94" spans="2:35" x14ac:dyDescent="0.35">
      <c r="B94" s="82">
        <v>46212</v>
      </c>
      <c r="C94" s="19" t="s">
        <v>245</v>
      </c>
      <c r="D94" s="19" t="s">
        <v>11</v>
      </c>
      <c r="E94" s="83">
        <v>430</v>
      </c>
      <c r="F94" s="19" t="s">
        <v>1085</v>
      </c>
      <c r="G94" s="19" t="s">
        <v>1238</v>
      </c>
      <c r="H94" s="76">
        <v>46212</v>
      </c>
      <c r="I94" s="19" t="s">
        <v>36</v>
      </c>
      <c r="J94" s="19" t="s">
        <v>1117</v>
      </c>
      <c r="K94" s="19" t="s">
        <v>42</v>
      </c>
      <c r="L94" s="19" t="s">
        <v>1242</v>
      </c>
      <c r="M94" s="19" t="s">
        <v>1154</v>
      </c>
      <c r="N94" s="19">
        <v>241</v>
      </c>
      <c r="O94" s="19">
        <v>38114.15</v>
      </c>
      <c r="P94" s="19" t="s">
        <v>1244</v>
      </c>
      <c r="Q94" s="19">
        <v>0</v>
      </c>
      <c r="R94" s="19">
        <v>9</v>
      </c>
      <c r="S94" s="19">
        <v>3430.27</v>
      </c>
      <c r="T94" s="19">
        <v>9</v>
      </c>
      <c r="U94" s="19">
        <v>3430.27</v>
      </c>
      <c r="V94" s="19">
        <v>0</v>
      </c>
      <c r="W94" s="19">
        <v>0</v>
      </c>
      <c r="X94" s="19">
        <v>0</v>
      </c>
      <c r="Y94" s="19">
        <v>6860.54</v>
      </c>
      <c r="Z94" s="19">
        <v>0</v>
      </c>
      <c r="AA94" s="19" t="s">
        <v>179</v>
      </c>
      <c r="AB94" s="19" t="s">
        <v>1091</v>
      </c>
      <c r="AC94" s="19">
        <v>39269080</v>
      </c>
      <c r="AD94" s="19" t="s">
        <v>1092</v>
      </c>
      <c r="AE94" s="19">
        <v>1</v>
      </c>
      <c r="AF94" s="19">
        <v>241</v>
      </c>
      <c r="AG94" s="19" t="s">
        <v>1093</v>
      </c>
      <c r="AH94" s="19" t="s">
        <v>42</v>
      </c>
      <c r="AI94" s="19"/>
    </row>
    <row r="95" spans="2:35" ht="29" x14ac:dyDescent="0.35">
      <c r="B95" s="82">
        <v>46212</v>
      </c>
      <c r="C95" s="19" t="s">
        <v>245</v>
      </c>
      <c r="D95" s="19" t="s">
        <v>11</v>
      </c>
      <c r="E95" s="83">
        <v>430</v>
      </c>
      <c r="F95" s="19" t="s">
        <v>1085</v>
      </c>
      <c r="G95" s="19" t="s">
        <v>1238</v>
      </c>
      <c r="H95" s="76">
        <v>46212</v>
      </c>
      <c r="I95" s="19" t="s">
        <v>36</v>
      </c>
      <c r="J95" s="19" t="s">
        <v>1117</v>
      </c>
      <c r="K95" s="19" t="s">
        <v>42</v>
      </c>
      <c r="L95" s="19" t="s">
        <v>1242</v>
      </c>
      <c r="M95" s="19" t="s">
        <v>1154</v>
      </c>
      <c r="N95" s="19">
        <v>164</v>
      </c>
      <c r="O95" s="19">
        <v>25772.6</v>
      </c>
      <c r="P95" s="84" t="s">
        <v>1155</v>
      </c>
      <c r="Q95" s="19">
        <v>0</v>
      </c>
      <c r="R95" s="19">
        <v>9</v>
      </c>
      <c r="S95" s="19">
        <v>2319.5300000000002</v>
      </c>
      <c r="T95" s="19">
        <v>9</v>
      </c>
      <c r="U95" s="19">
        <v>2319.5300000000002</v>
      </c>
      <c r="V95" s="19">
        <v>0</v>
      </c>
      <c r="W95" s="19">
        <v>0</v>
      </c>
      <c r="X95" s="19">
        <v>0</v>
      </c>
      <c r="Y95" s="19">
        <v>4639.0600000000004</v>
      </c>
      <c r="Z95" s="19">
        <v>0</v>
      </c>
      <c r="AA95" s="19" t="s">
        <v>179</v>
      </c>
      <c r="AB95" s="19" t="s">
        <v>1091</v>
      </c>
      <c r="AC95" s="19">
        <v>39269080</v>
      </c>
      <c r="AD95" s="19" t="s">
        <v>1092</v>
      </c>
      <c r="AE95" s="19">
        <v>1</v>
      </c>
      <c r="AF95" s="19">
        <v>164</v>
      </c>
      <c r="AG95" s="19" t="s">
        <v>1093</v>
      </c>
      <c r="AH95" s="19" t="s">
        <v>42</v>
      </c>
      <c r="AI95" s="19"/>
    </row>
    <row r="96" spans="2:35" x14ac:dyDescent="0.35">
      <c r="B96" s="82">
        <v>46212</v>
      </c>
      <c r="C96" s="19" t="s">
        <v>245</v>
      </c>
      <c r="D96" s="19" t="s">
        <v>11</v>
      </c>
      <c r="E96" s="83">
        <v>430</v>
      </c>
      <c r="F96" s="19" t="s">
        <v>1085</v>
      </c>
      <c r="G96" s="19" t="s">
        <v>1238</v>
      </c>
      <c r="H96" s="76">
        <v>46212</v>
      </c>
      <c r="I96" s="19" t="s">
        <v>36</v>
      </c>
      <c r="J96" s="19" t="s">
        <v>1156</v>
      </c>
      <c r="K96" s="19" t="s">
        <v>45</v>
      </c>
      <c r="L96" s="19" t="s">
        <v>1157</v>
      </c>
      <c r="M96" s="19" t="s">
        <v>1156</v>
      </c>
      <c r="N96" s="19">
        <v>492</v>
      </c>
      <c r="O96" s="19">
        <v>77809.8</v>
      </c>
      <c r="P96" s="19" t="s">
        <v>1245</v>
      </c>
      <c r="Q96" s="19">
        <v>0</v>
      </c>
      <c r="R96" s="19">
        <v>9</v>
      </c>
      <c r="S96" s="19">
        <v>7002.88</v>
      </c>
      <c r="T96" s="19">
        <v>9</v>
      </c>
      <c r="U96" s="19">
        <v>7002.88</v>
      </c>
      <c r="V96" s="19">
        <v>0</v>
      </c>
      <c r="W96" s="19">
        <v>0</v>
      </c>
      <c r="X96" s="19">
        <v>0</v>
      </c>
      <c r="Y96" s="19">
        <v>14005.76</v>
      </c>
      <c r="Z96" s="19">
        <v>0</v>
      </c>
      <c r="AA96" s="19" t="s">
        <v>179</v>
      </c>
      <c r="AB96" s="19" t="s">
        <v>1091</v>
      </c>
      <c r="AC96" s="19">
        <v>39269080</v>
      </c>
      <c r="AD96" s="19" t="s">
        <v>1092</v>
      </c>
      <c r="AE96" s="19">
        <v>1</v>
      </c>
      <c r="AF96" s="19">
        <v>492</v>
      </c>
      <c r="AG96" s="19" t="s">
        <v>1093</v>
      </c>
      <c r="AH96" s="19" t="s">
        <v>45</v>
      </c>
      <c r="AI96" s="19"/>
    </row>
    <row r="97" spans="2:35" x14ac:dyDescent="0.35">
      <c r="B97" s="82">
        <v>46212</v>
      </c>
      <c r="C97" s="19" t="s">
        <v>245</v>
      </c>
      <c r="D97" s="19" t="s">
        <v>11</v>
      </c>
      <c r="E97" s="83">
        <v>430</v>
      </c>
      <c r="F97" s="19" t="s">
        <v>1085</v>
      </c>
      <c r="G97" s="19" t="s">
        <v>1238</v>
      </c>
      <c r="H97" s="76">
        <v>46212</v>
      </c>
      <c r="I97" s="19" t="s">
        <v>36</v>
      </c>
      <c r="J97" s="19" t="s">
        <v>1156</v>
      </c>
      <c r="K97" s="19" t="s">
        <v>45</v>
      </c>
      <c r="L97" s="19" t="s">
        <v>1157</v>
      </c>
      <c r="M97" s="19" t="s">
        <v>1156</v>
      </c>
      <c r="N97" s="19">
        <v>240</v>
      </c>
      <c r="O97" s="19">
        <v>37236</v>
      </c>
      <c r="P97" s="19" t="s">
        <v>1246</v>
      </c>
      <c r="Q97" s="19">
        <v>0</v>
      </c>
      <c r="R97" s="19">
        <v>9</v>
      </c>
      <c r="S97" s="19">
        <v>3351.24</v>
      </c>
      <c r="T97" s="19">
        <v>9</v>
      </c>
      <c r="U97" s="19">
        <v>3351.24</v>
      </c>
      <c r="V97" s="19">
        <v>0</v>
      </c>
      <c r="W97" s="19">
        <v>0</v>
      </c>
      <c r="X97" s="19">
        <v>0</v>
      </c>
      <c r="Y97" s="19">
        <v>6702.48</v>
      </c>
      <c r="Z97" s="19">
        <v>0</v>
      </c>
      <c r="AA97" s="19" t="s">
        <v>179</v>
      </c>
      <c r="AB97" s="19" t="s">
        <v>1091</v>
      </c>
      <c r="AC97" s="19">
        <v>39269080</v>
      </c>
      <c r="AD97" s="19" t="s">
        <v>1092</v>
      </c>
      <c r="AE97" s="19">
        <v>1</v>
      </c>
      <c r="AF97" s="19">
        <v>240</v>
      </c>
      <c r="AG97" s="19" t="s">
        <v>1093</v>
      </c>
      <c r="AH97" s="19" t="s">
        <v>45</v>
      </c>
      <c r="AI97" s="19"/>
    </row>
    <row r="98" spans="2:35" hidden="1" x14ac:dyDescent="0.35">
      <c r="B98" s="82">
        <v>46212</v>
      </c>
      <c r="C98" s="19" t="s">
        <v>245</v>
      </c>
      <c r="D98" s="19" t="s">
        <v>11</v>
      </c>
      <c r="E98" s="83">
        <v>431</v>
      </c>
      <c r="F98" s="19" t="s">
        <v>1124</v>
      </c>
      <c r="G98" s="19" t="s">
        <v>1247</v>
      </c>
      <c r="H98" s="76">
        <v>46212</v>
      </c>
      <c r="I98" s="19" t="s">
        <v>105</v>
      </c>
      <c r="J98" s="19" t="s">
        <v>1142</v>
      </c>
      <c r="K98" s="19" t="s">
        <v>1143</v>
      </c>
      <c r="L98" s="19" t="s">
        <v>1144</v>
      </c>
      <c r="M98" s="19" t="s">
        <v>1145</v>
      </c>
      <c r="N98" s="19">
        <v>25</v>
      </c>
      <c r="O98" s="19">
        <v>1200</v>
      </c>
      <c r="P98" s="19" t="s">
        <v>1139</v>
      </c>
      <c r="Q98" s="19">
        <v>1414.8</v>
      </c>
      <c r="R98" s="19">
        <v>9</v>
      </c>
      <c r="S98" s="19">
        <v>108</v>
      </c>
      <c r="T98" s="19">
        <v>9</v>
      </c>
      <c r="U98" s="19">
        <v>108</v>
      </c>
      <c r="V98" s="19">
        <v>0</v>
      </c>
      <c r="W98" s="19">
        <v>0</v>
      </c>
      <c r="X98" s="19">
        <v>0</v>
      </c>
      <c r="Y98" s="19">
        <v>216</v>
      </c>
      <c r="Z98" s="19">
        <v>0</v>
      </c>
      <c r="AA98" s="19" t="s">
        <v>179</v>
      </c>
      <c r="AB98" s="19" t="s">
        <v>1091</v>
      </c>
      <c r="AC98" s="19">
        <v>73063090</v>
      </c>
      <c r="AD98" s="19" t="s">
        <v>1092</v>
      </c>
      <c r="AE98" s="19">
        <v>1</v>
      </c>
      <c r="AF98" s="19">
        <v>25</v>
      </c>
      <c r="AG98" s="19" t="s">
        <v>1093</v>
      </c>
      <c r="AH98" s="83" t="s">
        <v>2319</v>
      </c>
      <c r="AI98" s="19"/>
    </row>
    <row r="99" spans="2:35" x14ac:dyDescent="0.35">
      <c r="B99" s="82">
        <v>46212</v>
      </c>
      <c r="C99" s="19" t="s">
        <v>1084</v>
      </c>
      <c r="D99" s="19" t="s">
        <v>11</v>
      </c>
      <c r="E99" s="83">
        <v>425</v>
      </c>
      <c r="F99" s="19" t="s">
        <v>1085</v>
      </c>
      <c r="G99" s="19" t="s">
        <v>1248</v>
      </c>
      <c r="H99" s="76">
        <v>46212</v>
      </c>
      <c r="I99" s="19" t="s">
        <v>49</v>
      </c>
      <c r="J99" s="19" t="s">
        <v>50</v>
      </c>
      <c r="K99" s="19" t="s">
        <v>50</v>
      </c>
      <c r="L99" s="19" t="s">
        <v>1095</v>
      </c>
      <c r="M99" s="19" t="s">
        <v>1098</v>
      </c>
      <c r="N99" s="19">
        <v>226</v>
      </c>
      <c r="O99" s="19">
        <v>70319.899999999994</v>
      </c>
      <c r="P99" s="19" t="s">
        <v>1249</v>
      </c>
      <c r="Q99" s="19">
        <v>2383766.86</v>
      </c>
      <c r="R99" s="19">
        <v>9</v>
      </c>
      <c r="S99" s="19">
        <v>6328.79</v>
      </c>
      <c r="T99" s="19">
        <v>9</v>
      </c>
      <c r="U99" s="19">
        <v>6328.79</v>
      </c>
      <c r="V99" s="19">
        <v>0</v>
      </c>
      <c r="W99" s="19">
        <v>0</v>
      </c>
      <c r="X99" s="19">
        <v>0</v>
      </c>
      <c r="Y99" s="19">
        <v>12657.58</v>
      </c>
      <c r="Z99" s="19">
        <v>0</v>
      </c>
      <c r="AA99" s="19" t="s">
        <v>135</v>
      </c>
      <c r="AB99" s="19" t="s">
        <v>1091</v>
      </c>
      <c r="AC99" s="19">
        <v>63053200</v>
      </c>
      <c r="AD99" s="19" t="s">
        <v>1092</v>
      </c>
      <c r="AE99" s="19">
        <v>1</v>
      </c>
      <c r="AF99" s="19">
        <v>226</v>
      </c>
      <c r="AG99" s="19" t="s">
        <v>1093</v>
      </c>
      <c r="AH99" s="19" t="s">
        <v>50</v>
      </c>
      <c r="AI99" s="19"/>
    </row>
    <row r="100" spans="2:35" x14ac:dyDescent="0.35">
      <c r="B100" s="82">
        <v>46212</v>
      </c>
      <c r="C100" s="19" t="s">
        <v>1084</v>
      </c>
      <c r="D100" s="19" t="s">
        <v>11</v>
      </c>
      <c r="E100" s="83">
        <v>425</v>
      </c>
      <c r="F100" s="19" t="s">
        <v>1085</v>
      </c>
      <c r="G100" s="19" t="s">
        <v>1248</v>
      </c>
      <c r="H100" s="76">
        <v>46212</v>
      </c>
      <c r="I100" s="19" t="s">
        <v>49</v>
      </c>
      <c r="J100" s="19" t="s">
        <v>50</v>
      </c>
      <c r="K100" s="19" t="s">
        <v>50</v>
      </c>
      <c r="L100" s="19" t="s">
        <v>1095</v>
      </c>
      <c r="M100" s="19" t="s">
        <v>1098</v>
      </c>
      <c r="N100" s="19">
        <v>1224</v>
      </c>
      <c r="O100" s="19">
        <v>318754.08</v>
      </c>
      <c r="P100" s="19" t="s">
        <v>1250</v>
      </c>
      <c r="Q100" s="19">
        <v>0</v>
      </c>
      <c r="R100" s="19">
        <v>9</v>
      </c>
      <c r="S100" s="19">
        <v>28687.87</v>
      </c>
      <c r="T100" s="19">
        <v>9</v>
      </c>
      <c r="U100" s="19">
        <v>28687.87</v>
      </c>
      <c r="V100" s="19">
        <v>0</v>
      </c>
      <c r="W100" s="19">
        <v>0</v>
      </c>
      <c r="X100" s="19">
        <v>0</v>
      </c>
      <c r="Y100" s="19">
        <v>57375.74</v>
      </c>
      <c r="Z100" s="19">
        <v>0</v>
      </c>
      <c r="AA100" s="19" t="s">
        <v>135</v>
      </c>
      <c r="AB100" s="19" t="s">
        <v>1091</v>
      </c>
      <c r="AC100" s="19">
        <v>63053200</v>
      </c>
      <c r="AD100" s="19" t="s">
        <v>1092</v>
      </c>
      <c r="AE100" s="19">
        <v>1</v>
      </c>
      <c r="AF100" s="19">
        <v>1224</v>
      </c>
      <c r="AG100" s="19" t="s">
        <v>1093</v>
      </c>
      <c r="AH100" s="19" t="s">
        <v>50</v>
      </c>
      <c r="AI100" s="19"/>
    </row>
    <row r="101" spans="2:35" x14ac:dyDescent="0.35">
      <c r="B101" s="82">
        <v>46212</v>
      </c>
      <c r="C101" s="19" t="s">
        <v>1084</v>
      </c>
      <c r="D101" s="19" t="s">
        <v>11</v>
      </c>
      <c r="E101" s="83">
        <v>425</v>
      </c>
      <c r="F101" s="19" t="s">
        <v>1085</v>
      </c>
      <c r="G101" s="19" t="s">
        <v>1248</v>
      </c>
      <c r="H101" s="76">
        <v>46212</v>
      </c>
      <c r="I101" s="19" t="s">
        <v>49</v>
      </c>
      <c r="J101" s="19" t="s">
        <v>50</v>
      </c>
      <c r="K101" s="19" t="s">
        <v>50</v>
      </c>
      <c r="L101" s="19" t="s">
        <v>1095</v>
      </c>
      <c r="M101" s="19" t="s">
        <v>1098</v>
      </c>
      <c r="N101" s="19">
        <v>4037.7</v>
      </c>
      <c r="O101" s="19">
        <v>1153045.99</v>
      </c>
      <c r="P101" s="19" t="s">
        <v>1251</v>
      </c>
      <c r="Q101" s="19">
        <v>0</v>
      </c>
      <c r="R101" s="19">
        <v>9</v>
      </c>
      <c r="S101" s="19">
        <v>103774.14</v>
      </c>
      <c r="T101" s="19">
        <v>9</v>
      </c>
      <c r="U101" s="19">
        <v>103774.14</v>
      </c>
      <c r="V101" s="19">
        <v>0</v>
      </c>
      <c r="W101" s="19">
        <v>0</v>
      </c>
      <c r="X101" s="19">
        <v>0</v>
      </c>
      <c r="Y101" s="19">
        <v>207548.28</v>
      </c>
      <c r="Z101" s="19">
        <v>0</v>
      </c>
      <c r="AA101" s="19" t="s">
        <v>135</v>
      </c>
      <c r="AB101" s="19" t="s">
        <v>1091</v>
      </c>
      <c r="AC101" s="19">
        <v>63053200</v>
      </c>
      <c r="AD101" s="19" t="s">
        <v>1092</v>
      </c>
      <c r="AE101" s="19">
        <v>1</v>
      </c>
      <c r="AF101" s="19">
        <v>4037.7</v>
      </c>
      <c r="AG101" s="19" t="s">
        <v>1093</v>
      </c>
      <c r="AH101" s="19" t="s">
        <v>50</v>
      </c>
      <c r="AI101" s="19"/>
    </row>
    <row r="102" spans="2:35" x14ac:dyDescent="0.35">
      <c r="B102" s="82">
        <v>46212</v>
      </c>
      <c r="C102" s="19" t="s">
        <v>1084</v>
      </c>
      <c r="D102" s="19" t="s">
        <v>11</v>
      </c>
      <c r="E102" s="83">
        <v>425</v>
      </c>
      <c r="F102" s="19" t="s">
        <v>1085</v>
      </c>
      <c r="G102" s="19" t="s">
        <v>1248</v>
      </c>
      <c r="H102" s="76">
        <v>46212</v>
      </c>
      <c r="I102" s="19" t="s">
        <v>49</v>
      </c>
      <c r="J102" s="19" t="s">
        <v>50</v>
      </c>
      <c r="K102" s="19" t="s">
        <v>50</v>
      </c>
      <c r="L102" s="19" t="s">
        <v>1095</v>
      </c>
      <c r="M102" s="19" t="s">
        <v>1098</v>
      </c>
      <c r="N102" s="19">
        <v>375</v>
      </c>
      <c r="O102" s="19">
        <v>93048.75</v>
      </c>
      <c r="P102" s="19" t="s">
        <v>1252</v>
      </c>
      <c r="Q102" s="19">
        <v>0</v>
      </c>
      <c r="R102" s="19">
        <v>9</v>
      </c>
      <c r="S102" s="19">
        <v>8374.39</v>
      </c>
      <c r="T102" s="19">
        <v>9</v>
      </c>
      <c r="U102" s="19">
        <v>8374.39</v>
      </c>
      <c r="V102" s="19">
        <v>0</v>
      </c>
      <c r="W102" s="19">
        <v>0</v>
      </c>
      <c r="X102" s="19">
        <v>0</v>
      </c>
      <c r="Y102" s="19">
        <v>16748.78</v>
      </c>
      <c r="Z102" s="19">
        <v>0</v>
      </c>
      <c r="AA102" s="19" t="s">
        <v>135</v>
      </c>
      <c r="AB102" s="19" t="s">
        <v>1091</v>
      </c>
      <c r="AC102" s="19">
        <v>63053200</v>
      </c>
      <c r="AD102" s="19" t="s">
        <v>1092</v>
      </c>
      <c r="AE102" s="19">
        <v>1</v>
      </c>
      <c r="AF102" s="19">
        <v>375</v>
      </c>
      <c r="AG102" s="19" t="s">
        <v>1093</v>
      </c>
      <c r="AH102" s="19" t="s">
        <v>50</v>
      </c>
      <c r="AI102" s="19"/>
    </row>
    <row r="103" spans="2:35" x14ac:dyDescent="0.35">
      <c r="B103" s="82">
        <v>46212</v>
      </c>
      <c r="C103" s="19" t="s">
        <v>1084</v>
      </c>
      <c r="D103" s="19" t="s">
        <v>11</v>
      </c>
      <c r="E103" s="83">
        <v>425</v>
      </c>
      <c r="F103" s="19" t="s">
        <v>1085</v>
      </c>
      <c r="G103" s="19" t="s">
        <v>1248</v>
      </c>
      <c r="H103" s="76">
        <v>46212</v>
      </c>
      <c r="I103" s="19" t="s">
        <v>49</v>
      </c>
      <c r="J103" s="19" t="s">
        <v>50</v>
      </c>
      <c r="K103" s="19" t="s">
        <v>50</v>
      </c>
      <c r="L103" s="19" t="s">
        <v>1095</v>
      </c>
      <c r="M103" s="19" t="s">
        <v>1098</v>
      </c>
      <c r="N103" s="19">
        <v>1367.3</v>
      </c>
      <c r="O103" s="19">
        <v>386686.11</v>
      </c>
      <c r="P103" s="19" t="s">
        <v>1253</v>
      </c>
      <c r="Q103" s="19">
        <v>0</v>
      </c>
      <c r="R103" s="19">
        <v>9</v>
      </c>
      <c r="S103" s="19">
        <v>34801.75</v>
      </c>
      <c r="T103" s="19">
        <v>9</v>
      </c>
      <c r="U103" s="19">
        <v>34801.75</v>
      </c>
      <c r="V103" s="19">
        <v>0</v>
      </c>
      <c r="W103" s="19">
        <v>0</v>
      </c>
      <c r="X103" s="19">
        <v>0</v>
      </c>
      <c r="Y103" s="19">
        <v>69603.5</v>
      </c>
      <c r="Z103" s="19">
        <v>0</v>
      </c>
      <c r="AA103" s="19" t="s">
        <v>135</v>
      </c>
      <c r="AB103" s="19" t="s">
        <v>1091</v>
      </c>
      <c r="AC103" s="19">
        <v>63053200</v>
      </c>
      <c r="AD103" s="19" t="s">
        <v>1092</v>
      </c>
      <c r="AE103" s="19">
        <v>1</v>
      </c>
      <c r="AF103" s="19">
        <v>1367.3</v>
      </c>
      <c r="AG103" s="19" t="s">
        <v>1093</v>
      </c>
      <c r="AH103" s="19" t="s">
        <v>50</v>
      </c>
      <c r="AI103" s="19"/>
    </row>
    <row r="104" spans="2:35" x14ac:dyDescent="0.35">
      <c r="B104" s="82">
        <v>46212</v>
      </c>
      <c r="C104" s="19" t="s">
        <v>1084</v>
      </c>
      <c r="D104" s="19" t="s">
        <v>11</v>
      </c>
      <c r="E104" s="83">
        <v>427</v>
      </c>
      <c r="F104" s="19" t="s">
        <v>1085</v>
      </c>
      <c r="G104" s="19" t="s">
        <v>1254</v>
      </c>
      <c r="H104" s="76">
        <v>46212</v>
      </c>
      <c r="I104" s="19" t="s">
        <v>36</v>
      </c>
      <c r="J104" s="19" t="s">
        <v>1117</v>
      </c>
      <c r="K104" s="19" t="s">
        <v>44</v>
      </c>
      <c r="L104" s="19" t="s">
        <v>1118</v>
      </c>
      <c r="M104" s="19" t="s">
        <v>1119</v>
      </c>
      <c r="N104" s="19">
        <v>4228</v>
      </c>
      <c r="O104" s="19">
        <v>647518.19999999995</v>
      </c>
      <c r="P104" s="19" t="s">
        <v>1255</v>
      </c>
      <c r="Q104" s="19">
        <v>763423.96</v>
      </c>
      <c r="R104" s="19">
        <v>9</v>
      </c>
      <c r="S104" s="19">
        <v>58276.639999999999</v>
      </c>
      <c r="T104" s="19">
        <v>9</v>
      </c>
      <c r="U104" s="19">
        <v>58276.639999999999</v>
      </c>
      <c r="V104" s="19">
        <v>0</v>
      </c>
      <c r="W104" s="19">
        <v>0</v>
      </c>
      <c r="X104" s="19">
        <v>0</v>
      </c>
      <c r="Y104" s="19">
        <v>116553.28</v>
      </c>
      <c r="Z104" s="19">
        <v>0</v>
      </c>
      <c r="AA104" s="19" t="s">
        <v>135</v>
      </c>
      <c r="AB104" s="19" t="s">
        <v>1091</v>
      </c>
      <c r="AC104" s="19">
        <v>39269080</v>
      </c>
      <c r="AD104" s="19" t="s">
        <v>1092</v>
      </c>
      <c r="AE104" s="19">
        <v>1</v>
      </c>
      <c r="AF104" s="19">
        <v>4228</v>
      </c>
      <c r="AG104" s="19" t="s">
        <v>1093</v>
      </c>
      <c r="AH104" s="19" t="s">
        <v>44</v>
      </c>
      <c r="AI104" s="19"/>
    </row>
    <row r="105" spans="2:35" hidden="1" x14ac:dyDescent="0.35">
      <c r="B105" s="82">
        <v>46212</v>
      </c>
      <c r="C105" s="19" t="s">
        <v>1084</v>
      </c>
      <c r="D105" s="19" t="s">
        <v>11</v>
      </c>
      <c r="E105" s="83">
        <v>428</v>
      </c>
      <c r="F105" s="19" t="s">
        <v>1124</v>
      </c>
      <c r="G105" s="19" t="s">
        <v>1256</v>
      </c>
      <c r="H105" s="76">
        <v>46212</v>
      </c>
      <c r="I105" s="19" t="s">
        <v>105</v>
      </c>
      <c r="J105" s="19" t="s">
        <v>1142</v>
      </c>
      <c r="K105" s="19" t="s">
        <v>1143</v>
      </c>
      <c r="L105" s="19" t="s">
        <v>1144</v>
      </c>
      <c r="M105" s="19" t="s">
        <v>1196</v>
      </c>
      <c r="N105" s="19">
        <v>163</v>
      </c>
      <c r="O105" s="19">
        <v>7824</v>
      </c>
      <c r="P105" s="19" t="s">
        <v>1139</v>
      </c>
      <c r="Q105" s="19">
        <v>9224.5</v>
      </c>
      <c r="R105" s="19">
        <v>9</v>
      </c>
      <c r="S105" s="19">
        <v>704.16</v>
      </c>
      <c r="T105" s="19">
        <v>9</v>
      </c>
      <c r="U105" s="19">
        <v>704.16</v>
      </c>
      <c r="V105" s="19">
        <v>0</v>
      </c>
      <c r="W105" s="19">
        <v>0</v>
      </c>
      <c r="X105" s="19">
        <v>0</v>
      </c>
      <c r="Y105" s="19">
        <v>1408.32</v>
      </c>
      <c r="Z105" s="19">
        <v>0</v>
      </c>
      <c r="AA105" s="19" t="s">
        <v>135</v>
      </c>
      <c r="AB105" s="19" t="s">
        <v>1091</v>
      </c>
      <c r="AC105" s="19">
        <v>73063090</v>
      </c>
      <c r="AD105" s="19" t="s">
        <v>1092</v>
      </c>
      <c r="AE105" s="19">
        <v>1</v>
      </c>
      <c r="AF105" s="19">
        <v>163</v>
      </c>
      <c r="AG105" s="19" t="s">
        <v>1093</v>
      </c>
      <c r="AH105" s="83" t="s">
        <v>2319</v>
      </c>
      <c r="AI105" s="19"/>
    </row>
    <row r="106" spans="2:35" x14ac:dyDescent="0.35">
      <c r="B106" s="82">
        <v>46212</v>
      </c>
      <c r="C106" s="19" t="s">
        <v>1136</v>
      </c>
      <c r="D106" s="19" t="s">
        <v>11</v>
      </c>
      <c r="E106" s="83">
        <v>423</v>
      </c>
      <c r="F106" s="19" t="s">
        <v>1085</v>
      </c>
      <c r="G106" s="19" t="s">
        <v>1257</v>
      </c>
      <c r="H106" s="76">
        <v>46212</v>
      </c>
      <c r="I106" s="19" t="s">
        <v>36</v>
      </c>
      <c r="J106" s="19" t="s">
        <v>1117</v>
      </c>
      <c r="K106" s="19" t="s">
        <v>44</v>
      </c>
      <c r="L106" s="19" t="s">
        <v>1118</v>
      </c>
      <c r="M106" s="19" t="s">
        <v>1119</v>
      </c>
      <c r="N106" s="19">
        <v>1363</v>
      </c>
      <c r="O106" s="19">
        <v>219647.45</v>
      </c>
      <c r="P106" s="19" t="s">
        <v>1211</v>
      </c>
      <c r="Q106" s="19">
        <v>299767.28000000003</v>
      </c>
      <c r="R106" s="19">
        <v>9</v>
      </c>
      <c r="S106" s="19">
        <v>19768.27</v>
      </c>
      <c r="T106" s="19">
        <v>9</v>
      </c>
      <c r="U106" s="19">
        <v>19768.27</v>
      </c>
      <c r="V106" s="19">
        <v>0</v>
      </c>
      <c r="W106" s="19">
        <v>0</v>
      </c>
      <c r="X106" s="19">
        <v>0</v>
      </c>
      <c r="Y106" s="19">
        <v>39536.54</v>
      </c>
      <c r="Z106" s="19">
        <v>0</v>
      </c>
      <c r="AA106" s="19" t="s">
        <v>135</v>
      </c>
      <c r="AB106" s="19" t="s">
        <v>1091</v>
      </c>
      <c r="AC106" s="19">
        <v>39269080</v>
      </c>
      <c r="AD106" s="19" t="s">
        <v>1092</v>
      </c>
      <c r="AE106" s="19">
        <v>1</v>
      </c>
      <c r="AF106" s="19">
        <v>1363</v>
      </c>
      <c r="AG106" s="19" t="s">
        <v>1093</v>
      </c>
      <c r="AH106" s="19" t="s">
        <v>44</v>
      </c>
      <c r="AI106" s="19"/>
    </row>
    <row r="107" spans="2:35" ht="29" x14ac:dyDescent="0.35">
      <c r="B107" s="82">
        <v>46212</v>
      </c>
      <c r="C107" s="19" t="s">
        <v>1136</v>
      </c>
      <c r="D107" s="19" t="s">
        <v>11</v>
      </c>
      <c r="E107" s="83">
        <v>423</v>
      </c>
      <c r="F107" s="19" t="s">
        <v>1085</v>
      </c>
      <c r="G107" s="19" t="s">
        <v>1257</v>
      </c>
      <c r="H107" s="76">
        <v>46212</v>
      </c>
      <c r="I107" s="19" t="s">
        <v>36</v>
      </c>
      <c r="J107" s="19" t="s">
        <v>1117</v>
      </c>
      <c r="K107" s="19" t="s">
        <v>44</v>
      </c>
      <c r="L107" s="19" t="s">
        <v>1118</v>
      </c>
      <c r="M107" s="19" t="s">
        <v>1119</v>
      </c>
      <c r="N107" s="19">
        <v>204.6</v>
      </c>
      <c r="O107" s="19">
        <v>34608.089999999997</v>
      </c>
      <c r="P107" s="84" t="s">
        <v>1212</v>
      </c>
      <c r="Q107" s="19">
        <v>0</v>
      </c>
      <c r="R107" s="19">
        <v>9</v>
      </c>
      <c r="S107" s="19">
        <v>3114.73</v>
      </c>
      <c r="T107" s="19">
        <v>9</v>
      </c>
      <c r="U107" s="19">
        <v>3114.73</v>
      </c>
      <c r="V107" s="19">
        <v>0</v>
      </c>
      <c r="W107" s="19">
        <v>0</v>
      </c>
      <c r="X107" s="19">
        <v>0</v>
      </c>
      <c r="Y107" s="19">
        <v>6229.46</v>
      </c>
      <c r="Z107" s="19">
        <v>0</v>
      </c>
      <c r="AA107" s="19" t="s">
        <v>135</v>
      </c>
      <c r="AB107" s="19" t="s">
        <v>1091</v>
      </c>
      <c r="AC107" s="19">
        <v>39269080</v>
      </c>
      <c r="AD107" s="19" t="s">
        <v>1092</v>
      </c>
      <c r="AE107" s="19">
        <v>1</v>
      </c>
      <c r="AF107" s="19">
        <v>204.6</v>
      </c>
      <c r="AG107" s="19" t="s">
        <v>1093</v>
      </c>
      <c r="AH107" s="19" t="s">
        <v>44</v>
      </c>
      <c r="AI107" s="19"/>
    </row>
    <row r="108" spans="2:35" hidden="1" x14ac:dyDescent="0.35">
      <c r="B108" s="82">
        <v>46212</v>
      </c>
      <c r="C108" s="19" t="s">
        <v>1136</v>
      </c>
      <c r="D108" s="19" t="s">
        <v>11</v>
      </c>
      <c r="E108" s="83">
        <v>424</v>
      </c>
      <c r="F108" s="19" t="s">
        <v>1124</v>
      </c>
      <c r="G108" s="19" t="s">
        <v>1258</v>
      </c>
      <c r="H108" s="76">
        <v>46212</v>
      </c>
      <c r="I108" s="19" t="s">
        <v>105</v>
      </c>
      <c r="J108" s="19" t="s">
        <v>1142</v>
      </c>
      <c r="K108" s="19" t="s">
        <v>1143</v>
      </c>
      <c r="L108" s="19" t="s">
        <v>1144</v>
      </c>
      <c r="M108" s="19" t="s">
        <v>1145</v>
      </c>
      <c r="N108" s="19">
        <v>66</v>
      </c>
      <c r="O108" s="19">
        <v>3168</v>
      </c>
      <c r="P108" s="19" t="s">
        <v>1139</v>
      </c>
      <c r="Q108" s="19">
        <v>3735.07</v>
      </c>
      <c r="R108" s="19">
        <v>9</v>
      </c>
      <c r="S108" s="19">
        <v>285.12</v>
      </c>
      <c r="T108" s="19">
        <v>9</v>
      </c>
      <c r="U108" s="19">
        <v>285.12</v>
      </c>
      <c r="V108" s="19">
        <v>0</v>
      </c>
      <c r="W108" s="19">
        <v>0</v>
      </c>
      <c r="X108" s="19">
        <v>0</v>
      </c>
      <c r="Y108" s="19">
        <v>570.24</v>
      </c>
      <c r="Z108" s="19">
        <v>0</v>
      </c>
      <c r="AA108" s="19" t="s">
        <v>135</v>
      </c>
      <c r="AB108" s="19" t="s">
        <v>1091</v>
      </c>
      <c r="AC108" s="19">
        <v>73063090</v>
      </c>
      <c r="AD108" s="19" t="s">
        <v>1092</v>
      </c>
      <c r="AE108" s="19">
        <v>1</v>
      </c>
      <c r="AF108" s="19">
        <v>66</v>
      </c>
      <c r="AG108" s="19" t="s">
        <v>1093</v>
      </c>
      <c r="AH108" s="83" t="s">
        <v>2319</v>
      </c>
      <c r="AI108" s="19"/>
    </row>
    <row r="109" spans="2:35" x14ac:dyDescent="0.35">
      <c r="B109" s="82">
        <v>46212</v>
      </c>
      <c r="C109" s="19" t="s">
        <v>1136</v>
      </c>
      <c r="D109" s="19" t="s">
        <v>1129</v>
      </c>
      <c r="E109" s="83" t="s">
        <v>1259</v>
      </c>
      <c r="F109" s="19" t="s">
        <v>1131</v>
      </c>
      <c r="G109" s="19" t="s">
        <v>1259</v>
      </c>
      <c r="H109" s="76">
        <v>46212</v>
      </c>
      <c r="I109" s="19" t="s">
        <v>49</v>
      </c>
      <c r="J109" s="19" t="s">
        <v>50</v>
      </c>
      <c r="K109" s="19" t="s">
        <v>50</v>
      </c>
      <c r="L109" s="19" t="s">
        <v>1095</v>
      </c>
      <c r="M109" s="19" t="s">
        <v>1098</v>
      </c>
      <c r="N109" s="19">
        <v>1924.4</v>
      </c>
      <c r="O109" s="19">
        <v>419711.64</v>
      </c>
      <c r="P109" s="19" t="s">
        <v>1260</v>
      </c>
      <c r="Q109" s="19">
        <v>876466.74</v>
      </c>
      <c r="R109" s="19">
        <v>9</v>
      </c>
      <c r="S109" s="19">
        <v>37774.050000000003</v>
      </c>
      <c r="T109" s="19">
        <v>9</v>
      </c>
      <c r="U109" s="19">
        <v>37774.050000000003</v>
      </c>
      <c r="V109" s="19">
        <v>0</v>
      </c>
      <c r="W109" s="19">
        <v>0</v>
      </c>
      <c r="X109" s="19">
        <v>0</v>
      </c>
      <c r="Y109" s="19">
        <v>75548.100000000006</v>
      </c>
      <c r="Z109" s="19">
        <v>0</v>
      </c>
      <c r="AA109" s="19" t="s">
        <v>135</v>
      </c>
      <c r="AB109" s="19" t="s">
        <v>1091</v>
      </c>
      <c r="AC109" s="19">
        <v>998852</v>
      </c>
      <c r="AD109" s="19" t="s">
        <v>1092</v>
      </c>
      <c r="AE109" s="19">
        <v>1</v>
      </c>
      <c r="AF109" s="19">
        <v>1924.4</v>
      </c>
      <c r="AG109" s="19" t="s">
        <v>1093</v>
      </c>
      <c r="AH109" s="19" t="s">
        <v>50</v>
      </c>
      <c r="AI109" s="19"/>
    </row>
    <row r="110" spans="2:35" x14ac:dyDescent="0.35">
      <c r="B110" s="82">
        <v>46212</v>
      </c>
      <c r="C110" s="19" t="s">
        <v>1136</v>
      </c>
      <c r="D110" s="19" t="s">
        <v>1129</v>
      </c>
      <c r="E110" s="83" t="s">
        <v>1259</v>
      </c>
      <c r="F110" s="19" t="s">
        <v>1131</v>
      </c>
      <c r="G110" s="19" t="s">
        <v>1259</v>
      </c>
      <c r="H110" s="76">
        <v>46212</v>
      </c>
      <c r="I110" s="19" t="s">
        <v>49</v>
      </c>
      <c r="J110" s="19" t="s">
        <v>50</v>
      </c>
      <c r="K110" s="19" t="s">
        <v>50</v>
      </c>
      <c r="L110" s="19" t="s">
        <v>1095</v>
      </c>
      <c r="M110" s="19" t="s">
        <v>1098</v>
      </c>
      <c r="N110" s="19">
        <v>676.6</v>
      </c>
      <c r="O110" s="19">
        <v>150232.264</v>
      </c>
      <c r="P110" s="19" t="s">
        <v>1261</v>
      </c>
      <c r="Q110" s="19">
        <v>0</v>
      </c>
      <c r="R110" s="19">
        <v>9</v>
      </c>
      <c r="S110" s="19">
        <v>13520.9</v>
      </c>
      <c r="T110" s="19">
        <v>9</v>
      </c>
      <c r="U110" s="19">
        <v>13520.9</v>
      </c>
      <c r="V110" s="19">
        <v>0</v>
      </c>
      <c r="W110" s="19">
        <v>0</v>
      </c>
      <c r="X110" s="19">
        <v>0</v>
      </c>
      <c r="Y110" s="19">
        <v>27041.8</v>
      </c>
      <c r="Z110" s="19">
        <v>0</v>
      </c>
      <c r="AA110" s="19" t="s">
        <v>135</v>
      </c>
      <c r="AB110" s="19" t="s">
        <v>1091</v>
      </c>
      <c r="AC110" s="19">
        <v>998852</v>
      </c>
      <c r="AD110" s="19" t="s">
        <v>1092</v>
      </c>
      <c r="AE110" s="19">
        <v>1</v>
      </c>
      <c r="AF110" s="19">
        <v>676.6</v>
      </c>
      <c r="AG110" s="19" t="s">
        <v>1093</v>
      </c>
      <c r="AH110" s="19" t="s">
        <v>50</v>
      </c>
      <c r="AI110" s="19"/>
    </row>
    <row r="111" spans="2:35" x14ac:dyDescent="0.35">
      <c r="B111" s="82">
        <v>46212</v>
      </c>
      <c r="C111" s="19" t="s">
        <v>1136</v>
      </c>
      <c r="D111" s="19" t="s">
        <v>1129</v>
      </c>
      <c r="E111" s="83" t="s">
        <v>1259</v>
      </c>
      <c r="F111" s="19" t="s">
        <v>1131</v>
      </c>
      <c r="G111" s="19" t="s">
        <v>1259</v>
      </c>
      <c r="H111" s="76">
        <v>46212</v>
      </c>
      <c r="I111" s="19" t="s">
        <v>49</v>
      </c>
      <c r="J111" s="19" t="s">
        <v>50</v>
      </c>
      <c r="K111" s="19" t="s">
        <v>50</v>
      </c>
      <c r="L111" s="19" t="s">
        <v>1095</v>
      </c>
      <c r="M111" s="19" t="s">
        <v>1098</v>
      </c>
      <c r="N111" s="19">
        <v>781.9</v>
      </c>
      <c r="O111" s="19">
        <v>185630.87899999999</v>
      </c>
      <c r="P111" s="19" t="s">
        <v>1262</v>
      </c>
      <c r="Q111" s="19">
        <v>0</v>
      </c>
      <c r="R111" s="19">
        <v>9</v>
      </c>
      <c r="S111" s="19">
        <v>16706.78</v>
      </c>
      <c r="T111" s="19">
        <v>9</v>
      </c>
      <c r="U111" s="19">
        <v>16706.78</v>
      </c>
      <c r="V111" s="19">
        <v>0</v>
      </c>
      <c r="W111" s="19">
        <v>0</v>
      </c>
      <c r="X111" s="19">
        <v>0</v>
      </c>
      <c r="Y111" s="19">
        <v>33413.56</v>
      </c>
      <c r="Z111" s="19">
        <v>0</v>
      </c>
      <c r="AA111" s="19" t="s">
        <v>135</v>
      </c>
      <c r="AB111" s="19" t="s">
        <v>1091</v>
      </c>
      <c r="AC111" s="19">
        <v>998852</v>
      </c>
      <c r="AD111" s="19" t="s">
        <v>1092</v>
      </c>
      <c r="AE111" s="19">
        <v>1</v>
      </c>
      <c r="AF111" s="19">
        <v>781.9</v>
      </c>
      <c r="AG111" s="19" t="s">
        <v>1093</v>
      </c>
      <c r="AH111" s="19" t="s">
        <v>50</v>
      </c>
      <c r="AI111" s="19"/>
    </row>
    <row r="112" spans="2:35" x14ac:dyDescent="0.35">
      <c r="B112" s="82">
        <v>46212</v>
      </c>
      <c r="C112" s="19" t="s">
        <v>1171</v>
      </c>
      <c r="D112" s="19" t="s">
        <v>11</v>
      </c>
      <c r="E112" s="83">
        <v>429</v>
      </c>
      <c r="F112" s="19" t="s">
        <v>1085</v>
      </c>
      <c r="G112" s="19" t="s">
        <v>1263</v>
      </c>
      <c r="H112" s="76">
        <v>46212</v>
      </c>
      <c r="I112" s="19" t="s">
        <v>36</v>
      </c>
      <c r="J112" s="19" t="s">
        <v>1087</v>
      </c>
      <c r="K112" s="19" t="s">
        <v>46</v>
      </c>
      <c r="L112" s="19" t="s">
        <v>1138</v>
      </c>
      <c r="M112" s="19" t="s">
        <v>1089</v>
      </c>
      <c r="N112" s="19">
        <v>980</v>
      </c>
      <c r="O112" s="19">
        <v>148127</v>
      </c>
      <c r="P112" s="19" t="s">
        <v>1090</v>
      </c>
      <c r="Q112" s="19">
        <v>313854.53000000003</v>
      </c>
      <c r="R112" s="19">
        <v>2.5</v>
      </c>
      <c r="S112" s="19">
        <v>3703.18</v>
      </c>
      <c r="T112" s="19">
        <v>2.5</v>
      </c>
      <c r="U112" s="19">
        <v>3703.18</v>
      </c>
      <c r="V112" s="19">
        <v>0</v>
      </c>
      <c r="W112" s="19">
        <v>0</v>
      </c>
      <c r="X112" s="19">
        <v>0</v>
      </c>
      <c r="Y112" s="19">
        <v>7406.36</v>
      </c>
      <c r="Z112" s="19">
        <v>0</v>
      </c>
      <c r="AA112" s="19" t="s">
        <v>614</v>
      </c>
      <c r="AB112" s="19" t="s">
        <v>1091</v>
      </c>
      <c r="AC112" s="19">
        <v>54026930</v>
      </c>
      <c r="AD112" s="19" t="s">
        <v>1092</v>
      </c>
      <c r="AE112" s="19">
        <v>1</v>
      </c>
      <c r="AF112" s="19">
        <v>980</v>
      </c>
      <c r="AG112" s="19" t="s">
        <v>1093</v>
      </c>
      <c r="AH112" s="19" t="s">
        <v>46</v>
      </c>
      <c r="AI112" s="19"/>
    </row>
    <row r="113" spans="2:35" x14ac:dyDescent="0.35">
      <c r="B113" s="82">
        <v>46212</v>
      </c>
      <c r="C113" s="19" t="s">
        <v>1171</v>
      </c>
      <c r="D113" s="19" t="s">
        <v>11</v>
      </c>
      <c r="E113" s="83">
        <v>429</v>
      </c>
      <c r="F113" s="19" t="s">
        <v>1085</v>
      </c>
      <c r="G113" s="19" t="s">
        <v>1263</v>
      </c>
      <c r="H113" s="76">
        <v>46212</v>
      </c>
      <c r="I113" s="19" t="s">
        <v>36</v>
      </c>
      <c r="J113" s="19" t="s">
        <v>1087</v>
      </c>
      <c r="K113" s="19" t="s">
        <v>46</v>
      </c>
      <c r="L113" s="19" t="s">
        <v>1138</v>
      </c>
      <c r="M113" s="19" t="s">
        <v>1181</v>
      </c>
      <c r="N113" s="19">
        <v>980</v>
      </c>
      <c r="O113" s="19">
        <v>151067</v>
      </c>
      <c r="P113" s="19" t="s">
        <v>1182</v>
      </c>
      <c r="Q113" s="19">
        <v>0</v>
      </c>
      <c r="R113" s="19">
        <v>2.5</v>
      </c>
      <c r="S113" s="19">
        <v>3776.68</v>
      </c>
      <c r="T113" s="19">
        <v>2.5</v>
      </c>
      <c r="U113" s="19">
        <v>3776.68</v>
      </c>
      <c r="V113" s="19">
        <v>0</v>
      </c>
      <c r="W113" s="19">
        <v>0</v>
      </c>
      <c r="X113" s="19">
        <v>0</v>
      </c>
      <c r="Y113" s="19">
        <v>7553.36</v>
      </c>
      <c r="Z113" s="19">
        <v>0</v>
      </c>
      <c r="AA113" s="19" t="s">
        <v>614</v>
      </c>
      <c r="AB113" s="19" t="s">
        <v>1091</v>
      </c>
      <c r="AC113" s="19">
        <v>54026930</v>
      </c>
      <c r="AD113" s="19" t="s">
        <v>1092</v>
      </c>
      <c r="AE113" s="19">
        <v>1</v>
      </c>
      <c r="AF113" s="19">
        <v>980</v>
      </c>
      <c r="AG113" s="19" t="s">
        <v>1093</v>
      </c>
      <c r="AH113" s="19" t="s">
        <v>46</v>
      </c>
      <c r="AI113" s="19"/>
    </row>
    <row r="114" spans="2:35" x14ac:dyDescent="0.35">
      <c r="B114" s="82">
        <v>46212</v>
      </c>
      <c r="C114" s="19" t="s">
        <v>1264</v>
      </c>
      <c r="D114" s="19" t="s">
        <v>1109</v>
      </c>
      <c r="E114" s="83" t="s">
        <v>1265</v>
      </c>
      <c r="F114" s="19" t="s">
        <v>1111</v>
      </c>
      <c r="G114" s="19" t="s">
        <v>1265</v>
      </c>
      <c r="H114" s="76">
        <v>46212</v>
      </c>
      <c r="I114" s="19" t="s">
        <v>49</v>
      </c>
      <c r="J114" s="19" t="s">
        <v>50</v>
      </c>
      <c r="K114" s="19" t="s">
        <v>50</v>
      </c>
      <c r="L114" s="19" t="s">
        <v>1095</v>
      </c>
      <c r="M114" s="19" t="s">
        <v>1098</v>
      </c>
      <c r="N114" s="19">
        <v>20435.3</v>
      </c>
      <c r="O114" s="19">
        <v>4578208.8</v>
      </c>
      <c r="P114" s="19" t="s">
        <v>1112</v>
      </c>
      <c r="Q114" s="19">
        <v>4578208.8</v>
      </c>
      <c r="R114" s="19">
        <v>0</v>
      </c>
      <c r="S114" s="19">
        <v>0</v>
      </c>
      <c r="T114" s="19">
        <v>0</v>
      </c>
      <c r="U114" s="19">
        <v>0</v>
      </c>
      <c r="V114" s="19">
        <v>18</v>
      </c>
      <c r="W114" s="19">
        <v>824077.58400000003</v>
      </c>
      <c r="X114" s="19">
        <v>0.17</v>
      </c>
      <c r="Y114" s="19">
        <v>824077.75400000007</v>
      </c>
      <c r="Z114" s="19">
        <v>0</v>
      </c>
      <c r="AA114" s="19" t="s">
        <v>229</v>
      </c>
      <c r="AB114" s="19" t="s">
        <v>1091</v>
      </c>
      <c r="AC114" s="19">
        <v>63053200</v>
      </c>
      <c r="AD114" s="19" t="s">
        <v>1113</v>
      </c>
      <c r="AE114" s="19">
        <v>93.5</v>
      </c>
      <c r="AF114" s="19">
        <v>20435.3</v>
      </c>
      <c r="AG114" s="19" t="s">
        <v>1114</v>
      </c>
      <c r="AH114" s="19" t="s">
        <v>50</v>
      </c>
      <c r="AI114" s="19"/>
    </row>
    <row r="115" spans="2:35" x14ac:dyDescent="0.35">
      <c r="B115" s="82">
        <v>46213</v>
      </c>
      <c r="C115" s="19" t="s">
        <v>1222</v>
      </c>
      <c r="D115" s="19" t="s">
        <v>1109</v>
      </c>
      <c r="E115" s="83" t="s">
        <v>1266</v>
      </c>
      <c r="F115" s="19" t="s">
        <v>1111</v>
      </c>
      <c r="G115" s="19" t="s">
        <v>1266</v>
      </c>
      <c r="H115" s="76">
        <v>46213</v>
      </c>
      <c r="I115" s="19" t="s">
        <v>49</v>
      </c>
      <c r="J115" s="19" t="s">
        <v>50</v>
      </c>
      <c r="K115" s="19" t="s">
        <v>50</v>
      </c>
      <c r="L115" s="19" t="s">
        <v>1095</v>
      </c>
      <c r="M115" s="19" t="s">
        <v>1096</v>
      </c>
      <c r="N115" s="19">
        <v>17564.8</v>
      </c>
      <c r="O115" s="19">
        <v>4812931.2</v>
      </c>
      <c r="P115" s="19" t="s">
        <v>1112</v>
      </c>
      <c r="Q115" s="19">
        <v>4812931.2</v>
      </c>
      <c r="R115" s="19">
        <v>0</v>
      </c>
      <c r="S115" s="19">
        <v>0</v>
      </c>
      <c r="T115" s="19">
        <v>0</v>
      </c>
      <c r="U115" s="19">
        <v>0</v>
      </c>
      <c r="V115" s="19">
        <v>18</v>
      </c>
      <c r="W115" s="19">
        <v>866327.61600000004</v>
      </c>
      <c r="X115" s="19">
        <v>0.17</v>
      </c>
      <c r="Y115" s="19">
        <v>866327.78600000008</v>
      </c>
      <c r="Z115" s="19">
        <v>0</v>
      </c>
      <c r="AA115" s="19" t="s">
        <v>229</v>
      </c>
      <c r="AB115" s="19" t="s">
        <v>1091</v>
      </c>
      <c r="AC115" s="19">
        <v>63053200</v>
      </c>
      <c r="AD115" s="19" t="s">
        <v>1113</v>
      </c>
      <c r="AE115" s="19">
        <v>93.5</v>
      </c>
      <c r="AF115" s="19">
        <v>17564.8</v>
      </c>
      <c r="AG115" s="19" t="s">
        <v>1114</v>
      </c>
      <c r="AH115" s="19" t="s">
        <v>50</v>
      </c>
      <c r="AI115" s="19"/>
    </row>
    <row r="116" spans="2:35" x14ac:dyDescent="0.35">
      <c r="B116" s="82">
        <v>46213</v>
      </c>
      <c r="C116" s="19" t="s">
        <v>245</v>
      </c>
      <c r="D116" s="19" t="s">
        <v>11</v>
      </c>
      <c r="E116" s="83">
        <v>434</v>
      </c>
      <c r="F116" s="19" t="s">
        <v>1085</v>
      </c>
      <c r="G116" s="19" t="s">
        <v>1267</v>
      </c>
      <c r="H116" s="76">
        <v>46213</v>
      </c>
      <c r="I116" s="19" t="s">
        <v>28</v>
      </c>
      <c r="J116" s="19" t="s">
        <v>29</v>
      </c>
      <c r="K116" s="19" t="s">
        <v>29</v>
      </c>
      <c r="L116" s="19" t="s">
        <v>1242</v>
      </c>
      <c r="M116" s="19" t="s">
        <v>1268</v>
      </c>
      <c r="N116" s="19">
        <v>203.5</v>
      </c>
      <c r="O116" s="19">
        <v>26862</v>
      </c>
      <c r="P116" s="19" t="s">
        <v>1139</v>
      </c>
      <c r="Q116" s="19">
        <v>28178.240000000002</v>
      </c>
      <c r="R116" s="19">
        <v>2.5</v>
      </c>
      <c r="S116" s="19">
        <v>671.55</v>
      </c>
      <c r="T116" s="19">
        <v>2.5</v>
      </c>
      <c r="U116" s="19">
        <v>671.55</v>
      </c>
      <c r="V116" s="19">
        <v>0</v>
      </c>
      <c r="W116" s="19">
        <v>0</v>
      </c>
      <c r="X116" s="19">
        <v>0</v>
      </c>
      <c r="Y116" s="19">
        <v>1343.1</v>
      </c>
      <c r="Z116" s="19">
        <v>0</v>
      </c>
      <c r="AA116" s="19" t="s">
        <v>179</v>
      </c>
      <c r="AB116" s="19" t="s">
        <v>1091</v>
      </c>
      <c r="AC116" s="19">
        <v>58079010</v>
      </c>
      <c r="AD116" s="19" t="s">
        <v>1092</v>
      </c>
      <c r="AE116" s="19">
        <v>1</v>
      </c>
      <c r="AF116" s="19">
        <v>203.5</v>
      </c>
      <c r="AG116" s="19" t="s">
        <v>1093</v>
      </c>
      <c r="AH116" s="19" t="s">
        <v>29</v>
      </c>
      <c r="AI116" s="19"/>
    </row>
    <row r="117" spans="2:35" hidden="1" x14ac:dyDescent="0.35">
      <c r="B117" s="82">
        <v>46213</v>
      </c>
      <c r="C117" s="19" t="s">
        <v>1269</v>
      </c>
      <c r="D117" s="19" t="s">
        <v>1270</v>
      </c>
      <c r="E117" s="83" t="s">
        <v>1271</v>
      </c>
      <c r="F117" s="19" t="s">
        <v>1272</v>
      </c>
      <c r="G117" s="19" t="s">
        <v>1271</v>
      </c>
      <c r="H117" s="76">
        <v>46213</v>
      </c>
      <c r="I117" s="19" t="s">
        <v>102</v>
      </c>
      <c r="J117" s="19" t="s">
        <v>102</v>
      </c>
      <c r="K117" s="19" t="s">
        <v>102</v>
      </c>
      <c r="L117" s="19" t="s">
        <v>102</v>
      </c>
      <c r="M117" s="19" t="s">
        <v>1227</v>
      </c>
      <c r="N117" s="19">
        <v>90</v>
      </c>
      <c r="O117" s="19">
        <v>28800</v>
      </c>
      <c r="P117" s="19" t="s">
        <v>1227</v>
      </c>
      <c r="Q117" s="19">
        <v>28800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 t="s">
        <v>1273</v>
      </c>
      <c r="AB117" s="19" t="s">
        <v>1091</v>
      </c>
      <c r="AC117" s="19">
        <v>350610</v>
      </c>
      <c r="AD117" s="19" t="s">
        <v>1092</v>
      </c>
      <c r="AE117" s="19">
        <v>1</v>
      </c>
      <c r="AF117" s="19">
        <v>90</v>
      </c>
      <c r="AG117" s="19" t="s">
        <v>1093</v>
      </c>
      <c r="AH117" s="83" t="s">
        <v>2319</v>
      </c>
      <c r="AI117" s="19"/>
    </row>
    <row r="118" spans="2:35" x14ac:dyDescent="0.35">
      <c r="B118" s="82">
        <v>46213</v>
      </c>
      <c r="C118" s="19" t="s">
        <v>1084</v>
      </c>
      <c r="D118" s="19" t="s">
        <v>11</v>
      </c>
      <c r="E118" s="83">
        <v>435</v>
      </c>
      <c r="F118" s="19" t="s">
        <v>1274</v>
      </c>
      <c r="G118" s="19" t="s">
        <v>1275</v>
      </c>
      <c r="H118" s="76">
        <v>46213</v>
      </c>
      <c r="I118" s="19" t="s">
        <v>36</v>
      </c>
      <c r="J118" s="19" t="s">
        <v>48</v>
      </c>
      <c r="K118" s="19" t="s">
        <v>48</v>
      </c>
      <c r="L118" s="19" t="s">
        <v>1276</v>
      </c>
      <c r="M118" s="19" t="s">
        <v>1277</v>
      </c>
      <c r="N118" s="19">
        <v>7410</v>
      </c>
      <c r="O118" s="19">
        <v>629850</v>
      </c>
      <c r="P118" s="19" t="s">
        <v>1277</v>
      </c>
      <c r="Q118" s="19">
        <v>758087.46</v>
      </c>
      <c r="R118" s="19">
        <v>9</v>
      </c>
      <c r="S118" s="19">
        <v>56686.5</v>
      </c>
      <c r="T118" s="19">
        <v>9</v>
      </c>
      <c r="U118" s="19">
        <v>56686.5</v>
      </c>
      <c r="V118" s="19">
        <v>0</v>
      </c>
      <c r="W118" s="19">
        <v>0</v>
      </c>
      <c r="X118" s="19">
        <v>0</v>
      </c>
      <c r="Y118" s="19">
        <v>113373</v>
      </c>
      <c r="Z118" s="19">
        <v>14864.46</v>
      </c>
      <c r="AA118" s="19" t="s">
        <v>135</v>
      </c>
      <c r="AB118" s="19" t="s">
        <v>1091</v>
      </c>
      <c r="AC118" s="19">
        <v>39159029</v>
      </c>
      <c r="AD118" s="19" t="s">
        <v>1092</v>
      </c>
      <c r="AE118" s="19">
        <v>1</v>
      </c>
      <c r="AF118" s="19">
        <v>7410</v>
      </c>
      <c r="AG118" s="19" t="s">
        <v>1093</v>
      </c>
      <c r="AH118" s="19" t="s">
        <v>48</v>
      </c>
      <c r="AI118" s="19"/>
    </row>
    <row r="119" spans="2:35" x14ac:dyDescent="0.35">
      <c r="B119" s="82">
        <v>46213</v>
      </c>
      <c r="C119" s="19" t="s">
        <v>1084</v>
      </c>
      <c r="D119" s="19" t="s">
        <v>11</v>
      </c>
      <c r="E119" s="83">
        <v>436</v>
      </c>
      <c r="F119" s="19" t="s">
        <v>1085</v>
      </c>
      <c r="G119" s="19" t="s">
        <v>1278</v>
      </c>
      <c r="H119" s="76">
        <v>46213</v>
      </c>
      <c r="I119" s="19" t="s">
        <v>49</v>
      </c>
      <c r="J119" s="19" t="s">
        <v>50</v>
      </c>
      <c r="K119" s="19" t="s">
        <v>50</v>
      </c>
      <c r="L119" s="19" t="s">
        <v>1095</v>
      </c>
      <c r="M119" s="19" t="s">
        <v>1098</v>
      </c>
      <c r="N119" s="19">
        <v>229</v>
      </c>
      <c r="O119" s="19">
        <v>70335.06</v>
      </c>
      <c r="P119" s="19" t="s">
        <v>1249</v>
      </c>
      <c r="Q119" s="19">
        <v>2055166.3</v>
      </c>
      <c r="R119" s="19">
        <v>9</v>
      </c>
      <c r="S119" s="19">
        <v>6330.16</v>
      </c>
      <c r="T119" s="19">
        <v>9</v>
      </c>
      <c r="U119" s="19">
        <v>6330.16</v>
      </c>
      <c r="V119" s="19">
        <v>0</v>
      </c>
      <c r="W119" s="19">
        <v>0</v>
      </c>
      <c r="X119" s="19">
        <v>0</v>
      </c>
      <c r="Y119" s="19">
        <v>12660.32</v>
      </c>
      <c r="Z119" s="19">
        <v>0</v>
      </c>
      <c r="AA119" s="19" t="s">
        <v>135</v>
      </c>
      <c r="AB119" s="19" t="s">
        <v>1091</v>
      </c>
      <c r="AC119" s="19">
        <v>63053200</v>
      </c>
      <c r="AD119" s="19" t="s">
        <v>1092</v>
      </c>
      <c r="AE119" s="19">
        <v>1</v>
      </c>
      <c r="AF119" s="19">
        <v>229</v>
      </c>
      <c r="AG119" s="19" t="s">
        <v>1093</v>
      </c>
      <c r="AH119" s="19" t="s">
        <v>50</v>
      </c>
      <c r="AI119" s="19"/>
    </row>
    <row r="120" spans="2:35" x14ac:dyDescent="0.35">
      <c r="B120" s="82">
        <v>46213</v>
      </c>
      <c r="C120" s="19" t="s">
        <v>1084</v>
      </c>
      <c r="D120" s="19" t="s">
        <v>11</v>
      </c>
      <c r="E120" s="83">
        <v>436</v>
      </c>
      <c r="F120" s="19" t="s">
        <v>1085</v>
      </c>
      <c r="G120" s="19" t="s">
        <v>1278</v>
      </c>
      <c r="H120" s="76">
        <v>46213</v>
      </c>
      <c r="I120" s="19" t="s">
        <v>49</v>
      </c>
      <c r="J120" s="19" t="s">
        <v>50</v>
      </c>
      <c r="K120" s="19" t="s">
        <v>50</v>
      </c>
      <c r="L120" s="19" t="s">
        <v>1095</v>
      </c>
      <c r="M120" s="19" t="s">
        <v>1098</v>
      </c>
      <c r="N120" s="19">
        <v>1234.2</v>
      </c>
      <c r="O120" s="19">
        <v>325544.93</v>
      </c>
      <c r="P120" s="19" t="s">
        <v>1279</v>
      </c>
      <c r="Q120" s="19">
        <v>0</v>
      </c>
      <c r="R120" s="19">
        <v>9</v>
      </c>
      <c r="S120" s="19">
        <v>29299.040000000001</v>
      </c>
      <c r="T120" s="19">
        <v>9</v>
      </c>
      <c r="U120" s="19">
        <v>29299.040000000001</v>
      </c>
      <c r="V120" s="19">
        <v>0</v>
      </c>
      <c r="W120" s="19">
        <v>0</v>
      </c>
      <c r="X120" s="19">
        <v>0</v>
      </c>
      <c r="Y120" s="19">
        <v>58598.080000000002</v>
      </c>
      <c r="Z120" s="19">
        <v>0</v>
      </c>
      <c r="AA120" s="19" t="s">
        <v>135</v>
      </c>
      <c r="AB120" s="19" t="s">
        <v>1091</v>
      </c>
      <c r="AC120" s="19">
        <v>63053200</v>
      </c>
      <c r="AD120" s="19" t="s">
        <v>1092</v>
      </c>
      <c r="AE120" s="19">
        <v>1</v>
      </c>
      <c r="AF120" s="19">
        <v>1234.2</v>
      </c>
      <c r="AG120" s="19" t="s">
        <v>1093</v>
      </c>
      <c r="AH120" s="19" t="s">
        <v>50</v>
      </c>
      <c r="AI120" s="19"/>
    </row>
    <row r="121" spans="2:35" x14ac:dyDescent="0.35">
      <c r="B121" s="82">
        <v>46213</v>
      </c>
      <c r="C121" s="19" t="s">
        <v>1084</v>
      </c>
      <c r="D121" s="19" t="s">
        <v>11</v>
      </c>
      <c r="E121" s="83">
        <v>436</v>
      </c>
      <c r="F121" s="19" t="s">
        <v>1085</v>
      </c>
      <c r="G121" s="19" t="s">
        <v>1278</v>
      </c>
      <c r="H121" s="76">
        <v>46213</v>
      </c>
      <c r="I121" s="19" t="s">
        <v>49</v>
      </c>
      <c r="J121" s="19" t="s">
        <v>50</v>
      </c>
      <c r="K121" s="19" t="s">
        <v>50</v>
      </c>
      <c r="L121" s="19" t="s">
        <v>1095</v>
      </c>
      <c r="M121" s="19" t="s">
        <v>1098</v>
      </c>
      <c r="N121" s="19">
        <v>1236</v>
      </c>
      <c r="O121" s="19">
        <v>325537.68</v>
      </c>
      <c r="P121" s="19" t="s">
        <v>1250</v>
      </c>
      <c r="Q121" s="19">
        <v>0</v>
      </c>
      <c r="R121" s="19">
        <v>9</v>
      </c>
      <c r="S121" s="19">
        <v>29298.39</v>
      </c>
      <c r="T121" s="19">
        <v>9</v>
      </c>
      <c r="U121" s="19">
        <v>29298.39</v>
      </c>
      <c r="V121" s="19">
        <v>0</v>
      </c>
      <c r="W121" s="19">
        <v>0</v>
      </c>
      <c r="X121" s="19">
        <v>0</v>
      </c>
      <c r="Y121" s="19">
        <v>58596.78</v>
      </c>
      <c r="Z121" s="19">
        <v>0</v>
      </c>
      <c r="AA121" s="19" t="s">
        <v>135</v>
      </c>
      <c r="AB121" s="19" t="s">
        <v>1091</v>
      </c>
      <c r="AC121" s="19">
        <v>63053200</v>
      </c>
      <c r="AD121" s="19" t="s">
        <v>1092</v>
      </c>
      <c r="AE121" s="19">
        <v>1</v>
      </c>
      <c r="AF121" s="19">
        <v>1236</v>
      </c>
      <c r="AG121" s="19" t="s">
        <v>1093</v>
      </c>
      <c r="AH121" s="19" t="s">
        <v>50</v>
      </c>
      <c r="AI121" s="19"/>
    </row>
    <row r="122" spans="2:35" x14ac:dyDescent="0.35">
      <c r="B122" s="82">
        <v>46213</v>
      </c>
      <c r="C122" s="19" t="s">
        <v>1084</v>
      </c>
      <c r="D122" s="19" t="s">
        <v>11</v>
      </c>
      <c r="E122" s="83">
        <v>436</v>
      </c>
      <c r="F122" s="19" t="s">
        <v>1085</v>
      </c>
      <c r="G122" s="19" t="s">
        <v>1278</v>
      </c>
      <c r="H122" s="76">
        <v>46213</v>
      </c>
      <c r="I122" s="19" t="s">
        <v>49</v>
      </c>
      <c r="J122" s="19" t="s">
        <v>50</v>
      </c>
      <c r="K122" s="19" t="s">
        <v>50</v>
      </c>
      <c r="L122" s="19" t="s">
        <v>1095</v>
      </c>
      <c r="M122" s="19" t="s">
        <v>1098</v>
      </c>
      <c r="N122" s="19">
        <v>906.1</v>
      </c>
      <c r="O122" s="19">
        <v>240841.38</v>
      </c>
      <c r="P122" s="19" t="s">
        <v>1280</v>
      </c>
      <c r="Q122" s="19">
        <v>0</v>
      </c>
      <c r="R122" s="19">
        <v>9</v>
      </c>
      <c r="S122" s="19">
        <v>21675.72</v>
      </c>
      <c r="T122" s="19">
        <v>9</v>
      </c>
      <c r="U122" s="19">
        <v>21675.72</v>
      </c>
      <c r="V122" s="19">
        <v>0</v>
      </c>
      <c r="W122" s="19">
        <v>0</v>
      </c>
      <c r="X122" s="19">
        <v>0</v>
      </c>
      <c r="Y122" s="19">
        <v>43351.44</v>
      </c>
      <c r="Z122" s="19">
        <v>0</v>
      </c>
      <c r="AA122" s="19" t="s">
        <v>135</v>
      </c>
      <c r="AB122" s="19" t="s">
        <v>1091</v>
      </c>
      <c r="AC122" s="19">
        <v>63053200</v>
      </c>
      <c r="AD122" s="19" t="s">
        <v>1092</v>
      </c>
      <c r="AE122" s="19">
        <v>1</v>
      </c>
      <c r="AF122" s="19">
        <v>906.1</v>
      </c>
      <c r="AG122" s="19" t="s">
        <v>1093</v>
      </c>
      <c r="AH122" s="19" t="s">
        <v>50</v>
      </c>
      <c r="AI122" s="19"/>
    </row>
    <row r="123" spans="2:35" x14ac:dyDescent="0.35">
      <c r="B123" s="82">
        <v>46213</v>
      </c>
      <c r="C123" s="19" t="s">
        <v>1084</v>
      </c>
      <c r="D123" s="19" t="s">
        <v>11</v>
      </c>
      <c r="E123" s="83">
        <v>436</v>
      </c>
      <c r="F123" s="19" t="s">
        <v>1085</v>
      </c>
      <c r="G123" s="19" t="s">
        <v>1278</v>
      </c>
      <c r="H123" s="76">
        <v>46213</v>
      </c>
      <c r="I123" s="19" t="s">
        <v>49</v>
      </c>
      <c r="J123" s="19" t="s">
        <v>50</v>
      </c>
      <c r="K123" s="19" t="s">
        <v>50</v>
      </c>
      <c r="L123" s="19" t="s">
        <v>1095</v>
      </c>
      <c r="M123" s="19" t="s">
        <v>1098</v>
      </c>
      <c r="N123" s="19">
        <v>1631.2</v>
      </c>
      <c r="O123" s="19">
        <v>464467.89</v>
      </c>
      <c r="P123" s="19" t="s">
        <v>1281</v>
      </c>
      <c r="Q123" s="19">
        <v>0</v>
      </c>
      <c r="R123" s="19">
        <v>9</v>
      </c>
      <c r="S123" s="19">
        <v>41802.11</v>
      </c>
      <c r="T123" s="19">
        <v>9</v>
      </c>
      <c r="U123" s="19">
        <v>41802.11</v>
      </c>
      <c r="V123" s="19">
        <v>0</v>
      </c>
      <c r="W123" s="19">
        <v>0</v>
      </c>
      <c r="X123" s="19">
        <v>0</v>
      </c>
      <c r="Y123" s="19">
        <v>83604.22</v>
      </c>
      <c r="Z123" s="19">
        <v>0</v>
      </c>
      <c r="AA123" s="19" t="s">
        <v>135</v>
      </c>
      <c r="AB123" s="19" t="s">
        <v>1091</v>
      </c>
      <c r="AC123" s="19">
        <v>63053200</v>
      </c>
      <c r="AD123" s="19" t="s">
        <v>1092</v>
      </c>
      <c r="AE123" s="19">
        <v>1</v>
      </c>
      <c r="AF123" s="19">
        <v>1631.2</v>
      </c>
      <c r="AG123" s="19" t="s">
        <v>1093</v>
      </c>
      <c r="AH123" s="19" t="s">
        <v>50</v>
      </c>
      <c r="AI123" s="19"/>
    </row>
    <row r="124" spans="2:35" x14ac:dyDescent="0.35">
      <c r="B124" s="82">
        <v>46213</v>
      </c>
      <c r="C124" s="19" t="s">
        <v>1084</v>
      </c>
      <c r="D124" s="19" t="s">
        <v>11</v>
      </c>
      <c r="E124" s="83">
        <v>436</v>
      </c>
      <c r="F124" s="19" t="s">
        <v>1085</v>
      </c>
      <c r="G124" s="19" t="s">
        <v>1278</v>
      </c>
      <c r="H124" s="76">
        <v>46213</v>
      </c>
      <c r="I124" s="19" t="s">
        <v>49</v>
      </c>
      <c r="J124" s="19" t="s">
        <v>50</v>
      </c>
      <c r="K124" s="19" t="s">
        <v>50</v>
      </c>
      <c r="L124" s="19" t="s">
        <v>1095</v>
      </c>
      <c r="M124" s="19" t="s">
        <v>1098</v>
      </c>
      <c r="N124" s="19">
        <v>1321.1</v>
      </c>
      <c r="O124" s="19">
        <v>316416.65999999997</v>
      </c>
      <c r="P124" s="19" t="s">
        <v>1282</v>
      </c>
      <c r="Q124" s="19">
        <v>0</v>
      </c>
      <c r="R124" s="19">
        <v>9</v>
      </c>
      <c r="S124" s="19">
        <v>28477.5</v>
      </c>
      <c r="T124" s="19">
        <v>9</v>
      </c>
      <c r="U124" s="19">
        <v>28477.5</v>
      </c>
      <c r="V124" s="19">
        <v>0</v>
      </c>
      <c r="W124" s="19">
        <v>0</v>
      </c>
      <c r="X124" s="19">
        <v>0</v>
      </c>
      <c r="Y124" s="19">
        <v>56955</v>
      </c>
      <c r="Z124" s="19">
        <v>0</v>
      </c>
      <c r="AA124" s="19" t="s">
        <v>135</v>
      </c>
      <c r="AB124" s="19" t="s">
        <v>1091</v>
      </c>
      <c r="AC124" s="19">
        <v>63053200</v>
      </c>
      <c r="AD124" s="19" t="s">
        <v>1092</v>
      </c>
      <c r="AE124" s="19">
        <v>1</v>
      </c>
      <c r="AF124" s="19">
        <v>1321.1</v>
      </c>
      <c r="AG124" s="19" t="s">
        <v>1093</v>
      </c>
      <c r="AH124" s="19" t="s">
        <v>50</v>
      </c>
      <c r="AI124" s="19"/>
    </row>
    <row r="125" spans="2:35" x14ac:dyDescent="0.35">
      <c r="B125" s="82">
        <v>46213</v>
      </c>
      <c r="C125" s="19" t="s">
        <v>1136</v>
      </c>
      <c r="D125" s="19" t="s">
        <v>11</v>
      </c>
      <c r="E125" s="83">
        <v>432</v>
      </c>
      <c r="F125" s="19" t="s">
        <v>1085</v>
      </c>
      <c r="G125" s="19" t="s">
        <v>1283</v>
      </c>
      <c r="H125" s="76">
        <v>46213</v>
      </c>
      <c r="I125" s="19" t="s">
        <v>36</v>
      </c>
      <c r="J125" s="19" t="s">
        <v>1117</v>
      </c>
      <c r="K125" s="19" t="s">
        <v>42</v>
      </c>
      <c r="L125" s="19" t="s">
        <v>1242</v>
      </c>
      <c r="M125" s="19" t="s">
        <v>1154</v>
      </c>
      <c r="N125" s="19">
        <v>550.4</v>
      </c>
      <c r="O125" s="19">
        <v>85394.559999999998</v>
      </c>
      <c r="P125" s="19" t="s">
        <v>1284</v>
      </c>
      <c r="Q125" s="19">
        <v>448314.07</v>
      </c>
      <c r="R125" s="19">
        <v>9</v>
      </c>
      <c r="S125" s="19">
        <v>7685.51</v>
      </c>
      <c r="T125" s="19">
        <v>9</v>
      </c>
      <c r="U125" s="19">
        <v>7685.51</v>
      </c>
      <c r="V125" s="19">
        <v>0</v>
      </c>
      <c r="W125" s="19">
        <v>0</v>
      </c>
      <c r="X125" s="19">
        <v>0</v>
      </c>
      <c r="Y125" s="19">
        <v>15371.02</v>
      </c>
      <c r="Z125" s="19">
        <v>0</v>
      </c>
      <c r="AA125" s="19" t="s">
        <v>135</v>
      </c>
      <c r="AB125" s="19" t="s">
        <v>1091</v>
      </c>
      <c r="AC125" s="19">
        <v>39269080</v>
      </c>
      <c r="AD125" s="19" t="s">
        <v>1092</v>
      </c>
      <c r="AE125" s="19">
        <v>1</v>
      </c>
      <c r="AF125" s="19">
        <v>550.4</v>
      </c>
      <c r="AG125" s="19" t="s">
        <v>1093</v>
      </c>
      <c r="AH125" s="19" t="s">
        <v>42</v>
      </c>
      <c r="AI125" s="19"/>
    </row>
    <row r="126" spans="2:35" x14ac:dyDescent="0.35">
      <c r="B126" s="82">
        <v>46213</v>
      </c>
      <c r="C126" s="19" t="s">
        <v>1136</v>
      </c>
      <c r="D126" s="19" t="s">
        <v>11</v>
      </c>
      <c r="E126" s="83">
        <v>432</v>
      </c>
      <c r="F126" s="19" t="s">
        <v>1085</v>
      </c>
      <c r="G126" s="19" t="s">
        <v>1283</v>
      </c>
      <c r="H126" s="76">
        <v>46213</v>
      </c>
      <c r="I126" s="19" t="s">
        <v>36</v>
      </c>
      <c r="J126" s="19" t="s">
        <v>1156</v>
      </c>
      <c r="K126" s="19" t="s">
        <v>45</v>
      </c>
      <c r="L126" s="19" t="s">
        <v>1157</v>
      </c>
      <c r="M126" s="19" t="s">
        <v>1156</v>
      </c>
      <c r="N126" s="19">
        <v>1864.4</v>
      </c>
      <c r="O126" s="19">
        <v>294854.86</v>
      </c>
      <c r="P126" s="19" t="s">
        <v>1182</v>
      </c>
      <c r="Q126" s="19">
        <v>0</v>
      </c>
      <c r="R126" s="19">
        <v>9</v>
      </c>
      <c r="S126" s="19">
        <v>26536.94</v>
      </c>
      <c r="T126" s="19">
        <v>9</v>
      </c>
      <c r="U126" s="19">
        <v>26536.94</v>
      </c>
      <c r="V126" s="19">
        <v>0</v>
      </c>
      <c r="W126" s="19">
        <v>0</v>
      </c>
      <c r="X126" s="19">
        <v>0</v>
      </c>
      <c r="Y126" s="19">
        <v>53073.88</v>
      </c>
      <c r="Z126" s="19">
        <v>0</v>
      </c>
      <c r="AA126" s="19" t="s">
        <v>135</v>
      </c>
      <c r="AB126" s="19" t="s">
        <v>1091</v>
      </c>
      <c r="AC126" s="19">
        <v>39269080</v>
      </c>
      <c r="AD126" s="19" t="s">
        <v>1092</v>
      </c>
      <c r="AE126" s="19">
        <v>1</v>
      </c>
      <c r="AF126" s="19">
        <v>1864.4</v>
      </c>
      <c r="AG126" s="19" t="s">
        <v>1093</v>
      </c>
      <c r="AH126" s="19" t="s">
        <v>45</v>
      </c>
      <c r="AI126" s="19"/>
    </row>
    <row r="127" spans="2:35" hidden="1" x14ac:dyDescent="0.35">
      <c r="B127" s="82">
        <v>46213</v>
      </c>
      <c r="C127" s="19" t="s">
        <v>1136</v>
      </c>
      <c r="D127" s="19" t="s">
        <v>11</v>
      </c>
      <c r="E127" s="83">
        <v>433</v>
      </c>
      <c r="F127" s="19" t="s">
        <v>1124</v>
      </c>
      <c r="G127" s="19" t="s">
        <v>1285</v>
      </c>
      <c r="H127" s="76">
        <v>46213</v>
      </c>
      <c r="I127" s="19" t="s">
        <v>105</v>
      </c>
      <c r="J127" s="19" t="s">
        <v>1142</v>
      </c>
      <c r="K127" s="19" t="s">
        <v>1143</v>
      </c>
      <c r="L127" s="19" t="s">
        <v>1144</v>
      </c>
      <c r="M127" s="19" t="s">
        <v>1145</v>
      </c>
      <c r="N127" s="19">
        <v>11</v>
      </c>
      <c r="O127" s="19">
        <v>528</v>
      </c>
      <c r="P127" s="19" t="s">
        <v>1139</v>
      </c>
      <c r="Q127" s="19">
        <v>622.51</v>
      </c>
      <c r="R127" s="19">
        <v>9</v>
      </c>
      <c r="S127" s="19">
        <v>47.52</v>
      </c>
      <c r="T127" s="19">
        <v>9</v>
      </c>
      <c r="U127" s="19">
        <v>47.52</v>
      </c>
      <c r="V127" s="19">
        <v>0</v>
      </c>
      <c r="W127" s="19">
        <v>0</v>
      </c>
      <c r="X127" s="19">
        <v>0</v>
      </c>
      <c r="Y127" s="19">
        <v>95.04</v>
      </c>
      <c r="Z127" s="19">
        <v>0</v>
      </c>
      <c r="AA127" s="19" t="s">
        <v>135</v>
      </c>
      <c r="AB127" s="19" t="s">
        <v>1091</v>
      </c>
      <c r="AC127" s="19">
        <v>73063090</v>
      </c>
      <c r="AD127" s="19" t="s">
        <v>1092</v>
      </c>
      <c r="AE127" s="19">
        <v>1</v>
      </c>
      <c r="AF127" s="19">
        <v>11</v>
      </c>
      <c r="AG127" s="19" t="s">
        <v>1093</v>
      </c>
      <c r="AH127" s="83" t="s">
        <v>2319</v>
      </c>
      <c r="AI127" s="19"/>
    </row>
    <row r="128" spans="2:35" x14ac:dyDescent="0.35">
      <c r="B128" s="82">
        <v>46213</v>
      </c>
      <c r="C128" s="19" t="s">
        <v>1189</v>
      </c>
      <c r="D128" s="19" t="s">
        <v>1109</v>
      </c>
      <c r="E128" s="83" t="s">
        <v>1286</v>
      </c>
      <c r="F128" s="19" t="s">
        <v>1111</v>
      </c>
      <c r="G128" s="19" t="s">
        <v>1286</v>
      </c>
      <c r="H128" s="76">
        <v>46213</v>
      </c>
      <c r="I128" s="19" t="s">
        <v>49</v>
      </c>
      <c r="J128" s="19" t="s">
        <v>50</v>
      </c>
      <c r="K128" s="19" t="s">
        <v>50</v>
      </c>
      <c r="L128" s="19" t="s">
        <v>1095</v>
      </c>
      <c r="M128" s="19" t="s">
        <v>1098</v>
      </c>
      <c r="N128" s="19">
        <v>3074</v>
      </c>
      <c r="O128" s="19">
        <v>590920</v>
      </c>
      <c r="P128" s="19" t="s">
        <v>1287</v>
      </c>
      <c r="Q128" s="19">
        <v>590920</v>
      </c>
      <c r="R128" s="19">
        <v>0</v>
      </c>
      <c r="S128" s="19">
        <v>0</v>
      </c>
      <c r="T128" s="19">
        <v>0</v>
      </c>
      <c r="U128" s="19">
        <v>0</v>
      </c>
      <c r="V128" s="19">
        <v>18</v>
      </c>
      <c r="W128" s="19">
        <v>106365.6</v>
      </c>
      <c r="X128" s="19">
        <v>0.17</v>
      </c>
      <c r="Y128" s="19">
        <v>106365.76999999999</v>
      </c>
      <c r="Z128" s="19">
        <v>0</v>
      </c>
      <c r="AA128" s="19" t="s">
        <v>229</v>
      </c>
      <c r="AB128" s="19" t="s">
        <v>1091</v>
      </c>
      <c r="AC128" s="19">
        <v>63053200</v>
      </c>
      <c r="AD128" s="19" t="s">
        <v>1113</v>
      </c>
      <c r="AE128" s="19">
        <v>93.5</v>
      </c>
      <c r="AF128" s="19">
        <v>3074</v>
      </c>
      <c r="AG128" s="19" t="s">
        <v>1191</v>
      </c>
      <c r="AH128" s="19" t="s">
        <v>50</v>
      </c>
      <c r="AI128" s="19"/>
    </row>
    <row r="129" spans="2:35" x14ac:dyDescent="0.35">
      <c r="B129" s="82">
        <v>46213</v>
      </c>
      <c r="C129" s="19" t="s">
        <v>1146</v>
      </c>
      <c r="D129" s="19" t="s">
        <v>1129</v>
      </c>
      <c r="E129" s="83" t="s">
        <v>1288</v>
      </c>
      <c r="F129" s="19" t="s">
        <v>1131</v>
      </c>
      <c r="G129" s="19" t="s">
        <v>1288</v>
      </c>
      <c r="H129" s="76">
        <v>46213</v>
      </c>
      <c r="I129" s="19" t="s">
        <v>36</v>
      </c>
      <c r="J129" s="19" t="s">
        <v>1117</v>
      </c>
      <c r="K129" s="19" t="s">
        <v>44</v>
      </c>
      <c r="L129" s="19" t="s">
        <v>1118</v>
      </c>
      <c r="M129" s="19" t="s">
        <v>1119</v>
      </c>
      <c r="N129" s="19">
        <v>68</v>
      </c>
      <c r="O129" s="19">
        <v>3264</v>
      </c>
      <c r="P129" s="19" t="s">
        <v>1118</v>
      </c>
      <c r="Q129" s="19">
        <v>14922.24</v>
      </c>
      <c r="R129" s="19">
        <v>9</v>
      </c>
      <c r="S129" s="19">
        <v>293.76</v>
      </c>
      <c r="T129" s="19">
        <v>9</v>
      </c>
      <c r="U129" s="19">
        <v>293.76</v>
      </c>
      <c r="V129" s="19">
        <v>0</v>
      </c>
      <c r="W129" s="19">
        <v>0</v>
      </c>
      <c r="X129" s="19">
        <v>0</v>
      </c>
      <c r="Y129" s="19">
        <v>587.52</v>
      </c>
      <c r="Z129" s="19">
        <v>0</v>
      </c>
      <c r="AA129" s="19" t="s">
        <v>1149</v>
      </c>
      <c r="AB129" s="19" t="s">
        <v>1091</v>
      </c>
      <c r="AC129" s="19">
        <v>998852</v>
      </c>
      <c r="AD129" s="19" t="s">
        <v>1092</v>
      </c>
      <c r="AE129" s="19">
        <v>1</v>
      </c>
      <c r="AF129" s="19">
        <v>68</v>
      </c>
      <c r="AG129" s="19" t="s">
        <v>1093</v>
      </c>
      <c r="AH129" s="19" t="s">
        <v>44</v>
      </c>
      <c r="AI129" s="19"/>
    </row>
    <row r="130" spans="2:35" x14ac:dyDescent="0.35">
      <c r="B130" s="82">
        <v>46213</v>
      </c>
      <c r="C130" s="19" t="s">
        <v>1146</v>
      </c>
      <c r="D130" s="19" t="s">
        <v>1129</v>
      </c>
      <c r="E130" s="83" t="s">
        <v>1288</v>
      </c>
      <c r="F130" s="19" t="s">
        <v>1131</v>
      </c>
      <c r="G130" s="19" t="s">
        <v>1288</v>
      </c>
      <c r="H130" s="76">
        <v>46213</v>
      </c>
      <c r="I130" s="19" t="s">
        <v>36</v>
      </c>
      <c r="J130" s="19" t="s">
        <v>1117</v>
      </c>
      <c r="K130" s="19" t="s">
        <v>44</v>
      </c>
      <c r="L130" s="19" t="s">
        <v>1118</v>
      </c>
      <c r="M130" s="19" t="s">
        <v>1119</v>
      </c>
      <c r="N130" s="19">
        <v>1</v>
      </c>
      <c r="O130" s="19">
        <v>48</v>
      </c>
      <c r="P130" s="19" t="s">
        <v>1118</v>
      </c>
      <c r="Q130" s="19">
        <v>0</v>
      </c>
      <c r="R130" s="19">
        <v>9</v>
      </c>
      <c r="S130" s="19">
        <v>4.32</v>
      </c>
      <c r="T130" s="19">
        <v>9</v>
      </c>
      <c r="U130" s="19">
        <v>4.32</v>
      </c>
      <c r="V130" s="19">
        <v>0</v>
      </c>
      <c r="W130" s="19">
        <v>0</v>
      </c>
      <c r="X130" s="19">
        <v>0</v>
      </c>
      <c r="Y130" s="19">
        <v>8.64</v>
      </c>
      <c r="Z130" s="19">
        <v>0</v>
      </c>
      <c r="AA130" s="19" t="s">
        <v>1149</v>
      </c>
      <c r="AB130" s="19" t="s">
        <v>1289</v>
      </c>
      <c r="AC130" s="19">
        <v>998852</v>
      </c>
      <c r="AD130" s="19" t="s">
        <v>1092</v>
      </c>
      <c r="AE130" s="19">
        <v>1</v>
      </c>
      <c r="AF130" s="19">
        <v>1</v>
      </c>
      <c r="AG130" s="19" t="s">
        <v>1093</v>
      </c>
      <c r="AH130" s="19" t="s">
        <v>44</v>
      </c>
      <c r="AI130" s="19"/>
    </row>
    <row r="131" spans="2:35" x14ac:dyDescent="0.35">
      <c r="B131" s="82">
        <v>46213</v>
      </c>
      <c r="C131" s="19" t="s">
        <v>1146</v>
      </c>
      <c r="D131" s="19" t="s">
        <v>1129</v>
      </c>
      <c r="E131" s="83" t="s">
        <v>1288</v>
      </c>
      <c r="F131" s="19" t="s">
        <v>1131</v>
      </c>
      <c r="G131" s="19" t="s">
        <v>1288</v>
      </c>
      <c r="H131" s="76">
        <v>46213</v>
      </c>
      <c r="I131" s="19" t="s">
        <v>36</v>
      </c>
      <c r="J131" s="19" t="s">
        <v>1117</v>
      </c>
      <c r="K131" s="19" t="s">
        <v>44</v>
      </c>
      <c r="L131" s="19" t="s">
        <v>1118</v>
      </c>
      <c r="M131" s="19" t="s">
        <v>1119</v>
      </c>
      <c r="N131" s="19">
        <v>199</v>
      </c>
      <c r="O131" s="19">
        <v>9552</v>
      </c>
      <c r="P131" s="19" t="s">
        <v>1118</v>
      </c>
      <c r="Q131" s="19">
        <v>0</v>
      </c>
      <c r="R131" s="19">
        <v>9</v>
      </c>
      <c r="S131" s="19">
        <v>859.68</v>
      </c>
      <c r="T131" s="19">
        <v>9</v>
      </c>
      <c r="U131" s="19">
        <v>859.68</v>
      </c>
      <c r="V131" s="19">
        <v>0</v>
      </c>
      <c r="W131" s="19">
        <v>0</v>
      </c>
      <c r="X131" s="19">
        <v>0</v>
      </c>
      <c r="Y131" s="19">
        <v>1719.36</v>
      </c>
      <c r="Z131" s="19">
        <v>0</v>
      </c>
      <c r="AA131" s="19" t="s">
        <v>1149</v>
      </c>
      <c r="AB131" s="19" t="s">
        <v>1091</v>
      </c>
      <c r="AC131" s="19">
        <v>998852</v>
      </c>
      <c r="AD131" s="19" t="s">
        <v>1092</v>
      </c>
      <c r="AE131" s="19">
        <v>1</v>
      </c>
      <c r="AF131" s="19">
        <v>199</v>
      </c>
      <c r="AG131" s="19" t="s">
        <v>1093</v>
      </c>
      <c r="AH131" s="19" t="s">
        <v>44</v>
      </c>
      <c r="AI131" s="19"/>
    </row>
    <row r="132" spans="2:35" x14ac:dyDescent="0.35">
      <c r="B132" s="82">
        <v>46214</v>
      </c>
      <c r="C132" s="19" t="s">
        <v>1222</v>
      </c>
      <c r="D132" s="19" t="s">
        <v>1109</v>
      </c>
      <c r="E132" s="83" t="s">
        <v>1290</v>
      </c>
      <c r="F132" s="19" t="s">
        <v>1291</v>
      </c>
      <c r="G132" s="19" t="s">
        <v>1290</v>
      </c>
      <c r="H132" s="76">
        <v>46214</v>
      </c>
      <c r="I132" s="19" t="s">
        <v>49</v>
      </c>
      <c r="J132" s="19" t="s">
        <v>50</v>
      </c>
      <c r="K132" s="19" t="s">
        <v>50</v>
      </c>
      <c r="L132" s="19" t="s">
        <v>1095</v>
      </c>
      <c r="M132" s="19" t="s">
        <v>1098</v>
      </c>
      <c r="N132" s="19">
        <v>8683.4</v>
      </c>
      <c r="O132" s="19">
        <v>2945250</v>
      </c>
      <c r="P132" s="19" t="s">
        <v>1112</v>
      </c>
      <c r="Q132" s="19">
        <v>2945250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 t="s">
        <v>229</v>
      </c>
      <c r="AB132" s="19" t="s">
        <v>1091</v>
      </c>
      <c r="AC132" s="19">
        <v>63053200</v>
      </c>
      <c r="AD132" s="19" t="s">
        <v>1113</v>
      </c>
      <c r="AE132" s="19">
        <v>93.5</v>
      </c>
      <c r="AF132" s="19">
        <v>8683.4</v>
      </c>
      <c r="AG132" s="19" t="s">
        <v>1114</v>
      </c>
      <c r="AH132" s="19" t="s">
        <v>50</v>
      </c>
      <c r="AI132" s="19"/>
    </row>
    <row r="133" spans="2:35" x14ac:dyDescent="0.35">
      <c r="B133" s="82">
        <v>46214</v>
      </c>
      <c r="C133" s="19" t="s">
        <v>1292</v>
      </c>
      <c r="D133" s="19" t="s">
        <v>1109</v>
      </c>
      <c r="E133" s="83" t="s">
        <v>1293</v>
      </c>
      <c r="F133" s="19" t="s">
        <v>1111</v>
      </c>
      <c r="G133" s="19" t="s">
        <v>1293</v>
      </c>
      <c r="H133" s="76">
        <v>46214</v>
      </c>
      <c r="I133" s="19" t="s">
        <v>49</v>
      </c>
      <c r="J133" s="19" t="s">
        <v>50</v>
      </c>
      <c r="K133" s="19" t="s">
        <v>50</v>
      </c>
      <c r="L133" s="19" t="s">
        <v>1095</v>
      </c>
      <c r="M133" s="19" t="s">
        <v>1098</v>
      </c>
      <c r="N133" s="19">
        <v>20053</v>
      </c>
      <c r="O133" s="19">
        <v>3929692.8000000003</v>
      </c>
      <c r="P133" s="19" t="s">
        <v>1112</v>
      </c>
      <c r="Q133" s="19">
        <v>3929692.8</v>
      </c>
      <c r="R133" s="19">
        <v>0</v>
      </c>
      <c r="S133" s="19">
        <v>0</v>
      </c>
      <c r="T133" s="19">
        <v>0</v>
      </c>
      <c r="U133" s="19">
        <v>0</v>
      </c>
      <c r="V133" s="19">
        <v>18</v>
      </c>
      <c r="W133" s="19">
        <v>707344.70400000003</v>
      </c>
      <c r="X133" s="19">
        <v>0.17</v>
      </c>
      <c r="Y133" s="19">
        <v>707344.87400000007</v>
      </c>
      <c r="Z133" s="19">
        <v>0</v>
      </c>
      <c r="AA133" s="19" t="s">
        <v>229</v>
      </c>
      <c r="AB133" s="19" t="s">
        <v>1091</v>
      </c>
      <c r="AC133" s="19">
        <v>63053200</v>
      </c>
      <c r="AD133" s="19" t="s">
        <v>1113</v>
      </c>
      <c r="AE133" s="19">
        <v>93.5</v>
      </c>
      <c r="AF133" s="19">
        <v>20053</v>
      </c>
      <c r="AG133" s="19" t="s">
        <v>1294</v>
      </c>
      <c r="AH133" s="19" t="s">
        <v>50</v>
      </c>
      <c r="AI133" s="19"/>
    </row>
    <row r="134" spans="2:35" x14ac:dyDescent="0.35">
      <c r="B134" s="82">
        <v>46214</v>
      </c>
      <c r="C134" s="19" t="s">
        <v>1136</v>
      </c>
      <c r="D134" s="19" t="s">
        <v>11</v>
      </c>
      <c r="E134" s="83">
        <v>438</v>
      </c>
      <c r="F134" s="19" t="s">
        <v>1085</v>
      </c>
      <c r="G134" s="19" t="s">
        <v>1295</v>
      </c>
      <c r="H134" s="76">
        <v>46214</v>
      </c>
      <c r="I134" s="19" t="s">
        <v>36</v>
      </c>
      <c r="J134" s="19" t="s">
        <v>1117</v>
      </c>
      <c r="K134" s="19" t="s">
        <v>44</v>
      </c>
      <c r="L134" s="19" t="s">
        <v>1118</v>
      </c>
      <c r="M134" s="19" t="s">
        <v>1119</v>
      </c>
      <c r="N134" s="19">
        <v>604.9</v>
      </c>
      <c r="O134" s="19">
        <v>99294.34</v>
      </c>
      <c r="P134" s="19" t="s">
        <v>1296</v>
      </c>
      <c r="Q134" s="19">
        <v>617222.56000000006</v>
      </c>
      <c r="R134" s="19">
        <v>9</v>
      </c>
      <c r="S134" s="19">
        <v>8936.49</v>
      </c>
      <c r="T134" s="19">
        <v>9</v>
      </c>
      <c r="U134" s="19">
        <v>8936.49</v>
      </c>
      <c r="V134" s="19">
        <v>0</v>
      </c>
      <c r="W134" s="19">
        <v>0</v>
      </c>
      <c r="X134" s="19">
        <v>0</v>
      </c>
      <c r="Y134" s="19">
        <v>17872.98</v>
      </c>
      <c r="Z134" s="19">
        <v>0</v>
      </c>
      <c r="AA134" s="19" t="s">
        <v>135</v>
      </c>
      <c r="AB134" s="19" t="s">
        <v>1091</v>
      </c>
      <c r="AC134" s="19">
        <v>39269080</v>
      </c>
      <c r="AD134" s="19" t="s">
        <v>1092</v>
      </c>
      <c r="AE134" s="19">
        <v>1</v>
      </c>
      <c r="AF134" s="19">
        <v>604.9</v>
      </c>
      <c r="AG134" s="19" t="s">
        <v>1093</v>
      </c>
      <c r="AH134" s="19" t="s">
        <v>44</v>
      </c>
      <c r="AI134" s="19"/>
    </row>
    <row r="135" spans="2:35" x14ac:dyDescent="0.35">
      <c r="B135" s="82">
        <v>46214</v>
      </c>
      <c r="C135" s="19" t="s">
        <v>1136</v>
      </c>
      <c r="D135" s="19" t="s">
        <v>11</v>
      </c>
      <c r="E135" s="83">
        <v>438</v>
      </c>
      <c r="F135" s="19" t="s">
        <v>1085</v>
      </c>
      <c r="G135" s="19" t="s">
        <v>1295</v>
      </c>
      <c r="H135" s="76">
        <v>46214</v>
      </c>
      <c r="I135" s="19" t="s">
        <v>36</v>
      </c>
      <c r="J135" s="19" t="s">
        <v>1087</v>
      </c>
      <c r="K135" s="19" t="s">
        <v>46</v>
      </c>
      <c r="L135" s="19" t="s">
        <v>1138</v>
      </c>
      <c r="M135" s="19" t="s">
        <v>1181</v>
      </c>
      <c r="N135" s="19">
        <v>475</v>
      </c>
      <c r="O135" s="19">
        <v>73221.25</v>
      </c>
      <c r="P135" s="19" t="s">
        <v>1182</v>
      </c>
      <c r="Q135" s="19">
        <v>0</v>
      </c>
      <c r="R135" s="19">
        <v>2.5</v>
      </c>
      <c r="S135" s="19">
        <v>1830.53</v>
      </c>
      <c r="T135" s="19">
        <v>2.5</v>
      </c>
      <c r="U135" s="19">
        <v>1830.53</v>
      </c>
      <c r="V135" s="19">
        <v>0</v>
      </c>
      <c r="W135" s="19">
        <v>0</v>
      </c>
      <c r="X135" s="19">
        <v>0</v>
      </c>
      <c r="Y135" s="19">
        <v>3661.06</v>
      </c>
      <c r="Z135" s="19">
        <v>0</v>
      </c>
      <c r="AA135" s="19" t="s">
        <v>135</v>
      </c>
      <c r="AB135" s="19" t="s">
        <v>1091</v>
      </c>
      <c r="AC135" s="19">
        <v>54026930</v>
      </c>
      <c r="AD135" s="19" t="s">
        <v>1092</v>
      </c>
      <c r="AE135" s="19">
        <v>1</v>
      </c>
      <c r="AF135" s="19">
        <v>475</v>
      </c>
      <c r="AG135" s="19" t="s">
        <v>1093</v>
      </c>
      <c r="AH135" s="19" t="s">
        <v>46</v>
      </c>
      <c r="AI135" s="19"/>
    </row>
    <row r="136" spans="2:35" x14ac:dyDescent="0.35">
      <c r="B136" s="82">
        <v>46214</v>
      </c>
      <c r="C136" s="19" t="s">
        <v>1136</v>
      </c>
      <c r="D136" s="19" t="s">
        <v>11</v>
      </c>
      <c r="E136" s="83">
        <v>438</v>
      </c>
      <c r="F136" s="19" t="s">
        <v>1085</v>
      </c>
      <c r="G136" s="19" t="s">
        <v>1295</v>
      </c>
      <c r="H136" s="76">
        <v>46214</v>
      </c>
      <c r="I136" s="19" t="s">
        <v>36</v>
      </c>
      <c r="J136" s="19" t="s">
        <v>1087</v>
      </c>
      <c r="K136" s="19" t="s">
        <v>46</v>
      </c>
      <c r="L136" s="19" t="s">
        <v>1138</v>
      </c>
      <c r="M136" s="19" t="s">
        <v>1089</v>
      </c>
      <c r="N136" s="19">
        <v>2670</v>
      </c>
      <c r="O136" s="19">
        <v>403570.5</v>
      </c>
      <c r="P136" s="19" t="s">
        <v>1090</v>
      </c>
      <c r="Q136" s="19">
        <v>0</v>
      </c>
      <c r="R136" s="19">
        <v>2.5</v>
      </c>
      <c r="S136" s="19">
        <v>10089.26</v>
      </c>
      <c r="T136" s="19">
        <v>2.5</v>
      </c>
      <c r="U136" s="19">
        <v>10089.26</v>
      </c>
      <c r="V136" s="19">
        <v>0</v>
      </c>
      <c r="W136" s="19">
        <v>0</v>
      </c>
      <c r="X136" s="19">
        <v>0</v>
      </c>
      <c r="Y136" s="19">
        <v>20178.52</v>
      </c>
      <c r="Z136" s="19">
        <v>0</v>
      </c>
      <c r="AA136" s="19" t="s">
        <v>135</v>
      </c>
      <c r="AB136" s="19" t="s">
        <v>1091</v>
      </c>
      <c r="AC136" s="19">
        <v>54026930</v>
      </c>
      <c r="AD136" s="19" t="s">
        <v>1092</v>
      </c>
      <c r="AE136" s="19">
        <v>1</v>
      </c>
      <c r="AF136" s="19">
        <v>2670</v>
      </c>
      <c r="AG136" s="19" t="s">
        <v>1093</v>
      </c>
      <c r="AH136" s="19" t="s">
        <v>46</v>
      </c>
      <c r="AI136" s="19"/>
    </row>
    <row r="137" spans="2:35" hidden="1" x14ac:dyDescent="0.35">
      <c r="B137" s="82">
        <v>46214</v>
      </c>
      <c r="C137" s="19" t="s">
        <v>1136</v>
      </c>
      <c r="D137" s="19" t="s">
        <v>11</v>
      </c>
      <c r="E137" s="83">
        <v>439</v>
      </c>
      <c r="F137" s="19" t="s">
        <v>1124</v>
      </c>
      <c r="G137" s="19" t="s">
        <v>1297</v>
      </c>
      <c r="H137" s="76">
        <v>46214</v>
      </c>
      <c r="I137" s="19" t="s">
        <v>105</v>
      </c>
      <c r="J137" s="19" t="s">
        <v>1142</v>
      </c>
      <c r="K137" s="19" t="s">
        <v>1143</v>
      </c>
      <c r="L137" s="19" t="s">
        <v>1144</v>
      </c>
      <c r="M137" s="19" t="s">
        <v>1145</v>
      </c>
      <c r="N137" s="19">
        <v>60</v>
      </c>
      <c r="O137" s="19">
        <v>2880</v>
      </c>
      <c r="P137" s="19" t="s">
        <v>1139</v>
      </c>
      <c r="Q137" s="19">
        <v>3395.52</v>
      </c>
      <c r="R137" s="19">
        <v>9</v>
      </c>
      <c r="S137" s="19">
        <v>259.2</v>
      </c>
      <c r="T137" s="19">
        <v>9</v>
      </c>
      <c r="U137" s="19">
        <v>259.2</v>
      </c>
      <c r="V137" s="19">
        <v>0</v>
      </c>
      <c r="W137" s="19">
        <v>0</v>
      </c>
      <c r="X137" s="19">
        <v>0</v>
      </c>
      <c r="Y137" s="19">
        <v>518.4</v>
      </c>
      <c r="Z137" s="19">
        <v>0</v>
      </c>
      <c r="AA137" s="19" t="s">
        <v>135</v>
      </c>
      <c r="AB137" s="19" t="s">
        <v>1091</v>
      </c>
      <c r="AC137" s="19">
        <v>73063090</v>
      </c>
      <c r="AD137" s="19" t="s">
        <v>1092</v>
      </c>
      <c r="AE137" s="19">
        <v>1</v>
      </c>
      <c r="AF137" s="19">
        <v>60</v>
      </c>
      <c r="AG137" s="19" t="s">
        <v>1093</v>
      </c>
      <c r="AH137" s="83" t="s">
        <v>2319</v>
      </c>
      <c r="AI137" s="19"/>
    </row>
    <row r="138" spans="2:35" x14ac:dyDescent="0.35">
      <c r="B138" s="82">
        <v>46215</v>
      </c>
      <c r="C138" s="19" t="s">
        <v>1224</v>
      </c>
      <c r="D138" s="19" t="s">
        <v>1109</v>
      </c>
      <c r="E138" s="83" t="s">
        <v>1298</v>
      </c>
      <c r="F138" s="19" t="s">
        <v>1111</v>
      </c>
      <c r="G138" s="19" t="s">
        <v>1298</v>
      </c>
      <c r="H138" s="76">
        <v>46215</v>
      </c>
      <c r="I138" s="19" t="s">
        <v>49</v>
      </c>
      <c r="J138" s="19" t="s">
        <v>50</v>
      </c>
      <c r="K138" s="19" t="s">
        <v>50</v>
      </c>
      <c r="L138" s="19" t="s">
        <v>1095</v>
      </c>
      <c r="M138" s="19" t="s">
        <v>1098</v>
      </c>
      <c r="N138" s="19">
        <v>18740.400000000001</v>
      </c>
      <c r="O138" s="19">
        <v>4775232</v>
      </c>
      <c r="P138" s="19" t="s">
        <v>1299</v>
      </c>
      <c r="Q138" s="19">
        <v>4775232</v>
      </c>
      <c r="R138" s="19">
        <v>0</v>
      </c>
      <c r="S138" s="19">
        <v>0</v>
      </c>
      <c r="T138" s="19">
        <v>0</v>
      </c>
      <c r="U138" s="19">
        <v>0</v>
      </c>
      <c r="V138" s="19">
        <v>18</v>
      </c>
      <c r="W138" s="19">
        <v>859541.76</v>
      </c>
      <c r="X138" s="19">
        <v>0.17</v>
      </c>
      <c r="Y138" s="19">
        <v>859541.92999999993</v>
      </c>
      <c r="Z138" s="19">
        <v>0</v>
      </c>
      <c r="AA138" s="19" t="s">
        <v>229</v>
      </c>
      <c r="AB138" s="19" t="s">
        <v>1091</v>
      </c>
      <c r="AC138" s="19">
        <v>63053200</v>
      </c>
      <c r="AD138" s="19" t="s">
        <v>1113</v>
      </c>
      <c r="AE138" s="19">
        <v>93.5</v>
      </c>
      <c r="AF138" s="19">
        <v>18740.400000000001</v>
      </c>
      <c r="AG138" s="19" t="s">
        <v>1114</v>
      </c>
      <c r="AH138" s="19" t="s">
        <v>50</v>
      </c>
      <c r="AI138" s="19"/>
    </row>
    <row r="139" spans="2:35" hidden="1" x14ac:dyDescent="0.35">
      <c r="B139" s="82">
        <v>46215</v>
      </c>
      <c r="C139" s="19" t="s">
        <v>1300</v>
      </c>
      <c r="D139" s="19" t="s">
        <v>11</v>
      </c>
      <c r="E139" s="83">
        <v>443</v>
      </c>
      <c r="F139" s="19" t="s">
        <v>1274</v>
      </c>
      <c r="G139" s="19" t="s">
        <v>1301</v>
      </c>
      <c r="H139" s="76">
        <v>46215</v>
      </c>
      <c r="I139" s="19" t="s">
        <v>104</v>
      </c>
      <c r="J139" s="19" t="s">
        <v>48</v>
      </c>
      <c r="K139" s="19" t="s">
        <v>1276</v>
      </c>
      <c r="L139" s="19" t="s">
        <v>1276</v>
      </c>
      <c r="M139" s="19" t="s">
        <v>1302</v>
      </c>
      <c r="N139" s="19">
        <v>4060</v>
      </c>
      <c r="O139" s="19">
        <v>52780</v>
      </c>
      <c r="P139" s="19" t="s">
        <v>1277</v>
      </c>
      <c r="Q139" s="19">
        <v>56527.38</v>
      </c>
      <c r="R139" s="19">
        <v>2.5</v>
      </c>
      <c r="S139" s="19">
        <v>1319.5</v>
      </c>
      <c r="T139" s="19">
        <v>2.5</v>
      </c>
      <c r="U139" s="19">
        <v>1319.5</v>
      </c>
      <c r="V139" s="19">
        <v>0</v>
      </c>
      <c r="W139" s="19">
        <v>0</v>
      </c>
      <c r="X139" s="19">
        <v>0</v>
      </c>
      <c r="Y139" s="19">
        <v>2639</v>
      </c>
      <c r="Z139" s="19">
        <v>1108.3800000000001</v>
      </c>
      <c r="AA139" s="19" t="s">
        <v>1303</v>
      </c>
      <c r="AB139" s="19" t="s">
        <v>1091</v>
      </c>
      <c r="AC139" s="19">
        <v>440139</v>
      </c>
      <c r="AD139" s="19" t="s">
        <v>1092</v>
      </c>
      <c r="AE139" s="19">
        <v>1</v>
      </c>
      <c r="AF139" s="19">
        <v>4060</v>
      </c>
      <c r="AG139" s="19" t="s">
        <v>1093</v>
      </c>
      <c r="AH139" s="83" t="s">
        <v>2319</v>
      </c>
      <c r="AI139" s="19"/>
    </row>
    <row r="140" spans="2:35" hidden="1" x14ac:dyDescent="0.35">
      <c r="B140" s="82">
        <v>46215</v>
      </c>
      <c r="C140" s="19" t="s">
        <v>1179</v>
      </c>
      <c r="D140" s="19" t="s">
        <v>11</v>
      </c>
      <c r="E140" s="83">
        <v>442</v>
      </c>
      <c r="F140" s="19" t="s">
        <v>1124</v>
      </c>
      <c r="G140" s="19" t="s">
        <v>1304</v>
      </c>
      <c r="H140" s="76">
        <v>46215</v>
      </c>
      <c r="I140" s="19" t="s">
        <v>57</v>
      </c>
      <c r="J140" s="19" t="s">
        <v>58</v>
      </c>
      <c r="K140" s="19" t="s">
        <v>59</v>
      </c>
      <c r="L140" s="19" t="s">
        <v>1305</v>
      </c>
      <c r="M140" s="19" t="s">
        <v>1306</v>
      </c>
      <c r="N140" s="19">
        <v>170</v>
      </c>
      <c r="O140" s="19">
        <v>18360</v>
      </c>
      <c r="P140" s="19" t="s">
        <v>1306</v>
      </c>
      <c r="Q140" s="19">
        <v>21646.44</v>
      </c>
      <c r="R140" s="19">
        <v>9</v>
      </c>
      <c r="S140" s="19">
        <v>1652.4</v>
      </c>
      <c r="T140" s="19">
        <v>9</v>
      </c>
      <c r="U140" s="19">
        <v>1652.4</v>
      </c>
      <c r="V140" s="19">
        <v>0</v>
      </c>
      <c r="W140" s="19">
        <v>0</v>
      </c>
      <c r="X140" s="19">
        <v>0</v>
      </c>
      <c r="Y140" s="19">
        <v>3304.8</v>
      </c>
      <c r="Z140" s="19">
        <v>0</v>
      </c>
      <c r="AA140" s="19" t="s">
        <v>179</v>
      </c>
      <c r="AB140" s="19" t="s">
        <v>1091</v>
      </c>
      <c r="AC140" s="19">
        <v>38140011</v>
      </c>
      <c r="AD140" s="19" t="s">
        <v>1092</v>
      </c>
      <c r="AE140" s="19">
        <v>1</v>
      </c>
      <c r="AF140" s="19">
        <v>170</v>
      </c>
      <c r="AG140" s="19" t="s">
        <v>1093</v>
      </c>
      <c r="AH140" s="83" t="s">
        <v>2319</v>
      </c>
      <c r="AI140" s="19"/>
    </row>
    <row r="141" spans="2:35" x14ac:dyDescent="0.35">
      <c r="B141" s="82">
        <v>46215</v>
      </c>
      <c r="C141" s="19" t="s">
        <v>1179</v>
      </c>
      <c r="D141" s="19" t="s">
        <v>11</v>
      </c>
      <c r="E141" s="83">
        <v>445</v>
      </c>
      <c r="F141" s="19" t="s">
        <v>1085</v>
      </c>
      <c r="G141" s="19" t="s">
        <v>1307</v>
      </c>
      <c r="H141" s="76">
        <v>46215</v>
      </c>
      <c r="I141" s="19" t="s">
        <v>36</v>
      </c>
      <c r="J141" s="19" t="s">
        <v>1087</v>
      </c>
      <c r="K141" s="19" t="s">
        <v>46</v>
      </c>
      <c r="L141" s="19" t="s">
        <v>1138</v>
      </c>
      <c r="M141" s="19" t="s">
        <v>1181</v>
      </c>
      <c r="N141" s="19">
        <v>920</v>
      </c>
      <c r="O141" s="19">
        <v>141818</v>
      </c>
      <c r="P141" s="19" t="s">
        <v>1182</v>
      </c>
      <c r="Q141" s="19">
        <v>441068.92</v>
      </c>
      <c r="R141" s="19">
        <v>2.5</v>
      </c>
      <c r="S141" s="19">
        <v>3545.45</v>
      </c>
      <c r="T141" s="19">
        <v>2.5</v>
      </c>
      <c r="U141" s="19">
        <v>3545.45</v>
      </c>
      <c r="V141" s="19">
        <v>0</v>
      </c>
      <c r="W141" s="19">
        <v>0</v>
      </c>
      <c r="X141" s="19">
        <v>0</v>
      </c>
      <c r="Y141" s="19">
        <v>7090.9</v>
      </c>
      <c r="Z141" s="19">
        <v>0</v>
      </c>
      <c r="AA141" s="19" t="s">
        <v>179</v>
      </c>
      <c r="AB141" s="19" t="s">
        <v>1091</v>
      </c>
      <c r="AC141" s="19">
        <v>54026930</v>
      </c>
      <c r="AD141" s="19" t="s">
        <v>1092</v>
      </c>
      <c r="AE141" s="19">
        <v>1</v>
      </c>
      <c r="AF141" s="19">
        <v>920</v>
      </c>
      <c r="AG141" s="19" t="s">
        <v>1093</v>
      </c>
      <c r="AH141" s="19" t="s">
        <v>46</v>
      </c>
      <c r="AI141" s="19"/>
    </row>
    <row r="142" spans="2:35" x14ac:dyDescent="0.35">
      <c r="B142" s="82">
        <v>46215</v>
      </c>
      <c r="C142" s="19" t="s">
        <v>1179</v>
      </c>
      <c r="D142" s="19" t="s">
        <v>11</v>
      </c>
      <c r="E142" s="83">
        <v>445</v>
      </c>
      <c r="F142" s="19" t="s">
        <v>1085</v>
      </c>
      <c r="G142" s="19" t="s">
        <v>1307</v>
      </c>
      <c r="H142" s="76">
        <v>46215</v>
      </c>
      <c r="I142" s="19" t="s">
        <v>36</v>
      </c>
      <c r="J142" s="19" t="s">
        <v>1087</v>
      </c>
      <c r="K142" s="19" t="s">
        <v>46</v>
      </c>
      <c r="L142" s="19" t="s">
        <v>1138</v>
      </c>
      <c r="M142" s="19" t="s">
        <v>1089</v>
      </c>
      <c r="N142" s="19">
        <v>485</v>
      </c>
      <c r="O142" s="19">
        <v>73307.75</v>
      </c>
      <c r="P142" s="19" t="s">
        <v>1090</v>
      </c>
      <c r="Q142" s="19">
        <v>0</v>
      </c>
      <c r="R142" s="19">
        <v>2.5</v>
      </c>
      <c r="S142" s="19">
        <v>1832.69</v>
      </c>
      <c r="T142" s="19">
        <v>2.5</v>
      </c>
      <c r="U142" s="19">
        <v>1832.69</v>
      </c>
      <c r="V142" s="19">
        <v>0</v>
      </c>
      <c r="W142" s="19">
        <v>0</v>
      </c>
      <c r="X142" s="19">
        <v>0</v>
      </c>
      <c r="Y142" s="19">
        <v>3665.38</v>
      </c>
      <c r="Z142" s="19">
        <v>0</v>
      </c>
      <c r="AA142" s="19" t="s">
        <v>179</v>
      </c>
      <c r="AB142" s="19" t="s">
        <v>1091</v>
      </c>
      <c r="AC142" s="19">
        <v>54026930</v>
      </c>
      <c r="AD142" s="19" t="s">
        <v>1092</v>
      </c>
      <c r="AE142" s="19">
        <v>1</v>
      </c>
      <c r="AF142" s="19">
        <v>485</v>
      </c>
      <c r="AG142" s="19" t="s">
        <v>1093</v>
      </c>
      <c r="AH142" s="19" t="s">
        <v>46</v>
      </c>
      <c r="AI142" s="19"/>
    </row>
    <row r="143" spans="2:35" ht="29" x14ac:dyDescent="0.35">
      <c r="B143" s="82">
        <v>46215</v>
      </c>
      <c r="C143" s="19" t="s">
        <v>1179</v>
      </c>
      <c r="D143" s="19" t="s">
        <v>11</v>
      </c>
      <c r="E143" s="83">
        <v>445</v>
      </c>
      <c r="F143" s="19" t="s">
        <v>1085</v>
      </c>
      <c r="G143" s="19" t="s">
        <v>1307</v>
      </c>
      <c r="H143" s="76">
        <v>46215</v>
      </c>
      <c r="I143" s="19" t="s">
        <v>36</v>
      </c>
      <c r="J143" s="19" t="s">
        <v>1117</v>
      </c>
      <c r="K143" s="19" t="s">
        <v>44</v>
      </c>
      <c r="L143" s="19" t="s">
        <v>1118</v>
      </c>
      <c r="M143" s="19" t="s">
        <v>1119</v>
      </c>
      <c r="N143" s="19">
        <v>1080.0999999999999</v>
      </c>
      <c r="O143" s="19">
        <v>182698.91</v>
      </c>
      <c r="P143" s="84" t="s">
        <v>1212</v>
      </c>
      <c r="Q143" s="19">
        <v>0</v>
      </c>
      <c r="R143" s="19">
        <v>9</v>
      </c>
      <c r="S143" s="19">
        <v>16442.900000000001</v>
      </c>
      <c r="T143" s="19">
        <v>9</v>
      </c>
      <c r="U143" s="19">
        <v>16442.900000000001</v>
      </c>
      <c r="V143" s="19">
        <v>0</v>
      </c>
      <c r="W143" s="19">
        <v>0</v>
      </c>
      <c r="X143" s="19">
        <v>0</v>
      </c>
      <c r="Y143" s="19">
        <v>32885.800000000003</v>
      </c>
      <c r="Z143" s="19">
        <v>0</v>
      </c>
      <c r="AA143" s="19" t="s">
        <v>179</v>
      </c>
      <c r="AB143" s="19" t="s">
        <v>1091</v>
      </c>
      <c r="AC143" s="19">
        <v>39269080</v>
      </c>
      <c r="AD143" s="19" t="s">
        <v>1092</v>
      </c>
      <c r="AE143" s="19">
        <v>1</v>
      </c>
      <c r="AF143" s="19">
        <v>1080.0999999999999</v>
      </c>
      <c r="AG143" s="19" t="s">
        <v>1093</v>
      </c>
      <c r="AH143" s="19" t="s">
        <v>44</v>
      </c>
      <c r="AI143" s="19"/>
    </row>
    <row r="144" spans="2:35" hidden="1" x14ac:dyDescent="0.35">
      <c r="B144" s="82">
        <v>46215</v>
      </c>
      <c r="C144" s="19" t="s">
        <v>1179</v>
      </c>
      <c r="D144" s="19" t="s">
        <v>11</v>
      </c>
      <c r="E144" s="83">
        <v>446</v>
      </c>
      <c r="F144" s="19" t="s">
        <v>1124</v>
      </c>
      <c r="G144" s="19" t="s">
        <v>1308</v>
      </c>
      <c r="H144" s="76">
        <v>46215</v>
      </c>
      <c r="I144" s="19" t="s">
        <v>105</v>
      </c>
      <c r="J144" s="19" t="s">
        <v>1142</v>
      </c>
      <c r="K144" s="19" t="s">
        <v>1143</v>
      </c>
      <c r="L144" s="19" t="s">
        <v>1144</v>
      </c>
      <c r="M144" s="19" t="s">
        <v>1145</v>
      </c>
      <c r="N144" s="19">
        <v>36</v>
      </c>
      <c r="O144" s="19">
        <v>1728</v>
      </c>
      <c r="P144" s="19" t="s">
        <v>1139</v>
      </c>
      <c r="Q144" s="19">
        <v>2037.31</v>
      </c>
      <c r="R144" s="19">
        <v>9</v>
      </c>
      <c r="S144" s="19">
        <v>155.52000000000001</v>
      </c>
      <c r="T144" s="19">
        <v>9</v>
      </c>
      <c r="U144" s="19">
        <v>155.52000000000001</v>
      </c>
      <c r="V144" s="19">
        <v>0</v>
      </c>
      <c r="W144" s="19">
        <v>0</v>
      </c>
      <c r="X144" s="19">
        <v>0</v>
      </c>
      <c r="Y144" s="19">
        <v>311.04000000000002</v>
      </c>
      <c r="Z144" s="19">
        <v>0</v>
      </c>
      <c r="AA144" s="19" t="s">
        <v>179</v>
      </c>
      <c r="AB144" s="19" t="s">
        <v>1091</v>
      </c>
      <c r="AC144" s="19">
        <v>73063090</v>
      </c>
      <c r="AD144" s="19" t="s">
        <v>1092</v>
      </c>
      <c r="AE144" s="19">
        <v>1</v>
      </c>
      <c r="AF144" s="19">
        <v>36</v>
      </c>
      <c r="AG144" s="19" t="s">
        <v>1093</v>
      </c>
      <c r="AH144" s="83" t="s">
        <v>2319</v>
      </c>
      <c r="AI144" s="19"/>
    </row>
    <row r="145" spans="2:35" hidden="1" x14ac:dyDescent="0.35">
      <c r="B145" s="82">
        <v>46215</v>
      </c>
      <c r="C145" s="19" t="s">
        <v>1084</v>
      </c>
      <c r="D145" s="19" t="s">
        <v>11</v>
      </c>
      <c r="E145" s="83">
        <v>444</v>
      </c>
      <c r="F145" s="19" t="s">
        <v>1124</v>
      </c>
      <c r="G145" s="19" t="s">
        <v>1309</v>
      </c>
      <c r="H145" s="76">
        <v>46215</v>
      </c>
      <c r="I145" s="19" t="s">
        <v>57</v>
      </c>
      <c r="J145" s="19" t="s">
        <v>58</v>
      </c>
      <c r="K145" s="19" t="s">
        <v>59</v>
      </c>
      <c r="L145" s="19" t="s">
        <v>1305</v>
      </c>
      <c r="M145" s="19" t="s">
        <v>1306</v>
      </c>
      <c r="N145" s="19">
        <v>170</v>
      </c>
      <c r="O145" s="19">
        <v>18360</v>
      </c>
      <c r="P145" s="19" t="s">
        <v>1306</v>
      </c>
      <c r="Q145" s="19">
        <v>21646.44</v>
      </c>
      <c r="R145" s="19">
        <v>9</v>
      </c>
      <c r="S145" s="19">
        <v>1652.4</v>
      </c>
      <c r="T145" s="19">
        <v>9</v>
      </c>
      <c r="U145" s="19">
        <v>1652.4</v>
      </c>
      <c r="V145" s="19">
        <v>0</v>
      </c>
      <c r="W145" s="19">
        <v>0</v>
      </c>
      <c r="X145" s="19">
        <v>0</v>
      </c>
      <c r="Y145" s="19">
        <v>3304.8</v>
      </c>
      <c r="Z145" s="19">
        <v>0</v>
      </c>
      <c r="AA145" s="19" t="s">
        <v>135</v>
      </c>
      <c r="AB145" s="19" t="s">
        <v>1091</v>
      </c>
      <c r="AC145" s="19">
        <v>38140011</v>
      </c>
      <c r="AD145" s="19" t="s">
        <v>1092</v>
      </c>
      <c r="AE145" s="19">
        <v>1</v>
      </c>
      <c r="AF145" s="19">
        <v>170</v>
      </c>
      <c r="AG145" s="19" t="s">
        <v>1093</v>
      </c>
      <c r="AH145" s="83" t="s">
        <v>2319</v>
      </c>
      <c r="AI145" s="19"/>
    </row>
    <row r="146" spans="2:35" hidden="1" x14ac:dyDescent="0.35">
      <c r="B146" s="82">
        <v>46215</v>
      </c>
      <c r="C146" s="19" t="s">
        <v>1084</v>
      </c>
      <c r="D146" s="19" t="s">
        <v>11</v>
      </c>
      <c r="E146" s="83">
        <v>447</v>
      </c>
      <c r="F146" s="19" t="s">
        <v>1124</v>
      </c>
      <c r="G146" s="19" t="s">
        <v>1310</v>
      </c>
      <c r="H146" s="76">
        <v>46215</v>
      </c>
      <c r="I146" s="19" t="s">
        <v>105</v>
      </c>
      <c r="J146" s="19" t="s">
        <v>1142</v>
      </c>
      <c r="K146" s="19" t="s">
        <v>1143</v>
      </c>
      <c r="L146" s="19" t="s">
        <v>1144</v>
      </c>
      <c r="M146" s="19" t="s">
        <v>1196</v>
      </c>
      <c r="N146" s="19">
        <v>505</v>
      </c>
      <c r="O146" s="19">
        <v>24240</v>
      </c>
      <c r="P146" s="19" t="s">
        <v>1139</v>
      </c>
      <c r="Q146" s="19">
        <v>28578.959999999999</v>
      </c>
      <c r="R146" s="19">
        <v>9</v>
      </c>
      <c r="S146" s="19">
        <v>2181.6</v>
      </c>
      <c r="T146" s="19">
        <v>9</v>
      </c>
      <c r="U146" s="19">
        <v>2181.6</v>
      </c>
      <c r="V146" s="19">
        <v>0</v>
      </c>
      <c r="W146" s="19">
        <v>0</v>
      </c>
      <c r="X146" s="19">
        <v>0</v>
      </c>
      <c r="Y146" s="19">
        <v>4363.2</v>
      </c>
      <c r="Z146" s="19">
        <v>0</v>
      </c>
      <c r="AA146" s="19" t="s">
        <v>135</v>
      </c>
      <c r="AB146" s="19" t="s">
        <v>1091</v>
      </c>
      <c r="AC146" s="19">
        <v>73063090</v>
      </c>
      <c r="AD146" s="19" t="s">
        <v>1092</v>
      </c>
      <c r="AE146" s="19">
        <v>1</v>
      </c>
      <c r="AF146" s="19">
        <v>505</v>
      </c>
      <c r="AG146" s="19" t="s">
        <v>1093</v>
      </c>
      <c r="AH146" s="83" t="s">
        <v>2319</v>
      </c>
      <c r="AI146" s="19"/>
    </row>
    <row r="147" spans="2:35" x14ac:dyDescent="0.35">
      <c r="B147" s="82">
        <v>46215</v>
      </c>
      <c r="C147" s="19" t="s">
        <v>1084</v>
      </c>
      <c r="D147" s="19" t="s">
        <v>11</v>
      </c>
      <c r="E147" s="83">
        <v>449</v>
      </c>
      <c r="F147" s="19" t="s">
        <v>1085</v>
      </c>
      <c r="G147" s="19" t="s">
        <v>1311</v>
      </c>
      <c r="H147" s="76">
        <v>46215</v>
      </c>
      <c r="I147" s="19" t="s">
        <v>49</v>
      </c>
      <c r="J147" s="19" t="s">
        <v>50</v>
      </c>
      <c r="K147" s="19" t="s">
        <v>50</v>
      </c>
      <c r="L147" s="19" t="s">
        <v>1095</v>
      </c>
      <c r="M147" s="19" t="s">
        <v>1096</v>
      </c>
      <c r="N147" s="19">
        <v>3245</v>
      </c>
      <c r="O147" s="19">
        <v>1354884.85</v>
      </c>
      <c r="P147" s="19" t="s">
        <v>1312</v>
      </c>
      <c r="Q147" s="19">
        <v>2182338.62</v>
      </c>
      <c r="R147" s="19">
        <v>9</v>
      </c>
      <c r="S147" s="19">
        <v>121939.64</v>
      </c>
      <c r="T147" s="19">
        <v>9</v>
      </c>
      <c r="U147" s="19">
        <v>121939.64</v>
      </c>
      <c r="V147" s="19">
        <v>0</v>
      </c>
      <c r="W147" s="19">
        <v>0</v>
      </c>
      <c r="X147" s="19">
        <v>0</v>
      </c>
      <c r="Y147" s="19">
        <v>243879.28</v>
      </c>
      <c r="Z147" s="19">
        <v>0</v>
      </c>
      <c r="AA147" s="19" t="s">
        <v>135</v>
      </c>
      <c r="AB147" s="19" t="s">
        <v>1091</v>
      </c>
      <c r="AC147" s="19">
        <v>63053200</v>
      </c>
      <c r="AD147" s="19" t="s">
        <v>1092</v>
      </c>
      <c r="AE147" s="19">
        <v>1</v>
      </c>
      <c r="AF147" s="19">
        <v>3245</v>
      </c>
      <c r="AG147" s="19" t="s">
        <v>1093</v>
      </c>
      <c r="AH147" s="19" t="s">
        <v>50</v>
      </c>
      <c r="AI147" s="19"/>
    </row>
    <row r="148" spans="2:35" x14ac:dyDescent="0.35">
      <c r="B148" s="82">
        <v>46215</v>
      </c>
      <c r="C148" s="19" t="s">
        <v>1084</v>
      </c>
      <c r="D148" s="19" t="s">
        <v>11</v>
      </c>
      <c r="E148" s="83">
        <v>449</v>
      </c>
      <c r="F148" s="19" t="s">
        <v>1085</v>
      </c>
      <c r="G148" s="19" t="s">
        <v>1311</v>
      </c>
      <c r="H148" s="76">
        <v>46215</v>
      </c>
      <c r="I148" s="19" t="s">
        <v>49</v>
      </c>
      <c r="J148" s="19" t="s">
        <v>50</v>
      </c>
      <c r="K148" s="19" t="s">
        <v>50</v>
      </c>
      <c r="L148" s="19" t="s">
        <v>1095</v>
      </c>
      <c r="M148" s="19" t="s">
        <v>1098</v>
      </c>
      <c r="N148" s="19">
        <v>823.6</v>
      </c>
      <c r="O148" s="19">
        <v>217240.97</v>
      </c>
      <c r="P148" s="19" t="s">
        <v>1279</v>
      </c>
      <c r="Q148" s="19">
        <v>0</v>
      </c>
      <c r="R148" s="19">
        <v>9</v>
      </c>
      <c r="S148" s="19">
        <v>19551.689999999999</v>
      </c>
      <c r="T148" s="19">
        <v>9</v>
      </c>
      <c r="U148" s="19">
        <v>19551.689999999999</v>
      </c>
      <c r="V148" s="19">
        <v>0</v>
      </c>
      <c r="W148" s="19">
        <v>0</v>
      </c>
      <c r="X148" s="19">
        <v>0</v>
      </c>
      <c r="Y148" s="19">
        <v>39103.379999999997</v>
      </c>
      <c r="Z148" s="19">
        <v>0</v>
      </c>
      <c r="AA148" s="19" t="s">
        <v>135</v>
      </c>
      <c r="AB148" s="19" t="s">
        <v>1091</v>
      </c>
      <c r="AC148" s="19">
        <v>63053200</v>
      </c>
      <c r="AD148" s="19" t="s">
        <v>1092</v>
      </c>
      <c r="AE148" s="19">
        <v>1</v>
      </c>
      <c r="AF148" s="19">
        <v>823.6</v>
      </c>
      <c r="AG148" s="19" t="s">
        <v>1093</v>
      </c>
      <c r="AH148" s="19" t="s">
        <v>50</v>
      </c>
      <c r="AI148" s="19"/>
    </row>
    <row r="149" spans="2:35" x14ac:dyDescent="0.35">
      <c r="B149" s="82">
        <v>46215</v>
      </c>
      <c r="C149" s="19" t="s">
        <v>1084</v>
      </c>
      <c r="D149" s="19" t="s">
        <v>11</v>
      </c>
      <c r="E149" s="83">
        <v>449</v>
      </c>
      <c r="F149" s="19" t="s">
        <v>1085</v>
      </c>
      <c r="G149" s="19" t="s">
        <v>1311</v>
      </c>
      <c r="H149" s="76">
        <v>46215</v>
      </c>
      <c r="I149" s="19" t="s">
        <v>49</v>
      </c>
      <c r="J149" s="19" t="s">
        <v>50</v>
      </c>
      <c r="K149" s="19" t="s">
        <v>50</v>
      </c>
      <c r="L149" s="19" t="s">
        <v>1095</v>
      </c>
      <c r="M149" s="19" t="s">
        <v>1098</v>
      </c>
      <c r="N149" s="19">
        <v>664.6</v>
      </c>
      <c r="O149" s="19">
        <v>185516.44</v>
      </c>
      <c r="P149" s="19" t="s">
        <v>1251</v>
      </c>
      <c r="Q149" s="19">
        <v>0</v>
      </c>
      <c r="R149" s="19">
        <v>9</v>
      </c>
      <c r="S149" s="19">
        <v>16696.48</v>
      </c>
      <c r="T149" s="19">
        <v>9</v>
      </c>
      <c r="U149" s="19">
        <v>16696.48</v>
      </c>
      <c r="V149" s="19">
        <v>0</v>
      </c>
      <c r="W149" s="19">
        <v>0</v>
      </c>
      <c r="X149" s="19">
        <v>0</v>
      </c>
      <c r="Y149" s="19">
        <v>33392.959999999999</v>
      </c>
      <c r="Z149" s="19">
        <v>0</v>
      </c>
      <c r="AA149" s="19" t="s">
        <v>135</v>
      </c>
      <c r="AB149" s="19" t="s">
        <v>1091</v>
      </c>
      <c r="AC149" s="19">
        <v>63053200</v>
      </c>
      <c r="AD149" s="19" t="s">
        <v>1092</v>
      </c>
      <c r="AE149" s="19">
        <v>1</v>
      </c>
      <c r="AF149" s="19">
        <v>664.6</v>
      </c>
      <c r="AG149" s="19" t="s">
        <v>1093</v>
      </c>
      <c r="AH149" s="19" t="s">
        <v>50</v>
      </c>
      <c r="AI149" s="19"/>
    </row>
    <row r="150" spans="2:35" x14ac:dyDescent="0.35">
      <c r="B150" s="82">
        <v>46215</v>
      </c>
      <c r="C150" s="19" t="s">
        <v>1084</v>
      </c>
      <c r="D150" s="19" t="s">
        <v>11</v>
      </c>
      <c r="E150" s="83">
        <v>449</v>
      </c>
      <c r="F150" s="19" t="s">
        <v>1085</v>
      </c>
      <c r="G150" s="19" t="s">
        <v>1311</v>
      </c>
      <c r="H150" s="76">
        <v>46215</v>
      </c>
      <c r="I150" s="19" t="s">
        <v>49</v>
      </c>
      <c r="J150" s="19" t="s">
        <v>50</v>
      </c>
      <c r="K150" s="19" t="s">
        <v>50</v>
      </c>
      <c r="L150" s="19" t="s">
        <v>1095</v>
      </c>
      <c r="M150" s="19" t="s">
        <v>1098</v>
      </c>
      <c r="N150" s="19">
        <v>341.1</v>
      </c>
      <c r="O150" s="19">
        <v>93365.89</v>
      </c>
      <c r="P150" s="19" t="s">
        <v>1253</v>
      </c>
      <c r="Q150" s="19">
        <v>0</v>
      </c>
      <c r="R150" s="19">
        <v>9</v>
      </c>
      <c r="S150" s="19">
        <v>8402.93</v>
      </c>
      <c r="T150" s="19">
        <v>9</v>
      </c>
      <c r="U150" s="19">
        <v>8402.93</v>
      </c>
      <c r="V150" s="19">
        <v>0</v>
      </c>
      <c r="W150" s="19">
        <v>0</v>
      </c>
      <c r="X150" s="19">
        <v>0</v>
      </c>
      <c r="Y150" s="19">
        <v>16805.86</v>
      </c>
      <c r="Z150" s="19">
        <v>0</v>
      </c>
      <c r="AA150" s="19" t="s">
        <v>135</v>
      </c>
      <c r="AB150" s="19" t="s">
        <v>1091</v>
      </c>
      <c r="AC150" s="19">
        <v>63053200</v>
      </c>
      <c r="AD150" s="19" t="s">
        <v>1092</v>
      </c>
      <c r="AE150" s="19">
        <v>1</v>
      </c>
      <c r="AF150" s="19">
        <v>341.1</v>
      </c>
      <c r="AG150" s="19" t="s">
        <v>1093</v>
      </c>
      <c r="AH150" s="19" t="s">
        <v>50</v>
      </c>
      <c r="AI150" s="19"/>
    </row>
    <row r="151" spans="2:35" x14ac:dyDescent="0.35">
      <c r="B151" s="82">
        <v>46215</v>
      </c>
      <c r="C151" s="19" t="s">
        <v>1136</v>
      </c>
      <c r="D151" s="19" t="s">
        <v>11</v>
      </c>
      <c r="E151" s="83">
        <v>440</v>
      </c>
      <c r="F151" s="19" t="s">
        <v>1085</v>
      </c>
      <c r="G151" s="19" t="s">
        <v>1313</v>
      </c>
      <c r="H151" s="76">
        <v>46215</v>
      </c>
      <c r="I151" s="19" t="s">
        <v>36</v>
      </c>
      <c r="J151" s="19" t="s">
        <v>1117</v>
      </c>
      <c r="K151" s="19" t="s">
        <v>44</v>
      </c>
      <c r="L151" s="19" t="s">
        <v>1118</v>
      </c>
      <c r="M151" s="19" t="s">
        <v>1119</v>
      </c>
      <c r="N151" s="19">
        <v>2617.3000000000002</v>
      </c>
      <c r="O151" s="19">
        <v>421777.9</v>
      </c>
      <c r="P151" s="19" t="s">
        <v>1211</v>
      </c>
      <c r="Q151" s="19">
        <v>974748.93</v>
      </c>
      <c r="R151" s="19">
        <v>9</v>
      </c>
      <c r="S151" s="19">
        <v>37960.01</v>
      </c>
      <c r="T151" s="19">
        <v>9</v>
      </c>
      <c r="U151" s="19">
        <v>37960.01</v>
      </c>
      <c r="V151" s="19">
        <v>0</v>
      </c>
      <c r="W151" s="19">
        <v>0</v>
      </c>
      <c r="X151" s="19">
        <v>0</v>
      </c>
      <c r="Y151" s="19">
        <v>75920.02</v>
      </c>
      <c r="Z151" s="19">
        <v>0</v>
      </c>
      <c r="AA151" s="19" t="s">
        <v>135</v>
      </c>
      <c r="AB151" s="19" t="s">
        <v>1091</v>
      </c>
      <c r="AC151" s="19">
        <v>39269080</v>
      </c>
      <c r="AD151" s="19" t="s">
        <v>1092</v>
      </c>
      <c r="AE151" s="19">
        <v>1</v>
      </c>
      <c r="AF151" s="19">
        <v>2617.3000000000002</v>
      </c>
      <c r="AG151" s="19" t="s">
        <v>1093</v>
      </c>
      <c r="AH151" s="19" t="s">
        <v>44</v>
      </c>
      <c r="AI151" s="19"/>
    </row>
    <row r="152" spans="2:35" ht="29" x14ac:dyDescent="0.35">
      <c r="B152" s="82">
        <v>46215</v>
      </c>
      <c r="C152" s="19" t="s">
        <v>1136</v>
      </c>
      <c r="D152" s="19" t="s">
        <v>11</v>
      </c>
      <c r="E152" s="83">
        <v>440</v>
      </c>
      <c r="F152" s="19" t="s">
        <v>1085</v>
      </c>
      <c r="G152" s="19" t="s">
        <v>1313</v>
      </c>
      <c r="H152" s="76">
        <v>46215</v>
      </c>
      <c r="I152" s="19" t="s">
        <v>36</v>
      </c>
      <c r="J152" s="19" t="s">
        <v>1117</v>
      </c>
      <c r="K152" s="19" t="s">
        <v>44</v>
      </c>
      <c r="L152" s="19" t="s">
        <v>1118</v>
      </c>
      <c r="M152" s="19" t="s">
        <v>1119</v>
      </c>
      <c r="N152" s="19">
        <v>613.6</v>
      </c>
      <c r="O152" s="19">
        <v>103790.44</v>
      </c>
      <c r="P152" s="84" t="s">
        <v>1212</v>
      </c>
      <c r="Q152" s="19">
        <v>0</v>
      </c>
      <c r="R152" s="19">
        <v>9</v>
      </c>
      <c r="S152" s="19">
        <v>9341.14</v>
      </c>
      <c r="T152" s="19">
        <v>9</v>
      </c>
      <c r="U152" s="19">
        <v>9341.14</v>
      </c>
      <c r="V152" s="19">
        <v>0</v>
      </c>
      <c r="W152" s="19">
        <v>0</v>
      </c>
      <c r="X152" s="19">
        <v>0</v>
      </c>
      <c r="Y152" s="19">
        <v>18682.28</v>
      </c>
      <c r="Z152" s="19">
        <v>0</v>
      </c>
      <c r="AA152" s="19" t="s">
        <v>135</v>
      </c>
      <c r="AB152" s="19" t="s">
        <v>1091</v>
      </c>
      <c r="AC152" s="19">
        <v>39269080</v>
      </c>
      <c r="AD152" s="19" t="s">
        <v>1092</v>
      </c>
      <c r="AE152" s="19">
        <v>1</v>
      </c>
      <c r="AF152" s="19">
        <v>613.6</v>
      </c>
      <c r="AG152" s="19" t="s">
        <v>1093</v>
      </c>
      <c r="AH152" s="19" t="s">
        <v>44</v>
      </c>
      <c r="AI152" s="19"/>
    </row>
    <row r="153" spans="2:35" x14ac:dyDescent="0.35">
      <c r="B153" s="82">
        <v>46215</v>
      </c>
      <c r="C153" s="19" t="s">
        <v>1136</v>
      </c>
      <c r="D153" s="19" t="s">
        <v>11</v>
      </c>
      <c r="E153" s="83">
        <v>440</v>
      </c>
      <c r="F153" s="19" t="s">
        <v>1085</v>
      </c>
      <c r="G153" s="19" t="s">
        <v>1313</v>
      </c>
      <c r="H153" s="76">
        <v>46215</v>
      </c>
      <c r="I153" s="19" t="s">
        <v>36</v>
      </c>
      <c r="J153" s="19" t="s">
        <v>1156</v>
      </c>
      <c r="K153" s="19" t="s">
        <v>45</v>
      </c>
      <c r="L153" s="19" t="s">
        <v>1157</v>
      </c>
      <c r="M153" s="19" t="s">
        <v>1156</v>
      </c>
      <c r="N153" s="19">
        <v>714.6</v>
      </c>
      <c r="O153" s="19">
        <v>113013.99</v>
      </c>
      <c r="P153" s="19" t="s">
        <v>1193</v>
      </c>
      <c r="Q153" s="19">
        <v>0</v>
      </c>
      <c r="R153" s="19">
        <v>9</v>
      </c>
      <c r="S153" s="19">
        <v>10171.26</v>
      </c>
      <c r="T153" s="19">
        <v>9</v>
      </c>
      <c r="U153" s="19">
        <v>10171.26</v>
      </c>
      <c r="V153" s="19">
        <v>0</v>
      </c>
      <c r="W153" s="19">
        <v>0</v>
      </c>
      <c r="X153" s="19">
        <v>0</v>
      </c>
      <c r="Y153" s="19">
        <v>20342.52</v>
      </c>
      <c r="Z153" s="19">
        <v>0</v>
      </c>
      <c r="AA153" s="19" t="s">
        <v>135</v>
      </c>
      <c r="AB153" s="19" t="s">
        <v>1091</v>
      </c>
      <c r="AC153" s="19">
        <v>39269080</v>
      </c>
      <c r="AD153" s="19" t="s">
        <v>1092</v>
      </c>
      <c r="AE153" s="19">
        <v>1</v>
      </c>
      <c r="AF153" s="19">
        <v>714.6</v>
      </c>
      <c r="AG153" s="19" t="s">
        <v>1093</v>
      </c>
      <c r="AH153" s="19" t="s">
        <v>45</v>
      </c>
      <c r="AI153" s="19"/>
    </row>
    <row r="154" spans="2:35" x14ac:dyDescent="0.35">
      <c r="B154" s="82">
        <v>46215</v>
      </c>
      <c r="C154" s="19" t="s">
        <v>1136</v>
      </c>
      <c r="D154" s="19" t="s">
        <v>11</v>
      </c>
      <c r="E154" s="83">
        <v>440</v>
      </c>
      <c r="F154" s="19" t="s">
        <v>1085</v>
      </c>
      <c r="G154" s="19" t="s">
        <v>1313</v>
      </c>
      <c r="H154" s="76">
        <v>46215</v>
      </c>
      <c r="I154" s="19" t="s">
        <v>36</v>
      </c>
      <c r="J154" s="19" t="s">
        <v>1087</v>
      </c>
      <c r="K154" s="19" t="s">
        <v>46</v>
      </c>
      <c r="L154" s="19" t="s">
        <v>1138</v>
      </c>
      <c r="M154" s="19" t="s">
        <v>1181</v>
      </c>
      <c r="N154" s="19">
        <v>970</v>
      </c>
      <c r="O154" s="19">
        <v>149525.5</v>
      </c>
      <c r="P154" s="19" t="s">
        <v>1182</v>
      </c>
      <c r="Q154" s="19">
        <v>0</v>
      </c>
      <c r="R154" s="19">
        <v>2.5</v>
      </c>
      <c r="S154" s="19">
        <v>3738.14</v>
      </c>
      <c r="T154" s="19">
        <v>2.5</v>
      </c>
      <c r="U154" s="19">
        <v>3738.14</v>
      </c>
      <c r="V154" s="19">
        <v>0</v>
      </c>
      <c r="W154" s="19">
        <v>0</v>
      </c>
      <c r="X154" s="19">
        <v>0</v>
      </c>
      <c r="Y154" s="19">
        <v>7476.28</v>
      </c>
      <c r="Z154" s="19">
        <v>0</v>
      </c>
      <c r="AA154" s="19" t="s">
        <v>135</v>
      </c>
      <c r="AB154" s="19" t="s">
        <v>1091</v>
      </c>
      <c r="AC154" s="19">
        <v>54026930</v>
      </c>
      <c r="AD154" s="19" t="s">
        <v>1092</v>
      </c>
      <c r="AE154" s="19">
        <v>1</v>
      </c>
      <c r="AF154" s="19">
        <v>970</v>
      </c>
      <c r="AG154" s="19" t="s">
        <v>1093</v>
      </c>
      <c r="AH154" s="19" t="s">
        <v>46</v>
      </c>
      <c r="AI154" s="19"/>
    </row>
    <row r="155" spans="2:35" x14ac:dyDescent="0.35">
      <c r="B155" s="82">
        <v>46215</v>
      </c>
      <c r="C155" s="19" t="s">
        <v>1136</v>
      </c>
      <c r="D155" s="19" t="s">
        <v>11</v>
      </c>
      <c r="E155" s="83">
        <v>440</v>
      </c>
      <c r="F155" s="19" t="s">
        <v>1085</v>
      </c>
      <c r="G155" s="19" t="s">
        <v>1313</v>
      </c>
      <c r="H155" s="76">
        <v>46215</v>
      </c>
      <c r="I155" s="19" t="s">
        <v>36</v>
      </c>
      <c r="J155" s="19" t="s">
        <v>1087</v>
      </c>
      <c r="K155" s="19" t="s">
        <v>46</v>
      </c>
      <c r="L155" s="19" t="s">
        <v>1138</v>
      </c>
      <c r="M155" s="19" t="s">
        <v>1089</v>
      </c>
      <c r="N155" s="19">
        <v>410</v>
      </c>
      <c r="O155" s="19">
        <v>61971.5</v>
      </c>
      <c r="P155" s="19" t="s">
        <v>1090</v>
      </c>
      <c r="Q155" s="19">
        <v>0</v>
      </c>
      <c r="R155" s="19">
        <v>2.5</v>
      </c>
      <c r="S155" s="19">
        <v>1549.29</v>
      </c>
      <c r="T155" s="19">
        <v>2.5</v>
      </c>
      <c r="U155" s="19">
        <v>1549.29</v>
      </c>
      <c r="V155" s="19">
        <v>0</v>
      </c>
      <c r="W155" s="19">
        <v>0</v>
      </c>
      <c r="X155" s="19">
        <v>0</v>
      </c>
      <c r="Y155" s="19">
        <v>3098.58</v>
      </c>
      <c r="Z155" s="19">
        <v>0</v>
      </c>
      <c r="AA155" s="19" t="s">
        <v>135</v>
      </c>
      <c r="AB155" s="19" t="s">
        <v>1091</v>
      </c>
      <c r="AC155" s="19">
        <v>54026930</v>
      </c>
      <c r="AD155" s="19" t="s">
        <v>1092</v>
      </c>
      <c r="AE155" s="19">
        <v>1</v>
      </c>
      <c r="AF155" s="19">
        <v>410</v>
      </c>
      <c r="AG155" s="19" t="s">
        <v>1093</v>
      </c>
      <c r="AH155" s="19" t="s">
        <v>46</v>
      </c>
      <c r="AI155" s="19"/>
    </row>
    <row r="156" spans="2:35" hidden="1" x14ac:dyDescent="0.35">
      <c r="B156" s="82">
        <v>46215</v>
      </c>
      <c r="C156" s="19" t="s">
        <v>1136</v>
      </c>
      <c r="D156" s="19" t="s">
        <v>11</v>
      </c>
      <c r="E156" s="83">
        <v>441</v>
      </c>
      <c r="F156" s="19" t="s">
        <v>1124</v>
      </c>
      <c r="G156" s="19" t="s">
        <v>1314</v>
      </c>
      <c r="H156" s="76">
        <v>46215</v>
      </c>
      <c r="I156" s="19" t="s">
        <v>105</v>
      </c>
      <c r="J156" s="19" t="s">
        <v>1142</v>
      </c>
      <c r="K156" s="19" t="s">
        <v>1143</v>
      </c>
      <c r="L156" s="19" t="s">
        <v>1144</v>
      </c>
      <c r="M156" s="19" t="s">
        <v>1196</v>
      </c>
      <c r="N156" s="19">
        <v>615</v>
      </c>
      <c r="O156" s="19">
        <v>29520</v>
      </c>
      <c r="P156" s="19" t="s">
        <v>1139</v>
      </c>
      <c r="Q156" s="19">
        <v>34804.080000000002</v>
      </c>
      <c r="R156" s="19">
        <v>9</v>
      </c>
      <c r="S156" s="19">
        <v>2656.8</v>
      </c>
      <c r="T156" s="19">
        <v>9</v>
      </c>
      <c r="U156" s="19">
        <v>2656.8</v>
      </c>
      <c r="V156" s="19">
        <v>0</v>
      </c>
      <c r="W156" s="19">
        <v>0</v>
      </c>
      <c r="X156" s="19">
        <v>0</v>
      </c>
      <c r="Y156" s="19">
        <v>5313.6</v>
      </c>
      <c r="Z156" s="19">
        <v>0</v>
      </c>
      <c r="AA156" s="19" t="s">
        <v>135</v>
      </c>
      <c r="AB156" s="19" t="s">
        <v>1091</v>
      </c>
      <c r="AC156" s="19">
        <v>73063090</v>
      </c>
      <c r="AD156" s="19" t="s">
        <v>1092</v>
      </c>
      <c r="AE156" s="19">
        <v>1</v>
      </c>
      <c r="AF156" s="19">
        <v>615</v>
      </c>
      <c r="AG156" s="19" t="s">
        <v>1093</v>
      </c>
      <c r="AH156" s="83" t="s">
        <v>2319</v>
      </c>
      <c r="AI156" s="19"/>
    </row>
    <row r="157" spans="2:35" x14ac:dyDescent="0.35">
      <c r="B157" s="82">
        <v>46215</v>
      </c>
      <c r="C157" s="19" t="s">
        <v>1171</v>
      </c>
      <c r="D157" s="19" t="s">
        <v>11</v>
      </c>
      <c r="E157" s="83">
        <v>448</v>
      </c>
      <c r="F157" s="19" t="s">
        <v>1085</v>
      </c>
      <c r="G157" s="19" t="s">
        <v>1315</v>
      </c>
      <c r="H157" s="76">
        <v>46215</v>
      </c>
      <c r="I157" s="19" t="s">
        <v>36</v>
      </c>
      <c r="J157" s="19" t="s">
        <v>1087</v>
      </c>
      <c r="K157" s="19" t="s">
        <v>46</v>
      </c>
      <c r="L157" s="19" t="s">
        <v>1138</v>
      </c>
      <c r="M157" s="19" t="s">
        <v>1316</v>
      </c>
      <c r="N157" s="19">
        <v>460</v>
      </c>
      <c r="O157" s="19">
        <v>70909</v>
      </c>
      <c r="P157" s="19" t="s">
        <v>1237</v>
      </c>
      <c r="Q157" s="19">
        <v>470272.18</v>
      </c>
      <c r="R157" s="19">
        <v>2.5</v>
      </c>
      <c r="S157" s="19">
        <v>1772.72</v>
      </c>
      <c r="T157" s="19">
        <v>2.5</v>
      </c>
      <c r="U157" s="19">
        <v>1772.72</v>
      </c>
      <c r="V157" s="19">
        <v>0</v>
      </c>
      <c r="W157" s="19">
        <v>0</v>
      </c>
      <c r="X157" s="19">
        <v>0</v>
      </c>
      <c r="Y157" s="19">
        <v>3545.44</v>
      </c>
      <c r="Z157" s="19">
        <v>0</v>
      </c>
      <c r="AA157" s="19" t="s">
        <v>614</v>
      </c>
      <c r="AB157" s="19" t="s">
        <v>1091</v>
      </c>
      <c r="AC157" s="19">
        <v>54026930</v>
      </c>
      <c r="AD157" s="19" t="s">
        <v>1092</v>
      </c>
      <c r="AE157" s="19">
        <v>1</v>
      </c>
      <c r="AF157" s="19">
        <v>460</v>
      </c>
      <c r="AG157" s="19" t="s">
        <v>1093</v>
      </c>
      <c r="AH157" s="19" t="s">
        <v>46</v>
      </c>
      <c r="AI157" s="19"/>
    </row>
    <row r="158" spans="2:35" x14ac:dyDescent="0.35">
      <c r="B158" s="82">
        <v>46215</v>
      </c>
      <c r="C158" s="19" t="s">
        <v>1171</v>
      </c>
      <c r="D158" s="19" t="s">
        <v>11</v>
      </c>
      <c r="E158" s="83">
        <v>448</v>
      </c>
      <c r="F158" s="19" t="s">
        <v>1085</v>
      </c>
      <c r="G158" s="19" t="s">
        <v>1315</v>
      </c>
      <c r="H158" s="76">
        <v>46215</v>
      </c>
      <c r="I158" s="19" t="s">
        <v>36</v>
      </c>
      <c r="J158" s="19" t="s">
        <v>1087</v>
      </c>
      <c r="K158" s="19" t="s">
        <v>46</v>
      </c>
      <c r="L158" s="19" t="s">
        <v>1138</v>
      </c>
      <c r="M158" s="19" t="s">
        <v>1181</v>
      </c>
      <c r="N158" s="19">
        <v>1100</v>
      </c>
      <c r="O158" s="19">
        <v>169565</v>
      </c>
      <c r="P158" s="19" t="s">
        <v>1182</v>
      </c>
      <c r="Q158" s="19">
        <v>0</v>
      </c>
      <c r="R158" s="19">
        <v>2.5</v>
      </c>
      <c r="S158" s="19">
        <v>4239.12</v>
      </c>
      <c r="T158" s="19">
        <v>2.5</v>
      </c>
      <c r="U158" s="19">
        <v>4239.12</v>
      </c>
      <c r="V158" s="19">
        <v>0</v>
      </c>
      <c r="W158" s="19">
        <v>0</v>
      </c>
      <c r="X158" s="19">
        <v>0</v>
      </c>
      <c r="Y158" s="19">
        <v>8478.24</v>
      </c>
      <c r="Z158" s="19">
        <v>0</v>
      </c>
      <c r="AA158" s="19" t="s">
        <v>614</v>
      </c>
      <c r="AB158" s="19" t="s">
        <v>1091</v>
      </c>
      <c r="AC158" s="19">
        <v>54026930</v>
      </c>
      <c r="AD158" s="19" t="s">
        <v>1092</v>
      </c>
      <c r="AE158" s="19">
        <v>1</v>
      </c>
      <c r="AF158" s="19">
        <v>1100</v>
      </c>
      <c r="AG158" s="19" t="s">
        <v>1093</v>
      </c>
      <c r="AH158" s="19" t="s">
        <v>46</v>
      </c>
      <c r="AI158" s="19"/>
    </row>
    <row r="159" spans="2:35" x14ac:dyDescent="0.35">
      <c r="B159" s="82">
        <v>46215</v>
      </c>
      <c r="C159" s="19" t="s">
        <v>1171</v>
      </c>
      <c r="D159" s="19" t="s">
        <v>11</v>
      </c>
      <c r="E159" s="83">
        <v>448</v>
      </c>
      <c r="F159" s="19" t="s">
        <v>1085</v>
      </c>
      <c r="G159" s="19" t="s">
        <v>1315</v>
      </c>
      <c r="H159" s="76">
        <v>46215</v>
      </c>
      <c r="I159" s="19" t="s">
        <v>36</v>
      </c>
      <c r="J159" s="19" t="s">
        <v>1087</v>
      </c>
      <c r="K159" s="19" t="s">
        <v>46</v>
      </c>
      <c r="L159" s="19" t="s">
        <v>1138</v>
      </c>
      <c r="M159" s="19" t="s">
        <v>1089</v>
      </c>
      <c r="N159" s="19">
        <v>1375</v>
      </c>
      <c r="O159" s="19">
        <v>207831.25</v>
      </c>
      <c r="P159" s="19" t="s">
        <v>1090</v>
      </c>
      <c r="Q159" s="19">
        <v>0</v>
      </c>
      <c r="R159" s="19">
        <v>2.5</v>
      </c>
      <c r="S159" s="19">
        <v>5195.78</v>
      </c>
      <c r="T159" s="19">
        <v>2.5</v>
      </c>
      <c r="U159" s="19">
        <v>5195.78</v>
      </c>
      <c r="V159" s="19">
        <v>0</v>
      </c>
      <c r="W159" s="19">
        <v>0</v>
      </c>
      <c r="X159" s="19">
        <v>0</v>
      </c>
      <c r="Y159" s="19">
        <v>10391.56</v>
      </c>
      <c r="Z159" s="19">
        <v>0</v>
      </c>
      <c r="AA159" s="19" t="s">
        <v>614</v>
      </c>
      <c r="AB159" s="19" t="s">
        <v>1091</v>
      </c>
      <c r="AC159" s="19">
        <v>54026930</v>
      </c>
      <c r="AD159" s="19" t="s">
        <v>1092</v>
      </c>
      <c r="AE159" s="19">
        <v>1</v>
      </c>
      <c r="AF159" s="19">
        <v>1375</v>
      </c>
      <c r="AG159" s="19" t="s">
        <v>1093</v>
      </c>
      <c r="AH159" s="19" t="s">
        <v>46</v>
      </c>
      <c r="AI159" s="19"/>
    </row>
    <row r="160" spans="2:35" x14ac:dyDescent="0.35">
      <c r="B160" s="82">
        <v>46215</v>
      </c>
      <c r="C160" s="19" t="s">
        <v>1171</v>
      </c>
      <c r="D160" s="19" t="s">
        <v>11</v>
      </c>
      <c r="E160" s="83">
        <v>450</v>
      </c>
      <c r="F160" s="19" t="s">
        <v>1085</v>
      </c>
      <c r="G160" s="19" t="s">
        <v>1317</v>
      </c>
      <c r="H160" s="76">
        <v>46215</v>
      </c>
      <c r="I160" s="19" t="s">
        <v>49</v>
      </c>
      <c r="J160" s="19" t="s">
        <v>50</v>
      </c>
      <c r="K160" s="19" t="s">
        <v>50</v>
      </c>
      <c r="L160" s="19" t="s">
        <v>1095</v>
      </c>
      <c r="M160" s="19" t="s">
        <v>1098</v>
      </c>
      <c r="N160" s="19">
        <v>2441.1</v>
      </c>
      <c r="O160" s="19">
        <v>520076.36</v>
      </c>
      <c r="P160" s="19" t="s">
        <v>1318</v>
      </c>
      <c r="Q160" s="19">
        <v>849387.54</v>
      </c>
      <c r="R160" s="19">
        <v>9</v>
      </c>
      <c r="S160" s="19">
        <v>46806.87</v>
      </c>
      <c r="T160" s="19">
        <v>9</v>
      </c>
      <c r="U160" s="19">
        <v>46806.87</v>
      </c>
      <c r="V160" s="19">
        <v>0</v>
      </c>
      <c r="W160" s="19">
        <v>0</v>
      </c>
      <c r="X160" s="19">
        <v>0</v>
      </c>
      <c r="Y160" s="19">
        <v>93613.74</v>
      </c>
      <c r="Z160" s="19">
        <v>0</v>
      </c>
      <c r="AA160" s="19" t="s">
        <v>614</v>
      </c>
      <c r="AB160" s="19" t="s">
        <v>1091</v>
      </c>
      <c r="AC160" s="19">
        <v>63053200</v>
      </c>
      <c r="AD160" s="19" t="s">
        <v>1092</v>
      </c>
      <c r="AE160" s="19">
        <v>1</v>
      </c>
      <c r="AF160" s="19">
        <v>2441.1</v>
      </c>
      <c r="AG160" s="19" t="s">
        <v>1093</v>
      </c>
      <c r="AH160" s="19" t="s">
        <v>50</v>
      </c>
      <c r="AI160" s="19"/>
    </row>
    <row r="161" spans="2:35" x14ac:dyDescent="0.35">
      <c r="B161" s="82">
        <v>46215</v>
      </c>
      <c r="C161" s="19" t="s">
        <v>1171</v>
      </c>
      <c r="D161" s="19" t="s">
        <v>11</v>
      </c>
      <c r="E161" s="83">
        <v>450</v>
      </c>
      <c r="F161" s="19" t="s">
        <v>1085</v>
      </c>
      <c r="G161" s="19" t="s">
        <v>1317</v>
      </c>
      <c r="H161" s="76">
        <v>46215</v>
      </c>
      <c r="I161" s="19" t="s">
        <v>49</v>
      </c>
      <c r="J161" s="19" t="s">
        <v>50</v>
      </c>
      <c r="K161" s="19" t="s">
        <v>50</v>
      </c>
      <c r="L161" s="19" t="s">
        <v>1095</v>
      </c>
      <c r="M161" s="19" t="s">
        <v>1098</v>
      </c>
      <c r="N161" s="19">
        <v>801</v>
      </c>
      <c r="O161" s="19">
        <v>200354.13</v>
      </c>
      <c r="P161" s="19" t="s">
        <v>1319</v>
      </c>
      <c r="Q161" s="19">
        <v>0</v>
      </c>
      <c r="R161" s="19">
        <v>9</v>
      </c>
      <c r="S161" s="19">
        <v>18031.87</v>
      </c>
      <c r="T161" s="19">
        <v>9</v>
      </c>
      <c r="U161" s="19">
        <v>18031.87</v>
      </c>
      <c r="V161" s="19">
        <v>0</v>
      </c>
      <c r="W161" s="19">
        <v>0</v>
      </c>
      <c r="X161" s="19">
        <v>0</v>
      </c>
      <c r="Y161" s="19">
        <v>36063.74</v>
      </c>
      <c r="Z161" s="19">
        <v>0</v>
      </c>
      <c r="AA161" s="19" t="s">
        <v>614</v>
      </c>
      <c r="AB161" s="19" t="s">
        <v>1091</v>
      </c>
      <c r="AC161" s="19">
        <v>63053200</v>
      </c>
      <c r="AD161" s="19" t="s">
        <v>1092</v>
      </c>
      <c r="AE161" s="19">
        <v>1</v>
      </c>
      <c r="AF161" s="19">
        <v>801</v>
      </c>
      <c r="AG161" s="19" t="s">
        <v>1093</v>
      </c>
      <c r="AH161" s="19" t="s">
        <v>50</v>
      </c>
      <c r="AI161" s="19"/>
    </row>
    <row r="162" spans="2:35" x14ac:dyDescent="0.35">
      <c r="B162" s="82">
        <v>46216</v>
      </c>
      <c r="C162" s="19" t="s">
        <v>1123</v>
      </c>
      <c r="D162" s="19" t="s">
        <v>11</v>
      </c>
      <c r="E162" s="83">
        <v>453</v>
      </c>
      <c r="F162" s="19" t="s">
        <v>1124</v>
      </c>
      <c r="G162" s="19" t="s">
        <v>1320</v>
      </c>
      <c r="H162" s="76">
        <v>46216</v>
      </c>
      <c r="I162" s="19" t="s">
        <v>36</v>
      </c>
      <c r="J162" s="19" t="s">
        <v>1156</v>
      </c>
      <c r="K162" s="19" t="s">
        <v>45</v>
      </c>
      <c r="L162" s="19" t="s">
        <v>1157</v>
      </c>
      <c r="M162" s="19" t="s">
        <v>1156</v>
      </c>
      <c r="N162" s="19">
        <v>1188</v>
      </c>
      <c r="O162" s="19">
        <v>187882.2</v>
      </c>
      <c r="P162" s="19" t="s">
        <v>1321</v>
      </c>
      <c r="Q162" s="19">
        <v>304742.55</v>
      </c>
      <c r="R162" s="19">
        <v>9</v>
      </c>
      <c r="S162" s="19">
        <v>16909.400000000001</v>
      </c>
      <c r="T162" s="19">
        <v>9</v>
      </c>
      <c r="U162" s="19">
        <v>16909.400000000001</v>
      </c>
      <c r="V162" s="19">
        <v>0</v>
      </c>
      <c r="W162" s="19">
        <v>0</v>
      </c>
      <c r="X162" s="19">
        <v>0</v>
      </c>
      <c r="Y162" s="19">
        <v>33818.800000000003</v>
      </c>
      <c r="Z162" s="19">
        <v>0</v>
      </c>
      <c r="AA162" s="19" t="s">
        <v>179</v>
      </c>
      <c r="AB162" s="19" t="s">
        <v>1091</v>
      </c>
      <c r="AC162" s="19">
        <v>39269080</v>
      </c>
      <c r="AD162" s="19" t="s">
        <v>1092</v>
      </c>
      <c r="AE162" s="19">
        <v>1</v>
      </c>
      <c r="AF162" s="19">
        <v>1188</v>
      </c>
      <c r="AG162" s="19" t="s">
        <v>1093</v>
      </c>
      <c r="AH162" s="19" t="s">
        <v>45</v>
      </c>
      <c r="AI162" s="19"/>
    </row>
    <row r="163" spans="2:35" x14ac:dyDescent="0.35">
      <c r="B163" s="82">
        <v>46216</v>
      </c>
      <c r="C163" s="19" t="s">
        <v>1123</v>
      </c>
      <c r="D163" s="19" t="s">
        <v>11</v>
      </c>
      <c r="E163" s="83">
        <v>453</v>
      </c>
      <c r="F163" s="19" t="s">
        <v>1124</v>
      </c>
      <c r="G163" s="19" t="s">
        <v>1320</v>
      </c>
      <c r="H163" s="76">
        <v>46216</v>
      </c>
      <c r="I163" s="19" t="s">
        <v>36</v>
      </c>
      <c r="J163" s="19" t="s">
        <v>1156</v>
      </c>
      <c r="K163" s="19" t="s">
        <v>45</v>
      </c>
      <c r="L163" s="19" t="s">
        <v>1157</v>
      </c>
      <c r="M163" s="19" t="s">
        <v>1156</v>
      </c>
      <c r="N163" s="19">
        <v>378</v>
      </c>
      <c r="O163" s="19">
        <v>58646.7</v>
      </c>
      <c r="P163" s="19" t="s">
        <v>1322</v>
      </c>
      <c r="Q163" s="19">
        <v>0</v>
      </c>
      <c r="R163" s="19">
        <v>9</v>
      </c>
      <c r="S163" s="19">
        <v>5278.2</v>
      </c>
      <c r="T163" s="19">
        <v>9</v>
      </c>
      <c r="U163" s="19">
        <v>5278.2</v>
      </c>
      <c r="V163" s="19">
        <v>0</v>
      </c>
      <c r="W163" s="19">
        <v>0</v>
      </c>
      <c r="X163" s="19">
        <v>0</v>
      </c>
      <c r="Y163" s="19">
        <v>10556.4</v>
      </c>
      <c r="Z163" s="19">
        <v>0</v>
      </c>
      <c r="AA163" s="19" t="s">
        <v>179</v>
      </c>
      <c r="AB163" s="19" t="s">
        <v>1091</v>
      </c>
      <c r="AC163" s="19">
        <v>39269080</v>
      </c>
      <c r="AD163" s="19" t="s">
        <v>1092</v>
      </c>
      <c r="AE163" s="19">
        <v>1</v>
      </c>
      <c r="AF163" s="19">
        <v>378</v>
      </c>
      <c r="AG163" s="19" t="s">
        <v>1093</v>
      </c>
      <c r="AH163" s="19" t="s">
        <v>45</v>
      </c>
      <c r="AI163" s="19"/>
    </row>
    <row r="164" spans="2:35" x14ac:dyDescent="0.35">
      <c r="B164" s="82">
        <v>46216</v>
      </c>
      <c r="C164" s="19" t="s">
        <v>1123</v>
      </c>
      <c r="D164" s="19" t="s">
        <v>11</v>
      </c>
      <c r="E164" s="83">
        <v>453</v>
      </c>
      <c r="F164" s="19" t="s">
        <v>1124</v>
      </c>
      <c r="G164" s="19" t="s">
        <v>1320</v>
      </c>
      <c r="H164" s="76">
        <v>46216</v>
      </c>
      <c r="I164" s="19" t="s">
        <v>36</v>
      </c>
      <c r="J164" s="19" t="s">
        <v>1156</v>
      </c>
      <c r="K164" s="19" t="s">
        <v>45</v>
      </c>
      <c r="L164" s="19" t="s">
        <v>1157</v>
      </c>
      <c r="M164" s="19" t="s">
        <v>1156</v>
      </c>
      <c r="N164" s="19">
        <v>77</v>
      </c>
      <c r="O164" s="19">
        <v>11946.55</v>
      </c>
      <c r="P164" s="19" t="s">
        <v>1158</v>
      </c>
      <c r="Q164" s="19">
        <v>0</v>
      </c>
      <c r="R164" s="19">
        <v>9</v>
      </c>
      <c r="S164" s="19">
        <v>1075.19</v>
      </c>
      <c r="T164" s="19">
        <v>9</v>
      </c>
      <c r="U164" s="19">
        <v>1075.19</v>
      </c>
      <c r="V164" s="19">
        <v>0</v>
      </c>
      <c r="W164" s="19">
        <v>0</v>
      </c>
      <c r="X164" s="19">
        <v>0</v>
      </c>
      <c r="Y164" s="19">
        <v>2150.38</v>
      </c>
      <c r="Z164" s="19">
        <v>0</v>
      </c>
      <c r="AA164" s="19" t="s">
        <v>179</v>
      </c>
      <c r="AB164" s="19" t="s">
        <v>1091</v>
      </c>
      <c r="AC164" s="19">
        <v>39269080</v>
      </c>
      <c r="AD164" s="19" t="s">
        <v>1092</v>
      </c>
      <c r="AE164" s="19">
        <v>1</v>
      </c>
      <c r="AF164" s="19">
        <v>77</v>
      </c>
      <c r="AG164" s="19" t="s">
        <v>1093</v>
      </c>
      <c r="AH164" s="19" t="s">
        <v>45</v>
      </c>
      <c r="AI164" s="19"/>
    </row>
    <row r="165" spans="2:35" hidden="1" x14ac:dyDescent="0.35">
      <c r="B165" s="82">
        <v>46216</v>
      </c>
      <c r="C165" s="19" t="s">
        <v>1123</v>
      </c>
      <c r="D165" s="19" t="s">
        <v>11</v>
      </c>
      <c r="E165" s="83">
        <v>454</v>
      </c>
      <c r="F165" s="19" t="s">
        <v>1124</v>
      </c>
      <c r="G165" s="19" t="s">
        <v>1323</v>
      </c>
      <c r="H165" s="76">
        <v>46216</v>
      </c>
      <c r="I165" s="19" t="s">
        <v>105</v>
      </c>
      <c r="J165" s="19" t="s">
        <v>1142</v>
      </c>
      <c r="K165" s="19" t="s">
        <v>1143</v>
      </c>
      <c r="L165" s="19" t="s">
        <v>1144</v>
      </c>
      <c r="M165" s="19" t="s">
        <v>1145</v>
      </c>
      <c r="N165" s="19">
        <v>670</v>
      </c>
      <c r="O165" s="19">
        <v>32160</v>
      </c>
      <c r="P165" s="19" t="s">
        <v>1139</v>
      </c>
      <c r="Q165" s="19">
        <v>37916.639999999999</v>
      </c>
      <c r="R165" s="19">
        <v>9</v>
      </c>
      <c r="S165" s="19">
        <v>2894.4</v>
      </c>
      <c r="T165" s="19">
        <v>9</v>
      </c>
      <c r="U165" s="19">
        <v>2894.4</v>
      </c>
      <c r="V165" s="19">
        <v>0</v>
      </c>
      <c r="W165" s="19">
        <v>0</v>
      </c>
      <c r="X165" s="19">
        <v>0</v>
      </c>
      <c r="Y165" s="19">
        <v>5788.8</v>
      </c>
      <c r="Z165" s="19">
        <v>0</v>
      </c>
      <c r="AA165" s="19" t="s">
        <v>179</v>
      </c>
      <c r="AB165" s="19" t="s">
        <v>1091</v>
      </c>
      <c r="AC165" s="19">
        <v>73063090</v>
      </c>
      <c r="AD165" s="19" t="s">
        <v>1092</v>
      </c>
      <c r="AE165" s="19">
        <v>1</v>
      </c>
      <c r="AF165" s="19">
        <v>670</v>
      </c>
      <c r="AG165" s="19" t="s">
        <v>1093</v>
      </c>
      <c r="AH165" s="83" t="s">
        <v>2319</v>
      </c>
      <c r="AI165" s="19"/>
    </row>
    <row r="166" spans="2:35" x14ac:dyDescent="0.35">
      <c r="B166" s="82">
        <v>46216</v>
      </c>
      <c r="C166" s="19" t="s">
        <v>1136</v>
      </c>
      <c r="D166" s="19" t="s">
        <v>11</v>
      </c>
      <c r="E166" s="83">
        <v>451</v>
      </c>
      <c r="F166" s="19" t="s">
        <v>1085</v>
      </c>
      <c r="G166" s="19" t="s">
        <v>1324</v>
      </c>
      <c r="H166" s="76">
        <v>46216</v>
      </c>
      <c r="I166" s="19" t="s">
        <v>49</v>
      </c>
      <c r="J166" s="19" t="s">
        <v>50</v>
      </c>
      <c r="K166" s="19" t="s">
        <v>50</v>
      </c>
      <c r="L166" s="19" t="s">
        <v>1095</v>
      </c>
      <c r="M166" s="19" t="s">
        <v>1096</v>
      </c>
      <c r="N166" s="19">
        <v>3968.4</v>
      </c>
      <c r="O166" s="19">
        <v>965551.4</v>
      </c>
      <c r="P166" s="19" t="s">
        <v>1325</v>
      </c>
      <c r="Q166" s="19">
        <v>1138385.1100000001</v>
      </c>
      <c r="R166" s="19">
        <v>9</v>
      </c>
      <c r="S166" s="19">
        <v>86899.63</v>
      </c>
      <c r="T166" s="19">
        <v>9</v>
      </c>
      <c r="U166" s="19">
        <v>86899.63</v>
      </c>
      <c r="V166" s="19">
        <v>0</v>
      </c>
      <c r="W166" s="19">
        <v>0</v>
      </c>
      <c r="X166" s="19">
        <v>0</v>
      </c>
      <c r="Y166" s="19">
        <v>173799.26</v>
      </c>
      <c r="Z166" s="19">
        <v>0</v>
      </c>
      <c r="AA166" s="19" t="s">
        <v>135</v>
      </c>
      <c r="AB166" s="19" t="s">
        <v>1091</v>
      </c>
      <c r="AC166" s="19">
        <v>63053200</v>
      </c>
      <c r="AD166" s="19" t="s">
        <v>1092</v>
      </c>
      <c r="AE166" s="19">
        <v>1</v>
      </c>
      <c r="AF166" s="19">
        <v>3968.4</v>
      </c>
      <c r="AG166" s="19" t="s">
        <v>1093</v>
      </c>
      <c r="AH166" s="19" t="s">
        <v>50</v>
      </c>
      <c r="AI166" s="19"/>
    </row>
    <row r="167" spans="2:35" x14ac:dyDescent="0.35">
      <c r="B167" s="82">
        <v>46216</v>
      </c>
      <c r="C167" s="19" t="s">
        <v>1136</v>
      </c>
      <c r="D167" s="19" t="s">
        <v>11</v>
      </c>
      <c r="E167" s="83">
        <v>452</v>
      </c>
      <c r="F167" s="19" t="s">
        <v>1085</v>
      </c>
      <c r="G167" s="19" t="s">
        <v>1326</v>
      </c>
      <c r="H167" s="76">
        <v>46216</v>
      </c>
      <c r="I167" s="19" t="s">
        <v>49</v>
      </c>
      <c r="J167" s="19" t="s">
        <v>50</v>
      </c>
      <c r="K167" s="19" t="s">
        <v>50</v>
      </c>
      <c r="L167" s="19" t="s">
        <v>1095</v>
      </c>
      <c r="M167" s="19" t="s">
        <v>1096</v>
      </c>
      <c r="N167" s="19">
        <v>3296.8</v>
      </c>
      <c r="O167" s="19">
        <v>806364.31</v>
      </c>
      <c r="P167" s="19" t="s">
        <v>1327</v>
      </c>
      <c r="Q167" s="19">
        <v>1032774.88</v>
      </c>
      <c r="R167" s="19">
        <v>9</v>
      </c>
      <c r="S167" s="19">
        <v>72572.789999999994</v>
      </c>
      <c r="T167" s="19">
        <v>9</v>
      </c>
      <c r="U167" s="19">
        <v>72572.789999999994</v>
      </c>
      <c r="V167" s="19">
        <v>0</v>
      </c>
      <c r="W167" s="19">
        <v>0</v>
      </c>
      <c r="X167" s="19">
        <v>0</v>
      </c>
      <c r="Y167" s="19">
        <v>145145.57999999999</v>
      </c>
      <c r="Z167" s="19">
        <v>0</v>
      </c>
      <c r="AA167" s="19" t="s">
        <v>135</v>
      </c>
      <c r="AB167" s="19" t="s">
        <v>1091</v>
      </c>
      <c r="AC167" s="19">
        <v>63053200</v>
      </c>
      <c r="AD167" s="19" t="s">
        <v>1092</v>
      </c>
      <c r="AE167" s="19">
        <v>1</v>
      </c>
      <c r="AF167" s="19">
        <v>3296.8</v>
      </c>
      <c r="AG167" s="19" t="s">
        <v>1093</v>
      </c>
      <c r="AH167" s="19" t="s">
        <v>50</v>
      </c>
      <c r="AI167" s="19"/>
    </row>
    <row r="168" spans="2:35" x14ac:dyDescent="0.35">
      <c r="B168" s="82">
        <v>46216</v>
      </c>
      <c r="C168" s="19" t="s">
        <v>1136</v>
      </c>
      <c r="D168" s="19" t="s">
        <v>11</v>
      </c>
      <c r="E168" s="83">
        <v>452</v>
      </c>
      <c r="F168" s="19" t="s">
        <v>1085</v>
      </c>
      <c r="G168" s="19" t="s">
        <v>1326</v>
      </c>
      <c r="H168" s="76">
        <v>46216</v>
      </c>
      <c r="I168" s="19" t="s">
        <v>49</v>
      </c>
      <c r="J168" s="19" t="s">
        <v>50</v>
      </c>
      <c r="K168" s="19" t="s">
        <v>50</v>
      </c>
      <c r="L168" s="19" t="s">
        <v>1095</v>
      </c>
      <c r="M168" s="19" t="s">
        <v>1096</v>
      </c>
      <c r="N168" s="19">
        <v>286.10000000000002</v>
      </c>
      <c r="O168" s="19">
        <v>69610.990000000005</v>
      </c>
      <c r="P168" s="19" t="s">
        <v>1325</v>
      </c>
      <c r="Q168" s="19">
        <v>0</v>
      </c>
      <c r="R168" s="19">
        <v>9</v>
      </c>
      <c r="S168" s="19">
        <v>6264.99</v>
      </c>
      <c r="T168" s="19">
        <v>9</v>
      </c>
      <c r="U168" s="19">
        <v>6264.99</v>
      </c>
      <c r="V168" s="19">
        <v>0</v>
      </c>
      <c r="W168" s="19">
        <v>0</v>
      </c>
      <c r="X168" s="19">
        <v>0</v>
      </c>
      <c r="Y168" s="19">
        <v>12529.98</v>
      </c>
      <c r="Z168" s="19">
        <v>0</v>
      </c>
      <c r="AA168" s="19" t="s">
        <v>135</v>
      </c>
      <c r="AB168" s="19" t="s">
        <v>1091</v>
      </c>
      <c r="AC168" s="19">
        <v>63053200</v>
      </c>
      <c r="AD168" s="19" t="s">
        <v>1092</v>
      </c>
      <c r="AE168" s="19">
        <v>1</v>
      </c>
      <c r="AF168" s="19">
        <v>286.10000000000002</v>
      </c>
      <c r="AG168" s="19" t="s">
        <v>1093</v>
      </c>
      <c r="AH168" s="19" t="s">
        <v>50</v>
      </c>
      <c r="AI168" s="19"/>
    </row>
    <row r="169" spans="2:35" x14ac:dyDescent="0.35">
      <c r="B169" s="82">
        <v>46216</v>
      </c>
      <c r="C169" s="19" t="s">
        <v>1171</v>
      </c>
      <c r="D169" s="19" t="s">
        <v>11</v>
      </c>
      <c r="E169" s="83">
        <v>455</v>
      </c>
      <c r="F169" s="19" t="s">
        <v>1085</v>
      </c>
      <c r="G169" s="19" t="s">
        <v>1328</v>
      </c>
      <c r="H169" s="76">
        <v>46216</v>
      </c>
      <c r="I169" s="19" t="s">
        <v>49</v>
      </c>
      <c r="J169" s="19" t="s">
        <v>50</v>
      </c>
      <c r="K169" s="19" t="s">
        <v>50</v>
      </c>
      <c r="L169" s="19" t="s">
        <v>1095</v>
      </c>
      <c r="M169" s="19" t="s">
        <v>1098</v>
      </c>
      <c r="N169" s="19">
        <v>6672</v>
      </c>
      <c r="O169" s="19">
        <v>2004468.96</v>
      </c>
      <c r="P169" s="19" t="s">
        <v>1329</v>
      </c>
      <c r="Q169" s="19">
        <v>2363268.91</v>
      </c>
      <c r="R169" s="19">
        <v>9</v>
      </c>
      <c r="S169" s="19">
        <v>180402.21</v>
      </c>
      <c r="T169" s="19">
        <v>9</v>
      </c>
      <c r="U169" s="19">
        <v>180402.21</v>
      </c>
      <c r="V169" s="19">
        <v>0</v>
      </c>
      <c r="W169" s="19">
        <v>0</v>
      </c>
      <c r="X169" s="19">
        <v>0</v>
      </c>
      <c r="Y169" s="19">
        <v>360804.42</v>
      </c>
      <c r="Z169" s="19">
        <v>0</v>
      </c>
      <c r="AA169" s="19" t="s">
        <v>614</v>
      </c>
      <c r="AB169" s="19" t="s">
        <v>1091</v>
      </c>
      <c r="AC169" s="19">
        <v>63053200</v>
      </c>
      <c r="AD169" s="19" t="s">
        <v>1092</v>
      </c>
      <c r="AE169" s="19">
        <v>1</v>
      </c>
      <c r="AF169" s="19">
        <v>6672</v>
      </c>
      <c r="AG169" s="19" t="s">
        <v>1093</v>
      </c>
      <c r="AH169" s="19" t="s">
        <v>50</v>
      </c>
      <c r="AI169" s="19"/>
    </row>
    <row r="170" spans="2:35" x14ac:dyDescent="0.35">
      <c r="B170" s="82">
        <v>46216</v>
      </c>
      <c r="C170" s="19" t="s">
        <v>1330</v>
      </c>
      <c r="D170" s="19" t="s">
        <v>1109</v>
      </c>
      <c r="E170" s="83" t="s">
        <v>1331</v>
      </c>
      <c r="F170" s="19" t="s">
        <v>1291</v>
      </c>
      <c r="G170" s="19" t="s">
        <v>1331</v>
      </c>
      <c r="H170" s="76">
        <v>46216</v>
      </c>
      <c r="I170" s="19" t="s">
        <v>49</v>
      </c>
      <c r="J170" s="19" t="s">
        <v>50</v>
      </c>
      <c r="K170" s="19" t="s">
        <v>50</v>
      </c>
      <c r="L170" s="19" t="s">
        <v>1095</v>
      </c>
      <c r="M170" s="19" t="s">
        <v>1096</v>
      </c>
      <c r="N170" s="19">
        <v>22424</v>
      </c>
      <c r="O170" s="19">
        <v>4623247.75</v>
      </c>
      <c r="P170" s="19" t="s">
        <v>1112</v>
      </c>
      <c r="Q170" s="19">
        <v>4623247.75</v>
      </c>
      <c r="R170" s="19">
        <v>0</v>
      </c>
      <c r="S170" s="19">
        <v>0</v>
      </c>
      <c r="T170" s="19">
        <v>0</v>
      </c>
      <c r="U170" s="19">
        <v>0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 t="s">
        <v>229</v>
      </c>
      <c r="AB170" s="19" t="s">
        <v>1091</v>
      </c>
      <c r="AC170" s="19">
        <v>63053200</v>
      </c>
      <c r="AD170" s="19" t="s">
        <v>1113</v>
      </c>
      <c r="AE170" s="19">
        <v>93.5</v>
      </c>
      <c r="AF170" s="19">
        <v>22424</v>
      </c>
      <c r="AG170" s="19" t="s">
        <v>1332</v>
      </c>
      <c r="AH170" s="19" t="s">
        <v>50</v>
      </c>
      <c r="AI170" s="19"/>
    </row>
    <row r="171" spans="2:35" x14ac:dyDescent="0.35">
      <c r="B171" s="82">
        <v>46217</v>
      </c>
      <c r="C171" s="19" t="s">
        <v>1333</v>
      </c>
      <c r="D171" s="19" t="s">
        <v>11</v>
      </c>
      <c r="E171" s="83">
        <v>456</v>
      </c>
      <c r="F171" s="19" t="s">
        <v>1103</v>
      </c>
      <c r="G171" s="19" t="s">
        <v>1334</v>
      </c>
      <c r="H171" s="76">
        <v>46217</v>
      </c>
      <c r="I171" s="19" t="s">
        <v>49</v>
      </c>
      <c r="J171" s="19" t="s">
        <v>50</v>
      </c>
      <c r="K171" s="19" t="s">
        <v>50</v>
      </c>
      <c r="L171" s="19" t="s">
        <v>1095</v>
      </c>
      <c r="M171" s="19" t="s">
        <v>1096</v>
      </c>
      <c r="N171" s="19">
        <v>57.1</v>
      </c>
      <c r="O171" s="19">
        <v>16000</v>
      </c>
      <c r="P171" s="19" t="s">
        <v>1335</v>
      </c>
      <c r="Q171" s="19">
        <v>18880</v>
      </c>
      <c r="R171" s="19">
        <v>0</v>
      </c>
      <c r="S171" s="19">
        <v>0</v>
      </c>
      <c r="T171" s="19">
        <v>0</v>
      </c>
      <c r="U171" s="19">
        <v>0</v>
      </c>
      <c r="V171" s="19">
        <v>18</v>
      </c>
      <c r="W171" s="19">
        <v>2880</v>
      </c>
      <c r="X171" s="19">
        <v>0</v>
      </c>
      <c r="Y171" s="19">
        <v>2880</v>
      </c>
      <c r="Z171" s="19">
        <v>0</v>
      </c>
      <c r="AA171" s="19" t="s">
        <v>1336</v>
      </c>
      <c r="AB171" s="19" t="s">
        <v>1091</v>
      </c>
      <c r="AC171" s="19">
        <v>63053200</v>
      </c>
      <c r="AD171" s="19" t="s">
        <v>1092</v>
      </c>
      <c r="AE171" s="19">
        <v>1</v>
      </c>
      <c r="AF171" s="19">
        <v>57.1</v>
      </c>
      <c r="AG171" s="19" t="s">
        <v>1093</v>
      </c>
      <c r="AH171" s="19" t="s">
        <v>50</v>
      </c>
      <c r="AI171" s="19"/>
    </row>
    <row r="172" spans="2:35" hidden="1" x14ac:dyDescent="0.35">
      <c r="B172" s="82">
        <v>46217</v>
      </c>
      <c r="C172" s="19" t="s">
        <v>1300</v>
      </c>
      <c r="D172" s="19" t="s">
        <v>11</v>
      </c>
      <c r="E172" s="83">
        <v>458</v>
      </c>
      <c r="F172" s="19" t="s">
        <v>1274</v>
      </c>
      <c r="G172" s="19" t="s">
        <v>1337</v>
      </c>
      <c r="H172" s="76">
        <v>46217</v>
      </c>
      <c r="I172" s="19" t="s">
        <v>104</v>
      </c>
      <c r="J172" s="19" t="s">
        <v>48</v>
      </c>
      <c r="K172" s="19" t="s">
        <v>1276</v>
      </c>
      <c r="L172" s="19" t="s">
        <v>1276</v>
      </c>
      <c r="M172" s="19" t="s">
        <v>1302</v>
      </c>
      <c r="N172" s="19">
        <v>3260</v>
      </c>
      <c r="O172" s="19">
        <v>42380</v>
      </c>
      <c r="P172" s="19" t="s">
        <v>1302</v>
      </c>
      <c r="Q172" s="19">
        <v>45388.98</v>
      </c>
      <c r="R172" s="19">
        <v>2.5</v>
      </c>
      <c r="S172" s="19">
        <v>1059.5</v>
      </c>
      <c r="T172" s="19">
        <v>2.5</v>
      </c>
      <c r="U172" s="19">
        <v>1059.5</v>
      </c>
      <c r="V172" s="19">
        <v>0</v>
      </c>
      <c r="W172" s="19">
        <v>0</v>
      </c>
      <c r="X172" s="19">
        <v>0</v>
      </c>
      <c r="Y172" s="19">
        <v>2119</v>
      </c>
      <c r="Z172" s="19">
        <v>889.98</v>
      </c>
      <c r="AA172" s="19" t="s">
        <v>1303</v>
      </c>
      <c r="AB172" s="19" t="s">
        <v>1091</v>
      </c>
      <c r="AC172" s="19">
        <v>440139</v>
      </c>
      <c r="AD172" s="19" t="s">
        <v>1092</v>
      </c>
      <c r="AE172" s="19">
        <v>1</v>
      </c>
      <c r="AF172" s="19">
        <v>3260</v>
      </c>
      <c r="AG172" s="19" t="s">
        <v>1093</v>
      </c>
      <c r="AH172" s="83" t="s">
        <v>2319</v>
      </c>
      <c r="AI172" s="19"/>
    </row>
    <row r="173" spans="2:35" x14ac:dyDescent="0.35">
      <c r="B173" s="82">
        <v>46217</v>
      </c>
      <c r="C173" s="19" t="s">
        <v>1084</v>
      </c>
      <c r="D173" s="19" t="s">
        <v>11</v>
      </c>
      <c r="E173" s="83">
        <v>457</v>
      </c>
      <c r="F173" s="19" t="s">
        <v>1085</v>
      </c>
      <c r="G173" s="19" t="s">
        <v>1338</v>
      </c>
      <c r="H173" s="76">
        <v>46217</v>
      </c>
      <c r="I173" s="19" t="s">
        <v>28</v>
      </c>
      <c r="J173" s="19" t="s">
        <v>1173</v>
      </c>
      <c r="K173" s="19" t="s">
        <v>34</v>
      </c>
      <c r="L173" s="19" t="s">
        <v>1105</v>
      </c>
      <c r="M173" s="19" t="s">
        <v>1339</v>
      </c>
      <c r="N173" s="19">
        <v>8000</v>
      </c>
      <c r="O173" s="19">
        <v>612800</v>
      </c>
      <c r="P173" s="19" t="s">
        <v>1339</v>
      </c>
      <c r="Q173" s="19">
        <v>722491.2</v>
      </c>
      <c r="R173" s="19">
        <v>9</v>
      </c>
      <c r="S173" s="19">
        <v>55152</v>
      </c>
      <c r="T173" s="19">
        <v>9</v>
      </c>
      <c r="U173" s="19">
        <v>55152</v>
      </c>
      <c r="V173" s="19">
        <v>0</v>
      </c>
      <c r="W173" s="19">
        <v>0</v>
      </c>
      <c r="X173" s="19">
        <v>0</v>
      </c>
      <c r="Y173" s="19">
        <v>110304</v>
      </c>
      <c r="Z173" s="19">
        <v>0</v>
      </c>
      <c r="AA173" s="19" t="s">
        <v>135</v>
      </c>
      <c r="AB173" s="19" t="s">
        <v>1091</v>
      </c>
      <c r="AC173" s="19">
        <v>39021000</v>
      </c>
      <c r="AD173" s="19" t="s">
        <v>1092</v>
      </c>
      <c r="AE173" s="19">
        <v>1</v>
      </c>
      <c r="AF173" s="19">
        <v>8000</v>
      </c>
      <c r="AG173" s="19" t="s">
        <v>1093</v>
      </c>
      <c r="AH173" s="19" t="s">
        <v>34</v>
      </c>
      <c r="AI173" s="19"/>
    </row>
    <row r="174" spans="2:35" x14ac:dyDescent="0.35">
      <c r="B174" s="82">
        <v>46217</v>
      </c>
      <c r="C174" s="19" t="s">
        <v>1084</v>
      </c>
      <c r="D174" s="19" t="s">
        <v>11</v>
      </c>
      <c r="E174" s="83">
        <v>460</v>
      </c>
      <c r="F174" s="19" t="s">
        <v>1085</v>
      </c>
      <c r="G174" s="19" t="s">
        <v>1340</v>
      </c>
      <c r="H174" s="76">
        <v>46217</v>
      </c>
      <c r="I174" s="19" t="s">
        <v>36</v>
      </c>
      <c r="J174" s="19" t="s">
        <v>1087</v>
      </c>
      <c r="K174" s="19" t="s">
        <v>46</v>
      </c>
      <c r="L174" s="19" t="s">
        <v>1138</v>
      </c>
      <c r="M174" s="19" t="s">
        <v>1181</v>
      </c>
      <c r="N174" s="19">
        <v>435</v>
      </c>
      <c r="O174" s="19">
        <v>67055.25</v>
      </c>
      <c r="P174" s="19" t="s">
        <v>1182</v>
      </c>
      <c r="Q174" s="19">
        <v>738476.91</v>
      </c>
      <c r="R174" s="19">
        <v>2.5</v>
      </c>
      <c r="S174" s="19">
        <v>1676.38</v>
      </c>
      <c r="T174" s="19">
        <v>2.5</v>
      </c>
      <c r="U174" s="19">
        <v>1676.38</v>
      </c>
      <c r="V174" s="19">
        <v>0</v>
      </c>
      <c r="W174" s="19">
        <v>0</v>
      </c>
      <c r="X174" s="19">
        <v>0</v>
      </c>
      <c r="Y174" s="19">
        <v>3352.76</v>
      </c>
      <c r="Z174" s="19">
        <v>0</v>
      </c>
      <c r="AA174" s="19" t="s">
        <v>135</v>
      </c>
      <c r="AB174" s="19" t="s">
        <v>1091</v>
      </c>
      <c r="AC174" s="19">
        <v>54026930</v>
      </c>
      <c r="AD174" s="19" t="s">
        <v>1092</v>
      </c>
      <c r="AE174" s="19">
        <v>1</v>
      </c>
      <c r="AF174" s="19">
        <v>435</v>
      </c>
      <c r="AG174" s="19" t="s">
        <v>1093</v>
      </c>
      <c r="AH174" s="19" t="s">
        <v>46</v>
      </c>
      <c r="AI174" s="19"/>
    </row>
    <row r="175" spans="2:35" x14ac:dyDescent="0.35">
      <c r="B175" s="82">
        <v>46217</v>
      </c>
      <c r="C175" s="19" t="s">
        <v>1084</v>
      </c>
      <c r="D175" s="19" t="s">
        <v>11</v>
      </c>
      <c r="E175" s="83">
        <v>460</v>
      </c>
      <c r="F175" s="19" t="s">
        <v>1085</v>
      </c>
      <c r="G175" s="19" t="s">
        <v>1340</v>
      </c>
      <c r="H175" s="76">
        <v>46217</v>
      </c>
      <c r="I175" s="19" t="s">
        <v>36</v>
      </c>
      <c r="J175" s="19" t="s">
        <v>1087</v>
      </c>
      <c r="K175" s="19" t="s">
        <v>46</v>
      </c>
      <c r="L175" s="19" t="s">
        <v>1138</v>
      </c>
      <c r="M175" s="19" t="s">
        <v>1089</v>
      </c>
      <c r="N175" s="19">
        <v>1015</v>
      </c>
      <c r="O175" s="19">
        <v>153417.25</v>
      </c>
      <c r="P175" s="19" t="s">
        <v>1090</v>
      </c>
      <c r="Q175" s="19">
        <v>0</v>
      </c>
      <c r="R175" s="19">
        <v>2.5</v>
      </c>
      <c r="S175" s="19">
        <v>3835.43</v>
      </c>
      <c r="T175" s="19">
        <v>2.5</v>
      </c>
      <c r="U175" s="19">
        <v>3835.43</v>
      </c>
      <c r="V175" s="19">
        <v>0</v>
      </c>
      <c r="W175" s="19">
        <v>0</v>
      </c>
      <c r="X175" s="19">
        <v>0</v>
      </c>
      <c r="Y175" s="19">
        <v>7670.86</v>
      </c>
      <c r="Z175" s="19">
        <v>0</v>
      </c>
      <c r="AA175" s="19" t="s">
        <v>135</v>
      </c>
      <c r="AB175" s="19" t="s">
        <v>1091</v>
      </c>
      <c r="AC175" s="19">
        <v>54026930</v>
      </c>
      <c r="AD175" s="19" t="s">
        <v>1092</v>
      </c>
      <c r="AE175" s="19">
        <v>1</v>
      </c>
      <c r="AF175" s="19">
        <v>1015</v>
      </c>
      <c r="AG175" s="19" t="s">
        <v>1093</v>
      </c>
      <c r="AH175" s="19" t="s">
        <v>46</v>
      </c>
      <c r="AI175" s="19"/>
    </row>
    <row r="176" spans="2:35" ht="29" x14ac:dyDescent="0.35">
      <c r="B176" s="82">
        <v>46217</v>
      </c>
      <c r="C176" s="19" t="s">
        <v>1084</v>
      </c>
      <c r="D176" s="19" t="s">
        <v>11</v>
      </c>
      <c r="E176" s="83">
        <v>460</v>
      </c>
      <c r="F176" s="19" t="s">
        <v>1085</v>
      </c>
      <c r="G176" s="19" t="s">
        <v>1340</v>
      </c>
      <c r="H176" s="76">
        <v>46217</v>
      </c>
      <c r="I176" s="19" t="s">
        <v>36</v>
      </c>
      <c r="J176" s="19" t="s">
        <v>1117</v>
      </c>
      <c r="K176" s="19" t="s">
        <v>42</v>
      </c>
      <c r="L176" s="19" t="s">
        <v>1242</v>
      </c>
      <c r="M176" s="19" t="s">
        <v>1154</v>
      </c>
      <c r="N176" s="19">
        <v>1755.9</v>
      </c>
      <c r="O176" s="19">
        <v>275939.68</v>
      </c>
      <c r="P176" s="84" t="s">
        <v>1341</v>
      </c>
      <c r="Q176" s="19">
        <v>0</v>
      </c>
      <c r="R176" s="19">
        <v>9</v>
      </c>
      <c r="S176" s="19">
        <v>24834.57</v>
      </c>
      <c r="T176" s="19">
        <v>9</v>
      </c>
      <c r="U176" s="19">
        <v>24834.57</v>
      </c>
      <c r="V176" s="19">
        <v>0</v>
      </c>
      <c r="W176" s="19">
        <v>0</v>
      </c>
      <c r="X176" s="19">
        <v>0</v>
      </c>
      <c r="Y176" s="19">
        <v>49669.14</v>
      </c>
      <c r="Z176" s="19">
        <v>0</v>
      </c>
      <c r="AA176" s="19" t="s">
        <v>135</v>
      </c>
      <c r="AB176" s="19" t="s">
        <v>1091</v>
      </c>
      <c r="AC176" s="19">
        <v>39269080</v>
      </c>
      <c r="AD176" s="19" t="s">
        <v>1092</v>
      </c>
      <c r="AE176" s="19">
        <v>1</v>
      </c>
      <c r="AF176" s="19">
        <v>1755.9</v>
      </c>
      <c r="AG176" s="19" t="s">
        <v>1093</v>
      </c>
      <c r="AH176" s="19" t="s">
        <v>42</v>
      </c>
      <c r="AI176" s="19"/>
    </row>
    <row r="177" spans="2:35" ht="29" x14ac:dyDescent="0.35">
      <c r="B177" s="82">
        <v>46217</v>
      </c>
      <c r="C177" s="19" t="s">
        <v>1084</v>
      </c>
      <c r="D177" s="19" t="s">
        <v>11</v>
      </c>
      <c r="E177" s="83">
        <v>460</v>
      </c>
      <c r="F177" s="19" t="s">
        <v>1085</v>
      </c>
      <c r="G177" s="19" t="s">
        <v>1340</v>
      </c>
      <c r="H177" s="76">
        <v>46217</v>
      </c>
      <c r="I177" s="19" t="s">
        <v>36</v>
      </c>
      <c r="J177" s="19" t="s">
        <v>1117</v>
      </c>
      <c r="K177" s="19" t="s">
        <v>42</v>
      </c>
      <c r="L177" s="19" t="s">
        <v>1242</v>
      </c>
      <c r="M177" s="19" t="s">
        <v>1154</v>
      </c>
      <c r="N177" s="19">
        <v>963.2</v>
      </c>
      <c r="O177" s="19">
        <v>154256.48000000001</v>
      </c>
      <c r="P177" s="84" t="s">
        <v>1342</v>
      </c>
      <c r="Q177" s="19">
        <v>0</v>
      </c>
      <c r="R177" s="19">
        <v>9</v>
      </c>
      <c r="S177" s="19">
        <v>13883.08</v>
      </c>
      <c r="T177" s="19">
        <v>9</v>
      </c>
      <c r="U177" s="19">
        <v>13883.08</v>
      </c>
      <c r="V177" s="19">
        <v>0</v>
      </c>
      <c r="W177" s="19">
        <v>0</v>
      </c>
      <c r="X177" s="19">
        <v>0</v>
      </c>
      <c r="Y177" s="19">
        <v>27766.16</v>
      </c>
      <c r="Z177" s="19">
        <v>0</v>
      </c>
      <c r="AA177" s="19" t="s">
        <v>135</v>
      </c>
      <c r="AB177" s="19" t="s">
        <v>1091</v>
      </c>
      <c r="AC177" s="19">
        <v>39269080</v>
      </c>
      <c r="AD177" s="19" t="s">
        <v>1092</v>
      </c>
      <c r="AE177" s="19">
        <v>1</v>
      </c>
      <c r="AF177" s="19">
        <v>963.2</v>
      </c>
      <c r="AG177" s="19" t="s">
        <v>1093</v>
      </c>
      <c r="AH177" s="19" t="s">
        <v>42</v>
      </c>
      <c r="AI177" s="19"/>
    </row>
    <row r="178" spans="2:35" x14ac:dyDescent="0.35">
      <c r="B178" s="82">
        <v>46217</v>
      </c>
      <c r="C178" s="19" t="s">
        <v>1136</v>
      </c>
      <c r="D178" s="19" t="s">
        <v>11</v>
      </c>
      <c r="E178" s="83">
        <v>459</v>
      </c>
      <c r="F178" s="19" t="s">
        <v>1085</v>
      </c>
      <c r="G178" s="19" t="s">
        <v>1343</v>
      </c>
      <c r="H178" s="76">
        <v>46217</v>
      </c>
      <c r="I178" s="19" t="s">
        <v>36</v>
      </c>
      <c r="J178" s="19" t="s">
        <v>1087</v>
      </c>
      <c r="K178" s="19" t="s">
        <v>46</v>
      </c>
      <c r="L178" s="19" t="s">
        <v>1138</v>
      </c>
      <c r="M178" s="19" t="s">
        <v>1089</v>
      </c>
      <c r="N178" s="19">
        <v>1400</v>
      </c>
      <c r="O178" s="19">
        <v>211610</v>
      </c>
      <c r="P178" s="19" t="s">
        <v>1090</v>
      </c>
      <c r="Q178" s="19">
        <v>812456.78</v>
      </c>
      <c r="R178" s="19">
        <v>2.5</v>
      </c>
      <c r="S178" s="19">
        <v>5290.25</v>
      </c>
      <c r="T178" s="19">
        <v>2.5</v>
      </c>
      <c r="U178" s="19">
        <v>5290.25</v>
      </c>
      <c r="V178" s="19">
        <v>0</v>
      </c>
      <c r="W178" s="19">
        <v>0</v>
      </c>
      <c r="X178" s="19">
        <v>0</v>
      </c>
      <c r="Y178" s="19">
        <v>10580.5</v>
      </c>
      <c r="Z178" s="19">
        <v>0</v>
      </c>
      <c r="AA178" s="19" t="s">
        <v>135</v>
      </c>
      <c r="AB178" s="19" t="s">
        <v>1091</v>
      </c>
      <c r="AC178" s="19">
        <v>54026930</v>
      </c>
      <c r="AD178" s="19" t="s">
        <v>1092</v>
      </c>
      <c r="AE178" s="19">
        <v>1</v>
      </c>
      <c r="AF178" s="19">
        <v>1400</v>
      </c>
      <c r="AG178" s="19" t="s">
        <v>1093</v>
      </c>
      <c r="AH178" s="19" t="s">
        <v>46</v>
      </c>
      <c r="AI178" s="19"/>
    </row>
    <row r="179" spans="2:35" x14ac:dyDescent="0.35">
      <c r="B179" s="82">
        <v>46217</v>
      </c>
      <c r="C179" s="19" t="s">
        <v>1136</v>
      </c>
      <c r="D179" s="19" t="s">
        <v>11</v>
      </c>
      <c r="E179" s="83">
        <v>459</v>
      </c>
      <c r="F179" s="19" t="s">
        <v>1085</v>
      </c>
      <c r="G179" s="19" t="s">
        <v>1343</v>
      </c>
      <c r="H179" s="76">
        <v>46217</v>
      </c>
      <c r="I179" s="19" t="s">
        <v>36</v>
      </c>
      <c r="J179" s="19" t="s">
        <v>1156</v>
      </c>
      <c r="K179" s="19" t="s">
        <v>45</v>
      </c>
      <c r="L179" s="19" t="s">
        <v>1157</v>
      </c>
      <c r="M179" s="19" t="s">
        <v>1156</v>
      </c>
      <c r="N179" s="19">
        <v>2174.1999999999998</v>
      </c>
      <c r="O179" s="19">
        <v>343849.73</v>
      </c>
      <c r="P179" s="19" t="s">
        <v>1344</v>
      </c>
      <c r="Q179" s="19">
        <v>0</v>
      </c>
      <c r="R179" s="19">
        <v>9</v>
      </c>
      <c r="S179" s="19">
        <v>30946.48</v>
      </c>
      <c r="T179" s="19">
        <v>9</v>
      </c>
      <c r="U179" s="19">
        <v>30946.48</v>
      </c>
      <c r="V179" s="19">
        <v>0</v>
      </c>
      <c r="W179" s="19">
        <v>0</v>
      </c>
      <c r="X179" s="19">
        <v>0</v>
      </c>
      <c r="Y179" s="19">
        <v>61892.959999999999</v>
      </c>
      <c r="Z179" s="19">
        <v>0</v>
      </c>
      <c r="AA179" s="19" t="s">
        <v>135</v>
      </c>
      <c r="AB179" s="19" t="s">
        <v>1091</v>
      </c>
      <c r="AC179" s="19">
        <v>39269080</v>
      </c>
      <c r="AD179" s="19" t="s">
        <v>1092</v>
      </c>
      <c r="AE179" s="19">
        <v>1</v>
      </c>
      <c r="AF179" s="19">
        <v>2174.1999999999998</v>
      </c>
      <c r="AG179" s="19" t="s">
        <v>1093</v>
      </c>
      <c r="AH179" s="19" t="s">
        <v>45</v>
      </c>
      <c r="AI179" s="19"/>
    </row>
    <row r="180" spans="2:35" x14ac:dyDescent="0.35">
      <c r="B180" s="82">
        <v>46217</v>
      </c>
      <c r="C180" s="19" t="s">
        <v>1136</v>
      </c>
      <c r="D180" s="19" t="s">
        <v>11</v>
      </c>
      <c r="E180" s="83">
        <v>459</v>
      </c>
      <c r="F180" s="19" t="s">
        <v>1085</v>
      </c>
      <c r="G180" s="19" t="s">
        <v>1343</v>
      </c>
      <c r="H180" s="76">
        <v>46217</v>
      </c>
      <c r="I180" s="19" t="s">
        <v>36</v>
      </c>
      <c r="J180" s="19" t="s">
        <v>1156</v>
      </c>
      <c r="K180" s="19" t="s">
        <v>45</v>
      </c>
      <c r="L180" s="19" t="s">
        <v>1157</v>
      </c>
      <c r="M180" s="19" t="s">
        <v>1156</v>
      </c>
      <c r="N180" s="19">
        <v>992.6</v>
      </c>
      <c r="O180" s="19">
        <v>156979.69</v>
      </c>
      <c r="P180" s="19" t="s">
        <v>1345</v>
      </c>
      <c r="Q180" s="19">
        <v>0</v>
      </c>
      <c r="R180" s="19">
        <v>9</v>
      </c>
      <c r="S180" s="19">
        <v>14128.17</v>
      </c>
      <c r="T180" s="19">
        <v>9</v>
      </c>
      <c r="U180" s="19">
        <v>14128.17</v>
      </c>
      <c r="V180" s="19">
        <v>0</v>
      </c>
      <c r="W180" s="19">
        <v>0</v>
      </c>
      <c r="X180" s="19">
        <v>0</v>
      </c>
      <c r="Y180" s="19">
        <v>28256.34</v>
      </c>
      <c r="Z180" s="19">
        <v>0</v>
      </c>
      <c r="AA180" s="19" t="s">
        <v>135</v>
      </c>
      <c r="AB180" s="19" t="s">
        <v>1091</v>
      </c>
      <c r="AC180" s="19">
        <v>39269080</v>
      </c>
      <c r="AD180" s="19" t="s">
        <v>1092</v>
      </c>
      <c r="AE180" s="19">
        <v>1</v>
      </c>
      <c r="AF180" s="19">
        <v>992.6</v>
      </c>
      <c r="AG180" s="19" t="s">
        <v>1093</v>
      </c>
      <c r="AH180" s="19" t="s">
        <v>45</v>
      </c>
      <c r="AI180" s="19"/>
    </row>
    <row r="181" spans="2:35" x14ac:dyDescent="0.35">
      <c r="B181" s="82">
        <v>46217</v>
      </c>
      <c r="C181" s="19" t="s">
        <v>1171</v>
      </c>
      <c r="D181" s="19" t="s">
        <v>11</v>
      </c>
      <c r="E181" s="83">
        <v>461</v>
      </c>
      <c r="F181" s="19" t="s">
        <v>1085</v>
      </c>
      <c r="G181" s="19" t="s">
        <v>1346</v>
      </c>
      <c r="H181" s="76">
        <v>46217</v>
      </c>
      <c r="I181" s="19" t="s">
        <v>36</v>
      </c>
      <c r="J181" s="19" t="s">
        <v>1087</v>
      </c>
      <c r="K181" s="19" t="s">
        <v>46</v>
      </c>
      <c r="L181" s="19" t="s">
        <v>1240</v>
      </c>
      <c r="M181" s="19" t="s">
        <v>1241</v>
      </c>
      <c r="N181" s="19">
        <v>1190</v>
      </c>
      <c r="O181" s="19">
        <v>198313.5</v>
      </c>
      <c r="P181" s="19" t="s">
        <v>1241</v>
      </c>
      <c r="Q181" s="19">
        <v>208030.87</v>
      </c>
      <c r="R181" s="19">
        <v>2.5</v>
      </c>
      <c r="S181" s="19">
        <v>4957.84</v>
      </c>
      <c r="T181" s="19">
        <v>2.5</v>
      </c>
      <c r="U181" s="19">
        <v>4957.84</v>
      </c>
      <c r="V181" s="19">
        <v>0</v>
      </c>
      <c r="W181" s="19">
        <v>0</v>
      </c>
      <c r="X181" s="19">
        <v>0</v>
      </c>
      <c r="Y181" s="19">
        <v>9915.68</v>
      </c>
      <c r="Z181" s="19">
        <v>0</v>
      </c>
      <c r="AA181" s="19" t="s">
        <v>614</v>
      </c>
      <c r="AB181" s="19" t="s">
        <v>1091</v>
      </c>
      <c r="AC181" s="19">
        <v>54026930</v>
      </c>
      <c r="AD181" s="19" t="s">
        <v>1092</v>
      </c>
      <c r="AE181" s="19">
        <v>1</v>
      </c>
      <c r="AF181" s="19">
        <v>1190</v>
      </c>
      <c r="AG181" s="19" t="s">
        <v>1093</v>
      </c>
      <c r="AH181" s="19" t="s">
        <v>46</v>
      </c>
      <c r="AI181" s="19"/>
    </row>
    <row r="182" spans="2:35" hidden="1" x14ac:dyDescent="0.35">
      <c r="B182" s="82">
        <v>46218</v>
      </c>
      <c r="C182" s="19" t="s">
        <v>1300</v>
      </c>
      <c r="D182" s="19" t="s">
        <v>11</v>
      </c>
      <c r="E182" s="83">
        <v>464</v>
      </c>
      <c r="F182" s="19" t="s">
        <v>1274</v>
      </c>
      <c r="G182" s="19" t="s">
        <v>1347</v>
      </c>
      <c r="H182" s="76">
        <v>46218</v>
      </c>
      <c r="I182" s="19" t="s">
        <v>104</v>
      </c>
      <c r="J182" s="19" t="s">
        <v>48</v>
      </c>
      <c r="K182" s="19" t="s">
        <v>1276</v>
      </c>
      <c r="L182" s="19" t="s">
        <v>1276</v>
      </c>
      <c r="M182" s="19" t="s">
        <v>1302</v>
      </c>
      <c r="N182" s="19">
        <v>3560</v>
      </c>
      <c r="O182" s="19">
        <v>46280</v>
      </c>
      <c r="P182" s="19" t="s">
        <v>1302</v>
      </c>
      <c r="Q182" s="19">
        <v>49565.88</v>
      </c>
      <c r="R182" s="19">
        <v>2.5</v>
      </c>
      <c r="S182" s="19">
        <v>1157</v>
      </c>
      <c r="T182" s="19">
        <v>2.5</v>
      </c>
      <c r="U182" s="19">
        <v>1157</v>
      </c>
      <c r="V182" s="19">
        <v>0</v>
      </c>
      <c r="W182" s="19">
        <v>0</v>
      </c>
      <c r="X182" s="19">
        <v>0</v>
      </c>
      <c r="Y182" s="19">
        <v>2314</v>
      </c>
      <c r="Z182" s="19">
        <v>971.88</v>
      </c>
      <c r="AA182" s="19" t="s">
        <v>1303</v>
      </c>
      <c r="AB182" s="19" t="s">
        <v>1091</v>
      </c>
      <c r="AC182" s="19">
        <v>440139</v>
      </c>
      <c r="AD182" s="19" t="s">
        <v>1092</v>
      </c>
      <c r="AE182" s="19">
        <v>1</v>
      </c>
      <c r="AF182" s="19">
        <v>3560</v>
      </c>
      <c r="AG182" s="19" t="s">
        <v>1093</v>
      </c>
      <c r="AH182" s="83" t="s">
        <v>2319</v>
      </c>
      <c r="AI182" s="19"/>
    </row>
    <row r="183" spans="2:35" x14ac:dyDescent="0.35">
      <c r="B183" s="82">
        <v>46218</v>
      </c>
      <c r="C183" s="19" t="s">
        <v>245</v>
      </c>
      <c r="D183" s="19" t="s">
        <v>11</v>
      </c>
      <c r="E183" s="83">
        <v>466</v>
      </c>
      <c r="F183" s="19" t="s">
        <v>1085</v>
      </c>
      <c r="G183" s="19" t="s">
        <v>1348</v>
      </c>
      <c r="H183" s="76">
        <v>46218</v>
      </c>
      <c r="I183" s="19" t="s">
        <v>36</v>
      </c>
      <c r="J183" s="19" t="s">
        <v>1087</v>
      </c>
      <c r="K183" s="19" t="s">
        <v>46</v>
      </c>
      <c r="L183" s="19" t="s">
        <v>1138</v>
      </c>
      <c r="M183" s="19" t="s">
        <v>1181</v>
      </c>
      <c r="N183" s="19">
        <v>400</v>
      </c>
      <c r="O183" s="19">
        <v>61660</v>
      </c>
      <c r="P183" s="19" t="s">
        <v>1182</v>
      </c>
      <c r="Q183" s="19">
        <v>760033.19</v>
      </c>
      <c r="R183" s="19">
        <v>2.5</v>
      </c>
      <c r="S183" s="19">
        <v>1541.5</v>
      </c>
      <c r="T183" s="19">
        <v>2.5</v>
      </c>
      <c r="U183" s="19">
        <v>1541.5</v>
      </c>
      <c r="V183" s="19">
        <v>0</v>
      </c>
      <c r="W183" s="19">
        <v>0</v>
      </c>
      <c r="X183" s="19">
        <v>0</v>
      </c>
      <c r="Y183" s="19">
        <v>3083</v>
      </c>
      <c r="Z183" s="19">
        <v>0</v>
      </c>
      <c r="AA183" s="19" t="s">
        <v>179</v>
      </c>
      <c r="AB183" s="19" t="s">
        <v>1091</v>
      </c>
      <c r="AC183" s="19">
        <v>54026930</v>
      </c>
      <c r="AD183" s="19" t="s">
        <v>1092</v>
      </c>
      <c r="AE183" s="19">
        <v>1</v>
      </c>
      <c r="AF183" s="19">
        <v>400</v>
      </c>
      <c r="AG183" s="19" t="s">
        <v>1093</v>
      </c>
      <c r="AH183" s="19" t="s">
        <v>46</v>
      </c>
      <c r="AI183" s="19"/>
    </row>
    <row r="184" spans="2:35" hidden="1" x14ac:dyDescent="0.35">
      <c r="B184" s="82">
        <v>46218</v>
      </c>
      <c r="C184" s="19" t="s">
        <v>245</v>
      </c>
      <c r="D184" s="19" t="s">
        <v>11</v>
      </c>
      <c r="E184" s="83">
        <v>466</v>
      </c>
      <c r="F184" s="19" t="s">
        <v>1085</v>
      </c>
      <c r="G184" s="19" t="s">
        <v>1348</v>
      </c>
      <c r="H184" s="76">
        <v>46218</v>
      </c>
      <c r="I184" s="19" t="s">
        <v>57</v>
      </c>
      <c r="J184" s="19" t="s">
        <v>29</v>
      </c>
      <c r="K184" s="19" t="s">
        <v>29</v>
      </c>
      <c r="L184" s="19" t="s">
        <v>1118</v>
      </c>
      <c r="M184" s="19" t="s">
        <v>1349</v>
      </c>
      <c r="N184" s="19">
        <v>245</v>
      </c>
      <c r="O184" s="19">
        <v>38500</v>
      </c>
      <c r="P184" s="19" t="s">
        <v>1139</v>
      </c>
      <c r="Q184" s="19">
        <v>0</v>
      </c>
      <c r="R184" s="19">
        <v>9</v>
      </c>
      <c r="S184" s="19">
        <v>3465</v>
      </c>
      <c r="T184" s="19">
        <v>9</v>
      </c>
      <c r="U184" s="19">
        <v>3465</v>
      </c>
      <c r="V184" s="19">
        <v>0</v>
      </c>
      <c r="W184" s="19">
        <v>0</v>
      </c>
      <c r="X184" s="19">
        <v>0</v>
      </c>
      <c r="Y184" s="19">
        <v>6930</v>
      </c>
      <c r="Z184" s="19">
        <v>0</v>
      </c>
      <c r="AA184" s="19" t="s">
        <v>179</v>
      </c>
      <c r="AB184" s="19" t="s">
        <v>1091</v>
      </c>
      <c r="AC184" s="19">
        <v>39232100</v>
      </c>
      <c r="AD184" s="19" t="s">
        <v>1092</v>
      </c>
      <c r="AE184" s="19">
        <v>1</v>
      </c>
      <c r="AF184" s="19">
        <v>0</v>
      </c>
      <c r="AG184" s="19" t="s">
        <v>1093</v>
      </c>
      <c r="AH184" s="83" t="s">
        <v>2319</v>
      </c>
      <c r="AI184" s="19"/>
    </row>
    <row r="185" spans="2:35" x14ac:dyDescent="0.35">
      <c r="B185" s="82">
        <v>46218</v>
      </c>
      <c r="C185" s="19" t="s">
        <v>245</v>
      </c>
      <c r="D185" s="19" t="s">
        <v>11</v>
      </c>
      <c r="E185" s="83">
        <v>466</v>
      </c>
      <c r="F185" s="19" t="s">
        <v>1085</v>
      </c>
      <c r="G185" s="19" t="s">
        <v>1348</v>
      </c>
      <c r="H185" s="76">
        <v>46218</v>
      </c>
      <c r="I185" s="19" t="s">
        <v>36</v>
      </c>
      <c r="J185" s="19" t="s">
        <v>1087</v>
      </c>
      <c r="K185" s="19" t="s">
        <v>46</v>
      </c>
      <c r="L185" s="19" t="s">
        <v>1138</v>
      </c>
      <c r="M185" s="19" t="s">
        <v>1089</v>
      </c>
      <c r="N185" s="19">
        <v>400</v>
      </c>
      <c r="O185" s="19">
        <v>60460</v>
      </c>
      <c r="P185" s="19" t="s">
        <v>1090</v>
      </c>
      <c r="Q185" s="19">
        <v>0</v>
      </c>
      <c r="R185" s="19">
        <v>2.5</v>
      </c>
      <c r="S185" s="19">
        <v>1511.5</v>
      </c>
      <c r="T185" s="19">
        <v>2.5</v>
      </c>
      <c r="U185" s="19">
        <v>1511.5</v>
      </c>
      <c r="V185" s="19">
        <v>0</v>
      </c>
      <c r="W185" s="19">
        <v>0</v>
      </c>
      <c r="X185" s="19">
        <v>0</v>
      </c>
      <c r="Y185" s="19">
        <v>3023</v>
      </c>
      <c r="Z185" s="19">
        <v>0</v>
      </c>
      <c r="AA185" s="19" t="s">
        <v>179</v>
      </c>
      <c r="AB185" s="19" t="s">
        <v>1091</v>
      </c>
      <c r="AC185" s="19">
        <v>54026930</v>
      </c>
      <c r="AD185" s="19" t="s">
        <v>1092</v>
      </c>
      <c r="AE185" s="19">
        <v>1</v>
      </c>
      <c r="AF185" s="19">
        <v>400</v>
      </c>
      <c r="AG185" s="19" t="s">
        <v>1093</v>
      </c>
      <c r="AH185" s="19" t="s">
        <v>46</v>
      </c>
      <c r="AI185" s="19"/>
    </row>
    <row r="186" spans="2:35" x14ac:dyDescent="0.35">
      <c r="B186" s="82">
        <v>46218</v>
      </c>
      <c r="C186" s="19" t="s">
        <v>245</v>
      </c>
      <c r="D186" s="19" t="s">
        <v>11</v>
      </c>
      <c r="E186" s="83">
        <v>466</v>
      </c>
      <c r="F186" s="19" t="s">
        <v>1085</v>
      </c>
      <c r="G186" s="19" t="s">
        <v>1348</v>
      </c>
      <c r="H186" s="76">
        <v>46218</v>
      </c>
      <c r="I186" s="19" t="s">
        <v>36</v>
      </c>
      <c r="J186" s="19" t="s">
        <v>1350</v>
      </c>
      <c r="K186" s="19" t="s">
        <v>39</v>
      </c>
      <c r="L186" s="19" t="s">
        <v>1351</v>
      </c>
      <c r="M186" s="19" t="s">
        <v>1352</v>
      </c>
      <c r="N186" s="19">
        <v>529</v>
      </c>
      <c r="O186" s="19">
        <v>98579.15</v>
      </c>
      <c r="P186" s="19" t="s">
        <v>1139</v>
      </c>
      <c r="Q186" s="19">
        <v>0</v>
      </c>
      <c r="R186" s="19">
        <v>9</v>
      </c>
      <c r="S186" s="19">
        <v>8872.1200000000008</v>
      </c>
      <c r="T186" s="19">
        <v>9</v>
      </c>
      <c r="U186" s="19">
        <v>8872.1200000000008</v>
      </c>
      <c r="V186" s="19">
        <v>0</v>
      </c>
      <c r="W186" s="19">
        <v>0</v>
      </c>
      <c r="X186" s="19">
        <v>0</v>
      </c>
      <c r="Y186" s="19">
        <v>17744.240000000002</v>
      </c>
      <c r="Z186" s="19">
        <v>0</v>
      </c>
      <c r="AA186" s="19" t="s">
        <v>179</v>
      </c>
      <c r="AB186" s="19" t="s">
        <v>1091</v>
      </c>
      <c r="AC186" s="19">
        <v>39232100</v>
      </c>
      <c r="AD186" s="19" t="s">
        <v>1092</v>
      </c>
      <c r="AE186" s="19">
        <v>1</v>
      </c>
      <c r="AF186" s="19">
        <v>529</v>
      </c>
      <c r="AG186" s="19" t="s">
        <v>1093</v>
      </c>
      <c r="AH186" s="19" t="s">
        <v>39</v>
      </c>
      <c r="AI186" s="19"/>
    </row>
    <row r="187" spans="2:35" x14ac:dyDescent="0.35">
      <c r="B187" s="82">
        <v>46218</v>
      </c>
      <c r="C187" s="19" t="s">
        <v>245</v>
      </c>
      <c r="D187" s="19" t="s">
        <v>11</v>
      </c>
      <c r="E187" s="83">
        <v>466</v>
      </c>
      <c r="F187" s="19" t="s">
        <v>1085</v>
      </c>
      <c r="G187" s="19" t="s">
        <v>1348</v>
      </c>
      <c r="H187" s="76">
        <v>46218</v>
      </c>
      <c r="I187" s="19" t="s">
        <v>36</v>
      </c>
      <c r="J187" s="19" t="s">
        <v>1087</v>
      </c>
      <c r="K187" s="19" t="s">
        <v>46</v>
      </c>
      <c r="L187" s="19" t="s">
        <v>1240</v>
      </c>
      <c r="M187" s="19" t="s">
        <v>1241</v>
      </c>
      <c r="N187" s="19">
        <v>476</v>
      </c>
      <c r="O187" s="19">
        <v>57167.6</v>
      </c>
      <c r="P187" s="19" t="s">
        <v>1139</v>
      </c>
      <c r="Q187" s="19">
        <v>0</v>
      </c>
      <c r="R187" s="19">
        <v>2.5</v>
      </c>
      <c r="S187" s="19">
        <v>1429.19</v>
      </c>
      <c r="T187" s="19">
        <v>2.5</v>
      </c>
      <c r="U187" s="19">
        <v>1429.19</v>
      </c>
      <c r="V187" s="19">
        <v>0</v>
      </c>
      <c r="W187" s="19">
        <v>0</v>
      </c>
      <c r="X187" s="19">
        <v>0</v>
      </c>
      <c r="Y187" s="19">
        <v>2858.38</v>
      </c>
      <c r="Z187" s="19">
        <v>0</v>
      </c>
      <c r="AA187" s="19" t="s">
        <v>179</v>
      </c>
      <c r="AB187" s="19" t="s">
        <v>1091</v>
      </c>
      <c r="AC187" s="19">
        <v>54026930</v>
      </c>
      <c r="AD187" s="19" t="s">
        <v>1092</v>
      </c>
      <c r="AE187" s="19">
        <v>1</v>
      </c>
      <c r="AF187" s="19">
        <v>476</v>
      </c>
      <c r="AG187" s="19" t="s">
        <v>1093</v>
      </c>
      <c r="AH187" s="19" t="s">
        <v>46</v>
      </c>
      <c r="AI187" s="19"/>
    </row>
    <row r="188" spans="2:35" x14ac:dyDescent="0.35">
      <c r="B188" s="82">
        <v>46218</v>
      </c>
      <c r="C188" s="19" t="s">
        <v>245</v>
      </c>
      <c r="D188" s="19" t="s">
        <v>11</v>
      </c>
      <c r="E188" s="83">
        <v>466</v>
      </c>
      <c r="F188" s="19" t="s">
        <v>1085</v>
      </c>
      <c r="G188" s="19" t="s">
        <v>1348</v>
      </c>
      <c r="H188" s="76">
        <v>46218</v>
      </c>
      <c r="I188" s="19" t="s">
        <v>36</v>
      </c>
      <c r="J188" s="19" t="s">
        <v>1156</v>
      </c>
      <c r="K188" s="19" t="s">
        <v>45</v>
      </c>
      <c r="L188" s="19" t="s">
        <v>1157</v>
      </c>
      <c r="M188" s="19" t="s">
        <v>1156</v>
      </c>
      <c r="N188" s="19">
        <v>1235</v>
      </c>
      <c r="O188" s="19">
        <v>191610.25</v>
      </c>
      <c r="P188" s="19" t="s">
        <v>1090</v>
      </c>
      <c r="Q188" s="19">
        <v>0</v>
      </c>
      <c r="R188" s="19">
        <v>9</v>
      </c>
      <c r="S188" s="19">
        <v>17244.919999999998</v>
      </c>
      <c r="T188" s="19">
        <v>9</v>
      </c>
      <c r="U188" s="19">
        <v>17244.919999999998</v>
      </c>
      <c r="V188" s="19">
        <v>0</v>
      </c>
      <c r="W188" s="19">
        <v>0</v>
      </c>
      <c r="X188" s="19">
        <v>0</v>
      </c>
      <c r="Y188" s="19">
        <v>34489.839999999997</v>
      </c>
      <c r="Z188" s="19">
        <v>0</v>
      </c>
      <c r="AA188" s="19" t="s">
        <v>179</v>
      </c>
      <c r="AB188" s="19" t="s">
        <v>1091</v>
      </c>
      <c r="AC188" s="19">
        <v>39269080</v>
      </c>
      <c r="AD188" s="19" t="s">
        <v>1092</v>
      </c>
      <c r="AE188" s="19">
        <v>1</v>
      </c>
      <c r="AF188" s="19">
        <v>1235</v>
      </c>
      <c r="AG188" s="19" t="s">
        <v>1093</v>
      </c>
      <c r="AH188" s="19" t="s">
        <v>45</v>
      </c>
      <c r="AI188" s="19"/>
    </row>
    <row r="189" spans="2:35" x14ac:dyDescent="0.35">
      <c r="B189" s="82">
        <v>46218</v>
      </c>
      <c r="C189" s="19" t="s">
        <v>245</v>
      </c>
      <c r="D189" s="19" t="s">
        <v>11</v>
      </c>
      <c r="E189" s="83">
        <v>466</v>
      </c>
      <c r="F189" s="19" t="s">
        <v>1085</v>
      </c>
      <c r="G189" s="19" t="s">
        <v>1348</v>
      </c>
      <c r="H189" s="76">
        <v>46218</v>
      </c>
      <c r="I189" s="19" t="s">
        <v>36</v>
      </c>
      <c r="J189" s="19" t="s">
        <v>1156</v>
      </c>
      <c r="K189" s="19" t="s">
        <v>45</v>
      </c>
      <c r="L189" s="19" t="s">
        <v>1157</v>
      </c>
      <c r="M189" s="19" t="s">
        <v>1156</v>
      </c>
      <c r="N189" s="19">
        <v>343</v>
      </c>
      <c r="O189" s="19">
        <v>54245.45</v>
      </c>
      <c r="P189" s="19" t="s">
        <v>1353</v>
      </c>
      <c r="Q189" s="19">
        <v>0</v>
      </c>
      <c r="R189" s="19">
        <v>9</v>
      </c>
      <c r="S189" s="19">
        <v>4882.09</v>
      </c>
      <c r="T189" s="19">
        <v>9</v>
      </c>
      <c r="U189" s="19">
        <v>4882.09</v>
      </c>
      <c r="V189" s="19">
        <v>0</v>
      </c>
      <c r="W189" s="19">
        <v>0</v>
      </c>
      <c r="X189" s="19">
        <v>0</v>
      </c>
      <c r="Y189" s="19">
        <v>9764.18</v>
      </c>
      <c r="Z189" s="19">
        <v>0</v>
      </c>
      <c r="AA189" s="19" t="s">
        <v>179</v>
      </c>
      <c r="AB189" s="19" t="s">
        <v>1091</v>
      </c>
      <c r="AC189" s="19">
        <v>39269080</v>
      </c>
      <c r="AD189" s="19" t="s">
        <v>1092</v>
      </c>
      <c r="AE189" s="19">
        <v>1</v>
      </c>
      <c r="AF189" s="19">
        <v>343</v>
      </c>
      <c r="AG189" s="19" t="s">
        <v>1093</v>
      </c>
      <c r="AH189" s="19" t="s">
        <v>45</v>
      </c>
      <c r="AI189" s="19"/>
    </row>
    <row r="190" spans="2:35" x14ac:dyDescent="0.35">
      <c r="B190" s="82">
        <v>46218</v>
      </c>
      <c r="C190" s="19" t="s">
        <v>245</v>
      </c>
      <c r="D190" s="19" t="s">
        <v>11</v>
      </c>
      <c r="E190" s="83">
        <v>466</v>
      </c>
      <c r="F190" s="19" t="s">
        <v>1085</v>
      </c>
      <c r="G190" s="19" t="s">
        <v>1348</v>
      </c>
      <c r="H190" s="76">
        <v>46218</v>
      </c>
      <c r="I190" s="19" t="s">
        <v>36</v>
      </c>
      <c r="J190" s="19" t="s">
        <v>1156</v>
      </c>
      <c r="K190" s="19" t="s">
        <v>45</v>
      </c>
      <c r="L190" s="19" t="s">
        <v>1157</v>
      </c>
      <c r="M190" s="19" t="s">
        <v>1156</v>
      </c>
      <c r="N190" s="19">
        <v>603.20000000000005</v>
      </c>
      <c r="O190" s="19">
        <v>95396.08</v>
      </c>
      <c r="P190" s="19" t="s">
        <v>1182</v>
      </c>
      <c r="Q190" s="19">
        <v>0</v>
      </c>
      <c r="R190" s="19">
        <v>9</v>
      </c>
      <c r="S190" s="19">
        <v>8585.65</v>
      </c>
      <c r="T190" s="19">
        <v>9</v>
      </c>
      <c r="U190" s="19">
        <v>8585.65</v>
      </c>
      <c r="V190" s="19">
        <v>0</v>
      </c>
      <c r="W190" s="19">
        <v>0</v>
      </c>
      <c r="X190" s="19">
        <v>0</v>
      </c>
      <c r="Y190" s="19">
        <v>17171.3</v>
      </c>
      <c r="Z190" s="19">
        <v>0</v>
      </c>
      <c r="AA190" s="19" t="s">
        <v>179</v>
      </c>
      <c r="AB190" s="19" t="s">
        <v>1091</v>
      </c>
      <c r="AC190" s="19">
        <v>39269080</v>
      </c>
      <c r="AD190" s="19" t="s">
        <v>1092</v>
      </c>
      <c r="AE190" s="19">
        <v>1</v>
      </c>
      <c r="AF190" s="19">
        <v>603.20000000000005</v>
      </c>
      <c r="AG190" s="19" t="s">
        <v>1093</v>
      </c>
      <c r="AH190" s="19" t="s">
        <v>45</v>
      </c>
      <c r="AI190" s="19"/>
    </row>
    <row r="191" spans="2:35" x14ac:dyDescent="0.35">
      <c r="B191" s="82">
        <v>46218</v>
      </c>
      <c r="C191" s="19" t="s">
        <v>245</v>
      </c>
      <c r="D191" s="19" t="s">
        <v>11</v>
      </c>
      <c r="E191" s="83">
        <v>466</v>
      </c>
      <c r="F191" s="19" t="s">
        <v>1085</v>
      </c>
      <c r="G191" s="19" t="s">
        <v>1348</v>
      </c>
      <c r="H191" s="76">
        <v>46218</v>
      </c>
      <c r="I191" s="19" t="s">
        <v>36</v>
      </c>
      <c r="J191" s="19" t="s">
        <v>1087</v>
      </c>
      <c r="K191" s="19" t="s">
        <v>46</v>
      </c>
      <c r="L191" s="19" t="s">
        <v>1354</v>
      </c>
      <c r="M191" s="19" t="s">
        <v>1355</v>
      </c>
      <c r="N191" s="19">
        <v>45</v>
      </c>
      <c r="O191" s="19">
        <v>7634.25</v>
      </c>
      <c r="P191" s="19" t="s">
        <v>1139</v>
      </c>
      <c r="Q191" s="19">
        <v>0</v>
      </c>
      <c r="R191" s="19">
        <v>2.5</v>
      </c>
      <c r="S191" s="19">
        <v>190.86</v>
      </c>
      <c r="T191" s="19">
        <v>2.5</v>
      </c>
      <c r="U191" s="19">
        <v>190.86</v>
      </c>
      <c r="V191" s="19">
        <v>0</v>
      </c>
      <c r="W191" s="19">
        <v>0</v>
      </c>
      <c r="X191" s="19">
        <v>0</v>
      </c>
      <c r="Y191" s="19">
        <v>381.72</v>
      </c>
      <c r="Z191" s="19">
        <v>0</v>
      </c>
      <c r="AA191" s="19" t="s">
        <v>179</v>
      </c>
      <c r="AB191" s="19" t="s">
        <v>1091</v>
      </c>
      <c r="AC191" s="19">
        <v>540269</v>
      </c>
      <c r="AD191" s="19" t="s">
        <v>1092</v>
      </c>
      <c r="AE191" s="19">
        <v>1</v>
      </c>
      <c r="AF191" s="19">
        <v>45</v>
      </c>
      <c r="AG191" s="19" t="s">
        <v>1093</v>
      </c>
      <c r="AH191" s="19" t="s">
        <v>46</v>
      </c>
      <c r="AI191" s="19"/>
    </row>
    <row r="192" spans="2:35" x14ac:dyDescent="0.35">
      <c r="B192" s="82">
        <v>46218</v>
      </c>
      <c r="C192" s="19" t="s">
        <v>1356</v>
      </c>
      <c r="D192" s="19" t="s">
        <v>11</v>
      </c>
      <c r="E192" s="83">
        <v>465</v>
      </c>
      <c r="F192" s="19" t="s">
        <v>1085</v>
      </c>
      <c r="G192" s="19" t="s">
        <v>1357</v>
      </c>
      <c r="H192" s="76">
        <v>46218</v>
      </c>
      <c r="I192" s="19" t="s">
        <v>28</v>
      </c>
      <c r="J192" s="19" t="s">
        <v>1173</v>
      </c>
      <c r="K192" s="19" t="s">
        <v>33</v>
      </c>
      <c r="L192" s="19" t="s">
        <v>1186</v>
      </c>
      <c r="M192" s="19" t="s">
        <v>1358</v>
      </c>
      <c r="N192" s="19">
        <v>500</v>
      </c>
      <c r="O192" s="19">
        <v>89000</v>
      </c>
      <c r="P192" s="19" t="s">
        <v>1358</v>
      </c>
      <c r="Q192" s="19">
        <v>105020</v>
      </c>
      <c r="R192" s="19">
        <v>9</v>
      </c>
      <c r="S192" s="19">
        <v>8010</v>
      </c>
      <c r="T192" s="19">
        <v>9</v>
      </c>
      <c r="U192" s="19">
        <v>8010</v>
      </c>
      <c r="V192" s="19">
        <v>0</v>
      </c>
      <c r="W192" s="19">
        <v>0</v>
      </c>
      <c r="X192" s="19">
        <v>0</v>
      </c>
      <c r="Y192" s="19">
        <v>16020</v>
      </c>
      <c r="Z192" s="19">
        <v>0</v>
      </c>
      <c r="AA192" s="19" t="s">
        <v>187</v>
      </c>
      <c r="AB192" s="19" t="s">
        <v>1091</v>
      </c>
      <c r="AC192" s="19">
        <v>32061190</v>
      </c>
      <c r="AD192" s="19" t="s">
        <v>1092</v>
      </c>
      <c r="AE192" s="19">
        <v>1</v>
      </c>
      <c r="AF192" s="19">
        <v>500</v>
      </c>
      <c r="AG192" s="19" t="s">
        <v>1093</v>
      </c>
      <c r="AH192" s="19" t="s">
        <v>33</v>
      </c>
      <c r="AI192" s="19"/>
    </row>
    <row r="193" spans="2:35" x14ac:dyDescent="0.35">
      <c r="B193" s="82">
        <v>46218</v>
      </c>
      <c r="C193" s="19" t="s">
        <v>1084</v>
      </c>
      <c r="D193" s="19" t="s">
        <v>11</v>
      </c>
      <c r="E193" s="83">
        <v>467</v>
      </c>
      <c r="F193" s="19" t="s">
        <v>1085</v>
      </c>
      <c r="G193" s="19" t="s">
        <v>1359</v>
      </c>
      <c r="H193" s="76">
        <v>46218</v>
      </c>
      <c r="I193" s="19" t="s">
        <v>49</v>
      </c>
      <c r="J193" s="19" t="s">
        <v>1360</v>
      </c>
      <c r="K193" s="19" t="s">
        <v>53</v>
      </c>
      <c r="L193" s="19" t="s">
        <v>1095</v>
      </c>
      <c r="M193" s="19" t="s">
        <v>1361</v>
      </c>
      <c r="N193" s="19">
        <v>469</v>
      </c>
      <c r="O193" s="19">
        <v>248781.05</v>
      </c>
      <c r="P193" s="19" t="s">
        <v>1362</v>
      </c>
      <c r="Q193" s="19">
        <v>293312.84999999998</v>
      </c>
      <c r="R193" s="19">
        <v>9</v>
      </c>
      <c r="S193" s="19">
        <v>22390.29</v>
      </c>
      <c r="T193" s="19">
        <v>9</v>
      </c>
      <c r="U193" s="19">
        <v>22390.29</v>
      </c>
      <c r="V193" s="19">
        <v>0</v>
      </c>
      <c r="W193" s="19">
        <v>0</v>
      </c>
      <c r="X193" s="19">
        <v>0</v>
      </c>
      <c r="Y193" s="19">
        <v>44780.58</v>
      </c>
      <c r="Z193" s="19">
        <v>0</v>
      </c>
      <c r="AA193" s="19" t="s">
        <v>135</v>
      </c>
      <c r="AB193" s="19" t="s">
        <v>1091</v>
      </c>
      <c r="AC193" s="19">
        <v>39232999</v>
      </c>
      <c r="AD193" s="19" t="s">
        <v>1092</v>
      </c>
      <c r="AE193" s="19">
        <v>1</v>
      </c>
      <c r="AF193" s="19">
        <v>469</v>
      </c>
      <c r="AG193" s="19" t="s">
        <v>1093</v>
      </c>
      <c r="AH193" s="19" t="s">
        <v>53</v>
      </c>
      <c r="AI193" s="19"/>
    </row>
    <row r="194" spans="2:35" ht="29" x14ac:dyDescent="0.35">
      <c r="B194" s="82">
        <v>46218</v>
      </c>
      <c r="C194" s="19" t="s">
        <v>1084</v>
      </c>
      <c r="D194" s="19" t="s">
        <v>11</v>
      </c>
      <c r="E194" s="83">
        <v>468</v>
      </c>
      <c r="F194" s="19" t="s">
        <v>1085</v>
      </c>
      <c r="G194" s="19" t="s">
        <v>1363</v>
      </c>
      <c r="H194" s="76">
        <v>46218</v>
      </c>
      <c r="I194" s="19" t="s">
        <v>36</v>
      </c>
      <c r="J194" s="19" t="s">
        <v>1117</v>
      </c>
      <c r="K194" s="19" t="s">
        <v>44</v>
      </c>
      <c r="L194" s="19" t="s">
        <v>1118</v>
      </c>
      <c r="M194" s="19" t="s">
        <v>1119</v>
      </c>
      <c r="N194" s="19">
        <v>1058.7</v>
      </c>
      <c r="O194" s="19">
        <v>193900.91</v>
      </c>
      <c r="P194" s="84" t="s">
        <v>1163</v>
      </c>
      <c r="Q194" s="19">
        <v>228609.17</v>
      </c>
      <c r="R194" s="19">
        <v>9</v>
      </c>
      <c r="S194" s="19">
        <v>17451.080000000002</v>
      </c>
      <c r="T194" s="19">
        <v>9</v>
      </c>
      <c r="U194" s="19">
        <v>17451.080000000002</v>
      </c>
      <c r="V194" s="19">
        <v>0</v>
      </c>
      <c r="W194" s="19">
        <v>0</v>
      </c>
      <c r="X194" s="19">
        <v>0</v>
      </c>
      <c r="Y194" s="19">
        <v>34902.160000000003</v>
      </c>
      <c r="Z194" s="19">
        <v>0</v>
      </c>
      <c r="AA194" s="19" t="s">
        <v>135</v>
      </c>
      <c r="AB194" s="19" t="s">
        <v>1091</v>
      </c>
      <c r="AC194" s="19">
        <v>39269080</v>
      </c>
      <c r="AD194" s="19" t="s">
        <v>1092</v>
      </c>
      <c r="AE194" s="19">
        <v>1</v>
      </c>
      <c r="AF194" s="19">
        <v>1058.7</v>
      </c>
      <c r="AG194" s="19" t="s">
        <v>1093</v>
      </c>
      <c r="AH194" s="19" t="s">
        <v>44</v>
      </c>
      <c r="AI194" s="19"/>
    </row>
    <row r="195" spans="2:35" x14ac:dyDescent="0.35">
      <c r="B195" s="82">
        <v>46218</v>
      </c>
      <c r="C195" s="19" t="s">
        <v>1084</v>
      </c>
      <c r="D195" s="19" t="s">
        <v>11</v>
      </c>
      <c r="E195" s="83">
        <v>469</v>
      </c>
      <c r="F195" s="19" t="s">
        <v>1085</v>
      </c>
      <c r="G195" s="19" t="s">
        <v>1364</v>
      </c>
      <c r="H195" s="76">
        <v>46218</v>
      </c>
      <c r="I195" s="19" t="s">
        <v>36</v>
      </c>
      <c r="J195" s="19" t="s">
        <v>1117</v>
      </c>
      <c r="K195" s="19" t="s">
        <v>42</v>
      </c>
      <c r="L195" s="19" t="s">
        <v>1242</v>
      </c>
      <c r="M195" s="19" t="s">
        <v>1154</v>
      </c>
      <c r="N195" s="19">
        <v>457.9</v>
      </c>
      <c r="O195" s="19">
        <v>72416.88</v>
      </c>
      <c r="P195" s="19" t="s">
        <v>1365</v>
      </c>
      <c r="Q195" s="19">
        <v>644908.41</v>
      </c>
      <c r="R195" s="19">
        <v>9</v>
      </c>
      <c r="S195" s="19">
        <v>6517.52</v>
      </c>
      <c r="T195" s="19">
        <v>9</v>
      </c>
      <c r="U195" s="19">
        <v>6517.52</v>
      </c>
      <c r="V195" s="19">
        <v>0</v>
      </c>
      <c r="W195" s="19">
        <v>0</v>
      </c>
      <c r="X195" s="19">
        <v>0</v>
      </c>
      <c r="Y195" s="19">
        <v>13035.04</v>
      </c>
      <c r="Z195" s="19">
        <v>0</v>
      </c>
      <c r="AA195" s="19" t="s">
        <v>135</v>
      </c>
      <c r="AB195" s="19" t="s">
        <v>1091</v>
      </c>
      <c r="AC195" s="19">
        <v>39269080</v>
      </c>
      <c r="AD195" s="19" t="s">
        <v>1092</v>
      </c>
      <c r="AE195" s="19">
        <v>1</v>
      </c>
      <c r="AF195" s="19">
        <v>457.9</v>
      </c>
      <c r="AG195" s="19" t="s">
        <v>1093</v>
      </c>
      <c r="AH195" s="19" t="s">
        <v>42</v>
      </c>
      <c r="AI195" s="19"/>
    </row>
    <row r="196" spans="2:35" x14ac:dyDescent="0.35">
      <c r="B196" s="82">
        <v>46218</v>
      </c>
      <c r="C196" s="19" t="s">
        <v>1084</v>
      </c>
      <c r="D196" s="19" t="s">
        <v>11</v>
      </c>
      <c r="E196" s="83">
        <v>469</v>
      </c>
      <c r="F196" s="19" t="s">
        <v>1085</v>
      </c>
      <c r="G196" s="19" t="s">
        <v>1364</v>
      </c>
      <c r="H196" s="76">
        <v>46218</v>
      </c>
      <c r="I196" s="19" t="s">
        <v>36</v>
      </c>
      <c r="J196" s="19" t="s">
        <v>1117</v>
      </c>
      <c r="K196" s="19" t="s">
        <v>42</v>
      </c>
      <c r="L196" s="19" t="s">
        <v>1242</v>
      </c>
      <c r="M196" s="19" t="s">
        <v>1154</v>
      </c>
      <c r="N196" s="19">
        <v>710.4</v>
      </c>
      <c r="O196" s="19">
        <v>110218.56</v>
      </c>
      <c r="P196" s="19" t="s">
        <v>1366</v>
      </c>
      <c r="Q196" s="19">
        <v>0</v>
      </c>
      <c r="R196" s="19">
        <v>9</v>
      </c>
      <c r="S196" s="19">
        <v>9919.67</v>
      </c>
      <c r="T196" s="19">
        <v>9</v>
      </c>
      <c r="U196" s="19">
        <v>9919.67</v>
      </c>
      <c r="V196" s="19">
        <v>0</v>
      </c>
      <c r="W196" s="19">
        <v>0</v>
      </c>
      <c r="X196" s="19">
        <v>0</v>
      </c>
      <c r="Y196" s="19">
        <v>19839.34</v>
      </c>
      <c r="Z196" s="19">
        <v>0</v>
      </c>
      <c r="AA196" s="19" t="s">
        <v>135</v>
      </c>
      <c r="AB196" s="19" t="s">
        <v>1091</v>
      </c>
      <c r="AC196" s="19">
        <v>39269080</v>
      </c>
      <c r="AD196" s="19" t="s">
        <v>1092</v>
      </c>
      <c r="AE196" s="19">
        <v>1</v>
      </c>
      <c r="AF196" s="19">
        <v>710.4</v>
      </c>
      <c r="AG196" s="19" t="s">
        <v>1093</v>
      </c>
      <c r="AH196" s="19" t="s">
        <v>42</v>
      </c>
      <c r="AI196" s="19"/>
    </row>
    <row r="197" spans="2:35" x14ac:dyDescent="0.35">
      <c r="B197" s="82">
        <v>46218</v>
      </c>
      <c r="C197" s="19" t="s">
        <v>1084</v>
      </c>
      <c r="D197" s="19" t="s">
        <v>11</v>
      </c>
      <c r="E197" s="83">
        <v>469</v>
      </c>
      <c r="F197" s="19" t="s">
        <v>1085</v>
      </c>
      <c r="G197" s="19" t="s">
        <v>1364</v>
      </c>
      <c r="H197" s="76">
        <v>46218</v>
      </c>
      <c r="I197" s="19" t="s">
        <v>36</v>
      </c>
      <c r="J197" s="19" t="s">
        <v>1087</v>
      </c>
      <c r="K197" s="19" t="s">
        <v>46</v>
      </c>
      <c r="L197" s="19" t="s">
        <v>1138</v>
      </c>
      <c r="M197" s="19" t="s">
        <v>1181</v>
      </c>
      <c r="N197" s="19">
        <v>470</v>
      </c>
      <c r="O197" s="19">
        <v>72450.5</v>
      </c>
      <c r="P197" s="19" t="s">
        <v>1182</v>
      </c>
      <c r="Q197" s="19">
        <v>0</v>
      </c>
      <c r="R197" s="19">
        <v>2.5</v>
      </c>
      <c r="S197" s="19">
        <v>1811.26</v>
      </c>
      <c r="T197" s="19">
        <v>2.5</v>
      </c>
      <c r="U197" s="19">
        <v>1811.26</v>
      </c>
      <c r="V197" s="19">
        <v>0</v>
      </c>
      <c r="W197" s="19">
        <v>0</v>
      </c>
      <c r="X197" s="19">
        <v>0</v>
      </c>
      <c r="Y197" s="19">
        <v>3622.52</v>
      </c>
      <c r="Z197" s="19">
        <v>0</v>
      </c>
      <c r="AA197" s="19" t="s">
        <v>135</v>
      </c>
      <c r="AB197" s="19" t="s">
        <v>1091</v>
      </c>
      <c r="AC197" s="19">
        <v>54026930</v>
      </c>
      <c r="AD197" s="19" t="s">
        <v>1092</v>
      </c>
      <c r="AE197" s="19">
        <v>1</v>
      </c>
      <c r="AF197" s="19">
        <v>470</v>
      </c>
      <c r="AG197" s="19" t="s">
        <v>1093</v>
      </c>
      <c r="AH197" s="19" t="s">
        <v>46</v>
      </c>
      <c r="AI197" s="19"/>
    </row>
    <row r="198" spans="2:35" x14ac:dyDescent="0.35">
      <c r="B198" s="82">
        <v>46218</v>
      </c>
      <c r="C198" s="19" t="s">
        <v>1084</v>
      </c>
      <c r="D198" s="19" t="s">
        <v>11</v>
      </c>
      <c r="E198" s="83">
        <v>469</v>
      </c>
      <c r="F198" s="19" t="s">
        <v>1085</v>
      </c>
      <c r="G198" s="19" t="s">
        <v>1364</v>
      </c>
      <c r="H198" s="76">
        <v>46218</v>
      </c>
      <c r="I198" s="19" t="s">
        <v>36</v>
      </c>
      <c r="J198" s="19" t="s">
        <v>1087</v>
      </c>
      <c r="K198" s="19" t="s">
        <v>46</v>
      </c>
      <c r="L198" s="19" t="s">
        <v>1138</v>
      </c>
      <c r="M198" s="19" t="s">
        <v>1089</v>
      </c>
      <c r="N198" s="19">
        <v>2230</v>
      </c>
      <c r="O198" s="19">
        <v>337064.5</v>
      </c>
      <c r="P198" s="19" t="s">
        <v>1090</v>
      </c>
      <c r="Q198" s="19">
        <v>0</v>
      </c>
      <c r="R198" s="19">
        <v>2.5</v>
      </c>
      <c r="S198" s="19">
        <v>8426.61</v>
      </c>
      <c r="T198" s="19">
        <v>2.5</v>
      </c>
      <c r="U198" s="19">
        <v>8426.61</v>
      </c>
      <c r="V198" s="19">
        <v>0</v>
      </c>
      <c r="W198" s="19">
        <v>0</v>
      </c>
      <c r="X198" s="19">
        <v>0</v>
      </c>
      <c r="Y198" s="19">
        <v>16853.22</v>
      </c>
      <c r="Z198" s="19">
        <v>0</v>
      </c>
      <c r="AA198" s="19" t="s">
        <v>135</v>
      </c>
      <c r="AB198" s="19" t="s">
        <v>1091</v>
      </c>
      <c r="AC198" s="19">
        <v>54026930</v>
      </c>
      <c r="AD198" s="19" t="s">
        <v>1092</v>
      </c>
      <c r="AE198" s="19">
        <v>1</v>
      </c>
      <c r="AF198" s="19">
        <v>2230</v>
      </c>
      <c r="AG198" s="19" t="s">
        <v>1093</v>
      </c>
      <c r="AH198" s="19" t="s">
        <v>46</v>
      </c>
      <c r="AI198" s="19"/>
    </row>
    <row r="199" spans="2:35" x14ac:dyDescent="0.35">
      <c r="B199" s="82">
        <v>46218</v>
      </c>
      <c r="C199" s="19" t="s">
        <v>1084</v>
      </c>
      <c r="D199" s="19" t="s">
        <v>11</v>
      </c>
      <c r="E199" s="83">
        <v>470</v>
      </c>
      <c r="F199" s="19" t="s">
        <v>1085</v>
      </c>
      <c r="G199" s="19" t="s">
        <v>1367</v>
      </c>
      <c r="H199" s="76">
        <v>46218</v>
      </c>
      <c r="I199" s="19" t="s">
        <v>49</v>
      </c>
      <c r="J199" s="19" t="s">
        <v>50</v>
      </c>
      <c r="K199" s="19" t="s">
        <v>50</v>
      </c>
      <c r="L199" s="19" t="s">
        <v>1095</v>
      </c>
      <c r="M199" s="19" t="s">
        <v>1098</v>
      </c>
      <c r="N199" s="19">
        <v>312</v>
      </c>
      <c r="O199" s="19">
        <v>88617.36</v>
      </c>
      <c r="P199" s="19" t="s">
        <v>1251</v>
      </c>
      <c r="Q199" s="19">
        <v>104479.86</v>
      </c>
      <c r="R199" s="19">
        <v>9</v>
      </c>
      <c r="S199" s="19">
        <v>7975.56</v>
      </c>
      <c r="T199" s="19">
        <v>9</v>
      </c>
      <c r="U199" s="19">
        <v>7975.56</v>
      </c>
      <c r="V199" s="19">
        <v>0</v>
      </c>
      <c r="W199" s="19">
        <v>0</v>
      </c>
      <c r="X199" s="19">
        <v>0</v>
      </c>
      <c r="Y199" s="19">
        <v>15951.12</v>
      </c>
      <c r="Z199" s="19">
        <v>0</v>
      </c>
      <c r="AA199" s="19" t="s">
        <v>135</v>
      </c>
      <c r="AB199" s="19" t="s">
        <v>1091</v>
      </c>
      <c r="AC199" s="19">
        <v>63053200</v>
      </c>
      <c r="AD199" s="19" t="s">
        <v>1092</v>
      </c>
      <c r="AE199" s="19">
        <v>1</v>
      </c>
      <c r="AF199" s="19">
        <v>312</v>
      </c>
      <c r="AG199" s="19" t="s">
        <v>1093</v>
      </c>
      <c r="AH199" s="19" t="s">
        <v>50</v>
      </c>
      <c r="AI199" s="19"/>
    </row>
    <row r="200" spans="2:35" x14ac:dyDescent="0.35">
      <c r="B200" s="82">
        <v>46218</v>
      </c>
      <c r="C200" s="19" t="s">
        <v>1084</v>
      </c>
      <c r="D200" s="19" t="s">
        <v>11</v>
      </c>
      <c r="E200" s="83">
        <v>471</v>
      </c>
      <c r="F200" s="19" t="s">
        <v>1085</v>
      </c>
      <c r="G200" s="19" t="s">
        <v>1368</v>
      </c>
      <c r="H200" s="76">
        <v>46218</v>
      </c>
      <c r="I200" s="19" t="s">
        <v>49</v>
      </c>
      <c r="J200" s="19" t="s">
        <v>50</v>
      </c>
      <c r="K200" s="19" t="s">
        <v>50</v>
      </c>
      <c r="L200" s="19" t="s">
        <v>1095</v>
      </c>
      <c r="M200" s="19" t="s">
        <v>1098</v>
      </c>
      <c r="N200" s="19">
        <v>848</v>
      </c>
      <c r="O200" s="19">
        <v>218784</v>
      </c>
      <c r="P200" s="19" t="s">
        <v>1369</v>
      </c>
      <c r="Q200" s="19">
        <v>2613427.14</v>
      </c>
      <c r="R200" s="19">
        <v>9</v>
      </c>
      <c r="S200" s="19">
        <v>19690.560000000001</v>
      </c>
      <c r="T200" s="19">
        <v>9</v>
      </c>
      <c r="U200" s="19">
        <v>19690.560000000001</v>
      </c>
      <c r="V200" s="19">
        <v>0</v>
      </c>
      <c r="W200" s="19">
        <v>0</v>
      </c>
      <c r="X200" s="19">
        <v>0</v>
      </c>
      <c r="Y200" s="19">
        <v>39381.120000000003</v>
      </c>
      <c r="Z200" s="19">
        <v>0</v>
      </c>
      <c r="AA200" s="19" t="s">
        <v>135</v>
      </c>
      <c r="AB200" s="19" t="s">
        <v>1091</v>
      </c>
      <c r="AC200" s="19">
        <v>63053200</v>
      </c>
      <c r="AD200" s="19" t="s">
        <v>1092</v>
      </c>
      <c r="AE200" s="19">
        <v>1</v>
      </c>
      <c r="AF200" s="19">
        <v>848</v>
      </c>
      <c r="AG200" s="19" t="s">
        <v>1093</v>
      </c>
      <c r="AH200" s="19" t="s">
        <v>50</v>
      </c>
      <c r="AI200" s="19"/>
    </row>
    <row r="201" spans="2:35" x14ac:dyDescent="0.35">
      <c r="B201" s="82">
        <v>46218</v>
      </c>
      <c r="C201" s="19" t="s">
        <v>1084</v>
      </c>
      <c r="D201" s="19" t="s">
        <v>11</v>
      </c>
      <c r="E201" s="83">
        <v>471</v>
      </c>
      <c r="F201" s="19" t="s">
        <v>1085</v>
      </c>
      <c r="G201" s="19" t="s">
        <v>1368</v>
      </c>
      <c r="H201" s="76">
        <v>46218</v>
      </c>
      <c r="I201" s="19" t="s">
        <v>49</v>
      </c>
      <c r="J201" s="19" t="s">
        <v>50</v>
      </c>
      <c r="K201" s="19" t="s">
        <v>50</v>
      </c>
      <c r="L201" s="19" t="s">
        <v>1095</v>
      </c>
      <c r="M201" s="19" t="s">
        <v>1098</v>
      </c>
      <c r="N201" s="19">
        <v>835.4</v>
      </c>
      <c r="O201" s="19">
        <v>217095.4</v>
      </c>
      <c r="P201" s="19" t="s">
        <v>1279</v>
      </c>
      <c r="Q201" s="19">
        <v>0</v>
      </c>
      <c r="R201" s="19">
        <v>9</v>
      </c>
      <c r="S201" s="19">
        <v>19538.59</v>
      </c>
      <c r="T201" s="19">
        <v>9</v>
      </c>
      <c r="U201" s="19">
        <v>19538.59</v>
      </c>
      <c r="V201" s="19">
        <v>0</v>
      </c>
      <c r="W201" s="19">
        <v>0</v>
      </c>
      <c r="X201" s="19">
        <v>0</v>
      </c>
      <c r="Y201" s="19">
        <v>39077.18</v>
      </c>
      <c r="Z201" s="19">
        <v>0</v>
      </c>
      <c r="AA201" s="19" t="s">
        <v>135</v>
      </c>
      <c r="AB201" s="19" t="s">
        <v>1091</v>
      </c>
      <c r="AC201" s="19">
        <v>63053200</v>
      </c>
      <c r="AD201" s="19" t="s">
        <v>1092</v>
      </c>
      <c r="AE201" s="19">
        <v>1</v>
      </c>
      <c r="AF201" s="19">
        <v>835.4</v>
      </c>
      <c r="AG201" s="19" t="s">
        <v>1093</v>
      </c>
      <c r="AH201" s="19" t="s">
        <v>50</v>
      </c>
      <c r="AI201" s="19"/>
    </row>
    <row r="202" spans="2:35" x14ac:dyDescent="0.35">
      <c r="B202" s="82">
        <v>46218</v>
      </c>
      <c r="C202" s="19" t="s">
        <v>1084</v>
      </c>
      <c r="D202" s="19" t="s">
        <v>11</v>
      </c>
      <c r="E202" s="83">
        <v>471</v>
      </c>
      <c r="F202" s="19" t="s">
        <v>1085</v>
      </c>
      <c r="G202" s="19" t="s">
        <v>1368</v>
      </c>
      <c r="H202" s="76">
        <v>46218</v>
      </c>
      <c r="I202" s="19" t="s">
        <v>49</v>
      </c>
      <c r="J202" s="19" t="s">
        <v>50</v>
      </c>
      <c r="K202" s="19" t="s">
        <v>50</v>
      </c>
      <c r="L202" s="19" t="s">
        <v>1095</v>
      </c>
      <c r="M202" s="19" t="s">
        <v>1098</v>
      </c>
      <c r="N202" s="19">
        <v>1127</v>
      </c>
      <c r="O202" s="19">
        <v>295634.64</v>
      </c>
      <c r="P202" s="19" t="s">
        <v>1250</v>
      </c>
      <c r="Q202" s="19">
        <v>0</v>
      </c>
      <c r="R202" s="19">
        <v>9</v>
      </c>
      <c r="S202" s="19">
        <v>26607.119999999999</v>
      </c>
      <c r="T202" s="19">
        <v>9</v>
      </c>
      <c r="U202" s="19">
        <v>26607.119999999999</v>
      </c>
      <c r="V202" s="19">
        <v>0</v>
      </c>
      <c r="W202" s="19">
        <v>0</v>
      </c>
      <c r="X202" s="19">
        <v>0</v>
      </c>
      <c r="Y202" s="19">
        <v>53214.239999999998</v>
      </c>
      <c r="Z202" s="19">
        <v>0</v>
      </c>
      <c r="AA202" s="19" t="s">
        <v>135</v>
      </c>
      <c r="AB202" s="19" t="s">
        <v>1091</v>
      </c>
      <c r="AC202" s="19">
        <v>63053200</v>
      </c>
      <c r="AD202" s="19" t="s">
        <v>1092</v>
      </c>
      <c r="AE202" s="19">
        <v>1</v>
      </c>
      <c r="AF202" s="19">
        <v>1127</v>
      </c>
      <c r="AG202" s="19" t="s">
        <v>1093</v>
      </c>
      <c r="AH202" s="19" t="s">
        <v>50</v>
      </c>
      <c r="AI202" s="19"/>
    </row>
    <row r="203" spans="2:35" x14ac:dyDescent="0.35">
      <c r="B203" s="82">
        <v>46218</v>
      </c>
      <c r="C203" s="19" t="s">
        <v>1084</v>
      </c>
      <c r="D203" s="19" t="s">
        <v>11</v>
      </c>
      <c r="E203" s="83">
        <v>471</v>
      </c>
      <c r="F203" s="19" t="s">
        <v>1085</v>
      </c>
      <c r="G203" s="19" t="s">
        <v>1368</v>
      </c>
      <c r="H203" s="76">
        <v>46218</v>
      </c>
      <c r="I203" s="19" t="s">
        <v>49</v>
      </c>
      <c r="J203" s="19" t="s">
        <v>50</v>
      </c>
      <c r="K203" s="19" t="s">
        <v>50</v>
      </c>
      <c r="L203" s="19" t="s">
        <v>1095</v>
      </c>
      <c r="M203" s="19" t="s">
        <v>1098</v>
      </c>
      <c r="N203" s="19">
        <v>1624.4</v>
      </c>
      <c r="O203" s="19">
        <v>428955.31</v>
      </c>
      <c r="P203" s="19" t="s">
        <v>1370</v>
      </c>
      <c r="Q203" s="19">
        <v>0</v>
      </c>
      <c r="R203" s="19">
        <v>9</v>
      </c>
      <c r="S203" s="19">
        <v>38605.980000000003</v>
      </c>
      <c r="T203" s="19">
        <v>9</v>
      </c>
      <c r="U203" s="19">
        <v>38605.980000000003</v>
      </c>
      <c r="V203" s="19">
        <v>0</v>
      </c>
      <c r="W203" s="19">
        <v>0</v>
      </c>
      <c r="X203" s="19">
        <v>0</v>
      </c>
      <c r="Y203" s="19">
        <v>77211.960000000006</v>
      </c>
      <c r="Z203" s="19">
        <v>0</v>
      </c>
      <c r="AA203" s="19" t="s">
        <v>135</v>
      </c>
      <c r="AB203" s="19" t="s">
        <v>1091</v>
      </c>
      <c r="AC203" s="19">
        <v>63053200</v>
      </c>
      <c r="AD203" s="19" t="s">
        <v>1092</v>
      </c>
      <c r="AE203" s="19">
        <v>1</v>
      </c>
      <c r="AF203" s="19">
        <v>1624.4</v>
      </c>
      <c r="AG203" s="19" t="s">
        <v>1093</v>
      </c>
      <c r="AH203" s="19" t="s">
        <v>50</v>
      </c>
      <c r="AI203" s="19"/>
    </row>
    <row r="204" spans="2:35" x14ac:dyDescent="0.35">
      <c r="B204" s="82">
        <v>46218</v>
      </c>
      <c r="C204" s="19" t="s">
        <v>1084</v>
      </c>
      <c r="D204" s="19" t="s">
        <v>11</v>
      </c>
      <c r="E204" s="83">
        <v>471</v>
      </c>
      <c r="F204" s="19" t="s">
        <v>1085</v>
      </c>
      <c r="G204" s="19" t="s">
        <v>1368</v>
      </c>
      <c r="H204" s="76">
        <v>46218</v>
      </c>
      <c r="I204" s="19" t="s">
        <v>49</v>
      </c>
      <c r="J204" s="19" t="s">
        <v>50</v>
      </c>
      <c r="K204" s="19" t="s">
        <v>50</v>
      </c>
      <c r="L204" s="19" t="s">
        <v>1095</v>
      </c>
      <c r="M204" s="19" t="s">
        <v>1098</v>
      </c>
      <c r="N204" s="19">
        <v>1689.3</v>
      </c>
      <c r="O204" s="19">
        <v>479811.88</v>
      </c>
      <c r="P204" s="19" t="s">
        <v>1251</v>
      </c>
      <c r="Q204" s="19">
        <v>0</v>
      </c>
      <c r="R204" s="19">
        <v>9</v>
      </c>
      <c r="S204" s="19">
        <v>43183.07</v>
      </c>
      <c r="T204" s="19">
        <v>9</v>
      </c>
      <c r="U204" s="19">
        <v>43183.07</v>
      </c>
      <c r="V204" s="19">
        <v>0</v>
      </c>
      <c r="W204" s="19">
        <v>0</v>
      </c>
      <c r="X204" s="19">
        <v>0</v>
      </c>
      <c r="Y204" s="19">
        <v>86366.14</v>
      </c>
      <c r="Z204" s="19">
        <v>0</v>
      </c>
      <c r="AA204" s="19" t="s">
        <v>135</v>
      </c>
      <c r="AB204" s="19" t="s">
        <v>1091</v>
      </c>
      <c r="AC204" s="19">
        <v>63053200</v>
      </c>
      <c r="AD204" s="19" t="s">
        <v>1092</v>
      </c>
      <c r="AE204" s="19">
        <v>1</v>
      </c>
      <c r="AF204" s="19">
        <v>1689.3</v>
      </c>
      <c r="AG204" s="19" t="s">
        <v>1093</v>
      </c>
      <c r="AH204" s="19" t="s">
        <v>50</v>
      </c>
      <c r="AI204" s="19"/>
    </row>
    <row r="205" spans="2:35" x14ac:dyDescent="0.35">
      <c r="B205" s="82">
        <v>46218</v>
      </c>
      <c r="C205" s="19" t="s">
        <v>1084</v>
      </c>
      <c r="D205" s="19" t="s">
        <v>11</v>
      </c>
      <c r="E205" s="83">
        <v>471</v>
      </c>
      <c r="F205" s="19" t="s">
        <v>1085</v>
      </c>
      <c r="G205" s="19" t="s">
        <v>1368</v>
      </c>
      <c r="H205" s="76">
        <v>46218</v>
      </c>
      <c r="I205" s="19" t="s">
        <v>49</v>
      </c>
      <c r="J205" s="19" t="s">
        <v>50</v>
      </c>
      <c r="K205" s="19" t="s">
        <v>50</v>
      </c>
      <c r="L205" s="19" t="s">
        <v>1095</v>
      </c>
      <c r="M205" s="19" t="s">
        <v>1098</v>
      </c>
      <c r="N205" s="19">
        <v>380</v>
      </c>
      <c r="O205" s="19">
        <v>93027.8</v>
      </c>
      <c r="P205" s="19" t="s">
        <v>1252</v>
      </c>
      <c r="Q205" s="19">
        <v>0</v>
      </c>
      <c r="R205" s="19">
        <v>9</v>
      </c>
      <c r="S205" s="19">
        <v>8372.5</v>
      </c>
      <c r="T205" s="19">
        <v>9</v>
      </c>
      <c r="U205" s="19">
        <v>8372.5</v>
      </c>
      <c r="V205" s="19">
        <v>0</v>
      </c>
      <c r="W205" s="19">
        <v>0</v>
      </c>
      <c r="X205" s="19">
        <v>0</v>
      </c>
      <c r="Y205" s="19">
        <v>16745</v>
      </c>
      <c r="Z205" s="19">
        <v>0</v>
      </c>
      <c r="AA205" s="19" t="s">
        <v>135</v>
      </c>
      <c r="AB205" s="19" t="s">
        <v>1091</v>
      </c>
      <c r="AC205" s="19">
        <v>63053200</v>
      </c>
      <c r="AD205" s="19" t="s">
        <v>1092</v>
      </c>
      <c r="AE205" s="19">
        <v>1</v>
      </c>
      <c r="AF205" s="19">
        <v>380</v>
      </c>
      <c r="AG205" s="19" t="s">
        <v>1093</v>
      </c>
      <c r="AH205" s="19" t="s">
        <v>50</v>
      </c>
      <c r="AI205" s="19"/>
    </row>
    <row r="206" spans="2:35" x14ac:dyDescent="0.35">
      <c r="B206" s="82">
        <v>46218</v>
      </c>
      <c r="C206" s="19" t="s">
        <v>1084</v>
      </c>
      <c r="D206" s="19" t="s">
        <v>11</v>
      </c>
      <c r="E206" s="83">
        <v>471</v>
      </c>
      <c r="F206" s="19" t="s">
        <v>1085</v>
      </c>
      <c r="G206" s="19" t="s">
        <v>1368</v>
      </c>
      <c r="H206" s="76">
        <v>46218</v>
      </c>
      <c r="I206" s="19" t="s">
        <v>49</v>
      </c>
      <c r="J206" s="19" t="s">
        <v>50</v>
      </c>
      <c r="K206" s="19" t="s">
        <v>50</v>
      </c>
      <c r="L206" s="19" t="s">
        <v>1095</v>
      </c>
      <c r="M206" s="19" t="s">
        <v>1098</v>
      </c>
      <c r="N206" s="19">
        <v>1716.4</v>
      </c>
      <c r="O206" s="19">
        <v>483338.23999999999</v>
      </c>
      <c r="P206" s="19" t="s">
        <v>1253</v>
      </c>
      <c r="Q206" s="19">
        <v>0</v>
      </c>
      <c r="R206" s="19">
        <v>9</v>
      </c>
      <c r="S206" s="19">
        <v>43500.44</v>
      </c>
      <c r="T206" s="19">
        <v>9</v>
      </c>
      <c r="U206" s="19">
        <v>43500.44</v>
      </c>
      <c r="V206" s="19">
        <v>0</v>
      </c>
      <c r="W206" s="19">
        <v>0</v>
      </c>
      <c r="X206" s="19">
        <v>0</v>
      </c>
      <c r="Y206" s="19">
        <v>87000.88</v>
      </c>
      <c r="Z206" s="19">
        <v>0</v>
      </c>
      <c r="AA206" s="19" t="s">
        <v>135</v>
      </c>
      <c r="AB206" s="19" t="s">
        <v>1091</v>
      </c>
      <c r="AC206" s="19">
        <v>63053200</v>
      </c>
      <c r="AD206" s="19" t="s">
        <v>1092</v>
      </c>
      <c r="AE206" s="19">
        <v>1</v>
      </c>
      <c r="AF206" s="19">
        <v>1716.4</v>
      </c>
      <c r="AG206" s="19" t="s">
        <v>1093</v>
      </c>
      <c r="AH206" s="19" t="s">
        <v>50</v>
      </c>
      <c r="AI206" s="19"/>
    </row>
    <row r="207" spans="2:35" x14ac:dyDescent="0.35">
      <c r="B207" s="82">
        <v>46218</v>
      </c>
      <c r="C207" s="19" t="s">
        <v>1371</v>
      </c>
      <c r="D207" s="19" t="s">
        <v>11</v>
      </c>
      <c r="E207" s="83">
        <v>462</v>
      </c>
      <c r="F207" s="19" t="s">
        <v>1085</v>
      </c>
      <c r="G207" s="19" t="s">
        <v>1372</v>
      </c>
      <c r="H207" s="76">
        <v>46218</v>
      </c>
      <c r="I207" s="19" t="s">
        <v>49</v>
      </c>
      <c r="J207" s="19" t="s">
        <v>50</v>
      </c>
      <c r="K207" s="19" t="s">
        <v>50</v>
      </c>
      <c r="L207" s="19" t="s">
        <v>1095</v>
      </c>
      <c r="M207" s="19" t="s">
        <v>1096</v>
      </c>
      <c r="N207" s="19">
        <v>845.4</v>
      </c>
      <c r="O207" s="19">
        <v>170000</v>
      </c>
      <c r="P207" s="19" t="s">
        <v>1373</v>
      </c>
      <c r="Q207" s="19">
        <v>726880</v>
      </c>
      <c r="R207" s="19">
        <v>9</v>
      </c>
      <c r="S207" s="19">
        <v>15300</v>
      </c>
      <c r="T207" s="19">
        <v>9</v>
      </c>
      <c r="U207" s="19">
        <v>15300</v>
      </c>
      <c r="V207" s="19">
        <v>0</v>
      </c>
      <c r="W207" s="19">
        <v>0</v>
      </c>
      <c r="X207" s="19">
        <v>900</v>
      </c>
      <c r="Y207" s="19">
        <v>31500</v>
      </c>
      <c r="Z207" s="19">
        <v>0</v>
      </c>
      <c r="AA207" s="19" t="s">
        <v>1374</v>
      </c>
      <c r="AB207" s="19" t="s">
        <v>1091</v>
      </c>
      <c r="AC207" s="19">
        <v>63053200</v>
      </c>
      <c r="AD207" s="19" t="s">
        <v>1092</v>
      </c>
      <c r="AE207" s="19">
        <v>1</v>
      </c>
      <c r="AF207" s="19">
        <v>845.4</v>
      </c>
      <c r="AG207" s="19" t="s">
        <v>1093</v>
      </c>
      <c r="AH207" s="19" t="s">
        <v>50</v>
      </c>
      <c r="AI207" s="19"/>
    </row>
    <row r="208" spans="2:35" x14ac:dyDescent="0.35">
      <c r="B208" s="82">
        <v>46218</v>
      </c>
      <c r="C208" s="19" t="s">
        <v>1371</v>
      </c>
      <c r="D208" s="19" t="s">
        <v>11</v>
      </c>
      <c r="E208" s="83">
        <v>462</v>
      </c>
      <c r="F208" s="19" t="s">
        <v>1085</v>
      </c>
      <c r="G208" s="19" t="s">
        <v>1372</v>
      </c>
      <c r="H208" s="76">
        <v>46218</v>
      </c>
      <c r="I208" s="19" t="s">
        <v>49</v>
      </c>
      <c r="J208" s="19" t="s">
        <v>50</v>
      </c>
      <c r="K208" s="19" t="s">
        <v>50</v>
      </c>
      <c r="L208" s="19" t="s">
        <v>1095</v>
      </c>
      <c r="M208" s="19" t="s">
        <v>1098</v>
      </c>
      <c r="N208" s="19">
        <v>557.79999999999995</v>
      </c>
      <c r="O208" s="19">
        <v>109500</v>
      </c>
      <c r="P208" s="19" t="s">
        <v>1375</v>
      </c>
      <c r="Q208" s="19">
        <v>0</v>
      </c>
      <c r="R208" s="19">
        <v>9</v>
      </c>
      <c r="S208" s="19">
        <v>9855</v>
      </c>
      <c r="T208" s="19">
        <v>9</v>
      </c>
      <c r="U208" s="19">
        <v>9855</v>
      </c>
      <c r="V208" s="19">
        <v>0</v>
      </c>
      <c r="W208" s="19">
        <v>0</v>
      </c>
      <c r="X208" s="19">
        <v>900</v>
      </c>
      <c r="Y208" s="19">
        <v>20610</v>
      </c>
      <c r="Z208" s="19">
        <v>0</v>
      </c>
      <c r="AA208" s="19" t="s">
        <v>1374</v>
      </c>
      <c r="AB208" s="19" t="s">
        <v>1091</v>
      </c>
      <c r="AC208" s="19">
        <v>63053200</v>
      </c>
      <c r="AD208" s="19" t="s">
        <v>1092</v>
      </c>
      <c r="AE208" s="19">
        <v>1</v>
      </c>
      <c r="AF208" s="19">
        <v>557.79999999999995</v>
      </c>
      <c r="AG208" s="19" t="s">
        <v>1093</v>
      </c>
      <c r="AH208" s="19" t="s">
        <v>50</v>
      </c>
      <c r="AI208" s="19"/>
    </row>
    <row r="209" spans="2:35" x14ac:dyDescent="0.35">
      <c r="B209" s="82">
        <v>46218</v>
      </c>
      <c r="C209" s="19" t="s">
        <v>1371</v>
      </c>
      <c r="D209" s="19" t="s">
        <v>11</v>
      </c>
      <c r="E209" s="83">
        <v>462</v>
      </c>
      <c r="F209" s="19" t="s">
        <v>1085</v>
      </c>
      <c r="G209" s="19" t="s">
        <v>1372</v>
      </c>
      <c r="H209" s="76">
        <v>46218</v>
      </c>
      <c r="I209" s="19" t="s">
        <v>49</v>
      </c>
      <c r="J209" s="19" t="s">
        <v>50</v>
      </c>
      <c r="K209" s="19" t="s">
        <v>50</v>
      </c>
      <c r="L209" s="19" t="s">
        <v>1095</v>
      </c>
      <c r="M209" s="19" t="s">
        <v>1098</v>
      </c>
      <c r="N209" s="19">
        <v>436.3</v>
      </c>
      <c r="O209" s="19">
        <v>93000</v>
      </c>
      <c r="P209" s="19" t="s">
        <v>1376</v>
      </c>
      <c r="Q209" s="19">
        <v>0</v>
      </c>
      <c r="R209" s="19">
        <v>9</v>
      </c>
      <c r="S209" s="19">
        <v>8370</v>
      </c>
      <c r="T209" s="19">
        <v>9</v>
      </c>
      <c r="U209" s="19">
        <v>8370</v>
      </c>
      <c r="V209" s="19">
        <v>0</v>
      </c>
      <c r="W209" s="19">
        <v>0</v>
      </c>
      <c r="X209" s="19">
        <v>900</v>
      </c>
      <c r="Y209" s="19">
        <v>17640</v>
      </c>
      <c r="Z209" s="19">
        <v>0</v>
      </c>
      <c r="AA209" s="19" t="s">
        <v>1374</v>
      </c>
      <c r="AB209" s="19" t="s">
        <v>1091</v>
      </c>
      <c r="AC209" s="19">
        <v>63053200</v>
      </c>
      <c r="AD209" s="19" t="s">
        <v>1092</v>
      </c>
      <c r="AE209" s="19">
        <v>1</v>
      </c>
      <c r="AF209" s="19">
        <v>436.3</v>
      </c>
      <c r="AG209" s="19" t="s">
        <v>1093</v>
      </c>
      <c r="AH209" s="19" t="s">
        <v>50</v>
      </c>
      <c r="AI209" s="19"/>
    </row>
    <row r="210" spans="2:35" x14ac:dyDescent="0.35">
      <c r="B210" s="82">
        <v>46218</v>
      </c>
      <c r="C210" s="19" t="s">
        <v>1371</v>
      </c>
      <c r="D210" s="19" t="s">
        <v>11</v>
      </c>
      <c r="E210" s="83">
        <v>462</v>
      </c>
      <c r="F210" s="19" t="s">
        <v>1085</v>
      </c>
      <c r="G210" s="19" t="s">
        <v>1372</v>
      </c>
      <c r="H210" s="76">
        <v>46218</v>
      </c>
      <c r="I210" s="19" t="s">
        <v>49</v>
      </c>
      <c r="J210" s="19" t="s">
        <v>50</v>
      </c>
      <c r="K210" s="19" t="s">
        <v>50</v>
      </c>
      <c r="L210" s="19" t="s">
        <v>1095</v>
      </c>
      <c r="M210" s="19" t="s">
        <v>1098</v>
      </c>
      <c r="N210" s="19">
        <v>143.19999999999999</v>
      </c>
      <c r="O210" s="19">
        <v>30000</v>
      </c>
      <c r="P210" s="19" t="s">
        <v>1377</v>
      </c>
      <c r="Q210" s="19">
        <v>0</v>
      </c>
      <c r="R210" s="19">
        <v>9</v>
      </c>
      <c r="S210" s="19">
        <v>2700</v>
      </c>
      <c r="T210" s="19">
        <v>9</v>
      </c>
      <c r="U210" s="19">
        <v>2700</v>
      </c>
      <c r="V210" s="19">
        <v>0</v>
      </c>
      <c r="W210" s="19">
        <v>0</v>
      </c>
      <c r="X210" s="19">
        <v>900</v>
      </c>
      <c r="Y210" s="19">
        <v>6300</v>
      </c>
      <c r="Z210" s="19">
        <v>0</v>
      </c>
      <c r="AA210" s="19" t="s">
        <v>1374</v>
      </c>
      <c r="AB210" s="19" t="s">
        <v>1091</v>
      </c>
      <c r="AC210" s="19">
        <v>63053200</v>
      </c>
      <c r="AD210" s="19" t="s">
        <v>1092</v>
      </c>
      <c r="AE210" s="19">
        <v>1</v>
      </c>
      <c r="AF210" s="19">
        <v>143.19999999999999</v>
      </c>
      <c r="AG210" s="19" t="s">
        <v>1093</v>
      </c>
      <c r="AH210" s="19" t="s">
        <v>50</v>
      </c>
      <c r="AI210" s="19"/>
    </row>
    <row r="211" spans="2:35" x14ac:dyDescent="0.35">
      <c r="B211" s="82">
        <v>46218</v>
      </c>
      <c r="C211" s="19" t="s">
        <v>1371</v>
      </c>
      <c r="D211" s="19" t="s">
        <v>11</v>
      </c>
      <c r="E211" s="83">
        <v>462</v>
      </c>
      <c r="F211" s="19" t="s">
        <v>1085</v>
      </c>
      <c r="G211" s="19" t="s">
        <v>1372</v>
      </c>
      <c r="H211" s="76">
        <v>46218</v>
      </c>
      <c r="I211" s="19" t="s">
        <v>49</v>
      </c>
      <c r="J211" s="19" t="s">
        <v>50</v>
      </c>
      <c r="K211" s="19" t="s">
        <v>50</v>
      </c>
      <c r="L211" s="19" t="s">
        <v>1095</v>
      </c>
      <c r="M211" s="19" t="s">
        <v>1098</v>
      </c>
      <c r="N211" s="19">
        <v>243</v>
      </c>
      <c r="O211" s="19">
        <v>49500</v>
      </c>
      <c r="P211" s="19" t="s">
        <v>1378</v>
      </c>
      <c r="Q211" s="19">
        <v>0</v>
      </c>
      <c r="R211" s="19">
        <v>9</v>
      </c>
      <c r="S211" s="19">
        <v>4455</v>
      </c>
      <c r="T211" s="19">
        <v>9</v>
      </c>
      <c r="U211" s="19">
        <v>4455</v>
      </c>
      <c r="V211" s="19">
        <v>0</v>
      </c>
      <c r="W211" s="19">
        <v>0</v>
      </c>
      <c r="X211" s="19">
        <v>900</v>
      </c>
      <c r="Y211" s="19">
        <v>9810</v>
      </c>
      <c r="Z211" s="19">
        <v>0</v>
      </c>
      <c r="AA211" s="19" t="s">
        <v>1374</v>
      </c>
      <c r="AB211" s="19" t="s">
        <v>1091</v>
      </c>
      <c r="AC211" s="19">
        <v>63053200</v>
      </c>
      <c r="AD211" s="19" t="s">
        <v>1092</v>
      </c>
      <c r="AE211" s="19">
        <v>1</v>
      </c>
      <c r="AF211" s="19">
        <v>243</v>
      </c>
      <c r="AG211" s="19" t="s">
        <v>1093</v>
      </c>
      <c r="AH211" s="19" t="s">
        <v>50</v>
      </c>
      <c r="AI211" s="19"/>
    </row>
    <row r="212" spans="2:35" x14ac:dyDescent="0.35">
      <c r="B212" s="82">
        <v>46218</v>
      </c>
      <c r="C212" s="19" t="s">
        <v>1371</v>
      </c>
      <c r="D212" s="19" t="s">
        <v>11</v>
      </c>
      <c r="E212" s="83">
        <v>462</v>
      </c>
      <c r="F212" s="19" t="s">
        <v>1085</v>
      </c>
      <c r="G212" s="19" t="s">
        <v>1372</v>
      </c>
      <c r="H212" s="76">
        <v>46218</v>
      </c>
      <c r="I212" s="19" t="s">
        <v>49</v>
      </c>
      <c r="J212" s="19" t="s">
        <v>50</v>
      </c>
      <c r="K212" s="19" t="s">
        <v>50</v>
      </c>
      <c r="L212" s="19" t="s">
        <v>1095</v>
      </c>
      <c r="M212" s="19" t="s">
        <v>1098</v>
      </c>
      <c r="N212" s="19">
        <v>532</v>
      </c>
      <c r="O212" s="19">
        <v>106500</v>
      </c>
      <c r="P212" s="19" t="s">
        <v>1379</v>
      </c>
      <c r="Q212" s="19">
        <v>0</v>
      </c>
      <c r="R212" s="19">
        <v>9</v>
      </c>
      <c r="S212" s="19">
        <v>9585</v>
      </c>
      <c r="T212" s="19">
        <v>9</v>
      </c>
      <c r="U212" s="19">
        <v>9585</v>
      </c>
      <c r="V212" s="19">
        <v>0</v>
      </c>
      <c r="W212" s="19">
        <v>0</v>
      </c>
      <c r="X212" s="19">
        <v>900</v>
      </c>
      <c r="Y212" s="19">
        <v>20070</v>
      </c>
      <c r="Z212" s="19">
        <v>0</v>
      </c>
      <c r="AA212" s="19" t="s">
        <v>1374</v>
      </c>
      <c r="AB212" s="19" t="s">
        <v>1091</v>
      </c>
      <c r="AC212" s="19">
        <v>63053200</v>
      </c>
      <c r="AD212" s="19" t="s">
        <v>1092</v>
      </c>
      <c r="AE212" s="19">
        <v>1</v>
      </c>
      <c r="AF212" s="19">
        <v>532</v>
      </c>
      <c r="AG212" s="19" t="s">
        <v>1093</v>
      </c>
      <c r="AH212" s="19" t="s">
        <v>50</v>
      </c>
      <c r="AI212" s="19"/>
    </row>
    <row r="213" spans="2:35" x14ac:dyDescent="0.35">
      <c r="B213" s="82">
        <v>46218</v>
      </c>
      <c r="C213" s="19" t="s">
        <v>1371</v>
      </c>
      <c r="D213" s="19" t="s">
        <v>11</v>
      </c>
      <c r="E213" s="83">
        <v>462</v>
      </c>
      <c r="F213" s="19" t="s">
        <v>1085</v>
      </c>
      <c r="G213" s="19" t="s">
        <v>1372</v>
      </c>
      <c r="H213" s="76">
        <v>46218</v>
      </c>
      <c r="I213" s="19" t="s">
        <v>49</v>
      </c>
      <c r="J213" s="19" t="s">
        <v>50</v>
      </c>
      <c r="K213" s="19" t="s">
        <v>50</v>
      </c>
      <c r="L213" s="19" t="s">
        <v>1095</v>
      </c>
      <c r="M213" s="19" t="s">
        <v>1098</v>
      </c>
      <c r="N213" s="19">
        <v>257.2</v>
      </c>
      <c r="O213" s="19">
        <v>52500</v>
      </c>
      <c r="P213" s="19" t="s">
        <v>1379</v>
      </c>
      <c r="Q213" s="19">
        <v>0</v>
      </c>
      <c r="R213" s="19">
        <v>9</v>
      </c>
      <c r="S213" s="19">
        <v>4725</v>
      </c>
      <c r="T213" s="19">
        <v>9</v>
      </c>
      <c r="U213" s="19">
        <v>4725</v>
      </c>
      <c r="V213" s="19">
        <v>0</v>
      </c>
      <c r="W213" s="19">
        <v>0</v>
      </c>
      <c r="X213" s="19">
        <v>900</v>
      </c>
      <c r="Y213" s="19">
        <v>10350</v>
      </c>
      <c r="Z213" s="19">
        <v>0</v>
      </c>
      <c r="AA213" s="19" t="s">
        <v>1374</v>
      </c>
      <c r="AB213" s="19" t="s">
        <v>1091</v>
      </c>
      <c r="AC213" s="19">
        <v>63053200</v>
      </c>
      <c r="AD213" s="19" t="s">
        <v>1092</v>
      </c>
      <c r="AE213" s="19">
        <v>1</v>
      </c>
      <c r="AF213" s="19">
        <v>257.2</v>
      </c>
      <c r="AG213" s="19" t="s">
        <v>1093</v>
      </c>
      <c r="AH213" s="19" t="s">
        <v>50</v>
      </c>
      <c r="AI213" s="19"/>
    </row>
    <row r="214" spans="2:35" x14ac:dyDescent="0.35">
      <c r="B214" s="82">
        <v>46218</v>
      </c>
      <c r="C214" s="19" t="s">
        <v>1371</v>
      </c>
      <c r="D214" s="19" t="s">
        <v>11</v>
      </c>
      <c r="E214" s="83">
        <v>463</v>
      </c>
      <c r="F214" s="19" t="s">
        <v>1085</v>
      </c>
      <c r="G214" s="19" t="s">
        <v>1380</v>
      </c>
      <c r="H214" s="76">
        <v>46218</v>
      </c>
      <c r="I214" s="19" t="s">
        <v>49</v>
      </c>
      <c r="J214" s="19" t="s">
        <v>50</v>
      </c>
      <c r="K214" s="19" t="s">
        <v>50</v>
      </c>
      <c r="L214" s="19" t="s">
        <v>1095</v>
      </c>
      <c r="M214" s="19" t="s">
        <v>1098</v>
      </c>
      <c r="N214" s="19">
        <v>575.9</v>
      </c>
      <c r="O214" s="19">
        <v>122100</v>
      </c>
      <c r="P214" s="19" t="s">
        <v>1378</v>
      </c>
      <c r="Q214" s="19">
        <v>399412.3</v>
      </c>
      <c r="R214" s="19">
        <v>9</v>
      </c>
      <c r="S214" s="19">
        <v>10989</v>
      </c>
      <c r="T214" s="19">
        <v>9</v>
      </c>
      <c r="U214" s="19">
        <v>10989</v>
      </c>
      <c r="V214" s="19">
        <v>0</v>
      </c>
      <c r="W214" s="19">
        <v>0</v>
      </c>
      <c r="X214" s="19">
        <v>900</v>
      </c>
      <c r="Y214" s="19">
        <v>22878</v>
      </c>
      <c r="Z214" s="19">
        <v>0</v>
      </c>
      <c r="AA214" s="19" t="s">
        <v>1374</v>
      </c>
      <c r="AB214" s="19" t="s">
        <v>1091</v>
      </c>
      <c r="AC214" s="19">
        <v>63053200</v>
      </c>
      <c r="AD214" s="19" t="s">
        <v>1092</v>
      </c>
      <c r="AE214" s="19">
        <v>1</v>
      </c>
      <c r="AF214" s="19">
        <v>575.9</v>
      </c>
      <c r="AG214" s="19" t="s">
        <v>1093</v>
      </c>
      <c r="AH214" s="19" t="s">
        <v>50</v>
      </c>
      <c r="AI214" s="19"/>
    </row>
    <row r="215" spans="2:35" x14ac:dyDescent="0.35">
      <c r="B215" s="82">
        <v>46218</v>
      </c>
      <c r="C215" s="19" t="s">
        <v>1371</v>
      </c>
      <c r="D215" s="19" t="s">
        <v>11</v>
      </c>
      <c r="E215" s="83">
        <v>463</v>
      </c>
      <c r="F215" s="19" t="s">
        <v>1085</v>
      </c>
      <c r="G215" s="19" t="s">
        <v>1380</v>
      </c>
      <c r="H215" s="76">
        <v>46218</v>
      </c>
      <c r="I215" s="19" t="s">
        <v>49</v>
      </c>
      <c r="J215" s="19" t="s">
        <v>50</v>
      </c>
      <c r="K215" s="19" t="s">
        <v>50</v>
      </c>
      <c r="L215" s="19" t="s">
        <v>1095</v>
      </c>
      <c r="M215" s="19" t="s">
        <v>1098</v>
      </c>
      <c r="N215" s="19">
        <v>257</v>
      </c>
      <c r="O215" s="19">
        <v>52500</v>
      </c>
      <c r="P215" s="19" t="s">
        <v>1379</v>
      </c>
      <c r="Q215" s="19">
        <v>0</v>
      </c>
      <c r="R215" s="19">
        <v>9</v>
      </c>
      <c r="S215" s="19">
        <v>4725</v>
      </c>
      <c r="T215" s="19">
        <v>9</v>
      </c>
      <c r="U215" s="19">
        <v>4725</v>
      </c>
      <c r="V215" s="19">
        <v>0</v>
      </c>
      <c r="W215" s="19">
        <v>0</v>
      </c>
      <c r="X215" s="19">
        <v>900</v>
      </c>
      <c r="Y215" s="19">
        <v>10350</v>
      </c>
      <c r="Z215" s="19">
        <v>0</v>
      </c>
      <c r="AA215" s="19" t="s">
        <v>1374</v>
      </c>
      <c r="AB215" s="19" t="s">
        <v>1091</v>
      </c>
      <c r="AC215" s="19">
        <v>63053200</v>
      </c>
      <c r="AD215" s="19" t="s">
        <v>1092</v>
      </c>
      <c r="AE215" s="19">
        <v>1</v>
      </c>
      <c r="AF215" s="19">
        <v>257</v>
      </c>
      <c r="AG215" s="19" t="s">
        <v>1093</v>
      </c>
      <c r="AH215" s="19" t="s">
        <v>50</v>
      </c>
      <c r="AI215" s="19"/>
    </row>
    <row r="216" spans="2:35" x14ac:dyDescent="0.35">
      <c r="B216" s="82">
        <v>46218</v>
      </c>
      <c r="C216" s="19" t="s">
        <v>1371</v>
      </c>
      <c r="D216" s="19" t="s">
        <v>11</v>
      </c>
      <c r="E216" s="83">
        <v>463</v>
      </c>
      <c r="F216" s="19" t="s">
        <v>1085</v>
      </c>
      <c r="G216" s="19" t="s">
        <v>1380</v>
      </c>
      <c r="H216" s="76">
        <v>46218</v>
      </c>
      <c r="I216" s="19" t="s">
        <v>49</v>
      </c>
      <c r="J216" s="19" t="s">
        <v>50</v>
      </c>
      <c r="K216" s="19" t="s">
        <v>50</v>
      </c>
      <c r="L216" s="19" t="s">
        <v>1095</v>
      </c>
      <c r="M216" s="19" t="s">
        <v>1098</v>
      </c>
      <c r="N216" s="19">
        <v>357.8</v>
      </c>
      <c r="O216" s="19">
        <v>68985</v>
      </c>
      <c r="P216" s="19" t="s">
        <v>1375</v>
      </c>
      <c r="Q216" s="19">
        <v>0</v>
      </c>
      <c r="R216" s="19">
        <v>9</v>
      </c>
      <c r="S216" s="19">
        <v>6208.65</v>
      </c>
      <c r="T216" s="19">
        <v>9</v>
      </c>
      <c r="U216" s="19">
        <v>6208.65</v>
      </c>
      <c r="V216" s="19">
        <v>0</v>
      </c>
      <c r="W216" s="19">
        <v>0</v>
      </c>
      <c r="X216" s="19">
        <v>900</v>
      </c>
      <c r="Y216" s="19">
        <v>13317.3</v>
      </c>
      <c r="Z216" s="19">
        <v>0</v>
      </c>
      <c r="AA216" s="19" t="s">
        <v>1374</v>
      </c>
      <c r="AB216" s="19" t="s">
        <v>1091</v>
      </c>
      <c r="AC216" s="19">
        <v>63053200</v>
      </c>
      <c r="AD216" s="19" t="s">
        <v>1092</v>
      </c>
      <c r="AE216" s="19">
        <v>1</v>
      </c>
      <c r="AF216" s="19">
        <v>357.8</v>
      </c>
      <c r="AG216" s="19" t="s">
        <v>1093</v>
      </c>
      <c r="AH216" s="19" t="s">
        <v>50</v>
      </c>
      <c r="AI216" s="19"/>
    </row>
    <row r="217" spans="2:35" x14ac:dyDescent="0.35">
      <c r="B217" s="82">
        <v>46218</v>
      </c>
      <c r="C217" s="19" t="s">
        <v>1371</v>
      </c>
      <c r="D217" s="19" t="s">
        <v>11</v>
      </c>
      <c r="E217" s="83">
        <v>463</v>
      </c>
      <c r="F217" s="19" t="s">
        <v>1085</v>
      </c>
      <c r="G217" s="19" t="s">
        <v>1380</v>
      </c>
      <c r="H217" s="76">
        <v>46218</v>
      </c>
      <c r="I217" s="19" t="s">
        <v>49</v>
      </c>
      <c r="J217" s="19" t="s">
        <v>50</v>
      </c>
      <c r="K217" s="19" t="s">
        <v>50</v>
      </c>
      <c r="L217" s="19" t="s">
        <v>1095</v>
      </c>
      <c r="M217" s="19" t="s">
        <v>1098</v>
      </c>
      <c r="N217" s="19">
        <v>215.8</v>
      </c>
      <c r="O217" s="19">
        <v>46500</v>
      </c>
      <c r="P217" s="19" t="s">
        <v>1376</v>
      </c>
      <c r="Q217" s="19">
        <v>0</v>
      </c>
      <c r="R217" s="19">
        <v>9</v>
      </c>
      <c r="S217" s="19">
        <v>4185</v>
      </c>
      <c r="T217" s="19">
        <v>9</v>
      </c>
      <c r="U217" s="19">
        <v>4185</v>
      </c>
      <c r="V217" s="19">
        <v>0</v>
      </c>
      <c r="W217" s="19">
        <v>0</v>
      </c>
      <c r="X217" s="19">
        <v>900</v>
      </c>
      <c r="Y217" s="19">
        <v>9270</v>
      </c>
      <c r="Z217" s="19">
        <v>0</v>
      </c>
      <c r="AA217" s="19" t="s">
        <v>1374</v>
      </c>
      <c r="AB217" s="19" t="s">
        <v>1091</v>
      </c>
      <c r="AC217" s="19">
        <v>63053200</v>
      </c>
      <c r="AD217" s="19" t="s">
        <v>1092</v>
      </c>
      <c r="AE217" s="19">
        <v>1</v>
      </c>
      <c r="AF217" s="19">
        <v>215.8</v>
      </c>
      <c r="AG217" s="19" t="s">
        <v>1093</v>
      </c>
      <c r="AH217" s="19" t="s">
        <v>50</v>
      </c>
      <c r="AI217" s="19"/>
    </row>
    <row r="218" spans="2:35" x14ac:dyDescent="0.35">
      <c r="B218" s="82">
        <v>46218</v>
      </c>
      <c r="C218" s="19" t="s">
        <v>1371</v>
      </c>
      <c r="D218" s="19" t="s">
        <v>11</v>
      </c>
      <c r="E218" s="83">
        <v>463</v>
      </c>
      <c r="F218" s="19" t="s">
        <v>1085</v>
      </c>
      <c r="G218" s="19" t="s">
        <v>1380</v>
      </c>
      <c r="H218" s="76">
        <v>46218</v>
      </c>
      <c r="I218" s="19" t="s">
        <v>49</v>
      </c>
      <c r="J218" s="19" t="s">
        <v>50</v>
      </c>
      <c r="K218" s="19" t="s">
        <v>50</v>
      </c>
      <c r="L218" s="19" t="s">
        <v>1095</v>
      </c>
      <c r="M218" s="19" t="s">
        <v>1098</v>
      </c>
      <c r="N218" s="19">
        <v>143.6</v>
      </c>
      <c r="O218" s="19">
        <v>30000</v>
      </c>
      <c r="P218" s="19" t="s">
        <v>1377</v>
      </c>
      <c r="Q218" s="19">
        <v>0</v>
      </c>
      <c r="R218" s="19">
        <v>9</v>
      </c>
      <c r="S218" s="19">
        <v>2700</v>
      </c>
      <c r="T218" s="19">
        <v>9</v>
      </c>
      <c r="U218" s="19">
        <v>2700</v>
      </c>
      <c r="V218" s="19">
        <v>0</v>
      </c>
      <c r="W218" s="19">
        <v>0</v>
      </c>
      <c r="X218" s="19">
        <v>900</v>
      </c>
      <c r="Y218" s="19">
        <v>6300</v>
      </c>
      <c r="Z218" s="19">
        <v>0</v>
      </c>
      <c r="AA218" s="19" t="s">
        <v>1374</v>
      </c>
      <c r="AB218" s="19" t="s">
        <v>1091</v>
      </c>
      <c r="AC218" s="19">
        <v>63053200</v>
      </c>
      <c r="AD218" s="19" t="s">
        <v>1092</v>
      </c>
      <c r="AE218" s="19">
        <v>1</v>
      </c>
      <c r="AF218" s="19">
        <v>143.6</v>
      </c>
      <c r="AG218" s="19" t="s">
        <v>1093</v>
      </c>
      <c r="AH218" s="19" t="s">
        <v>50</v>
      </c>
      <c r="AI218" s="19"/>
    </row>
    <row r="219" spans="2:35" x14ac:dyDescent="0.35">
      <c r="B219" s="82">
        <v>46218</v>
      </c>
      <c r="C219" s="19" t="s">
        <v>1371</v>
      </c>
      <c r="D219" s="19" t="s">
        <v>11</v>
      </c>
      <c r="E219" s="83">
        <v>463</v>
      </c>
      <c r="F219" s="19" t="s">
        <v>1085</v>
      </c>
      <c r="G219" s="19" t="s">
        <v>1380</v>
      </c>
      <c r="H219" s="76">
        <v>46218</v>
      </c>
      <c r="I219" s="19" t="s">
        <v>49</v>
      </c>
      <c r="J219" s="19" t="s">
        <v>50</v>
      </c>
      <c r="K219" s="19" t="s">
        <v>50</v>
      </c>
      <c r="L219" s="19" t="s">
        <v>1095</v>
      </c>
      <c r="M219" s="19" t="s">
        <v>1098</v>
      </c>
      <c r="N219" s="19">
        <v>85</v>
      </c>
      <c r="O219" s="19">
        <v>13400</v>
      </c>
      <c r="P219" s="19" t="s">
        <v>1373</v>
      </c>
      <c r="Q219" s="19">
        <v>0</v>
      </c>
      <c r="R219" s="19">
        <v>9</v>
      </c>
      <c r="S219" s="19">
        <v>1206</v>
      </c>
      <c r="T219" s="19">
        <v>9</v>
      </c>
      <c r="U219" s="19">
        <v>1206</v>
      </c>
      <c r="V219" s="19">
        <v>0</v>
      </c>
      <c r="W219" s="19">
        <v>0</v>
      </c>
      <c r="X219" s="19">
        <v>900</v>
      </c>
      <c r="Y219" s="19">
        <v>3312</v>
      </c>
      <c r="Z219" s="19">
        <v>0</v>
      </c>
      <c r="AA219" s="19" t="s">
        <v>1374</v>
      </c>
      <c r="AB219" s="19" t="s">
        <v>1091</v>
      </c>
      <c r="AC219" s="19">
        <v>63053200</v>
      </c>
      <c r="AD219" s="19" t="s">
        <v>1092</v>
      </c>
      <c r="AE219" s="19">
        <v>1</v>
      </c>
      <c r="AF219" s="19">
        <v>85</v>
      </c>
      <c r="AG219" s="19" t="s">
        <v>1093</v>
      </c>
      <c r="AH219" s="19" t="s">
        <v>50</v>
      </c>
      <c r="AI219" s="19"/>
    </row>
    <row r="220" spans="2:35" x14ac:dyDescent="0.35">
      <c r="B220" s="82">
        <v>46219</v>
      </c>
      <c r="C220" s="19" t="s">
        <v>1381</v>
      </c>
      <c r="D220" s="19" t="s">
        <v>1109</v>
      </c>
      <c r="E220" s="83" t="s">
        <v>1382</v>
      </c>
      <c r="F220" s="19" t="s">
        <v>1291</v>
      </c>
      <c r="G220" s="19" t="s">
        <v>1382</v>
      </c>
      <c r="H220" s="76">
        <v>46219</v>
      </c>
      <c r="I220" s="19" t="s">
        <v>36</v>
      </c>
      <c r="J220" s="19" t="s">
        <v>1117</v>
      </c>
      <c r="K220" s="19" t="s">
        <v>44</v>
      </c>
      <c r="L220" s="19" t="s">
        <v>1118</v>
      </c>
      <c r="M220" s="19" t="s">
        <v>1119</v>
      </c>
      <c r="N220" s="19">
        <v>17642.5</v>
      </c>
      <c r="O220" s="19">
        <v>3600290.4299999997</v>
      </c>
      <c r="P220" s="19" t="s">
        <v>1383</v>
      </c>
      <c r="Q220" s="19">
        <v>3600290.43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>
        <v>0</v>
      </c>
      <c r="Y220" s="19">
        <v>0</v>
      </c>
      <c r="Z220" s="19">
        <v>0</v>
      </c>
      <c r="AA220" s="19" t="s">
        <v>229</v>
      </c>
      <c r="AB220" s="19" t="s">
        <v>1091</v>
      </c>
      <c r="AC220" s="19">
        <v>39269080</v>
      </c>
      <c r="AD220" s="19" t="s">
        <v>1113</v>
      </c>
      <c r="AE220" s="19">
        <v>93.5</v>
      </c>
      <c r="AF220" s="19">
        <v>17642.5</v>
      </c>
      <c r="AG220" s="19" t="s">
        <v>1191</v>
      </c>
      <c r="AH220" s="19" t="s">
        <v>44</v>
      </c>
      <c r="AI220" s="19"/>
    </row>
    <row r="221" spans="2:35" x14ac:dyDescent="0.35">
      <c r="B221" s="82">
        <v>46219</v>
      </c>
      <c r="C221" s="19" t="s">
        <v>1384</v>
      </c>
      <c r="D221" s="19" t="s">
        <v>1109</v>
      </c>
      <c r="E221" s="83" t="s">
        <v>1385</v>
      </c>
      <c r="F221" s="19" t="s">
        <v>1291</v>
      </c>
      <c r="G221" s="19" t="s">
        <v>1385</v>
      </c>
      <c r="H221" s="76">
        <v>46219</v>
      </c>
      <c r="I221" s="19" t="s">
        <v>49</v>
      </c>
      <c r="J221" s="19" t="s">
        <v>50</v>
      </c>
      <c r="K221" s="19" t="s">
        <v>50</v>
      </c>
      <c r="L221" s="19" t="s">
        <v>1095</v>
      </c>
      <c r="M221" s="19" t="s">
        <v>1098</v>
      </c>
      <c r="N221" s="19">
        <v>19366.099999999999</v>
      </c>
      <c r="O221" s="19">
        <v>5008737.6420000009</v>
      </c>
      <c r="P221" s="19" t="s">
        <v>1287</v>
      </c>
      <c r="Q221" s="19">
        <v>5008737.6399999997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>
        <v>0</v>
      </c>
      <c r="Y221" s="19">
        <v>0</v>
      </c>
      <c r="Z221" s="19">
        <v>0</v>
      </c>
      <c r="AA221" s="19" t="s">
        <v>229</v>
      </c>
      <c r="AB221" s="19" t="s">
        <v>1091</v>
      </c>
      <c r="AC221" s="19">
        <v>63053200</v>
      </c>
      <c r="AD221" s="19" t="s">
        <v>1121</v>
      </c>
      <c r="AE221" s="19">
        <v>105.4</v>
      </c>
      <c r="AF221" s="19">
        <v>19366.099999999999</v>
      </c>
      <c r="AG221" s="19" t="s">
        <v>1386</v>
      </c>
      <c r="AH221" s="19" t="s">
        <v>50</v>
      </c>
      <c r="AI221" s="19"/>
    </row>
    <row r="222" spans="2:35" hidden="1" x14ac:dyDescent="0.35">
      <c r="B222" s="82">
        <v>46219</v>
      </c>
      <c r="C222" s="19" t="s">
        <v>245</v>
      </c>
      <c r="D222" s="19" t="s">
        <v>11</v>
      </c>
      <c r="E222" s="83">
        <v>474</v>
      </c>
      <c r="F222" s="19" t="s">
        <v>1124</v>
      </c>
      <c r="G222" s="19" t="s">
        <v>1387</v>
      </c>
      <c r="H222" s="76">
        <v>46219</v>
      </c>
      <c r="I222" s="19" t="s">
        <v>105</v>
      </c>
      <c r="J222" s="19" t="s">
        <v>1388</v>
      </c>
      <c r="K222" s="19" t="s">
        <v>1127</v>
      </c>
      <c r="L222" s="19" t="s">
        <v>1389</v>
      </c>
      <c r="M222" s="19" t="s">
        <v>1390</v>
      </c>
      <c r="N222" s="19">
        <v>50</v>
      </c>
      <c r="O222" s="19">
        <v>6700</v>
      </c>
      <c r="P222" s="19" t="s">
        <v>1390</v>
      </c>
      <c r="Q222" s="19">
        <v>7028.3</v>
      </c>
      <c r="R222" s="19">
        <v>2.5</v>
      </c>
      <c r="S222" s="19">
        <v>167.5</v>
      </c>
      <c r="T222" s="19">
        <v>2.5</v>
      </c>
      <c r="U222" s="19">
        <v>167.5</v>
      </c>
      <c r="V222" s="19">
        <v>0</v>
      </c>
      <c r="W222" s="19">
        <v>0</v>
      </c>
      <c r="X222" s="19">
        <v>0</v>
      </c>
      <c r="Y222" s="19">
        <v>335</v>
      </c>
      <c r="Z222" s="19">
        <v>0</v>
      </c>
      <c r="AA222" s="19" t="s">
        <v>179</v>
      </c>
      <c r="AB222" s="19" t="s">
        <v>1091</v>
      </c>
      <c r="AC222" s="19">
        <v>845290</v>
      </c>
      <c r="AD222" s="19" t="s">
        <v>1092</v>
      </c>
      <c r="AE222" s="19">
        <v>1</v>
      </c>
      <c r="AF222" s="19">
        <v>50</v>
      </c>
      <c r="AG222" s="19" t="s">
        <v>1093</v>
      </c>
      <c r="AH222" s="83" t="s">
        <v>2319</v>
      </c>
      <c r="AI222" s="19"/>
    </row>
    <row r="223" spans="2:35" x14ac:dyDescent="0.35">
      <c r="B223" s="82">
        <v>46219</v>
      </c>
      <c r="C223" s="19" t="s">
        <v>1136</v>
      </c>
      <c r="D223" s="19" t="s">
        <v>11</v>
      </c>
      <c r="E223" s="83">
        <v>472</v>
      </c>
      <c r="F223" s="19" t="s">
        <v>1085</v>
      </c>
      <c r="G223" s="19" t="s">
        <v>1391</v>
      </c>
      <c r="H223" s="76">
        <v>46219</v>
      </c>
      <c r="I223" s="19" t="s">
        <v>36</v>
      </c>
      <c r="J223" s="19" t="s">
        <v>1117</v>
      </c>
      <c r="K223" s="19" t="s">
        <v>44</v>
      </c>
      <c r="L223" s="19" t="s">
        <v>1118</v>
      </c>
      <c r="M223" s="19" t="s">
        <v>1119</v>
      </c>
      <c r="N223" s="19">
        <v>4882</v>
      </c>
      <c r="O223" s="19">
        <v>786734.3</v>
      </c>
      <c r="P223" s="19" t="s">
        <v>1139</v>
      </c>
      <c r="Q223" s="19">
        <v>1008986.15</v>
      </c>
      <c r="R223" s="19">
        <v>9</v>
      </c>
      <c r="S223" s="19">
        <v>70806.09</v>
      </c>
      <c r="T223" s="19">
        <v>9</v>
      </c>
      <c r="U223" s="19">
        <v>70806.09</v>
      </c>
      <c r="V223" s="19">
        <v>0</v>
      </c>
      <c r="W223" s="19">
        <v>0</v>
      </c>
      <c r="X223" s="19">
        <v>0</v>
      </c>
      <c r="Y223" s="19">
        <v>141612.18</v>
      </c>
      <c r="Z223" s="19">
        <v>0</v>
      </c>
      <c r="AA223" s="19" t="s">
        <v>135</v>
      </c>
      <c r="AB223" s="19" t="s">
        <v>1091</v>
      </c>
      <c r="AC223" s="19">
        <v>39269080</v>
      </c>
      <c r="AD223" s="19" t="s">
        <v>1092</v>
      </c>
      <c r="AE223" s="19">
        <v>1</v>
      </c>
      <c r="AF223" s="19">
        <v>4882</v>
      </c>
      <c r="AG223" s="19" t="s">
        <v>1093</v>
      </c>
      <c r="AH223" s="19" t="s">
        <v>44</v>
      </c>
      <c r="AI223" s="19"/>
    </row>
    <row r="224" spans="2:35" x14ac:dyDescent="0.35">
      <c r="B224" s="82">
        <v>46219</v>
      </c>
      <c r="C224" s="19" t="s">
        <v>1136</v>
      </c>
      <c r="D224" s="19" t="s">
        <v>11</v>
      </c>
      <c r="E224" s="83">
        <v>472</v>
      </c>
      <c r="F224" s="19" t="s">
        <v>1085</v>
      </c>
      <c r="G224" s="19" t="s">
        <v>1391</v>
      </c>
      <c r="H224" s="76">
        <v>46219</v>
      </c>
      <c r="I224" s="19" t="s">
        <v>36</v>
      </c>
      <c r="J224" s="19" t="s">
        <v>1117</v>
      </c>
      <c r="K224" s="19" t="s">
        <v>44</v>
      </c>
      <c r="L224" s="19" t="s">
        <v>1118</v>
      </c>
      <c r="M224" s="19" t="s">
        <v>1119</v>
      </c>
      <c r="N224" s="19">
        <v>408.3</v>
      </c>
      <c r="O224" s="19">
        <v>69063.95</v>
      </c>
      <c r="P224" s="19" t="s">
        <v>1392</v>
      </c>
      <c r="Q224" s="19">
        <v>0</v>
      </c>
      <c r="R224" s="19">
        <v>9</v>
      </c>
      <c r="S224" s="19">
        <v>6215.76</v>
      </c>
      <c r="T224" s="19">
        <v>9</v>
      </c>
      <c r="U224" s="19">
        <v>6215.76</v>
      </c>
      <c r="V224" s="19">
        <v>0</v>
      </c>
      <c r="W224" s="19">
        <v>0</v>
      </c>
      <c r="X224" s="19">
        <v>0</v>
      </c>
      <c r="Y224" s="19">
        <v>12431.52</v>
      </c>
      <c r="Z224" s="19">
        <v>0</v>
      </c>
      <c r="AA224" s="19" t="s">
        <v>135</v>
      </c>
      <c r="AB224" s="19" t="s">
        <v>1091</v>
      </c>
      <c r="AC224" s="19">
        <v>39269080</v>
      </c>
      <c r="AD224" s="19" t="s">
        <v>1092</v>
      </c>
      <c r="AE224" s="19">
        <v>1</v>
      </c>
      <c r="AF224" s="19">
        <v>408.3</v>
      </c>
      <c r="AG224" s="19" t="s">
        <v>1093</v>
      </c>
      <c r="AH224" s="19" t="s">
        <v>44</v>
      </c>
      <c r="AI224" s="19"/>
    </row>
    <row r="225" spans="2:35" hidden="1" x14ac:dyDescent="0.35">
      <c r="B225" s="82">
        <v>46219</v>
      </c>
      <c r="C225" s="19" t="s">
        <v>1136</v>
      </c>
      <c r="D225" s="19" t="s">
        <v>11</v>
      </c>
      <c r="E225" s="83">
        <v>473</v>
      </c>
      <c r="F225" s="19" t="s">
        <v>1124</v>
      </c>
      <c r="G225" s="19" t="s">
        <v>1393</v>
      </c>
      <c r="H225" s="76">
        <v>46219</v>
      </c>
      <c r="I225" s="19" t="s">
        <v>105</v>
      </c>
      <c r="J225" s="19" t="s">
        <v>1142</v>
      </c>
      <c r="K225" s="19" t="s">
        <v>1143</v>
      </c>
      <c r="L225" s="19" t="s">
        <v>1144</v>
      </c>
      <c r="M225" s="19" t="s">
        <v>1145</v>
      </c>
      <c r="N225" s="19">
        <v>207</v>
      </c>
      <c r="O225" s="19">
        <v>9936</v>
      </c>
      <c r="P225" s="19" t="s">
        <v>1139</v>
      </c>
      <c r="Q225" s="19">
        <v>11714.54</v>
      </c>
      <c r="R225" s="19">
        <v>9</v>
      </c>
      <c r="S225" s="19">
        <v>894.24</v>
      </c>
      <c r="T225" s="19">
        <v>9</v>
      </c>
      <c r="U225" s="19">
        <v>894.24</v>
      </c>
      <c r="V225" s="19">
        <v>0</v>
      </c>
      <c r="W225" s="19">
        <v>0</v>
      </c>
      <c r="X225" s="19">
        <v>0</v>
      </c>
      <c r="Y225" s="19">
        <v>1788.48</v>
      </c>
      <c r="Z225" s="19">
        <v>0</v>
      </c>
      <c r="AA225" s="19" t="s">
        <v>135</v>
      </c>
      <c r="AB225" s="19" t="s">
        <v>1091</v>
      </c>
      <c r="AC225" s="19">
        <v>73063090</v>
      </c>
      <c r="AD225" s="19" t="s">
        <v>1092</v>
      </c>
      <c r="AE225" s="19">
        <v>1</v>
      </c>
      <c r="AF225" s="19">
        <v>207</v>
      </c>
      <c r="AG225" s="19" t="s">
        <v>1093</v>
      </c>
      <c r="AH225" s="83" t="s">
        <v>2319</v>
      </c>
      <c r="AI225" s="19"/>
    </row>
    <row r="226" spans="2:35" hidden="1" x14ac:dyDescent="0.35">
      <c r="B226" s="82">
        <v>46219</v>
      </c>
      <c r="C226" s="19" t="s">
        <v>1136</v>
      </c>
      <c r="D226" s="19" t="s">
        <v>11</v>
      </c>
      <c r="E226" s="83">
        <v>475</v>
      </c>
      <c r="F226" s="19" t="s">
        <v>1124</v>
      </c>
      <c r="G226" s="19" t="s">
        <v>1394</v>
      </c>
      <c r="H226" s="76">
        <v>46219</v>
      </c>
      <c r="I226" s="19" t="s">
        <v>105</v>
      </c>
      <c r="J226" s="19" t="s">
        <v>1388</v>
      </c>
      <c r="K226" s="19" t="s">
        <v>1127</v>
      </c>
      <c r="L226" s="19" t="s">
        <v>1389</v>
      </c>
      <c r="M226" s="19" t="s">
        <v>1395</v>
      </c>
      <c r="N226" s="19">
        <v>50</v>
      </c>
      <c r="O226" s="19">
        <v>4750</v>
      </c>
      <c r="P226" s="19" t="s">
        <v>1395</v>
      </c>
      <c r="Q226" s="19">
        <v>4982.75</v>
      </c>
      <c r="R226" s="19">
        <v>2.5</v>
      </c>
      <c r="S226" s="19">
        <v>118.75</v>
      </c>
      <c r="T226" s="19">
        <v>2.5</v>
      </c>
      <c r="U226" s="19">
        <v>118.75</v>
      </c>
      <c r="V226" s="19">
        <v>0</v>
      </c>
      <c r="W226" s="19">
        <v>0</v>
      </c>
      <c r="X226" s="19">
        <v>0</v>
      </c>
      <c r="Y226" s="19">
        <v>237.5</v>
      </c>
      <c r="Z226" s="19">
        <v>0</v>
      </c>
      <c r="AA226" s="19" t="s">
        <v>135</v>
      </c>
      <c r="AB226" s="19" t="s">
        <v>1091</v>
      </c>
      <c r="AC226" s="19">
        <v>845290</v>
      </c>
      <c r="AD226" s="19" t="s">
        <v>1092</v>
      </c>
      <c r="AE226" s="19">
        <v>1</v>
      </c>
      <c r="AF226" s="19">
        <v>50</v>
      </c>
      <c r="AG226" s="19" t="s">
        <v>1093</v>
      </c>
      <c r="AH226" s="83" t="s">
        <v>2319</v>
      </c>
      <c r="AI226" s="19"/>
    </row>
    <row r="227" spans="2:35" x14ac:dyDescent="0.35">
      <c r="B227" s="82">
        <v>46219</v>
      </c>
      <c r="C227" s="19" t="s">
        <v>1264</v>
      </c>
      <c r="D227" s="19" t="s">
        <v>1109</v>
      </c>
      <c r="E227" s="83" t="s">
        <v>1396</v>
      </c>
      <c r="F227" s="19" t="s">
        <v>1291</v>
      </c>
      <c r="G227" s="19" t="s">
        <v>1396</v>
      </c>
      <c r="H227" s="76">
        <v>46219</v>
      </c>
      <c r="I227" s="19" t="s">
        <v>49</v>
      </c>
      <c r="J227" s="19" t="s">
        <v>50</v>
      </c>
      <c r="K227" s="19" t="s">
        <v>50</v>
      </c>
      <c r="L227" s="19" t="s">
        <v>1095</v>
      </c>
      <c r="M227" s="19" t="s">
        <v>1098</v>
      </c>
      <c r="N227" s="19">
        <v>19234.5</v>
      </c>
      <c r="O227" s="19">
        <v>4465560</v>
      </c>
      <c r="P227" s="19" t="s">
        <v>1112</v>
      </c>
      <c r="Q227" s="19">
        <v>4465560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>
        <v>0</v>
      </c>
      <c r="Y227" s="19">
        <v>0</v>
      </c>
      <c r="Z227" s="19">
        <v>0</v>
      </c>
      <c r="AA227" s="19" t="s">
        <v>229</v>
      </c>
      <c r="AB227" s="19" t="s">
        <v>1091</v>
      </c>
      <c r="AC227" s="19">
        <v>63053200</v>
      </c>
      <c r="AD227" s="19" t="s">
        <v>1113</v>
      </c>
      <c r="AE227" s="19">
        <v>93.5</v>
      </c>
      <c r="AF227" s="19">
        <v>19234.5</v>
      </c>
      <c r="AG227" s="19" t="s">
        <v>1114</v>
      </c>
      <c r="AH227" s="19" t="s">
        <v>50</v>
      </c>
      <c r="AI227" s="19"/>
    </row>
    <row r="228" spans="2:35" x14ac:dyDescent="0.35">
      <c r="B228" s="82">
        <v>46219</v>
      </c>
      <c r="C228" s="19" t="s">
        <v>1189</v>
      </c>
      <c r="D228" s="19" t="s">
        <v>1109</v>
      </c>
      <c r="E228" s="83" t="s">
        <v>1397</v>
      </c>
      <c r="F228" s="19" t="s">
        <v>1291</v>
      </c>
      <c r="G228" s="19" t="s">
        <v>1397</v>
      </c>
      <c r="H228" s="76">
        <v>46219</v>
      </c>
      <c r="I228" s="19" t="s">
        <v>49</v>
      </c>
      <c r="J228" s="19" t="s">
        <v>50</v>
      </c>
      <c r="K228" s="19" t="s">
        <v>50</v>
      </c>
      <c r="L228" s="19" t="s">
        <v>1095</v>
      </c>
      <c r="M228" s="19" t="s">
        <v>1098</v>
      </c>
      <c r="N228" s="19">
        <v>18531</v>
      </c>
      <c r="O228" s="19">
        <v>3591835.2250000001</v>
      </c>
      <c r="P228" s="19" t="s">
        <v>1287</v>
      </c>
      <c r="Q228" s="19">
        <v>3591835.23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>
        <v>0</v>
      </c>
      <c r="Y228" s="19">
        <v>0</v>
      </c>
      <c r="Z228" s="19">
        <v>0</v>
      </c>
      <c r="AA228" s="19" t="s">
        <v>229</v>
      </c>
      <c r="AB228" s="19" t="s">
        <v>1091</v>
      </c>
      <c r="AC228" s="19">
        <v>63053200</v>
      </c>
      <c r="AD228" s="19" t="s">
        <v>1113</v>
      </c>
      <c r="AE228" s="19">
        <v>93.5</v>
      </c>
      <c r="AF228" s="19">
        <v>18531</v>
      </c>
      <c r="AG228" s="19" t="s">
        <v>1191</v>
      </c>
      <c r="AH228" s="19" t="s">
        <v>50</v>
      </c>
      <c r="AI228" s="19"/>
    </row>
    <row r="229" spans="2:35" x14ac:dyDescent="0.35">
      <c r="B229" s="82">
        <v>46220</v>
      </c>
      <c r="C229" s="19" t="s">
        <v>1123</v>
      </c>
      <c r="D229" s="19" t="s">
        <v>11</v>
      </c>
      <c r="E229" s="83">
        <v>477</v>
      </c>
      <c r="F229" s="19" t="s">
        <v>1085</v>
      </c>
      <c r="G229" s="19" t="s">
        <v>1398</v>
      </c>
      <c r="H229" s="76">
        <v>46220</v>
      </c>
      <c r="I229" s="19" t="s">
        <v>36</v>
      </c>
      <c r="J229" s="19" t="s">
        <v>1156</v>
      </c>
      <c r="K229" s="19" t="s">
        <v>45</v>
      </c>
      <c r="L229" s="19" t="s">
        <v>1157</v>
      </c>
      <c r="M229" s="19" t="s">
        <v>1156</v>
      </c>
      <c r="N229" s="19">
        <v>293.2</v>
      </c>
      <c r="O229" s="19">
        <v>45489.98</v>
      </c>
      <c r="P229" s="19" t="s">
        <v>1090</v>
      </c>
      <c r="Q229" s="19">
        <v>53632.69</v>
      </c>
      <c r="R229" s="19">
        <v>9</v>
      </c>
      <c r="S229" s="19">
        <v>4094.1</v>
      </c>
      <c r="T229" s="19">
        <v>9</v>
      </c>
      <c r="U229" s="19">
        <v>4094.1</v>
      </c>
      <c r="V229" s="19">
        <v>0</v>
      </c>
      <c r="W229" s="19">
        <v>0</v>
      </c>
      <c r="X229" s="19">
        <v>0</v>
      </c>
      <c r="Y229" s="19">
        <v>8188.2</v>
      </c>
      <c r="Z229" s="19">
        <v>0</v>
      </c>
      <c r="AA229" s="19" t="s">
        <v>179</v>
      </c>
      <c r="AB229" s="19" t="s">
        <v>1091</v>
      </c>
      <c r="AC229" s="19">
        <v>39269080</v>
      </c>
      <c r="AD229" s="19" t="s">
        <v>1092</v>
      </c>
      <c r="AE229" s="19">
        <v>1</v>
      </c>
      <c r="AF229" s="19">
        <v>293.2</v>
      </c>
      <c r="AG229" s="19" t="s">
        <v>1093</v>
      </c>
      <c r="AH229" s="19" t="s">
        <v>45</v>
      </c>
      <c r="AI229" s="19"/>
    </row>
    <row r="230" spans="2:35" x14ac:dyDescent="0.35">
      <c r="B230" s="82">
        <v>46220</v>
      </c>
      <c r="C230" s="19" t="s">
        <v>1123</v>
      </c>
      <c r="D230" s="19" t="s">
        <v>11</v>
      </c>
      <c r="E230" s="83">
        <v>478</v>
      </c>
      <c r="F230" s="19" t="s">
        <v>1085</v>
      </c>
      <c r="G230" s="19" t="s">
        <v>1399</v>
      </c>
      <c r="H230" s="76">
        <v>46220</v>
      </c>
      <c r="I230" s="19" t="s">
        <v>36</v>
      </c>
      <c r="J230" s="19" t="s">
        <v>1156</v>
      </c>
      <c r="K230" s="19" t="s">
        <v>45</v>
      </c>
      <c r="L230" s="19" t="s">
        <v>1157</v>
      </c>
      <c r="M230" s="19" t="s">
        <v>1156</v>
      </c>
      <c r="N230" s="19">
        <v>1722</v>
      </c>
      <c r="O230" s="19">
        <v>272334.3</v>
      </c>
      <c r="P230" s="19" t="s">
        <v>1237</v>
      </c>
      <c r="Q230" s="19">
        <v>369561.45</v>
      </c>
      <c r="R230" s="19">
        <v>9</v>
      </c>
      <c r="S230" s="19">
        <v>24510.09</v>
      </c>
      <c r="T230" s="19">
        <v>9</v>
      </c>
      <c r="U230" s="19">
        <v>24510.09</v>
      </c>
      <c r="V230" s="19">
        <v>0</v>
      </c>
      <c r="W230" s="19">
        <v>0</v>
      </c>
      <c r="X230" s="19">
        <v>0</v>
      </c>
      <c r="Y230" s="19">
        <v>49020.18</v>
      </c>
      <c r="Z230" s="19">
        <v>0</v>
      </c>
      <c r="AA230" s="19" t="s">
        <v>179</v>
      </c>
      <c r="AB230" s="19" t="s">
        <v>1091</v>
      </c>
      <c r="AC230" s="19">
        <v>39269080</v>
      </c>
      <c r="AD230" s="19" t="s">
        <v>1092</v>
      </c>
      <c r="AE230" s="19">
        <v>1</v>
      </c>
      <c r="AF230" s="19">
        <v>1722</v>
      </c>
      <c r="AG230" s="19" t="s">
        <v>1093</v>
      </c>
      <c r="AH230" s="19" t="s">
        <v>45</v>
      </c>
      <c r="AI230" s="19"/>
    </row>
    <row r="231" spans="2:35" x14ac:dyDescent="0.35">
      <c r="B231" s="82">
        <v>46220</v>
      </c>
      <c r="C231" s="19" t="s">
        <v>1123</v>
      </c>
      <c r="D231" s="19" t="s">
        <v>11</v>
      </c>
      <c r="E231" s="83">
        <v>478</v>
      </c>
      <c r="F231" s="19" t="s">
        <v>1085</v>
      </c>
      <c r="G231" s="19" t="s">
        <v>1399</v>
      </c>
      <c r="H231" s="76">
        <v>46220</v>
      </c>
      <c r="I231" s="19" t="s">
        <v>36</v>
      </c>
      <c r="J231" s="19" t="s">
        <v>1156</v>
      </c>
      <c r="K231" s="19" t="s">
        <v>45</v>
      </c>
      <c r="L231" s="19" t="s">
        <v>1157</v>
      </c>
      <c r="M231" s="19" t="s">
        <v>1156</v>
      </c>
      <c r="N231" s="19">
        <v>260</v>
      </c>
      <c r="O231" s="19">
        <v>41119</v>
      </c>
      <c r="P231" s="19" t="s">
        <v>1182</v>
      </c>
      <c r="Q231" s="19">
        <v>0</v>
      </c>
      <c r="R231" s="19">
        <v>9</v>
      </c>
      <c r="S231" s="19">
        <v>3700.71</v>
      </c>
      <c r="T231" s="19">
        <v>9</v>
      </c>
      <c r="U231" s="19">
        <v>3700.71</v>
      </c>
      <c r="V231" s="19">
        <v>0</v>
      </c>
      <c r="W231" s="19">
        <v>0</v>
      </c>
      <c r="X231" s="19">
        <v>0</v>
      </c>
      <c r="Y231" s="19">
        <v>7401.42</v>
      </c>
      <c r="Z231" s="19">
        <v>0</v>
      </c>
      <c r="AA231" s="19" t="s">
        <v>179</v>
      </c>
      <c r="AB231" s="19" t="s">
        <v>1091</v>
      </c>
      <c r="AC231" s="19">
        <v>39269080</v>
      </c>
      <c r="AD231" s="19" t="s">
        <v>1092</v>
      </c>
      <c r="AE231" s="19">
        <v>1</v>
      </c>
      <c r="AF231" s="19">
        <v>260</v>
      </c>
      <c r="AG231" s="19" t="s">
        <v>1093</v>
      </c>
      <c r="AH231" s="19" t="s">
        <v>45</v>
      </c>
      <c r="AI231" s="19"/>
    </row>
    <row r="232" spans="2:35" hidden="1" x14ac:dyDescent="0.35">
      <c r="B232" s="82">
        <v>46220</v>
      </c>
      <c r="C232" s="19" t="s">
        <v>1123</v>
      </c>
      <c r="D232" s="19" t="s">
        <v>11</v>
      </c>
      <c r="E232" s="83">
        <v>479</v>
      </c>
      <c r="F232" s="19" t="s">
        <v>1124</v>
      </c>
      <c r="G232" s="19" t="s">
        <v>1400</v>
      </c>
      <c r="H232" s="76">
        <v>46220</v>
      </c>
      <c r="I232" s="19" t="s">
        <v>105</v>
      </c>
      <c r="J232" s="19" t="s">
        <v>1142</v>
      </c>
      <c r="K232" s="19" t="s">
        <v>1143</v>
      </c>
      <c r="L232" s="19" t="s">
        <v>1144</v>
      </c>
      <c r="M232" s="19" t="s">
        <v>1196</v>
      </c>
      <c r="N232" s="19">
        <v>200</v>
      </c>
      <c r="O232" s="19">
        <v>9600</v>
      </c>
      <c r="P232" s="19" t="s">
        <v>1139</v>
      </c>
      <c r="Q232" s="19">
        <v>22636.799999999999</v>
      </c>
      <c r="R232" s="19">
        <v>9</v>
      </c>
      <c r="S232" s="19">
        <v>864</v>
      </c>
      <c r="T232" s="19">
        <v>9</v>
      </c>
      <c r="U232" s="19">
        <v>864</v>
      </c>
      <c r="V232" s="19">
        <v>0</v>
      </c>
      <c r="W232" s="19">
        <v>0</v>
      </c>
      <c r="X232" s="19">
        <v>0</v>
      </c>
      <c r="Y232" s="19">
        <v>1728</v>
      </c>
      <c r="Z232" s="19">
        <v>0</v>
      </c>
      <c r="AA232" s="19" t="s">
        <v>179</v>
      </c>
      <c r="AB232" s="19" t="s">
        <v>1091</v>
      </c>
      <c r="AC232" s="19">
        <v>73063090</v>
      </c>
      <c r="AD232" s="19" t="s">
        <v>1092</v>
      </c>
      <c r="AE232" s="19">
        <v>1</v>
      </c>
      <c r="AF232" s="19">
        <v>200</v>
      </c>
      <c r="AG232" s="19" t="s">
        <v>1093</v>
      </c>
      <c r="AH232" s="83" t="s">
        <v>2319</v>
      </c>
      <c r="AI232" s="19"/>
    </row>
    <row r="233" spans="2:35" hidden="1" x14ac:dyDescent="0.35">
      <c r="B233" s="82">
        <v>46220</v>
      </c>
      <c r="C233" s="19" t="s">
        <v>1123</v>
      </c>
      <c r="D233" s="19" t="s">
        <v>11</v>
      </c>
      <c r="E233" s="83">
        <v>479</v>
      </c>
      <c r="F233" s="19" t="s">
        <v>1124</v>
      </c>
      <c r="G233" s="19" t="s">
        <v>1400</v>
      </c>
      <c r="H233" s="76">
        <v>46220</v>
      </c>
      <c r="I233" s="19" t="s">
        <v>105</v>
      </c>
      <c r="J233" s="19" t="s">
        <v>1142</v>
      </c>
      <c r="K233" s="19" t="s">
        <v>1143</v>
      </c>
      <c r="L233" s="19" t="s">
        <v>1144</v>
      </c>
      <c r="M233" s="19" t="s">
        <v>1145</v>
      </c>
      <c r="N233" s="19">
        <v>200</v>
      </c>
      <c r="O233" s="19">
        <v>9600</v>
      </c>
      <c r="P233" s="19" t="s">
        <v>1139</v>
      </c>
      <c r="Q233" s="19">
        <v>0</v>
      </c>
      <c r="R233" s="19">
        <v>9</v>
      </c>
      <c r="S233" s="19">
        <v>864</v>
      </c>
      <c r="T233" s="19">
        <v>9</v>
      </c>
      <c r="U233" s="19">
        <v>864</v>
      </c>
      <c r="V233" s="19">
        <v>0</v>
      </c>
      <c r="W233" s="19">
        <v>0</v>
      </c>
      <c r="X233" s="19">
        <v>0</v>
      </c>
      <c r="Y233" s="19">
        <v>1728</v>
      </c>
      <c r="Z233" s="19">
        <v>0</v>
      </c>
      <c r="AA233" s="19" t="s">
        <v>179</v>
      </c>
      <c r="AB233" s="19" t="s">
        <v>1091</v>
      </c>
      <c r="AC233" s="19">
        <v>73063090</v>
      </c>
      <c r="AD233" s="19" t="s">
        <v>1092</v>
      </c>
      <c r="AE233" s="19">
        <v>1</v>
      </c>
      <c r="AF233" s="19">
        <v>200</v>
      </c>
      <c r="AG233" s="19" t="s">
        <v>1093</v>
      </c>
      <c r="AH233" s="83" t="s">
        <v>2319</v>
      </c>
      <c r="AI233" s="19"/>
    </row>
    <row r="234" spans="2:35" x14ac:dyDescent="0.35">
      <c r="B234" s="82">
        <v>46220</v>
      </c>
      <c r="C234" s="19" t="s">
        <v>1123</v>
      </c>
      <c r="D234" s="19" t="s">
        <v>11</v>
      </c>
      <c r="E234" s="83">
        <v>480</v>
      </c>
      <c r="F234" s="19" t="s">
        <v>1085</v>
      </c>
      <c r="G234" s="19" t="s">
        <v>1401</v>
      </c>
      <c r="H234" s="76">
        <v>46220</v>
      </c>
      <c r="I234" s="19" t="s">
        <v>28</v>
      </c>
      <c r="J234" s="19" t="s">
        <v>1173</v>
      </c>
      <c r="K234" s="19" t="s">
        <v>34</v>
      </c>
      <c r="L234" s="19" t="s">
        <v>1105</v>
      </c>
      <c r="M234" s="19" t="s">
        <v>1339</v>
      </c>
      <c r="N234" s="19">
        <v>90000</v>
      </c>
      <c r="O234" s="19">
        <v>6894000</v>
      </c>
      <c r="P234" s="19" t="s">
        <v>1339</v>
      </c>
      <c r="Q234" s="19">
        <v>8128026</v>
      </c>
      <c r="R234" s="19">
        <v>9</v>
      </c>
      <c r="S234" s="19">
        <v>620460</v>
      </c>
      <c r="T234" s="19">
        <v>9</v>
      </c>
      <c r="U234" s="19">
        <v>620460</v>
      </c>
      <c r="V234" s="19">
        <v>0</v>
      </c>
      <c r="W234" s="19">
        <v>0</v>
      </c>
      <c r="X234" s="19">
        <v>0</v>
      </c>
      <c r="Y234" s="19">
        <v>1240920</v>
      </c>
      <c r="Z234" s="19">
        <v>0</v>
      </c>
      <c r="AA234" s="19" t="s">
        <v>179</v>
      </c>
      <c r="AB234" s="19" t="s">
        <v>1091</v>
      </c>
      <c r="AC234" s="19">
        <v>39021000</v>
      </c>
      <c r="AD234" s="19" t="s">
        <v>1092</v>
      </c>
      <c r="AE234" s="19">
        <v>1</v>
      </c>
      <c r="AF234" s="19">
        <v>90000</v>
      </c>
      <c r="AG234" s="19" t="s">
        <v>1093</v>
      </c>
      <c r="AH234" s="19" t="s">
        <v>34</v>
      </c>
      <c r="AI234" s="19"/>
    </row>
    <row r="235" spans="2:35" x14ac:dyDescent="0.35">
      <c r="B235" s="82">
        <v>46220</v>
      </c>
      <c r="C235" s="19" t="s">
        <v>1402</v>
      </c>
      <c r="D235" s="19" t="s">
        <v>11</v>
      </c>
      <c r="E235" s="83">
        <v>476</v>
      </c>
      <c r="F235" s="19" t="s">
        <v>1274</v>
      </c>
      <c r="G235" s="19" t="s">
        <v>1403</v>
      </c>
      <c r="H235" s="76">
        <v>46220</v>
      </c>
      <c r="I235" s="19" t="s">
        <v>36</v>
      </c>
      <c r="J235" s="19" t="s">
        <v>48</v>
      </c>
      <c r="K235" s="19" t="s">
        <v>48</v>
      </c>
      <c r="L235" s="19" t="s">
        <v>1276</v>
      </c>
      <c r="M235" s="19" t="s">
        <v>1277</v>
      </c>
      <c r="N235" s="19">
        <v>10</v>
      </c>
      <c r="O235" s="19">
        <v>1661.7</v>
      </c>
      <c r="P235" s="19" t="s">
        <v>1404</v>
      </c>
      <c r="Q235" s="19">
        <v>2000.02</v>
      </c>
      <c r="R235" s="19">
        <v>9</v>
      </c>
      <c r="S235" s="19">
        <v>149.55000000000001</v>
      </c>
      <c r="T235" s="19">
        <v>9</v>
      </c>
      <c r="U235" s="19">
        <v>149.55000000000001</v>
      </c>
      <c r="V235" s="19">
        <v>0</v>
      </c>
      <c r="W235" s="19">
        <v>0</v>
      </c>
      <c r="X235" s="19">
        <v>0</v>
      </c>
      <c r="Y235" s="19">
        <v>299.10000000000002</v>
      </c>
      <c r="Z235" s="19">
        <v>39.22</v>
      </c>
      <c r="AA235" s="19" t="s">
        <v>1405</v>
      </c>
      <c r="AB235" s="19" t="s">
        <v>1091</v>
      </c>
      <c r="AC235" s="19">
        <v>39159029</v>
      </c>
      <c r="AD235" s="19" t="s">
        <v>1092</v>
      </c>
      <c r="AE235" s="19">
        <v>1</v>
      </c>
      <c r="AF235" s="19">
        <v>10</v>
      </c>
      <c r="AG235" s="19" t="s">
        <v>1093</v>
      </c>
      <c r="AH235" s="19" t="s">
        <v>48</v>
      </c>
      <c r="AI235" s="19"/>
    </row>
    <row r="236" spans="2:35" x14ac:dyDescent="0.35">
      <c r="B236" s="82">
        <v>46220</v>
      </c>
      <c r="C236" s="19" t="s">
        <v>1136</v>
      </c>
      <c r="D236" s="19" t="s">
        <v>11</v>
      </c>
      <c r="E236" s="83">
        <v>481</v>
      </c>
      <c r="F236" s="19" t="s">
        <v>1085</v>
      </c>
      <c r="G236" s="19" t="s">
        <v>1406</v>
      </c>
      <c r="H236" s="76">
        <v>46220</v>
      </c>
      <c r="I236" s="19" t="s">
        <v>49</v>
      </c>
      <c r="J236" s="19" t="s">
        <v>50</v>
      </c>
      <c r="K236" s="19" t="s">
        <v>50</v>
      </c>
      <c r="L236" s="19" t="s">
        <v>1095</v>
      </c>
      <c r="M236" s="19" t="s">
        <v>1096</v>
      </c>
      <c r="N236" s="19">
        <v>12058</v>
      </c>
      <c r="O236" s="19">
        <v>4697555.6399999997</v>
      </c>
      <c r="P236" s="19" t="s">
        <v>1407</v>
      </c>
      <c r="Q236" s="19">
        <v>5538418.0999999996</v>
      </c>
      <c r="R236" s="19">
        <v>9</v>
      </c>
      <c r="S236" s="19">
        <v>422780.01</v>
      </c>
      <c r="T236" s="19">
        <v>9</v>
      </c>
      <c r="U236" s="19">
        <v>422780.01</v>
      </c>
      <c r="V236" s="19">
        <v>0</v>
      </c>
      <c r="W236" s="19">
        <v>0</v>
      </c>
      <c r="X236" s="19">
        <v>0</v>
      </c>
      <c r="Y236" s="19">
        <v>845560.02</v>
      </c>
      <c r="Z236" s="19">
        <v>0</v>
      </c>
      <c r="AA236" s="19" t="s">
        <v>135</v>
      </c>
      <c r="AB236" s="19" t="s">
        <v>1091</v>
      </c>
      <c r="AC236" s="19">
        <v>63053200</v>
      </c>
      <c r="AD236" s="19" t="s">
        <v>1092</v>
      </c>
      <c r="AE236" s="19">
        <v>1</v>
      </c>
      <c r="AF236" s="19">
        <v>12058</v>
      </c>
      <c r="AG236" s="19" t="s">
        <v>1093</v>
      </c>
      <c r="AH236" s="19" t="s">
        <v>50</v>
      </c>
      <c r="AI236" s="19"/>
    </row>
    <row r="237" spans="2:35" x14ac:dyDescent="0.35">
      <c r="B237" s="82">
        <v>46220</v>
      </c>
      <c r="C237" s="19" t="s">
        <v>1171</v>
      </c>
      <c r="D237" s="19" t="s">
        <v>11</v>
      </c>
      <c r="E237" s="83">
        <v>482</v>
      </c>
      <c r="F237" s="19" t="s">
        <v>1085</v>
      </c>
      <c r="G237" s="19" t="s">
        <v>1408</v>
      </c>
      <c r="H237" s="76">
        <v>46220</v>
      </c>
      <c r="I237" s="19" t="s">
        <v>49</v>
      </c>
      <c r="J237" s="19" t="s">
        <v>50</v>
      </c>
      <c r="K237" s="19" t="s">
        <v>50</v>
      </c>
      <c r="L237" s="19" t="s">
        <v>1095</v>
      </c>
      <c r="M237" s="19" t="s">
        <v>1098</v>
      </c>
      <c r="N237" s="19">
        <v>10402.5</v>
      </c>
      <c r="O237" s="19">
        <v>2878163.7</v>
      </c>
      <c r="P237" s="19" t="s">
        <v>1409</v>
      </c>
      <c r="Q237" s="19">
        <v>3393355</v>
      </c>
      <c r="R237" s="19">
        <v>9</v>
      </c>
      <c r="S237" s="19">
        <v>259034.73</v>
      </c>
      <c r="T237" s="19">
        <v>9</v>
      </c>
      <c r="U237" s="19">
        <v>259034.73</v>
      </c>
      <c r="V237" s="19">
        <v>0</v>
      </c>
      <c r="W237" s="19">
        <v>0</v>
      </c>
      <c r="X237" s="19">
        <v>0</v>
      </c>
      <c r="Y237" s="19">
        <v>518069.46</v>
      </c>
      <c r="Z237" s="19">
        <v>0</v>
      </c>
      <c r="AA237" s="19" t="s">
        <v>614</v>
      </c>
      <c r="AB237" s="19" t="s">
        <v>1091</v>
      </c>
      <c r="AC237" s="19">
        <v>63053200</v>
      </c>
      <c r="AD237" s="19" t="s">
        <v>1092</v>
      </c>
      <c r="AE237" s="19">
        <v>1</v>
      </c>
      <c r="AF237" s="19">
        <v>10402.5</v>
      </c>
      <c r="AG237" s="19" t="s">
        <v>1093</v>
      </c>
      <c r="AH237" s="19" t="s">
        <v>50</v>
      </c>
      <c r="AI237" s="19"/>
    </row>
    <row r="238" spans="2:35" x14ac:dyDescent="0.35">
      <c r="B238" s="82">
        <v>46220</v>
      </c>
      <c r="C238" s="19" t="s">
        <v>1410</v>
      </c>
      <c r="D238" s="19" t="s">
        <v>1109</v>
      </c>
      <c r="E238" s="83" t="s">
        <v>1411</v>
      </c>
      <c r="F238" s="19" t="s">
        <v>1291</v>
      </c>
      <c r="G238" s="19" t="s">
        <v>1411</v>
      </c>
      <c r="H238" s="76">
        <v>46220</v>
      </c>
      <c r="I238" s="19" t="s">
        <v>36</v>
      </c>
      <c r="J238" s="19" t="s">
        <v>1117</v>
      </c>
      <c r="K238" s="19" t="s">
        <v>42</v>
      </c>
      <c r="L238" s="19" t="s">
        <v>1242</v>
      </c>
      <c r="M238" s="19" t="s">
        <v>1154</v>
      </c>
      <c r="N238" s="19">
        <v>19901.8</v>
      </c>
      <c r="O238" s="19">
        <v>3744110.2459999998</v>
      </c>
      <c r="P238" s="19" t="s">
        <v>1154</v>
      </c>
      <c r="Q238" s="19">
        <v>3744110.25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>
        <v>0</v>
      </c>
      <c r="Y238" s="19">
        <v>0</v>
      </c>
      <c r="Z238" s="19">
        <v>0</v>
      </c>
      <c r="AA238" s="19" t="s">
        <v>229</v>
      </c>
      <c r="AB238" s="19" t="s">
        <v>1091</v>
      </c>
      <c r="AC238" s="19">
        <v>39269080</v>
      </c>
      <c r="AD238" s="19" t="s">
        <v>1113</v>
      </c>
      <c r="AE238" s="19">
        <v>95.45</v>
      </c>
      <c r="AF238" s="19">
        <v>19901.8</v>
      </c>
      <c r="AG238" s="19" t="s">
        <v>1412</v>
      </c>
      <c r="AH238" s="19" t="s">
        <v>42</v>
      </c>
      <c r="AI238" s="19"/>
    </row>
    <row r="239" spans="2:35" x14ac:dyDescent="0.35">
      <c r="B239" s="82">
        <v>46221</v>
      </c>
      <c r="C239" s="19" t="s">
        <v>1292</v>
      </c>
      <c r="D239" s="19" t="s">
        <v>1109</v>
      </c>
      <c r="E239" s="83" t="s">
        <v>1413</v>
      </c>
      <c r="F239" s="19" t="s">
        <v>1291</v>
      </c>
      <c r="G239" s="19" t="s">
        <v>1413</v>
      </c>
      <c r="H239" s="76">
        <v>46221</v>
      </c>
      <c r="I239" s="19" t="s">
        <v>49</v>
      </c>
      <c r="J239" s="19" t="s">
        <v>50</v>
      </c>
      <c r="K239" s="19" t="s">
        <v>50</v>
      </c>
      <c r="L239" s="19" t="s">
        <v>1095</v>
      </c>
      <c r="M239" s="19" t="s">
        <v>1098</v>
      </c>
      <c r="N239" s="19">
        <v>19060</v>
      </c>
      <c r="O239" s="19">
        <v>4335109.92</v>
      </c>
      <c r="P239" s="19" t="s">
        <v>1287</v>
      </c>
      <c r="Q239" s="19">
        <v>4335109.92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>
        <v>0</v>
      </c>
      <c r="Y239" s="19">
        <v>0</v>
      </c>
      <c r="Z239" s="19">
        <v>0</v>
      </c>
      <c r="AA239" s="19" t="s">
        <v>229</v>
      </c>
      <c r="AB239" s="19" t="s">
        <v>1091</v>
      </c>
      <c r="AC239" s="19">
        <v>63053200</v>
      </c>
      <c r="AD239" s="19" t="s">
        <v>1113</v>
      </c>
      <c r="AE239" s="19">
        <v>95.45</v>
      </c>
      <c r="AF239" s="19">
        <v>19060</v>
      </c>
      <c r="AG239" s="19" t="s">
        <v>1294</v>
      </c>
      <c r="AH239" s="19" t="s">
        <v>50</v>
      </c>
      <c r="AI239" s="19"/>
    </row>
    <row r="240" spans="2:35" x14ac:dyDescent="0.35">
      <c r="B240" s="82">
        <v>46221</v>
      </c>
      <c r="C240" s="19" t="s">
        <v>1123</v>
      </c>
      <c r="D240" s="19" t="s">
        <v>11</v>
      </c>
      <c r="E240" s="83">
        <v>486</v>
      </c>
      <c r="F240" s="19" t="s">
        <v>1085</v>
      </c>
      <c r="G240" s="19" t="s">
        <v>1414</v>
      </c>
      <c r="H240" s="76">
        <v>46221</v>
      </c>
      <c r="I240" s="19" t="s">
        <v>36</v>
      </c>
      <c r="J240" s="19" t="s">
        <v>1087</v>
      </c>
      <c r="K240" s="19" t="s">
        <v>46</v>
      </c>
      <c r="L240" s="19" t="s">
        <v>1138</v>
      </c>
      <c r="M240" s="19" t="s">
        <v>1181</v>
      </c>
      <c r="N240" s="19">
        <v>554.6</v>
      </c>
      <c r="O240" s="19">
        <v>85491.59</v>
      </c>
      <c r="P240" s="19" t="s">
        <v>1182</v>
      </c>
      <c r="Q240" s="19">
        <v>316004.02</v>
      </c>
      <c r="R240" s="19">
        <v>2.5</v>
      </c>
      <c r="S240" s="19">
        <v>2137.29</v>
      </c>
      <c r="T240" s="19">
        <v>2.5</v>
      </c>
      <c r="U240" s="19">
        <v>2137.29</v>
      </c>
      <c r="V240" s="19">
        <v>0</v>
      </c>
      <c r="W240" s="19">
        <v>0</v>
      </c>
      <c r="X240" s="19">
        <v>0</v>
      </c>
      <c r="Y240" s="19">
        <v>4274.58</v>
      </c>
      <c r="Z240" s="19">
        <v>0</v>
      </c>
      <c r="AA240" s="19" t="s">
        <v>179</v>
      </c>
      <c r="AB240" s="19" t="s">
        <v>1091</v>
      </c>
      <c r="AC240" s="19">
        <v>54026930</v>
      </c>
      <c r="AD240" s="19" t="s">
        <v>1092</v>
      </c>
      <c r="AE240" s="19">
        <v>1</v>
      </c>
      <c r="AF240" s="19">
        <v>554.6</v>
      </c>
      <c r="AG240" s="19" t="s">
        <v>1093</v>
      </c>
      <c r="AH240" s="19" t="s">
        <v>46</v>
      </c>
      <c r="AI240" s="19"/>
    </row>
    <row r="241" spans="2:35" x14ac:dyDescent="0.35">
      <c r="B241" s="82">
        <v>46221</v>
      </c>
      <c r="C241" s="19" t="s">
        <v>1123</v>
      </c>
      <c r="D241" s="19" t="s">
        <v>11</v>
      </c>
      <c r="E241" s="83">
        <v>486</v>
      </c>
      <c r="F241" s="19" t="s">
        <v>1085</v>
      </c>
      <c r="G241" s="19" t="s">
        <v>1414</v>
      </c>
      <c r="H241" s="76">
        <v>46221</v>
      </c>
      <c r="I241" s="19" t="s">
        <v>36</v>
      </c>
      <c r="J241" s="19" t="s">
        <v>1087</v>
      </c>
      <c r="K241" s="19" t="s">
        <v>46</v>
      </c>
      <c r="L241" s="19" t="s">
        <v>1138</v>
      </c>
      <c r="M241" s="19" t="s">
        <v>1089</v>
      </c>
      <c r="N241" s="19">
        <v>1427.4</v>
      </c>
      <c r="O241" s="19">
        <v>215751.51</v>
      </c>
      <c r="P241" s="19" t="s">
        <v>1090</v>
      </c>
      <c r="Q241" s="19">
        <v>0</v>
      </c>
      <c r="R241" s="19">
        <v>2.5</v>
      </c>
      <c r="S241" s="19">
        <v>5393.79</v>
      </c>
      <c r="T241" s="19">
        <v>2.5</v>
      </c>
      <c r="U241" s="19">
        <v>5393.79</v>
      </c>
      <c r="V241" s="19">
        <v>0</v>
      </c>
      <c r="W241" s="19">
        <v>0</v>
      </c>
      <c r="X241" s="19">
        <v>0</v>
      </c>
      <c r="Y241" s="19">
        <v>10787.58</v>
      </c>
      <c r="Z241" s="19">
        <v>0</v>
      </c>
      <c r="AA241" s="19" t="s">
        <v>179</v>
      </c>
      <c r="AB241" s="19" t="s">
        <v>1091</v>
      </c>
      <c r="AC241" s="19">
        <v>54026930</v>
      </c>
      <c r="AD241" s="19" t="s">
        <v>1092</v>
      </c>
      <c r="AE241" s="19">
        <v>1</v>
      </c>
      <c r="AF241" s="19">
        <v>1427.4</v>
      </c>
      <c r="AG241" s="19" t="s">
        <v>1093</v>
      </c>
      <c r="AH241" s="19" t="s">
        <v>46</v>
      </c>
      <c r="AI241" s="19"/>
    </row>
    <row r="242" spans="2:35" x14ac:dyDescent="0.35">
      <c r="B242" s="82">
        <v>46221</v>
      </c>
      <c r="C242" s="19" t="s">
        <v>1136</v>
      </c>
      <c r="D242" s="19" t="s">
        <v>11</v>
      </c>
      <c r="E242" s="83">
        <v>483</v>
      </c>
      <c r="F242" s="19" t="s">
        <v>1085</v>
      </c>
      <c r="G242" s="19" t="s">
        <v>1415</v>
      </c>
      <c r="H242" s="76">
        <v>46221</v>
      </c>
      <c r="I242" s="19" t="s">
        <v>28</v>
      </c>
      <c r="J242" s="19" t="s">
        <v>1173</v>
      </c>
      <c r="K242" s="19" t="s">
        <v>33</v>
      </c>
      <c r="L242" s="19" t="s">
        <v>1186</v>
      </c>
      <c r="M242" s="19" t="s">
        <v>1416</v>
      </c>
      <c r="N242" s="19">
        <v>25</v>
      </c>
      <c r="O242" s="19">
        <v>16200</v>
      </c>
      <c r="P242" s="19" t="s">
        <v>1416</v>
      </c>
      <c r="Q242" s="19">
        <v>19099.8</v>
      </c>
      <c r="R242" s="19">
        <v>9</v>
      </c>
      <c r="S242" s="19">
        <v>1458</v>
      </c>
      <c r="T242" s="19">
        <v>9</v>
      </c>
      <c r="U242" s="19">
        <v>1458</v>
      </c>
      <c r="V242" s="19">
        <v>0</v>
      </c>
      <c r="W242" s="19">
        <v>0</v>
      </c>
      <c r="X242" s="19">
        <v>0</v>
      </c>
      <c r="Y242" s="19">
        <v>2916</v>
      </c>
      <c r="Z242" s="19">
        <v>0</v>
      </c>
      <c r="AA242" s="19" t="s">
        <v>135</v>
      </c>
      <c r="AB242" s="19" t="s">
        <v>1091</v>
      </c>
      <c r="AC242" s="19">
        <v>32064990</v>
      </c>
      <c r="AD242" s="19" t="s">
        <v>1092</v>
      </c>
      <c r="AE242" s="19">
        <v>1</v>
      </c>
      <c r="AF242" s="19">
        <v>25</v>
      </c>
      <c r="AG242" s="19" t="s">
        <v>1093</v>
      </c>
      <c r="AH242" s="19" t="s">
        <v>33</v>
      </c>
      <c r="AI242" s="19"/>
    </row>
    <row r="243" spans="2:35" x14ac:dyDescent="0.35">
      <c r="B243" s="82">
        <v>46221</v>
      </c>
      <c r="C243" s="19" t="s">
        <v>1136</v>
      </c>
      <c r="D243" s="19" t="s">
        <v>11</v>
      </c>
      <c r="E243" s="83">
        <v>484</v>
      </c>
      <c r="F243" s="19" t="s">
        <v>1085</v>
      </c>
      <c r="G243" s="19" t="s">
        <v>1417</v>
      </c>
      <c r="H243" s="76">
        <v>46221</v>
      </c>
      <c r="I243" s="19" t="s">
        <v>49</v>
      </c>
      <c r="J243" s="19" t="s">
        <v>50</v>
      </c>
      <c r="K243" s="19" t="s">
        <v>50</v>
      </c>
      <c r="L243" s="19" t="s">
        <v>1095</v>
      </c>
      <c r="M243" s="19" t="s">
        <v>1098</v>
      </c>
      <c r="N243" s="19">
        <v>4689</v>
      </c>
      <c r="O243" s="19">
        <v>1195835.67</v>
      </c>
      <c r="P243" s="19" t="s">
        <v>1418</v>
      </c>
      <c r="Q243" s="19">
        <v>1409890.25</v>
      </c>
      <c r="R243" s="19">
        <v>9</v>
      </c>
      <c r="S243" s="19">
        <v>107625.21</v>
      </c>
      <c r="T243" s="19">
        <v>9</v>
      </c>
      <c r="U243" s="19">
        <v>107625.21</v>
      </c>
      <c r="V243" s="19">
        <v>0</v>
      </c>
      <c r="W243" s="19">
        <v>0</v>
      </c>
      <c r="X243" s="19">
        <v>0</v>
      </c>
      <c r="Y243" s="19">
        <v>215250.42</v>
      </c>
      <c r="Z243" s="19">
        <v>0</v>
      </c>
      <c r="AA243" s="19" t="s">
        <v>135</v>
      </c>
      <c r="AB243" s="19" t="s">
        <v>1091</v>
      </c>
      <c r="AC243" s="19">
        <v>63053200</v>
      </c>
      <c r="AD243" s="19" t="s">
        <v>1092</v>
      </c>
      <c r="AE243" s="19">
        <v>1</v>
      </c>
      <c r="AF243" s="19">
        <v>4689</v>
      </c>
      <c r="AG243" s="19" t="s">
        <v>1093</v>
      </c>
      <c r="AH243" s="19" t="s">
        <v>50</v>
      </c>
      <c r="AI243" s="19"/>
    </row>
    <row r="244" spans="2:35" x14ac:dyDescent="0.35">
      <c r="B244" s="82">
        <v>46221</v>
      </c>
      <c r="C244" s="19" t="s">
        <v>1136</v>
      </c>
      <c r="D244" s="19" t="s">
        <v>11</v>
      </c>
      <c r="E244" s="83">
        <v>485</v>
      </c>
      <c r="F244" s="19" t="s">
        <v>1085</v>
      </c>
      <c r="G244" s="19" t="s">
        <v>1419</v>
      </c>
      <c r="H244" s="76">
        <v>46221</v>
      </c>
      <c r="I244" s="19" t="s">
        <v>36</v>
      </c>
      <c r="J244" s="19" t="s">
        <v>1087</v>
      </c>
      <c r="K244" s="19" t="s">
        <v>46</v>
      </c>
      <c r="L244" s="19" t="s">
        <v>1138</v>
      </c>
      <c r="M244" s="19" t="s">
        <v>1181</v>
      </c>
      <c r="N244" s="19">
        <v>470</v>
      </c>
      <c r="O244" s="19">
        <v>72450.5</v>
      </c>
      <c r="P244" s="19" t="s">
        <v>1182</v>
      </c>
      <c r="Q244" s="19">
        <v>666024.91</v>
      </c>
      <c r="R244" s="19">
        <v>2.5</v>
      </c>
      <c r="S244" s="19">
        <v>1811.26</v>
      </c>
      <c r="T244" s="19">
        <v>2.5</v>
      </c>
      <c r="U244" s="19">
        <v>1811.26</v>
      </c>
      <c r="V244" s="19">
        <v>0</v>
      </c>
      <c r="W244" s="19">
        <v>0</v>
      </c>
      <c r="X244" s="19">
        <v>0</v>
      </c>
      <c r="Y244" s="19">
        <v>3622.52</v>
      </c>
      <c r="Z244" s="19">
        <v>0</v>
      </c>
      <c r="AA244" s="19" t="s">
        <v>135</v>
      </c>
      <c r="AB244" s="19" t="s">
        <v>1091</v>
      </c>
      <c r="AC244" s="19">
        <v>54026930</v>
      </c>
      <c r="AD244" s="19" t="s">
        <v>1092</v>
      </c>
      <c r="AE244" s="19">
        <v>1</v>
      </c>
      <c r="AF244" s="19">
        <v>470</v>
      </c>
      <c r="AG244" s="19" t="s">
        <v>1093</v>
      </c>
      <c r="AH244" s="19" t="s">
        <v>46</v>
      </c>
      <c r="AI244" s="19"/>
    </row>
    <row r="245" spans="2:35" x14ac:dyDescent="0.35">
      <c r="B245" s="82">
        <v>46221</v>
      </c>
      <c r="C245" s="19" t="s">
        <v>1136</v>
      </c>
      <c r="D245" s="19" t="s">
        <v>11</v>
      </c>
      <c r="E245" s="83">
        <v>485</v>
      </c>
      <c r="F245" s="19" t="s">
        <v>1085</v>
      </c>
      <c r="G245" s="19" t="s">
        <v>1419</v>
      </c>
      <c r="H245" s="76">
        <v>46221</v>
      </c>
      <c r="I245" s="19" t="s">
        <v>36</v>
      </c>
      <c r="J245" s="19" t="s">
        <v>1087</v>
      </c>
      <c r="K245" s="19" t="s">
        <v>46</v>
      </c>
      <c r="L245" s="19" t="s">
        <v>1138</v>
      </c>
      <c r="M245" s="19" t="s">
        <v>1089</v>
      </c>
      <c r="N245" s="19">
        <v>3090.5</v>
      </c>
      <c r="O245" s="19">
        <v>467129.08</v>
      </c>
      <c r="P245" s="19" t="s">
        <v>1090</v>
      </c>
      <c r="Q245" s="19">
        <v>0</v>
      </c>
      <c r="R245" s="19">
        <v>2.5</v>
      </c>
      <c r="S245" s="19">
        <v>11678.23</v>
      </c>
      <c r="T245" s="19">
        <v>2.5</v>
      </c>
      <c r="U245" s="19">
        <v>11678.23</v>
      </c>
      <c r="V245" s="19">
        <v>0</v>
      </c>
      <c r="W245" s="19">
        <v>0</v>
      </c>
      <c r="X245" s="19">
        <v>0</v>
      </c>
      <c r="Y245" s="19">
        <v>23356.46</v>
      </c>
      <c r="Z245" s="19">
        <v>0</v>
      </c>
      <c r="AA245" s="19" t="s">
        <v>135</v>
      </c>
      <c r="AB245" s="19" t="s">
        <v>1091</v>
      </c>
      <c r="AC245" s="19">
        <v>54026930</v>
      </c>
      <c r="AD245" s="19" t="s">
        <v>1092</v>
      </c>
      <c r="AE245" s="19">
        <v>1</v>
      </c>
      <c r="AF245" s="19">
        <v>3090.5</v>
      </c>
      <c r="AG245" s="19" t="s">
        <v>1093</v>
      </c>
      <c r="AH245" s="19" t="s">
        <v>46</v>
      </c>
      <c r="AI245" s="19"/>
    </row>
    <row r="246" spans="2:35" x14ac:dyDescent="0.35">
      <c r="B246" s="82">
        <v>46221</v>
      </c>
      <c r="C246" s="19" t="s">
        <v>1136</v>
      </c>
      <c r="D246" s="19" t="s">
        <v>11</v>
      </c>
      <c r="E246" s="83">
        <v>485</v>
      </c>
      <c r="F246" s="19" t="s">
        <v>1085</v>
      </c>
      <c r="G246" s="19" t="s">
        <v>1419</v>
      </c>
      <c r="H246" s="76">
        <v>46221</v>
      </c>
      <c r="I246" s="19" t="s">
        <v>36</v>
      </c>
      <c r="J246" s="19" t="s">
        <v>1087</v>
      </c>
      <c r="K246" s="19" t="s">
        <v>46</v>
      </c>
      <c r="L246" s="19" t="s">
        <v>1213</v>
      </c>
      <c r="M246" s="19" t="s">
        <v>1420</v>
      </c>
      <c r="N246" s="19">
        <v>103</v>
      </c>
      <c r="O246" s="19">
        <v>20330.14</v>
      </c>
      <c r="P246" s="19" t="s">
        <v>1421</v>
      </c>
      <c r="Q246" s="19">
        <v>0</v>
      </c>
      <c r="R246" s="19">
        <v>2.5</v>
      </c>
      <c r="S246" s="19">
        <v>508.25</v>
      </c>
      <c r="T246" s="19">
        <v>2.5</v>
      </c>
      <c r="U246" s="19">
        <v>508.25</v>
      </c>
      <c r="V246" s="19">
        <v>0</v>
      </c>
      <c r="W246" s="19">
        <v>0</v>
      </c>
      <c r="X246" s="19">
        <v>0</v>
      </c>
      <c r="Y246" s="19">
        <v>1016.5</v>
      </c>
      <c r="Z246" s="19">
        <v>0</v>
      </c>
      <c r="AA246" s="19" t="s">
        <v>135</v>
      </c>
      <c r="AB246" s="19" t="s">
        <v>1091</v>
      </c>
      <c r="AC246" s="19">
        <v>54026930</v>
      </c>
      <c r="AD246" s="19" t="s">
        <v>1092</v>
      </c>
      <c r="AE246" s="19">
        <v>1</v>
      </c>
      <c r="AF246" s="19">
        <v>103</v>
      </c>
      <c r="AG246" s="19" t="s">
        <v>1093</v>
      </c>
      <c r="AH246" s="19" t="s">
        <v>46</v>
      </c>
      <c r="AI246" s="19"/>
    </row>
    <row r="247" spans="2:35" x14ac:dyDescent="0.35">
      <c r="B247" s="82">
        <v>46221</v>
      </c>
      <c r="C247" s="19" t="s">
        <v>1136</v>
      </c>
      <c r="D247" s="19" t="s">
        <v>11</v>
      </c>
      <c r="E247" s="83">
        <v>485</v>
      </c>
      <c r="F247" s="19" t="s">
        <v>1085</v>
      </c>
      <c r="G247" s="19" t="s">
        <v>1419</v>
      </c>
      <c r="H247" s="76">
        <v>46221</v>
      </c>
      <c r="I247" s="19" t="s">
        <v>36</v>
      </c>
      <c r="J247" s="19" t="s">
        <v>1087</v>
      </c>
      <c r="K247" s="19" t="s">
        <v>46</v>
      </c>
      <c r="L247" s="19" t="s">
        <v>1213</v>
      </c>
      <c r="M247" s="19" t="s">
        <v>1422</v>
      </c>
      <c r="N247" s="19">
        <v>380</v>
      </c>
      <c r="O247" s="19">
        <v>75004.399999999994</v>
      </c>
      <c r="P247" s="19" t="s">
        <v>1423</v>
      </c>
      <c r="Q247" s="19">
        <v>0</v>
      </c>
      <c r="R247" s="19">
        <v>2.5</v>
      </c>
      <c r="S247" s="19">
        <v>1875.11</v>
      </c>
      <c r="T247" s="19">
        <v>2.5</v>
      </c>
      <c r="U247" s="19">
        <v>1875.11</v>
      </c>
      <c r="V247" s="19">
        <v>0</v>
      </c>
      <c r="W247" s="19">
        <v>0</v>
      </c>
      <c r="X247" s="19">
        <v>0</v>
      </c>
      <c r="Y247" s="19">
        <v>3750.22</v>
      </c>
      <c r="Z247" s="19">
        <v>0</v>
      </c>
      <c r="AA247" s="19" t="s">
        <v>135</v>
      </c>
      <c r="AB247" s="19" t="s">
        <v>1091</v>
      </c>
      <c r="AC247" s="19">
        <v>54026930</v>
      </c>
      <c r="AD247" s="19" t="s">
        <v>1092</v>
      </c>
      <c r="AE247" s="19">
        <v>1</v>
      </c>
      <c r="AF247" s="19">
        <v>380</v>
      </c>
      <c r="AG247" s="19" t="s">
        <v>1093</v>
      </c>
      <c r="AH247" s="19" t="s">
        <v>46</v>
      </c>
      <c r="AI247" s="19"/>
    </row>
    <row r="248" spans="2:35" x14ac:dyDescent="0.35">
      <c r="B248" s="82">
        <v>46221</v>
      </c>
      <c r="C248" s="19" t="s">
        <v>1171</v>
      </c>
      <c r="D248" s="19" t="s">
        <v>11</v>
      </c>
      <c r="E248" s="83">
        <v>487</v>
      </c>
      <c r="F248" s="19" t="s">
        <v>1085</v>
      </c>
      <c r="G248" s="19" t="s">
        <v>1424</v>
      </c>
      <c r="H248" s="76">
        <v>46221</v>
      </c>
      <c r="I248" s="19" t="s">
        <v>49</v>
      </c>
      <c r="J248" s="19" t="s">
        <v>50</v>
      </c>
      <c r="K248" s="19" t="s">
        <v>50</v>
      </c>
      <c r="L248" s="19" t="s">
        <v>1095</v>
      </c>
      <c r="M248" s="19" t="s">
        <v>1096</v>
      </c>
      <c r="N248" s="19">
        <v>2856</v>
      </c>
      <c r="O248" s="19">
        <v>715456.56</v>
      </c>
      <c r="P248" s="19" t="s">
        <v>1425</v>
      </c>
      <c r="Q248" s="19">
        <v>2618089.4300000002</v>
      </c>
      <c r="R248" s="19">
        <v>9</v>
      </c>
      <c r="S248" s="19">
        <v>64391.09</v>
      </c>
      <c r="T248" s="19">
        <v>9</v>
      </c>
      <c r="U248" s="19">
        <v>64391.09</v>
      </c>
      <c r="V248" s="19">
        <v>0</v>
      </c>
      <c r="W248" s="19">
        <v>0</v>
      </c>
      <c r="X248" s="19">
        <v>0</v>
      </c>
      <c r="Y248" s="19">
        <v>128782.18</v>
      </c>
      <c r="Z248" s="19">
        <v>0</v>
      </c>
      <c r="AA248" s="19" t="s">
        <v>614</v>
      </c>
      <c r="AB248" s="19" t="s">
        <v>1091</v>
      </c>
      <c r="AC248" s="19">
        <v>63053200</v>
      </c>
      <c r="AD248" s="19" t="s">
        <v>1092</v>
      </c>
      <c r="AE248" s="19">
        <v>1</v>
      </c>
      <c r="AF248" s="19">
        <v>2856</v>
      </c>
      <c r="AG248" s="19" t="s">
        <v>1093</v>
      </c>
      <c r="AH248" s="19" t="s">
        <v>50</v>
      </c>
      <c r="AI248" s="19"/>
    </row>
    <row r="249" spans="2:35" x14ac:dyDescent="0.35">
      <c r="B249" s="82">
        <v>46221</v>
      </c>
      <c r="C249" s="19" t="s">
        <v>1171</v>
      </c>
      <c r="D249" s="19" t="s">
        <v>11</v>
      </c>
      <c r="E249" s="83">
        <v>487</v>
      </c>
      <c r="F249" s="19" t="s">
        <v>1085</v>
      </c>
      <c r="G249" s="19" t="s">
        <v>1424</v>
      </c>
      <c r="H249" s="76">
        <v>46221</v>
      </c>
      <c r="I249" s="19" t="s">
        <v>49</v>
      </c>
      <c r="J249" s="19" t="s">
        <v>50</v>
      </c>
      <c r="K249" s="19" t="s">
        <v>50</v>
      </c>
      <c r="L249" s="19" t="s">
        <v>1095</v>
      </c>
      <c r="M249" s="19" t="s">
        <v>1096</v>
      </c>
      <c r="N249" s="19">
        <v>2883</v>
      </c>
      <c r="O249" s="19">
        <v>790201.47</v>
      </c>
      <c r="P249" s="19" t="s">
        <v>1426</v>
      </c>
      <c r="Q249" s="19">
        <v>0</v>
      </c>
      <c r="R249" s="19">
        <v>9</v>
      </c>
      <c r="S249" s="19">
        <v>71118.13</v>
      </c>
      <c r="T249" s="19">
        <v>9</v>
      </c>
      <c r="U249" s="19">
        <v>71118.13</v>
      </c>
      <c r="V249" s="19">
        <v>0</v>
      </c>
      <c r="W249" s="19">
        <v>0</v>
      </c>
      <c r="X249" s="19">
        <v>0</v>
      </c>
      <c r="Y249" s="19">
        <v>142236.26</v>
      </c>
      <c r="Z249" s="19">
        <v>0</v>
      </c>
      <c r="AA249" s="19" t="s">
        <v>614</v>
      </c>
      <c r="AB249" s="19" t="s">
        <v>1091</v>
      </c>
      <c r="AC249" s="19">
        <v>63053200</v>
      </c>
      <c r="AD249" s="19" t="s">
        <v>1092</v>
      </c>
      <c r="AE249" s="19">
        <v>1</v>
      </c>
      <c r="AF249" s="19">
        <v>2883</v>
      </c>
      <c r="AG249" s="19" t="s">
        <v>1093</v>
      </c>
      <c r="AH249" s="19" t="s">
        <v>50</v>
      </c>
      <c r="AI249" s="19"/>
    </row>
    <row r="250" spans="2:35" x14ac:dyDescent="0.35">
      <c r="B250" s="82">
        <v>46221</v>
      </c>
      <c r="C250" s="19" t="s">
        <v>1171</v>
      </c>
      <c r="D250" s="19" t="s">
        <v>11</v>
      </c>
      <c r="E250" s="83">
        <v>487</v>
      </c>
      <c r="F250" s="19" t="s">
        <v>1085</v>
      </c>
      <c r="G250" s="19" t="s">
        <v>1424</v>
      </c>
      <c r="H250" s="76">
        <v>46221</v>
      </c>
      <c r="I250" s="19" t="s">
        <v>49</v>
      </c>
      <c r="J250" s="19" t="s">
        <v>50</v>
      </c>
      <c r="K250" s="19" t="s">
        <v>50</v>
      </c>
      <c r="L250" s="19" t="s">
        <v>1095</v>
      </c>
      <c r="M250" s="19" t="s">
        <v>1098</v>
      </c>
      <c r="N250" s="19">
        <v>2588.5</v>
      </c>
      <c r="O250" s="19">
        <v>714943.7</v>
      </c>
      <c r="P250" s="19" t="s">
        <v>1409</v>
      </c>
      <c r="Q250" s="19">
        <v>0</v>
      </c>
      <c r="R250" s="19">
        <v>9</v>
      </c>
      <c r="S250" s="19">
        <v>64344.93</v>
      </c>
      <c r="T250" s="19">
        <v>9</v>
      </c>
      <c r="U250" s="19">
        <v>64344.93</v>
      </c>
      <c r="V250" s="19">
        <v>0</v>
      </c>
      <c r="W250" s="19">
        <v>0</v>
      </c>
      <c r="X250" s="19">
        <v>0</v>
      </c>
      <c r="Y250" s="19">
        <v>128689.86</v>
      </c>
      <c r="Z250" s="19">
        <v>0</v>
      </c>
      <c r="AA250" s="19" t="s">
        <v>614</v>
      </c>
      <c r="AB250" s="19" t="s">
        <v>1091</v>
      </c>
      <c r="AC250" s="19">
        <v>63053200</v>
      </c>
      <c r="AD250" s="19" t="s">
        <v>1092</v>
      </c>
      <c r="AE250" s="19">
        <v>1</v>
      </c>
      <c r="AF250" s="19">
        <v>2588.5</v>
      </c>
      <c r="AG250" s="19" t="s">
        <v>1093</v>
      </c>
      <c r="AH250" s="19" t="s">
        <v>50</v>
      </c>
      <c r="AI250" s="19"/>
    </row>
    <row r="251" spans="2:35" x14ac:dyDescent="0.35">
      <c r="B251" s="82">
        <v>46222</v>
      </c>
      <c r="C251" s="19" t="s">
        <v>1084</v>
      </c>
      <c r="D251" s="19" t="s">
        <v>11</v>
      </c>
      <c r="E251" s="83">
        <v>488</v>
      </c>
      <c r="F251" s="19" t="s">
        <v>1085</v>
      </c>
      <c r="G251" s="19" t="s">
        <v>1427</v>
      </c>
      <c r="H251" s="76">
        <v>46222</v>
      </c>
      <c r="I251" s="19" t="s">
        <v>36</v>
      </c>
      <c r="J251" s="19" t="s">
        <v>1087</v>
      </c>
      <c r="K251" s="19" t="s">
        <v>46</v>
      </c>
      <c r="L251" s="19" t="s">
        <v>1088</v>
      </c>
      <c r="M251" s="19" t="s">
        <v>1089</v>
      </c>
      <c r="N251" s="19">
        <v>1845</v>
      </c>
      <c r="O251" s="19">
        <v>278871.75</v>
      </c>
      <c r="P251" s="19" t="s">
        <v>1090</v>
      </c>
      <c r="Q251" s="19">
        <v>495669.39</v>
      </c>
      <c r="R251" s="19">
        <v>9</v>
      </c>
      <c r="S251" s="19">
        <v>25098.46</v>
      </c>
      <c r="T251" s="19">
        <v>9</v>
      </c>
      <c r="U251" s="19">
        <v>25098.46</v>
      </c>
      <c r="V251" s="19">
        <v>0</v>
      </c>
      <c r="W251" s="19">
        <v>0</v>
      </c>
      <c r="X251" s="19">
        <v>0</v>
      </c>
      <c r="Y251" s="19">
        <v>50196.92</v>
      </c>
      <c r="Z251" s="19">
        <v>0</v>
      </c>
      <c r="AA251" s="19" t="s">
        <v>135</v>
      </c>
      <c r="AB251" s="19" t="s">
        <v>1091</v>
      </c>
      <c r="AC251" s="19">
        <v>39199090</v>
      </c>
      <c r="AD251" s="19" t="s">
        <v>1092</v>
      </c>
      <c r="AE251" s="19">
        <v>1</v>
      </c>
      <c r="AF251" s="19">
        <v>1845</v>
      </c>
      <c r="AG251" s="19" t="s">
        <v>1093</v>
      </c>
      <c r="AH251" s="19" t="s">
        <v>46</v>
      </c>
      <c r="AI251" s="19"/>
    </row>
    <row r="252" spans="2:35" ht="29" x14ac:dyDescent="0.35">
      <c r="B252" s="82">
        <v>46222</v>
      </c>
      <c r="C252" s="19" t="s">
        <v>1084</v>
      </c>
      <c r="D252" s="19" t="s">
        <v>11</v>
      </c>
      <c r="E252" s="83">
        <v>488</v>
      </c>
      <c r="F252" s="19" t="s">
        <v>1085</v>
      </c>
      <c r="G252" s="19" t="s">
        <v>1427</v>
      </c>
      <c r="H252" s="76">
        <v>46222</v>
      </c>
      <c r="I252" s="19" t="s">
        <v>36</v>
      </c>
      <c r="J252" s="19" t="s">
        <v>1117</v>
      </c>
      <c r="K252" s="19" t="s">
        <v>42</v>
      </c>
      <c r="L252" s="19" t="s">
        <v>1242</v>
      </c>
      <c r="M252" s="19" t="s">
        <v>1154</v>
      </c>
      <c r="N252" s="19">
        <v>912.3</v>
      </c>
      <c r="O252" s="19">
        <v>141543.34</v>
      </c>
      <c r="P252" s="84" t="s">
        <v>1428</v>
      </c>
      <c r="Q252" s="19">
        <v>0</v>
      </c>
      <c r="R252" s="19">
        <v>9</v>
      </c>
      <c r="S252" s="19">
        <v>12738.9</v>
      </c>
      <c r="T252" s="19">
        <v>9</v>
      </c>
      <c r="U252" s="19">
        <v>12738.9</v>
      </c>
      <c r="V252" s="19">
        <v>0</v>
      </c>
      <c r="W252" s="19">
        <v>0</v>
      </c>
      <c r="X252" s="19">
        <v>0</v>
      </c>
      <c r="Y252" s="19">
        <v>25477.8</v>
      </c>
      <c r="Z252" s="19">
        <v>0</v>
      </c>
      <c r="AA252" s="19" t="s">
        <v>135</v>
      </c>
      <c r="AB252" s="19" t="s">
        <v>1091</v>
      </c>
      <c r="AC252" s="19">
        <v>39269080</v>
      </c>
      <c r="AD252" s="19" t="s">
        <v>1092</v>
      </c>
      <c r="AE252" s="19">
        <v>1</v>
      </c>
      <c r="AF252" s="19">
        <v>912.3</v>
      </c>
      <c r="AG252" s="19" t="s">
        <v>1093</v>
      </c>
      <c r="AH252" s="19" t="s">
        <v>42</v>
      </c>
      <c r="AI252" s="19"/>
    </row>
    <row r="253" spans="2:35" x14ac:dyDescent="0.35">
      <c r="B253" s="82">
        <v>46222</v>
      </c>
      <c r="C253" s="19" t="s">
        <v>1084</v>
      </c>
      <c r="D253" s="19" t="s">
        <v>11</v>
      </c>
      <c r="E253" s="83">
        <v>489</v>
      </c>
      <c r="F253" s="19" t="s">
        <v>1085</v>
      </c>
      <c r="G253" s="19" t="s">
        <v>1429</v>
      </c>
      <c r="H253" s="76">
        <v>46222</v>
      </c>
      <c r="I253" s="19" t="s">
        <v>36</v>
      </c>
      <c r="J253" s="19" t="s">
        <v>1087</v>
      </c>
      <c r="K253" s="19" t="s">
        <v>46</v>
      </c>
      <c r="L253" s="19" t="s">
        <v>1138</v>
      </c>
      <c r="M253" s="19" t="s">
        <v>1089</v>
      </c>
      <c r="N253" s="19">
        <v>805</v>
      </c>
      <c r="O253" s="19">
        <v>121675.75</v>
      </c>
      <c r="P253" s="19" t="s">
        <v>1090</v>
      </c>
      <c r="Q253" s="19">
        <v>189085.12</v>
      </c>
      <c r="R253" s="19">
        <v>2.5</v>
      </c>
      <c r="S253" s="19">
        <v>3041.89</v>
      </c>
      <c r="T253" s="19">
        <v>2.5</v>
      </c>
      <c r="U253" s="19">
        <v>3041.89</v>
      </c>
      <c r="V253" s="19">
        <v>0</v>
      </c>
      <c r="W253" s="19">
        <v>0</v>
      </c>
      <c r="X253" s="19">
        <v>0</v>
      </c>
      <c r="Y253" s="19">
        <v>6083.78</v>
      </c>
      <c r="Z253" s="19">
        <v>0</v>
      </c>
      <c r="AA253" s="19" t="s">
        <v>135</v>
      </c>
      <c r="AB253" s="19" t="s">
        <v>1091</v>
      </c>
      <c r="AC253" s="19">
        <v>54026930</v>
      </c>
      <c r="AD253" s="19" t="s">
        <v>1092</v>
      </c>
      <c r="AE253" s="19">
        <v>1</v>
      </c>
      <c r="AF253" s="19">
        <v>805</v>
      </c>
      <c r="AG253" s="19" t="s">
        <v>1093</v>
      </c>
      <c r="AH253" s="19" t="s">
        <v>46</v>
      </c>
      <c r="AI253" s="19"/>
    </row>
    <row r="254" spans="2:35" x14ac:dyDescent="0.35">
      <c r="B254" s="82">
        <v>46222</v>
      </c>
      <c r="C254" s="19" t="s">
        <v>1084</v>
      </c>
      <c r="D254" s="19" t="s">
        <v>11</v>
      </c>
      <c r="E254" s="83">
        <v>489</v>
      </c>
      <c r="F254" s="19" t="s">
        <v>1085</v>
      </c>
      <c r="G254" s="19" t="s">
        <v>1429</v>
      </c>
      <c r="H254" s="76">
        <v>46222</v>
      </c>
      <c r="I254" s="19" t="s">
        <v>36</v>
      </c>
      <c r="J254" s="19" t="s">
        <v>1087</v>
      </c>
      <c r="K254" s="19" t="s">
        <v>46</v>
      </c>
      <c r="L254" s="19" t="s">
        <v>1138</v>
      </c>
      <c r="M254" s="19" t="s">
        <v>1181</v>
      </c>
      <c r="N254" s="19">
        <v>380</v>
      </c>
      <c r="O254" s="19">
        <v>58577</v>
      </c>
      <c r="P254" s="19" t="s">
        <v>1182</v>
      </c>
      <c r="Q254" s="19">
        <v>0</v>
      </c>
      <c r="R254" s="19">
        <v>2.5</v>
      </c>
      <c r="S254" s="19">
        <v>1464.42</v>
      </c>
      <c r="T254" s="19">
        <v>2.5</v>
      </c>
      <c r="U254" s="19">
        <v>1464.42</v>
      </c>
      <c r="V254" s="19">
        <v>0</v>
      </c>
      <c r="W254" s="19">
        <v>0</v>
      </c>
      <c r="X254" s="19">
        <v>0</v>
      </c>
      <c r="Y254" s="19">
        <v>2928.84</v>
      </c>
      <c r="Z254" s="19">
        <v>0</v>
      </c>
      <c r="AA254" s="19" t="s">
        <v>135</v>
      </c>
      <c r="AB254" s="19" t="s">
        <v>1091</v>
      </c>
      <c r="AC254" s="19">
        <v>54026930</v>
      </c>
      <c r="AD254" s="19" t="s">
        <v>1092</v>
      </c>
      <c r="AE254" s="19">
        <v>1</v>
      </c>
      <c r="AF254" s="19">
        <v>380</v>
      </c>
      <c r="AG254" s="19" t="s">
        <v>1093</v>
      </c>
      <c r="AH254" s="19" t="s">
        <v>46</v>
      </c>
      <c r="AI254" s="19"/>
    </row>
    <row r="255" spans="2:35" hidden="1" x14ac:dyDescent="0.35">
      <c r="B255" s="82">
        <v>46222</v>
      </c>
      <c r="C255" s="19" t="s">
        <v>1084</v>
      </c>
      <c r="D255" s="19" t="s">
        <v>11</v>
      </c>
      <c r="E255" s="83">
        <v>490</v>
      </c>
      <c r="F255" s="19" t="s">
        <v>1124</v>
      </c>
      <c r="G255" s="19" t="s">
        <v>1430</v>
      </c>
      <c r="H255" s="76">
        <v>46222</v>
      </c>
      <c r="I255" s="19" t="s">
        <v>105</v>
      </c>
      <c r="J255" s="19" t="s">
        <v>1142</v>
      </c>
      <c r="K255" s="19" t="s">
        <v>1143</v>
      </c>
      <c r="L255" s="19" t="s">
        <v>1144</v>
      </c>
      <c r="M255" s="19" t="s">
        <v>1196</v>
      </c>
      <c r="N255" s="19">
        <v>1084</v>
      </c>
      <c r="O255" s="19">
        <v>52032</v>
      </c>
      <c r="P255" s="19" t="s">
        <v>1139</v>
      </c>
      <c r="Q255" s="19">
        <v>61345.73</v>
      </c>
      <c r="R255" s="19">
        <v>9</v>
      </c>
      <c r="S255" s="19">
        <v>4682.88</v>
      </c>
      <c r="T255" s="19">
        <v>9</v>
      </c>
      <c r="U255" s="19">
        <v>4682.88</v>
      </c>
      <c r="V255" s="19">
        <v>0</v>
      </c>
      <c r="W255" s="19">
        <v>0</v>
      </c>
      <c r="X255" s="19">
        <v>0</v>
      </c>
      <c r="Y255" s="19">
        <v>9365.76</v>
      </c>
      <c r="Z255" s="19">
        <v>0</v>
      </c>
      <c r="AA255" s="19" t="s">
        <v>135</v>
      </c>
      <c r="AB255" s="19" t="s">
        <v>1091</v>
      </c>
      <c r="AC255" s="19">
        <v>73063090</v>
      </c>
      <c r="AD255" s="19" t="s">
        <v>1092</v>
      </c>
      <c r="AE255" s="19">
        <v>1</v>
      </c>
      <c r="AF255" s="19">
        <v>1084</v>
      </c>
      <c r="AG255" s="19" t="s">
        <v>1093</v>
      </c>
      <c r="AH255" s="83" t="s">
        <v>2319</v>
      </c>
      <c r="AI255" s="19"/>
    </row>
    <row r="256" spans="2:35" x14ac:dyDescent="0.35">
      <c r="B256" s="82">
        <v>46222</v>
      </c>
      <c r="C256" s="19" t="s">
        <v>1171</v>
      </c>
      <c r="D256" s="19" t="s">
        <v>11</v>
      </c>
      <c r="E256" s="83">
        <v>491</v>
      </c>
      <c r="F256" s="19" t="s">
        <v>1085</v>
      </c>
      <c r="G256" s="19" t="s">
        <v>1431</v>
      </c>
      <c r="H256" s="76">
        <v>46222</v>
      </c>
      <c r="I256" s="19" t="s">
        <v>49</v>
      </c>
      <c r="J256" s="19" t="s">
        <v>50</v>
      </c>
      <c r="K256" s="19" t="s">
        <v>50</v>
      </c>
      <c r="L256" s="19" t="s">
        <v>1095</v>
      </c>
      <c r="M256" s="19" t="s">
        <v>1096</v>
      </c>
      <c r="N256" s="19">
        <v>1262</v>
      </c>
      <c r="O256" s="19">
        <v>316143.62</v>
      </c>
      <c r="P256" s="19" t="s">
        <v>1425</v>
      </c>
      <c r="Q256" s="19">
        <v>372733.34</v>
      </c>
      <c r="R256" s="19">
        <v>9</v>
      </c>
      <c r="S256" s="19">
        <v>28452.93</v>
      </c>
      <c r="T256" s="19">
        <v>9</v>
      </c>
      <c r="U256" s="19">
        <v>28452.93</v>
      </c>
      <c r="V256" s="19">
        <v>0</v>
      </c>
      <c r="W256" s="19">
        <v>0</v>
      </c>
      <c r="X256" s="19">
        <v>0</v>
      </c>
      <c r="Y256" s="19">
        <v>56905.86</v>
      </c>
      <c r="Z256" s="19">
        <v>0</v>
      </c>
      <c r="AA256" s="19" t="s">
        <v>614</v>
      </c>
      <c r="AB256" s="19" t="s">
        <v>1091</v>
      </c>
      <c r="AC256" s="19">
        <v>63053200</v>
      </c>
      <c r="AD256" s="19" t="s">
        <v>1092</v>
      </c>
      <c r="AE256" s="19">
        <v>1</v>
      </c>
      <c r="AF256" s="19">
        <v>1262</v>
      </c>
      <c r="AG256" s="19" t="s">
        <v>1093</v>
      </c>
      <c r="AH256" s="19" t="s">
        <v>50</v>
      </c>
      <c r="AI256" s="19"/>
    </row>
    <row r="257" spans="2:35" x14ac:dyDescent="0.35">
      <c r="B257" s="82">
        <v>46223</v>
      </c>
      <c r="C257" s="19" t="s">
        <v>1224</v>
      </c>
      <c r="D257" s="19" t="s">
        <v>1109</v>
      </c>
      <c r="E257" s="83" t="s">
        <v>1432</v>
      </c>
      <c r="F257" s="19" t="s">
        <v>1291</v>
      </c>
      <c r="G257" s="19" t="s">
        <v>1432</v>
      </c>
      <c r="H257" s="76">
        <v>46223</v>
      </c>
      <c r="I257" s="19" t="s">
        <v>49</v>
      </c>
      <c r="J257" s="19" t="s">
        <v>50</v>
      </c>
      <c r="K257" s="19" t="s">
        <v>50</v>
      </c>
      <c r="L257" s="19" t="s">
        <v>1095</v>
      </c>
      <c r="M257" s="19" t="s">
        <v>1096</v>
      </c>
      <c r="N257" s="19">
        <v>17827.7</v>
      </c>
      <c r="O257" s="19">
        <v>4507607.16</v>
      </c>
      <c r="P257" s="19" t="s">
        <v>1112</v>
      </c>
      <c r="Q257" s="19">
        <v>4507607.16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>
        <v>0</v>
      </c>
      <c r="Y257" s="19">
        <v>0</v>
      </c>
      <c r="Z257" s="19">
        <v>0</v>
      </c>
      <c r="AA257" s="19" t="s">
        <v>229</v>
      </c>
      <c r="AB257" s="19" t="s">
        <v>1091</v>
      </c>
      <c r="AC257" s="19">
        <v>63053200</v>
      </c>
      <c r="AD257" s="19" t="s">
        <v>1113</v>
      </c>
      <c r="AE257" s="19">
        <v>95.45</v>
      </c>
      <c r="AF257" s="19">
        <v>17827.7</v>
      </c>
      <c r="AG257" s="19" t="s">
        <v>1114</v>
      </c>
      <c r="AH257" s="19" t="s">
        <v>50</v>
      </c>
      <c r="AI257" s="19"/>
    </row>
    <row r="258" spans="2:35" x14ac:dyDescent="0.35">
      <c r="B258" s="82">
        <v>46223</v>
      </c>
      <c r="C258" s="19" t="s">
        <v>1123</v>
      </c>
      <c r="D258" s="19" t="s">
        <v>11</v>
      </c>
      <c r="E258" s="83">
        <v>492</v>
      </c>
      <c r="F258" s="19" t="s">
        <v>1085</v>
      </c>
      <c r="G258" s="19" t="s">
        <v>1433</v>
      </c>
      <c r="H258" s="76">
        <v>46223</v>
      </c>
      <c r="I258" s="19" t="s">
        <v>36</v>
      </c>
      <c r="J258" s="19" t="s">
        <v>1156</v>
      </c>
      <c r="K258" s="19" t="s">
        <v>45</v>
      </c>
      <c r="L258" s="19" t="s">
        <v>1157</v>
      </c>
      <c r="M258" s="19" t="s">
        <v>1434</v>
      </c>
      <c r="N258" s="19">
        <v>156</v>
      </c>
      <c r="O258" s="19">
        <v>24203.4</v>
      </c>
      <c r="P258" s="19" t="s">
        <v>1158</v>
      </c>
      <c r="Q258" s="19">
        <v>152778.12</v>
      </c>
      <c r="R258" s="19">
        <v>9</v>
      </c>
      <c r="S258" s="19">
        <v>2178.31</v>
      </c>
      <c r="T258" s="19">
        <v>9</v>
      </c>
      <c r="U258" s="19">
        <v>2178.31</v>
      </c>
      <c r="V258" s="19">
        <v>0</v>
      </c>
      <c r="W258" s="19">
        <v>0</v>
      </c>
      <c r="X258" s="19">
        <v>0</v>
      </c>
      <c r="Y258" s="19">
        <v>4356.62</v>
      </c>
      <c r="Z258" s="19">
        <v>0</v>
      </c>
      <c r="AA258" s="19" t="s">
        <v>179</v>
      </c>
      <c r="AB258" s="19" t="s">
        <v>1091</v>
      </c>
      <c r="AC258" s="19">
        <v>39269080</v>
      </c>
      <c r="AD258" s="19" t="s">
        <v>1092</v>
      </c>
      <c r="AE258" s="19">
        <v>1</v>
      </c>
      <c r="AF258" s="19">
        <v>156</v>
      </c>
      <c r="AG258" s="19" t="s">
        <v>1093</v>
      </c>
      <c r="AH258" s="19" t="s">
        <v>45</v>
      </c>
      <c r="AI258" s="19"/>
    </row>
    <row r="259" spans="2:35" x14ac:dyDescent="0.35">
      <c r="B259" s="82">
        <v>46223</v>
      </c>
      <c r="C259" s="19" t="s">
        <v>1123</v>
      </c>
      <c r="D259" s="19" t="s">
        <v>11</v>
      </c>
      <c r="E259" s="83">
        <v>492</v>
      </c>
      <c r="F259" s="19" t="s">
        <v>1085</v>
      </c>
      <c r="G259" s="19" t="s">
        <v>1433</v>
      </c>
      <c r="H259" s="76">
        <v>46223</v>
      </c>
      <c r="I259" s="19" t="s">
        <v>36</v>
      </c>
      <c r="J259" s="19" t="s">
        <v>1156</v>
      </c>
      <c r="K259" s="19" t="s">
        <v>45</v>
      </c>
      <c r="L259" s="19" t="s">
        <v>1157</v>
      </c>
      <c r="M259" s="19" t="s">
        <v>1156</v>
      </c>
      <c r="N259" s="19">
        <v>166</v>
      </c>
      <c r="O259" s="19">
        <v>26252.9</v>
      </c>
      <c r="P259" s="19" t="s">
        <v>1182</v>
      </c>
      <c r="Q259" s="19">
        <v>0</v>
      </c>
      <c r="R259" s="19">
        <v>9</v>
      </c>
      <c r="S259" s="19">
        <v>2362.7600000000002</v>
      </c>
      <c r="T259" s="19">
        <v>9</v>
      </c>
      <c r="U259" s="19">
        <v>2362.7600000000002</v>
      </c>
      <c r="V259" s="19">
        <v>0</v>
      </c>
      <c r="W259" s="19">
        <v>0</v>
      </c>
      <c r="X259" s="19">
        <v>0</v>
      </c>
      <c r="Y259" s="19">
        <v>4725.5200000000004</v>
      </c>
      <c r="Z259" s="19">
        <v>0</v>
      </c>
      <c r="AA259" s="19" t="s">
        <v>179</v>
      </c>
      <c r="AB259" s="19" t="s">
        <v>1091</v>
      </c>
      <c r="AC259" s="19">
        <v>39269080</v>
      </c>
      <c r="AD259" s="19" t="s">
        <v>1092</v>
      </c>
      <c r="AE259" s="19">
        <v>1</v>
      </c>
      <c r="AF259" s="19">
        <v>166</v>
      </c>
      <c r="AG259" s="19" t="s">
        <v>1093</v>
      </c>
      <c r="AH259" s="19" t="s">
        <v>45</v>
      </c>
      <c r="AI259" s="19"/>
    </row>
    <row r="260" spans="2:35" x14ac:dyDescent="0.35">
      <c r="B260" s="82">
        <v>46223</v>
      </c>
      <c r="C260" s="19" t="s">
        <v>1123</v>
      </c>
      <c r="D260" s="19" t="s">
        <v>11</v>
      </c>
      <c r="E260" s="83">
        <v>492</v>
      </c>
      <c r="F260" s="19" t="s">
        <v>1085</v>
      </c>
      <c r="G260" s="19" t="s">
        <v>1433</v>
      </c>
      <c r="H260" s="76">
        <v>46223</v>
      </c>
      <c r="I260" s="19" t="s">
        <v>36</v>
      </c>
      <c r="J260" s="19" t="s">
        <v>1156</v>
      </c>
      <c r="K260" s="19" t="s">
        <v>45</v>
      </c>
      <c r="L260" s="19" t="s">
        <v>1157</v>
      </c>
      <c r="M260" s="19" t="s">
        <v>1156</v>
      </c>
      <c r="N260" s="19">
        <v>510</v>
      </c>
      <c r="O260" s="19">
        <v>79126.5</v>
      </c>
      <c r="P260" s="19" t="s">
        <v>1090</v>
      </c>
      <c r="Q260" s="19">
        <v>0</v>
      </c>
      <c r="R260" s="19">
        <v>9</v>
      </c>
      <c r="S260" s="19">
        <v>7121.38</v>
      </c>
      <c r="T260" s="19">
        <v>9</v>
      </c>
      <c r="U260" s="19">
        <v>7121.38</v>
      </c>
      <c r="V260" s="19">
        <v>0</v>
      </c>
      <c r="W260" s="19">
        <v>0</v>
      </c>
      <c r="X260" s="19">
        <v>0</v>
      </c>
      <c r="Y260" s="19">
        <v>14242.76</v>
      </c>
      <c r="Z260" s="19">
        <v>0</v>
      </c>
      <c r="AA260" s="19" t="s">
        <v>179</v>
      </c>
      <c r="AB260" s="19" t="s">
        <v>1091</v>
      </c>
      <c r="AC260" s="19">
        <v>39269080</v>
      </c>
      <c r="AD260" s="19" t="s">
        <v>1092</v>
      </c>
      <c r="AE260" s="19">
        <v>1</v>
      </c>
      <c r="AF260" s="19">
        <v>510</v>
      </c>
      <c r="AG260" s="19" t="s">
        <v>1093</v>
      </c>
      <c r="AH260" s="19" t="s">
        <v>45</v>
      </c>
      <c r="AI260" s="19"/>
    </row>
    <row r="261" spans="2:35" x14ac:dyDescent="0.35">
      <c r="B261" s="82">
        <v>46223</v>
      </c>
      <c r="C261" s="19" t="s">
        <v>1123</v>
      </c>
      <c r="D261" s="19" t="s">
        <v>11</v>
      </c>
      <c r="E261" s="83">
        <v>493</v>
      </c>
      <c r="F261" s="19" t="s">
        <v>1085</v>
      </c>
      <c r="G261" s="19" t="s">
        <v>1435</v>
      </c>
      <c r="H261" s="76">
        <v>46223</v>
      </c>
      <c r="I261" s="19" t="s">
        <v>49</v>
      </c>
      <c r="J261" s="19" t="s">
        <v>50</v>
      </c>
      <c r="K261" s="19" t="s">
        <v>50</v>
      </c>
      <c r="L261" s="19" t="s">
        <v>1095</v>
      </c>
      <c r="M261" s="19" t="s">
        <v>1096</v>
      </c>
      <c r="N261" s="19">
        <v>1032</v>
      </c>
      <c r="O261" s="19">
        <v>205491.84</v>
      </c>
      <c r="P261" s="19" t="s">
        <v>1436</v>
      </c>
      <c r="Q261" s="19">
        <v>242274.89</v>
      </c>
      <c r="R261" s="19">
        <v>9</v>
      </c>
      <c r="S261" s="19">
        <v>18494.27</v>
      </c>
      <c r="T261" s="19">
        <v>9</v>
      </c>
      <c r="U261" s="19">
        <v>18494.27</v>
      </c>
      <c r="V261" s="19">
        <v>0</v>
      </c>
      <c r="W261" s="19">
        <v>0</v>
      </c>
      <c r="X261" s="19">
        <v>0</v>
      </c>
      <c r="Y261" s="19">
        <v>36988.54</v>
      </c>
      <c r="Z261" s="19">
        <v>0</v>
      </c>
      <c r="AA261" s="19" t="s">
        <v>179</v>
      </c>
      <c r="AB261" s="19" t="s">
        <v>1091</v>
      </c>
      <c r="AC261" s="19">
        <v>63053200</v>
      </c>
      <c r="AD261" s="19" t="s">
        <v>1092</v>
      </c>
      <c r="AE261" s="19">
        <v>1</v>
      </c>
      <c r="AF261" s="19">
        <v>1032</v>
      </c>
      <c r="AG261" s="19" t="s">
        <v>1093</v>
      </c>
      <c r="AH261" s="19" t="s">
        <v>50</v>
      </c>
      <c r="AI261" s="19"/>
    </row>
    <row r="262" spans="2:35" x14ac:dyDescent="0.35">
      <c r="B262" s="82">
        <v>46223</v>
      </c>
      <c r="C262" s="19" t="s">
        <v>1136</v>
      </c>
      <c r="D262" s="19" t="s">
        <v>11</v>
      </c>
      <c r="E262" s="83">
        <v>494</v>
      </c>
      <c r="F262" s="19" t="s">
        <v>1085</v>
      </c>
      <c r="G262" s="19" t="s">
        <v>1437</v>
      </c>
      <c r="H262" s="76">
        <v>46223</v>
      </c>
      <c r="I262" s="19" t="s">
        <v>36</v>
      </c>
      <c r="J262" s="19" t="s">
        <v>1087</v>
      </c>
      <c r="K262" s="19" t="s">
        <v>46</v>
      </c>
      <c r="L262" s="19" t="s">
        <v>1138</v>
      </c>
      <c r="M262" s="19" t="s">
        <v>1181</v>
      </c>
      <c r="N262" s="19">
        <v>452.5</v>
      </c>
      <c r="O262" s="19">
        <v>69752.88</v>
      </c>
      <c r="P262" s="19" t="s">
        <v>1182</v>
      </c>
      <c r="Q262" s="19">
        <v>948244.85</v>
      </c>
      <c r="R262" s="19">
        <v>2.5</v>
      </c>
      <c r="S262" s="19">
        <v>1743.82</v>
      </c>
      <c r="T262" s="19">
        <v>2.5</v>
      </c>
      <c r="U262" s="19">
        <v>1743.82</v>
      </c>
      <c r="V262" s="19">
        <v>0</v>
      </c>
      <c r="W262" s="19">
        <v>0</v>
      </c>
      <c r="X262" s="19">
        <v>0</v>
      </c>
      <c r="Y262" s="19">
        <v>3487.64</v>
      </c>
      <c r="Z262" s="19">
        <v>0</v>
      </c>
      <c r="AA262" s="19" t="s">
        <v>135</v>
      </c>
      <c r="AB262" s="19" t="s">
        <v>1091</v>
      </c>
      <c r="AC262" s="19">
        <v>54026930</v>
      </c>
      <c r="AD262" s="19" t="s">
        <v>1092</v>
      </c>
      <c r="AE262" s="19">
        <v>1</v>
      </c>
      <c r="AF262" s="19">
        <v>452.5</v>
      </c>
      <c r="AG262" s="19" t="s">
        <v>1093</v>
      </c>
      <c r="AH262" s="19" t="s">
        <v>46</v>
      </c>
      <c r="AI262" s="19"/>
    </row>
    <row r="263" spans="2:35" x14ac:dyDescent="0.35">
      <c r="B263" s="82">
        <v>46223</v>
      </c>
      <c r="C263" s="19" t="s">
        <v>1136</v>
      </c>
      <c r="D263" s="19" t="s">
        <v>11</v>
      </c>
      <c r="E263" s="83">
        <v>494</v>
      </c>
      <c r="F263" s="19" t="s">
        <v>1085</v>
      </c>
      <c r="G263" s="19" t="s">
        <v>1437</v>
      </c>
      <c r="H263" s="76">
        <v>46223</v>
      </c>
      <c r="I263" s="19" t="s">
        <v>36</v>
      </c>
      <c r="J263" s="19" t="s">
        <v>1117</v>
      </c>
      <c r="K263" s="19" t="s">
        <v>44</v>
      </c>
      <c r="L263" s="19" t="s">
        <v>1118</v>
      </c>
      <c r="M263" s="19" t="s">
        <v>1119</v>
      </c>
      <c r="N263" s="19">
        <v>1668</v>
      </c>
      <c r="O263" s="19">
        <v>268798.2</v>
      </c>
      <c r="P263" s="19" t="s">
        <v>1139</v>
      </c>
      <c r="Q263" s="19">
        <v>0</v>
      </c>
      <c r="R263" s="19">
        <v>9</v>
      </c>
      <c r="S263" s="19">
        <v>24191.84</v>
      </c>
      <c r="T263" s="19">
        <v>9</v>
      </c>
      <c r="U263" s="19">
        <v>24191.84</v>
      </c>
      <c r="V263" s="19">
        <v>0</v>
      </c>
      <c r="W263" s="19">
        <v>0</v>
      </c>
      <c r="X263" s="19">
        <v>0</v>
      </c>
      <c r="Y263" s="19">
        <v>48383.68</v>
      </c>
      <c r="Z263" s="19">
        <v>0</v>
      </c>
      <c r="AA263" s="19" t="s">
        <v>135</v>
      </c>
      <c r="AB263" s="19" t="s">
        <v>1091</v>
      </c>
      <c r="AC263" s="19">
        <v>39269080</v>
      </c>
      <c r="AD263" s="19" t="s">
        <v>1092</v>
      </c>
      <c r="AE263" s="19">
        <v>1</v>
      </c>
      <c r="AF263" s="19">
        <v>1668</v>
      </c>
      <c r="AG263" s="19" t="s">
        <v>1093</v>
      </c>
      <c r="AH263" s="19" t="s">
        <v>44</v>
      </c>
      <c r="AI263" s="19"/>
    </row>
    <row r="264" spans="2:35" x14ac:dyDescent="0.35">
      <c r="B264" s="82">
        <v>46223</v>
      </c>
      <c r="C264" s="19" t="s">
        <v>1136</v>
      </c>
      <c r="D264" s="19" t="s">
        <v>11</v>
      </c>
      <c r="E264" s="83">
        <v>494</v>
      </c>
      <c r="F264" s="19" t="s">
        <v>1085</v>
      </c>
      <c r="G264" s="19" t="s">
        <v>1437</v>
      </c>
      <c r="H264" s="76">
        <v>46223</v>
      </c>
      <c r="I264" s="19" t="s">
        <v>36</v>
      </c>
      <c r="J264" s="19" t="s">
        <v>1117</v>
      </c>
      <c r="K264" s="19" t="s">
        <v>44</v>
      </c>
      <c r="L264" s="19" t="s">
        <v>1118</v>
      </c>
      <c r="M264" s="19" t="s">
        <v>1119</v>
      </c>
      <c r="N264" s="19">
        <v>318.89999999999998</v>
      </c>
      <c r="O264" s="19">
        <v>53941.94</v>
      </c>
      <c r="P264" s="19" t="s">
        <v>1392</v>
      </c>
      <c r="Q264" s="19">
        <v>0</v>
      </c>
      <c r="R264" s="19">
        <v>9</v>
      </c>
      <c r="S264" s="19">
        <v>4854.7700000000004</v>
      </c>
      <c r="T264" s="19">
        <v>9</v>
      </c>
      <c r="U264" s="19">
        <v>4854.7700000000004</v>
      </c>
      <c r="V264" s="19">
        <v>0</v>
      </c>
      <c r="W264" s="19">
        <v>0</v>
      </c>
      <c r="X264" s="19">
        <v>0</v>
      </c>
      <c r="Y264" s="19">
        <v>9709.5400000000009</v>
      </c>
      <c r="Z264" s="19">
        <v>0</v>
      </c>
      <c r="AA264" s="19" t="s">
        <v>135</v>
      </c>
      <c r="AB264" s="19" t="s">
        <v>1091</v>
      </c>
      <c r="AC264" s="19">
        <v>39269080</v>
      </c>
      <c r="AD264" s="19" t="s">
        <v>1092</v>
      </c>
      <c r="AE264" s="19">
        <v>1</v>
      </c>
      <c r="AF264" s="19">
        <v>318.89999999999998</v>
      </c>
      <c r="AG264" s="19" t="s">
        <v>1093</v>
      </c>
      <c r="AH264" s="19" t="s">
        <v>44</v>
      </c>
      <c r="AI264" s="19"/>
    </row>
    <row r="265" spans="2:35" x14ac:dyDescent="0.35">
      <c r="B265" s="82">
        <v>46223</v>
      </c>
      <c r="C265" s="19" t="s">
        <v>1136</v>
      </c>
      <c r="D265" s="19" t="s">
        <v>11</v>
      </c>
      <c r="E265" s="83">
        <v>494</v>
      </c>
      <c r="F265" s="19" t="s">
        <v>1085</v>
      </c>
      <c r="G265" s="19" t="s">
        <v>1437</v>
      </c>
      <c r="H265" s="76">
        <v>46223</v>
      </c>
      <c r="I265" s="19" t="s">
        <v>36</v>
      </c>
      <c r="J265" s="19" t="s">
        <v>1156</v>
      </c>
      <c r="K265" s="19" t="s">
        <v>45</v>
      </c>
      <c r="L265" s="19" t="s">
        <v>1157</v>
      </c>
      <c r="M265" s="19" t="s">
        <v>1156</v>
      </c>
      <c r="N265" s="19">
        <v>2652.4</v>
      </c>
      <c r="O265" s="19">
        <v>419477.06</v>
      </c>
      <c r="P265" s="19" t="s">
        <v>1182</v>
      </c>
      <c r="Q265" s="19">
        <v>0</v>
      </c>
      <c r="R265" s="19">
        <v>9</v>
      </c>
      <c r="S265" s="19">
        <v>37752.94</v>
      </c>
      <c r="T265" s="19">
        <v>9</v>
      </c>
      <c r="U265" s="19">
        <v>37752.94</v>
      </c>
      <c r="V265" s="19">
        <v>0</v>
      </c>
      <c r="W265" s="19">
        <v>0</v>
      </c>
      <c r="X265" s="19">
        <v>0</v>
      </c>
      <c r="Y265" s="19">
        <v>75505.88</v>
      </c>
      <c r="Z265" s="19">
        <v>0</v>
      </c>
      <c r="AA265" s="19" t="s">
        <v>135</v>
      </c>
      <c r="AB265" s="19" t="s">
        <v>1091</v>
      </c>
      <c r="AC265" s="19">
        <v>39269080</v>
      </c>
      <c r="AD265" s="19" t="s">
        <v>1092</v>
      </c>
      <c r="AE265" s="19">
        <v>1</v>
      </c>
      <c r="AF265" s="19">
        <v>2652.4</v>
      </c>
      <c r="AG265" s="19" t="s">
        <v>1093</v>
      </c>
      <c r="AH265" s="19" t="s">
        <v>45</v>
      </c>
      <c r="AI265" s="19"/>
    </row>
    <row r="266" spans="2:35" hidden="1" x14ac:dyDescent="0.35">
      <c r="B266" s="82">
        <v>46223</v>
      </c>
      <c r="C266" s="19" t="s">
        <v>1136</v>
      </c>
      <c r="D266" s="19" t="s">
        <v>11</v>
      </c>
      <c r="E266" s="83">
        <v>495</v>
      </c>
      <c r="F266" s="19" t="s">
        <v>1124</v>
      </c>
      <c r="G266" s="19" t="s">
        <v>1438</v>
      </c>
      <c r="H266" s="76">
        <v>46223</v>
      </c>
      <c r="I266" s="19" t="s">
        <v>105</v>
      </c>
      <c r="J266" s="19" t="s">
        <v>1142</v>
      </c>
      <c r="K266" s="19" t="s">
        <v>1143</v>
      </c>
      <c r="L266" s="19" t="s">
        <v>1144</v>
      </c>
      <c r="M266" s="19" t="s">
        <v>1145</v>
      </c>
      <c r="N266" s="19">
        <v>99</v>
      </c>
      <c r="O266" s="19">
        <v>4752</v>
      </c>
      <c r="P266" s="19" t="s">
        <v>1139</v>
      </c>
      <c r="Q266" s="19">
        <v>5602.61</v>
      </c>
      <c r="R266" s="19">
        <v>9</v>
      </c>
      <c r="S266" s="19">
        <v>427.68</v>
      </c>
      <c r="T266" s="19">
        <v>9</v>
      </c>
      <c r="U266" s="19">
        <v>427.68</v>
      </c>
      <c r="V266" s="19">
        <v>0</v>
      </c>
      <c r="W266" s="19">
        <v>0</v>
      </c>
      <c r="X266" s="19">
        <v>0</v>
      </c>
      <c r="Y266" s="19">
        <v>855.36</v>
      </c>
      <c r="Z266" s="19">
        <v>0</v>
      </c>
      <c r="AA266" s="19" t="s">
        <v>135</v>
      </c>
      <c r="AB266" s="19" t="s">
        <v>1091</v>
      </c>
      <c r="AC266" s="19">
        <v>73063090</v>
      </c>
      <c r="AD266" s="19" t="s">
        <v>1092</v>
      </c>
      <c r="AE266" s="19">
        <v>1</v>
      </c>
      <c r="AF266" s="19">
        <v>99</v>
      </c>
      <c r="AG266" s="19" t="s">
        <v>1093</v>
      </c>
      <c r="AH266" s="83" t="s">
        <v>2319</v>
      </c>
      <c r="AI266" s="19"/>
    </row>
    <row r="267" spans="2:35" hidden="1" x14ac:dyDescent="0.35">
      <c r="B267" s="82">
        <v>46223</v>
      </c>
      <c r="C267" s="19" t="s">
        <v>1136</v>
      </c>
      <c r="D267" s="19" t="s">
        <v>11</v>
      </c>
      <c r="E267" s="83">
        <v>496</v>
      </c>
      <c r="F267" s="19" t="s">
        <v>1124</v>
      </c>
      <c r="G267" s="19" t="s">
        <v>1439</v>
      </c>
      <c r="H267" s="76">
        <v>46223</v>
      </c>
      <c r="I267" s="19" t="s">
        <v>57</v>
      </c>
      <c r="J267" s="19" t="s">
        <v>58</v>
      </c>
      <c r="K267" s="19" t="s">
        <v>59</v>
      </c>
      <c r="L267" s="19" t="s">
        <v>1305</v>
      </c>
      <c r="M267" s="19" t="s">
        <v>1306</v>
      </c>
      <c r="N267" s="19">
        <v>170</v>
      </c>
      <c r="O267" s="19">
        <v>18360</v>
      </c>
      <c r="P267" s="19" t="s">
        <v>1306</v>
      </c>
      <c r="Q267" s="19">
        <v>21646.44</v>
      </c>
      <c r="R267" s="19">
        <v>9</v>
      </c>
      <c r="S267" s="19">
        <v>1652.4</v>
      </c>
      <c r="T267" s="19">
        <v>9</v>
      </c>
      <c r="U267" s="19">
        <v>1652.4</v>
      </c>
      <c r="V267" s="19">
        <v>0</v>
      </c>
      <c r="W267" s="19">
        <v>0</v>
      </c>
      <c r="X267" s="19">
        <v>0</v>
      </c>
      <c r="Y267" s="19">
        <v>3304.8</v>
      </c>
      <c r="Z267" s="19">
        <v>0</v>
      </c>
      <c r="AA267" s="19" t="s">
        <v>135</v>
      </c>
      <c r="AB267" s="19" t="s">
        <v>1091</v>
      </c>
      <c r="AC267" s="19">
        <v>38140011</v>
      </c>
      <c r="AD267" s="19" t="s">
        <v>1092</v>
      </c>
      <c r="AE267" s="19">
        <v>1</v>
      </c>
      <c r="AF267" s="19">
        <v>170</v>
      </c>
      <c r="AG267" s="19" t="s">
        <v>1093</v>
      </c>
      <c r="AH267" s="83" t="s">
        <v>2319</v>
      </c>
      <c r="AI267" s="19"/>
    </row>
    <row r="268" spans="2:35" x14ac:dyDescent="0.35">
      <c r="B268" s="82">
        <v>46224</v>
      </c>
      <c r="C268" s="19" t="s">
        <v>1123</v>
      </c>
      <c r="D268" s="19" t="s">
        <v>11</v>
      </c>
      <c r="E268" s="83">
        <v>497</v>
      </c>
      <c r="F268" s="19" t="s">
        <v>1085</v>
      </c>
      <c r="G268" s="19" t="s">
        <v>1440</v>
      </c>
      <c r="H268" s="76">
        <v>46224</v>
      </c>
      <c r="I268" s="19" t="s">
        <v>28</v>
      </c>
      <c r="J268" s="19" t="s">
        <v>1173</v>
      </c>
      <c r="K268" s="19" t="s">
        <v>33</v>
      </c>
      <c r="L268" s="19" t="s">
        <v>1186</v>
      </c>
      <c r="M268" s="19" t="s">
        <v>1441</v>
      </c>
      <c r="N268" s="19">
        <v>10</v>
      </c>
      <c r="O268" s="19">
        <v>3850</v>
      </c>
      <c r="P268" s="19" t="s">
        <v>1441</v>
      </c>
      <c r="Q268" s="19">
        <v>4539.1499999999996</v>
      </c>
      <c r="R268" s="19">
        <v>9</v>
      </c>
      <c r="S268" s="19">
        <v>346.5</v>
      </c>
      <c r="T268" s="19">
        <v>9</v>
      </c>
      <c r="U268" s="19">
        <v>346.5</v>
      </c>
      <c r="V268" s="19">
        <v>0</v>
      </c>
      <c r="W268" s="19">
        <v>0</v>
      </c>
      <c r="X268" s="19">
        <v>0</v>
      </c>
      <c r="Y268" s="19">
        <v>693</v>
      </c>
      <c r="Z268" s="19">
        <v>0</v>
      </c>
      <c r="AA268" s="19" t="s">
        <v>179</v>
      </c>
      <c r="AB268" s="19" t="s">
        <v>1091</v>
      </c>
      <c r="AC268" s="19">
        <v>32064990</v>
      </c>
      <c r="AD268" s="19" t="s">
        <v>1092</v>
      </c>
      <c r="AE268" s="19">
        <v>1</v>
      </c>
      <c r="AF268" s="19">
        <v>10</v>
      </c>
      <c r="AG268" s="19" t="s">
        <v>1093</v>
      </c>
      <c r="AH268" s="19" t="s">
        <v>33</v>
      </c>
      <c r="AI268" s="19"/>
    </row>
    <row r="269" spans="2:35" x14ac:dyDescent="0.35">
      <c r="B269" s="82">
        <v>46224</v>
      </c>
      <c r="C269" s="19" t="s">
        <v>1179</v>
      </c>
      <c r="D269" s="19" t="s">
        <v>11</v>
      </c>
      <c r="E269" s="83">
        <v>498</v>
      </c>
      <c r="F269" s="19" t="s">
        <v>1085</v>
      </c>
      <c r="G269" s="19" t="s">
        <v>1442</v>
      </c>
      <c r="H269" s="76">
        <v>46224</v>
      </c>
      <c r="I269" s="19" t="s">
        <v>36</v>
      </c>
      <c r="J269" s="19" t="s">
        <v>1087</v>
      </c>
      <c r="K269" s="19" t="s">
        <v>46</v>
      </c>
      <c r="L269" s="19" t="s">
        <v>1138</v>
      </c>
      <c r="M269" s="19" t="s">
        <v>1181</v>
      </c>
      <c r="N269" s="19">
        <v>955.7</v>
      </c>
      <c r="O269" s="19">
        <v>147321.16</v>
      </c>
      <c r="P269" s="19" t="s">
        <v>1182</v>
      </c>
      <c r="Q269" s="19">
        <v>480401.34</v>
      </c>
      <c r="R269" s="19">
        <v>2.5</v>
      </c>
      <c r="S269" s="19">
        <v>3683.03</v>
      </c>
      <c r="T269" s="19">
        <v>2.5</v>
      </c>
      <c r="U269" s="19">
        <v>3683.03</v>
      </c>
      <c r="V269" s="19">
        <v>0</v>
      </c>
      <c r="W269" s="19">
        <v>0</v>
      </c>
      <c r="X269" s="19">
        <v>0</v>
      </c>
      <c r="Y269" s="19">
        <v>7366.06</v>
      </c>
      <c r="Z269" s="19">
        <v>0</v>
      </c>
      <c r="AA269" s="19" t="s">
        <v>179</v>
      </c>
      <c r="AB269" s="19" t="s">
        <v>1091</v>
      </c>
      <c r="AC269" s="19">
        <v>54026930</v>
      </c>
      <c r="AD269" s="19" t="s">
        <v>1092</v>
      </c>
      <c r="AE269" s="19">
        <v>1</v>
      </c>
      <c r="AF269" s="19">
        <v>955.7</v>
      </c>
      <c r="AG269" s="19" t="s">
        <v>1093</v>
      </c>
      <c r="AH269" s="19" t="s">
        <v>46</v>
      </c>
      <c r="AI269" s="19"/>
    </row>
    <row r="270" spans="2:35" x14ac:dyDescent="0.35">
      <c r="B270" s="82">
        <v>46224</v>
      </c>
      <c r="C270" s="19" t="s">
        <v>1179</v>
      </c>
      <c r="D270" s="19" t="s">
        <v>11</v>
      </c>
      <c r="E270" s="83">
        <v>498</v>
      </c>
      <c r="F270" s="19" t="s">
        <v>1085</v>
      </c>
      <c r="G270" s="19" t="s">
        <v>1442</v>
      </c>
      <c r="H270" s="76">
        <v>46224</v>
      </c>
      <c r="I270" s="19" t="s">
        <v>36</v>
      </c>
      <c r="J270" s="19" t="s">
        <v>1087</v>
      </c>
      <c r="K270" s="19" t="s">
        <v>46</v>
      </c>
      <c r="L270" s="19" t="s">
        <v>1138</v>
      </c>
      <c r="M270" s="19" t="s">
        <v>1089</v>
      </c>
      <c r="N270" s="19">
        <v>456.8</v>
      </c>
      <c r="O270" s="19">
        <v>69045.320000000007</v>
      </c>
      <c r="P270" s="19" t="s">
        <v>1090</v>
      </c>
      <c r="Q270" s="19">
        <v>0</v>
      </c>
      <c r="R270" s="19">
        <v>2.5</v>
      </c>
      <c r="S270" s="19">
        <v>1726.13</v>
      </c>
      <c r="T270" s="19">
        <v>2.5</v>
      </c>
      <c r="U270" s="19">
        <v>1726.13</v>
      </c>
      <c r="V270" s="19">
        <v>0</v>
      </c>
      <c r="W270" s="19">
        <v>0</v>
      </c>
      <c r="X270" s="19">
        <v>0</v>
      </c>
      <c r="Y270" s="19">
        <v>3452.26</v>
      </c>
      <c r="Z270" s="19">
        <v>0</v>
      </c>
      <c r="AA270" s="19" t="s">
        <v>179</v>
      </c>
      <c r="AB270" s="19" t="s">
        <v>1091</v>
      </c>
      <c r="AC270" s="19">
        <v>54026930</v>
      </c>
      <c r="AD270" s="19" t="s">
        <v>1092</v>
      </c>
      <c r="AE270" s="19">
        <v>1</v>
      </c>
      <c r="AF270" s="19">
        <v>456.8</v>
      </c>
      <c r="AG270" s="19" t="s">
        <v>1093</v>
      </c>
      <c r="AH270" s="19" t="s">
        <v>46</v>
      </c>
      <c r="AI270" s="19"/>
    </row>
    <row r="271" spans="2:35" ht="29" x14ac:dyDescent="0.35">
      <c r="B271" s="82">
        <v>46224</v>
      </c>
      <c r="C271" s="19" t="s">
        <v>1179</v>
      </c>
      <c r="D271" s="19" t="s">
        <v>11</v>
      </c>
      <c r="E271" s="83">
        <v>498</v>
      </c>
      <c r="F271" s="19" t="s">
        <v>1085</v>
      </c>
      <c r="G271" s="19" t="s">
        <v>1442</v>
      </c>
      <c r="H271" s="76">
        <v>46224</v>
      </c>
      <c r="I271" s="19" t="s">
        <v>36</v>
      </c>
      <c r="J271" s="19" t="s">
        <v>1117</v>
      </c>
      <c r="K271" s="19" t="s">
        <v>44</v>
      </c>
      <c r="L271" s="19" t="s">
        <v>1118</v>
      </c>
      <c r="M271" s="19" t="s">
        <v>1119</v>
      </c>
      <c r="N271" s="19">
        <v>1270.8</v>
      </c>
      <c r="O271" s="19">
        <v>214955.82</v>
      </c>
      <c r="P271" s="84" t="s">
        <v>1212</v>
      </c>
      <c r="Q271" s="19">
        <v>0</v>
      </c>
      <c r="R271" s="19">
        <v>9</v>
      </c>
      <c r="S271" s="19">
        <v>19346.02</v>
      </c>
      <c r="T271" s="19">
        <v>9</v>
      </c>
      <c r="U271" s="19">
        <v>19346.02</v>
      </c>
      <c r="V271" s="19">
        <v>0</v>
      </c>
      <c r="W271" s="19">
        <v>0</v>
      </c>
      <c r="X271" s="19">
        <v>0</v>
      </c>
      <c r="Y271" s="19">
        <v>38692.04</v>
      </c>
      <c r="Z271" s="19">
        <v>0</v>
      </c>
      <c r="AA271" s="19" t="s">
        <v>179</v>
      </c>
      <c r="AB271" s="19" t="s">
        <v>1091</v>
      </c>
      <c r="AC271" s="19">
        <v>39269080</v>
      </c>
      <c r="AD271" s="19" t="s">
        <v>1092</v>
      </c>
      <c r="AE271" s="19">
        <v>1</v>
      </c>
      <c r="AF271" s="19">
        <v>1270.8</v>
      </c>
      <c r="AG271" s="19" t="s">
        <v>1093</v>
      </c>
      <c r="AH271" s="19" t="s">
        <v>44</v>
      </c>
      <c r="AI271" s="19"/>
    </row>
    <row r="272" spans="2:35" hidden="1" x14ac:dyDescent="0.35">
      <c r="B272" s="82">
        <v>46224</v>
      </c>
      <c r="C272" s="19" t="s">
        <v>1179</v>
      </c>
      <c r="D272" s="19" t="s">
        <v>11</v>
      </c>
      <c r="E272" s="83">
        <v>499</v>
      </c>
      <c r="F272" s="19" t="s">
        <v>1124</v>
      </c>
      <c r="G272" s="19" t="s">
        <v>1443</v>
      </c>
      <c r="H272" s="76">
        <v>46224</v>
      </c>
      <c r="I272" s="19" t="s">
        <v>105</v>
      </c>
      <c r="J272" s="19" t="s">
        <v>1142</v>
      </c>
      <c r="K272" s="19" t="s">
        <v>1143</v>
      </c>
      <c r="L272" s="19" t="s">
        <v>1144</v>
      </c>
      <c r="M272" s="19" t="s">
        <v>1145</v>
      </c>
      <c r="N272" s="19">
        <v>21</v>
      </c>
      <c r="O272" s="19">
        <v>1008</v>
      </c>
      <c r="P272" s="19" t="s">
        <v>1139</v>
      </c>
      <c r="Q272" s="19">
        <v>1188.43</v>
      </c>
      <c r="R272" s="19">
        <v>9</v>
      </c>
      <c r="S272" s="19">
        <v>90.72</v>
      </c>
      <c r="T272" s="19">
        <v>9</v>
      </c>
      <c r="U272" s="19">
        <v>90.72</v>
      </c>
      <c r="V272" s="19">
        <v>0</v>
      </c>
      <c r="W272" s="19">
        <v>0</v>
      </c>
      <c r="X272" s="19">
        <v>0</v>
      </c>
      <c r="Y272" s="19">
        <v>181.44</v>
      </c>
      <c r="Z272" s="19">
        <v>0</v>
      </c>
      <c r="AA272" s="19" t="s">
        <v>179</v>
      </c>
      <c r="AB272" s="19" t="s">
        <v>1091</v>
      </c>
      <c r="AC272" s="19">
        <v>73063090</v>
      </c>
      <c r="AD272" s="19" t="s">
        <v>1092</v>
      </c>
      <c r="AE272" s="19">
        <v>1</v>
      </c>
      <c r="AF272" s="19">
        <v>21</v>
      </c>
      <c r="AG272" s="19" t="s">
        <v>1093</v>
      </c>
      <c r="AH272" s="83" t="s">
        <v>2319</v>
      </c>
      <c r="AI272" s="19"/>
    </row>
    <row r="273" spans="2:35" x14ac:dyDescent="0.35">
      <c r="B273" s="82">
        <v>46224</v>
      </c>
      <c r="C273" s="19" t="s">
        <v>1084</v>
      </c>
      <c r="D273" s="19" t="s">
        <v>11</v>
      </c>
      <c r="E273" s="83">
        <v>500</v>
      </c>
      <c r="F273" s="19" t="s">
        <v>1085</v>
      </c>
      <c r="G273" s="19" t="s">
        <v>1444</v>
      </c>
      <c r="H273" s="76">
        <v>46224</v>
      </c>
      <c r="I273" s="19" t="s">
        <v>36</v>
      </c>
      <c r="J273" s="19" t="s">
        <v>1087</v>
      </c>
      <c r="K273" s="19" t="s">
        <v>46</v>
      </c>
      <c r="L273" s="19" t="s">
        <v>1138</v>
      </c>
      <c r="M273" s="19" t="s">
        <v>1181</v>
      </c>
      <c r="N273" s="19">
        <v>915.6</v>
      </c>
      <c r="O273" s="19">
        <v>141139.74</v>
      </c>
      <c r="P273" s="19" t="s">
        <v>1182</v>
      </c>
      <c r="Q273" s="19">
        <v>397972.11</v>
      </c>
      <c r="R273" s="19">
        <v>2.5</v>
      </c>
      <c r="S273" s="19">
        <v>3528.49</v>
      </c>
      <c r="T273" s="19">
        <v>2.5</v>
      </c>
      <c r="U273" s="19">
        <v>3528.49</v>
      </c>
      <c r="V273" s="19">
        <v>0</v>
      </c>
      <c r="W273" s="19">
        <v>0</v>
      </c>
      <c r="X273" s="19">
        <v>0</v>
      </c>
      <c r="Y273" s="19">
        <v>7056.98</v>
      </c>
      <c r="Z273" s="19">
        <v>0</v>
      </c>
      <c r="AA273" s="19" t="s">
        <v>135</v>
      </c>
      <c r="AB273" s="19" t="s">
        <v>1091</v>
      </c>
      <c r="AC273" s="19">
        <v>54026930</v>
      </c>
      <c r="AD273" s="19" t="s">
        <v>1092</v>
      </c>
      <c r="AE273" s="19">
        <v>1</v>
      </c>
      <c r="AF273" s="19">
        <v>915.6</v>
      </c>
      <c r="AG273" s="19" t="s">
        <v>1093</v>
      </c>
      <c r="AH273" s="19" t="s">
        <v>46</v>
      </c>
      <c r="AI273" s="19"/>
    </row>
    <row r="274" spans="2:35" x14ac:dyDescent="0.35">
      <c r="B274" s="82">
        <v>46224</v>
      </c>
      <c r="C274" s="19" t="s">
        <v>1084</v>
      </c>
      <c r="D274" s="19" t="s">
        <v>11</v>
      </c>
      <c r="E274" s="83">
        <v>500</v>
      </c>
      <c r="F274" s="19" t="s">
        <v>1085</v>
      </c>
      <c r="G274" s="19" t="s">
        <v>1444</v>
      </c>
      <c r="H274" s="76">
        <v>46224</v>
      </c>
      <c r="I274" s="19" t="s">
        <v>36</v>
      </c>
      <c r="J274" s="19" t="s">
        <v>1087</v>
      </c>
      <c r="K274" s="19" t="s">
        <v>46</v>
      </c>
      <c r="L274" s="19" t="s">
        <v>1138</v>
      </c>
      <c r="M274" s="19" t="s">
        <v>1089</v>
      </c>
      <c r="N274" s="19">
        <v>1576.2</v>
      </c>
      <c r="O274" s="19">
        <v>238242.63</v>
      </c>
      <c r="P274" s="19" t="s">
        <v>1090</v>
      </c>
      <c r="Q274" s="19">
        <v>0</v>
      </c>
      <c r="R274" s="19">
        <v>2.5</v>
      </c>
      <c r="S274" s="19">
        <v>5956.07</v>
      </c>
      <c r="T274" s="19">
        <v>2.5</v>
      </c>
      <c r="U274" s="19">
        <v>5956.07</v>
      </c>
      <c r="V274" s="19">
        <v>0</v>
      </c>
      <c r="W274" s="19">
        <v>0</v>
      </c>
      <c r="X274" s="19">
        <v>0</v>
      </c>
      <c r="Y274" s="19">
        <v>11912.14</v>
      </c>
      <c r="Z274" s="19">
        <v>0</v>
      </c>
      <c r="AA274" s="19" t="s">
        <v>135</v>
      </c>
      <c r="AB274" s="19" t="s">
        <v>1091</v>
      </c>
      <c r="AC274" s="19">
        <v>54026930</v>
      </c>
      <c r="AD274" s="19" t="s">
        <v>1092</v>
      </c>
      <c r="AE274" s="19">
        <v>1</v>
      </c>
      <c r="AF274" s="19">
        <v>1576.2</v>
      </c>
      <c r="AG274" s="19" t="s">
        <v>1093</v>
      </c>
      <c r="AH274" s="19" t="s">
        <v>46</v>
      </c>
      <c r="AI274" s="19"/>
    </row>
    <row r="275" spans="2:35" x14ac:dyDescent="0.35">
      <c r="B275" s="82">
        <v>46225</v>
      </c>
      <c r="C275" s="19" t="s">
        <v>1445</v>
      </c>
      <c r="D275" s="19" t="s">
        <v>11</v>
      </c>
      <c r="E275" s="83">
        <v>506</v>
      </c>
      <c r="F275" s="19" t="s">
        <v>1103</v>
      </c>
      <c r="G275" s="19" t="s">
        <v>1446</v>
      </c>
      <c r="H275" s="76">
        <v>46225</v>
      </c>
      <c r="I275" s="19" t="s">
        <v>49</v>
      </c>
      <c r="J275" s="19" t="s">
        <v>50</v>
      </c>
      <c r="K275" s="19" t="s">
        <v>50</v>
      </c>
      <c r="L275" s="19" t="s">
        <v>1095</v>
      </c>
      <c r="M275" s="19" t="s">
        <v>1098</v>
      </c>
      <c r="N275" s="19">
        <v>1622</v>
      </c>
      <c r="O275" s="19">
        <v>420000</v>
      </c>
      <c r="P275" s="19" t="s">
        <v>1447</v>
      </c>
      <c r="Q275" s="19">
        <v>535115.92000000004</v>
      </c>
      <c r="R275" s="19">
        <v>0</v>
      </c>
      <c r="S275" s="19">
        <v>0</v>
      </c>
      <c r="T275" s="19">
        <v>0</v>
      </c>
      <c r="U275" s="19">
        <v>0</v>
      </c>
      <c r="V275" s="19">
        <v>18</v>
      </c>
      <c r="W275" s="19">
        <v>75600</v>
      </c>
      <c r="X275" s="19">
        <v>0</v>
      </c>
      <c r="Y275" s="19">
        <v>75600</v>
      </c>
      <c r="Z275" s="19">
        <v>0</v>
      </c>
      <c r="AA275" s="19" t="s">
        <v>1448</v>
      </c>
      <c r="AB275" s="19" t="s">
        <v>1091</v>
      </c>
      <c r="AC275" s="19">
        <v>63053200</v>
      </c>
      <c r="AD275" s="19" t="s">
        <v>1092</v>
      </c>
      <c r="AE275" s="19">
        <v>1</v>
      </c>
      <c r="AF275" s="19">
        <v>1622</v>
      </c>
      <c r="AG275" s="19" t="s">
        <v>1093</v>
      </c>
      <c r="AH275" s="19" t="s">
        <v>50</v>
      </c>
      <c r="AI275" s="19"/>
    </row>
    <row r="276" spans="2:35" x14ac:dyDescent="0.35">
      <c r="B276" s="82">
        <v>46225</v>
      </c>
      <c r="C276" s="19" t="s">
        <v>1224</v>
      </c>
      <c r="D276" s="19" t="s">
        <v>1109</v>
      </c>
      <c r="E276" s="83" t="s">
        <v>1449</v>
      </c>
      <c r="F276" s="19" t="s">
        <v>1291</v>
      </c>
      <c r="G276" s="19" t="s">
        <v>1449</v>
      </c>
      <c r="H276" s="76">
        <v>46225</v>
      </c>
      <c r="I276" s="19" t="s">
        <v>49</v>
      </c>
      <c r="J276" s="19" t="s">
        <v>50</v>
      </c>
      <c r="K276" s="19" t="s">
        <v>50</v>
      </c>
      <c r="L276" s="19" t="s">
        <v>1095</v>
      </c>
      <c r="M276" s="19" t="s">
        <v>1096</v>
      </c>
      <c r="N276" s="19">
        <v>17904</v>
      </c>
      <c r="O276" s="19">
        <v>4497769.1285000006</v>
      </c>
      <c r="P276" s="19" t="s">
        <v>1112</v>
      </c>
      <c r="Q276" s="19">
        <v>4497769.13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>
        <v>0</v>
      </c>
      <c r="Y276" s="19">
        <v>0</v>
      </c>
      <c r="Z276" s="19">
        <v>0</v>
      </c>
      <c r="AA276" s="19" t="s">
        <v>229</v>
      </c>
      <c r="AB276" s="19" t="s">
        <v>1091</v>
      </c>
      <c r="AC276" s="19">
        <v>63053200</v>
      </c>
      <c r="AD276" s="19" t="s">
        <v>1113</v>
      </c>
      <c r="AE276" s="19">
        <v>95.45</v>
      </c>
      <c r="AF276" s="19">
        <v>17904</v>
      </c>
      <c r="AG276" s="19" t="s">
        <v>1114</v>
      </c>
      <c r="AH276" s="19" t="s">
        <v>50</v>
      </c>
      <c r="AI276" s="19"/>
    </row>
    <row r="277" spans="2:35" x14ac:dyDescent="0.35">
      <c r="B277" s="82">
        <v>46225</v>
      </c>
      <c r="C277" s="19" t="s">
        <v>245</v>
      </c>
      <c r="D277" s="19" t="s">
        <v>11</v>
      </c>
      <c r="E277" s="83">
        <v>502</v>
      </c>
      <c r="F277" s="19" t="s">
        <v>1085</v>
      </c>
      <c r="G277" s="19" t="s">
        <v>1450</v>
      </c>
      <c r="H277" s="76">
        <v>46225</v>
      </c>
      <c r="I277" s="19" t="s">
        <v>36</v>
      </c>
      <c r="J277" s="19" t="s">
        <v>1117</v>
      </c>
      <c r="K277" s="19" t="s">
        <v>42</v>
      </c>
      <c r="L277" s="19" t="s">
        <v>1242</v>
      </c>
      <c r="M277" s="19" t="s">
        <v>1154</v>
      </c>
      <c r="N277" s="19">
        <v>1364</v>
      </c>
      <c r="O277" s="19">
        <v>211624.6</v>
      </c>
      <c r="P277" s="19" t="s">
        <v>1451</v>
      </c>
      <c r="Q277" s="19">
        <v>771120.3</v>
      </c>
      <c r="R277" s="19">
        <v>9</v>
      </c>
      <c r="S277" s="19">
        <v>19046.21</v>
      </c>
      <c r="T277" s="19">
        <v>9</v>
      </c>
      <c r="U277" s="19">
        <v>19046.21</v>
      </c>
      <c r="V277" s="19">
        <v>0</v>
      </c>
      <c r="W277" s="19">
        <v>0</v>
      </c>
      <c r="X277" s="19">
        <v>0</v>
      </c>
      <c r="Y277" s="19">
        <v>38092.42</v>
      </c>
      <c r="Z277" s="19">
        <v>0</v>
      </c>
      <c r="AA277" s="19" t="s">
        <v>179</v>
      </c>
      <c r="AB277" s="19" t="s">
        <v>1091</v>
      </c>
      <c r="AC277" s="19">
        <v>39269080</v>
      </c>
      <c r="AD277" s="19" t="s">
        <v>1092</v>
      </c>
      <c r="AE277" s="19">
        <v>1</v>
      </c>
      <c r="AF277" s="19">
        <v>1364</v>
      </c>
      <c r="AG277" s="19" t="s">
        <v>1093</v>
      </c>
      <c r="AH277" s="19" t="s">
        <v>42</v>
      </c>
      <c r="AI277" s="19"/>
    </row>
    <row r="278" spans="2:35" x14ac:dyDescent="0.35">
      <c r="B278" s="82">
        <v>46225</v>
      </c>
      <c r="C278" s="19" t="s">
        <v>245</v>
      </c>
      <c r="D278" s="19" t="s">
        <v>11</v>
      </c>
      <c r="E278" s="83">
        <v>502</v>
      </c>
      <c r="F278" s="19" t="s">
        <v>1085</v>
      </c>
      <c r="G278" s="19" t="s">
        <v>1450</v>
      </c>
      <c r="H278" s="76">
        <v>46225</v>
      </c>
      <c r="I278" s="19" t="s">
        <v>36</v>
      </c>
      <c r="J278" s="19" t="s">
        <v>1156</v>
      </c>
      <c r="K278" s="19" t="s">
        <v>45</v>
      </c>
      <c r="L278" s="19" t="s">
        <v>1157</v>
      </c>
      <c r="M278" s="19" t="s">
        <v>1156</v>
      </c>
      <c r="N278" s="19">
        <v>678</v>
      </c>
      <c r="O278" s="19">
        <v>107225.7</v>
      </c>
      <c r="P278" s="19" t="s">
        <v>1452</v>
      </c>
      <c r="Q278" s="19">
        <v>0</v>
      </c>
      <c r="R278" s="19">
        <v>9</v>
      </c>
      <c r="S278" s="19">
        <v>9650.31</v>
      </c>
      <c r="T278" s="19">
        <v>9</v>
      </c>
      <c r="U278" s="19">
        <v>9650.31</v>
      </c>
      <c r="V278" s="19">
        <v>0</v>
      </c>
      <c r="W278" s="19">
        <v>0</v>
      </c>
      <c r="X278" s="19">
        <v>0</v>
      </c>
      <c r="Y278" s="19">
        <v>19300.62</v>
      </c>
      <c r="Z278" s="19">
        <v>0</v>
      </c>
      <c r="AA278" s="19" t="s">
        <v>179</v>
      </c>
      <c r="AB278" s="19" t="s">
        <v>1091</v>
      </c>
      <c r="AC278" s="19">
        <v>39269080</v>
      </c>
      <c r="AD278" s="19" t="s">
        <v>1092</v>
      </c>
      <c r="AE278" s="19">
        <v>1</v>
      </c>
      <c r="AF278" s="19">
        <v>678</v>
      </c>
      <c r="AG278" s="19" t="s">
        <v>1093</v>
      </c>
      <c r="AH278" s="19" t="s">
        <v>45</v>
      </c>
      <c r="AI278" s="19"/>
    </row>
    <row r="279" spans="2:35" x14ac:dyDescent="0.35">
      <c r="B279" s="82">
        <v>46225</v>
      </c>
      <c r="C279" s="19" t="s">
        <v>245</v>
      </c>
      <c r="D279" s="19" t="s">
        <v>11</v>
      </c>
      <c r="E279" s="83">
        <v>502</v>
      </c>
      <c r="F279" s="19" t="s">
        <v>1085</v>
      </c>
      <c r="G279" s="19" t="s">
        <v>1450</v>
      </c>
      <c r="H279" s="76">
        <v>46225</v>
      </c>
      <c r="I279" s="19" t="s">
        <v>36</v>
      </c>
      <c r="J279" s="19" t="s">
        <v>1156</v>
      </c>
      <c r="K279" s="19" t="s">
        <v>45</v>
      </c>
      <c r="L279" s="19" t="s">
        <v>1157</v>
      </c>
      <c r="M279" s="19" t="s">
        <v>1156</v>
      </c>
      <c r="N279" s="19">
        <v>500</v>
      </c>
      <c r="O279" s="19">
        <v>79075</v>
      </c>
      <c r="P279" s="19" t="s">
        <v>1182</v>
      </c>
      <c r="Q279" s="19">
        <v>0</v>
      </c>
      <c r="R279" s="19">
        <v>9</v>
      </c>
      <c r="S279" s="19">
        <v>7116.75</v>
      </c>
      <c r="T279" s="19">
        <v>9</v>
      </c>
      <c r="U279" s="19">
        <v>7116.75</v>
      </c>
      <c r="V279" s="19">
        <v>0</v>
      </c>
      <c r="W279" s="19">
        <v>0</v>
      </c>
      <c r="X279" s="19">
        <v>0</v>
      </c>
      <c r="Y279" s="19">
        <v>14233.5</v>
      </c>
      <c r="Z279" s="19">
        <v>0</v>
      </c>
      <c r="AA279" s="19" t="s">
        <v>179</v>
      </c>
      <c r="AB279" s="19" t="s">
        <v>1091</v>
      </c>
      <c r="AC279" s="19">
        <v>39269080</v>
      </c>
      <c r="AD279" s="19" t="s">
        <v>1092</v>
      </c>
      <c r="AE279" s="19">
        <v>1</v>
      </c>
      <c r="AF279" s="19">
        <v>500</v>
      </c>
      <c r="AG279" s="19" t="s">
        <v>1093</v>
      </c>
      <c r="AH279" s="19" t="s">
        <v>45</v>
      </c>
      <c r="AI279" s="19"/>
    </row>
    <row r="280" spans="2:35" x14ac:dyDescent="0.35">
      <c r="B280" s="82">
        <v>46225</v>
      </c>
      <c r="C280" s="19" t="s">
        <v>245</v>
      </c>
      <c r="D280" s="19" t="s">
        <v>11</v>
      </c>
      <c r="E280" s="83">
        <v>502</v>
      </c>
      <c r="F280" s="19" t="s">
        <v>1085</v>
      </c>
      <c r="G280" s="19" t="s">
        <v>1450</v>
      </c>
      <c r="H280" s="76">
        <v>46225</v>
      </c>
      <c r="I280" s="19" t="s">
        <v>36</v>
      </c>
      <c r="J280" s="19" t="s">
        <v>1156</v>
      </c>
      <c r="K280" s="19" t="s">
        <v>45</v>
      </c>
      <c r="L280" s="19" t="s">
        <v>1157</v>
      </c>
      <c r="M280" s="19" t="s">
        <v>1156</v>
      </c>
      <c r="N280" s="19">
        <v>277</v>
      </c>
      <c r="O280" s="19">
        <v>47962.55</v>
      </c>
      <c r="P280" s="19" t="s">
        <v>1090</v>
      </c>
      <c r="Q280" s="19">
        <v>0</v>
      </c>
      <c r="R280" s="19">
        <v>9</v>
      </c>
      <c r="S280" s="19">
        <v>4316.63</v>
      </c>
      <c r="T280" s="19">
        <v>9</v>
      </c>
      <c r="U280" s="19">
        <v>4316.63</v>
      </c>
      <c r="V280" s="19">
        <v>0</v>
      </c>
      <c r="W280" s="19">
        <v>0</v>
      </c>
      <c r="X280" s="19">
        <v>0</v>
      </c>
      <c r="Y280" s="19">
        <v>8633.26</v>
      </c>
      <c r="Z280" s="19">
        <v>0</v>
      </c>
      <c r="AA280" s="19" t="s">
        <v>179</v>
      </c>
      <c r="AB280" s="19" t="s">
        <v>1091</v>
      </c>
      <c r="AC280" s="19">
        <v>39269080</v>
      </c>
      <c r="AD280" s="19" t="s">
        <v>1092</v>
      </c>
      <c r="AE280" s="19">
        <v>1</v>
      </c>
      <c r="AF280" s="19">
        <v>277</v>
      </c>
      <c r="AG280" s="19" t="s">
        <v>1093</v>
      </c>
      <c r="AH280" s="19" t="s">
        <v>45</v>
      </c>
      <c r="AI280" s="19"/>
    </row>
    <row r="281" spans="2:35" x14ac:dyDescent="0.35">
      <c r="B281" s="82">
        <v>46225</v>
      </c>
      <c r="C281" s="19" t="s">
        <v>245</v>
      </c>
      <c r="D281" s="19" t="s">
        <v>11</v>
      </c>
      <c r="E281" s="83">
        <v>502</v>
      </c>
      <c r="F281" s="19" t="s">
        <v>1085</v>
      </c>
      <c r="G281" s="19" t="s">
        <v>1450</v>
      </c>
      <c r="H281" s="76">
        <v>46225</v>
      </c>
      <c r="I281" s="19" t="s">
        <v>36</v>
      </c>
      <c r="J281" s="19" t="s">
        <v>1156</v>
      </c>
      <c r="K281" s="19" t="s">
        <v>45</v>
      </c>
      <c r="L281" s="19" t="s">
        <v>1157</v>
      </c>
      <c r="M281" s="19" t="s">
        <v>1434</v>
      </c>
      <c r="N281" s="19">
        <v>97</v>
      </c>
      <c r="O281" s="19">
        <v>15049.55</v>
      </c>
      <c r="P281" s="19" t="s">
        <v>1090</v>
      </c>
      <c r="Q281" s="19">
        <v>0</v>
      </c>
      <c r="R281" s="19">
        <v>9</v>
      </c>
      <c r="S281" s="19">
        <v>1354.46</v>
      </c>
      <c r="T281" s="19">
        <v>9</v>
      </c>
      <c r="U281" s="19">
        <v>1354.46</v>
      </c>
      <c r="V281" s="19">
        <v>0</v>
      </c>
      <c r="W281" s="19">
        <v>0</v>
      </c>
      <c r="X281" s="19">
        <v>0</v>
      </c>
      <c r="Y281" s="19">
        <v>2708.92</v>
      </c>
      <c r="Z281" s="19">
        <v>0</v>
      </c>
      <c r="AA281" s="19" t="s">
        <v>179</v>
      </c>
      <c r="AB281" s="19" t="s">
        <v>1091</v>
      </c>
      <c r="AC281" s="19">
        <v>39269080</v>
      </c>
      <c r="AD281" s="19" t="s">
        <v>1092</v>
      </c>
      <c r="AE281" s="19">
        <v>1</v>
      </c>
      <c r="AF281" s="19">
        <v>97</v>
      </c>
      <c r="AG281" s="19" t="s">
        <v>1093</v>
      </c>
      <c r="AH281" s="19" t="s">
        <v>45</v>
      </c>
      <c r="AI281" s="19"/>
    </row>
    <row r="282" spans="2:35" x14ac:dyDescent="0.35">
      <c r="B282" s="82">
        <v>46225</v>
      </c>
      <c r="C282" s="19" t="s">
        <v>245</v>
      </c>
      <c r="D282" s="19" t="s">
        <v>11</v>
      </c>
      <c r="E282" s="83">
        <v>502</v>
      </c>
      <c r="F282" s="19" t="s">
        <v>1085</v>
      </c>
      <c r="G282" s="19" t="s">
        <v>1450</v>
      </c>
      <c r="H282" s="76">
        <v>46225</v>
      </c>
      <c r="I282" s="19" t="s">
        <v>36</v>
      </c>
      <c r="J282" s="19" t="s">
        <v>1087</v>
      </c>
      <c r="K282" s="19" t="s">
        <v>46</v>
      </c>
      <c r="L282" s="19" t="s">
        <v>1138</v>
      </c>
      <c r="M282" s="19" t="s">
        <v>1181</v>
      </c>
      <c r="N282" s="19">
        <v>515.20000000000005</v>
      </c>
      <c r="O282" s="19">
        <v>79418.080000000002</v>
      </c>
      <c r="P282" s="19" t="s">
        <v>1182</v>
      </c>
      <c r="Q282" s="19">
        <v>0</v>
      </c>
      <c r="R282" s="19">
        <v>2.5</v>
      </c>
      <c r="S282" s="19">
        <v>1985.45</v>
      </c>
      <c r="T282" s="19">
        <v>2.5</v>
      </c>
      <c r="U282" s="19">
        <v>1985.45</v>
      </c>
      <c r="V282" s="19">
        <v>0</v>
      </c>
      <c r="W282" s="19">
        <v>0</v>
      </c>
      <c r="X282" s="19">
        <v>0</v>
      </c>
      <c r="Y282" s="19">
        <v>3970.9</v>
      </c>
      <c r="Z282" s="19">
        <v>0</v>
      </c>
      <c r="AA282" s="19" t="s">
        <v>179</v>
      </c>
      <c r="AB282" s="19" t="s">
        <v>1091</v>
      </c>
      <c r="AC282" s="19">
        <v>54026930</v>
      </c>
      <c r="AD282" s="19" t="s">
        <v>1092</v>
      </c>
      <c r="AE282" s="19">
        <v>1</v>
      </c>
      <c r="AF282" s="19">
        <v>515.20000000000005</v>
      </c>
      <c r="AG282" s="19" t="s">
        <v>1093</v>
      </c>
      <c r="AH282" s="19" t="s">
        <v>46</v>
      </c>
      <c r="AI282" s="19"/>
    </row>
    <row r="283" spans="2:35" x14ac:dyDescent="0.35">
      <c r="B283" s="82">
        <v>46225</v>
      </c>
      <c r="C283" s="19" t="s">
        <v>245</v>
      </c>
      <c r="D283" s="19" t="s">
        <v>11</v>
      </c>
      <c r="E283" s="83">
        <v>502</v>
      </c>
      <c r="F283" s="19" t="s">
        <v>1085</v>
      </c>
      <c r="G283" s="19" t="s">
        <v>1450</v>
      </c>
      <c r="H283" s="76">
        <v>46225</v>
      </c>
      <c r="I283" s="19" t="s">
        <v>36</v>
      </c>
      <c r="J283" s="19" t="s">
        <v>1087</v>
      </c>
      <c r="K283" s="19" t="s">
        <v>46</v>
      </c>
      <c r="L283" s="19" t="s">
        <v>1138</v>
      </c>
      <c r="M283" s="19" t="s">
        <v>1089</v>
      </c>
      <c r="N283" s="19">
        <v>910.5</v>
      </c>
      <c r="O283" s="19">
        <v>137622.07999999999</v>
      </c>
      <c r="P283" s="19" t="s">
        <v>1090</v>
      </c>
      <c r="Q283" s="19">
        <v>0</v>
      </c>
      <c r="R283" s="19">
        <v>2.5</v>
      </c>
      <c r="S283" s="19">
        <v>3440.55</v>
      </c>
      <c r="T283" s="19">
        <v>2.5</v>
      </c>
      <c r="U283" s="19">
        <v>3440.55</v>
      </c>
      <c r="V283" s="19">
        <v>0</v>
      </c>
      <c r="W283" s="19">
        <v>0</v>
      </c>
      <c r="X283" s="19">
        <v>0</v>
      </c>
      <c r="Y283" s="19">
        <v>6881.1</v>
      </c>
      <c r="Z283" s="19">
        <v>0</v>
      </c>
      <c r="AA283" s="19" t="s">
        <v>179</v>
      </c>
      <c r="AB283" s="19" t="s">
        <v>1091</v>
      </c>
      <c r="AC283" s="19">
        <v>54026930</v>
      </c>
      <c r="AD283" s="19" t="s">
        <v>1092</v>
      </c>
      <c r="AE283" s="19">
        <v>1</v>
      </c>
      <c r="AF283" s="19">
        <v>910.5</v>
      </c>
      <c r="AG283" s="19" t="s">
        <v>1093</v>
      </c>
      <c r="AH283" s="19" t="s">
        <v>46</v>
      </c>
      <c r="AI283" s="19"/>
    </row>
    <row r="284" spans="2:35" hidden="1" x14ac:dyDescent="0.35">
      <c r="B284" s="82">
        <v>46225</v>
      </c>
      <c r="C284" s="19" t="s">
        <v>245</v>
      </c>
      <c r="D284" s="19" t="s">
        <v>11</v>
      </c>
      <c r="E284" s="83">
        <v>503</v>
      </c>
      <c r="F284" s="19" t="s">
        <v>1124</v>
      </c>
      <c r="G284" s="19" t="s">
        <v>1453</v>
      </c>
      <c r="H284" s="76">
        <v>46225</v>
      </c>
      <c r="I284" s="19" t="s">
        <v>105</v>
      </c>
      <c r="J284" s="19" t="s">
        <v>1142</v>
      </c>
      <c r="K284" s="19" t="s">
        <v>1143</v>
      </c>
      <c r="L284" s="19" t="s">
        <v>1144</v>
      </c>
      <c r="M284" s="19" t="s">
        <v>1145</v>
      </c>
      <c r="N284" s="19">
        <v>39</v>
      </c>
      <c r="O284" s="19">
        <v>1872</v>
      </c>
      <c r="P284" s="19" t="s">
        <v>1139</v>
      </c>
      <c r="Q284" s="19">
        <v>2207.09</v>
      </c>
      <c r="R284" s="19">
        <v>9</v>
      </c>
      <c r="S284" s="19">
        <v>168.48</v>
      </c>
      <c r="T284" s="19">
        <v>9</v>
      </c>
      <c r="U284" s="19">
        <v>168.48</v>
      </c>
      <c r="V284" s="19">
        <v>0</v>
      </c>
      <c r="W284" s="19">
        <v>0</v>
      </c>
      <c r="X284" s="19">
        <v>0</v>
      </c>
      <c r="Y284" s="19">
        <v>336.96</v>
      </c>
      <c r="Z284" s="19">
        <v>0</v>
      </c>
      <c r="AA284" s="19" t="s">
        <v>179</v>
      </c>
      <c r="AB284" s="19" t="s">
        <v>1091</v>
      </c>
      <c r="AC284" s="19">
        <v>73063090</v>
      </c>
      <c r="AD284" s="19" t="s">
        <v>1092</v>
      </c>
      <c r="AE284" s="19">
        <v>1</v>
      </c>
      <c r="AF284" s="19">
        <v>39</v>
      </c>
      <c r="AG284" s="19" t="s">
        <v>1093</v>
      </c>
      <c r="AH284" s="83" t="s">
        <v>2319</v>
      </c>
      <c r="AI284" s="19"/>
    </row>
    <row r="285" spans="2:35" x14ac:dyDescent="0.35">
      <c r="B285" s="82">
        <v>46225</v>
      </c>
      <c r="C285" s="19" t="s">
        <v>1084</v>
      </c>
      <c r="D285" s="19" t="s">
        <v>11</v>
      </c>
      <c r="E285" s="83">
        <v>507</v>
      </c>
      <c r="F285" s="19" t="s">
        <v>1085</v>
      </c>
      <c r="G285" s="19" t="s">
        <v>1454</v>
      </c>
      <c r="H285" s="76">
        <v>46225</v>
      </c>
      <c r="I285" s="19" t="s">
        <v>49</v>
      </c>
      <c r="J285" s="19" t="s">
        <v>50</v>
      </c>
      <c r="K285" s="19" t="s">
        <v>50</v>
      </c>
      <c r="L285" s="19" t="s">
        <v>1095</v>
      </c>
      <c r="M285" s="19" t="s">
        <v>1096</v>
      </c>
      <c r="N285" s="19">
        <v>383.6</v>
      </c>
      <c r="O285" s="19">
        <v>167832.67</v>
      </c>
      <c r="P285" s="19" t="s">
        <v>1198</v>
      </c>
      <c r="Q285" s="19">
        <v>2114126.5</v>
      </c>
      <c r="R285" s="19">
        <v>9</v>
      </c>
      <c r="S285" s="19">
        <v>15104.94</v>
      </c>
      <c r="T285" s="19">
        <v>9</v>
      </c>
      <c r="U285" s="19">
        <v>15104.94</v>
      </c>
      <c r="V285" s="19">
        <v>0</v>
      </c>
      <c r="W285" s="19">
        <v>0</v>
      </c>
      <c r="X285" s="19">
        <v>0</v>
      </c>
      <c r="Y285" s="19">
        <v>30209.88</v>
      </c>
      <c r="Z285" s="19">
        <v>0</v>
      </c>
      <c r="AA285" s="19" t="s">
        <v>135</v>
      </c>
      <c r="AB285" s="19" t="s">
        <v>1091</v>
      </c>
      <c r="AC285" s="19">
        <v>63053200</v>
      </c>
      <c r="AD285" s="19" t="s">
        <v>1092</v>
      </c>
      <c r="AE285" s="19">
        <v>1</v>
      </c>
      <c r="AF285" s="19">
        <v>383.6</v>
      </c>
      <c r="AG285" s="19" t="s">
        <v>1093</v>
      </c>
      <c r="AH285" s="19" t="s">
        <v>50</v>
      </c>
      <c r="AI285" s="19"/>
    </row>
    <row r="286" spans="2:35" x14ac:dyDescent="0.35">
      <c r="B286" s="82">
        <v>46225</v>
      </c>
      <c r="C286" s="19" t="s">
        <v>1084</v>
      </c>
      <c r="D286" s="19" t="s">
        <v>11</v>
      </c>
      <c r="E286" s="83">
        <v>507</v>
      </c>
      <c r="F286" s="19" t="s">
        <v>1085</v>
      </c>
      <c r="G286" s="19" t="s">
        <v>1454</v>
      </c>
      <c r="H286" s="76">
        <v>46225</v>
      </c>
      <c r="I286" s="19" t="s">
        <v>49</v>
      </c>
      <c r="J286" s="19" t="s">
        <v>50</v>
      </c>
      <c r="K286" s="19" t="s">
        <v>50</v>
      </c>
      <c r="L286" s="19" t="s">
        <v>1095</v>
      </c>
      <c r="M286" s="19" t="s">
        <v>1096</v>
      </c>
      <c r="N286" s="19">
        <v>4931.2</v>
      </c>
      <c r="O286" s="19">
        <v>1503917.38</v>
      </c>
      <c r="P286" s="19" t="s">
        <v>1455</v>
      </c>
      <c r="Q286" s="19">
        <v>0</v>
      </c>
      <c r="R286" s="19">
        <v>9</v>
      </c>
      <c r="S286" s="19">
        <v>135352.56</v>
      </c>
      <c r="T286" s="19">
        <v>9</v>
      </c>
      <c r="U286" s="19">
        <v>135352.56</v>
      </c>
      <c r="V286" s="19">
        <v>0</v>
      </c>
      <c r="W286" s="19">
        <v>0</v>
      </c>
      <c r="X286" s="19">
        <v>0</v>
      </c>
      <c r="Y286" s="19">
        <v>270705.12</v>
      </c>
      <c r="Z286" s="19">
        <v>0</v>
      </c>
      <c r="AA286" s="19" t="s">
        <v>135</v>
      </c>
      <c r="AB286" s="19" t="s">
        <v>1091</v>
      </c>
      <c r="AC286" s="19">
        <v>63053200</v>
      </c>
      <c r="AD286" s="19" t="s">
        <v>1092</v>
      </c>
      <c r="AE286" s="19">
        <v>1</v>
      </c>
      <c r="AF286" s="19">
        <v>4931.2</v>
      </c>
      <c r="AG286" s="19" t="s">
        <v>1093</v>
      </c>
      <c r="AH286" s="19" t="s">
        <v>50</v>
      </c>
      <c r="AI286" s="19"/>
    </row>
    <row r="287" spans="2:35" x14ac:dyDescent="0.35">
      <c r="B287" s="82">
        <v>46225</v>
      </c>
      <c r="C287" s="19" t="s">
        <v>1084</v>
      </c>
      <c r="D287" s="19" t="s">
        <v>11</v>
      </c>
      <c r="E287" s="83">
        <v>507</v>
      </c>
      <c r="F287" s="19" t="s">
        <v>1085</v>
      </c>
      <c r="G287" s="19" t="s">
        <v>1454</v>
      </c>
      <c r="H287" s="76">
        <v>46225</v>
      </c>
      <c r="I287" s="19" t="s">
        <v>49</v>
      </c>
      <c r="J287" s="19" t="s">
        <v>50</v>
      </c>
      <c r="K287" s="19" t="s">
        <v>50</v>
      </c>
      <c r="L287" s="19" t="s">
        <v>1095</v>
      </c>
      <c r="M287" s="19" t="s">
        <v>1098</v>
      </c>
      <c r="N287" s="19">
        <v>465</v>
      </c>
      <c r="O287" s="19">
        <v>121402.2</v>
      </c>
      <c r="P287" s="19" t="s">
        <v>1280</v>
      </c>
      <c r="Q287" s="19">
        <v>0</v>
      </c>
      <c r="R287" s="19">
        <v>9</v>
      </c>
      <c r="S287" s="19">
        <v>10926.2</v>
      </c>
      <c r="T287" s="19">
        <v>9</v>
      </c>
      <c r="U287" s="19">
        <v>10926.2</v>
      </c>
      <c r="V287" s="19">
        <v>0</v>
      </c>
      <c r="W287" s="19">
        <v>0</v>
      </c>
      <c r="X287" s="19">
        <v>0</v>
      </c>
      <c r="Y287" s="19">
        <v>21852.400000000001</v>
      </c>
      <c r="Z287" s="19">
        <v>0</v>
      </c>
      <c r="AA287" s="19" t="s">
        <v>135</v>
      </c>
      <c r="AB287" s="19" t="s">
        <v>1091</v>
      </c>
      <c r="AC287" s="19">
        <v>63053200</v>
      </c>
      <c r="AD287" s="19" t="s">
        <v>1092</v>
      </c>
      <c r="AE287" s="19">
        <v>1</v>
      </c>
      <c r="AF287" s="19">
        <v>465</v>
      </c>
      <c r="AG287" s="19" t="s">
        <v>1093</v>
      </c>
      <c r="AH287" s="19" t="s">
        <v>50</v>
      </c>
      <c r="AI287" s="19"/>
    </row>
    <row r="288" spans="2:35" hidden="1" x14ac:dyDescent="0.35">
      <c r="B288" s="82">
        <v>46225</v>
      </c>
      <c r="C288" s="19" t="s">
        <v>1136</v>
      </c>
      <c r="D288" s="19" t="s">
        <v>11</v>
      </c>
      <c r="E288" s="83">
        <v>501</v>
      </c>
      <c r="F288" s="19" t="s">
        <v>1124</v>
      </c>
      <c r="G288" s="19" t="s">
        <v>1456</v>
      </c>
      <c r="H288" s="76">
        <v>46225</v>
      </c>
      <c r="I288" s="19" t="s">
        <v>57</v>
      </c>
      <c r="J288" s="19" t="s">
        <v>58</v>
      </c>
      <c r="K288" s="19" t="s">
        <v>59</v>
      </c>
      <c r="L288" s="19" t="s">
        <v>1305</v>
      </c>
      <c r="M288" s="19" t="s">
        <v>1306</v>
      </c>
      <c r="N288" s="19">
        <v>170</v>
      </c>
      <c r="O288" s="19">
        <v>18360</v>
      </c>
      <c r="P288" s="19" t="s">
        <v>1306</v>
      </c>
      <c r="Q288" s="19">
        <v>21646.44</v>
      </c>
      <c r="R288" s="19">
        <v>9</v>
      </c>
      <c r="S288" s="19">
        <v>1652.4</v>
      </c>
      <c r="T288" s="19">
        <v>9</v>
      </c>
      <c r="U288" s="19">
        <v>1652.4</v>
      </c>
      <c r="V288" s="19">
        <v>0</v>
      </c>
      <c r="W288" s="19">
        <v>0</v>
      </c>
      <c r="X288" s="19">
        <v>0</v>
      </c>
      <c r="Y288" s="19">
        <v>3304.8</v>
      </c>
      <c r="Z288" s="19">
        <v>0</v>
      </c>
      <c r="AA288" s="19" t="s">
        <v>135</v>
      </c>
      <c r="AB288" s="19" t="s">
        <v>1091</v>
      </c>
      <c r="AC288" s="19">
        <v>38140011</v>
      </c>
      <c r="AD288" s="19" t="s">
        <v>1092</v>
      </c>
      <c r="AE288" s="19">
        <v>1</v>
      </c>
      <c r="AF288" s="19">
        <v>170</v>
      </c>
      <c r="AG288" s="19" t="s">
        <v>1093</v>
      </c>
      <c r="AH288" s="83" t="s">
        <v>2319</v>
      </c>
      <c r="AI288" s="19"/>
    </row>
    <row r="289" spans="2:35" x14ac:dyDescent="0.35">
      <c r="B289" s="82">
        <v>46225</v>
      </c>
      <c r="C289" s="19" t="s">
        <v>1136</v>
      </c>
      <c r="D289" s="19" t="s">
        <v>11</v>
      </c>
      <c r="E289" s="83">
        <v>504</v>
      </c>
      <c r="F289" s="19" t="s">
        <v>1085</v>
      </c>
      <c r="G289" s="19" t="s">
        <v>1457</v>
      </c>
      <c r="H289" s="76">
        <v>46225</v>
      </c>
      <c r="I289" s="19" t="s">
        <v>36</v>
      </c>
      <c r="J289" s="19" t="s">
        <v>1117</v>
      </c>
      <c r="K289" s="19" t="s">
        <v>44</v>
      </c>
      <c r="L289" s="19" t="s">
        <v>1118</v>
      </c>
      <c r="M289" s="19" t="s">
        <v>1119</v>
      </c>
      <c r="N289" s="19">
        <v>1892.9</v>
      </c>
      <c r="O289" s="19">
        <v>305040.84000000003</v>
      </c>
      <c r="P289" s="19" t="s">
        <v>1139</v>
      </c>
      <c r="Q289" s="19">
        <v>744891.07</v>
      </c>
      <c r="R289" s="19">
        <v>9</v>
      </c>
      <c r="S289" s="19">
        <v>27453.68</v>
      </c>
      <c r="T289" s="19">
        <v>9</v>
      </c>
      <c r="U289" s="19">
        <v>27453.68</v>
      </c>
      <c r="V289" s="19">
        <v>0</v>
      </c>
      <c r="W289" s="19">
        <v>0</v>
      </c>
      <c r="X289" s="19">
        <v>0</v>
      </c>
      <c r="Y289" s="19">
        <v>54907.360000000001</v>
      </c>
      <c r="Z289" s="19">
        <v>0</v>
      </c>
      <c r="AA289" s="19" t="s">
        <v>135</v>
      </c>
      <c r="AB289" s="19" t="s">
        <v>1091</v>
      </c>
      <c r="AC289" s="19">
        <v>39269080</v>
      </c>
      <c r="AD289" s="19" t="s">
        <v>1092</v>
      </c>
      <c r="AE289" s="19">
        <v>1</v>
      </c>
      <c r="AF289" s="19">
        <v>1892.9</v>
      </c>
      <c r="AG289" s="19" t="s">
        <v>1093</v>
      </c>
      <c r="AH289" s="19" t="s">
        <v>44</v>
      </c>
      <c r="AI289" s="19"/>
    </row>
    <row r="290" spans="2:35" x14ac:dyDescent="0.35">
      <c r="B290" s="82">
        <v>46225</v>
      </c>
      <c r="C290" s="19" t="s">
        <v>1136</v>
      </c>
      <c r="D290" s="19" t="s">
        <v>11</v>
      </c>
      <c r="E290" s="83">
        <v>504</v>
      </c>
      <c r="F290" s="19" t="s">
        <v>1085</v>
      </c>
      <c r="G290" s="19" t="s">
        <v>1457</v>
      </c>
      <c r="H290" s="76">
        <v>46225</v>
      </c>
      <c r="I290" s="19" t="s">
        <v>36</v>
      </c>
      <c r="J290" s="19" t="s">
        <v>1117</v>
      </c>
      <c r="K290" s="19" t="s">
        <v>42</v>
      </c>
      <c r="L290" s="19" t="s">
        <v>1242</v>
      </c>
      <c r="M290" s="19" t="s">
        <v>1154</v>
      </c>
      <c r="N290" s="19">
        <v>513</v>
      </c>
      <c r="O290" s="19">
        <v>80617.95</v>
      </c>
      <c r="P290" s="19" t="s">
        <v>1458</v>
      </c>
      <c r="Q290" s="19">
        <v>0</v>
      </c>
      <c r="R290" s="19">
        <v>9</v>
      </c>
      <c r="S290" s="19">
        <v>7255.62</v>
      </c>
      <c r="T290" s="19">
        <v>9</v>
      </c>
      <c r="U290" s="19">
        <v>7255.62</v>
      </c>
      <c r="V290" s="19">
        <v>0</v>
      </c>
      <c r="W290" s="19">
        <v>0</v>
      </c>
      <c r="X290" s="19">
        <v>0</v>
      </c>
      <c r="Y290" s="19">
        <v>14511.24</v>
      </c>
      <c r="Z290" s="19">
        <v>0</v>
      </c>
      <c r="AA290" s="19" t="s">
        <v>135</v>
      </c>
      <c r="AB290" s="19" t="s">
        <v>1091</v>
      </c>
      <c r="AC290" s="19">
        <v>39269080</v>
      </c>
      <c r="AD290" s="19" t="s">
        <v>1092</v>
      </c>
      <c r="AE290" s="19">
        <v>1</v>
      </c>
      <c r="AF290" s="19">
        <v>513</v>
      </c>
      <c r="AG290" s="19" t="s">
        <v>1093</v>
      </c>
      <c r="AH290" s="19" t="s">
        <v>42</v>
      </c>
      <c r="AI290" s="19"/>
    </row>
    <row r="291" spans="2:35" x14ac:dyDescent="0.35">
      <c r="B291" s="82">
        <v>46225</v>
      </c>
      <c r="C291" s="19" t="s">
        <v>1136</v>
      </c>
      <c r="D291" s="19" t="s">
        <v>11</v>
      </c>
      <c r="E291" s="83">
        <v>504</v>
      </c>
      <c r="F291" s="19" t="s">
        <v>1085</v>
      </c>
      <c r="G291" s="19" t="s">
        <v>1457</v>
      </c>
      <c r="H291" s="76">
        <v>46225</v>
      </c>
      <c r="I291" s="19" t="s">
        <v>36</v>
      </c>
      <c r="J291" s="19" t="s">
        <v>1087</v>
      </c>
      <c r="K291" s="19" t="s">
        <v>46</v>
      </c>
      <c r="L291" s="19" t="s">
        <v>1138</v>
      </c>
      <c r="M291" s="19" t="s">
        <v>1181</v>
      </c>
      <c r="N291" s="19">
        <v>920</v>
      </c>
      <c r="O291" s="19">
        <v>141818</v>
      </c>
      <c r="P291" s="19" t="s">
        <v>1182</v>
      </c>
      <c r="Q291" s="19">
        <v>0</v>
      </c>
      <c r="R291" s="19">
        <v>2.5</v>
      </c>
      <c r="S291" s="19">
        <v>3545.45</v>
      </c>
      <c r="T291" s="19">
        <v>2.5</v>
      </c>
      <c r="U291" s="19">
        <v>3545.45</v>
      </c>
      <c r="V291" s="19">
        <v>0</v>
      </c>
      <c r="W291" s="19">
        <v>0</v>
      </c>
      <c r="X291" s="19">
        <v>0</v>
      </c>
      <c r="Y291" s="19">
        <v>7090.9</v>
      </c>
      <c r="Z291" s="19">
        <v>0</v>
      </c>
      <c r="AA291" s="19" t="s">
        <v>135</v>
      </c>
      <c r="AB291" s="19" t="s">
        <v>1091</v>
      </c>
      <c r="AC291" s="19">
        <v>54026930</v>
      </c>
      <c r="AD291" s="19" t="s">
        <v>1092</v>
      </c>
      <c r="AE291" s="19">
        <v>1</v>
      </c>
      <c r="AF291" s="19">
        <v>920</v>
      </c>
      <c r="AG291" s="19" t="s">
        <v>1093</v>
      </c>
      <c r="AH291" s="19" t="s">
        <v>46</v>
      </c>
      <c r="AI291" s="19"/>
    </row>
    <row r="292" spans="2:35" x14ac:dyDescent="0.35">
      <c r="B292" s="82">
        <v>46225</v>
      </c>
      <c r="C292" s="19" t="s">
        <v>1136</v>
      </c>
      <c r="D292" s="19" t="s">
        <v>11</v>
      </c>
      <c r="E292" s="83">
        <v>504</v>
      </c>
      <c r="F292" s="19" t="s">
        <v>1085</v>
      </c>
      <c r="G292" s="19" t="s">
        <v>1457</v>
      </c>
      <c r="H292" s="76">
        <v>46225</v>
      </c>
      <c r="I292" s="19" t="s">
        <v>36</v>
      </c>
      <c r="J292" s="19" t="s">
        <v>1087</v>
      </c>
      <c r="K292" s="19" t="s">
        <v>46</v>
      </c>
      <c r="L292" s="19" t="s">
        <v>1138</v>
      </c>
      <c r="M292" s="19" t="s">
        <v>1089</v>
      </c>
      <c r="N292" s="19">
        <v>892</v>
      </c>
      <c r="O292" s="19">
        <v>134825.79999999999</v>
      </c>
      <c r="P292" s="19" t="s">
        <v>1090</v>
      </c>
      <c r="Q292" s="19">
        <v>0</v>
      </c>
      <c r="R292" s="19">
        <v>2.5</v>
      </c>
      <c r="S292" s="19">
        <v>3370.64</v>
      </c>
      <c r="T292" s="19">
        <v>2.5</v>
      </c>
      <c r="U292" s="19">
        <v>3370.64</v>
      </c>
      <c r="V292" s="19">
        <v>0</v>
      </c>
      <c r="W292" s="19">
        <v>0</v>
      </c>
      <c r="X292" s="19">
        <v>0</v>
      </c>
      <c r="Y292" s="19">
        <v>6741.28</v>
      </c>
      <c r="Z292" s="19">
        <v>0</v>
      </c>
      <c r="AA292" s="19" t="s">
        <v>135</v>
      </c>
      <c r="AB292" s="19" t="s">
        <v>1091</v>
      </c>
      <c r="AC292" s="19">
        <v>54026930</v>
      </c>
      <c r="AD292" s="19" t="s">
        <v>1092</v>
      </c>
      <c r="AE292" s="19">
        <v>1</v>
      </c>
      <c r="AF292" s="19">
        <v>892</v>
      </c>
      <c r="AG292" s="19" t="s">
        <v>1093</v>
      </c>
      <c r="AH292" s="19" t="s">
        <v>46</v>
      </c>
      <c r="AI292" s="19"/>
    </row>
    <row r="293" spans="2:35" hidden="1" x14ac:dyDescent="0.35">
      <c r="B293" s="82">
        <v>46225</v>
      </c>
      <c r="C293" s="19" t="s">
        <v>1136</v>
      </c>
      <c r="D293" s="19" t="s">
        <v>11</v>
      </c>
      <c r="E293" s="83">
        <v>505</v>
      </c>
      <c r="F293" s="19" t="s">
        <v>1124</v>
      </c>
      <c r="G293" s="19" t="s">
        <v>1459</v>
      </c>
      <c r="H293" s="76">
        <v>46225</v>
      </c>
      <c r="I293" s="19" t="s">
        <v>105</v>
      </c>
      <c r="J293" s="19" t="s">
        <v>1142</v>
      </c>
      <c r="K293" s="19" t="s">
        <v>1143</v>
      </c>
      <c r="L293" s="19" t="s">
        <v>1144</v>
      </c>
      <c r="M293" s="19" t="s">
        <v>1196</v>
      </c>
      <c r="N293" s="19">
        <v>563</v>
      </c>
      <c r="O293" s="19">
        <v>27024</v>
      </c>
      <c r="P293" s="19" t="s">
        <v>1139</v>
      </c>
      <c r="Q293" s="19">
        <v>31861.3</v>
      </c>
      <c r="R293" s="19">
        <v>9</v>
      </c>
      <c r="S293" s="19">
        <v>2432.16</v>
      </c>
      <c r="T293" s="19">
        <v>9</v>
      </c>
      <c r="U293" s="19">
        <v>2432.16</v>
      </c>
      <c r="V293" s="19">
        <v>0</v>
      </c>
      <c r="W293" s="19">
        <v>0</v>
      </c>
      <c r="X293" s="19">
        <v>0</v>
      </c>
      <c r="Y293" s="19">
        <v>4864.32</v>
      </c>
      <c r="Z293" s="19">
        <v>0</v>
      </c>
      <c r="AA293" s="19" t="s">
        <v>135</v>
      </c>
      <c r="AB293" s="19" t="s">
        <v>1091</v>
      </c>
      <c r="AC293" s="19">
        <v>73063090</v>
      </c>
      <c r="AD293" s="19" t="s">
        <v>1092</v>
      </c>
      <c r="AE293" s="19">
        <v>1</v>
      </c>
      <c r="AF293" s="19">
        <v>563</v>
      </c>
      <c r="AG293" s="19" t="s">
        <v>1093</v>
      </c>
      <c r="AH293" s="83" t="s">
        <v>2319</v>
      </c>
      <c r="AI293" s="19"/>
    </row>
    <row r="294" spans="2:35" x14ac:dyDescent="0.35">
      <c r="B294" s="82">
        <v>46225</v>
      </c>
      <c r="C294" s="19" t="s">
        <v>1171</v>
      </c>
      <c r="D294" s="19" t="s">
        <v>11</v>
      </c>
      <c r="E294" s="83">
        <v>508</v>
      </c>
      <c r="F294" s="19" t="s">
        <v>1085</v>
      </c>
      <c r="G294" s="19" t="s">
        <v>1460</v>
      </c>
      <c r="H294" s="76">
        <v>46225</v>
      </c>
      <c r="I294" s="19" t="s">
        <v>49</v>
      </c>
      <c r="J294" s="19" t="s">
        <v>50</v>
      </c>
      <c r="K294" s="19" t="s">
        <v>50</v>
      </c>
      <c r="L294" s="19" t="s">
        <v>1095</v>
      </c>
      <c r="M294" s="19" t="s">
        <v>1098</v>
      </c>
      <c r="N294" s="19">
        <v>853.8</v>
      </c>
      <c r="O294" s="19">
        <v>220177.94</v>
      </c>
      <c r="P294" s="19" t="s">
        <v>1461</v>
      </c>
      <c r="Q294" s="19">
        <v>988072.29</v>
      </c>
      <c r="R294" s="19">
        <v>9</v>
      </c>
      <c r="S294" s="19">
        <v>19816.009999999998</v>
      </c>
      <c r="T294" s="19">
        <v>9</v>
      </c>
      <c r="U294" s="19">
        <v>19816.009999999998</v>
      </c>
      <c r="V294" s="19">
        <v>0</v>
      </c>
      <c r="W294" s="19">
        <v>0</v>
      </c>
      <c r="X294" s="19">
        <v>0</v>
      </c>
      <c r="Y294" s="19">
        <v>39632.019999999997</v>
      </c>
      <c r="Z294" s="19">
        <v>0</v>
      </c>
      <c r="AA294" s="19" t="s">
        <v>614</v>
      </c>
      <c r="AB294" s="19" t="s">
        <v>1091</v>
      </c>
      <c r="AC294" s="19">
        <v>63053200</v>
      </c>
      <c r="AD294" s="19" t="s">
        <v>1092</v>
      </c>
      <c r="AE294" s="19">
        <v>1</v>
      </c>
      <c r="AF294" s="19">
        <v>853.8</v>
      </c>
      <c r="AG294" s="19" t="s">
        <v>1093</v>
      </c>
      <c r="AH294" s="19" t="s">
        <v>50</v>
      </c>
      <c r="AI294" s="19"/>
    </row>
    <row r="295" spans="2:35" x14ac:dyDescent="0.35">
      <c r="B295" s="82">
        <v>46225</v>
      </c>
      <c r="C295" s="19" t="s">
        <v>1171</v>
      </c>
      <c r="D295" s="19" t="s">
        <v>11</v>
      </c>
      <c r="E295" s="83">
        <v>508</v>
      </c>
      <c r="F295" s="19" t="s">
        <v>1085</v>
      </c>
      <c r="G295" s="19" t="s">
        <v>1460</v>
      </c>
      <c r="H295" s="76">
        <v>46225</v>
      </c>
      <c r="I295" s="19" t="s">
        <v>49</v>
      </c>
      <c r="J295" s="19" t="s">
        <v>50</v>
      </c>
      <c r="K295" s="19" t="s">
        <v>50</v>
      </c>
      <c r="L295" s="19" t="s">
        <v>1095</v>
      </c>
      <c r="M295" s="19" t="s">
        <v>1098</v>
      </c>
      <c r="N295" s="19">
        <v>2407.3000000000002</v>
      </c>
      <c r="O295" s="19">
        <v>617881.68999999994</v>
      </c>
      <c r="P295" s="19" t="s">
        <v>1319</v>
      </c>
      <c r="Q295" s="19">
        <v>0</v>
      </c>
      <c r="R295" s="19">
        <v>9</v>
      </c>
      <c r="S295" s="19">
        <v>55609.35</v>
      </c>
      <c r="T295" s="19">
        <v>9</v>
      </c>
      <c r="U295" s="19">
        <v>55609.35</v>
      </c>
      <c r="V295" s="19">
        <v>0</v>
      </c>
      <c r="W295" s="19">
        <v>0</v>
      </c>
      <c r="X295" s="19">
        <v>0</v>
      </c>
      <c r="Y295" s="19">
        <v>111218.7</v>
      </c>
      <c r="Z295" s="19">
        <v>0</v>
      </c>
      <c r="AA295" s="19" t="s">
        <v>614</v>
      </c>
      <c r="AB295" s="19" t="s">
        <v>1091</v>
      </c>
      <c r="AC295" s="19">
        <v>63053200</v>
      </c>
      <c r="AD295" s="19" t="s">
        <v>1092</v>
      </c>
      <c r="AE295" s="19">
        <v>1</v>
      </c>
      <c r="AF295" s="19">
        <v>2407.3000000000002</v>
      </c>
      <c r="AG295" s="19" t="s">
        <v>1093</v>
      </c>
      <c r="AH295" s="19" t="s">
        <v>50</v>
      </c>
      <c r="AI295" s="19"/>
    </row>
    <row r="296" spans="2:35" x14ac:dyDescent="0.35">
      <c r="B296" s="82">
        <v>46226</v>
      </c>
      <c r="C296" s="19" t="s">
        <v>1179</v>
      </c>
      <c r="D296" s="19" t="s">
        <v>11</v>
      </c>
      <c r="E296" s="83">
        <v>511</v>
      </c>
      <c r="F296" s="19" t="s">
        <v>1085</v>
      </c>
      <c r="G296" s="19" t="s">
        <v>1462</v>
      </c>
      <c r="H296" s="76">
        <v>46226</v>
      </c>
      <c r="I296" s="19" t="s">
        <v>49</v>
      </c>
      <c r="J296" s="19" t="s">
        <v>50</v>
      </c>
      <c r="K296" s="19" t="s">
        <v>50</v>
      </c>
      <c r="L296" s="19" t="s">
        <v>1095</v>
      </c>
      <c r="M296" s="19" t="s">
        <v>1098</v>
      </c>
      <c r="N296" s="19">
        <v>426</v>
      </c>
      <c r="O296" s="19">
        <v>80496.960000000006</v>
      </c>
      <c r="P296" s="19" t="s">
        <v>1463</v>
      </c>
      <c r="Q296" s="19">
        <v>2071486.94</v>
      </c>
      <c r="R296" s="19">
        <v>9</v>
      </c>
      <c r="S296" s="19">
        <v>7244.73</v>
      </c>
      <c r="T296" s="19">
        <v>9</v>
      </c>
      <c r="U296" s="19">
        <v>7244.73</v>
      </c>
      <c r="V296" s="19">
        <v>0</v>
      </c>
      <c r="W296" s="19">
        <v>0</v>
      </c>
      <c r="X296" s="19">
        <v>0</v>
      </c>
      <c r="Y296" s="19">
        <v>14489.46</v>
      </c>
      <c r="Z296" s="19">
        <v>0</v>
      </c>
      <c r="AA296" s="19" t="s">
        <v>179</v>
      </c>
      <c r="AB296" s="19" t="s">
        <v>1091</v>
      </c>
      <c r="AC296" s="19">
        <v>63053200</v>
      </c>
      <c r="AD296" s="19" t="s">
        <v>1092</v>
      </c>
      <c r="AE296" s="19">
        <v>1</v>
      </c>
      <c r="AF296" s="19">
        <v>426</v>
      </c>
      <c r="AG296" s="19" t="s">
        <v>1093</v>
      </c>
      <c r="AH296" s="19" t="s">
        <v>50</v>
      </c>
      <c r="AI296" s="19"/>
    </row>
    <row r="297" spans="2:35" x14ac:dyDescent="0.35">
      <c r="B297" s="82">
        <v>46226</v>
      </c>
      <c r="C297" s="19" t="s">
        <v>1179</v>
      </c>
      <c r="D297" s="19" t="s">
        <v>11</v>
      </c>
      <c r="E297" s="83">
        <v>511</v>
      </c>
      <c r="F297" s="19" t="s">
        <v>1085</v>
      </c>
      <c r="G297" s="19" t="s">
        <v>1462</v>
      </c>
      <c r="H297" s="76">
        <v>46226</v>
      </c>
      <c r="I297" s="19" t="s">
        <v>49</v>
      </c>
      <c r="J297" s="19" t="s">
        <v>50</v>
      </c>
      <c r="K297" s="19" t="s">
        <v>50</v>
      </c>
      <c r="L297" s="19" t="s">
        <v>1095</v>
      </c>
      <c r="M297" s="19" t="s">
        <v>1098</v>
      </c>
      <c r="N297" s="19">
        <v>8940.7999999999993</v>
      </c>
      <c r="O297" s="19">
        <v>1676489.41</v>
      </c>
      <c r="P297" s="19" t="s">
        <v>1464</v>
      </c>
      <c r="Q297" s="19">
        <v>0</v>
      </c>
      <c r="R297" s="19">
        <v>9</v>
      </c>
      <c r="S297" s="19">
        <v>150884.04999999999</v>
      </c>
      <c r="T297" s="19">
        <v>9</v>
      </c>
      <c r="U297" s="19">
        <v>150884.04999999999</v>
      </c>
      <c r="V297" s="19">
        <v>0</v>
      </c>
      <c r="W297" s="19">
        <v>0</v>
      </c>
      <c r="X297" s="19">
        <v>0</v>
      </c>
      <c r="Y297" s="19">
        <v>301768.09999999998</v>
      </c>
      <c r="Z297" s="19">
        <v>0</v>
      </c>
      <c r="AA297" s="19" t="s">
        <v>179</v>
      </c>
      <c r="AB297" s="19" t="s">
        <v>1091</v>
      </c>
      <c r="AC297" s="19">
        <v>63053200</v>
      </c>
      <c r="AD297" s="19" t="s">
        <v>1092</v>
      </c>
      <c r="AE297" s="19">
        <v>1</v>
      </c>
      <c r="AF297" s="19">
        <v>8940.7999999999993</v>
      </c>
      <c r="AG297" s="19" t="s">
        <v>1093</v>
      </c>
      <c r="AH297" s="19" t="s">
        <v>50</v>
      </c>
      <c r="AI297" s="19"/>
    </row>
    <row r="298" spans="2:35" x14ac:dyDescent="0.35">
      <c r="B298" s="82">
        <v>46226</v>
      </c>
      <c r="C298" s="19" t="s">
        <v>245</v>
      </c>
      <c r="D298" s="19" t="s">
        <v>11</v>
      </c>
      <c r="E298" s="83">
        <v>509</v>
      </c>
      <c r="F298" s="19" t="s">
        <v>1085</v>
      </c>
      <c r="G298" s="19" t="s">
        <v>1465</v>
      </c>
      <c r="H298" s="76">
        <v>46226</v>
      </c>
      <c r="I298" s="19" t="s">
        <v>36</v>
      </c>
      <c r="J298" s="19" t="s">
        <v>1087</v>
      </c>
      <c r="K298" s="19" t="s">
        <v>46</v>
      </c>
      <c r="L298" s="19" t="s">
        <v>1138</v>
      </c>
      <c r="M298" s="19" t="s">
        <v>1089</v>
      </c>
      <c r="N298" s="19">
        <v>370</v>
      </c>
      <c r="O298" s="19">
        <v>55925.5</v>
      </c>
      <c r="P298" s="19" t="s">
        <v>1090</v>
      </c>
      <c r="Q298" s="19">
        <v>845033.37</v>
      </c>
      <c r="R298" s="19">
        <v>2.5</v>
      </c>
      <c r="S298" s="19">
        <v>1398.14</v>
      </c>
      <c r="T298" s="19">
        <v>2.5</v>
      </c>
      <c r="U298" s="19">
        <v>1398.14</v>
      </c>
      <c r="V298" s="19">
        <v>0</v>
      </c>
      <c r="W298" s="19">
        <v>0</v>
      </c>
      <c r="X298" s="19">
        <v>0</v>
      </c>
      <c r="Y298" s="19">
        <v>2796.28</v>
      </c>
      <c r="Z298" s="19">
        <v>0</v>
      </c>
      <c r="AA298" s="19" t="s">
        <v>179</v>
      </c>
      <c r="AB298" s="19" t="s">
        <v>1091</v>
      </c>
      <c r="AC298" s="19">
        <v>54026930</v>
      </c>
      <c r="AD298" s="19" t="s">
        <v>1092</v>
      </c>
      <c r="AE298" s="19">
        <v>1</v>
      </c>
      <c r="AF298" s="19">
        <v>370</v>
      </c>
      <c r="AG298" s="19" t="s">
        <v>1093</v>
      </c>
      <c r="AH298" s="19" t="s">
        <v>46</v>
      </c>
      <c r="AI298" s="19"/>
    </row>
    <row r="299" spans="2:35" x14ac:dyDescent="0.35">
      <c r="B299" s="82">
        <v>46226</v>
      </c>
      <c r="C299" s="19" t="s">
        <v>245</v>
      </c>
      <c r="D299" s="19" t="s">
        <v>11</v>
      </c>
      <c r="E299" s="83">
        <v>509</v>
      </c>
      <c r="F299" s="19" t="s">
        <v>1085</v>
      </c>
      <c r="G299" s="19" t="s">
        <v>1465</v>
      </c>
      <c r="H299" s="76">
        <v>46226</v>
      </c>
      <c r="I299" s="19" t="s">
        <v>36</v>
      </c>
      <c r="J299" s="19" t="s">
        <v>1087</v>
      </c>
      <c r="K299" s="19" t="s">
        <v>46</v>
      </c>
      <c r="L299" s="19" t="s">
        <v>1138</v>
      </c>
      <c r="M299" s="19" t="s">
        <v>1181</v>
      </c>
      <c r="N299" s="19">
        <v>420</v>
      </c>
      <c r="O299" s="19">
        <v>64743</v>
      </c>
      <c r="P299" s="19" t="s">
        <v>1182</v>
      </c>
      <c r="Q299" s="19">
        <v>0</v>
      </c>
      <c r="R299" s="19">
        <v>2.5</v>
      </c>
      <c r="S299" s="19">
        <v>1618.58</v>
      </c>
      <c r="T299" s="19">
        <v>2.5</v>
      </c>
      <c r="U299" s="19">
        <v>1618.58</v>
      </c>
      <c r="V299" s="19">
        <v>0</v>
      </c>
      <c r="W299" s="19">
        <v>0</v>
      </c>
      <c r="X299" s="19">
        <v>0</v>
      </c>
      <c r="Y299" s="19">
        <v>3237.16</v>
      </c>
      <c r="Z299" s="19">
        <v>0</v>
      </c>
      <c r="AA299" s="19" t="s">
        <v>179</v>
      </c>
      <c r="AB299" s="19" t="s">
        <v>1091</v>
      </c>
      <c r="AC299" s="19">
        <v>54026930</v>
      </c>
      <c r="AD299" s="19" t="s">
        <v>1092</v>
      </c>
      <c r="AE299" s="19">
        <v>1</v>
      </c>
      <c r="AF299" s="19">
        <v>420</v>
      </c>
      <c r="AG299" s="19" t="s">
        <v>1093</v>
      </c>
      <c r="AH299" s="19" t="s">
        <v>46</v>
      </c>
      <c r="AI299" s="19"/>
    </row>
    <row r="300" spans="2:35" x14ac:dyDescent="0.35">
      <c r="B300" s="82">
        <v>46226</v>
      </c>
      <c r="C300" s="19" t="s">
        <v>245</v>
      </c>
      <c r="D300" s="19" t="s">
        <v>11</v>
      </c>
      <c r="E300" s="83">
        <v>509</v>
      </c>
      <c r="F300" s="19" t="s">
        <v>1085</v>
      </c>
      <c r="G300" s="19" t="s">
        <v>1465</v>
      </c>
      <c r="H300" s="76">
        <v>46226</v>
      </c>
      <c r="I300" s="19" t="s">
        <v>36</v>
      </c>
      <c r="J300" s="19" t="s">
        <v>1117</v>
      </c>
      <c r="K300" s="19" t="s">
        <v>44</v>
      </c>
      <c r="L300" s="19" t="s">
        <v>1118</v>
      </c>
      <c r="M300" s="19" t="s">
        <v>1119</v>
      </c>
      <c r="N300" s="19">
        <v>314.2</v>
      </c>
      <c r="O300" s="19">
        <v>57545.73</v>
      </c>
      <c r="P300" s="19" t="s">
        <v>1466</v>
      </c>
      <c r="Q300" s="19">
        <v>0</v>
      </c>
      <c r="R300" s="19">
        <v>9</v>
      </c>
      <c r="S300" s="19">
        <v>5179.12</v>
      </c>
      <c r="T300" s="19">
        <v>9</v>
      </c>
      <c r="U300" s="19">
        <v>5179.12</v>
      </c>
      <c r="V300" s="19">
        <v>0</v>
      </c>
      <c r="W300" s="19">
        <v>0</v>
      </c>
      <c r="X300" s="19">
        <v>0</v>
      </c>
      <c r="Y300" s="19">
        <v>10358.24</v>
      </c>
      <c r="Z300" s="19">
        <v>0</v>
      </c>
      <c r="AA300" s="19" t="s">
        <v>179</v>
      </c>
      <c r="AB300" s="19" t="s">
        <v>1091</v>
      </c>
      <c r="AC300" s="19">
        <v>39269080</v>
      </c>
      <c r="AD300" s="19" t="s">
        <v>1092</v>
      </c>
      <c r="AE300" s="19">
        <v>1</v>
      </c>
      <c r="AF300" s="19">
        <v>314.2</v>
      </c>
      <c r="AG300" s="19" t="s">
        <v>1093</v>
      </c>
      <c r="AH300" s="19" t="s">
        <v>44</v>
      </c>
      <c r="AI300" s="19"/>
    </row>
    <row r="301" spans="2:35" x14ac:dyDescent="0.35">
      <c r="B301" s="82">
        <v>46226</v>
      </c>
      <c r="C301" s="19" t="s">
        <v>245</v>
      </c>
      <c r="D301" s="19" t="s">
        <v>11</v>
      </c>
      <c r="E301" s="83">
        <v>509</v>
      </c>
      <c r="F301" s="19" t="s">
        <v>1085</v>
      </c>
      <c r="G301" s="19" t="s">
        <v>1465</v>
      </c>
      <c r="H301" s="76">
        <v>46226</v>
      </c>
      <c r="I301" s="19" t="s">
        <v>36</v>
      </c>
      <c r="J301" s="19" t="s">
        <v>1117</v>
      </c>
      <c r="K301" s="19" t="s">
        <v>42</v>
      </c>
      <c r="L301" s="19" t="s">
        <v>1242</v>
      </c>
      <c r="M301" s="19" t="s">
        <v>1154</v>
      </c>
      <c r="N301" s="19">
        <v>2487</v>
      </c>
      <c r="O301" s="19">
        <v>448033.05</v>
      </c>
      <c r="P301" s="19" t="s">
        <v>1139</v>
      </c>
      <c r="Q301" s="19">
        <v>0</v>
      </c>
      <c r="R301" s="19">
        <v>9</v>
      </c>
      <c r="S301" s="19">
        <v>40322.97</v>
      </c>
      <c r="T301" s="19">
        <v>9</v>
      </c>
      <c r="U301" s="19">
        <v>40322.97</v>
      </c>
      <c r="V301" s="19">
        <v>0</v>
      </c>
      <c r="W301" s="19">
        <v>0</v>
      </c>
      <c r="X301" s="19">
        <v>0</v>
      </c>
      <c r="Y301" s="19">
        <v>80645.94</v>
      </c>
      <c r="Z301" s="19">
        <v>0</v>
      </c>
      <c r="AA301" s="19" t="s">
        <v>179</v>
      </c>
      <c r="AB301" s="19" t="s">
        <v>1091</v>
      </c>
      <c r="AC301" s="19">
        <v>39269080</v>
      </c>
      <c r="AD301" s="19" t="s">
        <v>1092</v>
      </c>
      <c r="AE301" s="19">
        <v>1</v>
      </c>
      <c r="AF301" s="19">
        <v>2487</v>
      </c>
      <c r="AG301" s="19" t="s">
        <v>1093</v>
      </c>
      <c r="AH301" s="19" t="s">
        <v>42</v>
      </c>
      <c r="AI301" s="19"/>
    </row>
    <row r="302" spans="2:35" x14ac:dyDescent="0.35">
      <c r="B302" s="82">
        <v>46226</v>
      </c>
      <c r="C302" s="19" t="s">
        <v>245</v>
      </c>
      <c r="D302" s="19" t="s">
        <v>11</v>
      </c>
      <c r="E302" s="83">
        <v>509</v>
      </c>
      <c r="F302" s="19" t="s">
        <v>1085</v>
      </c>
      <c r="G302" s="19" t="s">
        <v>1465</v>
      </c>
      <c r="H302" s="76">
        <v>46226</v>
      </c>
      <c r="I302" s="19" t="s">
        <v>36</v>
      </c>
      <c r="J302" s="19" t="s">
        <v>1156</v>
      </c>
      <c r="K302" s="19" t="s">
        <v>45</v>
      </c>
      <c r="L302" s="19" t="s">
        <v>1157</v>
      </c>
      <c r="M302" s="19" t="s">
        <v>1156</v>
      </c>
      <c r="N302" s="19">
        <v>566</v>
      </c>
      <c r="O302" s="19">
        <v>87814.9</v>
      </c>
      <c r="P302" s="19" t="s">
        <v>1090</v>
      </c>
      <c r="Q302" s="19">
        <v>0</v>
      </c>
      <c r="R302" s="19">
        <v>9</v>
      </c>
      <c r="S302" s="19">
        <v>7903.34</v>
      </c>
      <c r="T302" s="19">
        <v>9</v>
      </c>
      <c r="U302" s="19">
        <v>7903.34</v>
      </c>
      <c r="V302" s="19">
        <v>0</v>
      </c>
      <c r="W302" s="19">
        <v>0</v>
      </c>
      <c r="X302" s="19">
        <v>0</v>
      </c>
      <c r="Y302" s="19">
        <v>15806.68</v>
      </c>
      <c r="Z302" s="19">
        <v>0</v>
      </c>
      <c r="AA302" s="19" t="s">
        <v>179</v>
      </c>
      <c r="AB302" s="19" t="s">
        <v>1091</v>
      </c>
      <c r="AC302" s="19">
        <v>39269080</v>
      </c>
      <c r="AD302" s="19" t="s">
        <v>1092</v>
      </c>
      <c r="AE302" s="19">
        <v>1</v>
      </c>
      <c r="AF302" s="19">
        <v>566</v>
      </c>
      <c r="AG302" s="19" t="s">
        <v>1093</v>
      </c>
      <c r="AH302" s="19" t="s">
        <v>45</v>
      </c>
      <c r="AI302" s="19"/>
    </row>
    <row r="303" spans="2:35" x14ac:dyDescent="0.35">
      <c r="B303" s="82">
        <v>46226</v>
      </c>
      <c r="C303" s="19" t="s">
        <v>245</v>
      </c>
      <c r="D303" s="19" t="s">
        <v>11</v>
      </c>
      <c r="E303" s="83">
        <v>509</v>
      </c>
      <c r="F303" s="19" t="s">
        <v>1085</v>
      </c>
      <c r="G303" s="19" t="s">
        <v>1465</v>
      </c>
      <c r="H303" s="76">
        <v>46226</v>
      </c>
      <c r="I303" s="19" t="s">
        <v>36</v>
      </c>
      <c r="J303" s="19" t="s">
        <v>1156</v>
      </c>
      <c r="K303" s="19" t="s">
        <v>45</v>
      </c>
      <c r="L303" s="19" t="s">
        <v>1157</v>
      </c>
      <c r="M303" s="19" t="s">
        <v>1434</v>
      </c>
      <c r="N303" s="19">
        <v>103</v>
      </c>
      <c r="O303" s="19">
        <v>15980.45</v>
      </c>
      <c r="P303" s="19" t="s">
        <v>1090</v>
      </c>
      <c r="Q303" s="19">
        <v>0</v>
      </c>
      <c r="R303" s="19">
        <v>9</v>
      </c>
      <c r="S303" s="19">
        <v>1438.24</v>
      </c>
      <c r="T303" s="19">
        <v>9</v>
      </c>
      <c r="U303" s="19">
        <v>1438.24</v>
      </c>
      <c r="V303" s="19">
        <v>0</v>
      </c>
      <c r="W303" s="19">
        <v>0</v>
      </c>
      <c r="X303" s="19">
        <v>0</v>
      </c>
      <c r="Y303" s="19">
        <v>2876.48</v>
      </c>
      <c r="Z303" s="19">
        <v>0</v>
      </c>
      <c r="AA303" s="19" t="s">
        <v>179</v>
      </c>
      <c r="AB303" s="19" t="s">
        <v>1091</v>
      </c>
      <c r="AC303" s="19">
        <v>39269080</v>
      </c>
      <c r="AD303" s="19" t="s">
        <v>1092</v>
      </c>
      <c r="AE303" s="19">
        <v>1</v>
      </c>
      <c r="AF303" s="19">
        <v>103</v>
      </c>
      <c r="AG303" s="19" t="s">
        <v>1093</v>
      </c>
      <c r="AH303" s="19" t="s">
        <v>45</v>
      </c>
      <c r="AI303" s="19"/>
    </row>
    <row r="304" spans="2:35" hidden="1" x14ac:dyDescent="0.35">
      <c r="B304" s="82">
        <v>46226</v>
      </c>
      <c r="C304" s="19" t="s">
        <v>245</v>
      </c>
      <c r="D304" s="19" t="s">
        <v>11</v>
      </c>
      <c r="E304" s="83">
        <v>510</v>
      </c>
      <c r="F304" s="19" t="s">
        <v>1124</v>
      </c>
      <c r="G304" s="19" t="s">
        <v>1467</v>
      </c>
      <c r="H304" s="76">
        <v>46226</v>
      </c>
      <c r="I304" s="19" t="s">
        <v>105</v>
      </c>
      <c r="J304" s="19" t="s">
        <v>1142</v>
      </c>
      <c r="K304" s="19" t="s">
        <v>1143</v>
      </c>
      <c r="L304" s="19" t="s">
        <v>1144</v>
      </c>
      <c r="M304" s="19" t="s">
        <v>1145</v>
      </c>
      <c r="N304" s="19">
        <v>93</v>
      </c>
      <c r="O304" s="19">
        <v>4464</v>
      </c>
      <c r="P304" s="19" t="s">
        <v>1139</v>
      </c>
      <c r="Q304" s="19">
        <v>5263.06</v>
      </c>
      <c r="R304" s="19">
        <v>9</v>
      </c>
      <c r="S304" s="19">
        <v>401.76</v>
      </c>
      <c r="T304" s="19">
        <v>9</v>
      </c>
      <c r="U304" s="19">
        <v>401.76</v>
      </c>
      <c r="V304" s="19">
        <v>0</v>
      </c>
      <c r="W304" s="19">
        <v>0</v>
      </c>
      <c r="X304" s="19">
        <v>0</v>
      </c>
      <c r="Y304" s="19">
        <v>803.52</v>
      </c>
      <c r="Z304" s="19">
        <v>0</v>
      </c>
      <c r="AA304" s="19" t="s">
        <v>179</v>
      </c>
      <c r="AB304" s="19" t="s">
        <v>1091</v>
      </c>
      <c r="AC304" s="19">
        <v>73063090</v>
      </c>
      <c r="AD304" s="19" t="s">
        <v>1092</v>
      </c>
      <c r="AE304" s="19">
        <v>1</v>
      </c>
      <c r="AF304" s="19">
        <v>93</v>
      </c>
      <c r="AG304" s="19" t="s">
        <v>1093</v>
      </c>
      <c r="AH304" s="83" t="s">
        <v>2319</v>
      </c>
      <c r="AI304" s="19"/>
    </row>
    <row r="305" spans="2:35" x14ac:dyDescent="0.35">
      <c r="B305" s="82">
        <v>46227</v>
      </c>
      <c r="C305" s="19" t="s">
        <v>1292</v>
      </c>
      <c r="D305" s="19" t="s">
        <v>1109</v>
      </c>
      <c r="E305" s="83" t="s">
        <v>1468</v>
      </c>
      <c r="F305" s="19" t="s">
        <v>1291</v>
      </c>
      <c r="G305" s="19" t="s">
        <v>1468</v>
      </c>
      <c r="H305" s="76">
        <v>46227</v>
      </c>
      <c r="I305" s="19" t="s">
        <v>49</v>
      </c>
      <c r="J305" s="19" t="s">
        <v>50</v>
      </c>
      <c r="K305" s="19" t="s">
        <v>50</v>
      </c>
      <c r="L305" s="19" t="s">
        <v>1095</v>
      </c>
      <c r="M305" s="19" t="s">
        <v>1098</v>
      </c>
      <c r="N305" s="19">
        <v>19379</v>
      </c>
      <c r="O305" s="19">
        <v>4383732.1500000004</v>
      </c>
      <c r="P305" s="19" t="s">
        <v>1112</v>
      </c>
      <c r="Q305" s="19">
        <v>4383732.1500000004</v>
      </c>
      <c r="R305" s="19">
        <v>0</v>
      </c>
      <c r="S305" s="19">
        <v>0</v>
      </c>
      <c r="T305" s="19">
        <v>0</v>
      </c>
      <c r="U305" s="19">
        <v>0</v>
      </c>
      <c r="V305" s="19">
        <v>0</v>
      </c>
      <c r="W305" s="19">
        <v>0</v>
      </c>
      <c r="X305" s="19">
        <v>0</v>
      </c>
      <c r="Y305" s="19">
        <v>0</v>
      </c>
      <c r="Z305" s="19">
        <v>0</v>
      </c>
      <c r="AA305" s="19" t="s">
        <v>229</v>
      </c>
      <c r="AB305" s="19" t="s">
        <v>1091</v>
      </c>
      <c r="AC305" s="19">
        <v>63053200</v>
      </c>
      <c r="AD305" s="19" t="s">
        <v>1113</v>
      </c>
      <c r="AE305" s="19">
        <v>95.45</v>
      </c>
      <c r="AF305" s="19">
        <v>19379</v>
      </c>
      <c r="AG305" s="19" t="s">
        <v>1294</v>
      </c>
      <c r="AH305" s="19" t="s">
        <v>50</v>
      </c>
      <c r="AI305" s="19"/>
    </row>
    <row r="306" spans="2:35" x14ac:dyDescent="0.35">
      <c r="B306" s="82">
        <v>46229</v>
      </c>
      <c r="C306" s="19" t="s">
        <v>1084</v>
      </c>
      <c r="D306" s="19" t="s">
        <v>11</v>
      </c>
      <c r="E306" s="83">
        <v>512</v>
      </c>
      <c r="F306" s="19" t="s">
        <v>1085</v>
      </c>
      <c r="G306" s="19" t="s">
        <v>1469</v>
      </c>
      <c r="H306" s="76">
        <v>46229</v>
      </c>
      <c r="I306" s="19" t="s">
        <v>49</v>
      </c>
      <c r="J306" s="19" t="s">
        <v>50</v>
      </c>
      <c r="K306" s="19" t="s">
        <v>50</v>
      </c>
      <c r="L306" s="19" t="s">
        <v>1095</v>
      </c>
      <c r="M306" s="19" t="s">
        <v>1098</v>
      </c>
      <c r="N306" s="19">
        <v>6624.8</v>
      </c>
      <c r="O306" s="19">
        <v>1996052.24</v>
      </c>
      <c r="P306" s="19" t="s">
        <v>1470</v>
      </c>
      <c r="Q306" s="19">
        <v>2965779.07</v>
      </c>
      <c r="R306" s="19">
        <v>9</v>
      </c>
      <c r="S306" s="19">
        <v>179644.7</v>
      </c>
      <c r="T306" s="19">
        <v>9</v>
      </c>
      <c r="U306" s="19">
        <v>179644.7</v>
      </c>
      <c r="V306" s="19">
        <v>0</v>
      </c>
      <c r="W306" s="19">
        <v>0</v>
      </c>
      <c r="X306" s="19">
        <v>0</v>
      </c>
      <c r="Y306" s="19">
        <v>359289.4</v>
      </c>
      <c r="Z306" s="19">
        <v>0</v>
      </c>
      <c r="AA306" s="19" t="s">
        <v>135</v>
      </c>
      <c r="AB306" s="19" t="s">
        <v>1091</v>
      </c>
      <c r="AC306" s="19">
        <v>63053200</v>
      </c>
      <c r="AD306" s="19" t="s">
        <v>1092</v>
      </c>
      <c r="AE306" s="19">
        <v>1</v>
      </c>
      <c r="AF306" s="19">
        <v>6624.8</v>
      </c>
      <c r="AG306" s="19" t="s">
        <v>1093</v>
      </c>
      <c r="AH306" s="19" t="s">
        <v>50</v>
      </c>
      <c r="AI306" s="19"/>
    </row>
    <row r="307" spans="2:35" x14ac:dyDescent="0.35">
      <c r="B307" s="82">
        <v>46229</v>
      </c>
      <c r="C307" s="19" t="s">
        <v>1084</v>
      </c>
      <c r="D307" s="19" t="s">
        <v>11</v>
      </c>
      <c r="E307" s="83">
        <v>512</v>
      </c>
      <c r="F307" s="19" t="s">
        <v>1085</v>
      </c>
      <c r="G307" s="19" t="s">
        <v>1469</v>
      </c>
      <c r="H307" s="76">
        <v>46229</v>
      </c>
      <c r="I307" s="19" t="s">
        <v>49</v>
      </c>
      <c r="J307" s="19" t="s">
        <v>50</v>
      </c>
      <c r="K307" s="19" t="s">
        <v>50</v>
      </c>
      <c r="L307" s="19" t="s">
        <v>1095</v>
      </c>
      <c r="M307" s="19" t="s">
        <v>1098</v>
      </c>
      <c r="N307" s="19">
        <v>1860.9</v>
      </c>
      <c r="O307" s="19">
        <v>519451.63</v>
      </c>
      <c r="P307" s="19" t="s">
        <v>1471</v>
      </c>
      <c r="Q307" s="19">
        <v>0</v>
      </c>
      <c r="R307" s="19">
        <v>9</v>
      </c>
      <c r="S307" s="19">
        <v>46750.65</v>
      </c>
      <c r="T307" s="19">
        <v>9</v>
      </c>
      <c r="U307" s="19">
        <v>46750.65</v>
      </c>
      <c r="V307" s="19">
        <v>0</v>
      </c>
      <c r="W307" s="19">
        <v>0</v>
      </c>
      <c r="X307" s="19">
        <v>0</v>
      </c>
      <c r="Y307" s="19">
        <v>93501.3</v>
      </c>
      <c r="Z307" s="19">
        <v>0</v>
      </c>
      <c r="AA307" s="19" t="s">
        <v>135</v>
      </c>
      <c r="AB307" s="19" t="s">
        <v>1091</v>
      </c>
      <c r="AC307" s="19">
        <v>63053200</v>
      </c>
      <c r="AD307" s="19" t="s">
        <v>1092</v>
      </c>
      <c r="AE307" s="19">
        <v>1</v>
      </c>
      <c r="AF307" s="19">
        <v>1860.9</v>
      </c>
      <c r="AG307" s="19" t="s">
        <v>1093</v>
      </c>
      <c r="AH307" s="19" t="s">
        <v>50</v>
      </c>
      <c r="AI307" s="19"/>
    </row>
    <row r="308" spans="2:35" x14ac:dyDescent="0.35">
      <c r="B308" s="82">
        <v>46230</v>
      </c>
      <c r="C308" s="19" t="s">
        <v>1123</v>
      </c>
      <c r="D308" s="19" t="s">
        <v>11</v>
      </c>
      <c r="E308" s="83">
        <v>513</v>
      </c>
      <c r="F308" s="19" t="s">
        <v>1085</v>
      </c>
      <c r="G308" s="19" t="s">
        <v>1472</v>
      </c>
      <c r="H308" s="76">
        <v>46230</v>
      </c>
      <c r="I308" s="19" t="s">
        <v>36</v>
      </c>
      <c r="J308" s="19" t="s">
        <v>1156</v>
      </c>
      <c r="K308" s="19" t="s">
        <v>45</v>
      </c>
      <c r="L308" s="19" t="s">
        <v>1157</v>
      </c>
      <c r="M308" s="19" t="s">
        <v>1156</v>
      </c>
      <c r="N308" s="19">
        <v>662</v>
      </c>
      <c r="O308" s="19">
        <v>117498.38</v>
      </c>
      <c r="P308" s="19" t="s">
        <v>1156</v>
      </c>
      <c r="Q308" s="19">
        <v>138530.57999999999</v>
      </c>
      <c r="R308" s="19">
        <v>9</v>
      </c>
      <c r="S308" s="19">
        <v>10574.85</v>
      </c>
      <c r="T308" s="19">
        <v>9</v>
      </c>
      <c r="U308" s="19">
        <v>10574.85</v>
      </c>
      <c r="V308" s="19">
        <v>0</v>
      </c>
      <c r="W308" s="19">
        <v>0</v>
      </c>
      <c r="X308" s="19">
        <v>0</v>
      </c>
      <c r="Y308" s="19">
        <v>21149.7</v>
      </c>
      <c r="Z308" s="19">
        <v>0</v>
      </c>
      <c r="AA308" s="19" t="s">
        <v>179</v>
      </c>
      <c r="AB308" s="19" t="s">
        <v>1091</v>
      </c>
      <c r="AC308" s="19">
        <v>39269080</v>
      </c>
      <c r="AD308" s="19" t="s">
        <v>1092</v>
      </c>
      <c r="AE308" s="19">
        <v>1</v>
      </c>
      <c r="AF308" s="19">
        <v>662</v>
      </c>
      <c r="AG308" s="19" t="s">
        <v>1093</v>
      </c>
      <c r="AH308" s="19" t="s">
        <v>45</v>
      </c>
      <c r="AI308" s="19"/>
    </row>
    <row r="309" spans="2:35" x14ac:dyDescent="0.35">
      <c r="B309" s="82">
        <v>46230</v>
      </c>
      <c r="C309" s="19" t="s">
        <v>1123</v>
      </c>
      <c r="D309" s="19" t="s">
        <v>11</v>
      </c>
      <c r="E309" s="83">
        <v>514</v>
      </c>
      <c r="F309" s="19" t="s">
        <v>1085</v>
      </c>
      <c r="G309" s="19" t="s">
        <v>1473</v>
      </c>
      <c r="H309" s="76">
        <v>46230</v>
      </c>
      <c r="I309" s="19" t="s">
        <v>36</v>
      </c>
      <c r="J309" s="19" t="s">
        <v>1156</v>
      </c>
      <c r="K309" s="19" t="s">
        <v>45</v>
      </c>
      <c r="L309" s="19" t="s">
        <v>1157</v>
      </c>
      <c r="M309" s="19" t="s">
        <v>1156</v>
      </c>
      <c r="N309" s="19">
        <v>266</v>
      </c>
      <c r="O309" s="19">
        <v>47212.34</v>
      </c>
      <c r="P309" s="19" t="s">
        <v>1182</v>
      </c>
      <c r="Q309" s="19">
        <v>55663.35</v>
      </c>
      <c r="R309" s="19">
        <v>9</v>
      </c>
      <c r="S309" s="19">
        <v>4249.1099999999997</v>
      </c>
      <c r="T309" s="19">
        <v>9</v>
      </c>
      <c r="U309" s="19">
        <v>4249.1099999999997</v>
      </c>
      <c r="V309" s="19">
        <v>0</v>
      </c>
      <c r="W309" s="19">
        <v>0</v>
      </c>
      <c r="X309" s="19">
        <v>0</v>
      </c>
      <c r="Y309" s="19">
        <v>8498.2199999999993</v>
      </c>
      <c r="Z309" s="19">
        <v>0</v>
      </c>
      <c r="AA309" s="19" t="s">
        <v>179</v>
      </c>
      <c r="AB309" s="19" t="s">
        <v>1091</v>
      </c>
      <c r="AC309" s="19">
        <v>39269080</v>
      </c>
      <c r="AD309" s="19" t="s">
        <v>1092</v>
      </c>
      <c r="AE309" s="19">
        <v>1</v>
      </c>
      <c r="AF309" s="19">
        <v>266</v>
      </c>
      <c r="AG309" s="19" t="s">
        <v>1093</v>
      </c>
      <c r="AH309" s="19" t="s">
        <v>45</v>
      </c>
      <c r="AI309" s="19"/>
    </row>
    <row r="310" spans="2:35" x14ac:dyDescent="0.35">
      <c r="B310" s="82">
        <v>46230</v>
      </c>
      <c r="C310" s="19" t="s">
        <v>1136</v>
      </c>
      <c r="D310" s="19" t="s">
        <v>11</v>
      </c>
      <c r="E310" s="83">
        <v>515</v>
      </c>
      <c r="F310" s="19" t="s">
        <v>1085</v>
      </c>
      <c r="G310" s="19" t="s">
        <v>1474</v>
      </c>
      <c r="H310" s="76">
        <v>46230</v>
      </c>
      <c r="I310" s="19" t="s">
        <v>36</v>
      </c>
      <c r="J310" s="19" t="s">
        <v>1087</v>
      </c>
      <c r="K310" s="19" t="s">
        <v>46</v>
      </c>
      <c r="L310" s="19" t="s">
        <v>1138</v>
      </c>
      <c r="M310" s="19" t="s">
        <v>1181</v>
      </c>
      <c r="N310" s="19">
        <v>691</v>
      </c>
      <c r="O310" s="19">
        <v>106517.65</v>
      </c>
      <c r="P310" s="19" t="s">
        <v>1182</v>
      </c>
      <c r="Q310" s="19">
        <v>111737.01</v>
      </c>
      <c r="R310" s="19">
        <v>2.5</v>
      </c>
      <c r="S310" s="19">
        <v>2662.94</v>
      </c>
      <c r="T310" s="19">
        <v>2.5</v>
      </c>
      <c r="U310" s="19">
        <v>2662.94</v>
      </c>
      <c r="V310" s="19">
        <v>0</v>
      </c>
      <c r="W310" s="19">
        <v>0</v>
      </c>
      <c r="X310" s="19">
        <v>0</v>
      </c>
      <c r="Y310" s="19">
        <v>5325.88</v>
      </c>
      <c r="Z310" s="19">
        <v>0</v>
      </c>
      <c r="AA310" s="19" t="s">
        <v>135</v>
      </c>
      <c r="AB310" s="19" t="s">
        <v>1091</v>
      </c>
      <c r="AC310" s="19">
        <v>54026930</v>
      </c>
      <c r="AD310" s="19" t="s">
        <v>1092</v>
      </c>
      <c r="AE310" s="19">
        <v>1</v>
      </c>
      <c r="AF310" s="19">
        <v>691</v>
      </c>
      <c r="AG310" s="19" t="s">
        <v>1093</v>
      </c>
      <c r="AH310" s="19" t="s">
        <v>46</v>
      </c>
      <c r="AI310" s="19"/>
    </row>
    <row r="311" spans="2:35" x14ac:dyDescent="0.35">
      <c r="B311" s="82">
        <v>46231</v>
      </c>
      <c r="C311" s="19" t="s">
        <v>1475</v>
      </c>
      <c r="D311" s="19" t="s">
        <v>1109</v>
      </c>
      <c r="E311" s="83" t="s">
        <v>1476</v>
      </c>
      <c r="F311" s="19" t="s">
        <v>1291</v>
      </c>
      <c r="G311" s="19" t="s">
        <v>1476</v>
      </c>
      <c r="H311" s="76">
        <v>46231</v>
      </c>
      <c r="I311" s="19" t="s">
        <v>49</v>
      </c>
      <c r="J311" s="19" t="s">
        <v>50</v>
      </c>
      <c r="K311" s="19" t="s">
        <v>50</v>
      </c>
      <c r="L311" s="19" t="s">
        <v>1095</v>
      </c>
      <c r="M311" s="19" t="s">
        <v>1096</v>
      </c>
      <c r="N311" s="19">
        <v>21689</v>
      </c>
      <c r="O311" s="19">
        <v>4874822.4000000004</v>
      </c>
      <c r="P311" s="19" t="s">
        <v>1477</v>
      </c>
      <c r="Q311" s="19">
        <v>5211503.1900000004</v>
      </c>
      <c r="R311" s="19">
        <v>0</v>
      </c>
      <c r="S311" s="19">
        <v>0</v>
      </c>
      <c r="T311" s="19">
        <v>0</v>
      </c>
      <c r="U311" s="19">
        <v>0</v>
      </c>
      <c r="V311" s="19">
        <v>0</v>
      </c>
      <c r="W311" s="19">
        <v>0</v>
      </c>
      <c r="X311" s="19">
        <v>0</v>
      </c>
      <c r="Y311" s="19">
        <v>0</v>
      </c>
      <c r="Z311" s="19">
        <v>0</v>
      </c>
      <c r="AA311" s="19" t="s">
        <v>229</v>
      </c>
      <c r="AB311" s="19" t="s">
        <v>1091</v>
      </c>
      <c r="AC311" s="19">
        <v>63053200</v>
      </c>
      <c r="AD311" s="19" t="s">
        <v>1113</v>
      </c>
      <c r="AE311" s="19">
        <v>95.45</v>
      </c>
      <c r="AF311" s="19">
        <v>21689</v>
      </c>
      <c r="AG311" s="19" t="s">
        <v>1478</v>
      </c>
      <c r="AH311" s="19" t="s">
        <v>50</v>
      </c>
      <c r="AI311" s="19"/>
    </row>
    <row r="312" spans="2:35" x14ac:dyDescent="0.35">
      <c r="B312" s="82">
        <v>46231</v>
      </c>
      <c r="C312" s="19" t="s">
        <v>1136</v>
      </c>
      <c r="D312" s="19" t="s">
        <v>11</v>
      </c>
      <c r="E312" s="83">
        <v>516</v>
      </c>
      <c r="F312" s="19" t="s">
        <v>1085</v>
      </c>
      <c r="G312" s="19" t="s">
        <v>1479</v>
      </c>
      <c r="H312" s="76">
        <v>46231</v>
      </c>
      <c r="I312" s="19" t="s">
        <v>49</v>
      </c>
      <c r="J312" s="19" t="s">
        <v>50</v>
      </c>
      <c r="K312" s="19" t="s">
        <v>50</v>
      </c>
      <c r="L312" s="19" t="s">
        <v>1095</v>
      </c>
      <c r="M312" s="19" t="s">
        <v>1096</v>
      </c>
      <c r="N312" s="19">
        <v>446.9</v>
      </c>
      <c r="O312" s="19">
        <v>67035</v>
      </c>
      <c r="P312" s="19" t="s">
        <v>1480</v>
      </c>
      <c r="Q312" s="19">
        <v>79034.259999999995</v>
      </c>
      <c r="R312" s="19">
        <v>9</v>
      </c>
      <c r="S312" s="19">
        <v>6033.15</v>
      </c>
      <c r="T312" s="19">
        <v>9</v>
      </c>
      <c r="U312" s="19">
        <v>6033.15</v>
      </c>
      <c r="V312" s="19">
        <v>0</v>
      </c>
      <c r="W312" s="19">
        <v>0</v>
      </c>
      <c r="X312" s="19">
        <v>0</v>
      </c>
      <c r="Y312" s="19">
        <v>12066.3</v>
      </c>
      <c r="Z312" s="19">
        <v>0</v>
      </c>
      <c r="AA312" s="19" t="s">
        <v>135</v>
      </c>
      <c r="AB312" s="19" t="s">
        <v>1091</v>
      </c>
      <c r="AC312" s="19">
        <v>63053200</v>
      </c>
      <c r="AD312" s="19" t="s">
        <v>1092</v>
      </c>
      <c r="AE312" s="19">
        <v>1</v>
      </c>
      <c r="AF312" s="19">
        <v>446.9</v>
      </c>
      <c r="AG312" s="19" t="s">
        <v>1093</v>
      </c>
      <c r="AH312" s="19" t="s">
        <v>50</v>
      </c>
      <c r="AI312" s="19"/>
    </row>
    <row r="313" spans="2:35" x14ac:dyDescent="0.35">
      <c r="B313" s="82">
        <v>46231</v>
      </c>
      <c r="C313" s="19" t="s">
        <v>1136</v>
      </c>
      <c r="D313" s="19" t="s">
        <v>11</v>
      </c>
      <c r="E313" s="83">
        <v>517</v>
      </c>
      <c r="F313" s="19" t="s">
        <v>1085</v>
      </c>
      <c r="G313" s="19" t="s">
        <v>1481</v>
      </c>
      <c r="H313" s="76">
        <v>46231</v>
      </c>
      <c r="I313" s="19" t="s">
        <v>36</v>
      </c>
      <c r="J313" s="19" t="s">
        <v>1087</v>
      </c>
      <c r="K313" s="19" t="s">
        <v>46</v>
      </c>
      <c r="L313" s="19" t="s">
        <v>1138</v>
      </c>
      <c r="M313" s="19" t="s">
        <v>1089</v>
      </c>
      <c r="N313" s="19">
        <v>510.5</v>
      </c>
      <c r="O313" s="19">
        <v>77162.080000000002</v>
      </c>
      <c r="P313" s="19" t="s">
        <v>1090</v>
      </c>
      <c r="Q313" s="19">
        <v>80943.02</v>
      </c>
      <c r="R313" s="19">
        <v>2.5</v>
      </c>
      <c r="S313" s="19">
        <v>1929.05</v>
      </c>
      <c r="T313" s="19">
        <v>2.5</v>
      </c>
      <c r="U313" s="19">
        <v>1929.05</v>
      </c>
      <c r="V313" s="19">
        <v>0</v>
      </c>
      <c r="W313" s="19">
        <v>0</v>
      </c>
      <c r="X313" s="19">
        <v>0</v>
      </c>
      <c r="Y313" s="19">
        <v>3858.1</v>
      </c>
      <c r="Z313" s="19">
        <v>0</v>
      </c>
      <c r="AA313" s="19" t="s">
        <v>135</v>
      </c>
      <c r="AB313" s="19" t="s">
        <v>1091</v>
      </c>
      <c r="AC313" s="19">
        <v>54026930</v>
      </c>
      <c r="AD313" s="19" t="s">
        <v>1092</v>
      </c>
      <c r="AE313" s="19">
        <v>1</v>
      </c>
      <c r="AF313" s="19">
        <v>510.5</v>
      </c>
      <c r="AG313" s="19" t="s">
        <v>1093</v>
      </c>
      <c r="AH313" s="19" t="s">
        <v>46</v>
      </c>
      <c r="AI313" s="19"/>
    </row>
    <row r="314" spans="2:35" x14ac:dyDescent="0.35">
      <c r="B314" s="82">
        <v>46231</v>
      </c>
      <c r="C314" s="19" t="s">
        <v>1482</v>
      </c>
      <c r="D314" s="19" t="s">
        <v>1109</v>
      </c>
      <c r="E314" s="83" t="s">
        <v>1483</v>
      </c>
      <c r="F314" s="19" t="s">
        <v>1291</v>
      </c>
      <c r="G314" s="19" t="s">
        <v>1483</v>
      </c>
      <c r="H314" s="76">
        <v>46231</v>
      </c>
      <c r="I314" s="19" t="s">
        <v>49</v>
      </c>
      <c r="J314" s="19" t="s">
        <v>50</v>
      </c>
      <c r="K314" s="19" t="s">
        <v>50</v>
      </c>
      <c r="L314" s="19" t="s">
        <v>1095</v>
      </c>
      <c r="M314" s="19" t="s">
        <v>1098</v>
      </c>
      <c r="N314" s="19">
        <v>4226</v>
      </c>
      <c r="O314" s="19">
        <v>977503.45000000007</v>
      </c>
      <c r="P314" s="19" t="s">
        <v>1484</v>
      </c>
      <c r="Q314" s="19">
        <v>3679521.14</v>
      </c>
      <c r="R314" s="19">
        <v>0</v>
      </c>
      <c r="S314" s="19">
        <v>0</v>
      </c>
      <c r="T314" s="19">
        <v>0</v>
      </c>
      <c r="U314" s="19">
        <v>0</v>
      </c>
      <c r="V314" s="19">
        <v>0</v>
      </c>
      <c r="W314" s="19">
        <v>0</v>
      </c>
      <c r="X314" s="19">
        <v>0</v>
      </c>
      <c r="Y314" s="19">
        <v>0</v>
      </c>
      <c r="Z314" s="19">
        <v>0</v>
      </c>
      <c r="AA314" s="19" t="s">
        <v>229</v>
      </c>
      <c r="AB314" s="19" t="s">
        <v>1091</v>
      </c>
      <c r="AC314" s="19">
        <v>63053200</v>
      </c>
      <c r="AD314" s="19" t="s">
        <v>1113</v>
      </c>
      <c r="AE314" s="19">
        <v>95.45</v>
      </c>
      <c r="AF314" s="19">
        <v>4226</v>
      </c>
      <c r="AG314" s="19" t="s">
        <v>1386</v>
      </c>
      <c r="AH314" s="19" t="s">
        <v>50</v>
      </c>
      <c r="AI314" s="19"/>
    </row>
    <row r="315" spans="2:35" x14ac:dyDescent="0.35">
      <c r="B315" s="82">
        <v>46231</v>
      </c>
      <c r="C315" s="19" t="s">
        <v>1482</v>
      </c>
      <c r="D315" s="19" t="s">
        <v>1109</v>
      </c>
      <c r="E315" s="83" t="s">
        <v>1483</v>
      </c>
      <c r="F315" s="19" t="s">
        <v>1291</v>
      </c>
      <c r="G315" s="19" t="s">
        <v>1483</v>
      </c>
      <c r="H315" s="76">
        <v>46231</v>
      </c>
      <c r="I315" s="19" t="s">
        <v>49</v>
      </c>
      <c r="J315" s="19" t="s">
        <v>50</v>
      </c>
      <c r="K315" s="19" t="s">
        <v>50</v>
      </c>
      <c r="L315" s="19" t="s">
        <v>1095</v>
      </c>
      <c r="M315" s="19" t="s">
        <v>1098</v>
      </c>
      <c r="N315" s="19">
        <v>2157</v>
      </c>
      <c r="O315" s="19">
        <v>412582.625</v>
      </c>
      <c r="P315" s="19" t="s">
        <v>1485</v>
      </c>
      <c r="Q315" s="19">
        <v>0</v>
      </c>
      <c r="R315" s="19">
        <v>0</v>
      </c>
      <c r="S315" s="19">
        <v>0</v>
      </c>
      <c r="T315" s="19">
        <v>0</v>
      </c>
      <c r="U315" s="19">
        <v>0</v>
      </c>
      <c r="V315" s="19">
        <v>0</v>
      </c>
      <c r="W315" s="19">
        <v>0</v>
      </c>
      <c r="X315" s="19">
        <v>0</v>
      </c>
      <c r="Y315" s="19">
        <v>0</v>
      </c>
      <c r="Z315" s="19">
        <v>0</v>
      </c>
      <c r="AA315" s="19" t="s">
        <v>229</v>
      </c>
      <c r="AB315" s="19" t="s">
        <v>1091</v>
      </c>
      <c r="AC315" s="19">
        <v>63053200</v>
      </c>
      <c r="AD315" s="19" t="s">
        <v>1113</v>
      </c>
      <c r="AE315" s="19">
        <v>95.45</v>
      </c>
      <c r="AF315" s="19">
        <v>2157</v>
      </c>
      <c r="AG315" s="19" t="s">
        <v>1386</v>
      </c>
      <c r="AH315" s="19" t="s">
        <v>50</v>
      </c>
      <c r="AI315" s="19"/>
    </row>
    <row r="316" spans="2:35" x14ac:dyDescent="0.35">
      <c r="B316" s="82">
        <v>46231</v>
      </c>
      <c r="C316" s="19" t="s">
        <v>1482</v>
      </c>
      <c r="D316" s="19" t="s">
        <v>1109</v>
      </c>
      <c r="E316" s="83" t="s">
        <v>1483</v>
      </c>
      <c r="F316" s="19" t="s">
        <v>1291</v>
      </c>
      <c r="G316" s="19" t="s">
        <v>1483</v>
      </c>
      <c r="H316" s="76">
        <v>46231</v>
      </c>
      <c r="I316" s="19" t="s">
        <v>49</v>
      </c>
      <c r="J316" s="19" t="s">
        <v>50</v>
      </c>
      <c r="K316" s="19" t="s">
        <v>50</v>
      </c>
      <c r="L316" s="19" t="s">
        <v>1095</v>
      </c>
      <c r="M316" s="19" t="s">
        <v>1098</v>
      </c>
      <c r="N316" s="19">
        <v>4720</v>
      </c>
      <c r="O316" s="19">
        <v>926914.95000000007</v>
      </c>
      <c r="P316" s="19" t="s">
        <v>1485</v>
      </c>
      <c r="Q316" s="19">
        <v>0</v>
      </c>
      <c r="R316" s="19">
        <v>0</v>
      </c>
      <c r="S316" s="19">
        <v>0</v>
      </c>
      <c r="T316" s="19">
        <v>0</v>
      </c>
      <c r="U316" s="19">
        <v>0</v>
      </c>
      <c r="V316" s="19">
        <v>0</v>
      </c>
      <c r="W316" s="19">
        <v>0</v>
      </c>
      <c r="X316" s="19">
        <v>0</v>
      </c>
      <c r="Y316" s="19">
        <v>0</v>
      </c>
      <c r="Z316" s="19">
        <v>0</v>
      </c>
      <c r="AA316" s="19" t="s">
        <v>229</v>
      </c>
      <c r="AB316" s="19" t="s">
        <v>1091</v>
      </c>
      <c r="AC316" s="19">
        <v>63053200</v>
      </c>
      <c r="AD316" s="19" t="s">
        <v>1113</v>
      </c>
      <c r="AE316" s="19">
        <v>95.45</v>
      </c>
      <c r="AF316" s="19">
        <v>4720</v>
      </c>
      <c r="AG316" s="19" t="s">
        <v>1386</v>
      </c>
      <c r="AH316" s="19" t="s">
        <v>50</v>
      </c>
      <c r="AI316" s="19"/>
    </row>
    <row r="317" spans="2:35" x14ac:dyDescent="0.35">
      <c r="B317" s="82">
        <v>46231</v>
      </c>
      <c r="C317" s="19" t="s">
        <v>1482</v>
      </c>
      <c r="D317" s="19" t="s">
        <v>1109</v>
      </c>
      <c r="E317" s="83" t="s">
        <v>1483</v>
      </c>
      <c r="F317" s="19" t="s">
        <v>1291</v>
      </c>
      <c r="G317" s="19" t="s">
        <v>1483</v>
      </c>
      <c r="H317" s="76">
        <v>46231</v>
      </c>
      <c r="I317" s="19" t="s">
        <v>49</v>
      </c>
      <c r="J317" s="19" t="s">
        <v>50</v>
      </c>
      <c r="K317" s="19" t="s">
        <v>50</v>
      </c>
      <c r="L317" s="19" t="s">
        <v>1095</v>
      </c>
      <c r="M317" s="19" t="s">
        <v>1098</v>
      </c>
      <c r="N317" s="19">
        <v>1168</v>
      </c>
      <c r="O317" s="19">
        <v>290168</v>
      </c>
      <c r="P317" s="19" t="s">
        <v>1486</v>
      </c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>
        <v>0</v>
      </c>
      <c r="Y317" s="19">
        <v>0</v>
      </c>
      <c r="Z317" s="19">
        <v>0</v>
      </c>
      <c r="AA317" s="19" t="s">
        <v>229</v>
      </c>
      <c r="AB317" s="19" t="s">
        <v>1091</v>
      </c>
      <c r="AC317" s="19">
        <v>63053200</v>
      </c>
      <c r="AD317" s="19" t="s">
        <v>1113</v>
      </c>
      <c r="AE317" s="19">
        <v>95.45</v>
      </c>
      <c r="AF317" s="19">
        <v>1168</v>
      </c>
      <c r="AG317" s="19" t="s">
        <v>1386</v>
      </c>
      <c r="AH317" s="19" t="s">
        <v>50</v>
      </c>
      <c r="AI317" s="19"/>
    </row>
    <row r="318" spans="2:35" x14ac:dyDescent="0.35">
      <c r="B318" s="82">
        <v>46231</v>
      </c>
      <c r="C318" s="19" t="s">
        <v>1482</v>
      </c>
      <c r="D318" s="19" t="s">
        <v>1109</v>
      </c>
      <c r="E318" s="83" t="s">
        <v>1483</v>
      </c>
      <c r="F318" s="19" t="s">
        <v>1291</v>
      </c>
      <c r="G318" s="19" t="s">
        <v>1483</v>
      </c>
      <c r="H318" s="76">
        <v>46231</v>
      </c>
      <c r="I318" s="19" t="s">
        <v>49</v>
      </c>
      <c r="J318" s="19" t="s">
        <v>50</v>
      </c>
      <c r="K318" s="19" t="s">
        <v>50</v>
      </c>
      <c r="L318" s="19" t="s">
        <v>1095</v>
      </c>
      <c r="M318" s="19" t="s">
        <v>1098</v>
      </c>
      <c r="N318" s="19">
        <v>4420</v>
      </c>
      <c r="O318" s="19">
        <v>862486.20000000007</v>
      </c>
      <c r="P318" s="19" t="s">
        <v>1487</v>
      </c>
      <c r="Q318" s="19">
        <v>0</v>
      </c>
      <c r="R318" s="19">
        <v>0</v>
      </c>
      <c r="S318" s="19">
        <v>0</v>
      </c>
      <c r="T318" s="19">
        <v>0</v>
      </c>
      <c r="U318" s="19">
        <v>0</v>
      </c>
      <c r="V318" s="19">
        <v>0</v>
      </c>
      <c r="W318" s="19">
        <v>0</v>
      </c>
      <c r="X318" s="19">
        <v>0</v>
      </c>
      <c r="Y318" s="19">
        <v>0</v>
      </c>
      <c r="Z318" s="19">
        <v>0</v>
      </c>
      <c r="AA318" s="19" t="s">
        <v>229</v>
      </c>
      <c r="AB318" s="19" t="s">
        <v>1091</v>
      </c>
      <c r="AC318" s="19">
        <v>63053200</v>
      </c>
      <c r="AD318" s="19" t="s">
        <v>1113</v>
      </c>
      <c r="AE318" s="19">
        <v>95.45</v>
      </c>
      <c r="AF318" s="19">
        <v>4420</v>
      </c>
      <c r="AG318" s="19" t="s">
        <v>1386</v>
      </c>
      <c r="AH318" s="19" t="s">
        <v>50</v>
      </c>
      <c r="AI318" s="19"/>
    </row>
    <row r="319" spans="2:35" x14ac:dyDescent="0.35">
      <c r="B319" s="82">
        <v>46231</v>
      </c>
      <c r="C319" s="19" t="s">
        <v>1482</v>
      </c>
      <c r="D319" s="19" t="s">
        <v>1109</v>
      </c>
      <c r="E319" s="83" t="s">
        <v>1483</v>
      </c>
      <c r="F319" s="19" t="s">
        <v>1291</v>
      </c>
      <c r="G319" s="19" t="s">
        <v>1483</v>
      </c>
      <c r="H319" s="76">
        <v>46231</v>
      </c>
      <c r="I319" s="19" t="s">
        <v>49</v>
      </c>
      <c r="J319" s="19" t="s">
        <v>50</v>
      </c>
      <c r="K319" s="19" t="s">
        <v>50</v>
      </c>
      <c r="L319" s="19" t="s">
        <v>1095</v>
      </c>
      <c r="M319" s="19" t="s">
        <v>1098</v>
      </c>
      <c r="N319" s="19">
        <v>1169</v>
      </c>
      <c r="O319" s="19">
        <v>237670.5</v>
      </c>
      <c r="P319" s="19" t="s">
        <v>1488</v>
      </c>
      <c r="Q319" s="19">
        <v>0</v>
      </c>
      <c r="R319" s="19">
        <v>0</v>
      </c>
      <c r="S319" s="19">
        <v>0</v>
      </c>
      <c r="T319" s="19">
        <v>0</v>
      </c>
      <c r="U319" s="19">
        <v>0</v>
      </c>
      <c r="V319" s="19">
        <v>0</v>
      </c>
      <c r="W319" s="19">
        <v>0</v>
      </c>
      <c r="X319" s="19">
        <v>0</v>
      </c>
      <c r="Y319" s="19">
        <v>0</v>
      </c>
      <c r="Z319" s="19">
        <v>0</v>
      </c>
      <c r="AA319" s="19" t="s">
        <v>229</v>
      </c>
      <c r="AB319" s="19" t="s">
        <v>1091</v>
      </c>
      <c r="AC319" s="19">
        <v>63053200</v>
      </c>
      <c r="AD319" s="19" t="s">
        <v>1113</v>
      </c>
      <c r="AE319" s="19">
        <v>95.45</v>
      </c>
      <c r="AF319" s="19">
        <v>1169</v>
      </c>
      <c r="AG319" s="19" t="s">
        <v>1386</v>
      </c>
      <c r="AH319" s="19" t="s">
        <v>50</v>
      </c>
      <c r="AI319" s="19"/>
    </row>
    <row r="320" spans="2:35" x14ac:dyDescent="0.35">
      <c r="B320" s="82">
        <v>46231</v>
      </c>
      <c r="C320" s="19" t="s">
        <v>1482</v>
      </c>
      <c r="D320" s="19" t="s">
        <v>1109</v>
      </c>
      <c r="E320" s="83" t="s">
        <v>1489</v>
      </c>
      <c r="F320" s="19" t="s">
        <v>1291</v>
      </c>
      <c r="G320" s="19" t="s">
        <v>1489</v>
      </c>
      <c r="H320" s="76">
        <v>46231</v>
      </c>
      <c r="I320" s="19" t="s">
        <v>49</v>
      </c>
      <c r="J320" s="19" t="s">
        <v>50</v>
      </c>
      <c r="K320" s="19" t="s">
        <v>50</v>
      </c>
      <c r="L320" s="19" t="s">
        <v>1095</v>
      </c>
      <c r="M320" s="19" t="s">
        <v>1098</v>
      </c>
      <c r="N320" s="19">
        <v>1752</v>
      </c>
      <c r="O320" s="19">
        <v>398217.4</v>
      </c>
      <c r="P320" s="19" t="s">
        <v>1490</v>
      </c>
      <c r="Q320" s="19">
        <v>3985748.6</v>
      </c>
      <c r="R320" s="19">
        <v>0</v>
      </c>
      <c r="S320" s="19">
        <v>0</v>
      </c>
      <c r="T320" s="19">
        <v>0</v>
      </c>
      <c r="U320" s="19">
        <v>0</v>
      </c>
      <c r="V320" s="19">
        <v>0</v>
      </c>
      <c r="W320" s="19">
        <v>0</v>
      </c>
      <c r="X320" s="19">
        <v>0</v>
      </c>
      <c r="Y320" s="19">
        <v>0</v>
      </c>
      <c r="Z320" s="19">
        <v>0</v>
      </c>
      <c r="AA320" s="19" t="s">
        <v>229</v>
      </c>
      <c r="AB320" s="19" t="s">
        <v>1091</v>
      </c>
      <c r="AC320" s="19">
        <v>63053200</v>
      </c>
      <c r="AD320" s="19" t="s">
        <v>1113</v>
      </c>
      <c r="AE320" s="19">
        <v>95.45</v>
      </c>
      <c r="AF320" s="19">
        <v>1752</v>
      </c>
      <c r="AG320" s="19" t="s">
        <v>1386</v>
      </c>
      <c r="AH320" s="19" t="s">
        <v>50</v>
      </c>
      <c r="AI320" s="19"/>
    </row>
    <row r="321" spans="2:35" x14ac:dyDescent="0.35">
      <c r="B321" s="82">
        <v>46231</v>
      </c>
      <c r="C321" s="19" t="s">
        <v>1482</v>
      </c>
      <c r="D321" s="19" t="s">
        <v>1109</v>
      </c>
      <c r="E321" s="83" t="s">
        <v>1489</v>
      </c>
      <c r="F321" s="19" t="s">
        <v>1291</v>
      </c>
      <c r="G321" s="19" t="s">
        <v>1489</v>
      </c>
      <c r="H321" s="76">
        <v>46231</v>
      </c>
      <c r="I321" s="19" t="s">
        <v>49</v>
      </c>
      <c r="J321" s="19" t="s">
        <v>50</v>
      </c>
      <c r="K321" s="19" t="s">
        <v>50</v>
      </c>
      <c r="L321" s="19" t="s">
        <v>1095</v>
      </c>
      <c r="M321" s="19" t="s">
        <v>1098</v>
      </c>
      <c r="N321" s="19">
        <v>1685</v>
      </c>
      <c r="O321" s="19">
        <v>365248.97000000003</v>
      </c>
      <c r="P321" s="19" t="s">
        <v>1491</v>
      </c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>
        <v>0</v>
      </c>
      <c r="Y321" s="19">
        <v>0</v>
      </c>
      <c r="Z321" s="19">
        <v>0</v>
      </c>
      <c r="AA321" s="19" t="s">
        <v>229</v>
      </c>
      <c r="AB321" s="19" t="s">
        <v>1091</v>
      </c>
      <c r="AC321" s="19">
        <v>63053200</v>
      </c>
      <c r="AD321" s="19" t="s">
        <v>1113</v>
      </c>
      <c r="AE321" s="19">
        <v>95.45</v>
      </c>
      <c r="AF321" s="19">
        <v>1685</v>
      </c>
      <c r="AG321" s="19" t="s">
        <v>1386</v>
      </c>
      <c r="AH321" s="19" t="s">
        <v>50</v>
      </c>
      <c r="AI321" s="19"/>
    </row>
    <row r="322" spans="2:35" x14ac:dyDescent="0.35">
      <c r="B322" s="82">
        <v>46231</v>
      </c>
      <c r="C322" s="19" t="s">
        <v>1482</v>
      </c>
      <c r="D322" s="19" t="s">
        <v>1109</v>
      </c>
      <c r="E322" s="83" t="s">
        <v>1489</v>
      </c>
      <c r="F322" s="19" t="s">
        <v>1291</v>
      </c>
      <c r="G322" s="19" t="s">
        <v>1489</v>
      </c>
      <c r="H322" s="76">
        <v>46231</v>
      </c>
      <c r="I322" s="19" t="s">
        <v>49</v>
      </c>
      <c r="J322" s="19" t="s">
        <v>50</v>
      </c>
      <c r="K322" s="19" t="s">
        <v>50</v>
      </c>
      <c r="L322" s="19" t="s">
        <v>1095</v>
      </c>
      <c r="M322" s="19" t="s">
        <v>1098</v>
      </c>
      <c r="N322" s="19">
        <v>3407</v>
      </c>
      <c r="O322" s="19">
        <v>652687.1</v>
      </c>
      <c r="P322" s="19" t="s">
        <v>1485</v>
      </c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>
        <v>0</v>
      </c>
      <c r="Y322" s="19">
        <v>0</v>
      </c>
      <c r="Z322" s="19">
        <v>0</v>
      </c>
      <c r="AA322" s="19" t="s">
        <v>229</v>
      </c>
      <c r="AB322" s="19" t="s">
        <v>1091</v>
      </c>
      <c r="AC322" s="19">
        <v>63053200</v>
      </c>
      <c r="AD322" s="19" t="s">
        <v>1113</v>
      </c>
      <c r="AE322" s="19">
        <v>95.45</v>
      </c>
      <c r="AF322" s="19">
        <v>3407</v>
      </c>
      <c r="AG322" s="19" t="s">
        <v>1386</v>
      </c>
      <c r="AH322" s="19" t="s">
        <v>50</v>
      </c>
      <c r="AI322" s="19"/>
    </row>
    <row r="323" spans="2:35" x14ac:dyDescent="0.35">
      <c r="B323" s="82">
        <v>46231</v>
      </c>
      <c r="C323" s="19" t="s">
        <v>1482</v>
      </c>
      <c r="D323" s="19" t="s">
        <v>1109</v>
      </c>
      <c r="E323" s="83" t="s">
        <v>1489</v>
      </c>
      <c r="F323" s="19" t="s">
        <v>1291</v>
      </c>
      <c r="G323" s="19" t="s">
        <v>1489</v>
      </c>
      <c r="H323" s="76">
        <v>46231</v>
      </c>
      <c r="I323" s="19" t="s">
        <v>49</v>
      </c>
      <c r="J323" s="19" t="s">
        <v>50</v>
      </c>
      <c r="K323" s="19" t="s">
        <v>50</v>
      </c>
      <c r="L323" s="19" t="s">
        <v>1095</v>
      </c>
      <c r="M323" s="19" t="s">
        <v>1098</v>
      </c>
      <c r="N323" s="19">
        <v>3909</v>
      </c>
      <c r="O323" s="19">
        <v>763122.75</v>
      </c>
      <c r="P323" s="19" t="s">
        <v>1485</v>
      </c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>
        <v>0</v>
      </c>
      <c r="Y323" s="19">
        <v>0</v>
      </c>
      <c r="Z323" s="19">
        <v>0</v>
      </c>
      <c r="AA323" s="19" t="s">
        <v>229</v>
      </c>
      <c r="AB323" s="19" t="s">
        <v>1091</v>
      </c>
      <c r="AC323" s="19">
        <v>63053200</v>
      </c>
      <c r="AD323" s="19" t="s">
        <v>1113</v>
      </c>
      <c r="AE323" s="19">
        <v>95.45</v>
      </c>
      <c r="AF323" s="19">
        <v>3909</v>
      </c>
      <c r="AG323" s="19" t="s">
        <v>1386</v>
      </c>
      <c r="AH323" s="19" t="s">
        <v>50</v>
      </c>
      <c r="AI323" s="19"/>
    </row>
    <row r="324" spans="2:35" x14ac:dyDescent="0.35">
      <c r="B324" s="82">
        <v>46231</v>
      </c>
      <c r="C324" s="19" t="s">
        <v>1482</v>
      </c>
      <c r="D324" s="19" t="s">
        <v>1109</v>
      </c>
      <c r="E324" s="83" t="s">
        <v>1489</v>
      </c>
      <c r="F324" s="19" t="s">
        <v>1291</v>
      </c>
      <c r="G324" s="19" t="s">
        <v>1489</v>
      </c>
      <c r="H324" s="76">
        <v>46231</v>
      </c>
      <c r="I324" s="19" t="s">
        <v>49</v>
      </c>
      <c r="J324" s="19" t="s">
        <v>50</v>
      </c>
      <c r="K324" s="19" t="s">
        <v>50</v>
      </c>
      <c r="L324" s="19" t="s">
        <v>1095</v>
      </c>
      <c r="M324" s="19" t="s">
        <v>1098</v>
      </c>
      <c r="N324" s="19">
        <v>1774</v>
      </c>
      <c r="O324" s="19">
        <v>323575.5</v>
      </c>
      <c r="P324" s="19" t="s">
        <v>1492</v>
      </c>
      <c r="Q324" s="19">
        <v>0</v>
      </c>
      <c r="R324" s="19">
        <v>0</v>
      </c>
      <c r="S324" s="19">
        <v>0</v>
      </c>
      <c r="T324" s="19">
        <v>0</v>
      </c>
      <c r="U324" s="19">
        <v>0</v>
      </c>
      <c r="V324" s="19">
        <v>0</v>
      </c>
      <c r="W324" s="19">
        <v>0</v>
      </c>
      <c r="X324" s="19">
        <v>0</v>
      </c>
      <c r="Y324" s="19">
        <v>0</v>
      </c>
      <c r="Z324" s="19">
        <v>0</v>
      </c>
      <c r="AA324" s="19" t="s">
        <v>229</v>
      </c>
      <c r="AB324" s="19" t="s">
        <v>1091</v>
      </c>
      <c r="AC324" s="19">
        <v>63053200</v>
      </c>
      <c r="AD324" s="19" t="s">
        <v>1113</v>
      </c>
      <c r="AE324" s="19">
        <v>95.45</v>
      </c>
      <c r="AF324" s="19">
        <v>1774</v>
      </c>
      <c r="AG324" s="19" t="s">
        <v>1386</v>
      </c>
      <c r="AH324" s="19" t="s">
        <v>50</v>
      </c>
      <c r="AI324" s="19"/>
    </row>
    <row r="325" spans="2:35" x14ac:dyDescent="0.35">
      <c r="B325" s="82">
        <v>46231</v>
      </c>
      <c r="C325" s="19" t="s">
        <v>1482</v>
      </c>
      <c r="D325" s="19" t="s">
        <v>1109</v>
      </c>
      <c r="E325" s="83" t="s">
        <v>1489</v>
      </c>
      <c r="F325" s="19" t="s">
        <v>1291</v>
      </c>
      <c r="G325" s="19" t="s">
        <v>1489</v>
      </c>
      <c r="H325" s="76">
        <v>46231</v>
      </c>
      <c r="I325" s="19" t="s">
        <v>49</v>
      </c>
      <c r="J325" s="19" t="s">
        <v>50</v>
      </c>
      <c r="K325" s="19" t="s">
        <v>50</v>
      </c>
      <c r="L325" s="19" t="s">
        <v>1095</v>
      </c>
      <c r="M325" s="19" t="s">
        <v>1098</v>
      </c>
      <c r="N325" s="19">
        <v>2940</v>
      </c>
      <c r="O325" s="19">
        <v>563536.80000000005</v>
      </c>
      <c r="P325" s="19" t="s">
        <v>1493</v>
      </c>
      <c r="Q325" s="19">
        <v>0</v>
      </c>
      <c r="R325" s="19">
        <v>0</v>
      </c>
      <c r="S325" s="19">
        <v>0</v>
      </c>
      <c r="T325" s="19">
        <v>0</v>
      </c>
      <c r="U325" s="19">
        <v>0</v>
      </c>
      <c r="V325" s="19">
        <v>0</v>
      </c>
      <c r="W325" s="19">
        <v>0</v>
      </c>
      <c r="X325" s="19">
        <v>0</v>
      </c>
      <c r="Y325" s="19">
        <v>0</v>
      </c>
      <c r="Z325" s="19">
        <v>0</v>
      </c>
      <c r="AA325" s="19" t="s">
        <v>229</v>
      </c>
      <c r="AB325" s="19" t="s">
        <v>1091</v>
      </c>
      <c r="AC325" s="19">
        <v>63053200</v>
      </c>
      <c r="AD325" s="19" t="s">
        <v>1113</v>
      </c>
      <c r="AE325" s="19">
        <v>95.45</v>
      </c>
      <c r="AF325" s="19">
        <v>2940</v>
      </c>
      <c r="AG325" s="19" t="s">
        <v>1386</v>
      </c>
      <c r="AH325" s="19" t="s">
        <v>50</v>
      </c>
      <c r="AI325" s="19"/>
    </row>
    <row r="326" spans="2:35" x14ac:dyDescent="0.35">
      <c r="B326" s="82">
        <v>46231</v>
      </c>
      <c r="C326" s="19" t="s">
        <v>1482</v>
      </c>
      <c r="D326" s="19" t="s">
        <v>1109</v>
      </c>
      <c r="E326" s="83" t="s">
        <v>1489</v>
      </c>
      <c r="F326" s="19" t="s">
        <v>1291</v>
      </c>
      <c r="G326" s="19" t="s">
        <v>1489</v>
      </c>
      <c r="H326" s="76">
        <v>46231</v>
      </c>
      <c r="I326" s="19" t="s">
        <v>49</v>
      </c>
      <c r="J326" s="19" t="s">
        <v>50</v>
      </c>
      <c r="K326" s="19" t="s">
        <v>50</v>
      </c>
      <c r="L326" s="19" t="s">
        <v>1095</v>
      </c>
      <c r="M326" s="19" t="s">
        <v>1098</v>
      </c>
      <c r="N326" s="19">
        <v>399</v>
      </c>
      <c r="O326" s="19">
        <v>74451</v>
      </c>
      <c r="P326" s="19" t="s">
        <v>1487</v>
      </c>
      <c r="Q326" s="19">
        <v>0</v>
      </c>
      <c r="R326" s="19">
        <v>0</v>
      </c>
      <c r="S326" s="19">
        <v>0</v>
      </c>
      <c r="T326" s="19">
        <v>0</v>
      </c>
      <c r="U326" s="19">
        <v>0</v>
      </c>
      <c r="V326" s="19">
        <v>0</v>
      </c>
      <c r="W326" s="19">
        <v>0</v>
      </c>
      <c r="X326" s="19">
        <v>0</v>
      </c>
      <c r="Y326" s="19">
        <v>0</v>
      </c>
      <c r="Z326" s="19">
        <v>0</v>
      </c>
      <c r="AA326" s="19" t="s">
        <v>229</v>
      </c>
      <c r="AB326" s="19" t="s">
        <v>1091</v>
      </c>
      <c r="AC326" s="19">
        <v>63053200</v>
      </c>
      <c r="AD326" s="19" t="s">
        <v>1113</v>
      </c>
      <c r="AE326" s="19">
        <v>95.45</v>
      </c>
      <c r="AF326" s="19">
        <v>399</v>
      </c>
      <c r="AG326" s="19" t="s">
        <v>1386</v>
      </c>
      <c r="AH326" s="19" t="s">
        <v>50</v>
      </c>
      <c r="AI326" s="19"/>
    </row>
    <row r="327" spans="2:35" x14ac:dyDescent="0.35">
      <c r="B327" s="82">
        <v>46231</v>
      </c>
      <c r="C327" s="19" t="s">
        <v>1482</v>
      </c>
      <c r="D327" s="19" t="s">
        <v>1109</v>
      </c>
      <c r="E327" s="83" t="s">
        <v>1489</v>
      </c>
      <c r="F327" s="19" t="s">
        <v>1291</v>
      </c>
      <c r="G327" s="19" t="s">
        <v>1489</v>
      </c>
      <c r="H327" s="76">
        <v>46231</v>
      </c>
      <c r="I327" s="19" t="s">
        <v>49</v>
      </c>
      <c r="J327" s="19" t="s">
        <v>50</v>
      </c>
      <c r="K327" s="19" t="s">
        <v>50</v>
      </c>
      <c r="L327" s="19" t="s">
        <v>1095</v>
      </c>
      <c r="M327" s="19" t="s">
        <v>1098</v>
      </c>
      <c r="N327" s="19">
        <v>396</v>
      </c>
      <c r="O327" s="19">
        <v>84473.25</v>
      </c>
      <c r="P327" s="19" t="s">
        <v>1494</v>
      </c>
      <c r="Q327" s="19">
        <v>0</v>
      </c>
      <c r="R327" s="19">
        <v>0</v>
      </c>
      <c r="S327" s="19">
        <v>0</v>
      </c>
      <c r="T327" s="19">
        <v>0</v>
      </c>
      <c r="U327" s="19">
        <v>0</v>
      </c>
      <c r="V327" s="19">
        <v>0</v>
      </c>
      <c r="W327" s="19">
        <v>0</v>
      </c>
      <c r="X327" s="19">
        <v>0</v>
      </c>
      <c r="Y327" s="19">
        <v>0</v>
      </c>
      <c r="Z327" s="19">
        <v>0</v>
      </c>
      <c r="AA327" s="19" t="s">
        <v>229</v>
      </c>
      <c r="AB327" s="19" t="s">
        <v>1091</v>
      </c>
      <c r="AC327" s="19">
        <v>63053200</v>
      </c>
      <c r="AD327" s="19" t="s">
        <v>1113</v>
      </c>
      <c r="AE327" s="19">
        <v>95.45</v>
      </c>
      <c r="AF327" s="19">
        <v>396</v>
      </c>
      <c r="AG327" s="19" t="s">
        <v>1386</v>
      </c>
      <c r="AH327" s="19" t="s">
        <v>50</v>
      </c>
      <c r="AI327" s="19"/>
    </row>
    <row r="328" spans="2:35" x14ac:dyDescent="0.35">
      <c r="B328" s="82">
        <v>46231</v>
      </c>
      <c r="C328" s="19" t="s">
        <v>1482</v>
      </c>
      <c r="D328" s="19" t="s">
        <v>1109</v>
      </c>
      <c r="E328" s="83" t="s">
        <v>1489</v>
      </c>
      <c r="F328" s="19" t="s">
        <v>1291</v>
      </c>
      <c r="G328" s="19" t="s">
        <v>1489</v>
      </c>
      <c r="H328" s="76">
        <v>46231</v>
      </c>
      <c r="I328" s="19" t="s">
        <v>49</v>
      </c>
      <c r="J328" s="19" t="s">
        <v>50</v>
      </c>
      <c r="K328" s="19" t="s">
        <v>50</v>
      </c>
      <c r="L328" s="19" t="s">
        <v>1095</v>
      </c>
      <c r="M328" s="19" t="s">
        <v>1098</v>
      </c>
      <c r="N328" s="19">
        <v>3280</v>
      </c>
      <c r="O328" s="19">
        <v>790555.08</v>
      </c>
      <c r="P328" s="19" t="s">
        <v>1495</v>
      </c>
      <c r="Q328" s="19">
        <v>0</v>
      </c>
      <c r="R328" s="19">
        <v>0</v>
      </c>
      <c r="S328" s="19">
        <v>0</v>
      </c>
      <c r="T328" s="19">
        <v>0</v>
      </c>
      <c r="U328" s="19">
        <v>0</v>
      </c>
      <c r="V328" s="19">
        <v>0</v>
      </c>
      <c r="W328" s="19">
        <v>0</v>
      </c>
      <c r="X328" s="19">
        <v>0</v>
      </c>
      <c r="Y328" s="19">
        <v>0</v>
      </c>
      <c r="Z328" s="19">
        <v>0</v>
      </c>
      <c r="AA328" s="19" t="s">
        <v>229</v>
      </c>
      <c r="AB328" s="19" t="s">
        <v>1091</v>
      </c>
      <c r="AC328" s="19">
        <v>63053200</v>
      </c>
      <c r="AD328" s="19" t="s">
        <v>1113</v>
      </c>
      <c r="AE328" s="19">
        <v>95.45</v>
      </c>
      <c r="AF328" s="19">
        <v>3280</v>
      </c>
      <c r="AG328" s="19" t="s">
        <v>1386</v>
      </c>
      <c r="AH328" s="19" t="s">
        <v>50</v>
      </c>
      <c r="AI328" s="19"/>
    </row>
    <row r="329" spans="2:35" x14ac:dyDescent="0.35">
      <c r="B329" s="82">
        <v>46231</v>
      </c>
      <c r="C329" s="19" t="s">
        <v>1482</v>
      </c>
      <c r="D329" s="19" t="s">
        <v>1109</v>
      </c>
      <c r="E329" s="83" t="s">
        <v>1496</v>
      </c>
      <c r="F329" s="19" t="s">
        <v>1291</v>
      </c>
      <c r="G329" s="19" t="s">
        <v>1496</v>
      </c>
      <c r="H329" s="76">
        <v>46231</v>
      </c>
      <c r="I329" s="19" t="s">
        <v>49</v>
      </c>
      <c r="J329" s="19" t="s">
        <v>50</v>
      </c>
      <c r="K329" s="19" t="s">
        <v>50</v>
      </c>
      <c r="L329" s="19" t="s">
        <v>1095</v>
      </c>
      <c r="M329" s="19" t="s">
        <v>1098</v>
      </c>
      <c r="N329" s="19">
        <v>2228</v>
      </c>
      <c r="O329" s="19">
        <v>434679.3</v>
      </c>
      <c r="P329" s="19" t="s">
        <v>1497</v>
      </c>
      <c r="Q329" s="19">
        <v>3937358.32</v>
      </c>
      <c r="R329" s="19">
        <v>0</v>
      </c>
      <c r="S329" s="19">
        <v>0</v>
      </c>
      <c r="T329" s="19">
        <v>0</v>
      </c>
      <c r="U329" s="19">
        <v>0</v>
      </c>
      <c r="V329" s="19">
        <v>0</v>
      </c>
      <c r="W329" s="19">
        <v>0</v>
      </c>
      <c r="X329" s="19">
        <v>0</v>
      </c>
      <c r="Y329" s="19">
        <v>0</v>
      </c>
      <c r="Z329" s="19">
        <v>0</v>
      </c>
      <c r="AA329" s="19" t="s">
        <v>229</v>
      </c>
      <c r="AB329" s="19" t="s">
        <v>1091</v>
      </c>
      <c r="AC329" s="19">
        <v>63053200</v>
      </c>
      <c r="AD329" s="19" t="s">
        <v>1113</v>
      </c>
      <c r="AE329" s="19">
        <v>95.45</v>
      </c>
      <c r="AF329" s="19">
        <v>2228</v>
      </c>
      <c r="AG329" s="19" t="s">
        <v>1386</v>
      </c>
      <c r="AH329" s="19" t="s">
        <v>50</v>
      </c>
      <c r="AI329" s="19"/>
    </row>
    <row r="330" spans="2:35" x14ac:dyDescent="0.35">
      <c r="B330" s="82">
        <v>46231</v>
      </c>
      <c r="C330" s="19" t="s">
        <v>1482</v>
      </c>
      <c r="D330" s="19" t="s">
        <v>1109</v>
      </c>
      <c r="E330" s="83" t="s">
        <v>1496</v>
      </c>
      <c r="F330" s="19" t="s">
        <v>1291</v>
      </c>
      <c r="G330" s="19" t="s">
        <v>1496</v>
      </c>
      <c r="H330" s="76">
        <v>46231</v>
      </c>
      <c r="I330" s="19" t="s">
        <v>49</v>
      </c>
      <c r="J330" s="19" t="s">
        <v>50</v>
      </c>
      <c r="K330" s="19" t="s">
        <v>50</v>
      </c>
      <c r="L330" s="19" t="s">
        <v>1095</v>
      </c>
      <c r="M330" s="19" t="s">
        <v>1098</v>
      </c>
      <c r="N330" s="19">
        <v>14538</v>
      </c>
      <c r="O330" s="19">
        <v>3013022.4250000003</v>
      </c>
      <c r="P330" s="19" t="s">
        <v>1498</v>
      </c>
      <c r="Q330" s="19">
        <v>0</v>
      </c>
      <c r="R330" s="19">
        <v>0</v>
      </c>
      <c r="S330" s="19">
        <v>0</v>
      </c>
      <c r="T330" s="19">
        <v>0</v>
      </c>
      <c r="U330" s="19">
        <v>0</v>
      </c>
      <c r="V330" s="19">
        <v>0</v>
      </c>
      <c r="W330" s="19">
        <v>0</v>
      </c>
      <c r="X330" s="19">
        <v>0</v>
      </c>
      <c r="Y330" s="19">
        <v>0</v>
      </c>
      <c r="Z330" s="19">
        <v>0</v>
      </c>
      <c r="AA330" s="19" t="s">
        <v>229</v>
      </c>
      <c r="AB330" s="19" t="s">
        <v>1091</v>
      </c>
      <c r="AC330" s="19">
        <v>63053200</v>
      </c>
      <c r="AD330" s="19" t="s">
        <v>1113</v>
      </c>
      <c r="AE330" s="19">
        <v>95.45</v>
      </c>
      <c r="AF330" s="19">
        <v>14538</v>
      </c>
      <c r="AG330" s="19" t="s">
        <v>1386</v>
      </c>
      <c r="AH330" s="19" t="s">
        <v>50</v>
      </c>
      <c r="AI330" s="19"/>
    </row>
    <row r="331" spans="2:35" x14ac:dyDescent="0.35">
      <c r="B331" s="82">
        <v>46231</v>
      </c>
      <c r="C331" s="19" t="s">
        <v>1482</v>
      </c>
      <c r="D331" s="19" t="s">
        <v>1109</v>
      </c>
      <c r="E331" s="83" t="s">
        <v>1496</v>
      </c>
      <c r="F331" s="19" t="s">
        <v>1291</v>
      </c>
      <c r="G331" s="19" t="s">
        <v>1496</v>
      </c>
      <c r="H331" s="76">
        <v>46231</v>
      </c>
      <c r="I331" s="19" t="s">
        <v>49</v>
      </c>
      <c r="J331" s="19" t="s">
        <v>50</v>
      </c>
      <c r="K331" s="19" t="s">
        <v>50</v>
      </c>
      <c r="L331" s="19" t="s">
        <v>1095</v>
      </c>
      <c r="M331" s="19" t="s">
        <v>1098</v>
      </c>
      <c r="N331" s="19">
        <v>788</v>
      </c>
      <c r="O331" s="19">
        <v>172382.7</v>
      </c>
      <c r="P331" s="19" t="s">
        <v>1487</v>
      </c>
      <c r="Q331" s="19">
        <v>0</v>
      </c>
      <c r="R331" s="19">
        <v>0</v>
      </c>
      <c r="S331" s="19">
        <v>0</v>
      </c>
      <c r="T331" s="19">
        <v>0</v>
      </c>
      <c r="U331" s="19">
        <v>0</v>
      </c>
      <c r="V331" s="19">
        <v>0</v>
      </c>
      <c r="W331" s="19">
        <v>0</v>
      </c>
      <c r="X331" s="19">
        <v>0</v>
      </c>
      <c r="Y331" s="19">
        <v>0</v>
      </c>
      <c r="Z331" s="19">
        <v>0</v>
      </c>
      <c r="AA331" s="19" t="s">
        <v>229</v>
      </c>
      <c r="AB331" s="19" t="s">
        <v>1091</v>
      </c>
      <c r="AC331" s="19">
        <v>63053200</v>
      </c>
      <c r="AD331" s="19" t="s">
        <v>1113</v>
      </c>
      <c r="AE331" s="19">
        <v>95.45</v>
      </c>
      <c r="AF331" s="19">
        <v>788</v>
      </c>
      <c r="AG331" s="19" t="s">
        <v>1386</v>
      </c>
      <c r="AH331" s="19" t="s">
        <v>50</v>
      </c>
      <c r="AI331" s="19"/>
    </row>
    <row r="332" spans="2:35" x14ac:dyDescent="0.35">
      <c r="B332" s="82">
        <v>46231</v>
      </c>
      <c r="C332" s="19" t="s">
        <v>1482</v>
      </c>
      <c r="D332" s="19" t="s">
        <v>1109</v>
      </c>
      <c r="E332" s="83" t="s">
        <v>1496</v>
      </c>
      <c r="F332" s="19" t="s">
        <v>1291</v>
      </c>
      <c r="G332" s="19" t="s">
        <v>1496</v>
      </c>
      <c r="H332" s="76">
        <v>46231</v>
      </c>
      <c r="I332" s="19" t="s">
        <v>49</v>
      </c>
      <c r="J332" s="19" t="s">
        <v>50</v>
      </c>
      <c r="K332" s="19" t="s">
        <v>50</v>
      </c>
      <c r="L332" s="19" t="s">
        <v>1095</v>
      </c>
      <c r="M332" s="19" t="s">
        <v>1098</v>
      </c>
      <c r="N332" s="19">
        <v>778</v>
      </c>
      <c r="O332" s="19">
        <v>152338.20000000001</v>
      </c>
      <c r="P332" s="19" t="s">
        <v>1487</v>
      </c>
      <c r="Q332" s="19">
        <v>0</v>
      </c>
      <c r="R332" s="19">
        <v>0</v>
      </c>
      <c r="S332" s="19">
        <v>0</v>
      </c>
      <c r="T332" s="19">
        <v>0</v>
      </c>
      <c r="U332" s="19">
        <v>0</v>
      </c>
      <c r="V332" s="19">
        <v>0</v>
      </c>
      <c r="W332" s="19">
        <v>0</v>
      </c>
      <c r="X332" s="19">
        <v>0</v>
      </c>
      <c r="Y332" s="19">
        <v>0</v>
      </c>
      <c r="Z332" s="19">
        <v>0</v>
      </c>
      <c r="AA332" s="19" t="s">
        <v>229</v>
      </c>
      <c r="AB332" s="19" t="s">
        <v>1091</v>
      </c>
      <c r="AC332" s="19">
        <v>63053200</v>
      </c>
      <c r="AD332" s="19" t="s">
        <v>1113</v>
      </c>
      <c r="AE332" s="19">
        <v>95.45</v>
      </c>
      <c r="AF332" s="19">
        <v>778</v>
      </c>
      <c r="AG332" s="19" t="s">
        <v>1386</v>
      </c>
      <c r="AH332" s="19" t="s">
        <v>50</v>
      </c>
      <c r="AI332" s="19"/>
    </row>
    <row r="333" spans="2:35" x14ac:dyDescent="0.35">
      <c r="B333" s="82">
        <v>46231</v>
      </c>
      <c r="C333" s="19" t="s">
        <v>1482</v>
      </c>
      <c r="D333" s="19" t="s">
        <v>1109</v>
      </c>
      <c r="E333" s="83" t="s">
        <v>1496</v>
      </c>
      <c r="F333" s="19" t="s">
        <v>1291</v>
      </c>
      <c r="G333" s="19" t="s">
        <v>1496</v>
      </c>
      <c r="H333" s="76">
        <v>46231</v>
      </c>
      <c r="I333" s="19" t="s">
        <v>49</v>
      </c>
      <c r="J333" s="19" t="s">
        <v>50</v>
      </c>
      <c r="K333" s="19" t="s">
        <v>50</v>
      </c>
      <c r="L333" s="19" t="s">
        <v>1095</v>
      </c>
      <c r="M333" s="19" t="s">
        <v>1098</v>
      </c>
      <c r="N333" s="19">
        <v>1031</v>
      </c>
      <c r="O333" s="19">
        <v>194689.36500000002</v>
      </c>
      <c r="P333" s="19" t="s">
        <v>1499</v>
      </c>
      <c r="Q333" s="19">
        <v>0</v>
      </c>
      <c r="R333" s="19">
        <v>0</v>
      </c>
      <c r="S333" s="19">
        <v>0</v>
      </c>
      <c r="T333" s="19">
        <v>0</v>
      </c>
      <c r="U333" s="19">
        <v>0</v>
      </c>
      <c r="V333" s="19">
        <v>0</v>
      </c>
      <c r="W333" s="19">
        <v>0</v>
      </c>
      <c r="X333" s="19">
        <v>0</v>
      </c>
      <c r="Y333" s="19">
        <v>0</v>
      </c>
      <c r="Z333" s="19">
        <v>0</v>
      </c>
      <c r="AA333" s="19" t="s">
        <v>229</v>
      </c>
      <c r="AB333" s="19" t="s">
        <v>1091</v>
      </c>
      <c r="AC333" s="19">
        <v>63053200</v>
      </c>
      <c r="AD333" s="19" t="s">
        <v>1113</v>
      </c>
      <c r="AE333" s="19">
        <v>95.45</v>
      </c>
      <c r="AF333" s="19">
        <v>1031</v>
      </c>
      <c r="AG333" s="19" t="s">
        <v>1386</v>
      </c>
      <c r="AH333" s="19" t="s">
        <v>50</v>
      </c>
      <c r="AI333" s="19"/>
    </row>
    <row r="334" spans="2:35" x14ac:dyDescent="0.35">
      <c r="B334" s="82">
        <v>46232</v>
      </c>
      <c r="C334" s="19" t="s">
        <v>1500</v>
      </c>
      <c r="D334" s="19" t="s">
        <v>11</v>
      </c>
      <c r="E334" s="83">
        <v>524</v>
      </c>
      <c r="F334" s="19" t="s">
        <v>1085</v>
      </c>
      <c r="G334" s="19" t="s">
        <v>1501</v>
      </c>
      <c r="H334" s="76">
        <v>46232</v>
      </c>
      <c r="I334" s="19" t="s">
        <v>49</v>
      </c>
      <c r="J334" s="19" t="s">
        <v>50</v>
      </c>
      <c r="K334" s="19" t="s">
        <v>50</v>
      </c>
      <c r="L334" s="19" t="s">
        <v>1095</v>
      </c>
      <c r="M334" s="19" t="s">
        <v>1096</v>
      </c>
      <c r="N334" s="19">
        <v>4633.6000000000004</v>
      </c>
      <c r="O334" s="19">
        <v>1067850</v>
      </c>
      <c r="P334" s="19" t="s">
        <v>1502</v>
      </c>
      <c r="Q334" s="19">
        <v>1260063</v>
      </c>
      <c r="R334" s="19">
        <v>9</v>
      </c>
      <c r="S334" s="19">
        <v>96106.5</v>
      </c>
      <c r="T334" s="19">
        <v>9</v>
      </c>
      <c r="U334" s="19">
        <v>96106.5</v>
      </c>
      <c r="V334" s="19">
        <v>0</v>
      </c>
      <c r="W334" s="19">
        <v>0</v>
      </c>
      <c r="X334" s="19">
        <v>0</v>
      </c>
      <c r="Y334" s="19">
        <v>192213</v>
      </c>
      <c r="Z334" s="19">
        <v>0</v>
      </c>
      <c r="AA334" s="19" t="s">
        <v>1503</v>
      </c>
      <c r="AB334" s="19" t="s">
        <v>1091</v>
      </c>
      <c r="AC334" s="19">
        <v>63053200</v>
      </c>
      <c r="AD334" s="19" t="s">
        <v>1092</v>
      </c>
      <c r="AE334" s="19">
        <v>1</v>
      </c>
      <c r="AF334" s="19">
        <v>4633.6000000000004</v>
      </c>
      <c r="AG334" s="19" t="s">
        <v>1093</v>
      </c>
      <c r="AH334" s="19" t="s">
        <v>50</v>
      </c>
      <c r="AI334" s="19"/>
    </row>
    <row r="335" spans="2:35" x14ac:dyDescent="0.35">
      <c r="B335" s="82">
        <v>46232</v>
      </c>
      <c r="C335" s="19" t="s">
        <v>1384</v>
      </c>
      <c r="D335" s="19" t="s">
        <v>1109</v>
      </c>
      <c r="E335" s="83" t="s">
        <v>1504</v>
      </c>
      <c r="F335" s="19" t="s">
        <v>1291</v>
      </c>
      <c r="G335" s="19" t="s">
        <v>1504</v>
      </c>
      <c r="H335" s="76">
        <v>46232</v>
      </c>
      <c r="I335" s="19" t="s">
        <v>49</v>
      </c>
      <c r="J335" s="19" t="s">
        <v>50</v>
      </c>
      <c r="K335" s="19" t="s">
        <v>50</v>
      </c>
      <c r="L335" s="19" t="s">
        <v>1095</v>
      </c>
      <c r="M335" s="19" t="s">
        <v>1098</v>
      </c>
      <c r="N335" s="19">
        <v>19647</v>
      </c>
      <c r="O335" s="19">
        <v>4071427.0320000001</v>
      </c>
      <c r="P335" s="19" t="s">
        <v>1505</v>
      </c>
      <c r="Q335" s="19">
        <v>4071427.03</v>
      </c>
      <c r="R335" s="19">
        <v>0</v>
      </c>
      <c r="S335" s="19">
        <v>0</v>
      </c>
      <c r="T335" s="19">
        <v>0</v>
      </c>
      <c r="U335" s="19">
        <v>0</v>
      </c>
      <c r="V335" s="19">
        <v>0</v>
      </c>
      <c r="W335" s="19">
        <v>0</v>
      </c>
      <c r="X335" s="19">
        <v>0</v>
      </c>
      <c r="Y335" s="19">
        <v>0</v>
      </c>
      <c r="Z335" s="19">
        <v>0</v>
      </c>
      <c r="AA335" s="19" t="s">
        <v>229</v>
      </c>
      <c r="AB335" s="19" t="s">
        <v>1091</v>
      </c>
      <c r="AC335" s="19">
        <v>63053200</v>
      </c>
      <c r="AD335" s="19" t="s">
        <v>1121</v>
      </c>
      <c r="AE335" s="19">
        <v>108.6</v>
      </c>
      <c r="AF335" s="19">
        <v>19647</v>
      </c>
      <c r="AG335" s="19" t="s">
        <v>1386</v>
      </c>
      <c r="AH335" s="19" t="s">
        <v>50</v>
      </c>
      <c r="AI335" s="19"/>
    </row>
    <row r="336" spans="2:35" x14ac:dyDescent="0.35">
      <c r="B336" s="82">
        <v>46232</v>
      </c>
      <c r="C336" s="19" t="s">
        <v>1084</v>
      </c>
      <c r="D336" s="19" t="s">
        <v>11</v>
      </c>
      <c r="E336" s="83">
        <v>522</v>
      </c>
      <c r="F336" s="19" t="s">
        <v>1085</v>
      </c>
      <c r="G336" s="19" t="s">
        <v>1506</v>
      </c>
      <c r="H336" s="76">
        <v>46232</v>
      </c>
      <c r="I336" s="19" t="s">
        <v>49</v>
      </c>
      <c r="J336" s="19" t="s">
        <v>50</v>
      </c>
      <c r="K336" s="19" t="s">
        <v>50</v>
      </c>
      <c r="L336" s="19" t="s">
        <v>1095</v>
      </c>
      <c r="M336" s="19" t="s">
        <v>1098</v>
      </c>
      <c r="N336" s="19">
        <v>882</v>
      </c>
      <c r="O336" s="19">
        <v>265746.59999999998</v>
      </c>
      <c r="P336" s="19" t="s">
        <v>1470</v>
      </c>
      <c r="Q336" s="19">
        <v>896083.81</v>
      </c>
      <c r="R336" s="19">
        <v>9</v>
      </c>
      <c r="S336" s="19">
        <v>23917.19</v>
      </c>
      <c r="T336" s="19">
        <v>9</v>
      </c>
      <c r="U336" s="19">
        <v>23917.19</v>
      </c>
      <c r="V336" s="19">
        <v>0</v>
      </c>
      <c r="W336" s="19">
        <v>0</v>
      </c>
      <c r="X336" s="19">
        <v>0</v>
      </c>
      <c r="Y336" s="19">
        <v>47834.38</v>
      </c>
      <c r="Z336" s="19">
        <v>0</v>
      </c>
      <c r="AA336" s="19" t="s">
        <v>135</v>
      </c>
      <c r="AB336" s="19" t="s">
        <v>1091</v>
      </c>
      <c r="AC336" s="19">
        <v>63053200</v>
      </c>
      <c r="AD336" s="19" t="s">
        <v>1092</v>
      </c>
      <c r="AE336" s="19">
        <v>1</v>
      </c>
      <c r="AF336" s="19">
        <v>882</v>
      </c>
      <c r="AG336" s="19" t="s">
        <v>1093</v>
      </c>
      <c r="AH336" s="19" t="s">
        <v>50</v>
      </c>
      <c r="AI336" s="19"/>
    </row>
    <row r="337" spans="2:35" x14ac:dyDescent="0.35">
      <c r="B337" s="82">
        <v>46232</v>
      </c>
      <c r="C337" s="19" t="s">
        <v>1084</v>
      </c>
      <c r="D337" s="19" t="s">
        <v>11</v>
      </c>
      <c r="E337" s="83">
        <v>522</v>
      </c>
      <c r="F337" s="19" t="s">
        <v>1085</v>
      </c>
      <c r="G337" s="19" t="s">
        <v>1506</v>
      </c>
      <c r="H337" s="76">
        <v>46232</v>
      </c>
      <c r="I337" s="19" t="s">
        <v>49</v>
      </c>
      <c r="J337" s="19" t="s">
        <v>50</v>
      </c>
      <c r="K337" s="19" t="s">
        <v>50</v>
      </c>
      <c r="L337" s="19" t="s">
        <v>1095</v>
      </c>
      <c r="M337" s="19" t="s">
        <v>1098</v>
      </c>
      <c r="N337" s="19">
        <v>871.3</v>
      </c>
      <c r="O337" s="19">
        <v>243214.68</v>
      </c>
      <c r="P337" s="19" t="s">
        <v>1471</v>
      </c>
      <c r="Q337" s="19">
        <v>0</v>
      </c>
      <c r="R337" s="19">
        <v>9</v>
      </c>
      <c r="S337" s="19">
        <v>21889.32</v>
      </c>
      <c r="T337" s="19">
        <v>9</v>
      </c>
      <c r="U337" s="19">
        <v>21889.32</v>
      </c>
      <c r="V337" s="19">
        <v>0</v>
      </c>
      <c r="W337" s="19">
        <v>0</v>
      </c>
      <c r="X337" s="19">
        <v>0</v>
      </c>
      <c r="Y337" s="19">
        <v>43778.64</v>
      </c>
      <c r="Z337" s="19">
        <v>0</v>
      </c>
      <c r="AA337" s="19" t="s">
        <v>135</v>
      </c>
      <c r="AB337" s="19" t="s">
        <v>1091</v>
      </c>
      <c r="AC337" s="19">
        <v>63053200</v>
      </c>
      <c r="AD337" s="19" t="s">
        <v>1092</v>
      </c>
      <c r="AE337" s="19">
        <v>1</v>
      </c>
      <c r="AF337" s="19">
        <v>871.3</v>
      </c>
      <c r="AG337" s="19" t="s">
        <v>1093</v>
      </c>
      <c r="AH337" s="19" t="s">
        <v>50</v>
      </c>
      <c r="AI337" s="19"/>
    </row>
    <row r="338" spans="2:35" x14ac:dyDescent="0.35">
      <c r="B338" s="82">
        <v>46232</v>
      </c>
      <c r="C338" s="19" t="s">
        <v>1084</v>
      </c>
      <c r="D338" s="19" t="s">
        <v>11</v>
      </c>
      <c r="E338" s="83">
        <v>522</v>
      </c>
      <c r="F338" s="19" t="s">
        <v>1085</v>
      </c>
      <c r="G338" s="19" t="s">
        <v>1506</v>
      </c>
      <c r="H338" s="76">
        <v>46232</v>
      </c>
      <c r="I338" s="19" t="s">
        <v>49</v>
      </c>
      <c r="J338" s="19" t="s">
        <v>50</v>
      </c>
      <c r="K338" s="19" t="s">
        <v>50</v>
      </c>
      <c r="L338" s="19" t="s">
        <v>1095</v>
      </c>
      <c r="M338" s="19" t="s">
        <v>1098</v>
      </c>
      <c r="N338" s="19">
        <v>1339</v>
      </c>
      <c r="O338" s="19">
        <v>251075.89</v>
      </c>
      <c r="P338" s="19" t="s">
        <v>1464</v>
      </c>
      <c r="Q338" s="19">
        <v>0</v>
      </c>
      <c r="R338" s="19">
        <v>9</v>
      </c>
      <c r="S338" s="19">
        <v>22596.83</v>
      </c>
      <c r="T338" s="19">
        <v>9</v>
      </c>
      <c r="U338" s="19">
        <v>22596.83</v>
      </c>
      <c r="V338" s="19">
        <v>0</v>
      </c>
      <c r="W338" s="19">
        <v>0</v>
      </c>
      <c r="X338" s="19">
        <v>0</v>
      </c>
      <c r="Y338" s="19">
        <v>45193.66</v>
      </c>
      <c r="Z338" s="19">
        <v>0</v>
      </c>
      <c r="AA338" s="19" t="s">
        <v>135</v>
      </c>
      <c r="AB338" s="19" t="s">
        <v>1091</v>
      </c>
      <c r="AC338" s="19">
        <v>63053200</v>
      </c>
      <c r="AD338" s="19" t="s">
        <v>1092</v>
      </c>
      <c r="AE338" s="19">
        <v>1</v>
      </c>
      <c r="AF338" s="19">
        <v>1339</v>
      </c>
      <c r="AG338" s="19" t="s">
        <v>1093</v>
      </c>
      <c r="AH338" s="19" t="s">
        <v>50</v>
      </c>
      <c r="AI338" s="19"/>
    </row>
    <row r="339" spans="2:35" hidden="1" x14ac:dyDescent="0.35">
      <c r="B339" s="82">
        <v>46232</v>
      </c>
      <c r="C339" s="19" t="s">
        <v>1136</v>
      </c>
      <c r="D339" s="19" t="s">
        <v>11</v>
      </c>
      <c r="E339" s="83">
        <v>518</v>
      </c>
      <c r="F339" s="19" t="s">
        <v>1124</v>
      </c>
      <c r="G339" s="19" t="s">
        <v>1507</v>
      </c>
      <c r="H339" s="76">
        <v>46232</v>
      </c>
      <c r="I339" s="19" t="s">
        <v>101</v>
      </c>
      <c r="J339" s="19" t="s">
        <v>1508</v>
      </c>
      <c r="K339" s="19" t="s">
        <v>1509</v>
      </c>
      <c r="L339" s="19" t="s">
        <v>1509</v>
      </c>
      <c r="M339" s="19" t="s">
        <v>1510</v>
      </c>
      <c r="N339" s="19">
        <v>30</v>
      </c>
      <c r="O339" s="19">
        <v>25440</v>
      </c>
      <c r="P339" s="19" t="s">
        <v>1139</v>
      </c>
      <c r="Q339" s="19">
        <v>29993.759999999998</v>
      </c>
      <c r="R339" s="19">
        <v>9</v>
      </c>
      <c r="S339" s="19">
        <v>2289.6</v>
      </c>
      <c r="T339" s="19">
        <v>9</v>
      </c>
      <c r="U339" s="19">
        <v>2289.6</v>
      </c>
      <c r="V339" s="19">
        <v>0</v>
      </c>
      <c r="W339" s="19">
        <v>0</v>
      </c>
      <c r="X339" s="19">
        <v>0</v>
      </c>
      <c r="Y339" s="19">
        <v>4579.2</v>
      </c>
      <c r="Z339" s="19">
        <v>0</v>
      </c>
      <c r="AA339" s="19" t="s">
        <v>135</v>
      </c>
      <c r="AB339" s="19" t="s">
        <v>1091</v>
      </c>
      <c r="AC339" s="19">
        <v>392690</v>
      </c>
      <c r="AD339" s="19" t="s">
        <v>1092</v>
      </c>
      <c r="AE339" s="19">
        <v>1</v>
      </c>
      <c r="AF339" s="19">
        <v>30</v>
      </c>
      <c r="AG339" s="19" t="s">
        <v>1093</v>
      </c>
      <c r="AH339" s="83" t="s">
        <v>2319</v>
      </c>
      <c r="AI339" s="19"/>
    </row>
    <row r="340" spans="2:35" x14ac:dyDescent="0.35">
      <c r="B340" s="82">
        <v>46232</v>
      </c>
      <c r="C340" s="19" t="s">
        <v>1136</v>
      </c>
      <c r="D340" s="19" t="s">
        <v>11</v>
      </c>
      <c r="E340" s="83">
        <v>519</v>
      </c>
      <c r="F340" s="19" t="s">
        <v>1085</v>
      </c>
      <c r="G340" s="19" t="s">
        <v>1511</v>
      </c>
      <c r="H340" s="76">
        <v>46232</v>
      </c>
      <c r="I340" s="19" t="s">
        <v>49</v>
      </c>
      <c r="J340" s="19" t="s">
        <v>50</v>
      </c>
      <c r="K340" s="19" t="s">
        <v>50</v>
      </c>
      <c r="L340" s="19" t="s">
        <v>1095</v>
      </c>
      <c r="M340" s="19" t="s">
        <v>1098</v>
      </c>
      <c r="N340" s="19">
        <v>5780</v>
      </c>
      <c r="O340" s="19">
        <v>1626029.6</v>
      </c>
      <c r="P340" s="19" t="s">
        <v>1512</v>
      </c>
      <c r="Q340" s="19">
        <v>1917088.89</v>
      </c>
      <c r="R340" s="19">
        <v>9</v>
      </c>
      <c r="S340" s="19">
        <v>146342.66</v>
      </c>
      <c r="T340" s="19">
        <v>9</v>
      </c>
      <c r="U340" s="19">
        <v>146342.66</v>
      </c>
      <c r="V340" s="19">
        <v>0</v>
      </c>
      <c r="W340" s="19">
        <v>0</v>
      </c>
      <c r="X340" s="19">
        <v>0</v>
      </c>
      <c r="Y340" s="19">
        <v>292685.32</v>
      </c>
      <c r="Z340" s="19">
        <v>0</v>
      </c>
      <c r="AA340" s="19" t="s">
        <v>135</v>
      </c>
      <c r="AB340" s="19" t="s">
        <v>1091</v>
      </c>
      <c r="AC340" s="19">
        <v>63053200</v>
      </c>
      <c r="AD340" s="19" t="s">
        <v>1092</v>
      </c>
      <c r="AE340" s="19">
        <v>1</v>
      </c>
      <c r="AF340" s="19">
        <v>5780</v>
      </c>
      <c r="AG340" s="19" t="s">
        <v>1093</v>
      </c>
      <c r="AH340" s="19" t="s">
        <v>50</v>
      </c>
      <c r="AI340" s="19"/>
    </row>
    <row r="341" spans="2:35" x14ac:dyDescent="0.35">
      <c r="B341" s="82">
        <v>46232</v>
      </c>
      <c r="C341" s="19" t="s">
        <v>1136</v>
      </c>
      <c r="D341" s="19" t="s">
        <v>11</v>
      </c>
      <c r="E341" s="83">
        <v>523</v>
      </c>
      <c r="F341" s="19" t="s">
        <v>1085</v>
      </c>
      <c r="G341" s="19" t="s">
        <v>1513</v>
      </c>
      <c r="H341" s="76">
        <v>46232</v>
      </c>
      <c r="I341" s="19" t="s">
        <v>36</v>
      </c>
      <c r="J341" s="19" t="s">
        <v>1087</v>
      </c>
      <c r="K341" s="19" t="s">
        <v>46</v>
      </c>
      <c r="L341" s="19" t="s">
        <v>1138</v>
      </c>
      <c r="M341" s="19" t="s">
        <v>1181</v>
      </c>
      <c r="N341" s="19">
        <v>235.2</v>
      </c>
      <c r="O341" s="19">
        <v>36256.080000000002</v>
      </c>
      <c r="P341" s="19" t="s">
        <v>1182</v>
      </c>
      <c r="Q341" s="19">
        <v>133499.42000000001</v>
      </c>
      <c r="R341" s="19">
        <v>2.5</v>
      </c>
      <c r="S341" s="19">
        <v>906.4</v>
      </c>
      <c r="T341" s="19">
        <v>2.5</v>
      </c>
      <c r="U341" s="19">
        <v>906.4</v>
      </c>
      <c r="V341" s="19">
        <v>0</v>
      </c>
      <c r="W341" s="19">
        <v>0</v>
      </c>
      <c r="X341" s="19">
        <v>0</v>
      </c>
      <c r="Y341" s="19">
        <v>1812.8</v>
      </c>
      <c r="Z341" s="19">
        <v>0</v>
      </c>
      <c r="AA341" s="19" t="s">
        <v>135</v>
      </c>
      <c r="AB341" s="19" t="s">
        <v>1091</v>
      </c>
      <c r="AC341" s="19">
        <v>54026930</v>
      </c>
      <c r="AD341" s="19" t="s">
        <v>1092</v>
      </c>
      <c r="AE341" s="19">
        <v>1</v>
      </c>
      <c r="AF341" s="19">
        <v>235.2</v>
      </c>
      <c r="AG341" s="19" t="s">
        <v>1093</v>
      </c>
      <c r="AH341" s="19" t="s">
        <v>46</v>
      </c>
      <c r="AI341" s="19"/>
    </row>
    <row r="342" spans="2:35" x14ac:dyDescent="0.35">
      <c r="B342" s="82">
        <v>46232</v>
      </c>
      <c r="C342" s="19" t="s">
        <v>1136</v>
      </c>
      <c r="D342" s="19" t="s">
        <v>11</v>
      </c>
      <c r="E342" s="83">
        <v>523</v>
      </c>
      <c r="F342" s="19" t="s">
        <v>1085</v>
      </c>
      <c r="G342" s="19" t="s">
        <v>1513</v>
      </c>
      <c r="H342" s="76">
        <v>46232</v>
      </c>
      <c r="I342" s="19" t="s">
        <v>36</v>
      </c>
      <c r="J342" s="19" t="s">
        <v>1087</v>
      </c>
      <c r="K342" s="19" t="s">
        <v>46</v>
      </c>
      <c r="L342" s="19" t="s">
        <v>1138</v>
      </c>
      <c r="M342" s="19" t="s">
        <v>1089</v>
      </c>
      <c r="N342" s="19">
        <v>602.1</v>
      </c>
      <c r="O342" s="19">
        <v>91007.42</v>
      </c>
      <c r="P342" s="19" t="s">
        <v>1090</v>
      </c>
      <c r="Q342" s="19">
        <v>0</v>
      </c>
      <c r="R342" s="19">
        <v>2.5</v>
      </c>
      <c r="S342" s="19">
        <v>2275.19</v>
      </c>
      <c r="T342" s="19">
        <v>2.5</v>
      </c>
      <c r="U342" s="19">
        <v>2275.19</v>
      </c>
      <c r="V342" s="19">
        <v>0</v>
      </c>
      <c r="W342" s="19">
        <v>0</v>
      </c>
      <c r="X342" s="19">
        <v>0</v>
      </c>
      <c r="Y342" s="19">
        <v>4550.38</v>
      </c>
      <c r="Z342" s="19">
        <v>0</v>
      </c>
      <c r="AA342" s="19" t="s">
        <v>135</v>
      </c>
      <c r="AB342" s="19" t="s">
        <v>1091</v>
      </c>
      <c r="AC342" s="19">
        <v>54026930</v>
      </c>
      <c r="AD342" s="19" t="s">
        <v>1092</v>
      </c>
      <c r="AE342" s="19">
        <v>1</v>
      </c>
      <c r="AF342" s="19">
        <v>602.1</v>
      </c>
      <c r="AG342" s="19" t="s">
        <v>1093</v>
      </c>
      <c r="AH342" s="19" t="s">
        <v>46</v>
      </c>
      <c r="AI342" s="19"/>
    </row>
    <row r="343" spans="2:35" x14ac:dyDescent="0.35">
      <c r="B343" s="82">
        <v>46232</v>
      </c>
      <c r="C343" s="19" t="s">
        <v>1171</v>
      </c>
      <c r="D343" s="19" t="s">
        <v>11</v>
      </c>
      <c r="E343" s="83">
        <v>520</v>
      </c>
      <c r="F343" s="19" t="s">
        <v>1085</v>
      </c>
      <c r="G343" s="19" t="s">
        <v>1514</v>
      </c>
      <c r="H343" s="76">
        <v>46232</v>
      </c>
      <c r="I343" s="19" t="s">
        <v>36</v>
      </c>
      <c r="J343" s="19" t="s">
        <v>1087</v>
      </c>
      <c r="K343" s="19" t="s">
        <v>46</v>
      </c>
      <c r="L343" s="19" t="s">
        <v>1138</v>
      </c>
      <c r="M343" s="19" t="s">
        <v>1181</v>
      </c>
      <c r="N343" s="19">
        <v>1949.9</v>
      </c>
      <c r="O343" s="19">
        <v>300577.09000000003</v>
      </c>
      <c r="P343" s="19" t="s">
        <v>1182</v>
      </c>
      <c r="Q343" s="19">
        <v>513992.33</v>
      </c>
      <c r="R343" s="19">
        <v>2.5</v>
      </c>
      <c r="S343" s="19">
        <v>7514.43</v>
      </c>
      <c r="T343" s="19">
        <v>2.5</v>
      </c>
      <c r="U343" s="19">
        <v>7514.43</v>
      </c>
      <c r="V343" s="19">
        <v>0</v>
      </c>
      <c r="W343" s="19">
        <v>0</v>
      </c>
      <c r="X343" s="19">
        <v>0</v>
      </c>
      <c r="Y343" s="19">
        <v>15028.86</v>
      </c>
      <c r="Z343" s="19">
        <v>0</v>
      </c>
      <c r="AA343" s="19" t="s">
        <v>614</v>
      </c>
      <c r="AB343" s="19" t="s">
        <v>1091</v>
      </c>
      <c r="AC343" s="19">
        <v>54026930</v>
      </c>
      <c r="AD343" s="19" t="s">
        <v>1092</v>
      </c>
      <c r="AE343" s="19">
        <v>1</v>
      </c>
      <c r="AF343" s="19">
        <v>1949.9</v>
      </c>
      <c r="AG343" s="19" t="s">
        <v>1093</v>
      </c>
      <c r="AH343" s="19" t="s">
        <v>46</v>
      </c>
      <c r="AI343" s="19"/>
    </row>
    <row r="344" spans="2:35" x14ac:dyDescent="0.35">
      <c r="B344" s="82">
        <v>46232</v>
      </c>
      <c r="C344" s="19" t="s">
        <v>1171</v>
      </c>
      <c r="D344" s="19" t="s">
        <v>11</v>
      </c>
      <c r="E344" s="83">
        <v>520</v>
      </c>
      <c r="F344" s="19" t="s">
        <v>1085</v>
      </c>
      <c r="G344" s="19" t="s">
        <v>1514</v>
      </c>
      <c r="H344" s="76">
        <v>46232</v>
      </c>
      <c r="I344" s="19" t="s">
        <v>36</v>
      </c>
      <c r="J344" s="19" t="s">
        <v>1087</v>
      </c>
      <c r="K344" s="19" t="s">
        <v>46</v>
      </c>
      <c r="L344" s="19" t="s">
        <v>1138</v>
      </c>
      <c r="M344" s="19" t="s">
        <v>1089</v>
      </c>
      <c r="N344" s="19">
        <v>1253.0999999999999</v>
      </c>
      <c r="O344" s="19">
        <v>189406.06</v>
      </c>
      <c r="P344" s="19" t="s">
        <v>1090</v>
      </c>
      <c r="Q344" s="19">
        <v>0</v>
      </c>
      <c r="R344" s="19">
        <v>2.5</v>
      </c>
      <c r="S344" s="19">
        <v>4735.1499999999996</v>
      </c>
      <c r="T344" s="19">
        <v>2.5</v>
      </c>
      <c r="U344" s="19">
        <v>4735.1499999999996</v>
      </c>
      <c r="V344" s="19">
        <v>0</v>
      </c>
      <c r="W344" s="19">
        <v>0</v>
      </c>
      <c r="X344" s="19">
        <v>0</v>
      </c>
      <c r="Y344" s="19">
        <v>9470.2999999999993</v>
      </c>
      <c r="Z344" s="19">
        <v>0</v>
      </c>
      <c r="AA344" s="19" t="s">
        <v>614</v>
      </c>
      <c r="AB344" s="19" t="s">
        <v>1091</v>
      </c>
      <c r="AC344" s="19">
        <v>54026930</v>
      </c>
      <c r="AD344" s="19" t="s">
        <v>1092</v>
      </c>
      <c r="AE344" s="19">
        <v>1</v>
      </c>
      <c r="AF344" s="19">
        <v>1253.0999999999999</v>
      </c>
      <c r="AG344" s="19" t="s">
        <v>1093</v>
      </c>
      <c r="AH344" s="19" t="s">
        <v>46</v>
      </c>
      <c r="AI344" s="19"/>
    </row>
    <row r="345" spans="2:35" x14ac:dyDescent="0.35">
      <c r="B345" s="82">
        <v>46232</v>
      </c>
      <c r="C345" s="19" t="s">
        <v>1171</v>
      </c>
      <c r="D345" s="19" t="s">
        <v>11</v>
      </c>
      <c r="E345" s="83">
        <v>521</v>
      </c>
      <c r="F345" s="19" t="s">
        <v>1085</v>
      </c>
      <c r="G345" s="19" t="s">
        <v>1515</v>
      </c>
      <c r="H345" s="76">
        <v>46232</v>
      </c>
      <c r="I345" s="19" t="s">
        <v>49</v>
      </c>
      <c r="J345" s="19" t="s">
        <v>50</v>
      </c>
      <c r="K345" s="19" t="s">
        <v>50</v>
      </c>
      <c r="L345" s="19" t="s">
        <v>1095</v>
      </c>
      <c r="M345" s="19" t="s">
        <v>1098</v>
      </c>
      <c r="N345" s="19">
        <v>428.3</v>
      </c>
      <c r="O345" s="19">
        <v>110090.23</v>
      </c>
      <c r="P345" s="19" t="s">
        <v>1461</v>
      </c>
      <c r="Q345" s="19">
        <v>129796.38</v>
      </c>
      <c r="R345" s="19">
        <v>9</v>
      </c>
      <c r="S345" s="19">
        <v>9908.1200000000008</v>
      </c>
      <c r="T345" s="19">
        <v>9</v>
      </c>
      <c r="U345" s="19">
        <v>9908.1200000000008</v>
      </c>
      <c r="V345" s="19">
        <v>0</v>
      </c>
      <c r="W345" s="19">
        <v>0</v>
      </c>
      <c r="X345" s="19">
        <v>0</v>
      </c>
      <c r="Y345" s="19">
        <v>19816.240000000002</v>
      </c>
      <c r="Z345" s="19">
        <v>0</v>
      </c>
      <c r="AA345" s="19" t="s">
        <v>614</v>
      </c>
      <c r="AB345" s="19" t="s">
        <v>1091</v>
      </c>
      <c r="AC345" s="19">
        <v>63053200</v>
      </c>
      <c r="AD345" s="19" t="s">
        <v>1092</v>
      </c>
      <c r="AE345" s="19">
        <v>1</v>
      </c>
      <c r="AF345" s="19">
        <v>428.3</v>
      </c>
      <c r="AG345" s="19" t="s">
        <v>1093</v>
      </c>
      <c r="AH345" s="19" t="s">
        <v>50</v>
      </c>
      <c r="AI345" s="19"/>
    </row>
    <row r="346" spans="2:35" x14ac:dyDescent="0.35">
      <c r="B346" s="82">
        <v>46232</v>
      </c>
      <c r="C346" s="19" t="s">
        <v>1189</v>
      </c>
      <c r="D346" s="19" t="s">
        <v>1109</v>
      </c>
      <c r="E346" s="83" t="s">
        <v>1516</v>
      </c>
      <c r="F346" s="19" t="s">
        <v>1291</v>
      </c>
      <c r="G346" s="19" t="s">
        <v>1516</v>
      </c>
      <c r="H346" s="76">
        <v>46232</v>
      </c>
      <c r="I346" s="19" t="s">
        <v>49</v>
      </c>
      <c r="J346" s="19" t="s">
        <v>50</v>
      </c>
      <c r="K346" s="19" t="s">
        <v>50</v>
      </c>
      <c r="L346" s="19" t="s">
        <v>1095</v>
      </c>
      <c r="M346" s="19" t="s">
        <v>1098</v>
      </c>
      <c r="N346" s="19">
        <v>2738</v>
      </c>
      <c r="O346" s="19">
        <v>544208.17500000005</v>
      </c>
      <c r="P346" s="19" t="s">
        <v>1517</v>
      </c>
      <c r="Q346" s="19">
        <v>3648662.16</v>
      </c>
      <c r="R346" s="19">
        <v>0</v>
      </c>
      <c r="S346" s="19">
        <v>0</v>
      </c>
      <c r="T346" s="19">
        <v>0</v>
      </c>
      <c r="U346" s="19">
        <v>0</v>
      </c>
      <c r="V346" s="19">
        <v>0</v>
      </c>
      <c r="W346" s="19">
        <v>0</v>
      </c>
      <c r="X346" s="19">
        <v>0</v>
      </c>
      <c r="Y346" s="19">
        <v>0</v>
      </c>
      <c r="Z346" s="19">
        <v>0</v>
      </c>
      <c r="AA346" s="19" t="s">
        <v>229</v>
      </c>
      <c r="AB346" s="19" t="s">
        <v>1091</v>
      </c>
      <c r="AC346" s="19">
        <v>63053200</v>
      </c>
      <c r="AD346" s="19" t="s">
        <v>1113</v>
      </c>
      <c r="AE346" s="19">
        <v>95.45</v>
      </c>
      <c r="AF346" s="19">
        <v>2738</v>
      </c>
      <c r="AG346" s="19" t="s">
        <v>1191</v>
      </c>
      <c r="AH346" s="19" t="s">
        <v>50</v>
      </c>
      <c r="AI346" s="19"/>
    </row>
    <row r="347" spans="2:35" x14ac:dyDescent="0.35">
      <c r="B347" s="82">
        <v>46232</v>
      </c>
      <c r="C347" s="19" t="s">
        <v>1189</v>
      </c>
      <c r="D347" s="19" t="s">
        <v>1109</v>
      </c>
      <c r="E347" s="83" t="s">
        <v>1516</v>
      </c>
      <c r="F347" s="19" t="s">
        <v>1291</v>
      </c>
      <c r="G347" s="19" t="s">
        <v>1516</v>
      </c>
      <c r="H347" s="76">
        <v>46232</v>
      </c>
      <c r="I347" s="19" t="s">
        <v>49</v>
      </c>
      <c r="J347" s="19" t="s">
        <v>50</v>
      </c>
      <c r="K347" s="19" t="s">
        <v>50</v>
      </c>
      <c r="L347" s="19" t="s">
        <v>1095</v>
      </c>
      <c r="M347" s="19" t="s">
        <v>1098</v>
      </c>
      <c r="N347" s="19">
        <v>2281</v>
      </c>
      <c r="O347" s="19">
        <v>446706</v>
      </c>
      <c r="P347" s="19" t="s">
        <v>1518</v>
      </c>
      <c r="Q347" s="19">
        <v>0</v>
      </c>
      <c r="R347" s="19">
        <v>0</v>
      </c>
      <c r="S347" s="19">
        <v>0</v>
      </c>
      <c r="T347" s="19">
        <v>0</v>
      </c>
      <c r="U347" s="19">
        <v>0</v>
      </c>
      <c r="V347" s="19">
        <v>0</v>
      </c>
      <c r="W347" s="19">
        <v>0</v>
      </c>
      <c r="X347" s="19">
        <v>0</v>
      </c>
      <c r="Y347" s="19">
        <v>0</v>
      </c>
      <c r="Z347" s="19">
        <v>0</v>
      </c>
      <c r="AA347" s="19" t="s">
        <v>229</v>
      </c>
      <c r="AB347" s="19" t="s">
        <v>1091</v>
      </c>
      <c r="AC347" s="19">
        <v>63053200</v>
      </c>
      <c r="AD347" s="19" t="s">
        <v>1113</v>
      </c>
      <c r="AE347" s="19">
        <v>95.45</v>
      </c>
      <c r="AF347" s="19">
        <v>2281</v>
      </c>
      <c r="AG347" s="19" t="s">
        <v>1191</v>
      </c>
      <c r="AH347" s="19" t="s">
        <v>50</v>
      </c>
      <c r="AI347" s="19"/>
    </row>
    <row r="348" spans="2:35" x14ac:dyDescent="0.35">
      <c r="B348" s="82">
        <v>46232</v>
      </c>
      <c r="C348" s="19" t="s">
        <v>1189</v>
      </c>
      <c r="D348" s="19" t="s">
        <v>1109</v>
      </c>
      <c r="E348" s="83" t="s">
        <v>1516</v>
      </c>
      <c r="F348" s="19" t="s">
        <v>1291</v>
      </c>
      <c r="G348" s="19" t="s">
        <v>1516</v>
      </c>
      <c r="H348" s="76">
        <v>46232</v>
      </c>
      <c r="I348" s="19" t="s">
        <v>49</v>
      </c>
      <c r="J348" s="19" t="s">
        <v>50</v>
      </c>
      <c r="K348" s="19" t="s">
        <v>50</v>
      </c>
      <c r="L348" s="19" t="s">
        <v>1095</v>
      </c>
      <c r="M348" s="19" t="s">
        <v>1098</v>
      </c>
      <c r="N348" s="19">
        <v>2072</v>
      </c>
      <c r="O348" s="19">
        <v>404898.9</v>
      </c>
      <c r="P348" s="19" t="s">
        <v>1519</v>
      </c>
      <c r="Q348" s="19">
        <v>0</v>
      </c>
      <c r="R348" s="19">
        <v>0</v>
      </c>
      <c r="S348" s="19">
        <v>0</v>
      </c>
      <c r="T348" s="19">
        <v>0</v>
      </c>
      <c r="U348" s="19">
        <v>0</v>
      </c>
      <c r="V348" s="19">
        <v>0</v>
      </c>
      <c r="W348" s="19">
        <v>0</v>
      </c>
      <c r="X348" s="19">
        <v>0</v>
      </c>
      <c r="Y348" s="19">
        <v>0</v>
      </c>
      <c r="Z348" s="19">
        <v>0</v>
      </c>
      <c r="AA348" s="19" t="s">
        <v>229</v>
      </c>
      <c r="AB348" s="19" t="s">
        <v>1091</v>
      </c>
      <c r="AC348" s="19">
        <v>63053200</v>
      </c>
      <c r="AD348" s="19" t="s">
        <v>1113</v>
      </c>
      <c r="AE348" s="19">
        <v>95.45</v>
      </c>
      <c r="AF348" s="19">
        <v>2072</v>
      </c>
      <c r="AG348" s="19" t="s">
        <v>1191</v>
      </c>
      <c r="AH348" s="19" t="s">
        <v>50</v>
      </c>
      <c r="AI348" s="19"/>
    </row>
    <row r="349" spans="2:35" x14ac:dyDescent="0.35">
      <c r="B349" s="82">
        <v>46232</v>
      </c>
      <c r="C349" s="19" t="s">
        <v>1189</v>
      </c>
      <c r="D349" s="19" t="s">
        <v>1109</v>
      </c>
      <c r="E349" s="83" t="s">
        <v>1516</v>
      </c>
      <c r="F349" s="19" t="s">
        <v>1291</v>
      </c>
      <c r="G349" s="19" t="s">
        <v>1516</v>
      </c>
      <c r="H349" s="76">
        <v>46232</v>
      </c>
      <c r="I349" s="19" t="s">
        <v>49</v>
      </c>
      <c r="J349" s="19" t="s">
        <v>50</v>
      </c>
      <c r="K349" s="19" t="s">
        <v>50</v>
      </c>
      <c r="L349" s="19" t="s">
        <v>1095</v>
      </c>
      <c r="M349" s="19" t="s">
        <v>1098</v>
      </c>
      <c r="N349" s="19">
        <v>3941</v>
      </c>
      <c r="O349" s="19">
        <v>776963</v>
      </c>
      <c r="P349" s="19" t="s">
        <v>1520</v>
      </c>
      <c r="Q349" s="19">
        <v>0</v>
      </c>
      <c r="R349" s="19">
        <v>0</v>
      </c>
      <c r="S349" s="19">
        <v>0</v>
      </c>
      <c r="T349" s="19">
        <v>0</v>
      </c>
      <c r="U349" s="19">
        <v>0</v>
      </c>
      <c r="V349" s="19">
        <v>0</v>
      </c>
      <c r="W349" s="19">
        <v>0</v>
      </c>
      <c r="X349" s="19">
        <v>0</v>
      </c>
      <c r="Y349" s="19">
        <v>0</v>
      </c>
      <c r="Z349" s="19">
        <v>0</v>
      </c>
      <c r="AA349" s="19" t="s">
        <v>229</v>
      </c>
      <c r="AB349" s="19" t="s">
        <v>1091</v>
      </c>
      <c r="AC349" s="19">
        <v>63053200</v>
      </c>
      <c r="AD349" s="19" t="s">
        <v>1113</v>
      </c>
      <c r="AE349" s="19">
        <v>95.45</v>
      </c>
      <c r="AF349" s="19">
        <v>3941</v>
      </c>
      <c r="AG349" s="19" t="s">
        <v>1191</v>
      </c>
      <c r="AH349" s="19" t="s">
        <v>50</v>
      </c>
      <c r="AI349" s="19"/>
    </row>
    <row r="350" spans="2:35" x14ac:dyDescent="0.35">
      <c r="B350" s="82">
        <v>46232</v>
      </c>
      <c r="C350" s="19" t="s">
        <v>1189</v>
      </c>
      <c r="D350" s="19" t="s">
        <v>1109</v>
      </c>
      <c r="E350" s="83" t="s">
        <v>1516</v>
      </c>
      <c r="F350" s="19" t="s">
        <v>1291</v>
      </c>
      <c r="G350" s="19" t="s">
        <v>1516</v>
      </c>
      <c r="H350" s="76">
        <v>46232</v>
      </c>
      <c r="I350" s="19" t="s">
        <v>49</v>
      </c>
      <c r="J350" s="19" t="s">
        <v>50</v>
      </c>
      <c r="K350" s="19" t="s">
        <v>50</v>
      </c>
      <c r="L350" s="19" t="s">
        <v>1095</v>
      </c>
      <c r="M350" s="19" t="s">
        <v>1098</v>
      </c>
      <c r="N350" s="19">
        <v>3310.3</v>
      </c>
      <c r="O350" s="19">
        <v>618516</v>
      </c>
      <c r="P350" s="19" t="s">
        <v>1521</v>
      </c>
      <c r="Q350" s="19">
        <v>0</v>
      </c>
      <c r="R350" s="19">
        <v>0</v>
      </c>
      <c r="S350" s="19">
        <v>0</v>
      </c>
      <c r="T350" s="19">
        <v>0</v>
      </c>
      <c r="U350" s="19">
        <v>0</v>
      </c>
      <c r="V350" s="19">
        <v>0</v>
      </c>
      <c r="W350" s="19">
        <v>0</v>
      </c>
      <c r="X350" s="19">
        <v>0</v>
      </c>
      <c r="Y350" s="19">
        <v>0</v>
      </c>
      <c r="Z350" s="19">
        <v>0</v>
      </c>
      <c r="AA350" s="19" t="s">
        <v>229</v>
      </c>
      <c r="AB350" s="19" t="s">
        <v>1091</v>
      </c>
      <c r="AC350" s="19">
        <v>63053200</v>
      </c>
      <c r="AD350" s="19" t="s">
        <v>1113</v>
      </c>
      <c r="AE350" s="19">
        <v>95.45</v>
      </c>
      <c r="AF350" s="19">
        <v>3310.3</v>
      </c>
      <c r="AG350" s="19" t="s">
        <v>1191</v>
      </c>
      <c r="AH350" s="19" t="s">
        <v>50</v>
      </c>
      <c r="AI350" s="19"/>
    </row>
    <row r="351" spans="2:35" x14ac:dyDescent="0.35">
      <c r="B351" s="82">
        <v>46232</v>
      </c>
      <c r="C351" s="19" t="s">
        <v>1189</v>
      </c>
      <c r="D351" s="19" t="s">
        <v>1109</v>
      </c>
      <c r="E351" s="83" t="s">
        <v>1516</v>
      </c>
      <c r="F351" s="19" t="s">
        <v>1291</v>
      </c>
      <c r="G351" s="19" t="s">
        <v>1516</v>
      </c>
      <c r="H351" s="76">
        <v>46232</v>
      </c>
      <c r="I351" s="19" t="s">
        <v>49</v>
      </c>
      <c r="J351" s="19" t="s">
        <v>50</v>
      </c>
      <c r="K351" s="19" t="s">
        <v>50</v>
      </c>
      <c r="L351" s="19" t="s">
        <v>1095</v>
      </c>
      <c r="M351" s="19" t="s">
        <v>1098</v>
      </c>
      <c r="N351" s="19">
        <v>835.3</v>
      </c>
      <c r="O351" s="19">
        <v>159592.4</v>
      </c>
      <c r="P351" s="19" t="s">
        <v>1522</v>
      </c>
      <c r="Q351" s="19">
        <v>0</v>
      </c>
      <c r="R351" s="19">
        <v>0</v>
      </c>
      <c r="S351" s="19">
        <v>0</v>
      </c>
      <c r="T351" s="19">
        <v>0</v>
      </c>
      <c r="U351" s="19">
        <v>0</v>
      </c>
      <c r="V351" s="19">
        <v>0</v>
      </c>
      <c r="W351" s="19">
        <v>0</v>
      </c>
      <c r="X351" s="19">
        <v>0</v>
      </c>
      <c r="Y351" s="19">
        <v>0</v>
      </c>
      <c r="Z351" s="19">
        <v>0</v>
      </c>
      <c r="AA351" s="19" t="s">
        <v>229</v>
      </c>
      <c r="AB351" s="19" t="s">
        <v>1091</v>
      </c>
      <c r="AC351" s="19">
        <v>63053200</v>
      </c>
      <c r="AD351" s="19" t="s">
        <v>1113</v>
      </c>
      <c r="AE351" s="19">
        <v>95.45</v>
      </c>
      <c r="AF351" s="19">
        <v>835.3</v>
      </c>
      <c r="AG351" s="19" t="s">
        <v>1191</v>
      </c>
      <c r="AH351" s="19" t="s">
        <v>50</v>
      </c>
      <c r="AI351" s="19"/>
    </row>
    <row r="352" spans="2:35" x14ac:dyDescent="0.35">
      <c r="B352" s="82">
        <v>46232</v>
      </c>
      <c r="C352" s="19" t="s">
        <v>1189</v>
      </c>
      <c r="D352" s="19" t="s">
        <v>1109</v>
      </c>
      <c r="E352" s="83" t="s">
        <v>1516</v>
      </c>
      <c r="F352" s="19" t="s">
        <v>1291</v>
      </c>
      <c r="G352" s="19" t="s">
        <v>1516</v>
      </c>
      <c r="H352" s="76">
        <v>46232</v>
      </c>
      <c r="I352" s="19" t="s">
        <v>49</v>
      </c>
      <c r="J352" s="19" t="s">
        <v>50</v>
      </c>
      <c r="K352" s="19" t="s">
        <v>50</v>
      </c>
      <c r="L352" s="19" t="s">
        <v>1095</v>
      </c>
      <c r="M352" s="19" t="s">
        <v>1098</v>
      </c>
      <c r="N352" s="19">
        <v>1647</v>
      </c>
      <c r="O352" s="19">
        <v>325522.68</v>
      </c>
      <c r="P352" s="19" t="s">
        <v>1519</v>
      </c>
      <c r="Q352" s="19">
        <v>0</v>
      </c>
      <c r="R352" s="19">
        <v>0</v>
      </c>
      <c r="S352" s="19">
        <v>0</v>
      </c>
      <c r="T352" s="19">
        <v>0</v>
      </c>
      <c r="U352" s="19">
        <v>0</v>
      </c>
      <c r="V352" s="19">
        <v>0</v>
      </c>
      <c r="W352" s="19">
        <v>0</v>
      </c>
      <c r="X352" s="19">
        <v>0</v>
      </c>
      <c r="Y352" s="19">
        <v>0</v>
      </c>
      <c r="Z352" s="19">
        <v>0</v>
      </c>
      <c r="AA352" s="19" t="s">
        <v>229</v>
      </c>
      <c r="AB352" s="19" t="s">
        <v>1091</v>
      </c>
      <c r="AC352" s="19">
        <v>63053200</v>
      </c>
      <c r="AD352" s="19" t="s">
        <v>1113</v>
      </c>
      <c r="AE352" s="19">
        <v>95.45</v>
      </c>
      <c r="AF352" s="19">
        <v>1647</v>
      </c>
      <c r="AG352" s="19" t="s">
        <v>1191</v>
      </c>
      <c r="AH352" s="19" t="s">
        <v>50</v>
      </c>
      <c r="AI352" s="19"/>
    </row>
    <row r="353" spans="2:35" x14ac:dyDescent="0.35">
      <c r="B353" s="82">
        <v>46232</v>
      </c>
      <c r="C353" s="19" t="s">
        <v>1189</v>
      </c>
      <c r="D353" s="19" t="s">
        <v>1109</v>
      </c>
      <c r="E353" s="83" t="s">
        <v>1516</v>
      </c>
      <c r="F353" s="19" t="s">
        <v>1291</v>
      </c>
      <c r="G353" s="19" t="s">
        <v>1516</v>
      </c>
      <c r="H353" s="76">
        <v>46232</v>
      </c>
      <c r="I353" s="19" t="s">
        <v>49</v>
      </c>
      <c r="J353" s="19" t="s">
        <v>50</v>
      </c>
      <c r="K353" s="19" t="s">
        <v>50</v>
      </c>
      <c r="L353" s="19" t="s">
        <v>1095</v>
      </c>
      <c r="M353" s="19" t="s">
        <v>1098</v>
      </c>
      <c r="N353" s="19">
        <v>1941</v>
      </c>
      <c r="O353" s="19">
        <v>372255</v>
      </c>
      <c r="P353" s="19" t="s">
        <v>1518</v>
      </c>
      <c r="Q353" s="19">
        <v>0</v>
      </c>
      <c r="R353" s="19">
        <v>0</v>
      </c>
      <c r="S353" s="19">
        <v>0</v>
      </c>
      <c r="T353" s="19">
        <v>0</v>
      </c>
      <c r="U353" s="19">
        <v>0</v>
      </c>
      <c r="V353" s="19">
        <v>0</v>
      </c>
      <c r="W353" s="19">
        <v>0</v>
      </c>
      <c r="X353" s="19">
        <v>0</v>
      </c>
      <c r="Y353" s="19">
        <v>0</v>
      </c>
      <c r="Z353" s="19">
        <v>0</v>
      </c>
      <c r="AA353" s="19" t="s">
        <v>229</v>
      </c>
      <c r="AB353" s="19" t="s">
        <v>1091</v>
      </c>
      <c r="AC353" s="19">
        <v>63053200</v>
      </c>
      <c r="AD353" s="19" t="s">
        <v>1113</v>
      </c>
      <c r="AE353" s="19">
        <v>95.45</v>
      </c>
      <c r="AF353" s="19">
        <v>1941</v>
      </c>
      <c r="AG353" s="19" t="s">
        <v>1191</v>
      </c>
      <c r="AH353" s="19" t="s">
        <v>50</v>
      </c>
      <c r="AI353" s="19"/>
    </row>
    <row r="354" spans="2:35" x14ac:dyDescent="0.35">
      <c r="B354" s="82">
        <v>46232</v>
      </c>
      <c r="C354" s="19" t="s">
        <v>1189</v>
      </c>
      <c r="D354" s="19" t="s">
        <v>1109</v>
      </c>
      <c r="E354" s="83" t="s">
        <v>1523</v>
      </c>
      <c r="F354" s="19" t="s">
        <v>1291</v>
      </c>
      <c r="G354" s="19" t="s">
        <v>1523</v>
      </c>
      <c r="H354" s="76">
        <v>46232</v>
      </c>
      <c r="I354" s="19" t="s">
        <v>49</v>
      </c>
      <c r="J354" s="19" t="s">
        <v>50</v>
      </c>
      <c r="K354" s="19" t="s">
        <v>50</v>
      </c>
      <c r="L354" s="19" t="s">
        <v>1095</v>
      </c>
      <c r="M354" s="19" t="s">
        <v>1098</v>
      </c>
      <c r="N354" s="19">
        <v>9685</v>
      </c>
      <c r="O354" s="19">
        <v>1844094</v>
      </c>
      <c r="P354" s="19" t="s">
        <v>1524</v>
      </c>
      <c r="Q354" s="19">
        <v>3683606.4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>
        <v>0</v>
      </c>
      <c r="Y354" s="19">
        <v>0</v>
      </c>
      <c r="Z354" s="19">
        <v>0</v>
      </c>
      <c r="AA354" s="19" t="s">
        <v>229</v>
      </c>
      <c r="AB354" s="19" t="s">
        <v>1091</v>
      </c>
      <c r="AC354" s="19">
        <v>63053200</v>
      </c>
      <c r="AD354" s="19" t="s">
        <v>1113</v>
      </c>
      <c r="AE354" s="19">
        <v>95.45</v>
      </c>
      <c r="AF354" s="19">
        <v>9685</v>
      </c>
      <c r="AG354" s="19" t="s">
        <v>1191</v>
      </c>
      <c r="AH354" s="19" t="s">
        <v>50</v>
      </c>
      <c r="AI354" s="19"/>
    </row>
    <row r="355" spans="2:35" x14ac:dyDescent="0.35">
      <c r="B355" s="82">
        <v>46232</v>
      </c>
      <c r="C355" s="19" t="s">
        <v>1189</v>
      </c>
      <c r="D355" s="19" t="s">
        <v>1109</v>
      </c>
      <c r="E355" s="83" t="s">
        <v>1523</v>
      </c>
      <c r="F355" s="19" t="s">
        <v>1291</v>
      </c>
      <c r="G355" s="19" t="s">
        <v>1523</v>
      </c>
      <c r="H355" s="76">
        <v>46232</v>
      </c>
      <c r="I355" s="19" t="s">
        <v>49</v>
      </c>
      <c r="J355" s="19" t="s">
        <v>50</v>
      </c>
      <c r="K355" s="19" t="s">
        <v>50</v>
      </c>
      <c r="L355" s="19" t="s">
        <v>1095</v>
      </c>
      <c r="M355" s="19" t="s">
        <v>1098</v>
      </c>
      <c r="N355" s="19">
        <v>9735</v>
      </c>
      <c r="O355" s="19">
        <v>1839512.4000000001</v>
      </c>
      <c r="P355" s="19" t="s">
        <v>1525</v>
      </c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>
        <v>0</v>
      </c>
      <c r="Y355" s="19">
        <v>0</v>
      </c>
      <c r="Z355" s="19">
        <v>0</v>
      </c>
      <c r="AA355" s="19" t="s">
        <v>229</v>
      </c>
      <c r="AB355" s="19" t="s">
        <v>1091</v>
      </c>
      <c r="AC355" s="19">
        <v>63053200</v>
      </c>
      <c r="AD355" s="19" t="s">
        <v>1113</v>
      </c>
      <c r="AE355" s="19">
        <v>95.45</v>
      </c>
      <c r="AF355" s="19">
        <v>9735</v>
      </c>
      <c r="AG355" s="19" t="s">
        <v>1191</v>
      </c>
      <c r="AH355" s="19" t="s">
        <v>50</v>
      </c>
      <c r="AI355" s="19"/>
    </row>
    <row r="356" spans="2:35" x14ac:dyDescent="0.35">
      <c r="B356" s="82">
        <v>46233</v>
      </c>
      <c r="C356" s="19" t="s">
        <v>1123</v>
      </c>
      <c r="D356" s="19" t="s">
        <v>11</v>
      </c>
      <c r="E356" s="83">
        <v>532</v>
      </c>
      <c r="F356" s="19" t="s">
        <v>1085</v>
      </c>
      <c r="G356" s="19" t="s">
        <v>1526</v>
      </c>
      <c r="H356" s="76">
        <v>46233</v>
      </c>
      <c r="I356" s="19" t="s">
        <v>36</v>
      </c>
      <c r="J356" s="19" t="s">
        <v>1156</v>
      </c>
      <c r="K356" s="19" t="s">
        <v>45</v>
      </c>
      <c r="L356" s="19" t="s">
        <v>1157</v>
      </c>
      <c r="M356" s="19" t="s">
        <v>1156</v>
      </c>
      <c r="N356" s="19">
        <v>92</v>
      </c>
      <c r="O356" s="19">
        <v>14549.8</v>
      </c>
      <c r="P356" s="19" t="s">
        <v>1182</v>
      </c>
      <c r="Q356" s="19">
        <v>274074.02</v>
      </c>
      <c r="R356" s="19">
        <v>9</v>
      </c>
      <c r="S356" s="19">
        <v>1309.48</v>
      </c>
      <c r="T356" s="19">
        <v>9</v>
      </c>
      <c r="U356" s="19">
        <v>1309.48</v>
      </c>
      <c r="V356" s="19">
        <v>0</v>
      </c>
      <c r="W356" s="19">
        <v>0</v>
      </c>
      <c r="X356" s="19">
        <v>0</v>
      </c>
      <c r="Y356" s="19">
        <v>2618.96</v>
      </c>
      <c r="Z356" s="19">
        <v>0</v>
      </c>
      <c r="AA356" s="19" t="s">
        <v>179</v>
      </c>
      <c r="AB356" s="19" t="s">
        <v>1091</v>
      </c>
      <c r="AC356" s="19">
        <v>39269080</v>
      </c>
      <c r="AD356" s="19" t="s">
        <v>1092</v>
      </c>
      <c r="AE356" s="19">
        <v>1</v>
      </c>
      <c r="AF356" s="19">
        <v>92</v>
      </c>
      <c r="AG356" s="19" t="s">
        <v>1093</v>
      </c>
      <c r="AH356" s="19" t="s">
        <v>45</v>
      </c>
      <c r="AI356" s="19"/>
    </row>
    <row r="357" spans="2:35" x14ac:dyDescent="0.35">
      <c r="B357" s="82">
        <v>46233</v>
      </c>
      <c r="C357" s="19" t="s">
        <v>1123</v>
      </c>
      <c r="D357" s="19" t="s">
        <v>11</v>
      </c>
      <c r="E357" s="83">
        <v>532</v>
      </c>
      <c r="F357" s="19" t="s">
        <v>1085</v>
      </c>
      <c r="G357" s="19" t="s">
        <v>1526</v>
      </c>
      <c r="H357" s="76">
        <v>46233</v>
      </c>
      <c r="I357" s="19" t="s">
        <v>36</v>
      </c>
      <c r="J357" s="19" t="s">
        <v>1156</v>
      </c>
      <c r="K357" s="19" t="s">
        <v>45</v>
      </c>
      <c r="L357" s="19" t="s">
        <v>1157</v>
      </c>
      <c r="M357" s="19" t="s">
        <v>1156</v>
      </c>
      <c r="N357" s="19">
        <v>502</v>
      </c>
      <c r="O357" s="19">
        <v>77885.3</v>
      </c>
      <c r="P357" s="19" t="s">
        <v>1090</v>
      </c>
      <c r="Q357" s="19">
        <v>0</v>
      </c>
      <c r="R357" s="19">
        <v>9</v>
      </c>
      <c r="S357" s="19">
        <v>7009.68</v>
      </c>
      <c r="T357" s="19">
        <v>9</v>
      </c>
      <c r="U357" s="19">
        <v>7009.68</v>
      </c>
      <c r="V357" s="19">
        <v>0</v>
      </c>
      <c r="W357" s="19">
        <v>0</v>
      </c>
      <c r="X357" s="19">
        <v>0</v>
      </c>
      <c r="Y357" s="19">
        <v>14019.36</v>
      </c>
      <c r="Z357" s="19">
        <v>0</v>
      </c>
      <c r="AA357" s="19" t="s">
        <v>179</v>
      </c>
      <c r="AB357" s="19" t="s">
        <v>1091</v>
      </c>
      <c r="AC357" s="19">
        <v>39269080</v>
      </c>
      <c r="AD357" s="19" t="s">
        <v>1092</v>
      </c>
      <c r="AE357" s="19">
        <v>1</v>
      </c>
      <c r="AF357" s="19">
        <v>502</v>
      </c>
      <c r="AG357" s="19" t="s">
        <v>1093</v>
      </c>
      <c r="AH357" s="19" t="s">
        <v>45</v>
      </c>
      <c r="AI357" s="19"/>
    </row>
    <row r="358" spans="2:35" x14ac:dyDescent="0.35">
      <c r="B358" s="82">
        <v>46233</v>
      </c>
      <c r="C358" s="19" t="s">
        <v>1123</v>
      </c>
      <c r="D358" s="19" t="s">
        <v>11</v>
      </c>
      <c r="E358" s="83">
        <v>532</v>
      </c>
      <c r="F358" s="19" t="s">
        <v>1085</v>
      </c>
      <c r="G358" s="19" t="s">
        <v>1526</v>
      </c>
      <c r="H358" s="76">
        <v>46233</v>
      </c>
      <c r="I358" s="19" t="s">
        <v>36</v>
      </c>
      <c r="J358" s="19" t="s">
        <v>1087</v>
      </c>
      <c r="K358" s="19" t="s">
        <v>41</v>
      </c>
      <c r="L358" s="19" t="s">
        <v>1213</v>
      </c>
      <c r="M358" s="19" t="s">
        <v>1239</v>
      </c>
      <c r="N358" s="19">
        <v>132</v>
      </c>
      <c r="O358" s="19">
        <v>17556</v>
      </c>
      <c r="P358" s="19" t="s">
        <v>1139</v>
      </c>
      <c r="Q358" s="19">
        <v>0</v>
      </c>
      <c r="R358" s="19">
        <v>2.5</v>
      </c>
      <c r="S358" s="19">
        <v>438.9</v>
      </c>
      <c r="T358" s="19">
        <v>2.5</v>
      </c>
      <c r="U358" s="19">
        <v>438.9</v>
      </c>
      <c r="V358" s="19">
        <v>0</v>
      </c>
      <c r="W358" s="19">
        <v>0</v>
      </c>
      <c r="X358" s="19">
        <v>0</v>
      </c>
      <c r="Y358" s="19">
        <v>877.8</v>
      </c>
      <c r="Z358" s="19">
        <v>0</v>
      </c>
      <c r="AA358" s="19" t="s">
        <v>179</v>
      </c>
      <c r="AB358" s="19" t="s">
        <v>1091</v>
      </c>
      <c r="AC358" s="19">
        <v>54026990</v>
      </c>
      <c r="AD358" s="19" t="s">
        <v>1092</v>
      </c>
      <c r="AE358" s="19">
        <v>1</v>
      </c>
      <c r="AF358" s="19">
        <v>132</v>
      </c>
      <c r="AG358" s="19" t="s">
        <v>1093</v>
      </c>
      <c r="AH358" s="19" t="s">
        <v>41</v>
      </c>
      <c r="AI358" s="19"/>
    </row>
    <row r="359" spans="2:35" x14ac:dyDescent="0.35">
      <c r="B359" s="82">
        <v>46233</v>
      </c>
      <c r="C359" s="19" t="s">
        <v>1123</v>
      </c>
      <c r="D359" s="19" t="s">
        <v>11</v>
      </c>
      <c r="E359" s="83">
        <v>532</v>
      </c>
      <c r="F359" s="19" t="s">
        <v>1085</v>
      </c>
      <c r="G359" s="19" t="s">
        <v>1526</v>
      </c>
      <c r="H359" s="76">
        <v>46233</v>
      </c>
      <c r="I359" s="19" t="s">
        <v>36</v>
      </c>
      <c r="J359" s="19" t="s">
        <v>1117</v>
      </c>
      <c r="K359" s="19" t="s">
        <v>44</v>
      </c>
      <c r="L359" s="19" t="s">
        <v>1118</v>
      </c>
      <c r="M359" s="19" t="s">
        <v>1119</v>
      </c>
      <c r="N359" s="19">
        <v>772</v>
      </c>
      <c r="O359" s="19">
        <v>124407.8</v>
      </c>
      <c r="P359" s="19" t="s">
        <v>1139</v>
      </c>
      <c r="Q359" s="19">
        <v>0</v>
      </c>
      <c r="R359" s="19">
        <v>9</v>
      </c>
      <c r="S359" s="19">
        <v>11196.7</v>
      </c>
      <c r="T359" s="19">
        <v>9</v>
      </c>
      <c r="U359" s="19">
        <v>11196.7</v>
      </c>
      <c r="V359" s="19">
        <v>0</v>
      </c>
      <c r="W359" s="19">
        <v>0</v>
      </c>
      <c r="X359" s="19">
        <v>0</v>
      </c>
      <c r="Y359" s="19">
        <v>22393.4</v>
      </c>
      <c r="Z359" s="19">
        <v>0</v>
      </c>
      <c r="AA359" s="19" t="s">
        <v>179</v>
      </c>
      <c r="AB359" s="19" t="s">
        <v>1091</v>
      </c>
      <c r="AC359" s="19">
        <v>39269080</v>
      </c>
      <c r="AD359" s="19" t="s">
        <v>1092</v>
      </c>
      <c r="AE359" s="19">
        <v>1</v>
      </c>
      <c r="AF359" s="19">
        <v>772</v>
      </c>
      <c r="AG359" s="19" t="s">
        <v>1093</v>
      </c>
      <c r="AH359" s="19" t="s">
        <v>44</v>
      </c>
      <c r="AI359" s="19"/>
    </row>
    <row r="360" spans="2:35" hidden="1" x14ac:dyDescent="0.35">
      <c r="B360" s="82">
        <v>46233</v>
      </c>
      <c r="C360" s="19" t="s">
        <v>1123</v>
      </c>
      <c r="D360" s="19" t="s">
        <v>11</v>
      </c>
      <c r="E360" s="83">
        <v>533</v>
      </c>
      <c r="F360" s="19" t="s">
        <v>1124</v>
      </c>
      <c r="G360" s="19" t="s">
        <v>1527</v>
      </c>
      <c r="H360" s="76">
        <v>46233</v>
      </c>
      <c r="I360" s="19" t="s">
        <v>105</v>
      </c>
      <c r="J360" s="19" t="s">
        <v>1142</v>
      </c>
      <c r="K360" s="19" t="s">
        <v>1143</v>
      </c>
      <c r="L360" s="19" t="s">
        <v>1144</v>
      </c>
      <c r="M360" s="19" t="s">
        <v>1196</v>
      </c>
      <c r="N360" s="19">
        <v>16</v>
      </c>
      <c r="O360" s="19">
        <v>768</v>
      </c>
      <c r="P360" s="19" t="s">
        <v>1139</v>
      </c>
      <c r="Q360" s="19">
        <v>905.47</v>
      </c>
      <c r="R360" s="19">
        <v>9</v>
      </c>
      <c r="S360" s="19">
        <v>69.12</v>
      </c>
      <c r="T360" s="19">
        <v>9</v>
      </c>
      <c r="U360" s="19">
        <v>69.12</v>
      </c>
      <c r="V360" s="19">
        <v>0</v>
      </c>
      <c r="W360" s="19">
        <v>0</v>
      </c>
      <c r="X360" s="19">
        <v>0</v>
      </c>
      <c r="Y360" s="19">
        <v>138.24</v>
      </c>
      <c r="Z360" s="19">
        <v>0</v>
      </c>
      <c r="AA360" s="19" t="s">
        <v>179</v>
      </c>
      <c r="AB360" s="19" t="s">
        <v>1091</v>
      </c>
      <c r="AC360" s="19">
        <v>73063090</v>
      </c>
      <c r="AD360" s="19" t="s">
        <v>1092</v>
      </c>
      <c r="AE360" s="19">
        <v>1</v>
      </c>
      <c r="AF360" s="19">
        <v>0</v>
      </c>
      <c r="AG360" s="19" t="s">
        <v>1093</v>
      </c>
      <c r="AH360" s="83" t="s">
        <v>2319</v>
      </c>
      <c r="AI360" s="19"/>
    </row>
    <row r="361" spans="2:35" x14ac:dyDescent="0.35">
      <c r="B361" s="82">
        <v>46233</v>
      </c>
      <c r="C361" s="19" t="s">
        <v>1179</v>
      </c>
      <c r="D361" s="19" t="s">
        <v>11</v>
      </c>
      <c r="E361" s="83">
        <v>528</v>
      </c>
      <c r="F361" s="19" t="s">
        <v>1085</v>
      </c>
      <c r="G361" s="19" t="s">
        <v>1528</v>
      </c>
      <c r="H361" s="76">
        <v>46233</v>
      </c>
      <c r="I361" s="19" t="s">
        <v>36</v>
      </c>
      <c r="J361" s="19" t="s">
        <v>1087</v>
      </c>
      <c r="K361" s="19" t="s">
        <v>46</v>
      </c>
      <c r="L361" s="19" t="s">
        <v>1088</v>
      </c>
      <c r="M361" s="19" t="s">
        <v>1181</v>
      </c>
      <c r="N361" s="19">
        <v>432.2</v>
      </c>
      <c r="O361" s="19">
        <v>66623.63</v>
      </c>
      <c r="P361" s="19" t="s">
        <v>1182</v>
      </c>
      <c r="Q361" s="19">
        <v>300684.44</v>
      </c>
      <c r="R361" s="19">
        <v>2.5</v>
      </c>
      <c r="S361" s="19">
        <v>1665.59</v>
      </c>
      <c r="T361" s="19">
        <v>2.5</v>
      </c>
      <c r="U361" s="19">
        <v>1665.59</v>
      </c>
      <c r="V361" s="19">
        <v>0</v>
      </c>
      <c r="W361" s="19">
        <v>0</v>
      </c>
      <c r="X361" s="19">
        <v>0</v>
      </c>
      <c r="Y361" s="19">
        <v>3331.18</v>
      </c>
      <c r="Z361" s="19">
        <v>0</v>
      </c>
      <c r="AA361" s="19" t="s">
        <v>179</v>
      </c>
      <c r="AB361" s="19" t="s">
        <v>1091</v>
      </c>
      <c r="AC361" s="19">
        <v>54026930</v>
      </c>
      <c r="AD361" s="19" t="s">
        <v>1092</v>
      </c>
      <c r="AE361" s="19">
        <v>1</v>
      </c>
      <c r="AF361" s="19">
        <v>432.2</v>
      </c>
      <c r="AG361" s="19" t="s">
        <v>1093</v>
      </c>
      <c r="AH361" s="19" t="s">
        <v>46</v>
      </c>
      <c r="AI361" s="19"/>
    </row>
    <row r="362" spans="2:35" x14ac:dyDescent="0.35">
      <c r="B362" s="82">
        <v>46233</v>
      </c>
      <c r="C362" s="19" t="s">
        <v>1179</v>
      </c>
      <c r="D362" s="19" t="s">
        <v>11</v>
      </c>
      <c r="E362" s="83">
        <v>528</v>
      </c>
      <c r="F362" s="19" t="s">
        <v>1085</v>
      </c>
      <c r="G362" s="19" t="s">
        <v>1528</v>
      </c>
      <c r="H362" s="76">
        <v>46233</v>
      </c>
      <c r="I362" s="19" t="s">
        <v>36</v>
      </c>
      <c r="J362" s="19" t="s">
        <v>1087</v>
      </c>
      <c r="K362" s="19" t="s">
        <v>46</v>
      </c>
      <c r="L362" s="19" t="s">
        <v>1088</v>
      </c>
      <c r="M362" s="19" t="s">
        <v>1089</v>
      </c>
      <c r="N362" s="19">
        <v>270</v>
      </c>
      <c r="O362" s="19">
        <v>40810.5</v>
      </c>
      <c r="P362" s="19" t="s">
        <v>1090</v>
      </c>
      <c r="Q362" s="19">
        <v>0</v>
      </c>
      <c r="R362" s="19">
        <v>2.5</v>
      </c>
      <c r="S362" s="19">
        <v>1020.26</v>
      </c>
      <c r="T362" s="19">
        <v>2.5</v>
      </c>
      <c r="U362" s="19">
        <v>1020.26</v>
      </c>
      <c r="V362" s="19">
        <v>0</v>
      </c>
      <c r="W362" s="19">
        <v>0</v>
      </c>
      <c r="X362" s="19">
        <v>0</v>
      </c>
      <c r="Y362" s="19">
        <v>2040.52</v>
      </c>
      <c r="Z362" s="19">
        <v>0</v>
      </c>
      <c r="AA362" s="19" t="s">
        <v>179</v>
      </c>
      <c r="AB362" s="19" t="s">
        <v>1091</v>
      </c>
      <c r="AC362" s="19">
        <v>54026930</v>
      </c>
      <c r="AD362" s="19" t="s">
        <v>1092</v>
      </c>
      <c r="AE362" s="19">
        <v>1</v>
      </c>
      <c r="AF362" s="19">
        <v>270</v>
      </c>
      <c r="AG362" s="19" t="s">
        <v>1093</v>
      </c>
      <c r="AH362" s="19" t="s">
        <v>46</v>
      </c>
      <c r="AI362" s="19"/>
    </row>
    <row r="363" spans="2:35" ht="29" x14ac:dyDescent="0.35">
      <c r="B363" s="82">
        <v>46233</v>
      </c>
      <c r="C363" s="19" t="s">
        <v>1179</v>
      </c>
      <c r="D363" s="19" t="s">
        <v>11</v>
      </c>
      <c r="E363" s="83">
        <v>528</v>
      </c>
      <c r="F363" s="19" t="s">
        <v>1085</v>
      </c>
      <c r="G363" s="19" t="s">
        <v>1528</v>
      </c>
      <c r="H363" s="76">
        <v>46233</v>
      </c>
      <c r="I363" s="19" t="s">
        <v>36</v>
      </c>
      <c r="J363" s="19" t="s">
        <v>1117</v>
      </c>
      <c r="K363" s="19" t="s">
        <v>44</v>
      </c>
      <c r="L363" s="19" t="s">
        <v>1118</v>
      </c>
      <c r="M363" s="19" t="s">
        <v>1119</v>
      </c>
      <c r="N363" s="19">
        <v>926.2</v>
      </c>
      <c r="O363" s="19">
        <v>159445.32999999999</v>
      </c>
      <c r="P363" s="84" t="s">
        <v>1529</v>
      </c>
      <c r="Q363" s="19">
        <v>0</v>
      </c>
      <c r="R363" s="19">
        <v>9</v>
      </c>
      <c r="S363" s="19">
        <v>14350.08</v>
      </c>
      <c r="T363" s="19">
        <v>9</v>
      </c>
      <c r="U363" s="19">
        <v>14350.08</v>
      </c>
      <c r="V363" s="19">
        <v>0</v>
      </c>
      <c r="W363" s="19">
        <v>0</v>
      </c>
      <c r="X363" s="19">
        <v>0</v>
      </c>
      <c r="Y363" s="19">
        <v>28700.16</v>
      </c>
      <c r="Z363" s="19">
        <v>0</v>
      </c>
      <c r="AA363" s="19" t="s">
        <v>179</v>
      </c>
      <c r="AB363" s="19" t="s">
        <v>1091</v>
      </c>
      <c r="AC363" s="19">
        <v>39269080</v>
      </c>
      <c r="AD363" s="19" t="s">
        <v>1092</v>
      </c>
      <c r="AE363" s="19">
        <v>1</v>
      </c>
      <c r="AF363" s="19">
        <v>926.2</v>
      </c>
      <c r="AG363" s="19" t="s">
        <v>1093</v>
      </c>
      <c r="AH363" s="19" t="s">
        <v>44</v>
      </c>
      <c r="AI363" s="19"/>
    </row>
    <row r="364" spans="2:35" hidden="1" x14ac:dyDescent="0.35">
      <c r="B364" s="82">
        <v>46233</v>
      </c>
      <c r="C364" s="19" t="s">
        <v>1179</v>
      </c>
      <c r="D364" s="19" t="s">
        <v>11</v>
      </c>
      <c r="E364" s="83">
        <v>529</v>
      </c>
      <c r="F364" s="19" t="s">
        <v>1124</v>
      </c>
      <c r="G364" s="19" t="s">
        <v>1530</v>
      </c>
      <c r="H364" s="76">
        <v>46233</v>
      </c>
      <c r="I364" s="19" t="s">
        <v>105</v>
      </c>
      <c r="J364" s="19" t="s">
        <v>1142</v>
      </c>
      <c r="K364" s="19" t="s">
        <v>1143</v>
      </c>
      <c r="L364" s="19" t="s">
        <v>1144</v>
      </c>
      <c r="M364" s="19" t="s">
        <v>1145</v>
      </c>
      <c r="N364" s="19">
        <v>21</v>
      </c>
      <c r="O364" s="19">
        <v>1008</v>
      </c>
      <c r="P364" s="19" t="s">
        <v>1139</v>
      </c>
      <c r="Q364" s="19">
        <v>1188.43</v>
      </c>
      <c r="R364" s="19">
        <v>9</v>
      </c>
      <c r="S364" s="19">
        <v>90.72</v>
      </c>
      <c r="T364" s="19">
        <v>9</v>
      </c>
      <c r="U364" s="19">
        <v>90.72</v>
      </c>
      <c r="V364" s="19">
        <v>0</v>
      </c>
      <c r="W364" s="19">
        <v>0</v>
      </c>
      <c r="X364" s="19">
        <v>0</v>
      </c>
      <c r="Y364" s="19">
        <v>181.44</v>
      </c>
      <c r="Z364" s="19">
        <v>0</v>
      </c>
      <c r="AA364" s="19" t="s">
        <v>179</v>
      </c>
      <c r="AB364" s="19" t="s">
        <v>1091</v>
      </c>
      <c r="AC364" s="19">
        <v>73063090</v>
      </c>
      <c r="AD364" s="19" t="s">
        <v>1092</v>
      </c>
      <c r="AE364" s="19">
        <v>1</v>
      </c>
      <c r="AF364" s="19">
        <v>0</v>
      </c>
      <c r="AG364" s="19" t="s">
        <v>1093</v>
      </c>
      <c r="AH364" s="83" t="s">
        <v>2319</v>
      </c>
      <c r="AI364" s="19"/>
    </row>
    <row r="365" spans="2:35" x14ac:dyDescent="0.35">
      <c r="B365" s="82">
        <v>46233</v>
      </c>
      <c r="C365" s="19" t="s">
        <v>245</v>
      </c>
      <c r="D365" s="19" t="s">
        <v>11</v>
      </c>
      <c r="E365" s="83">
        <v>534</v>
      </c>
      <c r="F365" s="19" t="s">
        <v>1085</v>
      </c>
      <c r="G365" s="19" t="s">
        <v>1531</v>
      </c>
      <c r="H365" s="76">
        <v>46233</v>
      </c>
      <c r="I365" s="19" t="s">
        <v>36</v>
      </c>
      <c r="J365" s="19" t="s">
        <v>1087</v>
      </c>
      <c r="K365" s="19" t="s">
        <v>46</v>
      </c>
      <c r="L365" s="19" t="s">
        <v>1240</v>
      </c>
      <c r="M365" s="19" t="s">
        <v>1241</v>
      </c>
      <c r="N365" s="19">
        <v>251.2</v>
      </c>
      <c r="O365" s="19">
        <v>41862.480000000003</v>
      </c>
      <c r="P365" s="19" t="s">
        <v>1241</v>
      </c>
      <c r="Q365" s="19">
        <v>425154.38</v>
      </c>
      <c r="R365" s="19">
        <v>2.5</v>
      </c>
      <c r="S365" s="19">
        <v>1046.56</v>
      </c>
      <c r="T365" s="19">
        <v>2.5</v>
      </c>
      <c r="U365" s="19">
        <v>1046.56</v>
      </c>
      <c r="V365" s="19">
        <v>0</v>
      </c>
      <c r="W365" s="19">
        <v>0</v>
      </c>
      <c r="X365" s="19">
        <v>0</v>
      </c>
      <c r="Y365" s="19">
        <v>2093.12</v>
      </c>
      <c r="Z365" s="19">
        <v>0</v>
      </c>
      <c r="AA365" s="19" t="s">
        <v>179</v>
      </c>
      <c r="AB365" s="19" t="s">
        <v>1091</v>
      </c>
      <c r="AC365" s="19">
        <v>54026930</v>
      </c>
      <c r="AD365" s="19" t="s">
        <v>1092</v>
      </c>
      <c r="AE365" s="19">
        <v>1</v>
      </c>
      <c r="AF365" s="19">
        <v>251.2</v>
      </c>
      <c r="AG365" s="19" t="s">
        <v>1093</v>
      </c>
      <c r="AH365" s="19" t="s">
        <v>46</v>
      </c>
      <c r="AI365" s="19"/>
    </row>
    <row r="366" spans="2:35" ht="29" x14ac:dyDescent="0.35">
      <c r="B366" s="82">
        <v>46233</v>
      </c>
      <c r="C366" s="19" t="s">
        <v>245</v>
      </c>
      <c r="D366" s="19" t="s">
        <v>11</v>
      </c>
      <c r="E366" s="83">
        <v>534</v>
      </c>
      <c r="F366" s="19" t="s">
        <v>1085</v>
      </c>
      <c r="G366" s="19" t="s">
        <v>1531</v>
      </c>
      <c r="H366" s="76">
        <v>46233</v>
      </c>
      <c r="I366" s="19" t="s">
        <v>36</v>
      </c>
      <c r="J366" s="19" t="s">
        <v>1117</v>
      </c>
      <c r="K366" s="19" t="s">
        <v>42</v>
      </c>
      <c r="L366" s="19" t="s">
        <v>1242</v>
      </c>
      <c r="M366" s="19" t="s">
        <v>1154</v>
      </c>
      <c r="N366" s="19">
        <v>319</v>
      </c>
      <c r="O366" s="19">
        <v>50130.85</v>
      </c>
      <c r="P366" s="84" t="s">
        <v>1155</v>
      </c>
      <c r="Q366" s="19">
        <v>0</v>
      </c>
      <c r="R366" s="19">
        <v>9</v>
      </c>
      <c r="S366" s="19">
        <v>4511.78</v>
      </c>
      <c r="T366" s="19">
        <v>9</v>
      </c>
      <c r="U366" s="19">
        <v>4511.78</v>
      </c>
      <c r="V366" s="19">
        <v>0</v>
      </c>
      <c r="W366" s="19">
        <v>0</v>
      </c>
      <c r="X366" s="19">
        <v>0</v>
      </c>
      <c r="Y366" s="19">
        <v>9023.56</v>
      </c>
      <c r="Z366" s="19">
        <v>0</v>
      </c>
      <c r="AA366" s="19" t="s">
        <v>179</v>
      </c>
      <c r="AB366" s="19" t="s">
        <v>1091</v>
      </c>
      <c r="AC366" s="19">
        <v>39269080</v>
      </c>
      <c r="AD366" s="19" t="s">
        <v>1092</v>
      </c>
      <c r="AE366" s="19">
        <v>1</v>
      </c>
      <c r="AF366" s="19">
        <v>319</v>
      </c>
      <c r="AG366" s="19" t="s">
        <v>1093</v>
      </c>
      <c r="AH366" s="19" t="s">
        <v>42</v>
      </c>
      <c r="AI366" s="19"/>
    </row>
    <row r="367" spans="2:35" ht="43.5" x14ac:dyDescent="0.35">
      <c r="B367" s="82">
        <v>46233</v>
      </c>
      <c r="C367" s="19" t="s">
        <v>245</v>
      </c>
      <c r="D367" s="19" t="s">
        <v>11</v>
      </c>
      <c r="E367" s="83">
        <v>534</v>
      </c>
      <c r="F367" s="19" t="s">
        <v>1085</v>
      </c>
      <c r="G367" s="19" t="s">
        <v>1531</v>
      </c>
      <c r="H367" s="76">
        <v>46233</v>
      </c>
      <c r="I367" s="19" t="s">
        <v>36</v>
      </c>
      <c r="J367" s="19" t="s">
        <v>1117</v>
      </c>
      <c r="K367" s="19" t="s">
        <v>42</v>
      </c>
      <c r="L367" s="19" t="s">
        <v>1242</v>
      </c>
      <c r="M367" s="19" t="s">
        <v>1154</v>
      </c>
      <c r="N367" s="19">
        <v>108.5</v>
      </c>
      <c r="O367" s="19">
        <v>19546.28</v>
      </c>
      <c r="P367" s="84" t="s">
        <v>1243</v>
      </c>
      <c r="Q367" s="19">
        <v>0</v>
      </c>
      <c r="R367" s="19">
        <v>9</v>
      </c>
      <c r="S367" s="19">
        <v>1759.17</v>
      </c>
      <c r="T367" s="19">
        <v>9</v>
      </c>
      <c r="U367" s="19">
        <v>1759.17</v>
      </c>
      <c r="V367" s="19">
        <v>0</v>
      </c>
      <c r="W367" s="19">
        <v>0</v>
      </c>
      <c r="X367" s="19">
        <v>0</v>
      </c>
      <c r="Y367" s="19">
        <v>3518.34</v>
      </c>
      <c r="Z367" s="19">
        <v>0</v>
      </c>
      <c r="AA367" s="19" t="s">
        <v>179</v>
      </c>
      <c r="AB367" s="19" t="s">
        <v>1091</v>
      </c>
      <c r="AC367" s="19">
        <v>39269080</v>
      </c>
      <c r="AD367" s="19" t="s">
        <v>1092</v>
      </c>
      <c r="AE367" s="19">
        <v>1</v>
      </c>
      <c r="AF367" s="19">
        <v>108.5</v>
      </c>
      <c r="AG367" s="19" t="s">
        <v>1093</v>
      </c>
      <c r="AH367" s="19" t="s">
        <v>42</v>
      </c>
      <c r="AI367" s="19"/>
    </row>
    <row r="368" spans="2:35" x14ac:dyDescent="0.35">
      <c r="B368" s="82">
        <v>46233</v>
      </c>
      <c r="C368" s="19" t="s">
        <v>245</v>
      </c>
      <c r="D368" s="19" t="s">
        <v>11</v>
      </c>
      <c r="E368" s="83">
        <v>534</v>
      </c>
      <c r="F368" s="19" t="s">
        <v>1085</v>
      </c>
      <c r="G368" s="19" t="s">
        <v>1531</v>
      </c>
      <c r="H368" s="76">
        <v>46233</v>
      </c>
      <c r="I368" s="19" t="s">
        <v>36</v>
      </c>
      <c r="J368" s="19" t="s">
        <v>1156</v>
      </c>
      <c r="K368" s="19" t="s">
        <v>45</v>
      </c>
      <c r="L368" s="19" t="s">
        <v>1157</v>
      </c>
      <c r="M368" s="19" t="s">
        <v>1156</v>
      </c>
      <c r="N368" s="19">
        <v>1008</v>
      </c>
      <c r="O368" s="19">
        <v>159415.20000000001</v>
      </c>
      <c r="P368" s="19" t="s">
        <v>1532</v>
      </c>
      <c r="Q368" s="19">
        <v>0</v>
      </c>
      <c r="R368" s="19">
        <v>9</v>
      </c>
      <c r="S368" s="19">
        <v>14347.37</v>
      </c>
      <c r="T368" s="19">
        <v>9</v>
      </c>
      <c r="U368" s="19">
        <v>14347.37</v>
      </c>
      <c r="V368" s="19">
        <v>0</v>
      </c>
      <c r="W368" s="19">
        <v>0</v>
      </c>
      <c r="X368" s="19">
        <v>0</v>
      </c>
      <c r="Y368" s="19">
        <v>28694.74</v>
      </c>
      <c r="Z368" s="19">
        <v>0</v>
      </c>
      <c r="AA368" s="19" t="s">
        <v>179</v>
      </c>
      <c r="AB368" s="19" t="s">
        <v>1091</v>
      </c>
      <c r="AC368" s="19">
        <v>39269080</v>
      </c>
      <c r="AD368" s="19" t="s">
        <v>1092</v>
      </c>
      <c r="AE368" s="19">
        <v>1</v>
      </c>
      <c r="AF368" s="19">
        <v>1008</v>
      </c>
      <c r="AG368" s="19" t="s">
        <v>1093</v>
      </c>
      <c r="AH368" s="19" t="s">
        <v>45</v>
      </c>
      <c r="AI368" s="19"/>
    </row>
    <row r="369" spans="2:35" x14ac:dyDescent="0.35">
      <c r="B369" s="82">
        <v>46233</v>
      </c>
      <c r="C369" s="19" t="s">
        <v>245</v>
      </c>
      <c r="D369" s="19" t="s">
        <v>11</v>
      </c>
      <c r="E369" s="83">
        <v>534</v>
      </c>
      <c r="F369" s="19" t="s">
        <v>1085</v>
      </c>
      <c r="G369" s="19" t="s">
        <v>1531</v>
      </c>
      <c r="H369" s="76">
        <v>46233</v>
      </c>
      <c r="I369" s="19" t="s">
        <v>36</v>
      </c>
      <c r="J369" s="19" t="s">
        <v>1087</v>
      </c>
      <c r="K369" s="19" t="s">
        <v>46</v>
      </c>
      <c r="L369" s="19" t="s">
        <v>1088</v>
      </c>
      <c r="M369" s="19" t="s">
        <v>1181</v>
      </c>
      <c r="N369" s="19">
        <v>300</v>
      </c>
      <c r="O369" s="19">
        <v>46245</v>
      </c>
      <c r="P369" s="19" t="s">
        <v>1182</v>
      </c>
      <c r="Q369" s="19">
        <v>0</v>
      </c>
      <c r="R369" s="19">
        <v>2.5</v>
      </c>
      <c r="S369" s="19">
        <v>1156.1199999999999</v>
      </c>
      <c r="T369" s="19">
        <v>2.5</v>
      </c>
      <c r="U369" s="19">
        <v>1156.1199999999999</v>
      </c>
      <c r="V369" s="19">
        <v>0</v>
      </c>
      <c r="W369" s="19">
        <v>0</v>
      </c>
      <c r="X369" s="19">
        <v>0</v>
      </c>
      <c r="Y369" s="19">
        <v>2312.2399999999998</v>
      </c>
      <c r="Z369" s="19">
        <v>0</v>
      </c>
      <c r="AA369" s="19" t="s">
        <v>179</v>
      </c>
      <c r="AB369" s="19" t="s">
        <v>1091</v>
      </c>
      <c r="AC369" s="19">
        <v>54026930</v>
      </c>
      <c r="AD369" s="19" t="s">
        <v>1092</v>
      </c>
      <c r="AE369" s="19">
        <v>1</v>
      </c>
      <c r="AF369" s="19">
        <v>300</v>
      </c>
      <c r="AG369" s="19" t="s">
        <v>1093</v>
      </c>
      <c r="AH369" s="19" t="s">
        <v>46</v>
      </c>
      <c r="AI369" s="19"/>
    </row>
    <row r="370" spans="2:35" x14ac:dyDescent="0.35">
      <c r="B370" s="82">
        <v>46233</v>
      </c>
      <c r="C370" s="19" t="s">
        <v>245</v>
      </c>
      <c r="D370" s="19" t="s">
        <v>11</v>
      </c>
      <c r="E370" s="83">
        <v>534</v>
      </c>
      <c r="F370" s="19" t="s">
        <v>1085</v>
      </c>
      <c r="G370" s="19" t="s">
        <v>1531</v>
      </c>
      <c r="H370" s="76">
        <v>46233</v>
      </c>
      <c r="I370" s="19" t="s">
        <v>36</v>
      </c>
      <c r="J370" s="19" t="s">
        <v>1087</v>
      </c>
      <c r="K370" s="19" t="s">
        <v>46</v>
      </c>
      <c r="L370" s="19" t="s">
        <v>1088</v>
      </c>
      <c r="M370" s="19" t="s">
        <v>1089</v>
      </c>
      <c r="N370" s="19">
        <v>395</v>
      </c>
      <c r="O370" s="19">
        <v>59704.25</v>
      </c>
      <c r="P370" s="19" t="s">
        <v>1090</v>
      </c>
      <c r="Q370" s="19">
        <v>0</v>
      </c>
      <c r="R370" s="19">
        <v>2.5</v>
      </c>
      <c r="S370" s="19">
        <v>1492.61</v>
      </c>
      <c r="T370" s="19">
        <v>2.5</v>
      </c>
      <c r="U370" s="19">
        <v>1492.61</v>
      </c>
      <c r="V370" s="19">
        <v>0</v>
      </c>
      <c r="W370" s="19">
        <v>0</v>
      </c>
      <c r="X370" s="19">
        <v>0</v>
      </c>
      <c r="Y370" s="19">
        <v>2985.22</v>
      </c>
      <c r="Z370" s="19">
        <v>0</v>
      </c>
      <c r="AA370" s="19" t="s">
        <v>179</v>
      </c>
      <c r="AB370" s="19" t="s">
        <v>1091</v>
      </c>
      <c r="AC370" s="19">
        <v>54026930</v>
      </c>
      <c r="AD370" s="19" t="s">
        <v>1092</v>
      </c>
      <c r="AE370" s="19">
        <v>1</v>
      </c>
      <c r="AF370" s="19">
        <v>395</v>
      </c>
      <c r="AG370" s="19" t="s">
        <v>1093</v>
      </c>
      <c r="AH370" s="19" t="s">
        <v>46</v>
      </c>
      <c r="AI370" s="19"/>
    </row>
    <row r="371" spans="2:35" hidden="1" x14ac:dyDescent="0.35">
      <c r="B371" s="82">
        <v>46233</v>
      </c>
      <c r="C371" s="19" t="s">
        <v>245</v>
      </c>
      <c r="D371" s="19" t="s">
        <v>11</v>
      </c>
      <c r="E371" s="83">
        <v>536</v>
      </c>
      <c r="F371" s="19" t="s">
        <v>1124</v>
      </c>
      <c r="G371" s="19" t="s">
        <v>1533</v>
      </c>
      <c r="H371" s="76">
        <v>46233</v>
      </c>
      <c r="I371" s="19" t="s">
        <v>105</v>
      </c>
      <c r="J371" s="19" t="s">
        <v>1142</v>
      </c>
      <c r="K371" s="19" t="s">
        <v>1143</v>
      </c>
      <c r="L371" s="19" t="s">
        <v>1144</v>
      </c>
      <c r="M371" s="19" t="s">
        <v>1145</v>
      </c>
      <c r="N371" s="19">
        <v>25</v>
      </c>
      <c r="O371" s="19">
        <v>1200</v>
      </c>
      <c r="P371" s="19" t="s">
        <v>1139</v>
      </c>
      <c r="Q371" s="19">
        <v>1414.8</v>
      </c>
      <c r="R371" s="19">
        <v>9</v>
      </c>
      <c r="S371" s="19">
        <v>108</v>
      </c>
      <c r="T371" s="19">
        <v>9</v>
      </c>
      <c r="U371" s="19">
        <v>108</v>
      </c>
      <c r="V371" s="19">
        <v>0</v>
      </c>
      <c r="W371" s="19">
        <v>0</v>
      </c>
      <c r="X371" s="19">
        <v>0</v>
      </c>
      <c r="Y371" s="19">
        <v>216</v>
      </c>
      <c r="Z371" s="19">
        <v>0</v>
      </c>
      <c r="AA371" s="19" t="s">
        <v>179</v>
      </c>
      <c r="AB371" s="19" t="s">
        <v>1091</v>
      </c>
      <c r="AC371" s="19">
        <v>73063090</v>
      </c>
      <c r="AD371" s="19" t="s">
        <v>1092</v>
      </c>
      <c r="AE371" s="19">
        <v>1</v>
      </c>
      <c r="AF371" s="19">
        <v>0</v>
      </c>
      <c r="AG371" s="19" t="s">
        <v>1093</v>
      </c>
      <c r="AH371" s="83" t="s">
        <v>2319</v>
      </c>
      <c r="AI371" s="19"/>
    </row>
    <row r="372" spans="2:35" x14ac:dyDescent="0.35">
      <c r="B372" s="82">
        <v>46233</v>
      </c>
      <c r="C372" s="19" t="s">
        <v>1084</v>
      </c>
      <c r="D372" s="19" t="s">
        <v>11</v>
      </c>
      <c r="E372" s="83">
        <v>527</v>
      </c>
      <c r="F372" s="19" t="s">
        <v>1085</v>
      </c>
      <c r="G372" s="19" t="s">
        <v>1534</v>
      </c>
      <c r="H372" s="76">
        <v>46233</v>
      </c>
      <c r="I372" s="19" t="s">
        <v>36</v>
      </c>
      <c r="J372" s="19" t="s">
        <v>1087</v>
      </c>
      <c r="K372" s="19" t="s">
        <v>46</v>
      </c>
      <c r="L372" s="19" t="s">
        <v>1088</v>
      </c>
      <c r="M372" s="19" t="s">
        <v>1089</v>
      </c>
      <c r="N372" s="19">
        <v>930.5</v>
      </c>
      <c r="O372" s="19">
        <v>140645.07999999999</v>
      </c>
      <c r="P372" s="19" t="s">
        <v>1090</v>
      </c>
      <c r="Q372" s="19">
        <v>165820.54999999999</v>
      </c>
      <c r="R372" s="19">
        <v>9</v>
      </c>
      <c r="S372" s="19">
        <v>12658.06</v>
      </c>
      <c r="T372" s="19">
        <v>9</v>
      </c>
      <c r="U372" s="19">
        <v>12658.06</v>
      </c>
      <c r="V372" s="19">
        <v>0</v>
      </c>
      <c r="W372" s="19">
        <v>0</v>
      </c>
      <c r="X372" s="19">
        <v>0</v>
      </c>
      <c r="Y372" s="19">
        <v>25316.12</v>
      </c>
      <c r="Z372" s="19">
        <v>0</v>
      </c>
      <c r="AA372" s="19" t="s">
        <v>135</v>
      </c>
      <c r="AB372" s="19" t="s">
        <v>1091</v>
      </c>
      <c r="AC372" s="19">
        <v>39199090</v>
      </c>
      <c r="AD372" s="19" t="s">
        <v>1092</v>
      </c>
      <c r="AE372" s="19">
        <v>1</v>
      </c>
      <c r="AF372" s="19">
        <v>930.5</v>
      </c>
      <c r="AG372" s="19" t="s">
        <v>1093</v>
      </c>
      <c r="AH372" s="19" t="s">
        <v>46</v>
      </c>
      <c r="AI372" s="19"/>
    </row>
    <row r="373" spans="2:35" x14ac:dyDescent="0.35">
      <c r="B373" s="82">
        <v>46233</v>
      </c>
      <c r="C373" s="19" t="s">
        <v>1084</v>
      </c>
      <c r="D373" s="19" t="s">
        <v>11</v>
      </c>
      <c r="E373" s="83">
        <v>530</v>
      </c>
      <c r="F373" s="19" t="s">
        <v>1085</v>
      </c>
      <c r="G373" s="19" t="s">
        <v>1535</v>
      </c>
      <c r="H373" s="76">
        <v>46233</v>
      </c>
      <c r="I373" s="19" t="s">
        <v>49</v>
      </c>
      <c r="J373" s="19" t="s">
        <v>50</v>
      </c>
      <c r="K373" s="19" t="s">
        <v>50</v>
      </c>
      <c r="L373" s="19" t="s">
        <v>1095</v>
      </c>
      <c r="M373" s="19" t="s">
        <v>1098</v>
      </c>
      <c r="N373" s="19">
        <v>3530.1</v>
      </c>
      <c r="O373" s="19">
        <v>1884190.88</v>
      </c>
      <c r="P373" s="19" t="s">
        <v>1536</v>
      </c>
      <c r="Q373" s="19">
        <v>2221461.0499999998</v>
      </c>
      <c r="R373" s="19">
        <v>9</v>
      </c>
      <c r="S373" s="19">
        <v>169577.18</v>
      </c>
      <c r="T373" s="19">
        <v>9</v>
      </c>
      <c r="U373" s="19">
        <v>169577.18</v>
      </c>
      <c r="V373" s="19">
        <v>0</v>
      </c>
      <c r="W373" s="19">
        <v>0</v>
      </c>
      <c r="X373" s="19">
        <v>0</v>
      </c>
      <c r="Y373" s="19">
        <v>339154.36</v>
      </c>
      <c r="Z373" s="19">
        <v>0</v>
      </c>
      <c r="AA373" s="19" t="s">
        <v>135</v>
      </c>
      <c r="AB373" s="19" t="s">
        <v>1091</v>
      </c>
      <c r="AC373" s="19">
        <v>63053200</v>
      </c>
      <c r="AD373" s="19" t="s">
        <v>1092</v>
      </c>
      <c r="AE373" s="19">
        <v>1</v>
      </c>
      <c r="AF373" s="19">
        <v>3530.1</v>
      </c>
      <c r="AG373" s="19" t="s">
        <v>1093</v>
      </c>
      <c r="AH373" s="19" t="s">
        <v>50</v>
      </c>
      <c r="AI373" s="19"/>
    </row>
    <row r="374" spans="2:35" x14ac:dyDescent="0.35">
      <c r="B374" s="82">
        <v>46233</v>
      </c>
      <c r="C374" s="19" t="s">
        <v>1136</v>
      </c>
      <c r="D374" s="19" t="s">
        <v>11</v>
      </c>
      <c r="E374" s="83">
        <v>526</v>
      </c>
      <c r="F374" s="19" t="s">
        <v>1085</v>
      </c>
      <c r="G374" s="19" t="s">
        <v>1537</v>
      </c>
      <c r="H374" s="76">
        <v>46233</v>
      </c>
      <c r="I374" s="19" t="s">
        <v>36</v>
      </c>
      <c r="J374" s="19" t="s">
        <v>1087</v>
      </c>
      <c r="K374" s="19" t="s">
        <v>46</v>
      </c>
      <c r="L374" s="19" t="s">
        <v>1088</v>
      </c>
      <c r="M374" s="19" t="s">
        <v>1181</v>
      </c>
      <c r="N374" s="19">
        <v>707</v>
      </c>
      <c r="O374" s="19">
        <v>108984.05</v>
      </c>
      <c r="P374" s="19" t="s">
        <v>1182</v>
      </c>
      <c r="Q374" s="19">
        <v>308000.84000000003</v>
      </c>
      <c r="R374" s="19">
        <v>2.5</v>
      </c>
      <c r="S374" s="19">
        <v>2724.6</v>
      </c>
      <c r="T374" s="19">
        <v>2.5</v>
      </c>
      <c r="U374" s="19">
        <v>2724.6</v>
      </c>
      <c r="V374" s="19">
        <v>0</v>
      </c>
      <c r="W374" s="19">
        <v>0</v>
      </c>
      <c r="X374" s="19">
        <v>0</v>
      </c>
      <c r="Y374" s="19">
        <v>5449.2</v>
      </c>
      <c r="Z374" s="19">
        <v>0</v>
      </c>
      <c r="AA374" s="19" t="s">
        <v>135</v>
      </c>
      <c r="AB374" s="19" t="s">
        <v>1091</v>
      </c>
      <c r="AC374" s="19">
        <v>54026930</v>
      </c>
      <c r="AD374" s="19" t="s">
        <v>1092</v>
      </c>
      <c r="AE374" s="19">
        <v>1</v>
      </c>
      <c r="AF374" s="19">
        <v>707</v>
      </c>
      <c r="AG374" s="19" t="s">
        <v>1093</v>
      </c>
      <c r="AH374" s="19" t="s">
        <v>46</v>
      </c>
      <c r="AI374" s="19"/>
    </row>
    <row r="375" spans="2:35" x14ac:dyDescent="0.35">
      <c r="B375" s="82">
        <v>46233</v>
      </c>
      <c r="C375" s="19" t="s">
        <v>1136</v>
      </c>
      <c r="D375" s="19" t="s">
        <v>11</v>
      </c>
      <c r="E375" s="83">
        <v>526</v>
      </c>
      <c r="F375" s="19" t="s">
        <v>1085</v>
      </c>
      <c r="G375" s="19" t="s">
        <v>1537</v>
      </c>
      <c r="H375" s="76">
        <v>46233</v>
      </c>
      <c r="I375" s="19" t="s">
        <v>36</v>
      </c>
      <c r="J375" s="19" t="s">
        <v>1087</v>
      </c>
      <c r="K375" s="19" t="s">
        <v>46</v>
      </c>
      <c r="L375" s="19" t="s">
        <v>1088</v>
      </c>
      <c r="M375" s="19" t="s">
        <v>1089</v>
      </c>
      <c r="N375" s="19">
        <v>1221.5</v>
      </c>
      <c r="O375" s="19">
        <v>184629.72</v>
      </c>
      <c r="P375" s="19" t="s">
        <v>1090</v>
      </c>
      <c r="Q375" s="19">
        <v>0</v>
      </c>
      <c r="R375" s="19">
        <v>2.5</v>
      </c>
      <c r="S375" s="19">
        <v>4615.74</v>
      </c>
      <c r="T375" s="19">
        <v>2.5</v>
      </c>
      <c r="U375" s="19">
        <v>4615.74</v>
      </c>
      <c r="V375" s="19">
        <v>0</v>
      </c>
      <c r="W375" s="19">
        <v>0</v>
      </c>
      <c r="X375" s="19">
        <v>0</v>
      </c>
      <c r="Y375" s="19">
        <v>9231.48</v>
      </c>
      <c r="Z375" s="19">
        <v>0</v>
      </c>
      <c r="AA375" s="19" t="s">
        <v>135</v>
      </c>
      <c r="AB375" s="19" t="s">
        <v>1091</v>
      </c>
      <c r="AC375" s="19">
        <v>54026930</v>
      </c>
      <c r="AD375" s="19" t="s">
        <v>1092</v>
      </c>
      <c r="AE375" s="19">
        <v>1</v>
      </c>
      <c r="AF375" s="19">
        <v>1221.5</v>
      </c>
      <c r="AG375" s="19" t="s">
        <v>1093</v>
      </c>
      <c r="AH375" s="19" t="s">
        <v>46</v>
      </c>
      <c r="AI375" s="19"/>
    </row>
    <row r="376" spans="2:35" x14ac:dyDescent="0.35">
      <c r="B376" s="82">
        <v>46233</v>
      </c>
      <c r="C376" s="19" t="s">
        <v>1136</v>
      </c>
      <c r="D376" s="19" t="s">
        <v>11</v>
      </c>
      <c r="E376" s="83">
        <v>531</v>
      </c>
      <c r="F376" s="19" t="s">
        <v>1085</v>
      </c>
      <c r="G376" s="19" t="s">
        <v>1538</v>
      </c>
      <c r="H376" s="76">
        <v>46233</v>
      </c>
      <c r="I376" s="19" t="s">
        <v>49</v>
      </c>
      <c r="J376" s="19" t="s">
        <v>50</v>
      </c>
      <c r="K376" s="19" t="s">
        <v>50</v>
      </c>
      <c r="L376" s="19" t="s">
        <v>1095</v>
      </c>
      <c r="M376" s="19" t="s">
        <v>1098</v>
      </c>
      <c r="N376" s="19">
        <v>1589</v>
      </c>
      <c r="O376" s="19">
        <v>398680.1</v>
      </c>
      <c r="P376" s="19" t="s">
        <v>1418</v>
      </c>
      <c r="Q376" s="19">
        <v>1245187.22</v>
      </c>
      <c r="R376" s="19">
        <v>9</v>
      </c>
      <c r="S376" s="19">
        <v>35881.21</v>
      </c>
      <c r="T376" s="19">
        <v>9</v>
      </c>
      <c r="U376" s="19">
        <v>35881.21</v>
      </c>
      <c r="V376" s="19">
        <v>0</v>
      </c>
      <c r="W376" s="19">
        <v>0</v>
      </c>
      <c r="X376" s="19">
        <v>0</v>
      </c>
      <c r="Y376" s="19">
        <v>71762.42</v>
      </c>
      <c r="Z376" s="19">
        <v>0</v>
      </c>
      <c r="AA376" s="19" t="s">
        <v>135</v>
      </c>
      <c r="AB376" s="19" t="s">
        <v>1091</v>
      </c>
      <c r="AC376" s="19">
        <v>63053200</v>
      </c>
      <c r="AD376" s="19" t="s">
        <v>1092</v>
      </c>
      <c r="AE376" s="19">
        <v>1</v>
      </c>
      <c r="AF376" s="19">
        <v>1589</v>
      </c>
      <c r="AG376" s="19" t="s">
        <v>1093</v>
      </c>
      <c r="AH376" s="19" t="s">
        <v>50</v>
      </c>
      <c r="AI376" s="19"/>
    </row>
    <row r="377" spans="2:35" x14ac:dyDescent="0.35">
      <c r="B377" s="82">
        <v>46233</v>
      </c>
      <c r="C377" s="19" t="s">
        <v>1136</v>
      </c>
      <c r="D377" s="19" t="s">
        <v>11</v>
      </c>
      <c r="E377" s="83">
        <v>531</v>
      </c>
      <c r="F377" s="19" t="s">
        <v>1085</v>
      </c>
      <c r="G377" s="19" t="s">
        <v>1538</v>
      </c>
      <c r="H377" s="76">
        <v>46233</v>
      </c>
      <c r="I377" s="19" t="s">
        <v>49</v>
      </c>
      <c r="J377" s="19" t="s">
        <v>50</v>
      </c>
      <c r="K377" s="19" t="s">
        <v>50</v>
      </c>
      <c r="L377" s="19" t="s">
        <v>1095</v>
      </c>
      <c r="M377" s="19" t="s">
        <v>1098</v>
      </c>
      <c r="N377" s="19">
        <v>2541</v>
      </c>
      <c r="O377" s="19">
        <v>657458.34</v>
      </c>
      <c r="P377" s="19" t="s">
        <v>1539</v>
      </c>
      <c r="Q377" s="19">
        <v>0</v>
      </c>
      <c r="R377" s="19">
        <v>9</v>
      </c>
      <c r="S377" s="19">
        <v>59171.25</v>
      </c>
      <c r="T377" s="19">
        <v>9</v>
      </c>
      <c r="U377" s="19">
        <v>59171.25</v>
      </c>
      <c r="V377" s="19">
        <v>0</v>
      </c>
      <c r="W377" s="19">
        <v>0</v>
      </c>
      <c r="X377" s="19">
        <v>0</v>
      </c>
      <c r="Y377" s="19">
        <v>118342.5</v>
      </c>
      <c r="Z377" s="19">
        <v>0</v>
      </c>
      <c r="AA377" s="19" t="s">
        <v>135</v>
      </c>
      <c r="AB377" s="19" t="s">
        <v>1091</v>
      </c>
      <c r="AC377" s="19">
        <v>63053200</v>
      </c>
      <c r="AD377" s="19" t="s">
        <v>1092</v>
      </c>
      <c r="AE377" s="19">
        <v>1</v>
      </c>
      <c r="AF377" s="19">
        <v>2541</v>
      </c>
      <c r="AG377" s="19" t="s">
        <v>1093</v>
      </c>
      <c r="AH377" s="19" t="s">
        <v>50</v>
      </c>
      <c r="AI377" s="19"/>
    </row>
    <row r="378" spans="2:35" x14ac:dyDescent="0.35">
      <c r="B378" s="82">
        <v>46233</v>
      </c>
      <c r="C378" s="19" t="s">
        <v>1540</v>
      </c>
      <c r="D378" s="19" t="s">
        <v>11</v>
      </c>
      <c r="E378" s="83">
        <v>525</v>
      </c>
      <c r="F378" s="19" t="s">
        <v>1274</v>
      </c>
      <c r="G378" s="19" t="s">
        <v>1541</v>
      </c>
      <c r="H378" s="76">
        <v>46233</v>
      </c>
      <c r="I378" s="19" t="s">
        <v>36</v>
      </c>
      <c r="J378" s="19" t="s">
        <v>48</v>
      </c>
      <c r="K378" s="19" t="s">
        <v>48</v>
      </c>
      <c r="L378" s="19" t="s">
        <v>1276</v>
      </c>
      <c r="M378" s="19" t="s">
        <v>1277</v>
      </c>
      <c r="N378" s="19">
        <v>1880</v>
      </c>
      <c r="O378" s="19">
        <v>41360</v>
      </c>
      <c r="P378" s="19" t="s">
        <v>1542</v>
      </c>
      <c r="Q378" s="19">
        <v>49780.9</v>
      </c>
      <c r="R378" s="19">
        <v>9</v>
      </c>
      <c r="S378" s="19">
        <v>3722.4</v>
      </c>
      <c r="T378" s="19">
        <v>9</v>
      </c>
      <c r="U378" s="19">
        <v>3722.4</v>
      </c>
      <c r="V378" s="19">
        <v>0</v>
      </c>
      <c r="W378" s="19">
        <v>0</v>
      </c>
      <c r="X378" s="19">
        <v>0</v>
      </c>
      <c r="Y378" s="19">
        <v>7444.8</v>
      </c>
      <c r="Z378" s="19">
        <v>976.1</v>
      </c>
      <c r="AA378" s="19" t="s">
        <v>1543</v>
      </c>
      <c r="AB378" s="19" t="s">
        <v>1091</v>
      </c>
      <c r="AC378" s="19">
        <v>39159029</v>
      </c>
      <c r="AD378" s="19" t="s">
        <v>1092</v>
      </c>
      <c r="AE378" s="19">
        <v>1</v>
      </c>
      <c r="AF378" s="19">
        <v>1880</v>
      </c>
      <c r="AG378" s="19" t="s">
        <v>1093</v>
      </c>
      <c r="AH378" s="19" t="s">
        <v>48</v>
      </c>
      <c r="AI378" s="19"/>
    </row>
    <row r="379" spans="2:35" x14ac:dyDescent="0.35">
      <c r="B379" s="82">
        <v>46234</v>
      </c>
      <c r="C379" s="19" t="s">
        <v>1224</v>
      </c>
      <c r="D379" s="19" t="s">
        <v>1109</v>
      </c>
      <c r="E379" s="83" t="s">
        <v>1544</v>
      </c>
      <c r="F379" s="19" t="s">
        <v>1291</v>
      </c>
      <c r="G379" s="19" t="s">
        <v>1544</v>
      </c>
      <c r="H379" s="76">
        <v>46234</v>
      </c>
      <c r="I379" s="19" t="s">
        <v>49</v>
      </c>
      <c r="J379" s="19" t="s">
        <v>50</v>
      </c>
      <c r="K379" s="19" t="s">
        <v>50</v>
      </c>
      <c r="L379" s="19" t="s">
        <v>1095</v>
      </c>
      <c r="M379" s="19" t="s">
        <v>1096</v>
      </c>
      <c r="N379" s="19">
        <v>18342.2</v>
      </c>
      <c r="O379" s="19">
        <v>5724709.2000000002</v>
      </c>
      <c r="P379" s="19" t="s">
        <v>1545</v>
      </c>
      <c r="Q379" s="19">
        <v>5724709.2000000002</v>
      </c>
      <c r="R379" s="19">
        <v>0</v>
      </c>
      <c r="S379" s="19">
        <v>0</v>
      </c>
      <c r="T379" s="19">
        <v>0</v>
      </c>
      <c r="U379" s="19">
        <v>0</v>
      </c>
      <c r="V379" s="19">
        <v>0</v>
      </c>
      <c r="W379" s="19">
        <v>0</v>
      </c>
      <c r="X379" s="19">
        <v>0</v>
      </c>
      <c r="Y379" s="19">
        <v>0</v>
      </c>
      <c r="Z379" s="19">
        <v>0</v>
      </c>
      <c r="AA379" s="19" t="s">
        <v>229</v>
      </c>
      <c r="AB379" s="19" t="s">
        <v>1091</v>
      </c>
      <c r="AC379" s="19">
        <v>63053200</v>
      </c>
      <c r="AD379" s="19" t="s">
        <v>1113</v>
      </c>
      <c r="AE379" s="19">
        <v>95.45</v>
      </c>
      <c r="AF379" s="19">
        <v>18342.2</v>
      </c>
      <c r="AG379" s="19" t="s">
        <v>1114</v>
      </c>
      <c r="AH379" s="19" t="s">
        <v>50</v>
      </c>
      <c r="AI379" s="19"/>
    </row>
    <row r="380" spans="2:35" x14ac:dyDescent="0.35">
      <c r="B380" s="82">
        <v>46234</v>
      </c>
      <c r="C380" s="19" t="s">
        <v>1175</v>
      </c>
      <c r="D380" s="19" t="s">
        <v>11</v>
      </c>
      <c r="E380" s="83">
        <v>537</v>
      </c>
      <c r="F380" s="19" t="s">
        <v>1085</v>
      </c>
      <c r="G380" s="19" t="s">
        <v>1546</v>
      </c>
      <c r="H380" s="76">
        <v>46234</v>
      </c>
      <c r="I380" s="19" t="s">
        <v>49</v>
      </c>
      <c r="J380" s="19" t="s">
        <v>50</v>
      </c>
      <c r="K380" s="19" t="s">
        <v>50</v>
      </c>
      <c r="L380" s="19" t="s">
        <v>1095</v>
      </c>
      <c r="M380" s="19" t="s">
        <v>1098</v>
      </c>
      <c r="N380" s="19">
        <v>3569</v>
      </c>
      <c r="O380" s="19">
        <v>900000</v>
      </c>
      <c r="P380" s="19" t="s">
        <v>1547</v>
      </c>
      <c r="Q380" s="19">
        <v>1062000</v>
      </c>
      <c r="R380" s="19">
        <v>9</v>
      </c>
      <c r="S380" s="19">
        <v>81000</v>
      </c>
      <c r="T380" s="19">
        <v>9</v>
      </c>
      <c r="U380" s="19">
        <v>81000</v>
      </c>
      <c r="V380" s="19">
        <v>0</v>
      </c>
      <c r="W380" s="19">
        <v>0</v>
      </c>
      <c r="X380" s="19">
        <v>0</v>
      </c>
      <c r="Y380" s="19">
        <v>162000</v>
      </c>
      <c r="Z380" s="19">
        <v>0</v>
      </c>
      <c r="AA380" s="19" t="s">
        <v>1178</v>
      </c>
      <c r="AB380" s="19" t="s">
        <v>1091</v>
      </c>
      <c r="AC380" s="19">
        <v>63053200</v>
      </c>
      <c r="AD380" s="19" t="s">
        <v>1092</v>
      </c>
      <c r="AE380" s="19">
        <v>1</v>
      </c>
      <c r="AF380" s="19">
        <v>3569</v>
      </c>
      <c r="AG380" s="19" t="s">
        <v>1093</v>
      </c>
      <c r="AH380" s="19" t="s">
        <v>50</v>
      </c>
      <c r="AI380" s="19"/>
    </row>
    <row r="381" spans="2:35" hidden="1" x14ac:dyDescent="0.35">
      <c r="B381" s="82">
        <v>46234</v>
      </c>
      <c r="C381" s="19" t="s">
        <v>1123</v>
      </c>
      <c r="D381" s="19" t="s">
        <v>11</v>
      </c>
      <c r="E381" s="83">
        <v>538</v>
      </c>
      <c r="F381" s="19" t="s">
        <v>1124</v>
      </c>
      <c r="G381" s="19" t="s">
        <v>1548</v>
      </c>
      <c r="H381" s="76">
        <v>46234</v>
      </c>
      <c r="I381" s="19" t="s">
        <v>105</v>
      </c>
      <c r="J381" s="19" t="s">
        <v>1142</v>
      </c>
      <c r="K381" s="19" t="s">
        <v>1143</v>
      </c>
      <c r="L381" s="19" t="s">
        <v>1144</v>
      </c>
      <c r="M381" s="19" t="s">
        <v>1196</v>
      </c>
      <c r="N381" s="19">
        <v>1040</v>
      </c>
      <c r="O381" s="19">
        <v>49920</v>
      </c>
      <c r="P381" s="19" t="s">
        <v>1139</v>
      </c>
      <c r="Q381" s="19">
        <v>58855.68</v>
      </c>
      <c r="R381" s="19">
        <v>9</v>
      </c>
      <c r="S381" s="19">
        <v>4492.8</v>
      </c>
      <c r="T381" s="19">
        <v>9</v>
      </c>
      <c r="U381" s="19">
        <v>4492.8</v>
      </c>
      <c r="V381" s="19">
        <v>0</v>
      </c>
      <c r="W381" s="19">
        <v>0</v>
      </c>
      <c r="X381" s="19">
        <v>0</v>
      </c>
      <c r="Y381" s="19">
        <v>8985.6</v>
      </c>
      <c r="Z381" s="19">
        <v>0</v>
      </c>
      <c r="AA381" s="19" t="s">
        <v>179</v>
      </c>
      <c r="AB381" s="19" t="s">
        <v>1091</v>
      </c>
      <c r="AC381" s="19">
        <v>73063090</v>
      </c>
      <c r="AD381" s="19" t="s">
        <v>1092</v>
      </c>
      <c r="AE381" s="19">
        <v>1</v>
      </c>
      <c r="AF381" s="19">
        <v>0</v>
      </c>
      <c r="AG381" s="19" t="s">
        <v>1093</v>
      </c>
      <c r="AH381" s="83" t="s">
        <v>2319</v>
      </c>
      <c r="AI381" s="19"/>
    </row>
    <row r="382" spans="2:35" x14ac:dyDescent="0.35">
      <c r="B382" s="82">
        <v>46234</v>
      </c>
      <c r="C382" s="19" t="s">
        <v>1482</v>
      </c>
      <c r="D382" s="19" t="s">
        <v>1109</v>
      </c>
      <c r="E382" s="83" t="s">
        <v>1549</v>
      </c>
      <c r="F382" s="19" t="s">
        <v>1291</v>
      </c>
      <c r="G382" s="19" t="s">
        <v>1549</v>
      </c>
      <c r="H382" s="76">
        <v>46234</v>
      </c>
      <c r="I382" s="19" t="s">
        <v>49</v>
      </c>
      <c r="J382" s="19" t="s">
        <v>50</v>
      </c>
      <c r="K382" s="19" t="s">
        <v>50</v>
      </c>
      <c r="L382" s="19" t="s">
        <v>1095</v>
      </c>
      <c r="M382" s="19" t="s">
        <v>1098</v>
      </c>
      <c r="N382" s="19">
        <v>7822</v>
      </c>
      <c r="O382" s="19">
        <v>1451794.5</v>
      </c>
      <c r="P382" s="19" t="s">
        <v>1485</v>
      </c>
      <c r="Q382" s="19">
        <v>3928245.7</v>
      </c>
      <c r="R382" s="19">
        <v>0</v>
      </c>
      <c r="S382" s="19">
        <v>0</v>
      </c>
      <c r="T382" s="19">
        <v>0</v>
      </c>
      <c r="U382" s="19">
        <v>0</v>
      </c>
      <c r="V382" s="19">
        <v>0</v>
      </c>
      <c r="W382" s="19">
        <v>0</v>
      </c>
      <c r="X382" s="19">
        <v>0</v>
      </c>
      <c r="Y382" s="19">
        <v>0</v>
      </c>
      <c r="Z382" s="19">
        <v>0</v>
      </c>
      <c r="AA382" s="19" t="s">
        <v>229</v>
      </c>
      <c r="AB382" s="19" t="s">
        <v>1091</v>
      </c>
      <c r="AC382" s="19">
        <v>63053200</v>
      </c>
      <c r="AD382" s="19" t="s">
        <v>1113</v>
      </c>
      <c r="AE382" s="19">
        <v>95.45</v>
      </c>
      <c r="AF382" s="19">
        <v>7822</v>
      </c>
      <c r="AG382" s="19" t="s">
        <v>1386</v>
      </c>
      <c r="AH382" s="19" t="s">
        <v>50</v>
      </c>
      <c r="AI382" s="19"/>
    </row>
    <row r="383" spans="2:35" x14ac:dyDescent="0.35">
      <c r="B383" s="82">
        <v>46234</v>
      </c>
      <c r="C383" s="19" t="s">
        <v>1482</v>
      </c>
      <c r="D383" s="19" t="s">
        <v>1109</v>
      </c>
      <c r="E383" s="83" t="s">
        <v>1549</v>
      </c>
      <c r="F383" s="19" t="s">
        <v>1291</v>
      </c>
      <c r="G383" s="19" t="s">
        <v>1549</v>
      </c>
      <c r="H383" s="76">
        <v>46234</v>
      </c>
      <c r="I383" s="19" t="s">
        <v>49</v>
      </c>
      <c r="J383" s="19" t="s">
        <v>50</v>
      </c>
      <c r="K383" s="19" t="s">
        <v>50</v>
      </c>
      <c r="L383" s="19" t="s">
        <v>1095</v>
      </c>
      <c r="M383" s="19" t="s">
        <v>1098</v>
      </c>
      <c r="N383" s="19">
        <v>2433</v>
      </c>
      <c r="O383" s="19">
        <v>570409.20000000007</v>
      </c>
      <c r="P383" s="19" t="s">
        <v>1550</v>
      </c>
      <c r="Q383" s="19">
        <v>0</v>
      </c>
      <c r="R383" s="19">
        <v>0</v>
      </c>
      <c r="S383" s="19">
        <v>0</v>
      </c>
      <c r="T383" s="19">
        <v>0</v>
      </c>
      <c r="U383" s="19">
        <v>0</v>
      </c>
      <c r="V383" s="19">
        <v>0</v>
      </c>
      <c r="W383" s="19">
        <v>0</v>
      </c>
      <c r="X383" s="19">
        <v>0</v>
      </c>
      <c r="Y383" s="19">
        <v>0</v>
      </c>
      <c r="Z383" s="19">
        <v>0</v>
      </c>
      <c r="AA383" s="19" t="s">
        <v>229</v>
      </c>
      <c r="AB383" s="19" t="s">
        <v>1091</v>
      </c>
      <c r="AC383" s="19">
        <v>63053200</v>
      </c>
      <c r="AD383" s="19" t="s">
        <v>1113</v>
      </c>
      <c r="AE383" s="19">
        <v>95.45</v>
      </c>
      <c r="AF383" s="19">
        <v>2433</v>
      </c>
      <c r="AG383" s="19" t="s">
        <v>1386</v>
      </c>
      <c r="AH383" s="19" t="s">
        <v>50</v>
      </c>
      <c r="AI383" s="19"/>
    </row>
    <row r="384" spans="2:35" x14ac:dyDescent="0.35">
      <c r="B384" s="82">
        <v>46234</v>
      </c>
      <c r="C384" s="19" t="s">
        <v>1482</v>
      </c>
      <c r="D384" s="19" t="s">
        <v>1109</v>
      </c>
      <c r="E384" s="83" t="s">
        <v>1549</v>
      </c>
      <c r="F384" s="19" t="s">
        <v>1291</v>
      </c>
      <c r="G384" s="19" t="s">
        <v>1549</v>
      </c>
      <c r="H384" s="76">
        <v>46234</v>
      </c>
      <c r="I384" s="19" t="s">
        <v>49</v>
      </c>
      <c r="J384" s="19" t="s">
        <v>50</v>
      </c>
      <c r="K384" s="19" t="s">
        <v>50</v>
      </c>
      <c r="L384" s="19" t="s">
        <v>1095</v>
      </c>
      <c r="M384" s="19" t="s">
        <v>1098</v>
      </c>
      <c r="N384" s="19">
        <v>10325</v>
      </c>
      <c r="O384" s="19">
        <v>1935726</v>
      </c>
      <c r="P384" s="19" t="s">
        <v>1485</v>
      </c>
      <c r="Q384" s="19">
        <v>0</v>
      </c>
      <c r="R384" s="19">
        <v>0</v>
      </c>
      <c r="S384" s="19">
        <v>0</v>
      </c>
      <c r="T384" s="19">
        <v>0</v>
      </c>
      <c r="U384" s="19">
        <v>0</v>
      </c>
      <c r="V384" s="19">
        <v>0</v>
      </c>
      <c r="W384" s="19">
        <v>0</v>
      </c>
      <c r="X384" s="19">
        <v>0</v>
      </c>
      <c r="Y384" s="19">
        <v>0</v>
      </c>
      <c r="Z384" s="19">
        <v>0</v>
      </c>
      <c r="AA384" s="19" t="s">
        <v>229</v>
      </c>
      <c r="AB384" s="19" t="s">
        <v>1091</v>
      </c>
      <c r="AC384" s="19">
        <v>63053200</v>
      </c>
      <c r="AD384" s="19" t="s">
        <v>1113</v>
      </c>
      <c r="AE384" s="19">
        <v>95.45</v>
      </c>
      <c r="AF384" s="19">
        <v>10325</v>
      </c>
      <c r="AG384" s="19" t="s">
        <v>1386</v>
      </c>
      <c r="AH384" s="19" t="s">
        <v>50</v>
      </c>
      <c r="AI384" s="19"/>
    </row>
    <row r="385" spans="2:42" hidden="1" x14ac:dyDescent="0.35">
      <c r="B385" s="33"/>
      <c r="C385" s="1"/>
      <c r="D385" s="1"/>
      <c r="E385" s="33"/>
      <c r="F385" s="1"/>
      <c r="G385" s="1"/>
      <c r="H385" s="1"/>
      <c r="I385" s="1"/>
      <c r="J385" s="1"/>
      <c r="K385" s="1"/>
      <c r="L385" s="1"/>
      <c r="M385" s="1"/>
      <c r="N385" s="1">
        <v>1370229.25</v>
      </c>
      <c r="O385" s="1">
        <v>249362390.43000001</v>
      </c>
      <c r="P385" s="1"/>
      <c r="Q385" s="1">
        <v>270533277.75</v>
      </c>
      <c r="R385" s="1"/>
      <c r="S385" s="1">
        <v>10164522.66</v>
      </c>
      <c r="T385" s="1"/>
      <c r="U385" s="1">
        <v>10164522.66</v>
      </c>
      <c r="V385" s="1"/>
      <c r="W385" s="1">
        <v>8410553.2200000007</v>
      </c>
      <c r="X385" s="1">
        <v>122500.38</v>
      </c>
      <c r="Y385" s="1">
        <v>28862098.920000002</v>
      </c>
      <c r="Z385" s="1">
        <v>18850.02</v>
      </c>
      <c r="AA385" s="1"/>
      <c r="AB385" s="1"/>
      <c r="AC385" s="1"/>
      <c r="AD385" s="1"/>
      <c r="AE385" s="1"/>
      <c r="AF385" s="1"/>
      <c r="AG385" s="1"/>
    </row>
    <row r="389" spans="2:42" x14ac:dyDescent="0.35">
      <c r="AK389" s="77" t="s">
        <v>2320</v>
      </c>
      <c r="AL389" t="s">
        <v>2322</v>
      </c>
      <c r="AM389" t="s">
        <v>2323</v>
      </c>
      <c r="AN389" t="s">
        <v>2325</v>
      </c>
    </row>
    <row r="390" spans="2:42" x14ac:dyDescent="0.35">
      <c r="AK390" s="78" t="s">
        <v>29</v>
      </c>
      <c r="AL390">
        <v>203.5</v>
      </c>
      <c r="AM390">
        <v>203.5</v>
      </c>
      <c r="AN390">
        <v>26862</v>
      </c>
      <c r="AP390" s="90">
        <f>AN390/AL390</f>
        <v>132</v>
      </c>
    </row>
    <row r="391" spans="2:42" x14ac:dyDescent="0.35">
      <c r="AK391" s="78" t="s">
        <v>50</v>
      </c>
      <c r="AL391">
        <v>778444.4500000003</v>
      </c>
      <c r="AM391">
        <v>778444.4500000003</v>
      </c>
      <c r="AN391">
        <v>186243881.99749997</v>
      </c>
      <c r="AP391" s="90">
        <f t="shared" ref="AP391:AP404" si="0">AN391/AL391</f>
        <v>239.25134542034425</v>
      </c>
    </row>
    <row r="392" spans="2:42" x14ac:dyDescent="0.35">
      <c r="AK392" s="78" t="s">
        <v>39</v>
      </c>
      <c r="AL392">
        <v>529</v>
      </c>
      <c r="AM392">
        <v>529</v>
      </c>
      <c r="AN392">
        <v>98579.15</v>
      </c>
      <c r="AP392" s="90">
        <f t="shared" si="0"/>
        <v>186.35</v>
      </c>
    </row>
    <row r="393" spans="2:42" x14ac:dyDescent="0.35">
      <c r="AK393" s="78" t="s">
        <v>33</v>
      </c>
      <c r="AL393">
        <v>585</v>
      </c>
      <c r="AM393">
        <v>585</v>
      </c>
      <c r="AN393">
        <v>117281.5</v>
      </c>
      <c r="AP393" s="90">
        <f t="shared" si="0"/>
        <v>200.48119658119657</v>
      </c>
    </row>
    <row r="394" spans="2:42" hidden="1" x14ac:dyDescent="0.35">
      <c r="AK394" s="78" t="s">
        <v>2319</v>
      </c>
      <c r="AL394">
        <v>20903</v>
      </c>
      <c r="AM394">
        <v>19556</v>
      </c>
      <c r="AN394">
        <v>840579</v>
      </c>
      <c r="AP394" s="90">
        <f t="shared" si="0"/>
        <v>40.213318662392957</v>
      </c>
    </row>
    <row r="395" spans="2:42" x14ac:dyDescent="0.35">
      <c r="AK395" s="78" t="s">
        <v>41</v>
      </c>
      <c r="AL395">
        <v>212</v>
      </c>
      <c r="AM395">
        <v>212</v>
      </c>
      <c r="AN395">
        <v>28196</v>
      </c>
      <c r="AP395" s="90">
        <f t="shared" si="0"/>
        <v>133</v>
      </c>
    </row>
    <row r="396" spans="2:42" x14ac:dyDescent="0.35">
      <c r="AK396" s="78" t="s">
        <v>53</v>
      </c>
      <c r="AL396">
        <v>469</v>
      </c>
      <c r="AM396">
        <v>469</v>
      </c>
      <c r="AN396">
        <v>248781.05</v>
      </c>
      <c r="AP396" s="90">
        <f t="shared" si="0"/>
        <v>530.44999999999993</v>
      </c>
    </row>
    <row r="397" spans="2:42" x14ac:dyDescent="0.35">
      <c r="AK397" s="78" t="s">
        <v>34</v>
      </c>
      <c r="AL397">
        <v>337250</v>
      </c>
      <c r="AM397">
        <v>337250</v>
      </c>
      <c r="AN397">
        <v>25975225.25</v>
      </c>
      <c r="AP397" s="90">
        <f t="shared" si="0"/>
        <v>77.020682727946621</v>
      </c>
    </row>
    <row r="398" spans="2:42" x14ac:dyDescent="0.35">
      <c r="AK398" s="78" t="s">
        <v>42</v>
      </c>
      <c r="AL398">
        <v>31728.399999999998</v>
      </c>
      <c r="AM398">
        <v>31728.399999999998</v>
      </c>
      <c r="AN398">
        <v>5677662.2259999989</v>
      </c>
      <c r="AP398" s="90">
        <f t="shared" si="0"/>
        <v>178.9457465866542</v>
      </c>
    </row>
    <row r="399" spans="2:42" x14ac:dyDescent="0.35">
      <c r="AK399" s="78" t="s">
        <v>44</v>
      </c>
      <c r="AL399">
        <v>77733.499999999985</v>
      </c>
      <c r="AM399">
        <v>77733.499999999985</v>
      </c>
      <c r="AN399">
        <v>13641323.894000001</v>
      </c>
      <c r="AP399" s="90">
        <f t="shared" si="0"/>
        <v>175.48835307814525</v>
      </c>
    </row>
    <row r="400" spans="2:42" x14ac:dyDescent="0.35">
      <c r="AK400" s="78" t="s">
        <v>45</v>
      </c>
      <c r="AL400">
        <v>30916.100000000002</v>
      </c>
      <c r="AM400">
        <v>30916.100000000002</v>
      </c>
      <c r="AN400">
        <v>4880943.74</v>
      </c>
      <c r="AP400" s="90">
        <f t="shared" si="0"/>
        <v>157.87708475519227</v>
      </c>
    </row>
    <row r="401" spans="37:42" x14ac:dyDescent="0.35">
      <c r="AK401" s="78" t="s">
        <v>46</v>
      </c>
      <c r="AL401">
        <v>62955.299999999981</v>
      </c>
      <c r="AM401">
        <v>62955.299999999981</v>
      </c>
      <c r="AN401">
        <v>9629602.9200000037</v>
      </c>
      <c r="AP401" s="90">
        <f t="shared" si="0"/>
        <v>152.95936831370841</v>
      </c>
    </row>
    <row r="402" spans="37:42" x14ac:dyDescent="0.35">
      <c r="AK402" s="78" t="s">
        <v>47</v>
      </c>
      <c r="AL402">
        <v>19000</v>
      </c>
      <c r="AM402">
        <v>19000</v>
      </c>
      <c r="AN402">
        <v>1280600</v>
      </c>
      <c r="AP402" s="90">
        <f t="shared" si="0"/>
        <v>67.400000000000006</v>
      </c>
    </row>
    <row r="403" spans="37:42" x14ac:dyDescent="0.35">
      <c r="AK403" s="78" t="s">
        <v>48</v>
      </c>
      <c r="AL403">
        <v>9300</v>
      </c>
      <c r="AM403">
        <v>9300</v>
      </c>
      <c r="AN403">
        <v>672871.7</v>
      </c>
      <c r="AP403" s="90">
        <f t="shared" si="0"/>
        <v>72.351795698924732</v>
      </c>
    </row>
    <row r="404" spans="37:42" hidden="1" x14ac:dyDescent="0.35">
      <c r="AK404" s="78" t="s">
        <v>2324</v>
      </c>
      <c r="AL404">
        <v>1370229.25</v>
      </c>
      <c r="AN404">
        <v>249362390.43000001</v>
      </c>
      <c r="AP404" s="90">
        <f t="shared" si="0"/>
        <v>181.98589063107505</v>
      </c>
    </row>
    <row r="405" spans="37:42" x14ac:dyDescent="0.35">
      <c r="AK405" s="78" t="s">
        <v>2321</v>
      </c>
      <c r="AL405">
        <v>2740458.5</v>
      </c>
      <c r="AM405">
        <v>1368882.2500000002</v>
      </c>
      <c r="AN405">
        <v>498724780.85750002</v>
      </c>
    </row>
  </sheetData>
  <autoFilter ref="B3:AI385" xr:uid="{94D17359-D249-484C-B994-C7A35EE9A5DE}">
    <filterColumn colId="7">
      <filters>
        <filter val="FG"/>
        <filter val="RM"/>
        <filter val="SF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80783-2B3C-4487-8C2B-24483CA7402A}">
  <sheetPr filterMode="1"/>
  <dimension ref="A2:BT88"/>
  <sheetViews>
    <sheetView topLeftCell="B1" zoomScale="80" zoomScaleNormal="80" workbookViewId="0">
      <pane ySplit="3" topLeftCell="A4" activePane="bottomLeft" state="frozen"/>
      <selection pane="bottomLeft" activeCell="BS10" sqref="BS10"/>
    </sheetView>
  </sheetViews>
  <sheetFormatPr defaultRowHeight="14.5" x14ac:dyDescent="0.35"/>
  <cols>
    <col min="1" max="1" width="24.90625" hidden="1" customWidth="1"/>
    <col min="2" max="2" width="10.6328125" customWidth="1"/>
    <col min="3" max="3" width="15.08984375" style="72" customWidth="1"/>
    <col min="4" max="4" width="17" hidden="1" customWidth="1"/>
    <col min="5" max="5" width="9.6328125" hidden="1" customWidth="1"/>
    <col min="6" max="6" width="21.08984375" hidden="1" customWidth="1"/>
    <col min="7" max="7" width="10.453125" hidden="1" customWidth="1"/>
    <col min="8" max="8" width="5.90625" hidden="1" customWidth="1"/>
    <col min="9" max="9" width="5.453125" hidden="1" customWidth="1"/>
    <col min="10" max="10" width="7.81640625" hidden="1" customWidth="1"/>
    <col min="11" max="11" width="9.90625" customWidth="1"/>
    <col min="12" max="12" width="7.81640625" hidden="1" customWidth="1"/>
    <col min="13" max="13" width="5.08984375" hidden="1" customWidth="1"/>
    <col min="14" max="14" width="13.1796875" customWidth="1"/>
    <col min="15" max="15" width="11.453125" hidden="1" customWidth="1"/>
    <col min="16" max="16" width="30.54296875" bestFit="1" customWidth="1"/>
    <col min="17" max="17" width="30.54296875" hidden="1" customWidth="1"/>
    <col min="18" max="18" width="10.81640625" hidden="1" customWidth="1"/>
    <col min="19" max="19" width="10.08984375" hidden="1" customWidth="1"/>
    <col min="20" max="20" width="6" hidden="1" customWidth="1"/>
    <col min="21" max="21" width="11.26953125" customWidth="1"/>
    <col min="22" max="22" width="10.26953125" hidden="1" customWidth="1"/>
    <col min="23" max="23" width="8.81640625" hidden="1" customWidth="1"/>
    <col min="24" max="24" width="5.26953125" hidden="1" customWidth="1"/>
    <col min="25" max="25" width="10.81640625" hidden="1" customWidth="1"/>
    <col min="26" max="26" width="10.08984375" hidden="1" customWidth="1"/>
    <col min="27" max="27" width="42.7265625" hidden="1" customWidth="1"/>
    <col min="28" max="28" width="18.54296875" hidden="1" customWidth="1"/>
    <col min="29" max="29" width="5.6328125" hidden="1" customWidth="1"/>
    <col min="30" max="30" width="17.08984375" hidden="1" customWidth="1"/>
    <col min="31" max="31" width="14.54296875" hidden="1" customWidth="1"/>
    <col min="32" max="36" width="1.81640625" hidden="1" customWidth="1"/>
    <col min="37" max="37" width="3.90625" hidden="1" customWidth="1"/>
    <col min="38" max="42" width="1.81640625" hidden="1" customWidth="1"/>
    <col min="43" max="43" width="9.6328125" hidden="1" customWidth="1"/>
    <col min="44" max="44" width="12.453125" hidden="1" customWidth="1"/>
    <col min="45" max="46" width="1.81640625" hidden="1" customWidth="1"/>
    <col min="47" max="47" width="3.36328125" hidden="1" customWidth="1"/>
    <col min="48" max="48" width="13.26953125" hidden="1" customWidth="1"/>
    <col min="49" max="49" width="13.26953125" bestFit="1" customWidth="1"/>
    <col min="50" max="50" width="3.36328125" hidden="1" customWidth="1"/>
    <col min="51" max="51" width="3.453125" hidden="1" customWidth="1"/>
    <col min="52" max="53" width="1.81640625" hidden="1" customWidth="1"/>
    <col min="54" max="54" width="5.54296875" hidden="1" customWidth="1"/>
    <col min="55" max="55" width="10.08984375" hidden="1" customWidth="1"/>
    <col min="56" max="56" width="17.6328125" hidden="1" customWidth="1"/>
    <col min="57" max="57" width="6.90625" hidden="1" customWidth="1"/>
    <col min="58" max="58" width="9.6328125" hidden="1" customWidth="1"/>
    <col min="59" max="65" width="1.81640625" hidden="1" customWidth="1"/>
    <col min="66" max="66" width="11.81640625" hidden="1" customWidth="1"/>
    <col min="67" max="67" width="15.08984375" hidden="1" customWidth="1"/>
    <col min="68" max="68" width="11.7265625" customWidth="1"/>
    <col min="69" max="69" width="16.81640625" customWidth="1"/>
    <col min="70" max="70" width="13.7265625" bestFit="1" customWidth="1"/>
    <col min="71" max="71" width="18.26953125" bestFit="1" customWidth="1"/>
    <col min="72" max="72" width="11.90625" bestFit="1" customWidth="1"/>
  </cols>
  <sheetData>
    <row r="2" spans="1:69" x14ac:dyDescent="0.35">
      <c r="N2">
        <f>SUBTOTAL(9,N4:N79)</f>
        <v>73596.33</v>
      </c>
      <c r="BP2">
        <f>SUBTOTAL(9,BP4:BP79)</f>
        <v>73596.33</v>
      </c>
    </row>
    <row r="3" spans="1:69" s="18" customFormat="1" ht="33.5" customHeight="1" x14ac:dyDescent="0.35">
      <c r="A3" s="45" t="s">
        <v>0</v>
      </c>
      <c r="B3" s="45"/>
      <c r="C3" s="79" t="s">
        <v>1053</v>
      </c>
      <c r="D3" s="45" t="s">
        <v>1971</v>
      </c>
      <c r="E3" s="45" t="s">
        <v>1972</v>
      </c>
      <c r="F3" s="45" t="s">
        <v>1973</v>
      </c>
      <c r="G3" s="45" t="s">
        <v>1974</v>
      </c>
      <c r="H3" s="45" t="s">
        <v>1975</v>
      </c>
      <c r="I3" s="45" t="s">
        <v>1976</v>
      </c>
      <c r="J3" s="45" t="s">
        <v>1977</v>
      </c>
      <c r="K3" s="79" t="s">
        <v>117</v>
      </c>
      <c r="L3" s="45" t="s">
        <v>1978</v>
      </c>
      <c r="M3" s="45" t="s">
        <v>1979</v>
      </c>
      <c r="N3" s="79" t="s">
        <v>1980</v>
      </c>
      <c r="O3" s="45" t="s">
        <v>1981</v>
      </c>
      <c r="P3" s="79" t="s">
        <v>1982</v>
      </c>
      <c r="Q3" s="45" t="s">
        <v>1983</v>
      </c>
      <c r="R3" s="45" t="s">
        <v>1984</v>
      </c>
      <c r="S3" s="45" t="s">
        <v>1985</v>
      </c>
      <c r="T3" s="45" t="s">
        <v>116</v>
      </c>
      <c r="U3" s="79" t="s">
        <v>1986</v>
      </c>
      <c r="V3" s="45" t="s">
        <v>1987</v>
      </c>
      <c r="W3" s="45" t="s">
        <v>1988</v>
      </c>
      <c r="X3" s="45" t="s">
        <v>1066</v>
      </c>
      <c r="Y3" s="45" t="s">
        <v>1989</v>
      </c>
      <c r="Z3" s="45" t="s">
        <v>1990</v>
      </c>
      <c r="AA3" s="45" t="s">
        <v>1991</v>
      </c>
      <c r="AB3" s="45" t="s">
        <v>1992</v>
      </c>
      <c r="AC3" s="45" t="s">
        <v>1993</v>
      </c>
      <c r="AD3" s="45" t="s">
        <v>1994</v>
      </c>
      <c r="AE3" s="45" t="s">
        <v>1995</v>
      </c>
      <c r="AF3" s="45" t="s">
        <v>1996</v>
      </c>
      <c r="AG3" s="45" t="s">
        <v>1997</v>
      </c>
      <c r="AH3" s="45" t="s">
        <v>1998</v>
      </c>
      <c r="AI3" s="45" t="s">
        <v>1999</v>
      </c>
      <c r="AJ3" s="45" t="s">
        <v>2000</v>
      </c>
      <c r="AK3" s="45" t="s">
        <v>2001</v>
      </c>
      <c r="AL3" s="45" t="s">
        <v>2002</v>
      </c>
      <c r="AM3" s="45" t="s">
        <v>2003</v>
      </c>
      <c r="AN3" s="45" t="s">
        <v>2004</v>
      </c>
      <c r="AO3" s="45" t="s">
        <v>2005</v>
      </c>
      <c r="AP3" s="45" t="s">
        <v>2006</v>
      </c>
      <c r="AQ3" s="45" t="s">
        <v>2007</v>
      </c>
      <c r="AR3" s="45" t="s">
        <v>2008</v>
      </c>
      <c r="AS3" s="45" t="s">
        <v>2009</v>
      </c>
      <c r="AT3" s="45" t="s">
        <v>2010</v>
      </c>
      <c r="AU3" s="45" t="s">
        <v>2011</v>
      </c>
      <c r="AV3" s="45" t="s">
        <v>2012</v>
      </c>
      <c r="AW3" s="79" t="s">
        <v>2</v>
      </c>
      <c r="AX3" s="45" t="s">
        <v>2013</v>
      </c>
      <c r="AY3" s="45" t="s">
        <v>2014</v>
      </c>
      <c r="AZ3" s="45" t="s">
        <v>2015</v>
      </c>
      <c r="BA3" s="45" t="s">
        <v>2016</v>
      </c>
      <c r="BB3" s="45" t="s">
        <v>2017</v>
      </c>
      <c r="BC3" s="45" t="s">
        <v>2018</v>
      </c>
      <c r="BD3" s="45" t="s">
        <v>2019</v>
      </c>
      <c r="BE3" s="45" t="s">
        <v>2020</v>
      </c>
      <c r="BF3" s="45" t="s">
        <v>2021</v>
      </c>
      <c r="BG3" s="45" t="s">
        <v>2022</v>
      </c>
      <c r="BH3" s="45" t="s">
        <v>2023</v>
      </c>
      <c r="BI3" s="45" t="s">
        <v>2024</v>
      </c>
      <c r="BJ3" s="45" t="s">
        <v>2025</v>
      </c>
      <c r="BK3" s="45" t="s">
        <v>2026</v>
      </c>
      <c r="BL3" s="45" t="s">
        <v>2027</v>
      </c>
      <c r="BM3" s="45" t="s">
        <v>2028</v>
      </c>
      <c r="BN3" s="45" t="s">
        <v>2029</v>
      </c>
      <c r="BO3" s="45" t="s">
        <v>2030</v>
      </c>
      <c r="BP3" s="79" t="s">
        <v>2031</v>
      </c>
      <c r="BQ3" s="79" t="s">
        <v>2318</v>
      </c>
    </row>
    <row r="4" spans="1:69" x14ac:dyDescent="0.35">
      <c r="A4" t="s">
        <v>27</v>
      </c>
      <c r="C4" s="80">
        <v>46204</v>
      </c>
      <c r="D4" t="s">
        <v>2032</v>
      </c>
      <c r="E4" t="s">
        <v>2033</v>
      </c>
      <c r="F4" t="s">
        <v>1119</v>
      </c>
      <c r="G4" t="s">
        <v>2034</v>
      </c>
      <c r="H4" t="s">
        <v>2035</v>
      </c>
      <c r="I4">
        <v>0</v>
      </c>
      <c r="J4">
        <v>569</v>
      </c>
      <c r="K4" t="s">
        <v>1289</v>
      </c>
      <c r="L4">
        <v>569</v>
      </c>
      <c r="M4">
        <v>0</v>
      </c>
      <c r="N4">
        <v>569</v>
      </c>
      <c r="O4" t="s">
        <v>2036</v>
      </c>
      <c r="P4" t="s">
        <v>138</v>
      </c>
      <c r="Q4" t="s">
        <v>138</v>
      </c>
      <c r="R4" t="s">
        <v>2037</v>
      </c>
      <c r="S4" s="71">
        <v>46203</v>
      </c>
      <c r="T4" t="s">
        <v>2038</v>
      </c>
      <c r="U4" t="s">
        <v>2039</v>
      </c>
      <c r="V4" t="s">
        <v>2040</v>
      </c>
      <c r="W4">
        <v>31</v>
      </c>
      <c r="X4">
        <v>0</v>
      </c>
      <c r="Y4" t="s">
        <v>2037</v>
      </c>
      <c r="Z4" s="71">
        <v>46203</v>
      </c>
      <c r="AA4" t="s">
        <v>2041</v>
      </c>
      <c r="AB4" t="s">
        <v>2042</v>
      </c>
      <c r="AD4" t="s">
        <v>2043</v>
      </c>
      <c r="AE4">
        <v>3906</v>
      </c>
      <c r="AF4">
        <v>0</v>
      </c>
      <c r="AG4">
        <v>0</v>
      </c>
      <c r="AH4">
        <v>0</v>
      </c>
      <c r="AI4">
        <v>0</v>
      </c>
      <c r="AJ4">
        <v>0</v>
      </c>
      <c r="AK4" t="s">
        <v>2044</v>
      </c>
      <c r="AL4">
        <v>0</v>
      </c>
      <c r="AM4">
        <v>0</v>
      </c>
      <c r="AN4">
        <v>0</v>
      </c>
      <c r="AO4">
        <v>0</v>
      </c>
      <c r="AP4">
        <v>0</v>
      </c>
      <c r="AR4">
        <v>-249676.4</v>
      </c>
      <c r="AS4">
        <v>0</v>
      </c>
      <c r="AT4">
        <v>0</v>
      </c>
      <c r="AU4" t="s">
        <v>36</v>
      </c>
      <c r="AV4" t="s">
        <v>1117</v>
      </c>
      <c r="AW4" t="s">
        <v>44</v>
      </c>
      <c r="AX4" t="s">
        <v>36</v>
      </c>
      <c r="AY4" t="s">
        <v>2045</v>
      </c>
      <c r="AZ4">
        <v>0</v>
      </c>
      <c r="BA4">
        <v>0</v>
      </c>
      <c r="BB4" t="s">
        <v>2046</v>
      </c>
      <c r="BC4" s="71">
        <v>46204</v>
      </c>
      <c r="BD4" t="s">
        <v>135</v>
      </c>
      <c r="BE4" t="s">
        <v>2047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602137742244</v>
      </c>
      <c r="BO4" s="73">
        <v>46203.65625</v>
      </c>
      <c r="BP4">
        <v>569</v>
      </c>
      <c r="BQ4" t="s">
        <v>44</v>
      </c>
    </row>
    <row r="5" spans="1:69" x14ac:dyDescent="0.35">
      <c r="A5" t="s">
        <v>27</v>
      </c>
      <c r="C5" s="80">
        <v>46204</v>
      </c>
      <c r="D5" t="s">
        <v>2032</v>
      </c>
      <c r="E5" t="s">
        <v>2033</v>
      </c>
      <c r="F5" t="s">
        <v>1119</v>
      </c>
      <c r="G5" t="s">
        <v>2034</v>
      </c>
      <c r="H5" t="s">
        <v>2035</v>
      </c>
      <c r="I5">
        <v>0</v>
      </c>
      <c r="J5">
        <v>638</v>
      </c>
      <c r="K5" t="s">
        <v>1289</v>
      </c>
      <c r="L5">
        <v>638</v>
      </c>
      <c r="M5">
        <v>0</v>
      </c>
      <c r="N5">
        <v>638</v>
      </c>
      <c r="O5" t="s">
        <v>2036</v>
      </c>
      <c r="P5" t="s">
        <v>138</v>
      </c>
      <c r="Q5" t="s">
        <v>138</v>
      </c>
      <c r="R5" t="s">
        <v>2037</v>
      </c>
      <c r="S5" s="71">
        <v>46203</v>
      </c>
      <c r="T5" t="s">
        <v>2038</v>
      </c>
      <c r="U5" t="s">
        <v>2039</v>
      </c>
      <c r="V5" t="s">
        <v>2040</v>
      </c>
      <c r="W5">
        <v>25</v>
      </c>
      <c r="X5">
        <v>0</v>
      </c>
      <c r="Y5" t="s">
        <v>2037</v>
      </c>
      <c r="Z5" s="71">
        <v>46203</v>
      </c>
      <c r="AA5" t="s">
        <v>2048</v>
      </c>
      <c r="AB5" t="s">
        <v>2042</v>
      </c>
      <c r="AD5" t="s">
        <v>2043</v>
      </c>
      <c r="AE5">
        <v>3906</v>
      </c>
      <c r="AF5">
        <v>0</v>
      </c>
      <c r="AG5">
        <v>0</v>
      </c>
      <c r="AH5">
        <v>0</v>
      </c>
      <c r="AI5">
        <v>0</v>
      </c>
      <c r="AJ5">
        <v>0</v>
      </c>
      <c r="AK5" t="s">
        <v>2044</v>
      </c>
      <c r="AL5">
        <v>0</v>
      </c>
      <c r="AM5">
        <v>0</v>
      </c>
      <c r="AN5">
        <v>0</v>
      </c>
      <c r="AO5">
        <v>0</v>
      </c>
      <c r="AP5">
        <v>0</v>
      </c>
      <c r="AR5">
        <v>-249676.4</v>
      </c>
      <c r="AS5">
        <v>0</v>
      </c>
      <c r="AT5">
        <v>0</v>
      </c>
      <c r="AU5" t="s">
        <v>36</v>
      </c>
      <c r="AV5" t="s">
        <v>1117</v>
      </c>
      <c r="AW5" t="s">
        <v>44</v>
      </c>
      <c r="AX5" t="s">
        <v>36</v>
      </c>
      <c r="AY5" t="s">
        <v>2045</v>
      </c>
      <c r="AZ5">
        <v>0</v>
      </c>
      <c r="BA5">
        <v>0</v>
      </c>
      <c r="BB5" t="s">
        <v>2046</v>
      </c>
      <c r="BC5" s="71">
        <v>46204</v>
      </c>
      <c r="BD5" t="s">
        <v>135</v>
      </c>
      <c r="BE5" t="s">
        <v>2047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602137742244</v>
      </c>
      <c r="BO5" s="73">
        <v>46203.65625</v>
      </c>
      <c r="BP5">
        <v>638</v>
      </c>
      <c r="BQ5" t="s">
        <v>44</v>
      </c>
    </row>
    <row r="6" spans="1:69" x14ac:dyDescent="0.35">
      <c r="A6" t="s">
        <v>27</v>
      </c>
      <c r="C6" s="80">
        <v>46204</v>
      </c>
      <c r="D6" t="s">
        <v>2032</v>
      </c>
      <c r="E6" t="s">
        <v>2033</v>
      </c>
      <c r="F6" t="s">
        <v>1119</v>
      </c>
      <c r="G6" t="s">
        <v>2034</v>
      </c>
      <c r="H6" t="s">
        <v>2035</v>
      </c>
      <c r="I6">
        <v>0</v>
      </c>
      <c r="J6">
        <v>1367</v>
      </c>
      <c r="K6" t="s">
        <v>1289</v>
      </c>
      <c r="L6">
        <v>1367</v>
      </c>
      <c r="M6">
        <v>0</v>
      </c>
      <c r="N6">
        <v>1367</v>
      </c>
      <c r="O6" t="s">
        <v>2036</v>
      </c>
      <c r="P6" t="s">
        <v>138</v>
      </c>
      <c r="Q6" t="s">
        <v>138</v>
      </c>
      <c r="R6" t="s">
        <v>2037</v>
      </c>
      <c r="S6" s="71">
        <v>46203</v>
      </c>
      <c r="T6" t="s">
        <v>2038</v>
      </c>
      <c r="U6" t="s">
        <v>2039</v>
      </c>
      <c r="V6" t="s">
        <v>2040</v>
      </c>
      <c r="W6">
        <v>28</v>
      </c>
      <c r="X6">
        <v>0</v>
      </c>
      <c r="Y6" t="s">
        <v>2037</v>
      </c>
      <c r="Z6" s="71">
        <v>46203</v>
      </c>
      <c r="AA6" t="s">
        <v>2049</v>
      </c>
      <c r="AB6" t="s">
        <v>2042</v>
      </c>
      <c r="AD6" t="s">
        <v>2043</v>
      </c>
      <c r="AE6">
        <v>3906</v>
      </c>
      <c r="AF6">
        <v>0</v>
      </c>
      <c r="AG6">
        <v>0</v>
      </c>
      <c r="AH6">
        <v>0</v>
      </c>
      <c r="AI6">
        <v>0</v>
      </c>
      <c r="AJ6">
        <v>0</v>
      </c>
      <c r="AK6" t="s">
        <v>2044</v>
      </c>
      <c r="AL6">
        <v>0</v>
      </c>
      <c r="AM6">
        <v>0</v>
      </c>
      <c r="AN6">
        <v>0</v>
      </c>
      <c r="AO6">
        <v>0</v>
      </c>
      <c r="AP6">
        <v>0</v>
      </c>
      <c r="AR6">
        <v>-249676.4</v>
      </c>
      <c r="AS6">
        <v>0</v>
      </c>
      <c r="AT6">
        <v>0</v>
      </c>
      <c r="AU6" t="s">
        <v>36</v>
      </c>
      <c r="AV6" t="s">
        <v>1117</v>
      </c>
      <c r="AW6" t="s">
        <v>44</v>
      </c>
      <c r="AX6" t="s">
        <v>36</v>
      </c>
      <c r="AY6" t="s">
        <v>2045</v>
      </c>
      <c r="AZ6">
        <v>0</v>
      </c>
      <c r="BA6">
        <v>0</v>
      </c>
      <c r="BB6" t="s">
        <v>2046</v>
      </c>
      <c r="BC6" s="71">
        <v>46204</v>
      </c>
      <c r="BD6" t="s">
        <v>135</v>
      </c>
      <c r="BE6" t="s">
        <v>2047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602137742244</v>
      </c>
      <c r="BO6" s="73">
        <v>46203.65625</v>
      </c>
      <c r="BP6">
        <v>1367</v>
      </c>
      <c r="BQ6" t="s">
        <v>44</v>
      </c>
    </row>
    <row r="7" spans="1:69" x14ac:dyDescent="0.35">
      <c r="A7" t="s">
        <v>27</v>
      </c>
      <c r="C7" s="80">
        <v>46204</v>
      </c>
      <c r="D7" t="s">
        <v>2032</v>
      </c>
      <c r="E7" t="s">
        <v>2033</v>
      </c>
      <c r="F7" t="s">
        <v>1119</v>
      </c>
      <c r="G7" t="s">
        <v>2034</v>
      </c>
      <c r="H7" t="s">
        <v>2035</v>
      </c>
      <c r="I7">
        <v>0</v>
      </c>
      <c r="J7">
        <v>355</v>
      </c>
      <c r="K7" t="s">
        <v>1289</v>
      </c>
      <c r="L7">
        <v>355</v>
      </c>
      <c r="M7">
        <v>0</v>
      </c>
      <c r="N7">
        <v>355</v>
      </c>
      <c r="O7" t="s">
        <v>2036</v>
      </c>
      <c r="P7" t="s">
        <v>138</v>
      </c>
      <c r="Q7" t="s">
        <v>138</v>
      </c>
      <c r="R7" t="s">
        <v>2037</v>
      </c>
      <c r="S7" s="71">
        <v>46203</v>
      </c>
      <c r="T7" t="s">
        <v>2038</v>
      </c>
      <c r="U7" t="s">
        <v>2039</v>
      </c>
      <c r="V7" t="s">
        <v>2040</v>
      </c>
      <c r="W7">
        <v>26</v>
      </c>
      <c r="X7">
        <v>0</v>
      </c>
      <c r="Y7" t="s">
        <v>2037</v>
      </c>
      <c r="Z7" s="71">
        <v>46203</v>
      </c>
      <c r="AA7" t="s">
        <v>2050</v>
      </c>
      <c r="AB7" t="s">
        <v>2042</v>
      </c>
      <c r="AD7" t="s">
        <v>2043</v>
      </c>
      <c r="AE7">
        <v>3906</v>
      </c>
      <c r="AF7">
        <v>0</v>
      </c>
      <c r="AG7">
        <v>0</v>
      </c>
      <c r="AH7">
        <v>0</v>
      </c>
      <c r="AI7">
        <v>0</v>
      </c>
      <c r="AJ7">
        <v>0</v>
      </c>
      <c r="AK7" t="s">
        <v>2044</v>
      </c>
      <c r="AL7">
        <v>0</v>
      </c>
      <c r="AM7">
        <v>0</v>
      </c>
      <c r="AN7">
        <v>0</v>
      </c>
      <c r="AO7">
        <v>0</v>
      </c>
      <c r="AP7">
        <v>0</v>
      </c>
      <c r="AR7">
        <v>-249676.4</v>
      </c>
      <c r="AS7">
        <v>0</v>
      </c>
      <c r="AT7">
        <v>0</v>
      </c>
      <c r="AU7" t="s">
        <v>36</v>
      </c>
      <c r="AV7" t="s">
        <v>1117</v>
      </c>
      <c r="AW7" t="s">
        <v>44</v>
      </c>
      <c r="AX7" t="s">
        <v>36</v>
      </c>
      <c r="AY7" t="s">
        <v>2045</v>
      </c>
      <c r="AZ7">
        <v>0</v>
      </c>
      <c r="BA7">
        <v>0</v>
      </c>
      <c r="BB7" t="s">
        <v>2046</v>
      </c>
      <c r="BC7" s="71">
        <v>46204</v>
      </c>
      <c r="BD7" t="s">
        <v>135</v>
      </c>
      <c r="BE7" t="s">
        <v>2047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602137742244</v>
      </c>
      <c r="BO7" s="73">
        <v>46203.65625</v>
      </c>
      <c r="BP7">
        <v>355</v>
      </c>
      <c r="BQ7" t="s">
        <v>44</v>
      </c>
    </row>
    <row r="8" spans="1:69" x14ac:dyDescent="0.35">
      <c r="A8" t="s">
        <v>27</v>
      </c>
      <c r="C8" s="80">
        <v>46204</v>
      </c>
      <c r="D8" t="s">
        <v>2032</v>
      </c>
      <c r="E8" t="s">
        <v>2033</v>
      </c>
      <c r="F8" t="s">
        <v>1119</v>
      </c>
      <c r="G8" t="s">
        <v>2034</v>
      </c>
      <c r="H8" t="s">
        <v>2035</v>
      </c>
      <c r="I8">
        <v>0</v>
      </c>
      <c r="J8">
        <v>441</v>
      </c>
      <c r="K8" t="s">
        <v>1289</v>
      </c>
      <c r="L8">
        <v>441</v>
      </c>
      <c r="M8">
        <v>0</v>
      </c>
      <c r="N8">
        <v>441</v>
      </c>
      <c r="O8" t="s">
        <v>2036</v>
      </c>
      <c r="P8" t="s">
        <v>138</v>
      </c>
      <c r="Q8" t="s">
        <v>138</v>
      </c>
      <c r="R8" t="s">
        <v>2037</v>
      </c>
      <c r="S8" s="71">
        <v>46203</v>
      </c>
      <c r="T8" t="s">
        <v>2038</v>
      </c>
      <c r="U8" t="s">
        <v>2039</v>
      </c>
      <c r="V8" t="s">
        <v>2040</v>
      </c>
      <c r="W8">
        <v>20</v>
      </c>
      <c r="X8">
        <v>0</v>
      </c>
      <c r="Y8" t="s">
        <v>2037</v>
      </c>
      <c r="Z8" s="71">
        <v>46203</v>
      </c>
      <c r="AA8" t="s">
        <v>2051</v>
      </c>
      <c r="AB8" t="s">
        <v>2042</v>
      </c>
      <c r="AD8" t="s">
        <v>2043</v>
      </c>
      <c r="AE8">
        <v>3906</v>
      </c>
      <c r="AF8">
        <v>0</v>
      </c>
      <c r="AG8">
        <v>0</v>
      </c>
      <c r="AH8">
        <v>0</v>
      </c>
      <c r="AI8">
        <v>0</v>
      </c>
      <c r="AJ8">
        <v>0</v>
      </c>
      <c r="AK8" t="s">
        <v>2044</v>
      </c>
      <c r="AL8">
        <v>0</v>
      </c>
      <c r="AM8">
        <v>0</v>
      </c>
      <c r="AN8">
        <v>0</v>
      </c>
      <c r="AO8">
        <v>0</v>
      </c>
      <c r="AP8">
        <v>0</v>
      </c>
      <c r="AR8">
        <v>-249676.4</v>
      </c>
      <c r="AS8">
        <v>0</v>
      </c>
      <c r="AT8">
        <v>0</v>
      </c>
      <c r="AU8" t="s">
        <v>36</v>
      </c>
      <c r="AV8" t="s">
        <v>1117</v>
      </c>
      <c r="AW8" t="s">
        <v>44</v>
      </c>
      <c r="AX8" t="s">
        <v>36</v>
      </c>
      <c r="AY8" t="s">
        <v>2045</v>
      </c>
      <c r="AZ8">
        <v>0</v>
      </c>
      <c r="BA8">
        <v>0</v>
      </c>
      <c r="BB8" t="s">
        <v>2046</v>
      </c>
      <c r="BC8" s="71">
        <v>46204</v>
      </c>
      <c r="BD8" t="s">
        <v>135</v>
      </c>
      <c r="BE8" t="s">
        <v>2047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602137742244</v>
      </c>
      <c r="BO8" s="73">
        <v>46203.65625</v>
      </c>
      <c r="BP8">
        <v>441</v>
      </c>
      <c r="BQ8" t="s">
        <v>44</v>
      </c>
    </row>
    <row r="9" spans="1:69" x14ac:dyDescent="0.35">
      <c r="A9" t="s">
        <v>27</v>
      </c>
      <c r="C9" s="80">
        <v>46204</v>
      </c>
      <c r="D9" t="s">
        <v>2032</v>
      </c>
      <c r="E9" t="s">
        <v>2033</v>
      </c>
      <c r="F9" t="s">
        <v>1119</v>
      </c>
      <c r="G9" t="s">
        <v>2034</v>
      </c>
      <c r="H9" t="s">
        <v>2035</v>
      </c>
      <c r="I9">
        <v>0</v>
      </c>
      <c r="J9">
        <v>1241</v>
      </c>
      <c r="K9" t="s">
        <v>1289</v>
      </c>
      <c r="L9">
        <v>1241</v>
      </c>
      <c r="M9">
        <v>0</v>
      </c>
      <c r="N9">
        <v>1241</v>
      </c>
      <c r="O9" t="s">
        <v>2036</v>
      </c>
      <c r="P9" t="s">
        <v>138</v>
      </c>
      <c r="Q9" t="s">
        <v>138</v>
      </c>
      <c r="R9" t="s">
        <v>2037</v>
      </c>
      <c r="S9" s="71">
        <v>46203</v>
      </c>
      <c r="T9" t="s">
        <v>2038</v>
      </c>
      <c r="U9" t="s">
        <v>2039</v>
      </c>
      <c r="V9" t="s">
        <v>2040</v>
      </c>
      <c r="W9">
        <v>23</v>
      </c>
      <c r="X9">
        <v>0</v>
      </c>
      <c r="Y9" t="s">
        <v>2037</v>
      </c>
      <c r="Z9" s="71">
        <v>46203</v>
      </c>
      <c r="AA9" t="s">
        <v>2052</v>
      </c>
      <c r="AB9" t="s">
        <v>2042</v>
      </c>
      <c r="AD9" t="s">
        <v>2043</v>
      </c>
      <c r="AE9">
        <v>3906</v>
      </c>
      <c r="AF9">
        <v>0</v>
      </c>
      <c r="AG9">
        <v>0</v>
      </c>
      <c r="AH9">
        <v>0</v>
      </c>
      <c r="AI9">
        <v>0</v>
      </c>
      <c r="AJ9">
        <v>0</v>
      </c>
      <c r="AK9" t="s">
        <v>2044</v>
      </c>
      <c r="AL9">
        <v>0</v>
      </c>
      <c r="AM9">
        <v>0</v>
      </c>
      <c r="AN9">
        <v>0</v>
      </c>
      <c r="AO9">
        <v>0</v>
      </c>
      <c r="AP9">
        <v>0</v>
      </c>
      <c r="AR9">
        <v>-249676.4</v>
      </c>
      <c r="AS9">
        <v>0</v>
      </c>
      <c r="AT9">
        <v>0</v>
      </c>
      <c r="AU9" t="s">
        <v>36</v>
      </c>
      <c r="AV9" t="s">
        <v>1117</v>
      </c>
      <c r="AW9" t="s">
        <v>44</v>
      </c>
      <c r="AX9" t="s">
        <v>36</v>
      </c>
      <c r="AY9" t="s">
        <v>2045</v>
      </c>
      <c r="AZ9">
        <v>0</v>
      </c>
      <c r="BA9">
        <v>0</v>
      </c>
      <c r="BB9" t="s">
        <v>2046</v>
      </c>
      <c r="BC9" s="71">
        <v>46204</v>
      </c>
      <c r="BD9" t="s">
        <v>135</v>
      </c>
      <c r="BE9" t="s">
        <v>2047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602137742244</v>
      </c>
      <c r="BO9" s="73">
        <v>46203.65625</v>
      </c>
      <c r="BP9">
        <v>1241</v>
      </c>
      <c r="BQ9" t="s">
        <v>44</v>
      </c>
    </row>
    <row r="10" spans="1:69" x14ac:dyDescent="0.35">
      <c r="A10" t="s">
        <v>27</v>
      </c>
      <c r="C10" s="80">
        <v>46204</v>
      </c>
      <c r="D10" t="s">
        <v>2032</v>
      </c>
      <c r="E10" t="s">
        <v>2033</v>
      </c>
      <c r="F10" t="s">
        <v>1119</v>
      </c>
      <c r="G10" t="s">
        <v>2034</v>
      </c>
      <c r="H10" t="s">
        <v>2035</v>
      </c>
      <c r="I10">
        <v>0</v>
      </c>
      <c r="J10">
        <v>900</v>
      </c>
      <c r="K10" t="s">
        <v>1289</v>
      </c>
      <c r="L10">
        <v>900</v>
      </c>
      <c r="M10">
        <v>0</v>
      </c>
      <c r="N10">
        <v>900</v>
      </c>
      <c r="O10" t="s">
        <v>2036</v>
      </c>
      <c r="P10" t="s">
        <v>138</v>
      </c>
      <c r="Q10" t="s">
        <v>138</v>
      </c>
      <c r="R10" t="s">
        <v>2037</v>
      </c>
      <c r="S10" s="71">
        <v>46203</v>
      </c>
      <c r="T10" t="s">
        <v>2038</v>
      </c>
      <c r="U10" t="s">
        <v>2039</v>
      </c>
      <c r="V10" t="s">
        <v>2040</v>
      </c>
      <c r="W10">
        <v>47</v>
      </c>
      <c r="X10">
        <v>0</v>
      </c>
      <c r="Y10" t="s">
        <v>2037</v>
      </c>
      <c r="Z10" s="71">
        <v>46203</v>
      </c>
      <c r="AA10" t="s">
        <v>2053</v>
      </c>
      <c r="AB10" t="s">
        <v>2042</v>
      </c>
      <c r="AD10" t="s">
        <v>2043</v>
      </c>
      <c r="AE10">
        <v>3906</v>
      </c>
      <c r="AF10">
        <v>0</v>
      </c>
      <c r="AG10">
        <v>0</v>
      </c>
      <c r="AH10">
        <v>0</v>
      </c>
      <c r="AI10">
        <v>0</v>
      </c>
      <c r="AJ10">
        <v>0</v>
      </c>
      <c r="AK10" t="s">
        <v>2044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-249676.4</v>
      </c>
      <c r="AS10">
        <v>0</v>
      </c>
      <c r="AT10">
        <v>0</v>
      </c>
      <c r="AU10" t="s">
        <v>36</v>
      </c>
      <c r="AV10" t="s">
        <v>1117</v>
      </c>
      <c r="AW10" t="s">
        <v>44</v>
      </c>
      <c r="AX10" t="s">
        <v>36</v>
      </c>
      <c r="AY10" t="s">
        <v>2045</v>
      </c>
      <c r="AZ10">
        <v>0</v>
      </c>
      <c r="BA10">
        <v>0</v>
      </c>
      <c r="BB10" t="s">
        <v>2046</v>
      </c>
      <c r="BC10" s="71">
        <v>46204</v>
      </c>
      <c r="BD10" t="s">
        <v>135</v>
      </c>
      <c r="BE10" t="s">
        <v>2047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602137742244</v>
      </c>
      <c r="BO10" s="73">
        <v>46203.65625</v>
      </c>
      <c r="BP10">
        <v>900</v>
      </c>
      <c r="BQ10" t="s">
        <v>44</v>
      </c>
    </row>
    <row r="11" spans="1:69" x14ac:dyDescent="0.35">
      <c r="A11" t="s">
        <v>27</v>
      </c>
      <c r="C11" s="80">
        <v>46204</v>
      </c>
      <c r="D11" t="s">
        <v>2032</v>
      </c>
      <c r="E11" t="s">
        <v>2054</v>
      </c>
      <c r="F11" t="s">
        <v>1154</v>
      </c>
      <c r="G11" t="s">
        <v>2034</v>
      </c>
      <c r="H11" t="s">
        <v>2035</v>
      </c>
      <c r="I11">
        <v>0</v>
      </c>
      <c r="J11">
        <v>780</v>
      </c>
      <c r="K11" t="s">
        <v>1289</v>
      </c>
      <c r="L11">
        <v>780</v>
      </c>
      <c r="M11">
        <v>0</v>
      </c>
      <c r="N11">
        <v>780</v>
      </c>
      <c r="O11" t="s">
        <v>2036</v>
      </c>
      <c r="P11" t="s">
        <v>138</v>
      </c>
      <c r="Q11" t="s">
        <v>138</v>
      </c>
      <c r="R11" t="s">
        <v>2037</v>
      </c>
      <c r="S11" s="71">
        <v>46203</v>
      </c>
      <c r="T11" t="s">
        <v>2038</v>
      </c>
      <c r="U11" t="s">
        <v>2039</v>
      </c>
      <c r="V11" t="s">
        <v>2040</v>
      </c>
      <c r="W11">
        <v>24</v>
      </c>
      <c r="X11">
        <v>0</v>
      </c>
      <c r="Y11" t="s">
        <v>2037</v>
      </c>
      <c r="Z11" s="71">
        <v>46203</v>
      </c>
      <c r="AA11" t="s">
        <v>2055</v>
      </c>
      <c r="AB11" t="s">
        <v>2042</v>
      </c>
      <c r="AD11" t="s">
        <v>2043</v>
      </c>
      <c r="AE11">
        <v>3906</v>
      </c>
      <c r="AF11">
        <v>0</v>
      </c>
      <c r="AG11">
        <v>0</v>
      </c>
      <c r="AH11">
        <v>0</v>
      </c>
      <c r="AI11">
        <v>0</v>
      </c>
      <c r="AJ11">
        <v>0</v>
      </c>
      <c r="AK11" t="s">
        <v>2044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-249676.4</v>
      </c>
      <c r="AS11">
        <v>0</v>
      </c>
      <c r="AT11">
        <v>0</v>
      </c>
      <c r="AU11" t="s">
        <v>36</v>
      </c>
      <c r="AV11" t="s">
        <v>1117</v>
      </c>
      <c r="AW11" t="s">
        <v>42</v>
      </c>
      <c r="AX11" t="s">
        <v>36</v>
      </c>
      <c r="AY11" t="s">
        <v>2045</v>
      </c>
      <c r="AZ11">
        <v>0</v>
      </c>
      <c r="BA11">
        <v>0</v>
      </c>
      <c r="BB11" t="s">
        <v>2046</v>
      </c>
      <c r="BC11" s="71">
        <v>46204</v>
      </c>
      <c r="BD11" t="s">
        <v>135</v>
      </c>
      <c r="BE11" t="s">
        <v>2047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602137742244</v>
      </c>
      <c r="BO11" s="73">
        <v>46203.65625</v>
      </c>
      <c r="BP11">
        <v>780</v>
      </c>
      <c r="BQ11" t="s">
        <v>42</v>
      </c>
    </row>
    <row r="12" spans="1:69" x14ac:dyDescent="0.35">
      <c r="A12" t="s">
        <v>27</v>
      </c>
      <c r="C12" s="80">
        <v>46204</v>
      </c>
      <c r="D12" t="s">
        <v>2032</v>
      </c>
      <c r="E12" t="s">
        <v>2056</v>
      </c>
      <c r="F12" t="s">
        <v>1782</v>
      </c>
      <c r="G12" t="s">
        <v>2034</v>
      </c>
      <c r="H12" t="s">
        <v>2035</v>
      </c>
      <c r="I12">
        <v>0</v>
      </c>
      <c r="J12">
        <v>2193.6999999999998</v>
      </c>
      <c r="K12" t="s">
        <v>1091</v>
      </c>
      <c r="L12">
        <v>2193.6999999999998</v>
      </c>
      <c r="M12">
        <v>0</v>
      </c>
      <c r="N12">
        <v>2193.6999999999998</v>
      </c>
      <c r="O12" t="s">
        <v>2036</v>
      </c>
      <c r="P12" t="s">
        <v>138</v>
      </c>
      <c r="Q12" t="s">
        <v>138</v>
      </c>
      <c r="R12" t="s">
        <v>2037</v>
      </c>
      <c r="S12" s="71">
        <v>46203</v>
      </c>
      <c r="T12" t="s">
        <v>2038</v>
      </c>
      <c r="U12" t="s">
        <v>2039</v>
      </c>
      <c r="V12" t="s">
        <v>2040</v>
      </c>
      <c r="W12">
        <v>32</v>
      </c>
      <c r="X12">
        <v>0</v>
      </c>
      <c r="Y12" t="s">
        <v>2037</v>
      </c>
      <c r="Z12" s="71">
        <v>46203</v>
      </c>
      <c r="AA12" t="s">
        <v>2057</v>
      </c>
      <c r="AB12" t="s">
        <v>2042</v>
      </c>
      <c r="AD12" t="s">
        <v>2043</v>
      </c>
      <c r="AE12">
        <v>3906</v>
      </c>
      <c r="AF12">
        <v>0</v>
      </c>
      <c r="AG12">
        <v>0</v>
      </c>
      <c r="AH12">
        <v>0</v>
      </c>
      <c r="AI12">
        <v>0</v>
      </c>
      <c r="AJ12">
        <v>0</v>
      </c>
      <c r="AK12" t="s">
        <v>2044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-249676.4</v>
      </c>
      <c r="AS12">
        <v>0</v>
      </c>
      <c r="AT12">
        <v>0</v>
      </c>
      <c r="AU12" t="s">
        <v>36</v>
      </c>
      <c r="AV12" t="s">
        <v>1087</v>
      </c>
      <c r="AW12" t="s">
        <v>46</v>
      </c>
      <c r="AX12" t="s">
        <v>36</v>
      </c>
      <c r="AZ12">
        <v>0</v>
      </c>
      <c r="BA12">
        <v>0</v>
      </c>
      <c r="BB12" t="s">
        <v>2046</v>
      </c>
      <c r="BC12" s="71">
        <v>46204</v>
      </c>
      <c r="BD12" t="s">
        <v>135</v>
      </c>
      <c r="BE12" t="s">
        <v>2047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602137742244</v>
      </c>
      <c r="BO12" s="73">
        <v>46203.65625</v>
      </c>
      <c r="BP12">
        <v>2193.6999999999998</v>
      </c>
      <c r="BQ12" t="s">
        <v>46</v>
      </c>
    </row>
    <row r="13" spans="1:69" x14ac:dyDescent="0.35">
      <c r="A13" t="s">
        <v>27</v>
      </c>
      <c r="C13" s="80">
        <v>46205</v>
      </c>
      <c r="D13" t="s">
        <v>2058</v>
      </c>
      <c r="E13" t="s">
        <v>2033</v>
      </c>
      <c r="F13" t="s">
        <v>1119</v>
      </c>
      <c r="G13" t="s">
        <v>2034</v>
      </c>
      <c r="H13" t="s">
        <v>2035</v>
      </c>
      <c r="I13">
        <v>0</v>
      </c>
      <c r="J13">
        <v>1244</v>
      </c>
      <c r="K13" t="s">
        <v>1289</v>
      </c>
      <c r="L13">
        <v>1244</v>
      </c>
      <c r="M13">
        <v>0</v>
      </c>
      <c r="N13">
        <v>1244</v>
      </c>
      <c r="O13" t="s">
        <v>2059</v>
      </c>
      <c r="P13" t="s">
        <v>138</v>
      </c>
      <c r="Q13" t="s">
        <v>138</v>
      </c>
      <c r="R13" t="s">
        <v>2060</v>
      </c>
      <c r="S13" s="71">
        <v>46204</v>
      </c>
      <c r="T13" t="s">
        <v>2038</v>
      </c>
      <c r="U13" t="s">
        <v>2039</v>
      </c>
      <c r="V13" t="s">
        <v>2061</v>
      </c>
      <c r="W13">
        <v>31</v>
      </c>
      <c r="X13">
        <v>0</v>
      </c>
      <c r="Y13" t="s">
        <v>2060</v>
      </c>
      <c r="Z13" s="71">
        <v>46204</v>
      </c>
      <c r="AA13" t="s">
        <v>2062</v>
      </c>
      <c r="AB13" t="s">
        <v>2042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s">
        <v>2044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-202802</v>
      </c>
      <c r="AS13">
        <v>0</v>
      </c>
      <c r="AT13">
        <v>0</v>
      </c>
      <c r="AU13" t="s">
        <v>36</v>
      </c>
      <c r="AV13" t="s">
        <v>1117</v>
      </c>
      <c r="AW13" t="s">
        <v>44</v>
      </c>
      <c r="AX13" t="s">
        <v>36</v>
      </c>
      <c r="AY13" t="s">
        <v>2045</v>
      </c>
      <c r="AZ13">
        <v>0</v>
      </c>
      <c r="BA13">
        <v>0</v>
      </c>
      <c r="BB13" t="s">
        <v>2063</v>
      </c>
      <c r="BC13" s="71">
        <v>46205</v>
      </c>
      <c r="BD13" t="s">
        <v>135</v>
      </c>
      <c r="BE13" t="s">
        <v>2047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612138354377</v>
      </c>
      <c r="BO13" s="73">
        <v>46204.642361111109</v>
      </c>
      <c r="BP13">
        <v>1244</v>
      </c>
      <c r="BQ13" t="s">
        <v>44</v>
      </c>
    </row>
    <row r="14" spans="1:69" x14ac:dyDescent="0.35">
      <c r="A14" t="s">
        <v>27</v>
      </c>
      <c r="C14" s="80">
        <v>46205</v>
      </c>
      <c r="D14" t="s">
        <v>2058</v>
      </c>
      <c r="E14" t="s">
        <v>2033</v>
      </c>
      <c r="F14" t="s">
        <v>1119</v>
      </c>
      <c r="G14" t="s">
        <v>2034</v>
      </c>
      <c r="H14" t="s">
        <v>2035</v>
      </c>
      <c r="I14">
        <v>0</v>
      </c>
      <c r="J14">
        <v>2509</v>
      </c>
      <c r="K14" t="s">
        <v>1289</v>
      </c>
      <c r="L14">
        <v>2509</v>
      </c>
      <c r="M14">
        <v>0</v>
      </c>
      <c r="N14">
        <v>2509</v>
      </c>
      <c r="O14" t="s">
        <v>2059</v>
      </c>
      <c r="P14" t="s">
        <v>138</v>
      </c>
      <c r="Q14" t="s">
        <v>138</v>
      </c>
      <c r="R14" t="s">
        <v>2060</v>
      </c>
      <c r="S14" s="71">
        <v>46204</v>
      </c>
      <c r="T14" t="s">
        <v>2038</v>
      </c>
      <c r="U14" t="s">
        <v>2039</v>
      </c>
      <c r="V14" t="s">
        <v>2061</v>
      </c>
      <c r="W14">
        <v>28</v>
      </c>
      <c r="X14">
        <v>0</v>
      </c>
      <c r="Y14" t="s">
        <v>2060</v>
      </c>
      <c r="Z14" s="71">
        <v>46204</v>
      </c>
      <c r="AA14" t="s">
        <v>2064</v>
      </c>
      <c r="AB14" t="s">
        <v>2042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t="s">
        <v>2044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-202802</v>
      </c>
      <c r="AS14">
        <v>0</v>
      </c>
      <c r="AT14">
        <v>0</v>
      </c>
      <c r="AU14" t="s">
        <v>36</v>
      </c>
      <c r="AV14" t="s">
        <v>1117</v>
      </c>
      <c r="AW14" t="s">
        <v>44</v>
      </c>
      <c r="AX14" t="s">
        <v>36</v>
      </c>
      <c r="AY14" t="s">
        <v>2045</v>
      </c>
      <c r="AZ14">
        <v>0</v>
      </c>
      <c r="BA14">
        <v>0</v>
      </c>
      <c r="BB14" t="s">
        <v>2063</v>
      </c>
      <c r="BC14" s="71">
        <v>46205</v>
      </c>
      <c r="BD14" t="s">
        <v>135</v>
      </c>
      <c r="BE14" t="s">
        <v>2047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612138354377</v>
      </c>
      <c r="BO14" s="73">
        <v>46204.642361111109</v>
      </c>
      <c r="BP14">
        <v>2509</v>
      </c>
      <c r="BQ14" t="s">
        <v>44</v>
      </c>
    </row>
    <row r="15" spans="1:69" x14ac:dyDescent="0.35">
      <c r="A15" t="s">
        <v>27</v>
      </c>
      <c r="C15" s="80">
        <v>46205</v>
      </c>
      <c r="D15" t="s">
        <v>2058</v>
      </c>
      <c r="E15" t="s">
        <v>2033</v>
      </c>
      <c r="F15" t="s">
        <v>1119</v>
      </c>
      <c r="G15" t="s">
        <v>2034</v>
      </c>
      <c r="H15" t="s">
        <v>2035</v>
      </c>
      <c r="I15">
        <v>0</v>
      </c>
      <c r="J15">
        <v>479</v>
      </c>
      <c r="K15" t="s">
        <v>1289</v>
      </c>
      <c r="L15">
        <v>479</v>
      </c>
      <c r="M15">
        <v>0</v>
      </c>
      <c r="N15">
        <v>479</v>
      </c>
      <c r="O15" t="s">
        <v>2059</v>
      </c>
      <c r="P15" t="s">
        <v>138</v>
      </c>
      <c r="Q15" t="s">
        <v>138</v>
      </c>
      <c r="R15" t="s">
        <v>2060</v>
      </c>
      <c r="S15" s="71">
        <v>46204</v>
      </c>
      <c r="T15" t="s">
        <v>2038</v>
      </c>
      <c r="U15" t="s">
        <v>2039</v>
      </c>
      <c r="V15" t="s">
        <v>2061</v>
      </c>
      <c r="W15">
        <v>26</v>
      </c>
      <c r="X15">
        <v>0</v>
      </c>
      <c r="Y15" t="s">
        <v>2060</v>
      </c>
      <c r="Z15" s="71">
        <v>46204</v>
      </c>
      <c r="AA15" t="s">
        <v>2065</v>
      </c>
      <c r="AB15" t="s">
        <v>2042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s">
        <v>2044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-202802</v>
      </c>
      <c r="AS15">
        <v>0</v>
      </c>
      <c r="AT15">
        <v>0</v>
      </c>
      <c r="AU15" t="s">
        <v>36</v>
      </c>
      <c r="AV15" t="s">
        <v>1117</v>
      </c>
      <c r="AW15" t="s">
        <v>44</v>
      </c>
      <c r="AX15" t="s">
        <v>36</v>
      </c>
      <c r="AY15" t="s">
        <v>2045</v>
      </c>
      <c r="AZ15">
        <v>0</v>
      </c>
      <c r="BA15">
        <v>0</v>
      </c>
      <c r="BB15" t="s">
        <v>2063</v>
      </c>
      <c r="BC15" s="71">
        <v>46205</v>
      </c>
      <c r="BD15" t="s">
        <v>135</v>
      </c>
      <c r="BE15" t="s">
        <v>2047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612138354377</v>
      </c>
      <c r="BO15" s="73">
        <v>46204.642361111109</v>
      </c>
      <c r="BP15">
        <v>479</v>
      </c>
      <c r="BQ15" t="s">
        <v>44</v>
      </c>
    </row>
    <row r="16" spans="1:69" x14ac:dyDescent="0.35">
      <c r="A16" t="s">
        <v>27</v>
      </c>
      <c r="C16" s="80">
        <v>46205</v>
      </c>
      <c r="D16" t="s">
        <v>2058</v>
      </c>
      <c r="E16" t="s">
        <v>2033</v>
      </c>
      <c r="F16" t="s">
        <v>1119</v>
      </c>
      <c r="G16" t="s">
        <v>2034</v>
      </c>
      <c r="H16" t="s">
        <v>2035</v>
      </c>
      <c r="I16">
        <v>0</v>
      </c>
      <c r="J16">
        <v>1450</v>
      </c>
      <c r="K16" t="s">
        <v>1289</v>
      </c>
      <c r="L16">
        <v>1450</v>
      </c>
      <c r="M16">
        <v>0</v>
      </c>
      <c r="N16">
        <v>1450</v>
      </c>
      <c r="O16" t="s">
        <v>2059</v>
      </c>
      <c r="P16" t="s">
        <v>138</v>
      </c>
      <c r="Q16" t="s">
        <v>138</v>
      </c>
      <c r="R16" t="s">
        <v>2060</v>
      </c>
      <c r="S16" s="71">
        <v>46204</v>
      </c>
      <c r="T16" t="s">
        <v>2038</v>
      </c>
      <c r="U16" t="s">
        <v>2039</v>
      </c>
      <c r="V16" t="s">
        <v>2061</v>
      </c>
      <c r="W16">
        <v>20</v>
      </c>
      <c r="X16">
        <v>0</v>
      </c>
      <c r="Y16" t="s">
        <v>2060</v>
      </c>
      <c r="Z16" s="71">
        <v>46204</v>
      </c>
      <c r="AA16" t="s">
        <v>2066</v>
      </c>
      <c r="AB16" t="s">
        <v>2042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s">
        <v>2044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-202802</v>
      </c>
      <c r="AS16">
        <v>0</v>
      </c>
      <c r="AT16">
        <v>0</v>
      </c>
      <c r="AU16" t="s">
        <v>36</v>
      </c>
      <c r="AV16" t="s">
        <v>1117</v>
      </c>
      <c r="AW16" t="s">
        <v>44</v>
      </c>
      <c r="AX16" t="s">
        <v>36</v>
      </c>
      <c r="AY16" t="s">
        <v>2045</v>
      </c>
      <c r="AZ16">
        <v>0</v>
      </c>
      <c r="BA16">
        <v>0</v>
      </c>
      <c r="BB16" t="s">
        <v>2063</v>
      </c>
      <c r="BC16" s="71">
        <v>46205</v>
      </c>
      <c r="BD16" t="s">
        <v>135</v>
      </c>
      <c r="BE16" t="s">
        <v>2047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612138354377</v>
      </c>
      <c r="BO16" s="73">
        <v>46204.642361111109</v>
      </c>
      <c r="BP16">
        <v>1450</v>
      </c>
      <c r="BQ16" t="s">
        <v>44</v>
      </c>
    </row>
    <row r="17" spans="1:69" x14ac:dyDescent="0.35">
      <c r="A17" t="s">
        <v>27</v>
      </c>
      <c r="C17" s="80">
        <v>46205</v>
      </c>
      <c r="D17" t="s">
        <v>2058</v>
      </c>
      <c r="E17" t="s">
        <v>2033</v>
      </c>
      <c r="F17" t="s">
        <v>1119</v>
      </c>
      <c r="G17" t="s">
        <v>2034</v>
      </c>
      <c r="H17" t="s">
        <v>2035</v>
      </c>
      <c r="I17">
        <v>0</v>
      </c>
      <c r="J17">
        <v>2284</v>
      </c>
      <c r="K17" t="s">
        <v>1289</v>
      </c>
      <c r="L17">
        <v>2284</v>
      </c>
      <c r="M17">
        <v>0</v>
      </c>
      <c r="N17">
        <v>2284</v>
      </c>
      <c r="O17" t="s">
        <v>2059</v>
      </c>
      <c r="P17" t="s">
        <v>138</v>
      </c>
      <c r="Q17" t="s">
        <v>138</v>
      </c>
      <c r="R17" t="s">
        <v>2060</v>
      </c>
      <c r="S17" s="71">
        <v>46204</v>
      </c>
      <c r="T17" t="s">
        <v>2038</v>
      </c>
      <c r="U17" t="s">
        <v>2039</v>
      </c>
      <c r="V17" t="s">
        <v>2061</v>
      </c>
      <c r="W17">
        <v>23</v>
      </c>
      <c r="X17">
        <v>0</v>
      </c>
      <c r="Y17" t="s">
        <v>2060</v>
      </c>
      <c r="Z17" s="71">
        <v>46204</v>
      </c>
      <c r="AA17" t="s">
        <v>2067</v>
      </c>
      <c r="AB17" t="s">
        <v>2042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s">
        <v>2044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-202802</v>
      </c>
      <c r="AS17">
        <v>0</v>
      </c>
      <c r="AT17">
        <v>0</v>
      </c>
      <c r="AU17" t="s">
        <v>36</v>
      </c>
      <c r="AV17" t="s">
        <v>1117</v>
      </c>
      <c r="AW17" t="s">
        <v>44</v>
      </c>
      <c r="AX17" t="s">
        <v>36</v>
      </c>
      <c r="AY17" t="s">
        <v>2045</v>
      </c>
      <c r="AZ17">
        <v>0</v>
      </c>
      <c r="BA17">
        <v>0</v>
      </c>
      <c r="BB17" t="s">
        <v>2063</v>
      </c>
      <c r="BC17" s="71">
        <v>46205</v>
      </c>
      <c r="BD17" t="s">
        <v>135</v>
      </c>
      <c r="BE17" t="s">
        <v>2047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612138354377</v>
      </c>
      <c r="BO17" s="73">
        <v>46204.642361111109</v>
      </c>
      <c r="BP17">
        <v>2284</v>
      </c>
      <c r="BQ17" t="s">
        <v>44</v>
      </c>
    </row>
    <row r="18" spans="1:69" x14ac:dyDescent="0.35">
      <c r="A18" t="s">
        <v>27</v>
      </c>
      <c r="C18" s="80">
        <v>46206</v>
      </c>
      <c r="D18" t="s">
        <v>2068</v>
      </c>
      <c r="E18" t="s">
        <v>2069</v>
      </c>
      <c r="F18" t="s">
        <v>2070</v>
      </c>
      <c r="G18" t="s">
        <v>2034</v>
      </c>
      <c r="H18" t="s">
        <v>2035</v>
      </c>
      <c r="I18">
        <v>0</v>
      </c>
      <c r="J18">
        <v>1832.4</v>
      </c>
      <c r="K18" t="s">
        <v>1289</v>
      </c>
      <c r="L18">
        <v>1832.4</v>
      </c>
      <c r="M18">
        <v>0</v>
      </c>
      <c r="N18">
        <v>1832.4</v>
      </c>
      <c r="O18" t="s">
        <v>2071</v>
      </c>
      <c r="P18" t="s">
        <v>2072</v>
      </c>
      <c r="Q18" t="s">
        <v>2072</v>
      </c>
      <c r="R18">
        <v>52</v>
      </c>
      <c r="S18" s="71">
        <v>46204</v>
      </c>
      <c r="T18" t="s">
        <v>2038</v>
      </c>
      <c r="U18" t="s">
        <v>2039</v>
      </c>
      <c r="V18" t="s">
        <v>2073</v>
      </c>
      <c r="W18">
        <v>28</v>
      </c>
      <c r="X18">
        <v>0</v>
      </c>
      <c r="Y18">
        <v>52</v>
      </c>
      <c r="Z18" s="71">
        <v>46204</v>
      </c>
      <c r="AA18" t="s">
        <v>2074</v>
      </c>
      <c r="AB18" t="s">
        <v>2075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s">
        <v>2044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-51307.199999999997</v>
      </c>
      <c r="AS18">
        <v>0</v>
      </c>
      <c r="AT18">
        <v>0</v>
      </c>
      <c r="AU18" t="s">
        <v>36</v>
      </c>
      <c r="AV18" t="s">
        <v>1117</v>
      </c>
      <c r="AW18" t="s">
        <v>38</v>
      </c>
      <c r="AX18" t="s">
        <v>36</v>
      </c>
      <c r="AY18" t="s">
        <v>2045</v>
      </c>
      <c r="AZ18">
        <v>0</v>
      </c>
      <c r="BA18">
        <v>0</v>
      </c>
      <c r="BB18" t="s">
        <v>2076</v>
      </c>
      <c r="BC18" s="71">
        <v>46204</v>
      </c>
      <c r="BD18" t="s">
        <v>2077</v>
      </c>
      <c r="BE18" t="s">
        <v>2047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692138038798</v>
      </c>
      <c r="BO18" s="73">
        <v>46204.461805555555</v>
      </c>
      <c r="BP18">
        <v>1832.4</v>
      </c>
      <c r="BQ18" t="s">
        <v>38</v>
      </c>
    </row>
    <row r="19" spans="1:69" x14ac:dyDescent="0.35">
      <c r="A19" t="s">
        <v>27</v>
      </c>
      <c r="C19" s="80">
        <v>46206</v>
      </c>
      <c r="D19" t="s">
        <v>2078</v>
      </c>
      <c r="E19" t="s">
        <v>2033</v>
      </c>
      <c r="F19" t="s">
        <v>1119</v>
      </c>
      <c r="G19" t="s">
        <v>2034</v>
      </c>
      <c r="H19" t="s">
        <v>2035</v>
      </c>
      <c r="I19">
        <v>0</v>
      </c>
      <c r="J19">
        <v>584</v>
      </c>
      <c r="K19" t="s">
        <v>1289</v>
      </c>
      <c r="L19">
        <v>584</v>
      </c>
      <c r="M19">
        <v>0</v>
      </c>
      <c r="N19">
        <v>584</v>
      </c>
      <c r="O19" t="s">
        <v>2079</v>
      </c>
      <c r="P19" t="s">
        <v>138</v>
      </c>
      <c r="Q19" t="s">
        <v>138</v>
      </c>
      <c r="R19" t="s">
        <v>2080</v>
      </c>
      <c r="S19" s="71">
        <v>46205</v>
      </c>
      <c r="T19" t="s">
        <v>2038</v>
      </c>
      <c r="U19" t="s">
        <v>2039</v>
      </c>
      <c r="V19" t="s">
        <v>2081</v>
      </c>
      <c r="W19">
        <v>31</v>
      </c>
      <c r="X19">
        <v>0</v>
      </c>
      <c r="Y19" t="s">
        <v>2080</v>
      </c>
      <c r="Z19" s="71">
        <v>46205</v>
      </c>
      <c r="AA19" t="s">
        <v>2041</v>
      </c>
      <c r="AB19" t="s">
        <v>2042</v>
      </c>
      <c r="AD19" t="s">
        <v>2082</v>
      </c>
      <c r="AE19">
        <v>3910</v>
      </c>
      <c r="AF19">
        <v>0</v>
      </c>
      <c r="AG19">
        <v>0</v>
      </c>
      <c r="AH19">
        <v>0</v>
      </c>
      <c r="AI19">
        <v>0</v>
      </c>
      <c r="AJ19">
        <v>0</v>
      </c>
      <c r="AK19" t="s">
        <v>2044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-168101</v>
      </c>
      <c r="AS19">
        <v>0</v>
      </c>
      <c r="AT19">
        <v>0</v>
      </c>
      <c r="AU19" t="s">
        <v>36</v>
      </c>
      <c r="AV19" t="s">
        <v>1117</v>
      </c>
      <c r="AW19" t="s">
        <v>44</v>
      </c>
      <c r="AX19" t="s">
        <v>36</v>
      </c>
      <c r="AY19" t="s">
        <v>2045</v>
      </c>
      <c r="AZ19">
        <v>0</v>
      </c>
      <c r="BA19">
        <v>0</v>
      </c>
      <c r="BB19" t="s">
        <v>2083</v>
      </c>
      <c r="BC19" s="71">
        <v>46206</v>
      </c>
      <c r="BD19" t="s">
        <v>135</v>
      </c>
      <c r="BE19" t="s">
        <v>2047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662138875196</v>
      </c>
      <c r="BO19" s="73">
        <v>46206.602777777778</v>
      </c>
      <c r="BP19">
        <v>584</v>
      </c>
      <c r="BQ19" t="s">
        <v>44</v>
      </c>
    </row>
    <row r="20" spans="1:69" x14ac:dyDescent="0.35">
      <c r="A20" t="s">
        <v>27</v>
      </c>
      <c r="C20" s="80">
        <v>46206</v>
      </c>
      <c r="D20" t="s">
        <v>2078</v>
      </c>
      <c r="E20" t="s">
        <v>2033</v>
      </c>
      <c r="F20" t="s">
        <v>1119</v>
      </c>
      <c r="G20" t="s">
        <v>2034</v>
      </c>
      <c r="H20" t="s">
        <v>2035</v>
      </c>
      <c r="I20">
        <v>0</v>
      </c>
      <c r="J20">
        <v>3075</v>
      </c>
      <c r="K20" t="s">
        <v>1289</v>
      </c>
      <c r="L20">
        <v>3075</v>
      </c>
      <c r="M20">
        <v>0</v>
      </c>
      <c r="N20">
        <v>3075</v>
      </c>
      <c r="O20" t="s">
        <v>2079</v>
      </c>
      <c r="P20" t="s">
        <v>138</v>
      </c>
      <c r="Q20" t="s">
        <v>138</v>
      </c>
      <c r="R20" t="s">
        <v>2080</v>
      </c>
      <c r="S20" s="71">
        <v>46205</v>
      </c>
      <c r="T20" t="s">
        <v>2038</v>
      </c>
      <c r="U20" t="s">
        <v>2039</v>
      </c>
      <c r="V20" t="s">
        <v>2081</v>
      </c>
      <c r="W20">
        <v>25</v>
      </c>
      <c r="X20">
        <v>0</v>
      </c>
      <c r="Y20" t="s">
        <v>2080</v>
      </c>
      <c r="Z20" s="71">
        <v>46205</v>
      </c>
      <c r="AA20" t="s">
        <v>2084</v>
      </c>
      <c r="AB20" t="s">
        <v>2042</v>
      </c>
      <c r="AD20" t="s">
        <v>2082</v>
      </c>
      <c r="AE20">
        <v>3910</v>
      </c>
      <c r="AF20">
        <v>0</v>
      </c>
      <c r="AG20">
        <v>0</v>
      </c>
      <c r="AH20">
        <v>0</v>
      </c>
      <c r="AI20">
        <v>0</v>
      </c>
      <c r="AJ20">
        <v>0</v>
      </c>
      <c r="AK20" t="s">
        <v>2044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-168101</v>
      </c>
      <c r="AS20">
        <v>0</v>
      </c>
      <c r="AT20">
        <v>0</v>
      </c>
      <c r="AU20" t="s">
        <v>36</v>
      </c>
      <c r="AV20" t="s">
        <v>1117</v>
      </c>
      <c r="AW20" t="s">
        <v>44</v>
      </c>
      <c r="AX20" t="s">
        <v>36</v>
      </c>
      <c r="AY20" t="s">
        <v>2045</v>
      </c>
      <c r="AZ20">
        <v>0</v>
      </c>
      <c r="BA20">
        <v>0</v>
      </c>
      <c r="BB20" t="s">
        <v>2083</v>
      </c>
      <c r="BC20" s="71">
        <v>46206</v>
      </c>
      <c r="BD20" t="s">
        <v>135</v>
      </c>
      <c r="BE20" t="s">
        <v>2047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662138875196</v>
      </c>
      <c r="BO20" s="73">
        <v>46206.602777777778</v>
      </c>
      <c r="BP20">
        <v>3075</v>
      </c>
      <c r="BQ20" t="s">
        <v>44</v>
      </c>
    </row>
    <row r="21" spans="1:69" x14ac:dyDescent="0.35">
      <c r="A21" t="s">
        <v>27</v>
      </c>
      <c r="C21" s="80">
        <v>46206</v>
      </c>
      <c r="D21" t="s">
        <v>2078</v>
      </c>
      <c r="E21" t="s">
        <v>2033</v>
      </c>
      <c r="F21" t="s">
        <v>1119</v>
      </c>
      <c r="G21" t="s">
        <v>2034</v>
      </c>
      <c r="H21" t="s">
        <v>2035</v>
      </c>
      <c r="I21">
        <v>0</v>
      </c>
      <c r="J21">
        <v>502</v>
      </c>
      <c r="K21" t="s">
        <v>1289</v>
      </c>
      <c r="L21">
        <v>502</v>
      </c>
      <c r="M21">
        <v>0</v>
      </c>
      <c r="N21">
        <v>502</v>
      </c>
      <c r="O21" t="s">
        <v>2079</v>
      </c>
      <c r="P21" t="s">
        <v>138</v>
      </c>
      <c r="Q21" t="s">
        <v>138</v>
      </c>
      <c r="R21" t="s">
        <v>2080</v>
      </c>
      <c r="S21" s="71">
        <v>46205</v>
      </c>
      <c r="T21" t="s">
        <v>2038</v>
      </c>
      <c r="U21" t="s">
        <v>2039</v>
      </c>
      <c r="V21" t="s">
        <v>2081</v>
      </c>
      <c r="W21">
        <v>28</v>
      </c>
      <c r="X21">
        <v>0</v>
      </c>
      <c r="Y21" t="s">
        <v>2080</v>
      </c>
      <c r="Z21" s="71">
        <v>46205</v>
      </c>
      <c r="AA21" t="s">
        <v>2085</v>
      </c>
      <c r="AB21" t="s">
        <v>2042</v>
      </c>
      <c r="AD21" t="s">
        <v>2082</v>
      </c>
      <c r="AE21">
        <v>3910</v>
      </c>
      <c r="AF21">
        <v>0</v>
      </c>
      <c r="AG21">
        <v>0</v>
      </c>
      <c r="AH21">
        <v>0</v>
      </c>
      <c r="AI21">
        <v>0</v>
      </c>
      <c r="AJ21">
        <v>0</v>
      </c>
      <c r="AK21" t="s">
        <v>2044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-168101</v>
      </c>
      <c r="AS21">
        <v>0</v>
      </c>
      <c r="AT21">
        <v>0</v>
      </c>
      <c r="AU21" t="s">
        <v>36</v>
      </c>
      <c r="AV21" t="s">
        <v>1117</v>
      </c>
      <c r="AW21" t="s">
        <v>44</v>
      </c>
      <c r="AX21" t="s">
        <v>36</v>
      </c>
      <c r="AY21" t="s">
        <v>2045</v>
      </c>
      <c r="AZ21">
        <v>0</v>
      </c>
      <c r="BA21">
        <v>0</v>
      </c>
      <c r="BB21" t="s">
        <v>2083</v>
      </c>
      <c r="BC21" s="71">
        <v>46206</v>
      </c>
      <c r="BD21" t="s">
        <v>135</v>
      </c>
      <c r="BE21" t="s">
        <v>2047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662138875196</v>
      </c>
      <c r="BO21" s="73">
        <v>46206.602777777778</v>
      </c>
      <c r="BP21">
        <v>502</v>
      </c>
      <c r="BQ21" t="s">
        <v>44</v>
      </c>
    </row>
    <row r="22" spans="1:69" x14ac:dyDescent="0.35">
      <c r="A22" t="s">
        <v>27</v>
      </c>
      <c r="C22" s="80">
        <v>46206</v>
      </c>
      <c r="D22" t="s">
        <v>2078</v>
      </c>
      <c r="E22" t="s">
        <v>2033</v>
      </c>
      <c r="F22" t="s">
        <v>1119</v>
      </c>
      <c r="G22" t="s">
        <v>2034</v>
      </c>
      <c r="H22" t="s">
        <v>2035</v>
      </c>
      <c r="I22">
        <v>0</v>
      </c>
      <c r="J22">
        <v>2422</v>
      </c>
      <c r="K22" t="s">
        <v>1289</v>
      </c>
      <c r="L22">
        <v>2422</v>
      </c>
      <c r="M22">
        <v>0</v>
      </c>
      <c r="N22">
        <v>2422</v>
      </c>
      <c r="O22" t="s">
        <v>2079</v>
      </c>
      <c r="P22" t="s">
        <v>138</v>
      </c>
      <c r="Q22" t="s">
        <v>138</v>
      </c>
      <c r="R22" t="s">
        <v>2080</v>
      </c>
      <c r="S22" s="71">
        <v>46205</v>
      </c>
      <c r="T22" t="s">
        <v>2038</v>
      </c>
      <c r="U22" t="s">
        <v>2039</v>
      </c>
      <c r="V22" t="s">
        <v>2081</v>
      </c>
      <c r="W22">
        <v>20</v>
      </c>
      <c r="X22">
        <v>0</v>
      </c>
      <c r="Y22" t="s">
        <v>2080</v>
      </c>
      <c r="Z22" s="71">
        <v>46205</v>
      </c>
      <c r="AA22" t="s">
        <v>2086</v>
      </c>
      <c r="AB22" t="s">
        <v>2042</v>
      </c>
      <c r="AD22" t="s">
        <v>2082</v>
      </c>
      <c r="AE22">
        <v>3910</v>
      </c>
      <c r="AF22">
        <v>0</v>
      </c>
      <c r="AG22">
        <v>0</v>
      </c>
      <c r="AH22">
        <v>0</v>
      </c>
      <c r="AI22">
        <v>0</v>
      </c>
      <c r="AJ22">
        <v>0</v>
      </c>
      <c r="AK22" t="s">
        <v>2044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-168101</v>
      </c>
      <c r="AS22">
        <v>0</v>
      </c>
      <c r="AT22">
        <v>0</v>
      </c>
      <c r="AU22" t="s">
        <v>36</v>
      </c>
      <c r="AV22" t="s">
        <v>1117</v>
      </c>
      <c r="AW22" t="s">
        <v>44</v>
      </c>
      <c r="AX22" t="s">
        <v>36</v>
      </c>
      <c r="AY22" t="s">
        <v>2045</v>
      </c>
      <c r="AZ22">
        <v>0</v>
      </c>
      <c r="BA22">
        <v>0</v>
      </c>
      <c r="BB22" t="s">
        <v>2083</v>
      </c>
      <c r="BC22" s="71">
        <v>46206</v>
      </c>
      <c r="BD22" t="s">
        <v>135</v>
      </c>
      <c r="BE22" t="s">
        <v>2047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662138875196</v>
      </c>
      <c r="BO22" s="73">
        <v>46206.602777777778</v>
      </c>
      <c r="BP22">
        <v>2422</v>
      </c>
      <c r="BQ22" t="s">
        <v>44</v>
      </c>
    </row>
    <row r="23" spans="1:69" x14ac:dyDescent="0.35">
      <c r="A23" t="s">
        <v>27</v>
      </c>
      <c r="C23" s="80">
        <v>46206</v>
      </c>
      <c r="D23" t="s">
        <v>2078</v>
      </c>
      <c r="E23" t="s">
        <v>2033</v>
      </c>
      <c r="F23" t="s">
        <v>1119</v>
      </c>
      <c r="G23" t="s">
        <v>2034</v>
      </c>
      <c r="H23" t="s">
        <v>2035</v>
      </c>
      <c r="I23">
        <v>0</v>
      </c>
      <c r="J23">
        <v>462</v>
      </c>
      <c r="K23" t="s">
        <v>1289</v>
      </c>
      <c r="L23">
        <v>462</v>
      </c>
      <c r="M23">
        <v>0</v>
      </c>
      <c r="N23">
        <v>462</v>
      </c>
      <c r="O23" t="s">
        <v>2079</v>
      </c>
      <c r="P23" t="s">
        <v>138</v>
      </c>
      <c r="Q23" t="s">
        <v>138</v>
      </c>
      <c r="R23" t="s">
        <v>2080</v>
      </c>
      <c r="S23" s="71">
        <v>46205</v>
      </c>
      <c r="T23" t="s">
        <v>2038</v>
      </c>
      <c r="U23" t="s">
        <v>2039</v>
      </c>
      <c r="V23" t="s">
        <v>2081</v>
      </c>
      <c r="W23">
        <v>23</v>
      </c>
      <c r="X23">
        <v>0</v>
      </c>
      <c r="Y23" t="s">
        <v>2080</v>
      </c>
      <c r="Z23" s="71">
        <v>46205</v>
      </c>
      <c r="AA23" t="s">
        <v>2087</v>
      </c>
      <c r="AB23" t="s">
        <v>2042</v>
      </c>
      <c r="AD23" t="s">
        <v>2082</v>
      </c>
      <c r="AE23">
        <v>3910</v>
      </c>
      <c r="AF23">
        <v>0</v>
      </c>
      <c r="AG23">
        <v>0</v>
      </c>
      <c r="AH23">
        <v>0</v>
      </c>
      <c r="AI23">
        <v>0</v>
      </c>
      <c r="AJ23">
        <v>0</v>
      </c>
      <c r="AK23" t="s">
        <v>2044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-168101</v>
      </c>
      <c r="AS23">
        <v>0</v>
      </c>
      <c r="AT23">
        <v>0</v>
      </c>
      <c r="AU23" t="s">
        <v>36</v>
      </c>
      <c r="AV23" t="s">
        <v>1117</v>
      </c>
      <c r="AW23" t="s">
        <v>44</v>
      </c>
      <c r="AX23" t="s">
        <v>36</v>
      </c>
      <c r="AY23" t="s">
        <v>2045</v>
      </c>
      <c r="AZ23">
        <v>0</v>
      </c>
      <c r="BA23">
        <v>0</v>
      </c>
      <c r="BB23" t="s">
        <v>2083</v>
      </c>
      <c r="BC23" s="71">
        <v>46206</v>
      </c>
      <c r="BD23" t="s">
        <v>135</v>
      </c>
      <c r="BE23" t="s">
        <v>2047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662138875196</v>
      </c>
      <c r="BO23" s="73">
        <v>46206.602777777778</v>
      </c>
      <c r="BP23">
        <v>462</v>
      </c>
      <c r="BQ23" t="s">
        <v>44</v>
      </c>
    </row>
    <row r="24" spans="1:69" x14ac:dyDescent="0.35">
      <c r="A24" t="s">
        <v>27</v>
      </c>
      <c r="C24" s="80">
        <v>46207</v>
      </c>
      <c r="D24" t="s">
        <v>2088</v>
      </c>
      <c r="E24" t="s">
        <v>2033</v>
      </c>
      <c r="F24" t="s">
        <v>1119</v>
      </c>
      <c r="G24" t="s">
        <v>2034</v>
      </c>
      <c r="H24" t="s">
        <v>2035</v>
      </c>
      <c r="I24">
        <v>0</v>
      </c>
      <c r="J24">
        <v>1203.3</v>
      </c>
      <c r="K24" t="s">
        <v>1289</v>
      </c>
      <c r="L24">
        <v>1203.3</v>
      </c>
      <c r="M24">
        <v>0</v>
      </c>
      <c r="N24">
        <v>1203.3</v>
      </c>
      <c r="O24" t="s">
        <v>2089</v>
      </c>
      <c r="P24" t="s">
        <v>2090</v>
      </c>
      <c r="Q24" t="s">
        <v>2090</v>
      </c>
      <c r="R24">
        <v>12</v>
      </c>
      <c r="S24" s="71">
        <v>46206</v>
      </c>
      <c r="T24" t="s">
        <v>2038</v>
      </c>
      <c r="U24" t="s">
        <v>2039</v>
      </c>
      <c r="V24" t="s">
        <v>2091</v>
      </c>
      <c r="W24">
        <v>43</v>
      </c>
      <c r="X24">
        <v>0</v>
      </c>
      <c r="Y24">
        <v>12</v>
      </c>
      <c r="Z24" s="71">
        <v>46206</v>
      </c>
      <c r="AA24" t="s">
        <v>2092</v>
      </c>
      <c r="AB24" t="s">
        <v>2093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s">
        <v>2044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-51747.7</v>
      </c>
      <c r="AS24">
        <v>0</v>
      </c>
      <c r="AT24">
        <v>0</v>
      </c>
      <c r="AU24" t="s">
        <v>36</v>
      </c>
      <c r="AV24" t="s">
        <v>1117</v>
      </c>
      <c r="AW24" t="s">
        <v>44</v>
      </c>
      <c r="AX24" t="s">
        <v>36</v>
      </c>
      <c r="AY24" t="s">
        <v>2045</v>
      </c>
      <c r="AZ24">
        <v>0</v>
      </c>
      <c r="BA24">
        <v>0</v>
      </c>
      <c r="BB24" t="s">
        <v>2094</v>
      </c>
      <c r="BC24" s="71">
        <v>46206</v>
      </c>
      <c r="BD24" t="s">
        <v>2095</v>
      </c>
      <c r="BE24" t="s">
        <v>2047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612139263957</v>
      </c>
      <c r="BO24" s="73">
        <v>46206.541666666664</v>
      </c>
      <c r="BP24">
        <v>1203.3</v>
      </c>
      <c r="BQ24" t="s">
        <v>44</v>
      </c>
    </row>
    <row r="25" spans="1:69" x14ac:dyDescent="0.35">
      <c r="A25" t="s">
        <v>27</v>
      </c>
      <c r="C25" s="80">
        <v>46207</v>
      </c>
      <c r="D25" t="s">
        <v>2088</v>
      </c>
      <c r="E25" t="s">
        <v>2096</v>
      </c>
      <c r="F25" t="s">
        <v>1277</v>
      </c>
      <c r="G25" t="s">
        <v>2034</v>
      </c>
      <c r="H25" t="s">
        <v>2035</v>
      </c>
      <c r="I25">
        <v>0</v>
      </c>
      <c r="J25">
        <v>58</v>
      </c>
      <c r="K25" t="s">
        <v>1289</v>
      </c>
      <c r="L25">
        <v>58</v>
      </c>
      <c r="M25">
        <v>0</v>
      </c>
      <c r="N25">
        <v>58</v>
      </c>
      <c r="O25" t="s">
        <v>2089</v>
      </c>
      <c r="P25" t="s">
        <v>2090</v>
      </c>
      <c r="Q25" t="s">
        <v>2090</v>
      </c>
      <c r="R25">
        <v>12</v>
      </c>
      <c r="S25" s="71">
        <v>46206</v>
      </c>
      <c r="T25" t="s">
        <v>2038</v>
      </c>
      <c r="U25" t="s">
        <v>2039</v>
      </c>
      <c r="V25" t="s">
        <v>2091</v>
      </c>
      <c r="W25">
        <v>0.1</v>
      </c>
      <c r="X25">
        <v>0</v>
      </c>
      <c r="Y25">
        <v>12</v>
      </c>
      <c r="Z25" s="71">
        <v>46206</v>
      </c>
      <c r="AA25" t="s">
        <v>2097</v>
      </c>
      <c r="AB25" t="s">
        <v>2093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s">
        <v>2044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-51747.7</v>
      </c>
      <c r="AS25">
        <v>0</v>
      </c>
      <c r="AT25">
        <v>0</v>
      </c>
      <c r="AU25" t="s">
        <v>36</v>
      </c>
      <c r="AV25" t="s">
        <v>48</v>
      </c>
      <c r="AW25" t="s">
        <v>48</v>
      </c>
      <c r="AX25" t="s">
        <v>36</v>
      </c>
      <c r="AY25" t="s">
        <v>2045</v>
      </c>
      <c r="AZ25">
        <v>0</v>
      </c>
      <c r="BA25">
        <v>0</v>
      </c>
      <c r="BB25" t="s">
        <v>2094</v>
      </c>
      <c r="BC25" s="71">
        <v>46206</v>
      </c>
      <c r="BD25" t="s">
        <v>2095</v>
      </c>
      <c r="BE25" t="s">
        <v>2047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612139263957</v>
      </c>
      <c r="BO25" s="73">
        <v>46206.541666666664</v>
      </c>
      <c r="BP25">
        <v>58</v>
      </c>
      <c r="BQ25" t="s">
        <v>48</v>
      </c>
    </row>
    <row r="26" spans="1:69" hidden="1" x14ac:dyDescent="0.35">
      <c r="A26" t="s">
        <v>27</v>
      </c>
      <c r="C26" s="80">
        <v>46207</v>
      </c>
      <c r="D26" t="s">
        <v>2098</v>
      </c>
      <c r="E26" t="s">
        <v>2099</v>
      </c>
      <c r="F26" t="s">
        <v>2100</v>
      </c>
      <c r="G26">
        <v>1</v>
      </c>
      <c r="H26" t="s">
        <v>2035</v>
      </c>
      <c r="I26">
        <v>0</v>
      </c>
      <c r="J26">
        <v>89.24</v>
      </c>
      <c r="K26" t="s">
        <v>1289</v>
      </c>
      <c r="L26">
        <v>89.24</v>
      </c>
      <c r="M26">
        <v>0</v>
      </c>
      <c r="N26">
        <v>89.24</v>
      </c>
      <c r="O26" t="s">
        <v>2101</v>
      </c>
      <c r="P26" t="s">
        <v>138</v>
      </c>
      <c r="Q26" t="s">
        <v>138</v>
      </c>
      <c r="R26" t="s">
        <v>2102</v>
      </c>
      <c r="S26" s="71">
        <v>46207</v>
      </c>
      <c r="T26" t="s">
        <v>2038</v>
      </c>
      <c r="U26" t="s">
        <v>2103</v>
      </c>
      <c r="V26" t="s">
        <v>2104</v>
      </c>
      <c r="W26">
        <v>26652.25</v>
      </c>
      <c r="X26">
        <v>0</v>
      </c>
      <c r="Y26" t="s">
        <v>2102</v>
      </c>
      <c r="Z26" s="71">
        <v>46207</v>
      </c>
      <c r="AA26" t="s">
        <v>2105</v>
      </c>
      <c r="AB26" t="s">
        <v>1139</v>
      </c>
      <c r="AD26" t="s">
        <v>2106</v>
      </c>
      <c r="AE26" t="s">
        <v>2107</v>
      </c>
      <c r="AF26">
        <v>0</v>
      </c>
      <c r="AG26">
        <v>0</v>
      </c>
      <c r="AH26">
        <v>0</v>
      </c>
      <c r="AI26">
        <v>0</v>
      </c>
      <c r="AJ26">
        <v>0</v>
      </c>
      <c r="AK26" t="s">
        <v>2044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-4572193.4874999998</v>
      </c>
      <c r="AS26">
        <v>0</v>
      </c>
      <c r="AT26">
        <v>0</v>
      </c>
      <c r="AU26" t="s">
        <v>36</v>
      </c>
      <c r="AV26" t="s">
        <v>1087</v>
      </c>
      <c r="AW26" t="s">
        <v>46</v>
      </c>
      <c r="AX26" t="s">
        <v>36</v>
      </c>
      <c r="AY26" t="s">
        <v>2045</v>
      </c>
      <c r="AZ26">
        <v>0</v>
      </c>
      <c r="BA26">
        <v>0</v>
      </c>
      <c r="BB26" t="s">
        <v>2108</v>
      </c>
      <c r="BC26" s="71">
        <v>46207</v>
      </c>
      <c r="BD26" t="s">
        <v>135</v>
      </c>
      <c r="BE26" t="s">
        <v>2047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662134688105</v>
      </c>
      <c r="BO26" s="73">
        <v>46207.727777777778</v>
      </c>
      <c r="BP26">
        <v>89.24</v>
      </c>
      <c r="BQ26" t="s">
        <v>2319</v>
      </c>
    </row>
    <row r="27" spans="1:69" hidden="1" x14ac:dyDescent="0.35">
      <c r="A27" t="s">
        <v>27</v>
      </c>
      <c r="C27" s="80">
        <v>46207</v>
      </c>
      <c r="D27" t="s">
        <v>2098</v>
      </c>
      <c r="E27" t="s">
        <v>2109</v>
      </c>
      <c r="F27" t="s">
        <v>2110</v>
      </c>
      <c r="G27">
        <v>2</v>
      </c>
      <c r="H27" t="s">
        <v>2035</v>
      </c>
      <c r="I27">
        <v>0</v>
      </c>
      <c r="J27">
        <v>82.31</v>
      </c>
      <c r="K27" t="s">
        <v>1289</v>
      </c>
      <c r="L27">
        <v>82.31</v>
      </c>
      <c r="M27">
        <v>0</v>
      </c>
      <c r="N27">
        <v>82.31</v>
      </c>
      <c r="O27" t="s">
        <v>2101</v>
      </c>
      <c r="P27" t="s">
        <v>138</v>
      </c>
      <c r="Q27" t="s">
        <v>138</v>
      </c>
      <c r="R27" t="s">
        <v>2102</v>
      </c>
      <c r="S27" s="71">
        <v>46207</v>
      </c>
      <c r="T27" t="s">
        <v>2038</v>
      </c>
      <c r="U27" t="s">
        <v>2103</v>
      </c>
      <c r="V27" t="s">
        <v>2104</v>
      </c>
      <c r="W27">
        <v>26652.25</v>
      </c>
      <c r="X27">
        <v>0</v>
      </c>
      <c r="Y27" t="s">
        <v>2102</v>
      </c>
      <c r="Z27" s="71">
        <v>46207</v>
      </c>
      <c r="AA27" t="s">
        <v>2111</v>
      </c>
      <c r="AB27" t="s">
        <v>1139</v>
      </c>
      <c r="AD27" t="s">
        <v>2106</v>
      </c>
      <c r="AE27" t="s">
        <v>2107</v>
      </c>
      <c r="AF27">
        <v>0</v>
      </c>
      <c r="AG27">
        <v>0</v>
      </c>
      <c r="AH27">
        <v>0</v>
      </c>
      <c r="AI27">
        <v>0</v>
      </c>
      <c r="AJ27">
        <v>0</v>
      </c>
      <c r="AK27" t="s">
        <v>2044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-4572193.4874999998</v>
      </c>
      <c r="AS27">
        <v>0</v>
      </c>
      <c r="AT27">
        <v>0</v>
      </c>
      <c r="AU27" t="s">
        <v>36</v>
      </c>
      <c r="AV27" t="s">
        <v>1087</v>
      </c>
      <c r="AW27" t="s">
        <v>46</v>
      </c>
      <c r="AX27" t="s">
        <v>36</v>
      </c>
      <c r="AZ27">
        <v>0</v>
      </c>
      <c r="BA27">
        <v>0</v>
      </c>
      <c r="BB27" t="s">
        <v>2108</v>
      </c>
      <c r="BC27" s="71">
        <v>46207</v>
      </c>
      <c r="BD27" t="s">
        <v>135</v>
      </c>
      <c r="BE27" t="s">
        <v>2047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662134688105</v>
      </c>
      <c r="BO27" s="73">
        <v>46207.727777777778</v>
      </c>
      <c r="BP27">
        <v>82.31</v>
      </c>
      <c r="BQ27" t="s">
        <v>2319</v>
      </c>
    </row>
    <row r="28" spans="1:69" x14ac:dyDescent="0.35">
      <c r="A28" t="s">
        <v>27</v>
      </c>
      <c r="C28" s="80">
        <v>46208</v>
      </c>
      <c r="D28" t="s">
        <v>2112</v>
      </c>
      <c r="E28" t="s">
        <v>2056</v>
      </c>
      <c r="F28" t="s">
        <v>1782</v>
      </c>
      <c r="G28" t="s">
        <v>2034</v>
      </c>
      <c r="H28" t="s">
        <v>2035</v>
      </c>
      <c r="I28">
        <v>0</v>
      </c>
      <c r="J28">
        <v>1632.4</v>
      </c>
      <c r="K28" t="s">
        <v>1091</v>
      </c>
      <c r="L28">
        <v>1632.4</v>
      </c>
      <c r="M28">
        <v>0</v>
      </c>
      <c r="N28">
        <v>1632.4</v>
      </c>
      <c r="O28" t="s">
        <v>2036</v>
      </c>
      <c r="P28" t="s">
        <v>138</v>
      </c>
      <c r="Q28" t="s">
        <v>138</v>
      </c>
      <c r="R28" t="s">
        <v>2113</v>
      </c>
      <c r="S28" s="71">
        <v>46207</v>
      </c>
      <c r="T28" t="s">
        <v>2038</v>
      </c>
      <c r="U28" t="s">
        <v>2039</v>
      </c>
      <c r="V28" t="s">
        <v>2114</v>
      </c>
      <c r="W28">
        <v>32</v>
      </c>
      <c r="X28">
        <v>0</v>
      </c>
      <c r="Y28" t="s">
        <v>2113</v>
      </c>
      <c r="Z28" s="71">
        <v>46207</v>
      </c>
      <c r="AA28" t="s">
        <v>2115</v>
      </c>
      <c r="AB28" t="s">
        <v>2042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s">
        <v>2044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-261401.8</v>
      </c>
      <c r="AS28">
        <v>0</v>
      </c>
      <c r="AT28">
        <v>0</v>
      </c>
      <c r="AU28" t="s">
        <v>36</v>
      </c>
      <c r="AV28" t="s">
        <v>1087</v>
      </c>
      <c r="AW28" t="s">
        <v>46</v>
      </c>
      <c r="AX28" t="s">
        <v>36</v>
      </c>
      <c r="AZ28">
        <v>0</v>
      </c>
      <c r="BA28">
        <v>0</v>
      </c>
      <c r="BB28" t="s">
        <v>2116</v>
      </c>
      <c r="BC28" s="71">
        <v>46208</v>
      </c>
      <c r="BD28" t="s">
        <v>135</v>
      </c>
      <c r="BE28" t="s">
        <v>2047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622140021491</v>
      </c>
      <c r="BO28" s="73">
        <v>46207.529861111114</v>
      </c>
      <c r="BP28">
        <v>1632.4</v>
      </c>
      <c r="BQ28" t="s">
        <v>46</v>
      </c>
    </row>
    <row r="29" spans="1:69" x14ac:dyDescent="0.35">
      <c r="A29" t="s">
        <v>27</v>
      </c>
      <c r="C29" s="80">
        <v>46208</v>
      </c>
      <c r="D29" t="s">
        <v>2112</v>
      </c>
      <c r="E29" t="s">
        <v>2033</v>
      </c>
      <c r="F29" t="s">
        <v>1119</v>
      </c>
      <c r="G29" t="s">
        <v>2034</v>
      </c>
      <c r="H29" t="s">
        <v>2035</v>
      </c>
      <c r="I29">
        <v>0</v>
      </c>
      <c r="J29">
        <v>621</v>
      </c>
      <c r="K29" t="s">
        <v>1289</v>
      </c>
      <c r="L29">
        <v>621</v>
      </c>
      <c r="M29">
        <v>0</v>
      </c>
      <c r="N29">
        <v>621</v>
      </c>
      <c r="O29" t="s">
        <v>2036</v>
      </c>
      <c r="P29" t="s">
        <v>138</v>
      </c>
      <c r="Q29" t="s">
        <v>138</v>
      </c>
      <c r="R29" t="s">
        <v>2113</v>
      </c>
      <c r="S29" s="71">
        <v>46207</v>
      </c>
      <c r="T29" t="s">
        <v>2038</v>
      </c>
      <c r="U29" t="s">
        <v>2039</v>
      </c>
      <c r="V29" t="s">
        <v>2114</v>
      </c>
      <c r="W29">
        <v>31</v>
      </c>
      <c r="X29">
        <v>0</v>
      </c>
      <c r="Y29" t="s">
        <v>2113</v>
      </c>
      <c r="Z29" s="71">
        <v>46207</v>
      </c>
      <c r="AA29" t="s">
        <v>2117</v>
      </c>
      <c r="AB29" t="s">
        <v>2042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s">
        <v>2044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-261401.8</v>
      </c>
      <c r="AS29">
        <v>0</v>
      </c>
      <c r="AT29">
        <v>0</v>
      </c>
      <c r="AU29" t="s">
        <v>36</v>
      </c>
      <c r="AV29" t="s">
        <v>1117</v>
      </c>
      <c r="AW29" t="s">
        <v>44</v>
      </c>
      <c r="AX29" t="s">
        <v>36</v>
      </c>
      <c r="AY29" t="s">
        <v>2045</v>
      </c>
      <c r="AZ29">
        <v>0</v>
      </c>
      <c r="BA29">
        <v>0</v>
      </c>
      <c r="BB29" t="s">
        <v>2116</v>
      </c>
      <c r="BC29" s="71">
        <v>46208</v>
      </c>
      <c r="BD29" t="s">
        <v>135</v>
      </c>
      <c r="BE29" t="s">
        <v>2047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622140021491</v>
      </c>
      <c r="BO29" s="73">
        <v>46207.529861111114</v>
      </c>
      <c r="BP29">
        <v>621</v>
      </c>
      <c r="BQ29" t="s">
        <v>44</v>
      </c>
    </row>
    <row r="30" spans="1:69" x14ac:dyDescent="0.35">
      <c r="A30" t="s">
        <v>27</v>
      </c>
      <c r="C30" s="80">
        <v>46208</v>
      </c>
      <c r="D30" t="s">
        <v>2112</v>
      </c>
      <c r="E30" t="s">
        <v>2033</v>
      </c>
      <c r="F30" t="s">
        <v>1119</v>
      </c>
      <c r="G30" t="s">
        <v>2034</v>
      </c>
      <c r="H30" t="s">
        <v>2035</v>
      </c>
      <c r="I30">
        <v>0</v>
      </c>
      <c r="J30">
        <v>1190</v>
      </c>
      <c r="K30" t="s">
        <v>1289</v>
      </c>
      <c r="L30">
        <v>1190</v>
      </c>
      <c r="M30">
        <v>0</v>
      </c>
      <c r="N30">
        <v>1190</v>
      </c>
      <c r="O30" t="s">
        <v>2036</v>
      </c>
      <c r="P30" t="s">
        <v>138</v>
      </c>
      <c r="Q30" t="s">
        <v>138</v>
      </c>
      <c r="R30" t="s">
        <v>2113</v>
      </c>
      <c r="S30" s="71">
        <v>46207</v>
      </c>
      <c r="T30" t="s">
        <v>2038</v>
      </c>
      <c r="U30" t="s">
        <v>2039</v>
      </c>
      <c r="V30" t="s">
        <v>2114</v>
      </c>
      <c r="W30">
        <v>25</v>
      </c>
      <c r="X30">
        <v>0</v>
      </c>
      <c r="Y30" t="s">
        <v>2113</v>
      </c>
      <c r="Z30" s="71">
        <v>46207</v>
      </c>
      <c r="AA30" t="s">
        <v>2118</v>
      </c>
      <c r="AB30" t="s">
        <v>2042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s">
        <v>2044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-261401.8</v>
      </c>
      <c r="AS30">
        <v>0</v>
      </c>
      <c r="AT30">
        <v>0</v>
      </c>
      <c r="AU30" t="s">
        <v>36</v>
      </c>
      <c r="AV30" t="s">
        <v>1117</v>
      </c>
      <c r="AW30" t="s">
        <v>44</v>
      </c>
      <c r="AX30" t="s">
        <v>36</v>
      </c>
      <c r="AY30" t="s">
        <v>2045</v>
      </c>
      <c r="AZ30">
        <v>0</v>
      </c>
      <c r="BA30">
        <v>0</v>
      </c>
      <c r="BB30" t="s">
        <v>2116</v>
      </c>
      <c r="BC30" s="71">
        <v>46208</v>
      </c>
      <c r="BD30" t="s">
        <v>135</v>
      </c>
      <c r="BE30" t="s">
        <v>2047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622140021491</v>
      </c>
      <c r="BO30" s="73">
        <v>46207.529861111114</v>
      </c>
      <c r="BP30">
        <v>1190</v>
      </c>
      <c r="BQ30" t="s">
        <v>44</v>
      </c>
    </row>
    <row r="31" spans="1:69" x14ac:dyDescent="0.35">
      <c r="A31" t="s">
        <v>27</v>
      </c>
      <c r="C31" s="80">
        <v>46208</v>
      </c>
      <c r="D31" t="s">
        <v>2112</v>
      </c>
      <c r="E31" t="s">
        <v>2033</v>
      </c>
      <c r="F31" t="s">
        <v>1119</v>
      </c>
      <c r="G31" t="s">
        <v>2034</v>
      </c>
      <c r="H31" t="s">
        <v>2035</v>
      </c>
      <c r="I31">
        <v>0</v>
      </c>
      <c r="J31">
        <v>2371</v>
      </c>
      <c r="K31" t="s">
        <v>1289</v>
      </c>
      <c r="L31">
        <v>2371</v>
      </c>
      <c r="M31">
        <v>0</v>
      </c>
      <c r="N31">
        <v>2371</v>
      </c>
      <c r="O31" t="s">
        <v>2036</v>
      </c>
      <c r="P31" t="s">
        <v>138</v>
      </c>
      <c r="Q31" t="s">
        <v>138</v>
      </c>
      <c r="R31" t="s">
        <v>2113</v>
      </c>
      <c r="S31" s="71">
        <v>46207</v>
      </c>
      <c r="T31" t="s">
        <v>2038</v>
      </c>
      <c r="U31" t="s">
        <v>2039</v>
      </c>
      <c r="V31" t="s">
        <v>2114</v>
      </c>
      <c r="W31">
        <v>28</v>
      </c>
      <c r="X31">
        <v>0</v>
      </c>
      <c r="Y31" t="s">
        <v>2113</v>
      </c>
      <c r="Z31" s="71">
        <v>46207</v>
      </c>
      <c r="AA31" t="s">
        <v>2119</v>
      </c>
      <c r="AB31" t="s">
        <v>2042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s">
        <v>2044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-261401.8</v>
      </c>
      <c r="AS31">
        <v>0</v>
      </c>
      <c r="AT31">
        <v>0</v>
      </c>
      <c r="AU31" t="s">
        <v>36</v>
      </c>
      <c r="AV31" t="s">
        <v>1117</v>
      </c>
      <c r="AW31" t="s">
        <v>44</v>
      </c>
      <c r="AX31" t="s">
        <v>36</v>
      </c>
      <c r="AY31" t="s">
        <v>2045</v>
      </c>
      <c r="AZ31">
        <v>0</v>
      </c>
      <c r="BA31">
        <v>0</v>
      </c>
      <c r="BB31" t="s">
        <v>2116</v>
      </c>
      <c r="BC31" s="71">
        <v>46208</v>
      </c>
      <c r="BD31" t="s">
        <v>135</v>
      </c>
      <c r="BE31" t="s">
        <v>2047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622140021491</v>
      </c>
      <c r="BO31" s="73">
        <v>46207.529861111114</v>
      </c>
      <c r="BP31">
        <v>2371</v>
      </c>
      <c r="BQ31" t="s">
        <v>44</v>
      </c>
    </row>
    <row r="32" spans="1:69" x14ac:dyDescent="0.35">
      <c r="A32" t="s">
        <v>27</v>
      </c>
      <c r="C32" s="80">
        <v>46208</v>
      </c>
      <c r="D32" t="s">
        <v>2112</v>
      </c>
      <c r="E32" t="s">
        <v>2033</v>
      </c>
      <c r="F32" t="s">
        <v>1119</v>
      </c>
      <c r="G32" t="s">
        <v>2034</v>
      </c>
      <c r="H32" t="s">
        <v>2035</v>
      </c>
      <c r="I32">
        <v>0</v>
      </c>
      <c r="J32">
        <v>355</v>
      </c>
      <c r="K32" t="s">
        <v>1289</v>
      </c>
      <c r="L32">
        <v>355</v>
      </c>
      <c r="M32">
        <v>0</v>
      </c>
      <c r="N32">
        <v>355</v>
      </c>
      <c r="O32" t="s">
        <v>2036</v>
      </c>
      <c r="P32" t="s">
        <v>138</v>
      </c>
      <c r="Q32" t="s">
        <v>138</v>
      </c>
      <c r="R32" t="s">
        <v>2113</v>
      </c>
      <c r="S32" s="71">
        <v>46207</v>
      </c>
      <c r="T32" t="s">
        <v>2038</v>
      </c>
      <c r="U32" t="s">
        <v>2039</v>
      </c>
      <c r="V32" t="s">
        <v>2114</v>
      </c>
      <c r="W32">
        <v>26</v>
      </c>
      <c r="X32">
        <v>0</v>
      </c>
      <c r="Y32" t="s">
        <v>2113</v>
      </c>
      <c r="Z32" s="71">
        <v>46207</v>
      </c>
      <c r="AA32" t="s">
        <v>2120</v>
      </c>
      <c r="AB32" t="s">
        <v>2042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 t="s">
        <v>2044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-261401.8</v>
      </c>
      <c r="AS32">
        <v>0</v>
      </c>
      <c r="AT32">
        <v>0</v>
      </c>
      <c r="AU32" t="s">
        <v>36</v>
      </c>
      <c r="AV32" t="s">
        <v>1117</v>
      </c>
      <c r="AW32" t="s">
        <v>44</v>
      </c>
      <c r="AX32" t="s">
        <v>36</v>
      </c>
      <c r="AY32" t="s">
        <v>2045</v>
      </c>
      <c r="AZ32">
        <v>0</v>
      </c>
      <c r="BA32">
        <v>0</v>
      </c>
      <c r="BB32" t="s">
        <v>2116</v>
      </c>
      <c r="BC32" s="71">
        <v>46208</v>
      </c>
      <c r="BD32" t="s">
        <v>135</v>
      </c>
      <c r="BE32" t="s">
        <v>2047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622140021491</v>
      </c>
      <c r="BO32" s="73">
        <v>46207.529861111114</v>
      </c>
      <c r="BP32">
        <v>355</v>
      </c>
      <c r="BQ32" t="s">
        <v>44</v>
      </c>
    </row>
    <row r="33" spans="1:69" x14ac:dyDescent="0.35">
      <c r="A33" t="s">
        <v>27</v>
      </c>
      <c r="C33" s="80">
        <v>46208</v>
      </c>
      <c r="D33" t="s">
        <v>2112</v>
      </c>
      <c r="E33" t="s">
        <v>2033</v>
      </c>
      <c r="F33" t="s">
        <v>1119</v>
      </c>
      <c r="G33" t="s">
        <v>2034</v>
      </c>
      <c r="H33" t="s">
        <v>2035</v>
      </c>
      <c r="I33">
        <v>0</v>
      </c>
      <c r="J33">
        <v>1396</v>
      </c>
      <c r="K33" t="s">
        <v>1289</v>
      </c>
      <c r="L33">
        <v>1396</v>
      </c>
      <c r="M33">
        <v>0</v>
      </c>
      <c r="N33">
        <v>1396</v>
      </c>
      <c r="O33" t="s">
        <v>2036</v>
      </c>
      <c r="P33" t="s">
        <v>138</v>
      </c>
      <c r="Q33" t="s">
        <v>138</v>
      </c>
      <c r="R33" t="s">
        <v>2113</v>
      </c>
      <c r="S33" s="71">
        <v>46207</v>
      </c>
      <c r="T33" t="s">
        <v>2038</v>
      </c>
      <c r="U33" t="s">
        <v>2039</v>
      </c>
      <c r="V33" t="s">
        <v>2114</v>
      </c>
      <c r="W33">
        <v>20</v>
      </c>
      <c r="X33">
        <v>0</v>
      </c>
      <c r="Y33" t="s">
        <v>2113</v>
      </c>
      <c r="Z33" s="71">
        <v>46207</v>
      </c>
      <c r="AA33" t="s">
        <v>2121</v>
      </c>
      <c r="AB33" t="s">
        <v>2042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t="s">
        <v>2044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-261401.8</v>
      </c>
      <c r="AS33">
        <v>0</v>
      </c>
      <c r="AT33">
        <v>0</v>
      </c>
      <c r="AU33" t="s">
        <v>36</v>
      </c>
      <c r="AV33" t="s">
        <v>1117</v>
      </c>
      <c r="AW33" t="s">
        <v>44</v>
      </c>
      <c r="AX33" t="s">
        <v>36</v>
      </c>
      <c r="AY33" t="s">
        <v>2045</v>
      </c>
      <c r="AZ33">
        <v>0</v>
      </c>
      <c r="BA33">
        <v>0</v>
      </c>
      <c r="BB33" t="s">
        <v>2116</v>
      </c>
      <c r="BC33" s="71">
        <v>46208</v>
      </c>
      <c r="BD33" t="s">
        <v>135</v>
      </c>
      <c r="BE33" t="s">
        <v>2047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622140021491</v>
      </c>
      <c r="BO33" s="73">
        <v>46207.529861111114</v>
      </c>
      <c r="BP33">
        <v>1396</v>
      </c>
      <c r="BQ33" t="s">
        <v>44</v>
      </c>
    </row>
    <row r="34" spans="1:69" x14ac:dyDescent="0.35">
      <c r="A34" t="s">
        <v>27</v>
      </c>
      <c r="C34" s="80">
        <v>46208</v>
      </c>
      <c r="D34" t="s">
        <v>2112</v>
      </c>
      <c r="E34" t="s">
        <v>2033</v>
      </c>
      <c r="F34" t="s">
        <v>1119</v>
      </c>
      <c r="G34" t="s">
        <v>2034</v>
      </c>
      <c r="H34" t="s">
        <v>2035</v>
      </c>
      <c r="I34">
        <v>0</v>
      </c>
      <c r="J34">
        <v>2462</v>
      </c>
      <c r="K34" t="s">
        <v>1289</v>
      </c>
      <c r="L34">
        <v>2462</v>
      </c>
      <c r="M34">
        <v>0</v>
      </c>
      <c r="N34">
        <v>2462</v>
      </c>
      <c r="O34" t="s">
        <v>2036</v>
      </c>
      <c r="P34" t="s">
        <v>138</v>
      </c>
      <c r="Q34" t="s">
        <v>138</v>
      </c>
      <c r="R34" t="s">
        <v>2113</v>
      </c>
      <c r="S34" s="71">
        <v>46207</v>
      </c>
      <c r="T34" t="s">
        <v>2038</v>
      </c>
      <c r="U34" t="s">
        <v>2039</v>
      </c>
      <c r="V34" t="s">
        <v>2114</v>
      </c>
      <c r="W34">
        <v>23</v>
      </c>
      <c r="X34">
        <v>0</v>
      </c>
      <c r="Y34" t="s">
        <v>2113</v>
      </c>
      <c r="Z34" s="71">
        <v>46207</v>
      </c>
      <c r="AA34" t="s">
        <v>2122</v>
      </c>
      <c r="AB34" t="s">
        <v>2042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t="s">
        <v>2044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-261401.8</v>
      </c>
      <c r="AS34">
        <v>0</v>
      </c>
      <c r="AT34">
        <v>0</v>
      </c>
      <c r="AU34" t="s">
        <v>36</v>
      </c>
      <c r="AV34" t="s">
        <v>1117</v>
      </c>
      <c r="AW34" t="s">
        <v>44</v>
      </c>
      <c r="AX34" t="s">
        <v>36</v>
      </c>
      <c r="AY34" t="s">
        <v>2045</v>
      </c>
      <c r="AZ34">
        <v>0</v>
      </c>
      <c r="BA34">
        <v>0</v>
      </c>
      <c r="BB34" t="s">
        <v>2116</v>
      </c>
      <c r="BC34" s="71">
        <v>46208</v>
      </c>
      <c r="BD34" t="s">
        <v>135</v>
      </c>
      <c r="BE34" t="s">
        <v>2047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622140021491</v>
      </c>
      <c r="BO34" s="73">
        <v>46207.529861111114</v>
      </c>
      <c r="BP34">
        <v>2462</v>
      </c>
      <c r="BQ34" t="s">
        <v>44</v>
      </c>
    </row>
    <row r="35" spans="1:69" x14ac:dyDescent="0.35">
      <c r="A35" t="s">
        <v>27</v>
      </c>
      <c r="C35" s="80">
        <v>46209</v>
      </c>
      <c r="D35" t="s">
        <v>2123</v>
      </c>
      <c r="E35" t="s">
        <v>2033</v>
      </c>
      <c r="F35" t="s">
        <v>1119</v>
      </c>
      <c r="G35" t="s">
        <v>2034</v>
      </c>
      <c r="H35" t="s">
        <v>2035</v>
      </c>
      <c r="I35">
        <v>0</v>
      </c>
      <c r="J35">
        <v>641</v>
      </c>
      <c r="K35" t="s">
        <v>1289</v>
      </c>
      <c r="L35">
        <v>641</v>
      </c>
      <c r="M35">
        <v>0</v>
      </c>
      <c r="N35">
        <v>641</v>
      </c>
      <c r="O35" t="s">
        <v>2124</v>
      </c>
      <c r="P35" t="s">
        <v>138</v>
      </c>
      <c r="Q35" t="s">
        <v>138</v>
      </c>
      <c r="R35" t="s">
        <v>2125</v>
      </c>
      <c r="S35" s="71">
        <v>46208</v>
      </c>
      <c r="T35" t="s">
        <v>2038</v>
      </c>
      <c r="U35" t="s">
        <v>2039</v>
      </c>
      <c r="V35" t="s">
        <v>2126</v>
      </c>
      <c r="W35">
        <v>31</v>
      </c>
      <c r="X35">
        <v>0</v>
      </c>
      <c r="Y35" t="s">
        <v>2125</v>
      </c>
      <c r="Z35" s="71">
        <v>46208</v>
      </c>
      <c r="AA35" t="s">
        <v>2127</v>
      </c>
      <c r="AB35" t="s">
        <v>2042</v>
      </c>
      <c r="AD35" t="s">
        <v>2082</v>
      </c>
      <c r="AE35">
        <v>3915</v>
      </c>
      <c r="AF35">
        <v>0</v>
      </c>
      <c r="AG35">
        <v>0</v>
      </c>
      <c r="AH35">
        <v>0</v>
      </c>
      <c r="AI35">
        <v>0</v>
      </c>
      <c r="AJ35">
        <v>0</v>
      </c>
      <c r="AK35" t="s">
        <v>2044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-80636</v>
      </c>
      <c r="AS35">
        <v>0</v>
      </c>
      <c r="AT35">
        <v>0</v>
      </c>
      <c r="AU35" t="s">
        <v>36</v>
      </c>
      <c r="AV35" t="s">
        <v>1117</v>
      </c>
      <c r="AW35" t="s">
        <v>44</v>
      </c>
      <c r="AX35" t="s">
        <v>36</v>
      </c>
      <c r="AY35" t="s">
        <v>2045</v>
      </c>
      <c r="AZ35">
        <v>0</v>
      </c>
      <c r="BA35">
        <v>0</v>
      </c>
      <c r="BB35" t="s">
        <v>2128</v>
      </c>
      <c r="BC35" s="71">
        <v>46209</v>
      </c>
      <c r="BD35" t="s">
        <v>135</v>
      </c>
      <c r="BE35" t="s">
        <v>2047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642140302587</v>
      </c>
      <c r="BO35" s="73">
        <v>46208.691666666666</v>
      </c>
      <c r="BP35">
        <v>641</v>
      </c>
      <c r="BQ35" t="s">
        <v>44</v>
      </c>
    </row>
    <row r="36" spans="1:69" x14ac:dyDescent="0.35">
      <c r="A36" t="s">
        <v>27</v>
      </c>
      <c r="C36" s="80">
        <v>46209</v>
      </c>
      <c r="D36" t="s">
        <v>2123</v>
      </c>
      <c r="E36" t="s">
        <v>2033</v>
      </c>
      <c r="F36" t="s">
        <v>1119</v>
      </c>
      <c r="G36" t="s">
        <v>2034</v>
      </c>
      <c r="H36" t="s">
        <v>2035</v>
      </c>
      <c r="I36">
        <v>0</v>
      </c>
      <c r="J36">
        <v>2085</v>
      </c>
      <c r="K36" t="s">
        <v>1289</v>
      </c>
      <c r="L36">
        <v>2085</v>
      </c>
      <c r="M36">
        <v>0</v>
      </c>
      <c r="N36">
        <v>2085</v>
      </c>
      <c r="O36" t="s">
        <v>2124</v>
      </c>
      <c r="P36" t="s">
        <v>138</v>
      </c>
      <c r="Q36" t="s">
        <v>138</v>
      </c>
      <c r="R36" t="s">
        <v>2125</v>
      </c>
      <c r="S36" s="71">
        <v>46208</v>
      </c>
      <c r="T36" t="s">
        <v>2038</v>
      </c>
      <c r="U36" t="s">
        <v>2039</v>
      </c>
      <c r="V36" t="s">
        <v>2126</v>
      </c>
      <c r="W36">
        <v>25</v>
      </c>
      <c r="X36">
        <v>0</v>
      </c>
      <c r="Y36" t="s">
        <v>2125</v>
      </c>
      <c r="Z36" s="71">
        <v>46208</v>
      </c>
      <c r="AA36" t="s">
        <v>2129</v>
      </c>
      <c r="AB36" t="s">
        <v>2042</v>
      </c>
      <c r="AD36" t="s">
        <v>2082</v>
      </c>
      <c r="AE36">
        <v>3915</v>
      </c>
      <c r="AF36">
        <v>0</v>
      </c>
      <c r="AG36">
        <v>0</v>
      </c>
      <c r="AH36">
        <v>0</v>
      </c>
      <c r="AI36">
        <v>0</v>
      </c>
      <c r="AJ36">
        <v>0</v>
      </c>
      <c r="AK36" t="s">
        <v>2044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-80636</v>
      </c>
      <c r="AS36">
        <v>0</v>
      </c>
      <c r="AT36">
        <v>0</v>
      </c>
      <c r="AU36" t="s">
        <v>36</v>
      </c>
      <c r="AV36" t="s">
        <v>1117</v>
      </c>
      <c r="AW36" t="s">
        <v>44</v>
      </c>
      <c r="AX36" t="s">
        <v>36</v>
      </c>
      <c r="AY36" t="s">
        <v>2045</v>
      </c>
      <c r="AZ36">
        <v>0</v>
      </c>
      <c r="BA36">
        <v>0</v>
      </c>
      <c r="BB36" t="s">
        <v>2128</v>
      </c>
      <c r="BC36" s="71">
        <v>46209</v>
      </c>
      <c r="BD36" t="s">
        <v>135</v>
      </c>
      <c r="BE36" t="s">
        <v>2047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642140302587</v>
      </c>
      <c r="BO36" s="73">
        <v>46208.691666666666</v>
      </c>
      <c r="BP36">
        <v>2085</v>
      </c>
      <c r="BQ36" t="s">
        <v>44</v>
      </c>
    </row>
    <row r="37" spans="1:69" x14ac:dyDescent="0.35">
      <c r="A37" t="s">
        <v>27</v>
      </c>
      <c r="C37" s="80">
        <v>46209</v>
      </c>
      <c r="D37" t="s">
        <v>2123</v>
      </c>
      <c r="E37" t="s">
        <v>2033</v>
      </c>
      <c r="F37" t="s">
        <v>1119</v>
      </c>
      <c r="G37" t="s">
        <v>2034</v>
      </c>
      <c r="H37" t="s">
        <v>2035</v>
      </c>
      <c r="I37">
        <v>0</v>
      </c>
      <c r="J37">
        <v>432</v>
      </c>
      <c r="K37" t="s">
        <v>1289</v>
      </c>
      <c r="L37">
        <v>432</v>
      </c>
      <c r="M37">
        <v>0</v>
      </c>
      <c r="N37">
        <v>432</v>
      </c>
      <c r="O37" t="s">
        <v>2124</v>
      </c>
      <c r="P37" t="s">
        <v>138</v>
      </c>
      <c r="Q37" t="s">
        <v>138</v>
      </c>
      <c r="R37" t="s">
        <v>2125</v>
      </c>
      <c r="S37" s="71">
        <v>46208</v>
      </c>
      <c r="T37" t="s">
        <v>2038</v>
      </c>
      <c r="U37" t="s">
        <v>2039</v>
      </c>
      <c r="V37" t="s">
        <v>2126</v>
      </c>
      <c r="W37">
        <v>20</v>
      </c>
      <c r="X37">
        <v>0</v>
      </c>
      <c r="Y37" t="s">
        <v>2125</v>
      </c>
      <c r="Z37" s="71">
        <v>46208</v>
      </c>
      <c r="AA37" t="s">
        <v>2130</v>
      </c>
      <c r="AB37" t="s">
        <v>2042</v>
      </c>
      <c r="AD37" t="s">
        <v>2082</v>
      </c>
      <c r="AE37">
        <v>3915</v>
      </c>
      <c r="AF37">
        <v>0</v>
      </c>
      <c r="AG37">
        <v>0</v>
      </c>
      <c r="AH37">
        <v>0</v>
      </c>
      <c r="AI37">
        <v>0</v>
      </c>
      <c r="AJ37">
        <v>0</v>
      </c>
      <c r="AK37" t="s">
        <v>2044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-80636</v>
      </c>
      <c r="AS37">
        <v>0</v>
      </c>
      <c r="AT37">
        <v>0</v>
      </c>
      <c r="AU37" t="s">
        <v>36</v>
      </c>
      <c r="AV37" t="s">
        <v>1117</v>
      </c>
      <c r="AW37" t="s">
        <v>44</v>
      </c>
      <c r="AX37" t="s">
        <v>36</v>
      </c>
      <c r="AY37" t="s">
        <v>2045</v>
      </c>
      <c r="AZ37">
        <v>0</v>
      </c>
      <c r="BA37">
        <v>0</v>
      </c>
      <c r="BB37" t="s">
        <v>2128</v>
      </c>
      <c r="BC37" s="71">
        <v>46209</v>
      </c>
      <c r="BD37" t="s">
        <v>135</v>
      </c>
      <c r="BE37" t="s">
        <v>2047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642140302587</v>
      </c>
      <c r="BO37" s="73">
        <v>46208.691666666666</v>
      </c>
      <c r="BP37">
        <v>432</v>
      </c>
      <c r="BQ37" t="s">
        <v>44</v>
      </c>
    </row>
    <row r="38" spans="1:69" x14ac:dyDescent="0.35">
      <c r="A38" t="s">
        <v>27</v>
      </c>
      <c r="C38" s="80">
        <v>46210</v>
      </c>
      <c r="D38" t="s">
        <v>2131</v>
      </c>
      <c r="E38" t="s">
        <v>2033</v>
      </c>
      <c r="F38" t="s">
        <v>1119</v>
      </c>
      <c r="G38" t="s">
        <v>2034</v>
      </c>
      <c r="H38" t="s">
        <v>2035</v>
      </c>
      <c r="I38">
        <v>0</v>
      </c>
      <c r="J38">
        <v>1148</v>
      </c>
      <c r="K38" t="s">
        <v>1289</v>
      </c>
      <c r="L38">
        <v>1148</v>
      </c>
      <c r="M38">
        <v>0</v>
      </c>
      <c r="N38">
        <v>1148</v>
      </c>
      <c r="O38" t="s">
        <v>2132</v>
      </c>
      <c r="P38" t="s">
        <v>138</v>
      </c>
      <c r="Q38" t="s">
        <v>138</v>
      </c>
      <c r="R38" t="s">
        <v>2133</v>
      </c>
      <c r="S38" s="71">
        <v>46210</v>
      </c>
      <c r="T38" t="s">
        <v>2038</v>
      </c>
      <c r="U38" t="s">
        <v>2039</v>
      </c>
      <c r="V38" t="s">
        <v>2134</v>
      </c>
      <c r="W38">
        <v>31</v>
      </c>
      <c r="X38">
        <v>0</v>
      </c>
      <c r="Y38" t="s">
        <v>2133</v>
      </c>
      <c r="Z38" s="71">
        <v>46210</v>
      </c>
      <c r="AA38" t="s">
        <v>2135</v>
      </c>
      <c r="AB38" t="s">
        <v>2042</v>
      </c>
      <c r="AD38" t="s">
        <v>1139</v>
      </c>
      <c r="AE38" t="s">
        <v>1139</v>
      </c>
      <c r="AF38">
        <v>0</v>
      </c>
      <c r="AG38">
        <v>0</v>
      </c>
      <c r="AH38">
        <v>0</v>
      </c>
      <c r="AI38">
        <v>0</v>
      </c>
      <c r="AJ38">
        <v>0</v>
      </c>
      <c r="AK38" t="s">
        <v>2044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-154429</v>
      </c>
      <c r="AS38">
        <v>0</v>
      </c>
      <c r="AT38">
        <v>0</v>
      </c>
      <c r="AU38" t="s">
        <v>36</v>
      </c>
      <c r="AV38" t="s">
        <v>1117</v>
      </c>
      <c r="AW38" t="s">
        <v>44</v>
      </c>
      <c r="AX38" t="s">
        <v>36</v>
      </c>
      <c r="AY38" t="s">
        <v>2045</v>
      </c>
      <c r="AZ38">
        <v>0</v>
      </c>
      <c r="BA38">
        <v>0</v>
      </c>
      <c r="BB38" t="s">
        <v>2136</v>
      </c>
      <c r="BC38" s="71">
        <v>46210</v>
      </c>
      <c r="BD38" t="s">
        <v>135</v>
      </c>
      <c r="BE38" t="s">
        <v>2047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652140822215</v>
      </c>
      <c r="BO38" s="73">
        <v>46209.628472222219</v>
      </c>
      <c r="BP38">
        <v>1148</v>
      </c>
      <c r="BQ38" t="s">
        <v>44</v>
      </c>
    </row>
    <row r="39" spans="1:69" x14ac:dyDescent="0.35">
      <c r="A39" t="s">
        <v>27</v>
      </c>
      <c r="C39" s="80">
        <v>46210</v>
      </c>
      <c r="D39" t="s">
        <v>2131</v>
      </c>
      <c r="E39" t="s">
        <v>2033</v>
      </c>
      <c r="F39" t="s">
        <v>1119</v>
      </c>
      <c r="G39" t="s">
        <v>2034</v>
      </c>
      <c r="H39" t="s">
        <v>2035</v>
      </c>
      <c r="I39">
        <v>0</v>
      </c>
      <c r="J39">
        <v>2627</v>
      </c>
      <c r="K39" t="s">
        <v>1289</v>
      </c>
      <c r="L39">
        <v>2627</v>
      </c>
      <c r="M39">
        <v>0</v>
      </c>
      <c r="N39">
        <v>2627</v>
      </c>
      <c r="O39" t="s">
        <v>2132</v>
      </c>
      <c r="P39" t="s">
        <v>138</v>
      </c>
      <c r="Q39" t="s">
        <v>138</v>
      </c>
      <c r="R39" t="s">
        <v>2133</v>
      </c>
      <c r="S39" s="71">
        <v>46210</v>
      </c>
      <c r="T39" t="s">
        <v>2038</v>
      </c>
      <c r="U39" t="s">
        <v>2039</v>
      </c>
      <c r="V39" t="s">
        <v>2134</v>
      </c>
      <c r="W39">
        <v>25</v>
      </c>
      <c r="X39">
        <v>0</v>
      </c>
      <c r="Y39" t="s">
        <v>2133</v>
      </c>
      <c r="Z39" s="71">
        <v>46210</v>
      </c>
      <c r="AA39" t="s">
        <v>2137</v>
      </c>
      <c r="AB39" t="s">
        <v>2042</v>
      </c>
      <c r="AD39" t="s">
        <v>1139</v>
      </c>
      <c r="AE39" t="s">
        <v>1139</v>
      </c>
      <c r="AF39">
        <v>0</v>
      </c>
      <c r="AG39">
        <v>0</v>
      </c>
      <c r="AH39">
        <v>0</v>
      </c>
      <c r="AI39">
        <v>0</v>
      </c>
      <c r="AJ39">
        <v>0</v>
      </c>
      <c r="AK39" t="s">
        <v>2044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-154429</v>
      </c>
      <c r="AS39">
        <v>0</v>
      </c>
      <c r="AT39">
        <v>0</v>
      </c>
      <c r="AU39" t="s">
        <v>36</v>
      </c>
      <c r="AV39" t="s">
        <v>1117</v>
      </c>
      <c r="AW39" t="s">
        <v>44</v>
      </c>
      <c r="AX39" t="s">
        <v>36</v>
      </c>
      <c r="AY39" t="s">
        <v>2045</v>
      </c>
      <c r="AZ39">
        <v>0</v>
      </c>
      <c r="BA39">
        <v>0</v>
      </c>
      <c r="BB39" t="s">
        <v>2136</v>
      </c>
      <c r="BC39" s="71">
        <v>46210</v>
      </c>
      <c r="BD39" t="s">
        <v>135</v>
      </c>
      <c r="BE39" t="s">
        <v>2047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652140822215</v>
      </c>
      <c r="BO39" s="73">
        <v>46209.628472222219</v>
      </c>
      <c r="BP39">
        <v>2627</v>
      </c>
      <c r="BQ39" t="s">
        <v>44</v>
      </c>
    </row>
    <row r="40" spans="1:69" x14ac:dyDescent="0.35">
      <c r="A40" t="s">
        <v>27</v>
      </c>
      <c r="C40" s="80">
        <v>46210</v>
      </c>
      <c r="D40" t="s">
        <v>2131</v>
      </c>
      <c r="E40" t="s">
        <v>2033</v>
      </c>
      <c r="F40" t="s">
        <v>1119</v>
      </c>
      <c r="G40" t="s">
        <v>2034</v>
      </c>
      <c r="H40" t="s">
        <v>2035</v>
      </c>
      <c r="I40">
        <v>0</v>
      </c>
      <c r="J40">
        <v>353</v>
      </c>
      <c r="K40" t="s">
        <v>1289</v>
      </c>
      <c r="L40">
        <v>353</v>
      </c>
      <c r="M40">
        <v>0</v>
      </c>
      <c r="N40">
        <v>353</v>
      </c>
      <c r="O40" t="s">
        <v>2132</v>
      </c>
      <c r="P40" t="s">
        <v>138</v>
      </c>
      <c r="Q40" t="s">
        <v>138</v>
      </c>
      <c r="R40" t="s">
        <v>2133</v>
      </c>
      <c r="S40" s="71">
        <v>46210</v>
      </c>
      <c r="T40" t="s">
        <v>2038</v>
      </c>
      <c r="U40" t="s">
        <v>2039</v>
      </c>
      <c r="V40" t="s">
        <v>2134</v>
      </c>
      <c r="W40">
        <v>26</v>
      </c>
      <c r="X40">
        <v>0</v>
      </c>
      <c r="Y40" t="s">
        <v>2133</v>
      </c>
      <c r="Z40" s="71">
        <v>46210</v>
      </c>
      <c r="AA40" t="s">
        <v>2138</v>
      </c>
      <c r="AB40" t="s">
        <v>2042</v>
      </c>
      <c r="AD40" t="s">
        <v>1139</v>
      </c>
      <c r="AE40" t="s">
        <v>1139</v>
      </c>
      <c r="AF40">
        <v>0</v>
      </c>
      <c r="AG40">
        <v>0</v>
      </c>
      <c r="AH40">
        <v>0</v>
      </c>
      <c r="AI40">
        <v>0</v>
      </c>
      <c r="AJ40">
        <v>0</v>
      </c>
      <c r="AK40" t="s">
        <v>2044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-154429</v>
      </c>
      <c r="AS40">
        <v>0</v>
      </c>
      <c r="AT40">
        <v>0</v>
      </c>
      <c r="AU40" t="s">
        <v>36</v>
      </c>
      <c r="AV40" t="s">
        <v>1117</v>
      </c>
      <c r="AW40" t="s">
        <v>44</v>
      </c>
      <c r="AX40" t="s">
        <v>36</v>
      </c>
      <c r="AY40" t="s">
        <v>2045</v>
      </c>
      <c r="AZ40">
        <v>0</v>
      </c>
      <c r="BA40">
        <v>0</v>
      </c>
      <c r="BB40" t="s">
        <v>2136</v>
      </c>
      <c r="BC40" s="71">
        <v>46210</v>
      </c>
      <c r="BD40" t="s">
        <v>135</v>
      </c>
      <c r="BE40" t="s">
        <v>2047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652140822215</v>
      </c>
      <c r="BO40" s="73">
        <v>46209.628472222219</v>
      </c>
      <c r="BP40">
        <v>353</v>
      </c>
      <c r="BQ40" t="s">
        <v>44</v>
      </c>
    </row>
    <row r="41" spans="1:69" x14ac:dyDescent="0.35">
      <c r="A41" t="s">
        <v>27</v>
      </c>
      <c r="C41" s="80">
        <v>46210</v>
      </c>
      <c r="D41" t="s">
        <v>2131</v>
      </c>
      <c r="E41" t="s">
        <v>2033</v>
      </c>
      <c r="F41" t="s">
        <v>1119</v>
      </c>
      <c r="G41" t="s">
        <v>2034</v>
      </c>
      <c r="H41" t="s">
        <v>2035</v>
      </c>
      <c r="I41">
        <v>0</v>
      </c>
      <c r="J41">
        <v>985</v>
      </c>
      <c r="K41" t="s">
        <v>1289</v>
      </c>
      <c r="L41">
        <v>985</v>
      </c>
      <c r="M41">
        <v>0</v>
      </c>
      <c r="N41">
        <v>985</v>
      </c>
      <c r="O41" t="s">
        <v>2132</v>
      </c>
      <c r="P41" t="s">
        <v>138</v>
      </c>
      <c r="Q41" t="s">
        <v>138</v>
      </c>
      <c r="R41" t="s">
        <v>2133</v>
      </c>
      <c r="S41" s="71">
        <v>46210</v>
      </c>
      <c r="T41" t="s">
        <v>2038</v>
      </c>
      <c r="U41" t="s">
        <v>2039</v>
      </c>
      <c r="V41" t="s">
        <v>2134</v>
      </c>
      <c r="W41">
        <v>20</v>
      </c>
      <c r="X41">
        <v>0</v>
      </c>
      <c r="Y41" t="s">
        <v>2133</v>
      </c>
      <c r="Z41" s="71">
        <v>46210</v>
      </c>
      <c r="AA41" t="s">
        <v>2135</v>
      </c>
      <c r="AB41" t="s">
        <v>2042</v>
      </c>
      <c r="AD41" t="s">
        <v>1139</v>
      </c>
      <c r="AE41" t="s">
        <v>1139</v>
      </c>
      <c r="AF41">
        <v>0</v>
      </c>
      <c r="AG41">
        <v>0</v>
      </c>
      <c r="AH41">
        <v>0</v>
      </c>
      <c r="AI41">
        <v>0</v>
      </c>
      <c r="AJ41">
        <v>0</v>
      </c>
      <c r="AK41" t="s">
        <v>2044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-154429</v>
      </c>
      <c r="AS41">
        <v>0</v>
      </c>
      <c r="AT41">
        <v>0</v>
      </c>
      <c r="AU41" t="s">
        <v>36</v>
      </c>
      <c r="AV41" t="s">
        <v>1117</v>
      </c>
      <c r="AW41" t="s">
        <v>44</v>
      </c>
      <c r="AX41" t="s">
        <v>36</v>
      </c>
      <c r="AY41" t="s">
        <v>2045</v>
      </c>
      <c r="AZ41">
        <v>0</v>
      </c>
      <c r="BA41">
        <v>0</v>
      </c>
      <c r="BB41" t="s">
        <v>2136</v>
      </c>
      <c r="BC41" s="71">
        <v>46210</v>
      </c>
      <c r="BD41" t="s">
        <v>135</v>
      </c>
      <c r="BE41" t="s">
        <v>2047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652140822215</v>
      </c>
      <c r="BO41" s="73">
        <v>46209.628472222219</v>
      </c>
      <c r="BP41">
        <v>985</v>
      </c>
      <c r="BQ41" t="s">
        <v>44</v>
      </c>
    </row>
    <row r="42" spans="1:69" x14ac:dyDescent="0.35">
      <c r="A42" t="s">
        <v>27</v>
      </c>
      <c r="C42" s="80">
        <v>46210</v>
      </c>
      <c r="D42" t="s">
        <v>2131</v>
      </c>
      <c r="E42" t="s">
        <v>2033</v>
      </c>
      <c r="F42" t="s">
        <v>1119</v>
      </c>
      <c r="G42" t="s">
        <v>2034</v>
      </c>
      <c r="H42" t="s">
        <v>2035</v>
      </c>
      <c r="I42">
        <v>0</v>
      </c>
      <c r="J42">
        <v>1056</v>
      </c>
      <c r="K42" t="s">
        <v>1289</v>
      </c>
      <c r="L42">
        <v>1056</v>
      </c>
      <c r="M42">
        <v>0</v>
      </c>
      <c r="N42">
        <v>1056</v>
      </c>
      <c r="O42" t="s">
        <v>2132</v>
      </c>
      <c r="P42" t="s">
        <v>138</v>
      </c>
      <c r="Q42" t="s">
        <v>138</v>
      </c>
      <c r="R42" t="s">
        <v>2133</v>
      </c>
      <c r="S42" s="71">
        <v>46210</v>
      </c>
      <c r="T42" t="s">
        <v>2038</v>
      </c>
      <c r="U42" t="s">
        <v>2039</v>
      </c>
      <c r="V42" t="s">
        <v>2134</v>
      </c>
      <c r="W42">
        <v>23</v>
      </c>
      <c r="X42">
        <v>0</v>
      </c>
      <c r="Y42" t="s">
        <v>2133</v>
      </c>
      <c r="Z42" s="71">
        <v>46210</v>
      </c>
      <c r="AA42" t="s">
        <v>2139</v>
      </c>
      <c r="AB42" t="s">
        <v>2042</v>
      </c>
      <c r="AD42" t="s">
        <v>1139</v>
      </c>
      <c r="AE42" t="s">
        <v>1139</v>
      </c>
      <c r="AF42">
        <v>0</v>
      </c>
      <c r="AG42">
        <v>0</v>
      </c>
      <c r="AH42">
        <v>0</v>
      </c>
      <c r="AI42">
        <v>0</v>
      </c>
      <c r="AJ42">
        <v>0</v>
      </c>
      <c r="AK42" t="s">
        <v>2044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-154429</v>
      </c>
      <c r="AS42">
        <v>0</v>
      </c>
      <c r="AT42">
        <v>0</v>
      </c>
      <c r="AU42" t="s">
        <v>36</v>
      </c>
      <c r="AV42" t="s">
        <v>1117</v>
      </c>
      <c r="AW42" t="s">
        <v>44</v>
      </c>
      <c r="AX42" t="s">
        <v>36</v>
      </c>
      <c r="AY42" t="s">
        <v>2045</v>
      </c>
      <c r="AZ42">
        <v>0</v>
      </c>
      <c r="BA42">
        <v>0</v>
      </c>
      <c r="BB42" t="s">
        <v>2136</v>
      </c>
      <c r="BC42" s="71">
        <v>46210</v>
      </c>
      <c r="BD42" t="s">
        <v>135</v>
      </c>
      <c r="BE42" t="s">
        <v>2047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652140822215</v>
      </c>
      <c r="BO42" s="73">
        <v>46209.628472222219</v>
      </c>
      <c r="BP42">
        <v>1056</v>
      </c>
      <c r="BQ42" t="s">
        <v>44</v>
      </c>
    </row>
    <row r="43" spans="1:69" x14ac:dyDescent="0.35">
      <c r="A43" t="s">
        <v>27</v>
      </c>
      <c r="C43" s="80">
        <v>46210</v>
      </c>
      <c r="D43" t="s">
        <v>2140</v>
      </c>
      <c r="E43" t="s">
        <v>2141</v>
      </c>
      <c r="F43" t="s">
        <v>1583</v>
      </c>
      <c r="G43" t="s">
        <v>2034</v>
      </c>
      <c r="H43" t="s">
        <v>2035</v>
      </c>
      <c r="I43">
        <v>0</v>
      </c>
      <c r="J43">
        <v>1500</v>
      </c>
      <c r="K43" t="s">
        <v>1289</v>
      </c>
      <c r="L43">
        <v>1500</v>
      </c>
      <c r="M43">
        <v>0</v>
      </c>
      <c r="N43">
        <v>1500</v>
      </c>
      <c r="O43" t="s">
        <v>2142</v>
      </c>
      <c r="P43" t="s">
        <v>134</v>
      </c>
      <c r="Q43" t="s">
        <v>134</v>
      </c>
      <c r="R43" t="s">
        <v>2143</v>
      </c>
      <c r="S43" s="71">
        <v>46210</v>
      </c>
      <c r="T43" t="s">
        <v>2038</v>
      </c>
      <c r="U43" t="s">
        <v>2039</v>
      </c>
      <c r="V43" t="s">
        <v>2144</v>
      </c>
      <c r="W43">
        <v>127</v>
      </c>
      <c r="X43">
        <v>0</v>
      </c>
      <c r="Y43" t="s">
        <v>2143</v>
      </c>
      <c r="Z43" s="71">
        <v>46210</v>
      </c>
      <c r="AA43" t="s">
        <v>2145</v>
      </c>
      <c r="AB43" t="s">
        <v>2042</v>
      </c>
      <c r="AD43" t="s">
        <v>1139</v>
      </c>
      <c r="AE43" t="s">
        <v>1139</v>
      </c>
      <c r="AF43">
        <v>0</v>
      </c>
      <c r="AG43">
        <v>0</v>
      </c>
      <c r="AH43">
        <v>0</v>
      </c>
      <c r="AI43">
        <v>0</v>
      </c>
      <c r="AJ43">
        <v>0</v>
      </c>
      <c r="AK43" t="s">
        <v>2044</v>
      </c>
      <c r="AL43">
        <v>0</v>
      </c>
      <c r="AM43">
        <v>0</v>
      </c>
      <c r="AN43">
        <v>0</v>
      </c>
      <c r="AO43">
        <v>0</v>
      </c>
      <c r="AP43">
        <v>0</v>
      </c>
      <c r="AR43">
        <v>-190500</v>
      </c>
      <c r="AS43">
        <v>0</v>
      </c>
      <c r="AT43">
        <v>0</v>
      </c>
      <c r="AU43" t="s">
        <v>28</v>
      </c>
      <c r="AV43" t="s">
        <v>1173</v>
      </c>
      <c r="AW43" t="s">
        <v>34</v>
      </c>
      <c r="AX43" t="s">
        <v>28</v>
      </c>
      <c r="AY43" t="s">
        <v>2045</v>
      </c>
      <c r="AZ43">
        <v>0</v>
      </c>
      <c r="BA43">
        <v>0</v>
      </c>
      <c r="BB43" t="s">
        <v>2146</v>
      </c>
      <c r="BC43" s="71">
        <v>46210</v>
      </c>
      <c r="BD43" t="s">
        <v>135</v>
      </c>
      <c r="BE43" t="s">
        <v>2047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632141335860</v>
      </c>
      <c r="BO43" s="73">
        <v>46210.454861111109</v>
      </c>
      <c r="BP43">
        <v>1500</v>
      </c>
      <c r="BQ43" t="s">
        <v>34</v>
      </c>
    </row>
    <row r="44" spans="1:69" hidden="1" x14ac:dyDescent="0.35">
      <c r="A44" t="s">
        <v>27</v>
      </c>
      <c r="C44" s="80">
        <v>46211</v>
      </c>
      <c r="D44" t="s">
        <v>2147</v>
      </c>
      <c r="E44" t="s">
        <v>2148</v>
      </c>
      <c r="F44" t="s">
        <v>2149</v>
      </c>
      <c r="G44">
        <v>1</v>
      </c>
      <c r="H44" t="s">
        <v>2035</v>
      </c>
      <c r="I44">
        <v>0</v>
      </c>
      <c r="J44">
        <v>2000</v>
      </c>
      <c r="K44" t="s">
        <v>1289</v>
      </c>
      <c r="L44">
        <v>2000</v>
      </c>
      <c r="M44">
        <v>0</v>
      </c>
      <c r="N44">
        <v>2000</v>
      </c>
      <c r="O44" t="s">
        <v>2150</v>
      </c>
      <c r="P44" t="s">
        <v>138</v>
      </c>
      <c r="Q44" t="s">
        <v>138</v>
      </c>
      <c r="R44" t="s">
        <v>2151</v>
      </c>
      <c r="S44" s="71">
        <v>46210</v>
      </c>
      <c r="T44" t="s">
        <v>2038</v>
      </c>
      <c r="U44" t="s">
        <v>2103</v>
      </c>
      <c r="V44" t="s">
        <v>2152</v>
      </c>
      <c r="W44">
        <v>194.99</v>
      </c>
      <c r="X44">
        <v>0</v>
      </c>
      <c r="Y44" t="s">
        <v>2151</v>
      </c>
      <c r="Z44" s="71">
        <v>46210</v>
      </c>
      <c r="AA44" t="s">
        <v>2153</v>
      </c>
      <c r="AD44" t="s">
        <v>2082</v>
      </c>
      <c r="AE44" t="s">
        <v>2154</v>
      </c>
      <c r="AF44">
        <v>0</v>
      </c>
      <c r="AG44">
        <v>0</v>
      </c>
      <c r="AH44">
        <v>0</v>
      </c>
      <c r="AI44">
        <v>0</v>
      </c>
      <c r="AJ44">
        <v>0</v>
      </c>
      <c r="AK44" t="s">
        <v>2044</v>
      </c>
      <c r="AL44">
        <v>0</v>
      </c>
      <c r="AM44">
        <v>0</v>
      </c>
      <c r="AN44">
        <v>0</v>
      </c>
      <c r="AO44">
        <v>0</v>
      </c>
      <c r="AP44">
        <v>0</v>
      </c>
      <c r="AR44">
        <v>-389980</v>
      </c>
      <c r="AS44">
        <v>0</v>
      </c>
      <c r="AT44">
        <v>0</v>
      </c>
      <c r="AU44" t="s">
        <v>28</v>
      </c>
      <c r="AV44" t="s">
        <v>1173</v>
      </c>
      <c r="AW44" t="s">
        <v>35</v>
      </c>
      <c r="AX44" t="s">
        <v>28</v>
      </c>
      <c r="AY44" t="s">
        <v>2045</v>
      </c>
      <c r="AZ44">
        <v>0</v>
      </c>
      <c r="BA44">
        <v>0</v>
      </c>
      <c r="BB44" t="s">
        <v>2155</v>
      </c>
      <c r="BC44" s="71">
        <v>46211</v>
      </c>
      <c r="BD44" t="s">
        <v>135</v>
      </c>
      <c r="BE44" t="s">
        <v>2047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662141302256</v>
      </c>
      <c r="BO44" s="73">
        <v>46210.611805555556</v>
      </c>
      <c r="BP44">
        <v>2000</v>
      </c>
      <c r="BQ44" t="s">
        <v>2319</v>
      </c>
    </row>
    <row r="45" spans="1:69" x14ac:dyDescent="0.35">
      <c r="A45" t="s">
        <v>27</v>
      </c>
      <c r="C45" s="80">
        <v>46211</v>
      </c>
      <c r="D45" t="s">
        <v>2156</v>
      </c>
      <c r="E45" t="s">
        <v>2096</v>
      </c>
      <c r="F45" t="s">
        <v>1277</v>
      </c>
      <c r="G45" t="s">
        <v>2034</v>
      </c>
      <c r="H45" t="s">
        <v>2035</v>
      </c>
      <c r="I45">
        <v>0</v>
      </c>
      <c r="J45">
        <v>296.39999999999998</v>
      </c>
      <c r="K45" t="s">
        <v>1289</v>
      </c>
      <c r="L45">
        <v>296.39999999999998</v>
      </c>
      <c r="M45">
        <v>0</v>
      </c>
      <c r="N45">
        <v>296.39999999999998</v>
      </c>
      <c r="O45" t="s">
        <v>2071</v>
      </c>
      <c r="P45" t="s">
        <v>2072</v>
      </c>
      <c r="Q45" t="s">
        <v>2072</v>
      </c>
      <c r="R45">
        <v>53</v>
      </c>
      <c r="S45" s="71">
        <v>46209</v>
      </c>
      <c r="T45" t="s">
        <v>2038</v>
      </c>
      <c r="U45" t="s">
        <v>2039</v>
      </c>
      <c r="V45" t="s">
        <v>2157</v>
      </c>
      <c r="W45">
        <v>28</v>
      </c>
      <c r="X45">
        <v>0</v>
      </c>
      <c r="Y45">
        <v>53</v>
      </c>
      <c r="Z45" s="71">
        <v>46209</v>
      </c>
      <c r="AB45" t="s">
        <v>2158</v>
      </c>
      <c r="AD45" t="s">
        <v>1139</v>
      </c>
      <c r="AE45" t="s">
        <v>1139</v>
      </c>
      <c r="AF45">
        <v>0</v>
      </c>
      <c r="AG45">
        <v>0</v>
      </c>
      <c r="AH45">
        <v>0</v>
      </c>
      <c r="AI45">
        <v>0</v>
      </c>
      <c r="AJ45">
        <v>0</v>
      </c>
      <c r="AK45" t="s">
        <v>2044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-57170.400000000001</v>
      </c>
      <c r="AS45">
        <v>0</v>
      </c>
      <c r="AT45">
        <v>0</v>
      </c>
      <c r="AU45" t="s">
        <v>36</v>
      </c>
      <c r="AV45" t="s">
        <v>48</v>
      </c>
      <c r="AW45" t="s">
        <v>48</v>
      </c>
      <c r="AX45" t="s">
        <v>36</v>
      </c>
      <c r="AY45" t="s">
        <v>2045</v>
      </c>
      <c r="AZ45">
        <v>0</v>
      </c>
      <c r="BA45">
        <v>0</v>
      </c>
      <c r="BB45" t="s">
        <v>2159</v>
      </c>
      <c r="BC45" s="71">
        <v>46209</v>
      </c>
      <c r="BD45" t="s">
        <v>2077</v>
      </c>
      <c r="BE45" t="s">
        <v>2047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672140725006</v>
      </c>
      <c r="BO45" s="73">
        <v>46210.649305555555</v>
      </c>
      <c r="BP45">
        <v>296.39999999999998</v>
      </c>
      <c r="BQ45" t="s">
        <v>48</v>
      </c>
    </row>
    <row r="46" spans="1:69" x14ac:dyDescent="0.35">
      <c r="A46" t="s">
        <v>27</v>
      </c>
      <c r="C46" s="80">
        <v>46211</v>
      </c>
      <c r="D46" t="s">
        <v>2156</v>
      </c>
      <c r="E46" t="s">
        <v>2160</v>
      </c>
      <c r="F46" t="s">
        <v>1564</v>
      </c>
      <c r="G46" t="s">
        <v>2034</v>
      </c>
      <c r="H46" t="s">
        <v>2035</v>
      </c>
      <c r="I46">
        <v>0</v>
      </c>
      <c r="J46">
        <v>1210.2</v>
      </c>
      <c r="K46" t="s">
        <v>1289</v>
      </c>
      <c r="L46">
        <v>1210.2</v>
      </c>
      <c r="M46">
        <v>0</v>
      </c>
      <c r="N46">
        <v>1210.2</v>
      </c>
      <c r="O46" t="s">
        <v>2071</v>
      </c>
      <c r="P46" t="s">
        <v>2072</v>
      </c>
      <c r="Q46" t="s">
        <v>2072</v>
      </c>
      <c r="R46">
        <v>53</v>
      </c>
      <c r="S46" s="71">
        <v>46209</v>
      </c>
      <c r="T46" t="s">
        <v>2038</v>
      </c>
      <c r="U46" t="s">
        <v>2039</v>
      </c>
      <c r="V46" t="s">
        <v>2157</v>
      </c>
      <c r="W46">
        <v>28</v>
      </c>
      <c r="X46">
        <v>0</v>
      </c>
      <c r="Y46">
        <v>53</v>
      </c>
      <c r="Z46" s="71">
        <v>46209</v>
      </c>
      <c r="AA46" t="s">
        <v>2161</v>
      </c>
      <c r="AB46" t="s">
        <v>2158</v>
      </c>
      <c r="AD46" t="s">
        <v>1139</v>
      </c>
      <c r="AE46" t="s">
        <v>1139</v>
      </c>
      <c r="AF46">
        <v>0</v>
      </c>
      <c r="AG46">
        <v>0</v>
      </c>
      <c r="AH46">
        <v>0</v>
      </c>
      <c r="AI46">
        <v>0</v>
      </c>
      <c r="AJ46">
        <v>0</v>
      </c>
      <c r="AK46" t="s">
        <v>2044</v>
      </c>
      <c r="AL46">
        <v>0</v>
      </c>
      <c r="AM46">
        <v>0</v>
      </c>
      <c r="AN46">
        <v>0</v>
      </c>
      <c r="AO46">
        <v>0</v>
      </c>
      <c r="AP46">
        <v>0</v>
      </c>
      <c r="AR46">
        <v>-57170.400000000001</v>
      </c>
      <c r="AS46">
        <v>0</v>
      </c>
      <c r="AT46">
        <v>0</v>
      </c>
      <c r="AU46" t="s">
        <v>36</v>
      </c>
      <c r="AV46" t="s">
        <v>1087</v>
      </c>
      <c r="AW46" t="s">
        <v>46</v>
      </c>
      <c r="AX46" t="s">
        <v>36</v>
      </c>
      <c r="AY46" t="s">
        <v>2045</v>
      </c>
      <c r="AZ46">
        <v>0</v>
      </c>
      <c r="BA46">
        <v>0</v>
      </c>
      <c r="BB46" t="s">
        <v>2159</v>
      </c>
      <c r="BC46" s="71">
        <v>46209</v>
      </c>
      <c r="BD46" t="s">
        <v>2077</v>
      </c>
      <c r="BE46" t="s">
        <v>2047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672140725006</v>
      </c>
      <c r="BO46" s="73">
        <v>46210.649305555555</v>
      </c>
      <c r="BP46">
        <v>1210.2</v>
      </c>
      <c r="BQ46" t="s">
        <v>46</v>
      </c>
    </row>
    <row r="47" spans="1:69" x14ac:dyDescent="0.35">
      <c r="A47" t="s">
        <v>27</v>
      </c>
      <c r="C47" s="80">
        <v>46211</v>
      </c>
      <c r="D47" t="s">
        <v>2156</v>
      </c>
      <c r="E47" t="s">
        <v>2160</v>
      </c>
      <c r="F47" t="s">
        <v>1564</v>
      </c>
      <c r="G47" t="s">
        <v>2034</v>
      </c>
      <c r="H47" t="s">
        <v>2035</v>
      </c>
      <c r="I47">
        <v>0</v>
      </c>
      <c r="J47">
        <v>535.20000000000005</v>
      </c>
      <c r="K47" t="s">
        <v>1289</v>
      </c>
      <c r="L47">
        <v>535.20000000000005</v>
      </c>
      <c r="M47">
        <v>0</v>
      </c>
      <c r="N47">
        <v>535.20000000000005</v>
      </c>
      <c r="O47" t="s">
        <v>2071</v>
      </c>
      <c r="P47" t="s">
        <v>2072</v>
      </c>
      <c r="Q47" t="s">
        <v>2072</v>
      </c>
      <c r="R47">
        <v>53</v>
      </c>
      <c r="S47" s="71">
        <v>46209</v>
      </c>
      <c r="T47" t="s">
        <v>2038</v>
      </c>
      <c r="U47" t="s">
        <v>2039</v>
      </c>
      <c r="V47" t="s">
        <v>2157</v>
      </c>
      <c r="W47">
        <v>28</v>
      </c>
      <c r="X47">
        <v>0</v>
      </c>
      <c r="Y47">
        <v>53</v>
      </c>
      <c r="Z47" s="71">
        <v>46209</v>
      </c>
      <c r="AA47" t="s">
        <v>2162</v>
      </c>
      <c r="AB47" t="s">
        <v>2158</v>
      </c>
      <c r="AD47" t="s">
        <v>1139</v>
      </c>
      <c r="AE47" t="s">
        <v>1139</v>
      </c>
      <c r="AF47">
        <v>0</v>
      </c>
      <c r="AG47">
        <v>0</v>
      </c>
      <c r="AH47">
        <v>0</v>
      </c>
      <c r="AI47">
        <v>0</v>
      </c>
      <c r="AJ47">
        <v>0</v>
      </c>
      <c r="AK47" t="s">
        <v>2044</v>
      </c>
      <c r="AL47">
        <v>0</v>
      </c>
      <c r="AM47">
        <v>0</v>
      </c>
      <c r="AN47">
        <v>0</v>
      </c>
      <c r="AO47">
        <v>0</v>
      </c>
      <c r="AP47">
        <v>0</v>
      </c>
      <c r="AR47">
        <v>-57170.400000000001</v>
      </c>
      <c r="AS47">
        <v>0</v>
      </c>
      <c r="AT47">
        <v>0</v>
      </c>
      <c r="AU47" t="s">
        <v>36</v>
      </c>
      <c r="AV47" t="s">
        <v>1087</v>
      </c>
      <c r="AW47" t="s">
        <v>46</v>
      </c>
      <c r="AX47" t="s">
        <v>36</v>
      </c>
      <c r="AY47" t="s">
        <v>2045</v>
      </c>
      <c r="AZ47">
        <v>0</v>
      </c>
      <c r="BA47">
        <v>0</v>
      </c>
      <c r="BB47" t="s">
        <v>2159</v>
      </c>
      <c r="BC47" s="71">
        <v>46209</v>
      </c>
      <c r="BD47" t="s">
        <v>2077</v>
      </c>
      <c r="BE47" t="s">
        <v>2047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672140725006</v>
      </c>
      <c r="BO47" s="73">
        <v>46210.649305555555</v>
      </c>
      <c r="BP47">
        <v>535.20000000000005</v>
      </c>
      <c r="BQ47" t="s">
        <v>46</v>
      </c>
    </row>
    <row r="48" spans="1:69" x14ac:dyDescent="0.35">
      <c r="A48" t="s">
        <v>27</v>
      </c>
      <c r="C48" s="80">
        <v>46212</v>
      </c>
      <c r="D48" t="s">
        <v>2163</v>
      </c>
      <c r="E48" t="s">
        <v>2033</v>
      </c>
      <c r="F48" t="s">
        <v>1119</v>
      </c>
      <c r="G48" t="s">
        <v>2034</v>
      </c>
      <c r="H48" t="s">
        <v>2035</v>
      </c>
      <c r="I48">
        <v>0</v>
      </c>
      <c r="J48">
        <v>1250</v>
      </c>
      <c r="K48" t="s">
        <v>1289</v>
      </c>
      <c r="L48">
        <v>1250</v>
      </c>
      <c r="M48">
        <v>0</v>
      </c>
      <c r="N48">
        <v>1250</v>
      </c>
      <c r="O48" t="s">
        <v>2150</v>
      </c>
      <c r="P48" t="s">
        <v>138</v>
      </c>
      <c r="Q48" t="s">
        <v>138</v>
      </c>
      <c r="R48" t="s">
        <v>2164</v>
      </c>
      <c r="S48" s="71">
        <v>46210</v>
      </c>
      <c r="T48" t="s">
        <v>2038</v>
      </c>
      <c r="U48" t="s">
        <v>2039</v>
      </c>
      <c r="V48" t="s">
        <v>2165</v>
      </c>
      <c r="W48">
        <v>25</v>
      </c>
      <c r="X48">
        <v>0</v>
      </c>
      <c r="Y48" t="s">
        <v>2164</v>
      </c>
      <c r="Z48" s="71">
        <v>46210</v>
      </c>
      <c r="AA48" t="s">
        <v>2135</v>
      </c>
      <c r="AB48" t="s">
        <v>1139</v>
      </c>
      <c r="AD48" t="s">
        <v>1139</v>
      </c>
      <c r="AE48" t="s">
        <v>1139</v>
      </c>
      <c r="AF48">
        <v>0</v>
      </c>
      <c r="AG48">
        <v>0</v>
      </c>
      <c r="AH48">
        <v>0</v>
      </c>
      <c r="AI48">
        <v>0</v>
      </c>
      <c r="AJ48">
        <v>0</v>
      </c>
      <c r="AK48" t="s">
        <v>2044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-69932</v>
      </c>
      <c r="AS48">
        <v>0</v>
      </c>
      <c r="AT48">
        <v>0</v>
      </c>
      <c r="AU48" t="s">
        <v>36</v>
      </c>
      <c r="AV48" t="s">
        <v>1117</v>
      </c>
      <c r="AW48" t="s">
        <v>44</v>
      </c>
      <c r="AX48" t="s">
        <v>36</v>
      </c>
      <c r="AY48" t="s">
        <v>2045</v>
      </c>
      <c r="AZ48">
        <v>0</v>
      </c>
      <c r="BA48">
        <v>0</v>
      </c>
      <c r="BB48" t="s">
        <v>2166</v>
      </c>
      <c r="BC48" s="71">
        <v>46211</v>
      </c>
      <c r="BD48" t="s">
        <v>135</v>
      </c>
      <c r="BE48" t="s">
        <v>2047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662141322027</v>
      </c>
      <c r="BO48" s="73">
        <v>46210.529166666667</v>
      </c>
      <c r="BP48">
        <v>1250</v>
      </c>
      <c r="BQ48" t="s">
        <v>44</v>
      </c>
    </row>
    <row r="49" spans="1:69" x14ac:dyDescent="0.35">
      <c r="A49" t="s">
        <v>27</v>
      </c>
      <c r="C49" s="80">
        <v>46212</v>
      </c>
      <c r="D49" t="s">
        <v>2163</v>
      </c>
      <c r="E49" t="s">
        <v>2033</v>
      </c>
      <c r="F49" t="s">
        <v>1119</v>
      </c>
      <c r="G49" t="s">
        <v>2034</v>
      </c>
      <c r="H49" t="s">
        <v>2035</v>
      </c>
      <c r="I49">
        <v>0</v>
      </c>
      <c r="J49">
        <v>365</v>
      </c>
      <c r="K49" t="s">
        <v>1289</v>
      </c>
      <c r="L49">
        <v>365</v>
      </c>
      <c r="M49">
        <v>0</v>
      </c>
      <c r="N49">
        <v>365</v>
      </c>
      <c r="O49" t="s">
        <v>2150</v>
      </c>
      <c r="P49" t="s">
        <v>138</v>
      </c>
      <c r="Q49" t="s">
        <v>138</v>
      </c>
      <c r="R49" t="s">
        <v>2164</v>
      </c>
      <c r="S49" s="71">
        <v>46210</v>
      </c>
      <c r="T49" t="s">
        <v>2038</v>
      </c>
      <c r="U49" t="s">
        <v>2039</v>
      </c>
      <c r="V49" t="s">
        <v>2165</v>
      </c>
      <c r="W49">
        <v>26</v>
      </c>
      <c r="X49">
        <v>0</v>
      </c>
      <c r="Y49" t="s">
        <v>2164</v>
      </c>
      <c r="Z49" s="71">
        <v>46210</v>
      </c>
      <c r="AA49" t="s">
        <v>2138</v>
      </c>
      <c r="AB49" t="s">
        <v>1139</v>
      </c>
      <c r="AD49" t="s">
        <v>1139</v>
      </c>
      <c r="AE49" t="s">
        <v>1139</v>
      </c>
      <c r="AF49">
        <v>0</v>
      </c>
      <c r="AG49">
        <v>0</v>
      </c>
      <c r="AH49">
        <v>0</v>
      </c>
      <c r="AI49">
        <v>0</v>
      </c>
      <c r="AJ49">
        <v>0</v>
      </c>
      <c r="AK49" t="s">
        <v>2044</v>
      </c>
      <c r="AL49">
        <v>0</v>
      </c>
      <c r="AM49">
        <v>0</v>
      </c>
      <c r="AN49">
        <v>0</v>
      </c>
      <c r="AO49">
        <v>0</v>
      </c>
      <c r="AP49">
        <v>0</v>
      </c>
      <c r="AR49">
        <v>-69932</v>
      </c>
      <c r="AS49">
        <v>0</v>
      </c>
      <c r="AT49">
        <v>0</v>
      </c>
      <c r="AU49" t="s">
        <v>36</v>
      </c>
      <c r="AV49" t="s">
        <v>1117</v>
      </c>
      <c r="AW49" t="s">
        <v>44</v>
      </c>
      <c r="AX49" t="s">
        <v>36</v>
      </c>
      <c r="AY49" t="s">
        <v>2045</v>
      </c>
      <c r="AZ49">
        <v>0</v>
      </c>
      <c r="BA49">
        <v>0</v>
      </c>
      <c r="BB49" t="s">
        <v>2166</v>
      </c>
      <c r="BC49" s="71">
        <v>46211</v>
      </c>
      <c r="BD49" t="s">
        <v>135</v>
      </c>
      <c r="BE49" t="s">
        <v>2047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662141322027</v>
      </c>
      <c r="BO49" s="73">
        <v>46210.529166666667</v>
      </c>
      <c r="BP49">
        <v>365</v>
      </c>
      <c r="BQ49" t="s">
        <v>44</v>
      </c>
    </row>
    <row r="50" spans="1:69" x14ac:dyDescent="0.35">
      <c r="A50" t="s">
        <v>27</v>
      </c>
      <c r="C50" s="80">
        <v>46212</v>
      </c>
      <c r="D50" t="s">
        <v>2163</v>
      </c>
      <c r="E50" t="s">
        <v>2033</v>
      </c>
      <c r="F50" t="s">
        <v>1119</v>
      </c>
      <c r="G50" t="s">
        <v>2034</v>
      </c>
      <c r="H50" t="s">
        <v>2035</v>
      </c>
      <c r="I50">
        <v>0</v>
      </c>
      <c r="J50">
        <v>719</v>
      </c>
      <c r="K50" t="s">
        <v>1289</v>
      </c>
      <c r="L50">
        <v>719</v>
      </c>
      <c r="M50">
        <v>0</v>
      </c>
      <c r="N50">
        <v>719</v>
      </c>
      <c r="O50" t="s">
        <v>2150</v>
      </c>
      <c r="P50" t="s">
        <v>138</v>
      </c>
      <c r="Q50" t="s">
        <v>138</v>
      </c>
      <c r="R50" t="s">
        <v>2164</v>
      </c>
      <c r="S50" s="71">
        <v>46210</v>
      </c>
      <c r="T50" t="s">
        <v>2038</v>
      </c>
      <c r="U50" t="s">
        <v>2039</v>
      </c>
      <c r="V50" t="s">
        <v>2165</v>
      </c>
      <c r="W50">
        <v>20</v>
      </c>
      <c r="X50">
        <v>0</v>
      </c>
      <c r="Y50" t="s">
        <v>2164</v>
      </c>
      <c r="Z50" s="71">
        <v>46210</v>
      </c>
      <c r="AA50" t="s">
        <v>2135</v>
      </c>
      <c r="AB50" t="s">
        <v>1139</v>
      </c>
      <c r="AD50" t="s">
        <v>1139</v>
      </c>
      <c r="AE50" t="s">
        <v>1139</v>
      </c>
      <c r="AF50">
        <v>0</v>
      </c>
      <c r="AG50">
        <v>0</v>
      </c>
      <c r="AH50">
        <v>0</v>
      </c>
      <c r="AI50">
        <v>0</v>
      </c>
      <c r="AJ50">
        <v>0</v>
      </c>
      <c r="AK50" t="s">
        <v>2044</v>
      </c>
      <c r="AL50">
        <v>0</v>
      </c>
      <c r="AM50">
        <v>0</v>
      </c>
      <c r="AN50">
        <v>0</v>
      </c>
      <c r="AO50">
        <v>0</v>
      </c>
      <c r="AP50">
        <v>0</v>
      </c>
      <c r="AR50">
        <v>-69932</v>
      </c>
      <c r="AS50">
        <v>0</v>
      </c>
      <c r="AT50">
        <v>0</v>
      </c>
      <c r="AU50" t="s">
        <v>36</v>
      </c>
      <c r="AV50" t="s">
        <v>1117</v>
      </c>
      <c r="AW50" t="s">
        <v>44</v>
      </c>
      <c r="AX50" t="s">
        <v>36</v>
      </c>
      <c r="AY50" t="s">
        <v>2045</v>
      </c>
      <c r="AZ50">
        <v>0</v>
      </c>
      <c r="BA50">
        <v>0</v>
      </c>
      <c r="BB50" t="s">
        <v>2166</v>
      </c>
      <c r="BC50" s="71">
        <v>46211</v>
      </c>
      <c r="BD50" t="s">
        <v>135</v>
      </c>
      <c r="BE50" t="s">
        <v>2047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662141322027</v>
      </c>
      <c r="BO50" s="73">
        <v>46210.529166666667</v>
      </c>
      <c r="BP50">
        <v>719</v>
      </c>
      <c r="BQ50" t="s">
        <v>44</v>
      </c>
    </row>
    <row r="51" spans="1:69" x14ac:dyDescent="0.35">
      <c r="A51" t="s">
        <v>27</v>
      </c>
      <c r="C51" s="80">
        <v>46212</v>
      </c>
      <c r="D51" t="s">
        <v>2163</v>
      </c>
      <c r="E51" t="s">
        <v>2033</v>
      </c>
      <c r="F51" t="s">
        <v>1119</v>
      </c>
      <c r="G51" t="s">
        <v>2034</v>
      </c>
      <c r="H51" t="s">
        <v>2035</v>
      </c>
      <c r="I51">
        <v>0</v>
      </c>
      <c r="J51">
        <v>644</v>
      </c>
      <c r="K51" t="s">
        <v>1289</v>
      </c>
      <c r="L51">
        <v>644</v>
      </c>
      <c r="M51">
        <v>0</v>
      </c>
      <c r="N51">
        <v>644</v>
      </c>
      <c r="O51" t="s">
        <v>2150</v>
      </c>
      <c r="P51" t="s">
        <v>138</v>
      </c>
      <c r="Q51" t="s">
        <v>138</v>
      </c>
      <c r="R51" t="s">
        <v>2164</v>
      </c>
      <c r="S51" s="71">
        <v>46210</v>
      </c>
      <c r="T51" t="s">
        <v>2038</v>
      </c>
      <c r="U51" t="s">
        <v>2039</v>
      </c>
      <c r="V51" t="s">
        <v>2165</v>
      </c>
      <c r="W51">
        <v>23</v>
      </c>
      <c r="X51">
        <v>0</v>
      </c>
      <c r="Y51" t="s">
        <v>2164</v>
      </c>
      <c r="Z51" s="71">
        <v>46210</v>
      </c>
      <c r="AA51" t="s">
        <v>2135</v>
      </c>
      <c r="AB51" t="s">
        <v>1139</v>
      </c>
      <c r="AD51" t="s">
        <v>1139</v>
      </c>
      <c r="AE51" t="s">
        <v>1139</v>
      </c>
      <c r="AF51">
        <v>0</v>
      </c>
      <c r="AG51">
        <v>0</v>
      </c>
      <c r="AH51">
        <v>0</v>
      </c>
      <c r="AI51">
        <v>0</v>
      </c>
      <c r="AJ51">
        <v>0</v>
      </c>
      <c r="AK51" t="s">
        <v>2044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-69932</v>
      </c>
      <c r="AS51">
        <v>0</v>
      </c>
      <c r="AT51">
        <v>0</v>
      </c>
      <c r="AU51" t="s">
        <v>36</v>
      </c>
      <c r="AV51" t="s">
        <v>1117</v>
      </c>
      <c r="AW51" t="s">
        <v>44</v>
      </c>
      <c r="AX51" t="s">
        <v>36</v>
      </c>
      <c r="AY51" t="s">
        <v>2045</v>
      </c>
      <c r="AZ51">
        <v>0</v>
      </c>
      <c r="BA51">
        <v>0</v>
      </c>
      <c r="BB51" t="s">
        <v>2166</v>
      </c>
      <c r="BC51" s="71">
        <v>46211</v>
      </c>
      <c r="BD51" t="s">
        <v>135</v>
      </c>
      <c r="BE51" t="s">
        <v>2047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662141322027</v>
      </c>
      <c r="BO51" s="73">
        <v>46210.529166666667</v>
      </c>
      <c r="BP51">
        <v>644</v>
      </c>
      <c r="BQ51" t="s">
        <v>44</v>
      </c>
    </row>
    <row r="52" spans="1:69" x14ac:dyDescent="0.35">
      <c r="A52" t="s">
        <v>27</v>
      </c>
      <c r="C52" s="80">
        <v>46212</v>
      </c>
      <c r="D52" t="s">
        <v>2167</v>
      </c>
      <c r="E52" t="s">
        <v>2056</v>
      </c>
      <c r="F52" t="s">
        <v>1782</v>
      </c>
      <c r="G52" t="s">
        <v>2034</v>
      </c>
      <c r="H52" t="s">
        <v>2035</v>
      </c>
      <c r="I52">
        <v>0</v>
      </c>
      <c r="J52">
        <v>1213.3</v>
      </c>
      <c r="K52" t="s">
        <v>1091</v>
      </c>
      <c r="L52">
        <v>1213.3</v>
      </c>
      <c r="M52">
        <v>0</v>
      </c>
      <c r="N52">
        <v>1213.3</v>
      </c>
      <c r="O52" t="s">
        <v>2168</v>
      </c>
      <c r="P52" t="s">
        <v>138</v>
      </c>
      <c r="Q52" t="s">
        <v>138</v>
      </c>
      <c r="R52" t="s">
        <v>2169</v>
      </c>
      <c r="S52" s="71">
        <v>46211</v>
      </c>
      <c r="T52" t="s">
        <v>2038</v>
      </c>
      <c r="U52" t="s">
        <v>2039</v>
      </c>
      <c r="V52" t="s">
        <v>2170</v>
      </c>
      <c r="W52">
        <v>32</v>
      </c>
      <c r="X52">
        <v>0</v>
      </c>
      <c r="Y52" t="s">
        <v>2169</v>
      </c>
      <c r="Z52" s="71">
        <v>46211</v>
      </c>
      <c r="AA52" t="s">
        <v>2171</v>
      </c>
      <c r="AB52" t="s">
        <v>2042</v>
      </c>
      <c r="AD52" t="s">
        <v>1139</v>
      </c>
      <c r="AE52" t="s">
        <v>1139</v>
      </c>
      <c r="AF52">
        <v>0</v>
      </c>
      <c r="AG52">
        <v>0</v>
      </c>
      <c r="AH52">
        <v>0</v>
      </c>
      <c r="AI52">
        <v>0</v>
      </c>
      <c r="AJ52">
        <v>0</v>
      </c>
      <c r="AK52" t="s">
        <v>2044</v>
      </c>
      <c r="AL52">
        <v>0</v>
      </c>
      <c r="AM52">
        <v>0</v>
      </c>
      <c r="AN52">
        <v>0</v>
      </c>
      <c r="AO52">
        <v>0</v>
      </c>
      <c r="AP52">
        <v>0</v>
      </c>
      <c r="AR52">
        <v>-82799.600000000006</v>
      </c>
      <c r="AS52">
        <v>0</v>
      </c>
      <c r="AT52">
        <v>0</v>
      </c>
      <c r="AU52" t="s">
        <v>36</v>
      </c>
      <c r="AV52" t="s">
        <v>1087</v>
      </c>
      <c r="AW52" t="s">
        <v>46</v>
      </c>
      <c r="AX52" t="s">
        <v>36</v>
      </c>
      <c r="AZ52">
        <v>0</v>
      </c>
      <c r="BA52">
        <v>0</v>
      </c>
      <c r="BB52" t="s">
        <v>2172</v>
      </c>
      <c r="BC52" s="71">
        <v>46212</v>
      </c>
      <c r="BD52" t="s">
        <v>135</v>
      </c>
      <c r="BE52" t="s">
        <v>2047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622141806590</v>
      </c>
      <c r="BO52" s="71">
        <v>46211</v>
      </c>
      <c r="BP52">
        <v>1213.3</v>
      </c>
      <c r="BQ52" t="s">
        <v>46</v>
      </c>
    </row>
    <row r="53" spans="1:69" x14ac:dyDescent="0.35">
      <c r="A53" t="s">
        <v>27</v>
      </c>
      <c r="C53" s="80">
        <v>46212</v>
      </c>
      <c r="D53" t="s">
        <v>2167</v>
      </c>
      <c r="E53" t="s">
        <v>2173</v>
      </c>
      <c r="F53" t="s">
        <v>1783</v>
      </c>
      <c r="G53" t="s">
        <v>2034</v>
      </c>
      <c r="H53" t="s">
        <v>2035</v>
      </c>
      <c r="I53">
        <v>0</v>
      </c>
      <c r="J53">
        <v>1256.4000000000001</v>
      </c>
      <c r="K53" t="s">
        <v>1091</v>
      </c>
      <c r="L53">
        <v>1256.4000000000001</v>
      </c>
      <c r="M53">
        <v>0</v>
      </c>
      <c r="N53">
        <v>1256.4000000000001</v>
      </c>
      <c r="O53" t="s">
        <v>2168</v>
      </c>
      <c r="P53" t="s">
        <v>138</v>
      </c>
      <c r="Q53" t="s">
        <v>138</v>
      </c>
      <c r="R53" t="s">
        <v>2169</v>
      </c>
      <c r="S53" s="71">
        <v>46211</v>
      </c>
      <c r="T53" t="s">
        <v>2038</v>
      </c>
      <c r="U53" t="s">
        <v>2039</v>
      </c>
      <c r="V53" t="s">
        <v>2170</v>
      </c>
      <c r="W53">
        <v>35</v>
      </c>
      <c r="X53">
        <v>0</v>
      </c>
      <c r="Y53" t="s">
        <v>2169</v>
      </c>
      <c r="Z53" s="71">
        <v>46211</v>
      </c>
      <c r="AA53" t="s">
        <v>2171</v>
      </c>
      <c r="AB53" t="s">
        <v>2042</v>
      </c>
      <c r="AD53" t="s">
        <v>1139</v>
      </c>
      <c r="AE53" t="s">
        <v>1139</v>
      </c>
      <c r="AF53">
        <v>0</v>
      </c>
      <c r="AG53">
        <v>0</v>
      </c>
      <c r="AH53">
        <v>0</v>
      </c>
      <c r="AI53">
        <v>0</v>
      </c>
      <c r="AJ53">
        <v>0</v>
      </c>
      <c r="AK53" t="s">
        <v>2044</v>
      </c>
      <c r="AL53">
        <v>0</v>
      </c>
      <c r="AM53">
        <v>0</v>
      </c>
      <c r="AN53">
        <v>0</v>
      </c>
      <c r="AO53">
        <v>0</v>
      </c>
      <c r="AP53">
        <v>0</v>
      </c>
      <c r="AR53">
        <v>-82799.600000000006</v>
      </c>
      <c r="AS53">
        <v>0</v>
      </c>
      <c r="AT53">
        <v>0</v>
      </c>
      <c r="AU53" t="s">
        <v>36</v>
      </c>
      <c r="AV53" t="s">
        <v>1087</v>
      </c>
      <c r="AW53" t="s">
        <v>46</v>
      </c>
      <c r="AX53" t="s">
        <v>36</v>
      </c>
      <c r="AZ53">
        <v>0</v>
      </c>
      <c r="BA53">
        <v>0</v>
      </c>
      <c r="BB53" t="s">
        <v>2172</v>
      </c>
      <c r="BC53" s="71">
        <v>46212</v>
      </c>
      <c r="BD53" t="s">
        <v>135</v>
      </c>
      <c r="BE53" t="s">
        <v>2047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622141806590</v>
      </c>
      <c r="BO53" s="71">
        <v>46211</v>
      </c>
      <c r="BP53">
        <v>1256.4000000000001</v>
      </c>
      <c r="BQ53" t="s">
        <v>46</v>
      </c>
    </row>
    <row r="54" spans="1:69" x14ac:dyDescent="0.35">
      <c r="A54" t="s">
        <v>27</v>
      </c>
      <c r="C54" s="80">
        <v>46213</v>
      </c>
      <c r="D54" t="s">
        <v>2174</v>
      </c>
      <c r="E54" t="s">
        <v>2054</v>
      </c>
      <c r="F54" t="s">
        <v>1154</v>
      </c>
      <c r="G54" t="s">
        <v>2034</v>
      </c>
      <c r="H54" t="s">
        <v>2035</v>
      </c>
      <c r="I54">
        <v>0</v>
      </c>
      <c r="J54">
        <v>1521.2</v>
      </c>
      <c r="K54" t="s">
        <v>1289</v>
      </c>
      <c r="L54">
        <v>1521.2</v>
      </c>
      <c r="M54">
        <v>0</v>
      </c>
      <c r="N54">
        <v>1521.2</v>
      </c>
      <c r="O54" t="s">
        <v>2036</v>
      </c>
      <c r="P54" t="s">
        <v>138</v>
      </c>
      <c r="Q54" t="s">
        <v>138</v>
      </c>
      <c r="R54" t="s">
        <v>2175</v>
      </c>
      <c r="S54" s="71">
        <v>46212</v>
      </c>
      <c r="T54" t="s">
        <v>2038</v>
      </c>
      <c r="U54" t="s">
        <v>2039</v>
      </c>
      <c r="V54" t="s">
        <v>2176</v>
      </c>
      <c r="W54">
        <v>33</v>
      </c>
      <c r="X54">
        <v>0</v>
      </c>
      <c r="Y54" t="s">
        <v>2175</v>
      </c>
      <c r="Z54" s="71">
        <v>46212</v>
      </c>
      <c r="AA54" t="s">
        <v>2177</v>
      </c>
      <c r="AB54" t="s">
        <v>2042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t="s">
        <v>2044</v>
      </c>
      <c r="AL54">
        <v>0</v>
      </c>
      <c r="AM54">
        <v>0</v>
      </c>
      <c r="AN54">
        <v>0</v>
      </c>
      <c r="AO54">
        <v>0</v>
      </c>
      <c r="AP54">
        <v>0</v>
      </c>
      <c r="AR54">
        <v>-202609.1</v>
      </c>
      <c r="AS54">
        <v>0</v>
      </c>
      <c r="AT54">
        <v>0</v>
      </c>
      <c r="AU54" t="s">
        <v>36</v>
      </c>
      <c r="AV54" t="s">
        <v>1117</v>
      </c>
      <c r="AW54" t="s">
        <v>42</v>
      </c>
      <c r="AX54" t="s">
        <v>36</v>
      </c>
      <c r="AY54" t="s">
        <v>2045</v>
      </c>
      <c r="AZ54">
        <v>0</v>
      </c>
      <c r="BA54">
        <v>0</v>
      </c>
      <c r="BB54" t="s">
        <v>2178</v>
      </c>
      <c r="BC54" s="71">
        <v>46213</v>
      </c>
      <c r="BD54" t="s">
        <v>135</v>
      </c>
      <c r="BE54" t="s">
        <v>2047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672142391975</v>
      </c>
      <c r="BO54" s="73">
        <v>46212.574999999997</v>
      </c>
      <c r="BP54">
        <v>1521.2</v>
      </c>
      <c r="BQ54" t="s">
        <v>42</v>
      </c>
    </row>
    <row r="55" spans="1:69" x14ac:dyDescent="0.35">
      <c r="A55" t="s">
        <v>27</v>
      </c>
      <c r="C55" s="80">
        <v>46213</v>
      </c>
      <c r="D55" t="s">
        <v>2174</v>
      </c>
      <c r="E55" t="s">
        <v>2054</v>
      </c>
      <c r="F55" t="s">
        <v>1154</v>
      </c>
      <c r="G55" t="s">
        <v>2034</v>
      </c>
      <c r="H55" t="s">
        <v>2035</v>
      </c>
      <c r="I55">
        <v>0</v>
      </c>
      <c r="J55">
        <v>2458.5</v>
      </c>
      <c r="K55" t="s">
        <v>1289</v>
      </c>
      <c r="L55">
        <v>2458.5</v>
      </c>
      <c r="M55">
        <v>0</v>
      </c>
      <c r="N55">
        <v>2458.5</v>
      </c>
      <c r="O55" t="s">
        <v>2036</v>
      </c>
      <c r="P55" t="s">
        <v>138</v>
      </c>
      <c r="Q55" t="s">
        <v>138</v>
      </c>
      <c r="R55" t="s">
        <v>2175</v>
      </c>
      <c r="S55" s="71">
        <v>46212</v>
      </c>
      <c r="T55" t="s">
        <v>2038</v>
      </c>
      <c r="U55" t="s">
        <v>2039</v>
      </c>
      <c r="V55" t="s">
        <v>2176</v>
      </c>
      <c r="W55">
        <v>30</v>
      </c>
      <c r="X55">
        <v>0</v>
      </c>
      <c r="Y55" t="s">
        <v>2175</v>
      </c>
      <c r="Z55" s="71">
        <v>46212</v>
      </c>
      <c r="AA55" t="s">
        <v>2179</v>
      </c>
      <c r="AB55" t="s">
        <v>2042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 t="s">
        <v>2044</v>
      </c>
      <c r="AL55">
        <v>0</v>
      </c>
      <c r="AM55">
        <v>0</v>
      </c>
      <c r="AN55">
        <v>0</v>
      </c>
      <c r="AO55">
        <v>0</v>
      </c>
      <c r="AP55">
        <v>0</v>
      </c>
      <c r="AR55">
        <v>-202609.1</v>
      </c>
      <c r="AS55">
        <v>0</v>
      </c>
      <c r="AT55">
        <v>0</v>
      </c>
      <c r="AU55" t="s">
        <v>36</v>
      </c>
      <c r="AV55" t="s">
        <v>1117</v>
      </c>
      <c r="AW55" t="s">
        <v>42</v>
      </c>
      <c r="AX55" t="s">
        <v>36</v>
      </c>
      <c r="AY55" t="s">
        <v>2045</v>
      </c>
      <c r="AZ55">
        <v>0</v>
      </c>
      <c r="BA55">
        <v>0</v>
      </c>
      <c r="BB55" t="s">
        <v>2178</v>
      </c>
      <c r="BC55" s="71">
        <v>46213</v>
      </c>
      <c r="BD55" t="s">
        <v>135</v>
      </c>
      <c r="BE55" t="s">
        <v>2047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672142391975</v>
      </c>
      <c r="BO55" s="73">
        <v>46212.574999999997</v>
      </c>
      <c r="BP55">
        <v>2458.5</v>
      </c>
      <c r="BQ55" t="s">
        <v>42</v>
      </c>
    </row>
    <row r="56" spans="1:69" x14ac:dyDescent="0.35">
      <c r="A56" t="s">
        <v>27</v>
      </c>
      <c r="C56" s="80">
        <v>46213</v>
      </c>
      <c r="D56" t="s">
        <v>2174</v>
      </c>
      <c r="E56" t="s">
        <v>2033</v>
      </c>
      <c r="F56" t="s">
        <v>1119</v>
      </c>
      <c r="G56" t="s">
        <v>2034</v>
      </c>
      <c r="H56" t="s">
        <v>2035</v>
      </c>
      <c r="I56">
        <v>0</v>
      </c>
      <c r="J56">
        <v>480</v>
      </c>
      <c r="K56" t="s">
        <v>1289</v>
      </c>
      <c r="L56">
        <v>480</v>
      </c>
      <c r="M56">
        <v>0</v>
      </c>
      <c r="N56">
        <v>480</v>
      </c>
      <c r="O56" t="s">
        <v>2036</v>
      </c>
      <c r="P56" t="s">
        <v>138</v>
      </c>
      <c r="Q56" t="s">
        <v>138</v>
      </c>
      <c r="R56" t="s">
        <v>2175</v>
      </c>
      <c r="S56" s="71">
        <v>46212</v>
      </c>
      <c r="T56" t="s">
        <v>2038</v>
      </c>
      <c r="U56" t="s">
        <v>2039</v>
      </c>
      <c r="V56" t="s">
        <v>2176</v>
      </c>
      <c r="W56">
        <v>31</v>
      </c>
      <c r="X56">
        <v>0</v>
      </c>
      <c r="Y56" t="s">
        <v>2175</v>
      </c>
      <c r="Z56" s="71">
        <v>46212</v>
      </c>
      <c r="AA56" t="s">
        <v>2180</v>
      </c>
      <c r="AB56" t="s">
        <v>2042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t="s">
        <v>2044</v>
      </c>
      <c r="AL56">
        <v>0</v>
      </c>
      <c r="AM56">
        <v>0</v>
      </c>
      <c r="AN56">
        <v>0</v>
      </c>
      <c r="AO56">
        <v>0</v>
      </c>
      <c r="AP56">
        <v>0</v>
      </c>
      <c r="AR56">
        <v>-202609.1</v>
      </c>
      <c r="AS56">
        <v>0</v>
      </c>
      <c r="AT56">
        <v>0</v>
      </c>
      <c r="AU56" t="s">
        <v>36</v>
      </c>
      <c r="AV56" t="s">
        <v>1117</v>
      </c>
      <c r="AW56" t="s">
        <v>44</v>
      </c>
      <c r="AX56" t="s">
        <v>36</v>
      </c>
      <c r="AY56" t="s">
        <v>2045</v>
      </c>
      <c r="AZ56">
        <v>0</v>
      </c>
      <c r="BA56">
        <v>0</v>
      </c>
      <c r="BB56" t="s">
        <v>2178</v>
      </c>
      <c r="BC56" s="71">
        <v>46213</v>
      </c>
      <c r="BD56" t="s">
        <v>135</v>
      </c>
      <c r="BE56" t="s">
        <v>2047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672142391975</v>
      </c>
      <c r="BO56" s="73">
        <v>46212.574999999997</v>
      </c>
      <c r="BP56">
        <v>480</v>
      </c>
      <c r="BQ56" t="s">
        <v>44</v>
      </c>
    </row>
    <row r="57" spans="1:69" x14ac:dyDescent="0.35">
      <c r="A57" t="s">
        <v>27</v>
      </c>
      <c r="C57" s="80">
        <v>46213</v>
      </c>
      <c r="D57" t="s">
        <v>2174</v>
      </c>
      <c r="E57" t="s">
        <v>2033</v>
      </c>
      <c r="F57" t="s">
        <v>1119</v>
      </c>
      <c r="G57" t="s">
        <v>2034</v>
      </c>
      <c r="H57" t="s">
        <v>2035</v>
      </c>
      <c r="I57">
        <v>0</v>
      </c>
      <c r="J57">
        <v>1029.1400000000001</v>
      </c>
      <c r="K57" t="s">
        <v>1289</v>
      </c>
      <c r="L57">
        <v>1029.1400000000001</v>
      </c>
      <c r="M57">
        <v>0</v>
      </c>
      <c r="N57">
        <v>1029.1400000000001</v>
      </c>
      <c r="O57" t="s">
        <v>2036</v>
      </c>
      <c r="P57" t="s">
        <v>138</v>
      </c>
      <c r="Q57" t="s">
        <v>138</v>
      </c>
      <c r="R57" t="s">
        <v>2175</v>
      </c>
      <c r="S57" s="71">
        <v>46212</v>
      </c>
      <c r="T57" t="s">
        <v>2038</v>
      </c>
      <c r="U57" t="s">
        <v>2039</v>
      </c>
      <c r="V57" t="s">
        <v>2176</v>
      </c>
      <c r="W57">
        <v>25</v>
      </c>
      <c r="X57">
        <v>0</v>
      </c>
      <c r="Y57" t="s">
        <v>2175</v>
      </c>
      <c r="Z57" s="71">
        <v>46212</v>
      </c>
      <c r="AA57" t="s">
        <v>2181</v>
      </c>
      <c r="AB57" t="s">
        <v>2042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 t="s">
        <v>2044</v>
      </c>
      <c r="AL57">
        <v>0</v>
      </c>
      <c r="AM57">
        <v>0</v>
      </c>
      <c r="AN57">
        <v>0</v>
      </c>
      <c r="AO57">
        <v>0</v>
      </c>
      <c r="AP57">
        <v>0</v>
      </c>
      <c r="AR57">
        <v>-202609.1</v>
      </c>
      <c r="AS57">
        <v>0</v>
      </c>
      <c r="AT57">
        <v>0</v>
      </c>
      <c r="AU57" t="s">
        <v>36</v>
      </c>
      <c r="AV57" t="s">
        <v>1117</v>
      </c>
      <c r="AW57" t="s">
        <v>44</v>
      </c>
      <c r="AX57" t="s">
        <v>36</v>
      </c>
      <c r="AY57" t="s">
        <v>2045</v>
      </c>
      <c r="AZ57">
        <v>0</v>
      </c>
      <c r="BA57">
        <v>0</v>
      </c>
      <c r="BB57" t="s">
        <v>2178</v>
      </c>
      <c r="BC57" s="71">
        <v>46213</v>
      </c>
      <c r="BD57" t="s">
        <v>135</v>
      </c>
      <c r="BE57" t="s">
        <v>2047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672142391975</v>
      </c>
      <c r="BO57" s="73">
        <v>46212.574999999997</v>
      </c>
      <c r="BP57">
        <v>1029.1400000000001</v>
      </c>
      <c r="BQ57" t="s">
        <v>44</v>
      </c>
    </row>
    <row r="58" spans="1:69" x14ac:dyDescent="0.35">
      <c r="A58" t="s">
        <v>27</v>
      </c>
      <c r="C58" s="80">
        <v>46213</v>
      </c>
      <c r="D58" t="s">
        <v>2174</v>
      </c>
      <c r="E58" t="s">
        <v>2033</v>
      </c>
      <c r="F58" t="s">
        <v>1119</v>
      </c>
      <c r="G58" t="s">
        <v>2034</v>
      </c>
      <c r="H58" t="s">
        <v>2035</v>
      </c>
      <c r="I58">
        <v>0</v>
      </c>
      <c r="J58">
        <v>226</v>
      </c>
      <c r="K58" t="s">
        <v>1289</v>
      </c>
      <c r="L58">
        <v>226</v>
      </c>
      <c r="M58">
        <v>0</v>
      </c>
      <c r="N58">
        <v>226</v>
      </c>
      <c r="O58" t="s">
        <v>2036</v>
      </c>
      <c r="P58" t="s">
        <v>138</v>
      </c>
      <c r="Q58" t="s">
        <v>138</v>
      </c>
      <c r="R58" t="s">
        <v>2175</v>
      </c>
      <c r="S58" s="71">
        <v>46212</v>
      </c>
      <c r="T58" t="s">
        <v>2038</v>
      </c>
      <c r="U58" t="s">
        <v>2039</v>
      </c>
      <c r="V58" t="s">
        <v>2176</v>
      </c>
      <c r="W58">
        <v>26</v>
      </c>
      <c r="X58">
        <v>0</v>
      </c>
      <c r="Y58" t="s">
        <v>2175</v>
      </c>
      <c r="Z58" s="71">
        <v>46212</v>
      </c>
      <c r="AA58" t="s">
        <v>2182</v>
      </c>
      <c r="AB58" t="s">
        <v>2042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 t="s">
        <v>2044</v>
      </c>
      <c r="AL58">
        <v>0</v>
      </c>
      <c r="AM58">
        <v>0</v>
      </c>
      <c r="AN58">
        <v>0</v>
      </c>
      <c r="AO58">
        <v>0</v>
      </c>
      <c r="AP58">
        <v>0</v>
      </c>
      <c r="AR58">
        <v>-202609.1</v>
      </c>
      <c r="AS58">
        <v>0</v>
      </c>
      <c r="AT58">
        <v>0</v>
      </c>
      <c r="AU58" t="s">
        <v>36</v>
      </c>
      <c r="AV58" t="s">
        <v>1117</v>
      </c>
      <c r="AW58" t="s">
        <v>44</v>
      </c>
      <c r="AX58" t="s">
        <v>36</v>
      </c>
      <c r="AY58" t="s">
        <v>2045</v>
      </c>
      <c r="AZ58">
        <v>0</v>
      </c>
      <c r="BA58">
        <v>0</v>
      </c>
      <c r="BB58" t="s">
        <v>2178</v>
      </c>
      <c r="BC58" s="71">
        <v>46213</v>
      </c>
      <c r="BD58" t="s">
        <v>135</v>
      </c>
      <c r="BE58" t="s">
        <v>2047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672142391975</v>
      </c>
      <c r="BO58" s="73">
        <v>46212.574999999997</v>
      </c>
      <c r="BP58">
        <v>226</v>
      </c>
      <c r="BQ58" t="s">
        <v>44</v>
      </c>
    </row>
    <row r="59" spans="1:69" x14ac:dyDescent="0.35">
      <c r="A59" t="s">
        <v>27</v>
      </c>
      <c r="C59" s="80">
        <v>46213</v>
      </c>
      <c r="D59" t="s">
        <v>2174</v>
      </c>
      <c r="E59" t="s">
        <v>2033</v>
      </c>
      <c r="F59" t="s">
        <v>1119</v>
      </c>
      <c r="G59" t="s">
        <v>2034</v>
      </c>
      <c r="H59" t="s">
        <v>2035</v>
      </c>
      <c r="I59">
        <v>0</v>
      </c>
      <c r="J59">
        <v>309</v>
      </c>
      <c r="K59" t="s">
        <v>1289</v>
      </c>
      <c r="L59">
        <v>309</v>
      </c>
      <c r="M59">
        <v>0</v>
      </c>
      <c r="N59">
        <v>309</v>
      </c>
      <c r="O59" t="s">
        <v>2036</v>
      </c>
      <c r="P59" t="s">
        <v>138</v>
      </c>
      <c r="Q59" t="s">
        <v>138</v>
      </c>
      <c r="R59" t="s">
        <v>2175</v>
      </c>
      <c r="S59" s="71">
        <v>46212</v>
      </c>
      <c r="T59" t="s">
        <v>2038</v>
      </c>
      <c r="U59" t="s">
        <v>2039</v>
      </c>
      <c r="V59" t="s">
        <v>2176</v>
      </c>
      <c r="W59">
        <v>20</v>
      </c>
      <c r="X59">
        <v>0</v>
      </c>
      <c r="Y59" t="s">
        <v>2175</v>
      </c>
      <c r="Z59" s="71">
        <v>46212</v>
      </c>
      <c r="AA59" t="s">
        <v>2183</v>
      </c>
      <c r="AB59" t="s">
        <v>2042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 t="s">
        <v>2044</v>
      </c>
      <c r="AL59">
        <v>0</v>
      </c>
      <c r="AM59">
        <v>0</v>
      </c>
      <c r="AN59">
        <v>0</v>
      </c>
      <c r="AO59">
        <v>0</v>
      </c>
      <c r="AP59">
        <v>0</v>
      </c>
      <c r="AR59">
        <v>-202609.1</v>
      </c>
      <c r="AS59">
        <v>0</v>
      </c>
      <c r="AT59">
        <v>0</v>
      </c>
      <c r="AU59" t="s">
        <v>36</v>
      </c>
      <c r="AV59" t="s">
        <v>1117</v>
      </c>
      <c r="AW59" t="s">
        <v>44</v>
      </c>
      <c r="AX59" t="s">
        <v>36</v>
      </c>
      <c r="AY59" t="s">
        <v>2045</v>
      </c>
      <c r="AZ59">
        <v>0</v>
      </c>
      <c r="BA59">
        <v>0</v>
      </c>
      <c r="BB59" t="s">
        <v>2178</v>
      </c>
      <c r="BC59" s="71">
        <v>46213</v>
      </c>
      <c r="BD59" t="s">
        <v>135</v>
      </c>
      <c r="BE59" t="s">
        <v>2047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672142391975</v>
      </c>
      <c r="BO59" s="73">
        <v>46212.574999999997</v>
      </c>
      <c r="BP59">
        <v>309</v>
      </c>
      <c r="BQ59" t="s">
        <v>44</v>
      </c>
    </row>
    <row r="60" spans="1:69" x14ac:dyDescent="0.35">
      <c r="A60" t="s">
        <v>27</v>
      </c>
      <c r="C60" s="80">
        <v>46213</v>
      </c>
      <c r="D60" t="s">
        <v>2174</v>
      </c>
      <c r="E60" t="s">
        <v>2033</v>
      </c>
      <c r="F60" t="s">
        <v>1119</v>
      </c>
      <c r="G60" t="s">
        <v>2034</v>
      </c>
      <c r="H60" t="s">
        <v>2035</v>
      </c>
      <c r="I60">
        <v>0</v>
      </c>
      <c r="J60">
        <v>1130</v>
      </c>
      <c r="K60" t="s">
        <v>1289</v>
      </c>
      <c r="L60">
        <v>1130</v>
      </c>
      <c r="M60">
        <v>0</v>
      </c>
      <c r="N60">
        <v>1130</v>
      </c>
      <c r="O60" t="s">
        <v>2036</v>
      </c>
      <c r="P60" t="s">
        <v>138</v>
      </c>
      <c r="Q60" t="s">
        <v>138</v>
      </c>
      <c r="R60" t="s">
        <v>2175</v>
      </c>
      <c r="S60" s="71">
        <v>46212</v>
      </c>
      <c r="T60" t="s">
        <v>2038</v>
      </c>
      <c r="U60" t="s">
        <v>2039</v>
      </c>
      <c r="V60" t="s">
        <v>2176</v>
      </c>
      <c r="W60">
        <v>23</v>
      </c>
      <c r="X60">
        <v>0</v>
      </c>
      <c r="Y60" t="s">
        <v>2175</v>
      </c>
      <c r="Z60" s="71">
        <v>46212</v>
      </c>
      <c r="AA60" t="s">
        <v>2184</v>
      </c>
      <c r="AB60" t="s">
        <v>2042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 t="s">
        <v>2044</v>
      </c>
      <c r="AL60">
        <v>0</v>
      </c>
      <c r="AM60">
        <v>0</v>
      </c>
      <c r="AN60">
        <v>0</v>
      </c>
      <c r="AO60">
        <v>0</v>
      </c>
      <c r="AP60">
        <v>0</v>
      </c>
      <c r="AR60">
        <v>-202609.1</v>
      </c>
      <c r="AS60">
        <v>0</v>
      </c>
      <c r="AT60">
        <v>0</v>
      </c>
      <c r="AU60" t="s">
        <v>36</v>
      </c>
      <c r="AV60" t="s">
        <v>1117</v>
      </c>
      <c r="AW60" t="s">
        <v>44</v>
      </c>
      <c r="AX60" t="s">
        <v>36</v>
      </c>
      <c r="AY60" t="s">
        <v>2045</v>
      </c>
      <c r="AZ60">
        <v>0</v>
      </c>
      <c r="BA60">
        <v>0</v>
      </c>
      <c r="BB60" t="s">
        <v>2178</v>
      </c>
      <c r="BC60" s="71">
        <v>46213</v>
      </c>
      <c r="BD60" t="s">
        <v>135</v>
      </c>
      <c r="BE60" t="s">
        <v>2047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672142391975</v>
      </c>
      <c r="BO60" s="73">
        <v>46212.574999999997</v>
      </c>
      <c r="BP60">
        <v>1130</v>
      </c>
      <c r="BQ60" t="s">
        <v>44</v>
      </c>
    </row>
    <row r="61" spans="1:69" hidden="1" x14ac:dyDescent="0.35">
      <c r="A61" t="s">
        <v>27</v>
      </c>
      <c r="C61" s="80">
        <v>46213</v>
      </c>
      <c r="D61" t="s">
        <v>2185</v>
      </c>
      <c r="E61" t="s">
        <v>2186</v>
      </c>
      <c r="F61" t="s">
        <v>2187</v>
      </c>
      <c r="G61" t="s">
        <v>2034</v>
      </c>
      <c r="H61" t="s">
        <v>2035</v>
      </c>
      <c r="I61">
        <v>0</v>
      </c>
      <c r="J61">
        <v>199</v>
      </c>
      <c r="K61" t="s">
        <v>1289</v>
      </c>
      <c r="L61">
        <v>199</v>
      </c>
      <c r="M61">
        <v>0</v>
      </c>
      <c r="N61">
        <v>199</v>
      </c>
      <c r="O61" t="s">
        <v>2188</v>
      </c>
      <c r="P61" t="s">
        <v>2189</v>
      </c>
      <c r="Q61" t="s">
        <v>2189</v>
      </c>
      <c r="R61" t="s">
        <v>2190</v>
      </c>
      <c r="S61" s="71">
        <v>46205</v>
      </c>
      <c r="T61" t="s">
        <v>2038</v>
      </c>
      <c r="U61" t="s">
        <v>2103</v>
      </c>
      <c r="V61" t="s">
        <v>2191</v>
      </c>
      <c r="W61">
        <v>135</v>
      </c>
      <c r="X61">
        <v>0</v>
      </c>
      <c r="Y61" t="s">
        <v>2190</v>
      </c>
      <c r="Z61" s="71">
        <v>46205</v>
      </c>
      <c r="AA61" t="s">
        <v>2192</v>
      </c>
      <c r="AB61" t="s">
        <v>1139</v>
      </c>
      <c r="AD61" t="s">
        <v>1139</v>
      </c>
      <c r="AE61" t="s">
        <v>1139</v>
      </c>
      <c r="AF61">
        <v>0</v>
      </c>
      <c r="AG61">
        <v>0</v>
      </c>
      <c r="AH61">
        <v>0</v>
      </c>
      <c r="AI61">
        <v>0</v>
      </c>
      <c r="AJ61">
        <v>0</v>
      </c>
      <c r="AK61" t="s">
        <v>2044</v>
      </c>
      <c r="AL61">
        <v>0</v>
      </c>
      <c r="AM61">
        <v>0</v>
      </c>
      <c r="AN61">
        <v>0</v>
      </c>
      <c r="AO61">
        <v>0</v>
      </c>
      <c r="AP61">
        <v>0</v>
      </c>
      <c r="AR61">
        <v>-26865</v>
      </c>
      <c r="AS61">
        <v>0</v>
      </c>
      <c r="AT61">
        <v>0</v>
      </c>
      <c r="AU61" t="s">
        <v>28</v>
      </c>
      <c r="AV61" t="s">
        <v>1173</v>
      </c>
      <c r="AW61" t="s">
        <v>34</v>
      </c>
      <c r="AX61" t="s">
        <v>28</v>
      </c>
      <c r="AY61" t="s">
        <v>2045</v>
      </c>
      <c r="AZ61">
        <v>0</v>
      </c>
      <c r="BA61">
        <v>0</v>
      </c>
      <c r="BB61" t="s">
        <v>2193</v>
      </c>
      <c r="BC61" s="71">
        <v>46213</v>
      </c>
      <c r="BD61" t="s">
        <v>1149</v>
      </c>
      <c r="BE61" t="s">
        <v>2047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 t="s">
        <v>1139</v>
      </c>
      <c r="BO61" s="73">
        <v>46213.75277777778</v>
      </c>
      <c r="BP61">
        <v>199</v>
      </c>
      <c r="BQ61" t="s">
        <v>2319</v>
      </c>
    </row>
    <row r="62" spans="1:69" hidden="1" x14ac:dyDescent="0.35">
      <c r="A62" t="s">
        <v>27</v>
      </c>
      <c r="C62" s="80">
        <v>46213</v>
      </c>
      <c r="D62" t="s">
        <v>2194</v>
      </c>
      <c r="E62" t="s">
        <v>2186</v>
      </c>
      <c r="F62" t="s">
        <v>2187</v>
      </c>
      <c r="G62" t="s">
        <v>2034</v>
      </c>
      <c r="H62" t="s">
        <v>2035</v>
      </c>
      <c r="I62">
        <v>0</v>
      </c>
      <c r="J62">
        <v>68</v>
      </c>
      <c r="K62" t="s">
        <v>1289</v>
      </c>
      <c r="L62">
        <v>68</v>
      </c>
      <c r="M62">
        <v>0</v>
      </c>
      <c r="N62">
        <v>68</v>
      </c>
      <c r="O62" t="s">
        <v>2195</v>
      </c>
      <c r="P62" t="s">
        <v>2189</v>
      </c>
      <c r="Q62" t="s">
        <v>2189</v>
      </c>
      <c r="R62" t="s">
        <v>2196</v>
      </c>
      <c r="S62" s="71">
        <v>46213</v>
      </c>
      <c r="T62" t="s">
        <v>2038</v>
      </c>
      <c r="U62" t="s">
        <v>2103</v>
      </c>
      <c r="V62" t="s">
        <v>2197</v>
      </c>
      <c r="W62">
        <v>135</v>
      </c>
      <c r="X62">
        <v>0</v>
      </c>
      <c r="Y62" t="s">
        <v>2196</v>
      </c>
      <c r="Z62" s="71">
        <v>46213</v>
      </c>
      <c r="AA62" t="s">
        <v>2198</v>
      </c>
      <c r="AB62" t="s">
        <v>1139</v>
      </c>
      <c r="AD62" t="s">
        <v>1139</v>
      </c>
      <c r="AE62" t="s">
        <v>1139</v>
      </c>
      <c r="AF62">
        <v>0</v>
      </c>
      <c r="AG62">
        <v>0</v>
      </c>
      <c r="AH62">
        <v>0</v>
      </c>
      <c r="AI62">
        <v>0</v>
      </c>
      <c r="AJ62">
        <v>0</v>
      </c>
      <c r="AK62" t="s">
        <v>2044</v>
      </c>
      <c r="AL62">
        <v>0</v>
      </c>
      <c r="AM62">
        <v>0</v>
      </c>
      <c r="AN62">
        <v>0</v>
      </c>
      <c r="AO62">
        <v>0</v>
      </c>
      <c r="AP62">
        <v>0</v>
      </c>
      <c r="AR62">
        <v>-9180</v>
      </c>
      <c r="AS62">
        <v>0</v>
      </c>
      <c r="AT62">
        <v>0</v>
      </c>
      <c r="AU62" t="s">
        <v>28</v>
      </c>
      <c r="AV62" t="s">
        <v>1173</v>
      </c>
      <c r="AW62" t="s">
        <v>34</v>
      </c>
      <c r="AX62" t="s">
        <v>28</v>
      </c>
      <c r="AY62" t="s">
        <v>2045</v>
      </c>
      <c r="AZ62">
        <v>0</v>
      </c>
      <c r="BA62">
        <v>0</v>
      </c>
      <c r="BB62" t="s">
        <v>2199</v>
      </c>
      <c r="BC62" s="71">
        <v>46213</v>
      </c>
      <c r="BD62" t="s">
        <v>1149</v>
      </c>
      <c r="BE62" t="s">
        <v>2047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 t="s">
        <v>1139</v>
      </c>
      <c r="BO62" s="71">
        <v>46213</v>
      </c>
      <c r="BP62">
        <v>68</v>
      </c>
      <c r="BQ62" t="s">
        <v>2319</v>
      </c>
    </row>
    <row r="63" spans="1:69" x14ac:dyDescent="0.35">
      <c r="A63" t="s">
        <v>27</v>
      </c>
      <c r="C63" s="80">
        <v>46214</v>
      </c>
      <c r="D63" t="s">
        <v>2200</v>
      </c>
      <c r="E63" t="s">
        <v>2033</v>
      </c>
      <c r="F63" t="s">
        <v>1119</v>
      </c>
      <c r="G63" t="s">
        <v>2034</v>
      </c>
      <c r="H63" t="s">
        <v>2035</v>
      </c>
      <c r="I63">
        <v>0</v>
      </c>
      <c r="J63">
        <v>3000.8</v>
      </c>
      <c r="K63" t="s">
        <v>1289</v>
      </c>
      <c r="L63">
        <v>3000.8</v>
      </c>
      <c r="M63">
        <v>0</v>
      </c>
      <c r="N63">
        <v>3000.8</v>
      </c>
      <c r="O63" t="s">
        <v>2071</v>
      </c>
      <c r="P63" t="s">
        <v>2090</v>
      </c>
      <c r="Q63" t="s">
        <v>2090</v>
      </c>
      <c r="R63">
        <v>13</v>
      </c>
      <c r="S63" s="71">
        <v>46214</v>
      </c>
      <c r="T63" t="s">
        <v>2038</v>
      </c>
      <c r="U63" t="s">
        <v>2039</v>
      </c>
      <c r="V63" t="s">
        <v>2201</v>
      </c>
      <c r="W63">
        <v>43</v>
      </c>
      <c r="X63">
        <v>0</v>
      </c>
      <c r="Y63">
        <v>13</v>
      </c>
      <c r="Z63" s="71">
        <v>46214</v>
      </c>
      <c r="AA63" t="s">
        <v>2202</v>
      </c>
      <c r="AB63" t="s">
        <v>2203</v>
      </c>
      <c r="AD63" t="s">
        <v>1139</v>
      </c>
      <c r="AE63" t="s">
        <v>1139</v>
      </c>
      <c r="AF63">
        <v>0</v>
      </c>
      <c r="AG63">
        <v>0</v>
      </c>
      <c r="AH63">
        <v>0</v>
      </c>
      <c r="AI63">
        <v>0</v>
      </c>
      <c r="AJ63">
        <v>0</v>
      </c>
      <c r="AK63" t="s">
        <v>2044</v>
      </c>
      <c r="AL63">
        <v>0</v>
      </c>
      <c r="AM63">
        <v>0</v>
      </c>
      <c r="AN63">
        <v>0</v>
      </c>
      <c r="AO63">
        <v>0</v>
      </c>
      <c r="AP63">
        <v>0</v>
      </c>
      <c r="AR63">
        <v>-129034.4</v>
      </c>
      <c r="AS63">
        <v>0</v>
      </c>
      <c r="AT63">
        <v>0</v>
      </c>
      <c r="AU63" t="s">
        <v>36</v>
      </c>
      <c r="AV63" t="s">
        <v>1117</v>
      </c>
      <c r="AW63" t="s">
        <v>44</v>
      </c>
      <c r="AX63" t="s">
        <v>36</v>
      </c>
      <c r="AY63" t="s">
        <v>2045</v>
      </c>
      <c r="AZ63">
        <v>0</v>
      </c>
      <c r="BA63">
        <v>0</v>
      </c>
      <c r="BB63" t="s">
        <v>2204</v>
      </c>
      <c r="BC63" s="71">
        <v>46213</v>
      </c>
      <c r="BD63" t="s">
        <v>2095</v>
      </c>
      <c r="BE63" t="s">
        <v>2047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632142729848</v>
      </c>
      <c r="BO63" s="73">
        <v>46213.513194444444</v>
      </c>
      <c r="BP63">
        <v>3000.8</v>
      </c>
      <c r="BQ63" t="s">
        <v>44</v>
      </c>
    </row>
    <row r="64" spans="1:69" x14ac:dyDescent="0.35">
      <c r="A64" t="s">
        <v>27</v>
      </c>
      <c r="C64" s="80">
        <v>46214</v>
      </c>
      <c r="D64" t="s">
        <v>2205</v>
      </c>
      <c r="E64" t="s">
        <v>2069</v>
      </c>
      <c r="F64" t="s">
        <v>2070</v>
      </c>
      <c r="G64" t="s">
        <v>2034</v>
      </c>
      <c r="H64" t="s">
        <v>2035</v>
      </c>
      <c r="I64">
        <v>0</v>
      </c>
      <c r="J64">
        <v>380.8</v>
      </c>
      <c r="K64" t="s">
        <v>1289</v>
      </c>
      <c r="L64">
        <v>380.8</v>
      </c>
      <c r="M64">
        <v>0</v>
      </c>
      <c r="N64">
        <v>380.8</v>
      </c>
      <c r="O64" t="s">
        <v>2089</v>
      </c>
      <c r="P64" t="s">
        <v>2072</v>
      </c>
      <c r="Q64" t="s">
        <v>2072</v>
      </c>
      <c r="R64">
        <v>54</v>
      </c>
      <c r="S64" s="71">
        <v>46213</v>
      </c>
      <c r="T64" t="s">
        <v>2038</v>
      </c>
      <c r="U64" t="s">
        <v>2039</v>
      </c>
      <c r="V64" t="s">
        <v>2206</v>
      </c>
      <c r="W64">
        <v>28</v>
      </c>
      <c r="X64">
        <v>0</v>
      </c>
      <c r="Y64">
        <v>54</v>
      </c>
      <c r="Z64" s="71">
        <v>46213</v>
      </c>
      <c r="AB64" t="s">
        <v>2207</v>
      </c>
      <c r="AD64" t="s">
        <v>1139</v>
      </c>
      <c r="AE64" t="s">
        <v>1139</v>
      </c>
      <c r="AF64">
        <v>0</v>
      </c>
      <c r="AG64">
        <v>0</v>
      </c>
      <c r="AH64">
        <v>0</v>
      </c>
      <c r="AI64">
        <v>0</v>
      </c>
      <c r="AJ64">
        <v>0</v>
      </c>
      <c r="AK64" t="s">
        <v>2044</v>
      </c>
      <c r="AL64">
        <v>0</v>
      </c>
      <c r="AM64">
        <v>0</v>
      </c>
      <c r="AN64">
        <v>0</v>
      </c>
      <c r="AO64">
        <v>0</v>
      </c>
      <c r="AP64">
        <v>0</v>
      </c>
      <c r="AR64">
        <v>-53255.72</v>
      </c>
      <c r="AS64">
        <v>0</v>
      </c>
      <c r="AT64">
        <v>0</v>
      </c>
      <c r="AU64" t="s">
        <v>36</v>
      </c>
      <c r="AV64" t="s">
        <v>1117</v>
      </c>
      <c r="AW64" t="s">
        <v>38</v>
      </c>
      <c r="AX64" t="s">
        <v>36</v>
      </c>
      <c r="AY64" t="s">
        <v>2045</v>
      </c>
      <c r="AZ64">
        <v>0</v>
      </c>
      <c r="BA64">
        <v>0</v>
      </c>
      <c r="BB64" t="s">
        <v>2208</v>
      </c>
      <c r="BC64" s="71">
        <v>46213</v>
      </c>
      <c r="BD64" t="s">
        <v>2077</v>
      </c>
      <c r="BE64" t="s">
        <v>2047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652143031087</v>
      </c>
      <c r="BO64" s="73">
        <v>46213.697222222225</v>
      </c>
      <c r="BP64">
        <v>380.8</v>
      </c>
      <c r="BQ64" t="s">
        <v>38</v>
      </c>
    </row>
    <row r="65" spans="1:72" x14ac:dyDescent="0.35">
      <c r="A65" t="s">
        <v>27</v>
      </c>
      <c r="C65" s="80">
        <v>46214</v>
      </c>
      <c r="D65" t="s">
        <v>2205</v>
      </c>
      <c r="E65" t="s">
        <v>2160</v>
      </c>
      <c r="F65" t="s">
        <v>1564</v>
      </c>
      <c r="G65" t="s">
        <v>2034</v>
      </c>
      <c r="H65" t="s">
        <v>2035</v>
      </c>
      <c r="I65">
        <v>0</v>
      </c>
      <c r="J65">
        <v>1521.19</v>
      </c>
      <c r="K65" t="s">
        <v>1289</v>
      </c>
      <c r="L65">
        <v>1521.19</v>
      </c>
      <c r="M65">
        <v>0</v>
      </c>
      <c r="N65">
        <v>1521.19</v>
      </c>
      <c r="O65" t="s">
        <v>2089</v>
      </c>
      <c r="P65" t="s">
        <v>2072</v>
      </c>
      <c r="Q65" t="s">
        <v>2072</v>
      </c>
      <c r="R65">
        <v>54</v>
      </c>
      <c r="S65" s="71">
        <v>46213</v>
      </c>
      <c r="T65" t="s">
        <v>2038</v>
      </c>
      <c r="U65" t="s">
        <v>2039</v>
      </c>
      <c r="V65" t="s">
        <v>2206</v>
      </c>
      <c r="W65">
        <v>28</v>
      </c>
      <c r="X65">
        <v>0</v>
      </c>
      <c r="Y65">
        <v>54</v>
      </c>
      <c r="Z65" s="71">
        <v>46213</v>
      </c>
      <c r="AB65" t="s">
        <v>2207</v>
      </c>
      <c r="AD65" t="s">
        <v>1139</v>
      </c>
      <c r="AE65" t="s">
        <v>1139</v>
      </c>
      <c r="AF65">
        <v>0</v>
      </c>
      <c r="AG65">
        <v>0</v>
      </c>
      <c r="AH65">
        <v>0</v>
      </c>
      <c r="AI65">
        <v>0</v>
      </c>
      <c r="AJ65">
        <v>0</v>
      </c>
      <c r="AK65" t="s">
        <v>2044</v>
      </c>
      <c r="AL65">
        <v>0</v>
      </c>
      <c r="AM65">
        <v>0</v>
      </c>
      <c r="AN65">
        <v>0</v>
      </c>
      <c r="AO65">
        <v>0</v>
      </c>
      <c r="AP65">
        <v>0</v>
      </c>
      <c r="AR65">
        <v>-53255.72</v>
      </c>
      <c r="AS65">
        <v>0</v>
      </c>
      <c r="AT65">
        <v>0</v>
      </c>
      <c r="AU65" t="s">
        <v>36</v>
      </c>
      <c r="AV65" t="s">
        <v>1087</v>
      </c>
      <c r="AW65" t="s">
        <v>46</v>
      </c>
      <c r="AX65" t="s">
        <v>36</v>
      </c>
      <c r="AY65" t="s">
        <v>2045</v>
      </c>
      <c r="AZ65">
        <v>0</v>
      </c>
      <c r="BA65">
        <v>0</v>
      </c>
      <c r="BB65" t="s">
        <v>2208</v>
      </c>
      <c r="BC65" s="71">
        <v>46213</v>
      </c>
      <c r="BD65" t="s">
        <v>2077</v>
      </c>
      <c r="BE65" t="s">
        <v>2047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652143031087</v>
      </c>
      <c r="BO65" s="73">
        <v>46213.697222222225</v>
      </c>
      <c r="BP65">
        <v>1521.19</v>
      </c>
      <c r="BQ65" t="s">
        <v>46</v>
      </c>
    </row>
    <row r="66" spans="1:72" x14ac:dyDescent="0.35">
      <c r="A66" t="s">
        <v>27</v>
      </c>
      <c r="C66" s="80">
        <v>46218</v>
      </c>
      <c r="D66" t="s">
        <v>2209</v>
      </c>
      <c r="E66" t="s">
        <v>2096</v>
      </c>
      <c r="F66" t="s">
        <v>1277</v>
      </c>
      <c r="G66" t="s">
        <v>2034</v>
      </c>
      <c r="H66" t="s">
        <v>2035</v>
      </c>
      <c r="I66">
        <v>0</v>
      </c>
      <c r="J66">
        <v>11.4</v>
      </c>
      <c r="K66" t="s">
        <v>1289</v>
      </c>
      <c r="L66">
        <v>11.4</v>
      </c>
      <c r="M66">
        <v>0</v>
      </c>
      <c r="N66">
        <v>11.4</v>
      </c>
      <c r="O66" t="s">
        <v>2089</v>
      </c>
      <c r="P66" t="s">
        <v>2072</v>
      </c>
      <c r="Q66" t="s">
        <v>2072</v>
      </c>
      <c r="R66">
        <v>55</v>
      </c>
      <c r="S66" s="71">
        <v>46217</v>
      </c>
      <c r="T66" t="s">
        <v>2038</v>
      </c>
      <c r="U66" t="s">
        <v>2039</v>
      </c>
      <c r="V66" t="s">
        <v>2210</v>
      </c>
      <c r="W66">
        <v>0.1</v>
      </c>
      <c r="X66">
        <v>0</v>
      </c>
      <c r="Y66">
        <v>55</v>
      </c>
      <c r="Z66" s="71">
        <v>46217</v>
      </c>
      <c r="AB66" t="s">
        <v>2042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 t="s">
        <v>2044</v>
      </c>
      <c r="AL66">
        <v>0</v>
      </c>
      <c r="AM66">
        <v>0</v>
      </c>
      <c r="AN66">
        <v>0</v>
      </c>
      <c r="AO66">
        <v>0</v>
      </c>
      <c r="AP66">
        <v>0</v>
      </c>
      <c r="AR66">
        <v>-68895.14</v>
      </c>
      <c r="AS66">
        <v>0</v>
      </c>
      <c r="AT66">
        <v>0</v>
      </c>
      <c r="AU66" t="s">
        <v>36</v>
      </c>
      <c r="AV66" t="s">
        <v>48</v>
      </c>
      <c r="AW66" t="s">
        <v>48</v>
      </c>
      <c r="AX66" t="s">
        <v>36</v>
      </c>
      <c r="AY66" t="s">
        <v>2045</v>
      </c>
      <c r="AZ66">
        <v>0</v>
      </c>
      <c r="BA66">
        <v>0</v>
      </c>
      <c r="BB66" t="s">
        <v>2211</v>
      </c>
      <c r="BC66" s="71">
        <v>46218</v>
      </c>
      <c r="BD66" t="s">
        <v>2077</v>
      </c>
      <c r="BE66" t="s">
        <v>2047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672145209550</v>
      </c>
      <c r="BO66" s="73">
        <v>46217.636111111111</v>
      </c>
      <c r="BP66">
        <v>11.4</v>
      </c>
      <c r="BQ66" t="s">
        <v>48</v>
      </c>
    </row>
    <row r="67" spans="1:72" x14ac:dyDescent="0.35">
      <c r="A67" t="s">
        <v>27</v>
      </c>
      <c r="C67" s="80">
        <v>46218</v>
      </c>
      <c r="D67" t="s">
        <v>2209</v>
      </c>
      <c r="E67" t="s">
        <v>2069</v>
      </c>
      <c r="F67" t="s">
        <v>2070</v>
      </c>
      <c r="G67" t="s">
        <v>2034</v>
      </c>
      <c r="H67" t="s">
        <v>2035</v>
      </c>
      <c r="I67">
        <v>0</v>
      </c>
      <c r="J67">
        <v>2460.5</v>
      </c>
      <c r="K67" t="s">
        <v>1289</v>
      </c>
      <c r="L67">
        <v>2460.5</v>
      </c>
      <c r="M67">
        <v>0</v>
      </c>
      <c r="N67">
        <v>2460.5</v>
      </c>
      <c r="O67" t="s">
        <v>2089</v>
      </c>
      <c r="P67" t="s">
        <v>2072</v>
      </c>
      <c r="Q67" t="s">
        <v>2072</v>
      </c>
      <c r="R67">
        <v>55</v>
      </c>
      <c r="S67" s="71">
        <v>46217</v>
      </c>
      <c r="T67" t="s">
        <v>2038</v>
      </c>
      <c r="U67" t="s">
        <v>2039</v>
      </c>
      <c r="V67" t="s">
        <v>2210</v>
      </c>
      <c r="W67">
        <v>28</v>
      </c>
      <c r="X67">
        <v>0</v>
      </c>
      <c r="Y67">
        <v>55</v>
      </c>
      <c r="Z67" s="71">
        <v>46217</v>
      </c>
      <c r="AA67" t="s">
        <v>2212</v>
      </c>
      <c r="AB67" t="s">
        <v>2042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 t="s">
        <v>2044</v>
      </c>
      <c r="AL67">
        <v>0</v>
      </c>
      <c r="AM67">
        <v>0</v>
      </c>
      <c r="AN67">
        <v>0</v>
      </c>
      <c r="AO67">
        <v>0</v>
      </c>
      <c r="AP67">
        <v>0</v>
      </c>
      <c r="AR67">
        <v>-68895.14</v>
      </c>
      <c r="AS67">
        <v>0</v>
      </c>
      <c r="AT67">
        <v>0</v>
      </c>
      <c r="AU67" t="s">
        <v>36</v>
      </c>
      <c r="AV67" t="s">
        <v>1117</v>
      </c>
      <c r="AW67" t="s">
        <v>38</v>
      </c>
      <c r="AX67" t="s">
        <v>36</v>
      </c>
      <c r="AY67" t="s">
        <v>2045</v>
      </c>
      <c r="AZ67">
        <v>0</v>
      </c>
      <c r="BA67">
        <v>0</v>
      </c>
      <c r="BB67" t="s">
        <v>2211</v>
      </c>
      <c r="BC67" s="71">
        <v>46218</v>
      </c>
      <c r="BD67" t="s">
        <v>2077</v>
      </c>
      <c r="BE67" t="s">
        <v>2047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672145209550</v>
      </c>
      <c r="BO67" s="73">
        <v>46217.636111111111</v>
      </c>
      <c r="BP67">
        <v>2460.5</v>
      </c>
      <c r="BQ67" t="s">
        <v>38</v>
      </c>
    </row>
    <row r="68" spans="1:72" hidden="1" x14ac:dyDescent="0.35">
      <c r="A68" t="s">
        <v>27</v>
      </c>
      <c r="C68" s="80">
        <v>46220</v>
      </c>
      <c r="D68" t="s">
        <v>2213</v>
      </c>
      <c r="E68" t="s">
        <v>2214</v>
      </c>
      <c r="F68" t="s">
        <v>1646</v>
      </c>
      <c r="G68">
        <v>1</v>
      </c>
      <c r="H68" t="s">
        <v>2035</v>
      </c>
      <c r="I68">
        <v>0</v>
      </c>
      <c r="J68">
        <v>10000</v>
      </c>
      <c r="K68" t="s">
        <v>1289</v>
      </c>
      <c r="L68">
        <v>10000</v>
      </c>
      <c r="M68">
        <v>0</v>
      </c>
      <c r="N68">
        <v>10000</v>
      </c>
      <c r="O68" t="s">
        <v>2215</v>
      </c>
      <c r="P68" t="s">
        <v>138</v>
      </c>
      <c r="Q68" t="s">
        <v>138</v>
      </c>
      <c r="R68" t="s">
        <v>2216</v>
      </c>
      <c r="S68" s="71">
        <v>46219</v>
      </c>
      <c r="T68" t="s">
        <v>2038</v>
      </c>
      <c r="U68" t="s">
        <v>2103</v>
      </c>
      <c r="V68" t="s">
        <v>2217</v>
      </c>
      <c r="W68">
        <v>126</v>
      </c>
      <c r="X68">
        <v>0</v>
      </c>
      <c r="Y68" t="s">
        <v>2216</v>
      </c>
      <c r="Z68" s="71">
        <v>46219</v>
      </c>
      <c r="AA68" t="s">
        <v>2218</v>
      </c>
      <c r="AB68" t="s">
        <v>1139</v>
      </c>
      <c r="AD68" t="s">
        <v>2082</v>
      </c>
      <c r="AE68" t="s">
        <v>2219</v>
      </c>
      <c r="AF68">
        <v>0</v>
      </c>
      <c r="AG68">
        <v>0</v>
      </c>
      <c r="AH68">
        <v>0</v>
      </c>
      <c r="AI68">
        <v>0</v>
      </c>
      <c r="AJ68">
        <v>0</v>
      </c>
      <c r="AK68" t="s">
        <v>2044</v>
      </c>
      <c r="AL68">
        <v>0</v>
      </c>
      <c r="AM68">
        <v>0</v>
      </c>
      <c r="AN68">
        <v>0</v>
      </c>
      <c r="AO68">
        <v>0</v>
      </c>
      <c r="AP68">
        <v>0</v>
      </c>
      <c r="AR68">
        <v>-1260000</v>
      </c>
      <c r="AS68">
        <v>0</v>
      </c>
      <c r="AT68">
        <v>0</v>
      </c>
      <c r="AU68" t="s">
        <v>28</v>
      </c>
      <c r="AV68" t="s">
        <v>1173</v>
      </c>
      <c r="AW68" t="s">
        <v>34</v>
      </c>
      <c r="AX68" t="s">
        <v>28</v>
      </c>
      <c r="AY68" t="s">
        <v>2045</v>
      </c>
      <c r="AZ68">
        <v>0</v>
      </c>
      <c r="BA68">
        <v>0</v>
      </c>
      <c r="BB68" t="s">
        <v>2220</v>
      </c>
      <c r="BC68" s="71">
        <v>46220</v>
      </c>
      <c r="BD68" t="s">
        <v>135</v>
      </c>
      <c r="BE68" t="s">
        <v>2047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612146137575</v>
      </c>
      <c r="BO68" s="73">
        <v>46219.700694444444</v>
      </c>
      <c r="BP68">
        <v>10000</v>
      </c>
      <c r="BQ68" t="s">
        <v>2319</v>
      </c>
    </row>
    <row r="69" spans="1:72" x14ac:dyDescent="0.35">
      <c r="A69" t="s">
        <v>27</v>
      </c>
      <c r="C69" s="80">
        <v>46223</v>
      </c>
      <c r="D69" t="s">
        <v>2221</v>
      </c>
      <c r="E69" t="s">
        <v>2069</v>
      </c>
      <c r="F69" t="s">
        <v>2070</v>
      </c>
      <c r="G69" t="s">
        <v>2034</v>
      </c>
      <c r="H69" t="s">
        <v>2035</v>
      </c>
      <c r="I69">
        <v>0</v>
      </c>
      <c r="J69">
        <v>2403.6999999999998</v>
      </c>
      <c r="K69" t="s">
        <v>1289</v>
      </c>
      <c r="L69">
        <v>2403.6999999999998</v>
      </c>
      <c r="M69">
        <v>0</v>
      </c>
      <c r="N69">
        <v>2403.6999999999998</v>
      </c>
      <c r="O69" t="s">
        <v>2071</v>
      </c>
      <c r="P69" t="s">
        <v>2072</v>
      </c>
      <c r="Q69" t="s">
        <v>2072</v>
      </c>
      <c r="R69">
        <v>56</v>
      </c>
      <c r="S69" s="71">
        <v>46223</v>
      </c>
      <c r="T69" t="s">
        <v>2038</v>
      </c>
      <c r="U69" t="s">
        <v>2039</v>
      </c>
      <c r="V69" t="s">
        <v>2222</v>
      </c>
      <c r="W69">
        <v>28</v>
      </c>
      <c r="X69">
        <v>0</v>
      </c>
      <c r="Y69">
        <v>56</v>
      </c>
      <c r="Z69" s="71">
        <v>46223</v>
      </c>
      <c r="AA69" t="s">
        <v>2223</v>
      </c>
      <c r="AB69" t="s">
        <v>2224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 t="s">
        <v>2044</v>
      </c>
      <c r="AL69">
        <v>0</v>
      </c>
      <c r="AM69">
        <v>0</v>
      </c>
      <c r="AN69">
        <v>0</v>
      </c>
      <c r="AO69">
        <v>0</v>
      </c>
      <c r="AP69">
        <v>0</v>
      </c>
      <c r="AR69">
        <v>-67303.600000000006</v>
      </c>
      <c r="AS69">
        <v>0</v>
      </c>
      <c r="AT69">
        <v>0</v>
      </c>
      <c r="AU69" t="s">
        <v>36</v>
      </c>
      <c r="AV69" t="s">
        <v>1117</v>
      </c>
      <c r="AW69" t="s">
        <v>38</v>
      </c>
      <c r="AX69" t="s">
        <v>36</v>
      </c>
      <c r="AY69" t="s">
        <v>2045</v>
      </c>
      <c r="AZ69">
        <v>0</v>
      </c>
      <c r="BA69">
        <v>0</v>
      </c>
      <c r="BB69" t="s">
        <v>2225</v>
      </c>
      <c r="BC69" s="71">
        <v>46222</v>
      </c>
      <c r="BD69" t="s">
        <v>2077</v>
      </c>
      <c r="BE69" t="s">
        <v>2047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692148004044</v>
      </c>
      <c r="BO69" s="73">
        <v>46222.624305555553</v>
      </c>
      <c r="BP69">
        <v>2403.6999999999998</v>
      </c>
      <c r="BQ69" t="s">
        <v>38</v>
      </c>
    </row>
    <row r="70" spans="1:72" x14ac:dyDescent="0.35">
      <c r="A70" t="s">
        <v>27</v>
      </c>
      <c r="C70" s="80">
        <v>46223</v>
      </c>
      <c r="D70" t="s">
        <v>2226</v>
      </c>
      <c r="E70" t="s">
        <v>2096</v>
      </c>
      <c r="F70" t="s">
        <v>1277</v>
      </c>
      <c r="G70" t="s">
        <v>2034</v>
      </c>
      <c r="H70" t="s">
        <v>2035</v>
      </c>
      <c r="I70">
        <v>0</v>
      </c>
      <c r="J70">
        <v>105</v>
      </c>
      <c r="K70" t="s">
        <v>1289</v>
      </c>
      <c r="L70">
        <v>105</v>
      </c>
      <c r="M70">
        <v>0</v>
      </c>
      <c r="N70">
        <v>105</v>
      </c>
      <c r="O70" t="s">
        <v>2089</v>
      </c>
      <c r="P70" t="s">
        <v>2090</v>
      </c>
      <c r="Q70" t="s">
        <v>2090</v>
      </c>
      <c r="R70">
        <v>14</v>
      </c>
      <c r="S70" s="71">
        <v>46223</v>
      </c>
      <c r="T70" t="s">
        <v>2038</v>
      </c>
      <c r="U70" t="s">
        <v>2039</v>
      </c>
      <c r="V70" t="s">
        <v>2227</v>
      </c>
      <c r="W70">
        <v>0.1</v>
      </c>
      <c r="X70">
        <v>0</v>
      </c>
      <c r="Y70">
        <v>14</v>
      </c>
      <c r="Z70" s="71">
        <v>46223</v>
      </c>
      <c r="AA70" t="s">
        <v>2228</v>
      </c>
      <c r="AB70" t="s">
        <v>2042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 t="s">
        <v>2044</v>
      </c>
      <c r="AL70">
        <v>0</v>
      </c>
      <c r="AM70">
        <v>0</v>
      </c>
      <c r="AN70">
        <v>0</v>
      </c>
      <c r="AO70">
        <v>0</v>
      </c>
      <c r="AP70">
        <v>0</v>
      </c>
      <c r="AR70">
        <v>-69919.899999999994</v>
      </c>
      <c r="AS70">
        <v>0</v>
      </c>
      <c r="AT70">
        <v>0</v>
      </c>
      <c r="AU70" t="s">
        <v>36</v>
      </c>
      <c r="AV70" t="s">
        <v>48</v>
      </c>
      <c r="AW70" t="s">
        <v>48</v>
      </c>
      <c r="AX70" t="s">
        <v>36</v>
      </c>
      <c r="AY70" t="s">
        <v>2045</v>
      </c>
      <c r="AZ70">
        <v>0</v>
      </c>
      <c r="BA70">
        <v>0</v>
      </c>
      <c r="BB70" t="s">
        <v>2229</v>
      </c>
      <c r="BC70" s="71">
        <v>46223</v>
      </c>
      <c r="BD70" t="s">
        <v>2095</v>
      </c>
      <c r="BE70" t="s">
        <v>2047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632148229850</v>
      </c>
      <c r="BO70" s="73">
        <v>46223.697222222225</v>
      </c>
      <c r="BP70">
        <v>105</v>
      </c>
      <c r="BQ70" t="s">
        <v>48</v>
      </c>
    </row>
    <row r="71" spans="1:72" x14ac:dyDescent="0.35">
      <c r="A71" t="s">
        <v>27</v>
      </c>
      <c r="C71" s="80">
        <v>46223</v>
      </c>
      <c r="D71" t="s">
        <v>2226</v>
      </c>
      <c r="E71" t="s">
        <v>2033</v>
      </c>
      <c r="F71" t="s">
        <v>1119</v>
      </c>
      <c r="G71" t="s">
        <v>2034</v>
      </c>
      <c r="H71" t="s">
        <v>2035</v>
      </c>
      <c r="I71">
        <v>0</v>
      </c>
      <c r="J71">
        <v>1625.8</v>
      </c>
      <c r="K71" t="s">
        <v>1289</v>
      </c>
      <c r="L71">
        <v>1625.8</v>
      </c>
      <c r="M71">
        <v>0</v>
      </c>
      <c r="N71">
        <v>1625.8</v>
      </c>
      <c r="O71" t="s">
        <v>2089</v>
      </c>
      <c r="P71" t="s">
        <v>2090</v>
      </c>
      <c r="Q71" t="s">
        <v>2090</v>
      </c>
      <c r="R71">
        <v>14</v>
      </c>
      <c r="S71" s="71">
        <v>46223</v>
      </c>
      <c r="T71" t="s">
        <v>2038</v>
      </c>
      <c r="U71" t="s">
        <v>2039</v>
      </c>
      <c r="V71" t="s">
        <v>2227</v>
      </c>
      <c r="W71">
        <v>43</v>
      </c>
      <c r="X71">
        <v>0</v>
      </c>
      <c r="Y71">
        <v>14</v>
      </c>
      <c r="Z71" s="71">
        <v>46223</v>
      </c>
      <c r="AA71" t="s">
        <v>2230</v>
      </c>
      <c r="AB71" t="s">
        <v>2042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 t="s">
        <v>2044</v>
      </c>
      <c r="AL71">
        <v>0</v>
      </c>
      <c r="AM71">
        <v>0</v>
      </c>
      <c r="AN71">
        <v>0</v>
      </c>
      <c r="AO71">
        <v>0</v>
      </c>
      <c r="AP71">
        <v>0</v>
      </c>
      <c r="AR71">
        <v>-69919.899999999994</v>
      </c>
      <c r="AS71">
        <v>0</v>
      </c>
      <c r="AT71">
        <v>0</v>
      </c>
      <c r="AU71" t="s">
        <v>36</v>
      </c>
      <c r="AV71" t="s">
        <v>1117</v>
      </c>
      <c r="AW71" t="s">
        <v>44</v>
      </c>
      <c r="AX71" t="s">
        <v>36</v>
      </c>
      <c r="AY71" t="s">
        <v>2045</v>
      </c>
      <c r="AZ71">
        <v>0</v>
      </c>
      <c r="BA71">
        <v>0</v>
      </c>
      <c r="BB71" t="s">
        <v>2229</v>
      </c>
      <c r="BC71" s="71">
        <v>46223</v>
      </c>
      <c r="BD71" t="s">
        <v>2095</v>
      </c>
      <c r="BE71" t="s">
        <v>2047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632148229850</v>
      </c>
      <c r="BO71" s="73">
        <v>46223.697222222225</v>
      </c>
      <c r="BP71">
        <v>1625.8</v>
      </c>
      <c r="BQ71" t="s">
        <v>44</v>
      </c>
    </row>
    <row r="72" spans="1:72" hidden="1" x14ac:dyDescent="0.35">
      <c r="A72" t="s">
        <v>27</v>
      </c>
      <c r="C72" s="80">
        <v>46225</v>
      </c>
      <c r="D72" t="s">
        <v>2231</v>
      </c>
      <c r="E72" t="s">
        <v>2232</v>
      </c>
      <c r="F72" t="s">
        <v>2233</v>
      </c>
      <c r="G72" t="s">
        <v>2034</v>
      </c>
      <c r="H72" t="s">
        <v>2035</v>
      </c>
      <c r="I72">
        <v>0</v>
      </c>
      <c r="J72">
        <v>10000</v>
      </c>
      <c r="K72" t="s">
        <v>1289</v>
      </c>
      <c r="L72">
        <v>10000</v>
      </c>
      <c r="M72">
        <v>0</v>
      </c>
      <c r="N72">
        <v>10000</v>
      </c>
      <c r="O72" t="s">
        <v>2234</v>
      </c>
      <c r="P72" t="s">
        <v>2235</v>
      </c>
      <c r="Q72" t="s">
        <v>2235</v>
      </c>
      <c r="R72" t="s">
        <v>2236</v>
      </c>
      <c r="S72" s="71">
        <v>46224</v>
      </c>
      <c r="T72" t="s">
        <v>2038</v>
      </c>
      <c r="U72" t="s">
        <v>2103</v>
      </c>
      <c r="V72" t="s">
        <v>2237</v>
      </c>
      <c r="W72">
        <v>135</v>
      </c>
      <c r="X72">
        <v>0</v>
      </c>
      <c r="Y72" t="s">
        <v>2236</v>
      </c>
      <c r="Z72" s="71">
        <v>46224</v>
      </c>
      <c r="AA72" t="s">
        <v>2238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 t="s">
        <v>2044</v>
      </c>
      <c r="AL72">
        <v>0</v>
      </c>
      <c r="AM72">
        <v>0</v>
      </c>
      <c r="AN72">
        <v>0</v>
      </c>
      <c r="AO72">
        <v>0</v>
      </c>
      <c r="AP72">
        <v>0</v>
      </c>
      <c r="AR72">
        <v>-1350000</v>
      </c>
      <c r="AS72">
        <v>0</v>
      </c>
      <c r="AT72">
        <v>0</v>
      </c>
      <c r="AU72" t="s">
        <v>28</v>
      </c>
      <c r="AV72" t="s">
        <v>1173</v>
      </c>
      <c r="AW72" t="s">
        <v>34</v>
      </c>
      <c r="AX72" t="s">
        <v>28</v>
      </c>
      <c r="AY72" t="s">
        <v>2045</v>
      </c>
      <c r="AZ72">
        <v>0</v>
      </c>
      <c r="BA72">
        <v>0</v>
      </c>
      <c r="BB72" t="s">
        <v>2239</v>
      </c>
      <c r="BC72" s="71">
        <v>46225</v>
      </c>
      <c r="BD72" t="s">
        <v>2240</v>
      </c>
      <c r="BE72" t="s">
        <v>2047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682148994911</v>
      </c>
      <c r="BO72" s="73">
        <v>46224.481249999997</v>
      </c>
      <c r="BP72">
        <v>10000</v>
      </c>
      <c r="BQ72" t="s">
        <v>2319</v>
      </c>
    </row>
    <row r="73" spans="1:72" hidden="1" x14ac:dyDescent="0.35">
      <c r="A73" t="s">
        <v>27</v>
      </c>
      <c r="C73" s="80">
        <v>46231</v>
      </c>
      <c r="D73" t="s">
        <v>2241</v>
      </c>
      <c r="E73" t="s">
        <v>2214</v>
      </c>
      <c r="F73" t="s">
        <v>1646</v>
      </c>
      <c r="G73" t="s">
        <v>2034</v>
      </c>
      <c r="H73" t="s">
        <v>2035</v>
      </c>
      <c r="I73">
        <v>0</v>
      </c>
      <c r="J73">
        <v>5000</v>
      </c>
      <c r="K73" t="s">
        <v>1289</v>
      </c>
      <c r="L73">
        <v>5000</v>
      </c>
      <c r="M73">
        <v>0</v>
      </c>
      <c r="N73">
        <v>5000</v>
      </c>
      <c r="O73" t="s">
        <v>2242</v>
      </c>
      <c r="P73" t="s">
        <v>134</v>
      </c>
      <c r="Q73" t="s">
        <v>134</v>
      </c>
      <c r="R73" t="s">
        <v>2243</v>
      </c>
      <c r="S73" s="71">
        <v>46229</v>
      </c>
      <c r="T73" t="s">
        <v>2038</v>
      </c>
      <c r="U73" t="s">
        <v>2103</v>
      </c>
      <c r="V73" t="s">
        <v>2244</v>
      </c>
      <c r="W73">
        <v>137.63999999999999</v>
      </c>
      <c r="X73">
        <v>0</v>
      </c>
      <c r="Y73" t="s">
        <v>2243</v>
      </c>
      <c r="Z73" s="71">
        <v>46229</v>
      </c>
      <c r="AA73" t="s">
        <v>2245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 t="s">
        <v>2044</v>
      </c>
      <c r="AL73">
        <v>0</v>
      </c>
      <c r="AM73">
        <v>0</v>
      </c>
      <c r="AN73">
        <v>0</v>
      </c>
      <c r="AO73">
        <v>0</v>
      </c>
      <c r="AP73">
        <v>0</v>
      </c>
      <c r="AR73">
        <v>-688200</v>
      </c>
      <c r="AS73">
        <v>0</v>
      </c>
      <c r="AT73">
        <v>0</v>
      </c>
      <c r="AU73" t="s">
        <v>28</v>
      </c>
      <c r="AV73" t="s">
        <v>1173</v>
      </c>
      <c r="AW73" t="s">
        <v>34</v>
      </c>
      <c r="AX73" t="s">
        <v>28</v>
      </c>
      <c r="AY73" t="s">
        <v>2045</v>
      </c>
      <c r="AZ73">
        <v>0</v>
      </c>
      <c r="BA73">
        <v>0</v>
      </c>
      <c r="BB73" t="s">
        <v>2246</v>
      </c>
      <c r="BC73" s="71">
        <v>46231</v>
      </c>
      <c r="BD73" t="s">
        <v>135</v>
      </c>
      <c r="BE73" t="s">
        <v>2047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602151463389</v>
      </c>
      <c r="BO73" s="73">
        <v>46229.472222222219</v>
      </c>
      <c r="BP73">
        <v>5000</v>
      </c>
      <c r="BQ73" t="s">
        <v>2319</v>
      </c>
    </row>
    <row r="74" spans="1:72" hidden="1" x14ac:dyDescent="0.35">
      <c r="A74" t="s">
        <v>27</v>
      </c>
      <c r="C74" s="80">
        <v>46231</v>
      </c>
      <c r="D74" t="s">
        <v>2247</v>
      </c>
      <c r="E74" t="s">
        <v>2214</v>
      </c>
      <c r="F74" t="s">
        <v>1646</v>
      </c>
      <c r="G74" t="s">
        <v>2034</v>
      </c>
      <c r="H74" t="s">
        <v>2035</v>
      </c>
      <c r="I74">
        <v>0</v>
      </c>
      <c r="J74">
        <v>3000</v>
      </c>
      <c r="K74" t="s">
        <v>1289</v>
      </c>
      <c r="L74">
        <v>3000</v>
      </c>
      <c r="M74">
        <v>0</v>
      </c>
      <c r="N74">
        <v>3000</v>
      </c>
      <c r="O74" t="s">
        <v>2248</v>
      </c>
      <c r="P74" t="s">
        <v>134</v>
      </c>
      <c r="Q74" t="s">
        <v>134</v>
      </c>
      <c r="R74" t="s">
        <v>2249</v>
      </c>
      <c r="S74" s="71">
        <v>46229</v>
      </c>
      <c r="T74" t="s">
        <v>2038</v>
      </c>
      <c r="U74" t="s">
        <v>2103</v>
      </c>
      <c r="V74" t="s">
        <v>2250</v>
      </c>
      <c r="W74">
        <v>121.16</v>
      </c>
      <c r="X74">
        <v>0</v>
      </c>
      <c r="Y74" t="s">
        <v>2249</v>
      </c>
      <c r="Z74" s="71">
        <v>46231</v>
      </c>
      <c r="AA74" t="s">
        <v>2251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 t="s">
        <v>2044</v>
      </c>
      <c r="AL74">
        <v>0</v>
      </c>
      <c r="AM74">
        <v>0</v>
      </c>
      <c r="AN74">
        <v>0</v>
      </c>
      <c r="AO74">
        <v>0</v>
      </c>
      <c r="AP74">
        <v>0</v>
      </c>
      <c r="AR74">
        <v>-363480</v>
      </c>
      <c r="AS74">
        <v>0</v>
      </c>
      <c r="AT74">
        <v>0</v>
      </c>
      <c r="AU74" t="s">
        <v>28</v>
      </c>
      <c r="AV74" t="s">
        <v>1173</v>
      </c>
      <c r="AW74" t="s">
        <v>34</v>
      </c>
      <c r="AX74" t="s">
        <v>28</v>
      </c>
      <c r="AY74" t="s">
        <v>2045</v>
      </c>
      <c r="AZ74">
        <v>0</v>
      </c>
      <c r="BA74">
        <v>0</v>
      </c>
      <c r="BB74" t="s">
        <v>2252</v>
      </c>
      <c r="BC74" s="71">
        <v>46231</v>
      </c>
      <c r="BD74" t="s">
        <v>135</v>
      </c>
      <c r="BE74" t="s">
        <v>2047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612152544897</v>
      </c>
      <c r="BO74" s="71">
        <v>46231</v>
      </c>
      <c r="BP74">
        <v>3000</v>
      </c>
      <c r="BQ74" t="s">
        <v>2319</v>
      </c>
    </row>
    <row r="75" spans="1:72" hidden="1" x14ac:dyDescent="0.35">
      <c r="A75" t="s">
        <v>27</v>
      </c>
      <c r="C75" s="80">
        <v>46232</v>
      </c>
      <c r="D75" t="s">
        <v>2253</v>
      </c>
      <c r="E75" t="s">
        <v>2186</v>
      </c>
      <c r="F75" t="s">
        <v>2187</v>
      </c>
      <c r="G75" t="s">
        <v>2034</v>
      </c>
      <c r="H75" t="s">
        <v>2035</v>
      </c>
      <c r="I75">
        <v>0</v>
      </c>
      <c r="J75">
        <v>10000</v>
      </c>
      <c r="K75" t="s">
        <v>1289</v>
      </c>
      <c r="L75">
        <v>10000</v>
      </c>
      <c r="M75">
        <v>0</v>
      </c>
      <c r="N75">
        <v>10000</v>
      </c>
      <c r="O75" t="s">
        <v>2248</v>
      </c>
      <c r="P75" t="s">
        <v>134</v>
      </c>
      <c r="Q75" t="s">
        <v>134</v>
      </c>
      <c r="R75" t="s">
        <v>2254</v>
      </c>
      <c r="S75" s="71">
        <v>46232</v>
      </c>
      <c r="T75" t="s">
        <v>2038</v>
      </c>
      <c r="U75" t="s">
        <v>2103</v>
      </c>
      <c r="V75" t="s">
        <v>2255</v>
      </c>
      <c r="W75">
        <v>117.89</v>
      </c>
      <c r="X75">
        <v>0</v>
      </c>
      <c r="Y75" t="s">
        <v>2254</v>
      </c>
      <c r="Z75" s="71">
        <v>46232</v>
      </c>
      <c r="AA75" t="s">
        <v>2256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 t="s">
        <v>2044</v>
      </c>
      <c r="AL75">
        <v>0</v>
      </c>
      <c r="AM75">
        <v>0</v>
      </c>
      <c r="AN75">
        <v>0</v>
      </c>
      <c r="AO75">
        <v>0</v>
      </c>
      <c r="AP75">
        <v>0</v>
      </c>
      <c r="AR75">
        <v>-1178900</v>
      </c>
      <c r="AS75">
        <v>0</v>
      </c>
      <c r="AT75">
        <v>0</v>
      </c>
      <c r="AU75" t="s">
        <v>28</v>
      </c>
      <c r="AV75" t="s">
        <v>1173</v>
      </c>
      <c r="AW75" t="s">
        <v>34</v>
      </c>
      <c r="AX75" t="s">
        <v>28</v>
      </c>
      <c r="AY75" t="s">
        <v>2045</v>
      </c>
      <c r="AZ75">
        <v>0</v>
      </c>
      <c r="BA75">
        <v>0</v>
      </c>
      <c r="BB75" t="s">
        <v>2257</v>
      </c>
      <c r="BC75" s="71">
        <v>46232</v>
      </c>
      <c r="BD75" t="s">
        <v>135</v>
      </c>
      <c r="BE75" t="s">
        <v>2047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682153229952</v>
      </c>
      <c r="BO75" s="73">
        <v>46232.675694444442</v>
      </c>
      <c r="BP75">
        <v>10000</v>
      </c>
      <c r="BQ75" t="s">
        <v>2319</v>
      </c>
    </row>
    <row r="76" spans="1:72" hidden="1" x14ac:dyDescent="0.35">
      <c r="A76" t="s">
        <v>27</v>
      </c>
      <c r="C76" s="80">
        <v>46233</v>
      </c>
      <c r="D76" t="s">
        <v>2258</v>
      </c>
      <c r="E76" t="s">
        <v>2259</v>
      </c>
      <c r="F76" t="s">
        <v>2260</v>
      </c>
      <c r="G76" t="s">
        <v>2034</v>
      </c>
      <c r="H76" t="s">
        <v>2035</v>
      </c>
      <c r="I76">
        <v>0</v>
      </c>
      <c r="J76">
        <v>30000</v>
      </c>
      <c r="K76" t="s">
        <v>1289</v>
      </c>
      <c r="L76">
        <v>30000</v>
      </c>
      <c r="M76">
        <v>0</v>
      </c>
      <c r="N76">
        <v>30000</v>
      </c>
      <c r="O76" t="s">
        <v>2261</v>
      </c>
      <c r="P76" t="s">
        <v>138</v>
      </c>
      <c r="Q76" t="s">
        <v>138</v>
      </c>
      <c r="R76">
        <v>3734700</v>
      </c>
      <c r="S76" s="71">
        <v>46233</v>
      </c>
      <c r="T76" t="s">
        <v>2038</v>
      </c>
      <c r="U76" t="s">
        <v>2103</v>
      </c>
      <c r="V76" t="s">
        <v>2262</v>
      </c>
      <c r="W76">
        <v>124.49</v>
      </c>
      <c r="X76">
        <v>0</v>
      </c>
      <c r="Y76" t="s">
        <v>2263</v>
      </c>
      <c r="Z76" s="71">
        <v>46232</v>
      </c>
      <c r="AA76" t="s">
        <v>2264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 t="s">
        <v>2044</v>
      </c>
      <c r="AL76">
        <v>0</v>
      </c>
      <c r="AM76">
        <v>0</v>
      </c>
      <c r="AN76">
        <v>0</v>
      </c>
      <c r="AO76">
        <v>0</v>
      </c>
      <c r="AP76">
        <v>0</v>
      </c>
      <c r="AR76">
        <v>-3734700</v>
      </c>
      <c r="AS76">
        <v>0</v>
      </c>
      <c r="AT76">
        <v>0</v>
      </c>
      <c r="AU76" t="s">
        <v>28</v>
      </c>
      <c r="AV76" t="s">
        <v>1173</v>
      </c>
      <c r="AW76" t="s">
        <v>34</v>
      </c>
      <c r="AX76" t="s">
        <v>28</v>
      </c>
      <c r="AZ76">
        <v>0</v>
      </c>
      <c r="BA76">
        <v>0</v>
      </c>
      <c r="BB76" t="s">
        <v>2265</v>
      </c>
      <c r="BC76" s="71">
        <v>46233</v>
      </c>
      <c r="BD76" t="s">
        <v>135</v>
      </c>
      <c r="BE76" t="s">
        <v>2047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612153615093</v>
      </c>
      <c r="BO76" s="73">
        <v>46232.603472222225</v>
      </c>
      <c r="BP76">
        <v>30000</v>
      </c>
      <c r="BQ76" t="s">
        <v>2319</v>
      </c>
    </row>
    <row r="77" spans="1:72" hidden="1" x14ac:dyDescent="0.35">
      <c r="A77" t="s">
        <v>27</v>
      </c>
      <c r="C77" s="80">
        <v>46234</v>
      </c>
      <c r="D77" t="s">
        <v>2266</v>
      </c>
      <c r="E77" t="s">
        <v>2259</v>
      </c>
      <c r="F77" t="s">
        <v>2260</v>
      </c>
      <c r="G77" t="s">
        <v>2034</v>
      </c>
      <c r="H77" t="s">
        <v>2035</v>
      </c>
      <c r="I77">
        <v>0</v>
      </c>
      <c r="J77">
        <v>25000</v>
      </c>
      <c r="K77" t="s">
        <v>1289</v>
      </c>
      <c r="L77">
        <v>25000</v>
      </c>
      <c r="M77">
        <v>0</v>
      </c>
      <c r="N77">
        <v>25000</v>
      </c>
      <c r="O77" t="s">
        <v>2267</v>
      </c>
      <c r="P77" t="s">
        <v>138</v>
      </c>
      <c r="Q77" t="s">
        <v>138</v>
      </c>
      <c r="R77" t="s">
        <v>2268</v>
      </c>
      <c r="S77" s="71">
        <v>46233</v>
      </c>
      <c r="T77" t="s">
        <v>2038</v>
      </c>
      <c r="U77" t="s">
        <v>2103</v>
      </c>
      <c r="V77" t="s">
        <v>2269</v>
      </c>
      <c r="W77">
        <v>124.49</v>
      </c>
      <c r="X77">
        <v>0</v>
      </c>
      <c r="Y77" t="s">
        <v>2268</v>
      </c>
      <c r="Z77" s="71">
        <v>46233</v>
      </c>
      <c r="AA77" t="s">
        <v>2270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 t="s">
        <v>2044</v>
      </c>
      <c r="AL77">
        <v>0</v>
      </c>
      <c r="AM77">
        <v>0</v>
      </c>
      <c r="AN77">
        <v>0</v>
      </c>
      <c r="AO77">
        <v>0</v>
      </c>
      <c r="AP77">
        <v>0</v>
      </c>
      <c r="AR77">
        <v>-3112250</v>
      </c>
      <c r="AS77">
        <v>0</v>
      </c>
      <c r="AT77">
        <v>0</v>
      </c>
      <c r="AU77" t="s">
        <v>28</v>
      </c>
      <c r="AV77" t="s">
        <v>1173</v>
      </c>
      <c r="AW77" t="s">
        <v>34</v>
      </c>
      <c r="AX77" t="s">
        <v>28</v>
      </c>
      <c r="AZ77">
        <v>0</v>
      </c>
      <c r="BA77">
        <v>0</v>
      </c>
      <c r="BB77" t="s">
        <v>2271</v>
      </c>
      <c r="BC77" s="71">
        <v>46234</v>
      </c>
      <c r="BD77" t="s">
        <v>135</v>
      </c>
      <c r="BE77" t="s">
        <v>2047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642154185789</v>
      </c>
      <c r="BO77" s="73">
        <v>46233.677777777775</v>
      </c>
      <c r="BP77">
        <v>25000</v>
      </c>
      <c r="BQ77" t="s">
        <v>2319</v>
      </c>
    </row>
    <row r="80" spans="1:72" x14ac:dyDescent="0.35">
      <c r="BR80" s="77" t="s">
        <v>2320</v>
      </c>
      <c r="BS80" t="s">
        <v>2326</v>
      </c>
      <c r="BT80" t="s">
        <v>2327</v>
      </c>
    </row>
    <row r="81" spans="70:72" x14ac:dyDescent="0.35">
      <c r="BR81" s="78" t="s">
        <v>38</v>
      </c>
      <c r="BS81">
        <v>7077.4000000000005</v>
      </c>
      <c r="BT81">
        <v>7077.4000000000005</v>
      </c>
    </row>
    <row r="82" spans="70:72" hidden="1" x14ac:dyDescent="0.35">
      <c r="BR82" s="78" t="s">
        <v>2319</v>
      </c>
      <c r="BS82">
        <v>12438.55</v>
      </c>
      <c r="BT82">
        <v>12438.55</v>
      </c>
    </row>
    <row r="83" spans="70:72" x14ac:dyDescent="0.35">
      <c r="BR83" s="78" t="s">
        <v>34</v>
      </c>
      <c r="BS83">
        <v>1500</v>
      </c>
      <c r="BT83">
        <v>1500</v>
      </c>
    </row>
    <row r="84" spans="70:72" x14ac:dyDescent="0.35">
      <c r="BR84" s="78" t="s">
        <v>42</v>
      </c>
      <c r="BS84">
        <v>4759.7</v>
      </c>
      <c r="BT84">
        <v>4759.7</v>
      </c>
    </row>
    <row r="85" spans="70:72" x14ac:dyDescent="0.35">
      <c r="BR85" s="78" t="s">
        <v>44</v>
      </c>
      <c r="BS85">
        <v>50226.040000000008</v>
      </c>
      <c r="BT85">
        <v>50226.040000000008</v>
      </c>
    </row>
    <row r="86" spans="70:72" x14ac:dyDescent="0.35">
      <c r="BR86" s="78" t="s">
        <v>46</v>
      </c>
      <c r="BS86">
        <v>9562.3900000000012</v>
      </c>
      <c r="BT86">
        <v>9562.3900000000012</v>
      </c>
    </row>
    <row r="87" spans="70:72" x14ac:dyDescent="0.35">
      <c r="BR87" s="78" t="s">
        <v>48</v>
      </c>
      <c r="BS87">
        <v>470.79999999999995</v>
      </c>
      <c r="BT87">
        <v>470.79999999999995</v>
      </c>
    </row>
    <row r="88" spans="70:72" x14ac:dyDescent="0.35">
      <c r="BR88" s="78" t="s">
        <v>2321</v>
      </c>
      <c r="BS88">
        <v>86034.880000000005</v>
      </c>
      <c r="BT88">
        <v>86034.880000000005</v>
      </c>
    </row>
  </sheetData>
  <autoFilter ref="A3:BQ77" xr:uid="{18F80783-2B3C-4487-8C2B-24483CA7402A}">
    <filterColumn colId="20">
      <filters>
        <filter val="SELF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6787-2D61-451C-A2FE-FE455A2F0B86}">
  <dimension ref="B2:X23"/>
  <sheetViews>
    <sheetView workbookViewId="0">
      <pane ySplit="3" topLeftCell="A4" activePane="bottomLeft" state="frozen"/>
      <selection pane="bottomLeft" activeCell="V7" sqref="V7"/>
    </sheetView>
  </sheetViews>
  <sheetFormatPr defaultRowHeight="14.5" x14ac:dyDescent="0.35"/>
  <cols>
    <col min="2" max="2" width="24.90625" hidden="1" customWidth="1"/>
    <col min="3" max="3" width="20.90625" hidden="1" customWidth="1"/>
    <col min="4" max="4" width="10.08984375" bestFit="1" customWidth="1"/>
    <col min="5" max="5" width="25.54296875" bestFit="1" customWidth="1"/>
    <col min="6" max="6" width="13.6328125" hidden="1" customWidth="1"/>
    <col min="7" max="7" width="21.1796875" hidden="1" customWidth="1"/>
    <col min="8" max="8" width="3.36328125" hidden="1" customWidth="1"/>
    <col min="9" max="9" width="8.08984375" hidden="1" customWidth="1"/>
    <col min="10" max="10" width="14.08984375" customWidth="1"/>
    <col min="11" max="11" width="9.6328125" hidden="1" customWidth="1"/>
    <col min="12" max="12" width="25.36328125" hidden="1" customWidth="1"/>
    <col min="13" max="13" width="1.36328125" hidden="1" customWidth="1"/>
    <col min="14" max="14" width="8.6328125" hidden="1" customWidth="1"/>
    <col min="15" max="15" width="8.81640625" customWidth="1"/>
    <col min="16" max="16" width="12.26953125" customWidth="1"/>
    <col min="17" max="17" width="11.81640625" hidden="1" customWidth="1"/>
    <col min="18" max="18" width="10.81640625" hidden="1" customWidth="1"/>
    <col min="19" max="19" width="11.453125" hidden="1" customWidth="1"/>
    <col min="20" max="20" width="1.36328125" hidden="1" customWidth="1"/>
    <col min="21" max="21" width="10.6328125" hidden="1" customWidth="1"/>
    <col min="22" max="22" width="18.1796875" customWidth="1"/>
    <col min="23" max="23" width="12.453125" bestFit="1" customWidth="1"/>
    <col min="24" max="24" width="13.7265625" bestFit="1" customWidth="1"/>
  </cols>
  <sheetData>
    <row r="2" spans="2:23" x14ac:dyDescent="0.35">
      <c r="P2" s="1">
        <f>SUBTOTAL(9,P5:P15)</f>
        <v>15753.64</v>
      </c>
    </row>
    <row r="3" spans="2:23" s="18" customFormat="1" ht="29" x14ac:dyDescent="0.35">
      <c r="B3" s="1" t="s">
        <v>98</v>
      </c>
      <c r="C3" s="1" t="s">
        <v>1984</v>
      </c>
      <c r="D3" s="79" t="s">
        <v>2272</v>
      </c>
      <c r="E3" s="79" t="s">
        <v>2273</v>
      </c>
      <c r="F3" s="1" t="s">
        <v>2274</v>
      </c>
      <c r="G3" s="1" t="s">
        <v>2275</v>
      </c>
      <c r="H3" s="1" t="s">
        <v>2011</v>
      </c>
      <c r="I3" s="1" t="s">
        <v>2012</v>
      </c>
      <c r="J3" s="79" t="s">
        <v>2</v>
      </c>
      <c r="K3" s="1" t="s">
        <v>2276</v>
      </c>
      <c r="L3" s="1" t="s">
        <v>2277</v>
      </c>
      <c r="M3" s="1" t="s">
        <v>2278</v>
      </c>
      <c r="N3" s="1" t="s">
        <v>2279</v>
      </c>
      <c r="O3" s="79" t="s">
        <v>2280</v>
      </c>
      <c r="P3" s="79" t="s">
        <v>2281</v>
      </c>
      <c r="Q3" s="1" t="s">
        <v>2282</v>
      </c>
      <c r="R3" s="1" t="s">
        <v>2283</v>
      </c>
      <c r="S3" s="1" t="s">
        <v>2284</v>
      </c>
      <c r="T3" s="1" t="s">
        <v>2285</v>
      </c>
      <c r="U3" s="1" t="s">
        <v>2286</v>
      </c>
      <c r="V3" s="79" t="s">
        <v>2318</v>
      </c>
      <c r="W3" s="18">
        <v>1</v>
      </c>
    </row>
    <row r="4" spans="2:23" x14ac:dyDescent="0.35">
      <c r="B4" t="s">
        <v>27</v>
      </c>
      <c r="C4" t="s">
        <v>2287</v>
      </c>
      <c r="D4" s="71">
        <v>46205</v>
      </c>
      <c r="E4" t="s">
        <v>2288</v>
      </c>
      <c r="F4" t="s">
        <v>2289</v>
      </c>
      <c r="G4" t="s">
        <v>2290</v>
      </c>
      <c r="H4" t="s">
        <v>36</v>
      </c>
      <c r="I4" t="s">
        <v>1087</v>
      </c>
      <c r="J4" t="s">
        <v>46</v>
      </c>
      <c r="K4" t="s">
        <v>2160</v>
      </c>
      <c r="L4" t="s">
        <v>1564</v>
      </c>
      <c r="M4" t="s">
        <v>1139</v>
      </c>
      <c r="N4" t="s">
        <v>2291</v>
      </c>
      <c r="O4" t="s">
        <v>1289</v>
      </c>
      <c r="P4">
        <v>5021.4799999999996</v>
      </c>
      <c r="Q4">
        <v>1024356.8125999999</v>
      </c>
      <c r="R4">
        <v>1147279.6299999999</v>
      </c>
      <c r="S4" t="s">
        <v>2089</v>
      </c>
      <c r="V4" t="s">
        <v>46</v>
      </c>
    </row>
    <row r="5" spans="2:23" x14ac:dyDescent="0.35">
      <c r="B5" t="s">
        <v>27</v>
      </c>
      <c r="C5" t="s">
        <v>2292</v>
      </c>
      <c r="D5" s="71">
        <v>46208</v>
      </c>
      <c r="E5" t="s">
        <v>2293</v>
      </c>
      <c r="F5" t="s">
        <v>2294</v>
      </c>
      <c r="G5" t="s">
        <v>2295</v>
      </c>
      <c r="H5" t="s">
        <v>28</v>
      </c>
      <c r="I5" t="s">
        <v>1173</v>
      </c>
      <c r="J5" t="s">
        <v>30</v>
      </c>
      <c r="K5" t="s">
        <v>2296</v>
      </c>
      <c r="L5" t="s">
        <v>1830</v>
      </c>
      <c r="M5" t="s">
        <v>1139</v>
      </c>
      <c r="N5" t="s">
        <v>2297</v>
      </c>
      <c r="O5" t="s">
        <v>1289</v>
      </c>
      <c r="P5">
        <v>70</v>
      </c>
      <c r="Q5">
        <v>1960</v>
      </c>
      <c r="R5">
        <v>325358.56</v>
      </c>
      <c r="S5" t="s">
        <v>2071</v>
      </c>
      <c r="T5" t="s">
        <v>1139</v>
      </c>
      <c r="V5" t="s">
        <v>30</v>
      </c>
    </row>
    <row r="6" spans="2:23" x14ac:dyDescent="0.35">
      <c r="B6" t="s">
        <v>27</v>
      </c>
      <c r="C6" t="s">
        <v>2292</v>
      </c>
      <c r="D6" s="71">
        <v>46208</v>
      </c>
      <c r="E6" t="s">
        <v>2293</v>
      </c>
      <c r="F6" t="s">
        <v>2294</v>
      </c>
      <c r="G6" t="s">
        <v>2298</v>
      </c>
      <c r="H6" t="s">
        <v>28</v>
      </c>
      <c r="I6" t="s">
        <v>1173</v>
      </c>
      <c r="J6" t="s">
        <v>34</v>
      </c>
      <c r="K6" t="s">
        <v>2299</v>
      </c>
      <c r="L6" t="s">
        <v>2300</v>
      </c>
      <c r="M6" t="s">
        <v>1139</v>
      </c>
      <c r="N6" t="s">
        <v>2301</v>
      </c>
      <c r="O6" t="s">
        <v>1289</v>
      </c>
      <c r="P6">
        <v>3342.5</v>
      </c>
      <c r="Q6">
        <v>258017.60250000001</v>
      </c>
      <c r="R6">
        <v>325358.56</v>
      </c>
      <c r="S6" t="s">
        <v>2071</v>
      </c>
      <c r="T6" t="s">
        <v>1139</v>
      </c>
      <c r="V6" t="s">
        <v>34</v>
      </c>
    </row>
    <row r="7" spans="2:23" x14ac:dyDescent="0.35">
      <c r="B7" t="s">
        <v>27</v>
      </c>
      <c r="C7" t="s">
        <v>2292</v>
      </c>
      <c r="D7" s="71">
        <v>46208</v>
      </c>
      <c r="E7" t="s">
        <v>2293</v>
      </c>
      <c r="F7" t="s">
        <v>2294</v>
      </c>
      <c r="G7" t="s">
        <v>35</v>
      </c>
      <c r="H7" t="s">
        <v>28</v>
      </c>
      <c r="I7" t="s">
        <v>1173</v>
      </c>
      <c r="J7" t="s">
        <v>35</v>
      </c>
      <c r="K7" t="s">
        <v>2302</v>
      </c>
      <c r="L7" t="s">
        <v>2303</v>
      </c>
      <c r="M7" t="s">
        <v>1139</v>
      </c>
      <c r="N7" t="s">
        <v>2304</v>
      </c>
      <c r="O7" t="s">
        <v>1289</v>
      </c>
      <c r="P7">
        <v>87.5</v>
      </c>
      <c r="Q7">
        <v>15750</v>
      </c>
      <c r="R7">
        <v>325358.56</v>
      </c>
      <c r="S7" t="s">
        <v>2071</v>
      </c>
      <c r="T7" t="s">
        <v>1139</v>
      </c>
      <c r="V7" t="s">
        <v>35</v>
      </c>
    </row>
    <row r="8" spans="2:23" x14ac:dyDescent="0.35">
      <c r="B8" t="s">
        <v>27</v>
      </c>
      <c r="C8" t="s">
        <v>2305</v>
      </c>
      <c r="D8" s="71">
        <v>46208</v>
      </c>
      <c r="E8" t="s">
        <v>2288</v>
      </c>
      <c r="F8" t="s">
        <v>2289</v>
      </c>
      <c r="G8" t="s">
        <v>2290</v>
      </c>
      <c r="H8" t="s">
        <v>36</v>
      </c>
      <c r="I8" t="s">
        <v>1087</v>
      </c>
      <c r="J8" t="s">
        <v>46</v>
      </c>
      <c r="K8" t="s">
        <v>2160</v>
      </c>
      <c r="L8" t="s">
        <v>1564</v>
      </c>
      <c r="M8" t="s">
        <v>1139</v>
      </c>
      <c r="N8" t="s">
        <v>2306</v>
      </c>
      <c r="O8" t="s">
        <v>1289</v>
      </c>
      <c r="P8">
        <v>3055.84</v>
      </c>
      <c r="Q8">
        <v>626431.92079999996</v>
      </c>
      <c r="R8">
        <v>701603.76</v>
      </c>
      <c r="S8" t="s">
        <v>2071</v>
      </c>
      <c r="T8" t="s">
        <v>1139</v>
      </c>
      <c r="V8" t="s">
        <v>46</v>
      </c>
    </row>
    <row r="9" spans="2:23" x14ac:dyDescent="0.35">
      <c r="B9" t="s">
        <v>27</v>
      </c>
      <c r="C9" t="s">
        <v>2307</v>
      </c>
      <c r="D9" s="71">
        <v>46212</v>
      </c>
      <c r="E9" t="s">
        <v>2293</v>
      </c>
      <c r="F9" t="s">
        <v>2289</v>
      </c>
      <c r="G9" t="s">
        <v>2295</v>
      </c>
      <c r="H9" t="s">
        <v>28</v>
      </c>
      <c r="I9" t="s">
        <v>1173</v>
      </c>
      <c r="J9" t="s">
        <v>30</v>
      </c>
      <c r="K9" t="s">
        <v>2296</v>
      </c>
      <c r="L9" t="s">
        <v>1830</v>
      </c>
      <c r="M9" t="s">
        <v>1139</v>
      </c>
      <c r="N9" t="s">
        <v>1139</v>
      </c>
      <c r="O9" t="s">
        <v>1289</v>
      </c>
      <c r="P9">
        <v>70</v>
      </c>
      <c r="Q9">
        <v>1960</v>
      </c>
      <c r="R9">
        <v>325358.56</v>
      </c>
      <c r="S9" t="s">
        <v>2071</v>
      </c>
      <c r="V9" t="s">
        <v>30</v>
      </c>
    </row>
    <row r="10" spans="2:23" x14ac:dyDescent="0.35">
      <c r="B10" t="s">
        <v>27</v>
      </c>
      <c r="C10" t="s">
        <v>2307</v>
      </c>
      <c r="D10" s="71">
        <v>46212</v>
      </c>
      <c r="E10" t="s">
        <v>2293</v>
      </c>
      <c r="F10" t="s">
        <v>2289</v>
      </c>
      <c r="G10" t="s">
        <v>2298</v>
      </c>
      <c r="H10" t="s">
        <v>28</v>
      </c>
      <c r="I10" t="s">
        <v>1173</v>
      </c>
      <c r="J10" t="s">
        <v>34</v>
      </c>
      <c r="K10" t="s">
        <v>2299</v>
      </c>
      <c r="L10" t="s">
        <v>2300</v>
      </c>
      <c r="M10" t="s">
        <v>1139</v>
      </c>
      <c r="N10" t="s">
        <v>1139</v>
      </c>
      <c r="O10" t="s">
        <v>1289</v>
      </c>
      <c r="P10">
        <v>3342.5</v>
      </c>
      <c r="Q10">
        <v>258017.6</v>
      </c>
      <c r="R10">
        <v>325358.56</v>
      </c>
      <c r="S10" t="s">
        <v>2071</v>
      </c>
      <c r="V10" t="s">
        <v>34</v>
      </c>
    </row>
    <row r="11" spans="2:23" x14ac:dyDescent="0.35">
      <c r="B11" t="s">
        <v>27</v>
      </c>
      <c r="C11" t="s">
        <v>2307</v>
      </c>
      <c r="D11" s="71">
        <v>46212</v>
      </c>
      <c r="E11" t="s">
        <v>2293</v>
      </c>
      <c r="F11" t="s">
        <v>2289</v>
      </c>
      <c r="G11" t="s">
        <v>35</v>
      </c>
      <c r="H11" t="s">
        <v>28</v>
      </c>
      <c r="I11" t="s">
        <v>1173</v>
      </c>
      <c r="J11" t="s">
        <v>35</v>
      </c>
      <c r="K11" t="s">
        <v>2302</v>
      </c>
      <c r="L11" t="s">
        <v>2303</v>
      </c>
      <c r="M11" t="s">
        <v>1139</v>
      </c>
      <c r="N11" t="s">
        <v>1139</v>
      </c>
      <c r="O11" t="s">
        <v>1289</v>
      </c>
      <c r="P11">
        <v>87.5</v>
      </c>
      <c r="Q11">
        <v>15750</v>
      </c>
      <c r="R11">
        <v>325358.56</v>
      </c>
      <c r="S11" t="s">
        <v>2071</v>
      </c>
      <c r="V11" t="s">
        <v>35</v>
      </c>
    </row>
    <row r="12" spans="2:23" x14ac:dyDescent="0.35">
      <c r="B12" t="s">
        <v>27</v>
      </c>
      <c r="C12" t="s">
        <v>2308</v>
      </c>
      <c r="D12" s="71">
        <v>46220</v>
      </c>
      <c r="E12" t="s">
        <v>2288</v>
      </c>
      <c r="F12" t="s">
        <v>2289</v>
      </c>
      <c r="G12" t="s">
        <v>2290</v>
      </c>
      <c r="H12" t="s">
        <v>36</v>
      </c>
      <c r="I12" t="s">
        <v>1087</v>
      </c>
      <c r="J12" t="s">
        <v>46</v>
      </c>
      <c r="K12" t="s">
        <v>2160</v>
      </c>
      <c r="L12" t="s">
        <v>1564</v>
      </c>
      <c r="M12" t="s">
        <v>1139</v>
      </c>
      <c r="N12" t="s">
        <v>2309</v>
      </c>
      <c r="O12" t="s">
        <v>1289</v>
      </c>
      <c r="P12">
        <v>2958.47</v>
      </c>
      <c r="Q12">
        <v>606471.55764999997</v>
      </c>
      <c r="R12">
        <v>1128169.1299999999</v>
      </c>
      <c r="S12" t="s">
        <v>2071</v>
      </c>
      <c r="V12" t="s">
        <v>46</v>
      </c>
    </row>
    <row r="13" spans="2:23" x14ac:dyDescent="0.35">
      <c r="B13" t="s">
        <v>27</v>
      </c>
      <c r="C13" t="s">
        <v>2308</v>
      </c>
      <c r="D13" s="71">
        <v>46220</v>
      </c>
      <c r="E13" t="s">
        <v>2288</v>
      </c>
      <c r="F13" t="s">
        <v>2289</v>
      </c>
      <c r="G13" t="s">
        <v>2290</v>
      </c>
      <c r="H13" t="s">
        <v>36</v>
      </c>
      <c r="I13" t="s">
        <v>1087</v>
      </c>
      <c r="J13" t="s">
        <v>46</v>
      </c>
      <c r="K13" t="s">
        <v>2310</v>
      </c>
      <c r="L13" t="s">
        <v>2311</v>
      </c>
      <c r="M13" t="s">
        <v>1139</v>
      </c>
      <c r="N13" t="s">
        <v>2312</v>
      </c>
      <c r="O13" t="s">
        <v>1289</v>
      </c>
      <c r="P13">
        <v>586.62</v>
      </c>
      <c r="Q13">
        <v>120254.1669</v>
      </c>
      <c r="R13">
        <v>1128169.1299999999</v>
      </c>
      <c r="S13" t="s">
        <v>2071</v>
      </c>
      <c r="V13" t="s">
        <v>46</v>
      </c>
    </row>
    <row r="14" spans="2:23" x14ac:dyDescent="0.35">
      <c r="B14" t="s">
        <v>27</v>
      </c>
      <c r="C14" t="s">
        <v>2308</v>
      </c>
      <c r="D14" s="71">
        <v>46220</v>
      </c>
      <c r="E14" t="s">
        <v>2288</v>
      </c>
      <c r="F14" t="s">
        <v>2289</v>
      </c>
      <c r="G14" t="s">
        <v>2290</v>
      </c>
      <c r="H14" t="s">
        <v>36</v>
      </c>
      <c r="I14" t="s">
        <v>1087</v>
      </c>
      <c r="J14" t="s">
        <v>46</v>
      </c>
      <c r="K14" t="s">
        <v>2313</v>
      </c>
      <c r="L14" t="s">
        <v>1948</v>
      </c>
      <c r="M14" t="s">
        <v>1139</v>
      </c>
      <c r="N14" t="s">
        <v>2314</v>
      </c>
      <c r="O14" t="s">
        <v>1289</v>
      </c>
      <c r="P14">
        <v>1438.87</v>
      </c>
      <c r="Q14">
        <v>280568.13903999998</v>
      </c>
      <c r="R14">
        <v>1128169.1299999999</v>
      </c>
      <c r="S14" t="s">
        <v>2071</v>
      </c>
      <c r="V14" t="s">
        <v>46</v>
      </c>
    </row>
    <row r="15" spans="2:23" x14ac:dyDescent="0.35">
      <c r="B15" t="s">
        <v>27</v>
      </c>
      <c r="C15" t="s">
        <v>2315</v>
      </c>
      <c r="D15" s="71">
        <v>46226</v>
      </c>
      <c r="E15" t="s">
        <v>2288</v>
      </c>
      <c r="F15" t="s">
        <v>2289</v>
      </c>
      <c r="G15" t="s">
        <v>2290</v>
      </c>
      <c r="H15" t="s">
        <v>36</v>
      </c>
      <c r="I15" t="s">
        <v>1087</v>
      </c>
      <c r="J15" t="s">
        <v>46</v>
      </c>
      <c r="K15" t="s">
        <v>2160</v>
      </c>
      <c r="L15" t="s">
        <v>1564</v>
      </c>
      <c r="M15" t="s">
        <v>1139</v>
      </c>
      <c r="N15" t="s">
        <v>2316</v>
      </c>
      <c r="O15" t="s">
        <v>1289</v>
      </c>
      <c r="P15">
        <v>713.84</v>
      </c>
      <c r="Q15">
        <v>132768.52927999999</v>
      </c>
      <c r="R15">
        <v>148700.75</v>
      </c>
      <c r="S15" t="s">
        <v>2317</v>
      </c>
      <c r="V15" t="s">
        <v>46</v>
      </c>
    </row>
    <row r="17" spans="23:24" x14ac:dyDescent="0.35">
      <c r="W17" s="77" t="s">
        <v>2320</v>
      </c>
      <c r="X17" t="s">
        <v>2328</v>
      </c>
    </row>
    <row r="18" spans="23:24" x14ac:dyDescent="0.35">
      <c r="W18" s="78" t="s">
        <v>30</v>
      </c>
      <c r="X18">
        <v>140</v>
      </c>
    </row>
    <row r="19" spans="23:24" x14ac:dyDescent="0.35">
      <c r="W19" s="78" t="s">
        <v>34</v>
      </c>
      <c r="X19">
        <v>6685</v>
      </c>
    </row>
    <row r="20" spans="23:24" x14ac:dyDescent="0.35">
      <c r="W20" s="78" t="s">
        <v>46</v>
      </c>
      <c r="X20">
        <v>13775.119999999999</v>
      </c>
    </row>
    <row r="21" spans="23:24" x14ac:dyDescent="0.35">
      <c r="W21" s="78" t="s">
        <v>35</v>
      </c>
      <c r="X21">
        <v>175</v>
      </c>
    </row>
    <row r="22" spans="23:24" x14ac:dyDescent="0.35">
      <c r="W22" s="78" t="s">
        <v>2324</v>
      </c>
    </row>
    <row r="23" spans="23:24" x14ac:dyDescent="0.35">
      <c r="W23" s="78" t="s">
        <v>2321</v>
      </c>
      <c r="X23">
        <v>20775.12</v>
      </c>
    </row>
  </sheetData>
  <autoFilter ref="B3:W15" xr:uid="{BA8C6787-2D61-451C-A2FE-FE455A2F0B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ERP Data</vt:lpstr>
      <vt:lpstr>July - 26</vt:lpstr>
      <vt:lpstr>Stores</vt:lpstr>
      <vt:lpstr>Purchase</vt:lpstr>
      <vt:lpstr>Sales</vt:lpstr>
      <vt:lpstr>Job In</vt:lpstr>
      <vt:lpstr>Job 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PLASTENE INDIA LTD</dc:creator>
  <cp:lastModifiedBy>PLASTENE INDIA LTD</cp:lastModifiedBy>
  <cp:lastPrinted>2026-08-10T10:40:53Z</cp:lastPrinted>
  <dcterms:created xsi:type="dcterms:W3CDTF">2026-08-10T04:52:36Z</dcterms:created>
  <dcterms:modified xsi:type="dcterms:W3CDTF">2026-08-19T09:44:51Z</dcterms:modified>
</cp:coreProperties>
</file>