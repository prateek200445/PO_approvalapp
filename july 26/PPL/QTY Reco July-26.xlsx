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797"/>
  </bookViews>
  <sheets>
    <sheet name="Sale Reco" sheetId="11" r:id="rId1"/>
    <sheet name="Purch Reco" sheetId="12" r:id="rId2"/>
    <sheet name="Sale-Account" sheetId="1" r:id="rId3"/>
    <sheet name="Dispatch-GST Report" sheetId="3" r:id="rId4"/>
    <sheet name="Purch-Account" sheetId="2" r:id="rId5"/>
    <sheet name="RM Report-Store" sheetId="4" r:id="rId6"/>
    <sheet name="PE Labels" sheetId="10" r:id="rId7"/>
  </sheets>
  <definedNames>
    <definedName name="_xlnm._FilterDatabase" localSheetId="3" hidden="1">'Dispatch-GST Report'!$B$1:$BB$206</definedName>
    <definedName name="_xlnm._FilterDatabase" localSheetId="6" hidden="1">'PE Labels'!$B$1:$BO$6</definedName>
    <definedName name="_xlnm._FilterDatabase" localSheetId="4" hidden="1">'Purch-Account'!$B$1:$AG$298</definedName>
    <definedName name="_xlnm._FilterDatabase" localSheetId="5" hidden="1">'RM Report-Store'!$B$1:$BO$284</definedName>
    <definedName name="_xlnm._FilterDatabase" localSheetId="2" hidden="1">'Sale-Account'!$B$1:$AG$214</definedName>
  </definedNames>
  <calcPr calcId="152511"/>
  <pivotCaches>
    <pivotCache cacheId="0" r:id="rId8"/>
    <pivotCache cacheId="1" r:id="rId9"/>
    <pivotCache cacheId="2" r:id="rId10"/>
    <pivotCache cacheId="3" r:id="rId11"/>
  </pivotCaches>
</workbook>
</file>

<file path=xl/calcChain.xml><?xml version="1.0" encoding="utf-8"?>
<calcChain xmlns="http://schemas.openxmlformats.org/spreadsheetml/2006/main">
  <c r="M8" i="10" l="1"/>
  <c r="J12" i="12"/>
  <c r="J15" i="12"/>
  <c r="J14" i="12"/>
  <c r="J13" i="12"/>
  <c r="J11" i="12"/>
  <c r="J10" i="12"/>
  <c r="J9" i="12"/>
  <c r="J8" i="12"/>
  <c r="J7" i="12"/>
  <c r="J6" i="12"/>
  <c r="J5" i="12"/>
  <c r="J4" i="12"/>
  <c r="D6" i="12"/>
  <c r="D5" i="12"/>
  <c r="D4" i="12"/>
  <c r="J16" i="12"/>
  <c r="J19" i="12"/>
  <c r="J17" i="12"/>
  <c r="J18" i="12"/>
  <c r="J21" i="12"/>
  <c r="J20" i="12"/>
  <c r="J22" i="11"/>
  <c r="J12" i="11"/>
  <c r="E4" i="11"/>
  <c r="J19" i="11"/>
  <c r="J20" i="11"/>
  <c r="J5" i="11"/>
  <c r="J6" i="11"/>
  <c r="J7" i="11"/>
  <c r="J13" i="11"/>
  <c r="J14" i="11"/>
  <c r="J4" i="11"/>
  <c r="J17" i="11"/>
  <c r="J16" i="11"/>
  <c r="E5" i="11"/>
  <c r="J10" i="11"/>
  <c r="J11" i="11"/>
  <c r="J15" i="11"/>
  <c r="J18" i="11"/>
  <c r="J8" i="11"/>
  <c r="J9" i="11"/>
  <c r="J21" i="11"/>
  <c r="D9" i="12"/>
  <c r="D8" i="12"/>
  <c r="D7" i="12"/>
  <c r="E6" i="11" l="1"/>
</calcChain>
</file>

<file path=xl/sharedStrings.xml><?xml version="1.0" encoding="utf-8"?>
<sst xmlns="http://schemas.openxmlformats.org/spreadsheetml/2006/main" count="19038" uniqueCount="1267">
  <si>
    <t>Date</t>
  </si>
  <si>
    <t>Particular</t>
  </si>
  <si>
    <t>Voucher Type</t>
  </si>
  <si>
    <t>Voucher No</t>
  </si>
  <si>
    <t>Type</t>
  </si>
  <si>
    <t>Invoice No</t>
  </si>
  <si>
    <t>Invoice Date</t>
  </si>
  <si>
    <t>Main Grp</t>
  </si>
  <si>
    <t>Group Name</t>
  </si>
  <si>
    <t>Sub Grup</t>
  </si>
  <si>
    <t>sales Group Name</t>
  </si>
  <si>
    <t>Item Name</t>
  </si>
  <si>
    <t>Quantity</t>
  </si>
  <si>
    <t>Amount</t>
  </si>
  <si>
    <t>Item Desc</t>
  </si>
  <si>
    <t>Bill Amount</t>
  </si>
  <si>
    <t>CGST Rate</t>
  </si>
  <si>
    <t>CGST Amt</t>
  </si>
  <si>
    <t>SGST Rate</t>
  </si>
  <si>
    <t>SGST Amt</t>
  </si>
  <si>
    <t>IGST Rate</t>
  </si>
  <si>
    <t>IGST Amt</t>
  </si>
  <si>
    <t>Freight GST</t>
  </si>
  <si>
    <t>Total GST</t>
  </si>
  <si>
    <t>TCS</t>
  </si>
  <si>
    <t>GST-IN</t>
  </si>
  <si>
    <t>Unit</t>
  </si>
  <si>
    <t>HSN Code</t>
  </si>
  <si>
    <t>Currencty</t>
  </si>
  <si>
    <t>Exc.Rate</t>
  </si>
  <si>
    <t>Net Wt</t>
  </si>
  <si>
    <t>Country</t>
  </si>
  <si>
    <t>companyname</t>
  </si>
  <si>
    <t>InvNo</t>
  </si>
  <si>
    <t>Invdate</t>
  </si>
  <si>
    <t>Buyername</t>
  </si>
  <si>
    <t>VehicalNo</t>
  </si>
  <si>
    <t>Commodity</t>
  </si>
  <si>
    <t>ItemDesc</t>
  </si>
  <si>
    <t>Rate</t>
  </si>
  <si>
    <t>qty</t>
  </si>
  <si>
    <t>Netwt</t>
  </si>
  <si>
    <t>Grosswt</t>
  </si>
  <si>
    <t>Totalamt</t>
  </si>
  <si>
    <t>Deptt</t>
  </si>
  <si>
    <t>itemdeptt</t>
  </si>
  <si>
    <t>OrderNo</t>
  </si>
  <si>
    <t>Remarks</t>
  </si>
  <si>
    <t>Currency</t>
  </si>
  <si>
    <t>ExRate</t>
  </si>
  <si>
    <t>beingexport</t>
  </si>
  <si>
    <t>CGSTrate</t>
  </si>
  <si>
    <t>CGSTamt</t>
  </si>
  <si>
    <t>SGSTRate</t>
  </si>
  <si>
    <t>SGSTAmt</t>
  </si>
  <si>
    <t>IGSTrate</t>
  </si>
  <si>
    <t>IGSTAmt</t>
  </si>
  <si>
    <t>HSNCode</t>
  </si>
  <si>
    <t>LRNo</t>
  </si>
  <si>
    <t>LRDate</t>
  </si>
  <si>
    <t>FOBValue</t>
  </si>
  <si>
    <t>FOBValueInRS</t>
  </si>
  <si>
    <t>NatureofContract</t>
  </si>
  <si>
    <t>Commercialvalue</t>
  </si>
  <si>
    <t>AdvanceLicNo</t>
  </si>
  <si>
    <t>EPCGNo</t>
  </si>
  <si>
    <t>ADCODE</t>
  </si>
  <si>
    <t>Freight</t>
  </si>
  <si>
    <t>Insurance</t>
  </si>
  <si>
    <t>SpeDuty1</t>
  </si>
  <si>
    <t>SpeDuty2</t>
  </si>
  <si>
    <t>SpeDuty3</t>
  </si>
  <si>
    <t>Otherdec1</t>
  </si>
  <si>
    <t>Otherdec2</t>
  </si>
  <si>
    <t>Otherdec3</t>
  </si>
  <si>
    <t>containerno</t>
  </si>
  <si>
    <t>Destination</t>
  </si>
  <si>
    <t>Itemcode</t>
  </si>
  <si>
    <t>Itemname</t>
  </si>
  <si>
    <t>Deptt1</t>
  </si>
  <si>
    <t>Groupname</t>
  </si>
  <si>
    <t>Subgroupname</t>
  </si>
  <si>
    <t>CompanyName</t>
  </si>
  <si>
    <t>srno</t>
  </si>
  <si>
    <t>PoNO</t>
  </si>
  <si>
    <t>OrderQty</t>
  </si>
  <si>
    <t>Challanqty</t>
  </si>
  <si>
    <t>Recdqty</t>
  </si>
  <si>
    <t>PendingQty</t>
  </si>
  <si>
    <t>Acceptedqty</t>
  </si>
  <si>
    <t>Vehicalno</t>
  </si>
  <si>
    <t>Partyname</t>
  </si>
  <si>
    <t>Suppliername</t>
  </si>
  <si>
    <t>ChallanNo</t>
  </si>
  <si>
    <t>Challan Date</t>
  </si>
  <si>
    <t>category</t>
  </si>
  <si>
    <t>subcategory</t>
  </si>
  <si>
    <t>MRno</t>
  </si>
  <si>
    <t>BillNo</t>
  </si>
  <si>
    <t>Bill Date</t>
  </si>
  <si>
    <t>ItemRemarks</t>
  </si>
  <si>
    <t>Note</t>
  </si>
  <si>
    <t>Transportname</t>
  </si>
  <si>
    <t>Lrnodate</t>
  </si>
  <si>
    <t>Discamt</t>
  </si>
  <si>
    <t>Discamt1</t>
  </si>
  <si>
    <t>ExciseAmount</t>
  </si>
  <si>
    <t>EducessAmount</t>
  </si>
  <si>
    <t>HiEducessamount</t>
  </si>
  <si>
    <t>InwardVatType</t>
  </si>
  <si>
    <t>Vatamount</t>
  </si>
  <si>
    <t>Addvatamount</t>
  </si>
  <si>
    <t>Frieght</t>
  </si>
  <si>
    <t>Pkgfwd</t>
  </si>
  <si>
    <t>Otherchg</t>
  </si>
  <si>
    <t>Spdutyname</t>
  </si>
  <si>
    <t>Spdutyamt</t>
  </si>
  <si>
    <t>Additionalduty</t>
  </si>
  <si>
    <t>Billamount</t>
  </si>
  <si>
    <t>GroupName</t>
  </si>
  <si>
    <t>SubGroupName</t>
  </si>
  <si>
    <t>Deptt Po Indent</t>
  </si>
  <si>
    <t>LoginName</t>
  </si>
  <si>
    <t>servicetax</t>
  </si>
  <si>
    <t>Basic Amount</t>
  </si>
  <si>
    <t>GateInwardNo</t>
  </si>
  <si>
    <t>GateInwardDate</t>
  </si>
  <si>
    <t>VendorGST</t>
  </si>
  <si>
    <t>MRN User</t>
  </si>
  <si>
    <t>POUserName</t>
  </si>
  <si>
    <t>CGSTPer</t>
  </si>
  <si>
    <t>CGSTAmount</t>
  </si>
  <si>
    <t>SGSTPer</t>
  </si>
  <si>
    <t>SGSTAmount</t>
  </si>
  <si>
    <t>IGSTPer</t>
  </si>
  <si>
    <t>IGSTAmount</t>
  </si>
  <si>
    <t>RBIllmount</t>
  </si>
  <si>
    <t>EWayNo</t>
  </si>
  <si>
    <t>EWayDt</t>
  </si>
  <si>
    <t>netwt</t>
  </si>
  <si>
    <t>Purchase Group Name</t>
  </si>
  <si>
    <t>Row Labels</t>
  </si>
  <si>
    <t>(blank)</t>
  </si>
  <si>
    <t>Grand Total</t>
  </si>
  <si>
    <t>Sum of Net Wt</t>
  </si>
  <si>
    <t>Sum of Amount</t>
  </si>
  <si>
    <t>Account</t>
  </si>
  <si>
    <t>Sum of Netwt</t>
  </si>
  <si>
    <t>Dispatch</t>
  </si>
  <si>
    <t>Store</t>
  </si>
  <si>
    <t>Sum of netwt</t>
  </si>
  <si>
    <t>Sum of Basic Amount</t>
  </si>
  <si>
    <t>FIBC Bags</t>
  </si>
  <si>
    <t>FIBC WIP</t>
  </si>
  <si>
    <t>PP Webbing</t>
  </si>
  <si>
    <t>PP UL Fabric</t>
  </si>
  <si>
    <t>PP Lam Fabric</t>
  </si>
  <si>
    <t>PP Yarn</t>
  </si>
  <si>
    <t>PE Film</t>
  </si>
  <si>
    <t>LDPE/LLDPE Bags</t>
  </si>
  <si>
    <t>Ink</t>
  </si>
  <si>
    <t>PP Tapes</t>
  </si>
  <si>
    <t>FIBC Bags-Export</t>
  </si>
  <si>
    <t>FIBC Bags-TP</t>
  </si>
  <si>
    <t>Filler</t>
  </si>
  <si>
    <t>Thinner</t>
  </si>
  <si>
    <t>PP Granules</t>
  </si>
  <si>
    <t>Plastene Polyfilms Limited</t>
  </si>
  <si>
    <t>Kgs</t>
  </si>
  <si>
    <t>SF</t>
  </si>
  <si>
    <t>Yarn All</t>
  </si>
  <si>
    <t>RM</t>
  </si>
  <si>
    <t>24AAECK6307M1ZF</t>
  </si>
  <si>
    <t>WIP00013</t>
  </si>
  <si>
    <t>LDPE/LLDPE Bags/Liner</t>
  </si>
  <si>
    <t>GJ12X1249</t>
  </si>
  <si>
    <t>Liners</t>
  </si>
  <si>
    <t>24AAACO3087C1ZT</t>
  </si>
  <si>
    <t>WIP00025</t>
  </si>
  <si>
    <t>PP Lam Fabric With UV</t>
  </si>
  <si>
    <t>PP/PE Fabric</t>
  </si>
  <si>
    <t>WIP00032</t>
  </si>
  <si>
    <t>Webbing</t>
  </si>
  <si>
    <t>RAW06013</t>
  </si>
  <si>
    <t>Filler Soltex PTUFF23</t>
  </si>
  <si>
    <t>Granules</t>
  </si>
  <si>
    <t>WIP00023</t>
  </si>
  <si>
    <t>PP UL Fabric With UV</t>
  </si>
  <si>
    <t>KGS</t>
  </si>
  <si>
    <t>24AABCG1282C2Z6</t>
  </si>
  <si>
    <t>WIP00004</t>
  </si>
  <si>
    <t>FIBC Bags With UV Without Liner</t>
  </si>
  <si>
    <t>FG</t>
  </si>
  <si>
    <t>.</t>
  </si>
  <si>
    <t>WIP00003</t>
  </si>
  <si>
    <t>FIBC Bags With UV With Liner</t>
  </si>
  <si>
    <t>RAW05951</t>
  </si>
  <si>
    <t>Tape Stock</t>
  </si>
  <si>
    <t>GJ12BY1595</t>
  </si>
  <si>
    <t>RAW05124</t>
  </si>
  <si>
    <t>LDPE/LLDPE Film</t>
  </si>
  <si>
    <t>Films All (SF)</t>
  </si>
  <si>
    <t>RAW05764</t>
  </si>
  <si>
    <t>Thinner Vyankatesh Thinner</t>
  </si>
  <si>
    <t>RM Consumables</t>
  </si>
  <si>
    <t>Hcp Plastene Bulkpack Ltd (Unit Iv) - Sales</t>
  </si>
  <si>
    <t>Sales</t>
  </si>
  <si>
    <t>FIBC</t>
  </si>
  <si>
    <t>Rs.</t>
  </si>
  <si>
    <t>India</t>
  </si>
  <si>
    <t>PP WOVEN FABRIC</t>
  </si>
  <si>
    <t>K.P. Woven Pvt Ltd - Unit 3 -Sales</t>
  </si>
  <si>
    <t>Export Sales</t>
  </si>
  <si>
    <t>Sales - Kasez - Mfg - U/B</t>
  </si>
  <si>
    <t>PP WOVEN BIG BAGS</t>
  </si>
  <si>
    <t>24AAECK6307M2ZE</t>
  </si>
  <si>
    <t>$</t>
  </si>
  <si>
    <t>K.P. Woven Pvt Ltd-Sales</t>
  </si>
  <si>
    <t>PP Laminated Fabric</t>
  </si>
  <si>
    <t>Plastene India ltd - Unit 1-Sales</t>
  </si>
  <si>
    <t>LLDPE FILM</t>
  </si>
  <si>
    <t>N.A.</t>
  </si>
  <si>
    <t>Commercial Bag Company</t>
  </si>
  <si>
    <t>Sales - Export - Third Party</t>
  </si>
  <si>
    <t>PP WOVEN BIG BAGS (FIBC)</t>
  </si>
  <si>
    <t>USA</t>
  </si>
  <si>
    <t>Narayandas Murlidhar</t>
  </si>
  <si>
    <t>Sales - Interstate - Manufactured Goods</t>
  </si>
  <si>
    <t>08AAJFN2559G1Z2</t>
  </si>
  <si>
    <t>SALES (FOREX)</t>
  </si>
  <si>
    <t>Sales - Within State - Traded Goods</t>
  </si>
  <si>
    <t>Sales - Direct Export - Mfg - U/R</t>
  </si>
  <si>
    <t>Pcs</t>
  </si>
  <si>
    <t>Yarn</t>
  </si>
  <si>
    <t>HCP Plastene Bulkpack Limited - Sales</t>
  </si>
  <si>
    <t>LAMI CUT PCS</t>
  </si>
  <si>
    <t>PP Lam Fabric With UV-Spout</t>
  </si>
  <si>
    <t>SMF00147</t>
  </si>
  <si>
    <t>PE Labels (Kgs)</t>
  </si>
  <si>
    <t>Flexible Intermediate Bulk Containers (Attachement Bag)</t>
  </si>
  <si>
    <t>Rs</t>
  </si>
  <si>
    <t>KACHCHH</t>
  </si>
  <si>
    <t>PP Woven Fabrics</t>
  </si>
  <si>
    <t>Woven - Fabric</t>
  </si>
  <si>
    <t>PP Laminated Fabrics</t>
  </si>
  <si>
    <t>FIG00001</t>
  </si>
  <si>
    <t>PP WEBBING</t>
  </si>
  <si>
    <t>KUTCH</t>
  </si>
  <si>
    <t>Others</t>
  </si>
  <si>
    <t>Flexible Intermediate Bulk Containers (Attachement Bag).</t>
  </si>
  <si>
    <t>EURO</t>
  </si>
  <si>
    <t>LUT Bond No</t>
  </si>
  <si>
    <t>CIF</t>
  </si>
  <si>
    <t>USD</t>
  </si>
  <si>
    <t>FOB</t>
  </si>
  <si>
    <t>KASEZ</t>
  </si>
  <si>
    <t>-</t>
  </si>
  <si>
    <t>PP Woven Fabrics Laminated/ Coated</t>
  </si>
  <si>
    <t>PALI</t>
  </si>
  <si>
    <t>AHMEDABAD</t>
  </si>
  <si>
    <t>Claim for Rebate</t>
  </si>
  <si>
    <t>K.P. WOVEN PVT LTD - UNIT 3 -SALES</t>
  </si>
  <si>
    <t>PP YARN</t>
  </si>
  <si>
    <t>GJ12FB2542</t>
  </si>
  <si>
    <t>GANDHINAGAR</t>
  </si>
  <si>
    <t>GJ12X-1249</t>
  </si>
  <si>
    <t>GJ-12 X 1249</t>
  </si>
  <si>
    <t>Multilayer</t>
  </si>
  <si>
    <t>GJ12BU0544</t>
  </si>
  <si>
    <t>LD/LLDPE BAGS</t>
  </si>
  <si>
    <t>FILLER CACO3</t>
  </si>
  <si>
    <t>PP TAPE</t>
  </si>
  <si>
    <t>Sales - Within State  Manufactured Goods</t>
  </si>
  <si>
    <t>UL CUTPCS</t>
  </si>
  <si>
    <t>Parekh Ventures LLP - Sales</t>
  </si>
  <si>
    <t>24AAZFP6365L1ZB</t>
  </si>
  <si>
    <t>Woven - Other</t>
  </si>
  <si>
    <t>LD/LLDPE  FILM</t>
  </si>
  <si>
    <t>GJ12BZ1529</t>
  </si>
  <si>
    <t>PP woven fabrics laminated/ coated</t>
  </si>
  <si>
    <t>FILLER</t>
  </si>
  <si>
    <t>Antifab Filler</t>
  </si>
  <si>
    <t>GJ12FB-2542</t>
  </si>
  <si>
    <t>Mfyarn</t>
  </si>
  <si>
    <t>100 GSM</t>
  </si>
  <si>
    <t>CUT PICES</t>
  </si>
  <si>
    <t>MORE THEN 100 GSM</t>
  </si>
  <si>
    <t>GJ39TB3534</t>
  </si>
  <si>
    <t>U.S.A.</t>
  </si>
  <si>
    <t>UL CUT PCS</t>
  </si>
  <si>
    <t>GJ35T2925</t>
  </si>
  <si>
    <t>PP MF Yarn Twisted 3000 Denier UV Deep Blue</t>
  </si>
  <si>
    <t>WIP00193</t>
  </si>
  <si>
    <t>LAM CUTPCS</t>
  </si>
  <si>
    <t>OSWAL EXTRUSION LTD- KASEZ-SALES</t>
  </si>
  <si>
    <t>Snf Flopam India Pvt Ltd</t>
  </si>
  <si>
    <t>Oswal Extrusion Ltd- KASEZ-Sales</t>
  </si>
  <si>
    <t>24AAACO7290H4ZB</t>
  </si>
  <si>
    <t>24AAXCS4186P1Z9</t>
  </si>
  <si>
    <t>WIP00017</t>
  </si>
  <si>
    <t>Polyester Yarn Twisted</t>
  </si>
  <si>
    <t>WIP00022</t>
  </si>
  <si>
    <t>Filler Cord</t>
  </si>
  <si>
    <t>RMC00125</t>
  </si>
  <si>
    <t>Ink Vyankatesh Black VLX 579 Tape Tested</t>
  </si>
  <si>
    <t>RMC00124</t>
  </si>
  <si>
    <t>Ink Vyankatesh White VLX 624 Tape Tested</t>
  </si>
  <si>
    <t>GJ09Z0572</t>
  </si>
  <si>
    <t>FILLER CORD</t>
  </si>
  <si>
    <t>INK</t>
  </si>
  <si>
    <t>LLDPE Granuels</t>
  </si>
  <si>
    <t>PPL/D/300</t>
  </si>
  <si>
    <t>2026001056/6573</t>
  </si>
  <si>
    <t>2026000968/5477</t>
  </si>
  <si>
    <t>2026001057/10907</t>
  </si>
  <si>
    <t>2026001112/2023002479</t>
  </si>
  <si>
    <t>2026001011/2026001193</t>
  </si>
  <si>
    <t>2026001055/6572</t>
  </si>
  <si>
    <t>PPL/D/301</t>
  </si>
  <si>
    <t>PPL/D/302</t>
  </si>
  <si>
    <t>PPL/D/303</t>
  </si>
  <si>
    <t>PPL/E/46/26-27</t>
  </si>
  <si>
    <t>PPL/E/47/26-27</t>
  </si>
  <si>
    <t>PPL/TP/017</t>
  </si>
  <si>
    <t>PPL/D/304</t>
  </si>
  <si>
    <t>PPL/D/307</t>
  </si>
  <si>
    <t>YARN</t>
  </si>
  <si>
    <t>COLOUR</t>
  </si>
  <si>
    <t>REJUCTED BAGS</t>
  </si>
  <si>
    <t>PPL/D/309</t>
  </si>
  <si>
    <t>PPL/D/308</t>
  </si>
  <si>
    <t>Ink Vyankatesh Poly Process Yellow VLX 671</t>
  </si>
  <si>
    <t>PPL/D/310</t>
  </si>
  <si>
    <t>zip lock 30x30x80</t>
  </si>
  <si>
    <t>PPL/D/314</t>
  </si>
  <si>
    <t>UL CUTPLCS - 100 GSM</t>
  </si>
  <si>
    <t>PPL/D/311</t>
  </si>
  <si>
    <t>PPL/D/315</t>
  </si>
  <si>
    <t>FIBC BAGS</t>
  </si>
  <si>
    <t>PPL/D/320</t>
  </si>
  <si>
    <t>PPL/D/317</t>
  </si>
  <si>
    <t>PPL/D/321</t>
  </si>
  <si>
    <t>White Bag Company, Inc.</t>
  </si>
  <si>
    <t>PPL/E/48/26-27</t>
  </si>
  <si>
    <t>PPL/D/325</t>
  </si>
  <si>
    <t>PPL/D/322</t>
  </si>
  <si>
    <t>PO6011/MANO-309</t>
  </si>
  <si>
    <t>PPL/D/323</t>
  </si>
  <si>
    <t>Wastage/Scrap</t>
  </si>
  <si>
    <t>HD/PP WASTE</t>
  </si>
  <si>
    <t>PP/HD Wastage/Scrap</t>
  </si>
  <si>
    <t>LD INDOTHENE</t>
  </si>
  <si>
    <t>PPL/D/326</t>
  </si>
  <si>
    <t>PPL/TP/018</t>
  </si>
  <si>
    <t>PPL/D/327</t>
  </si>
  <si>
    <t>PPL/D/329</t>
  </si>
  <si>
    <t>BLACK GRADE - D</t>
  </si>
  <si>
    <t>PPL/TP/019</t>
  </si>
  <si>
    <t>PPL/D/332</t>
  </si>
  <si>
    <t>PP Advanced H312</t>
  </si>
  <si>
    <t>PPL/D/330</t>
  </si>
  <si>
    <t>PPL/D/333</t>
  </si>
  <si>
    <t>- PP Lam Fabric With UV (Spout )</t>
  </si>
  <si>
    <t>Plastene India ltd - Unit 2-Sales</t>
  </si>
  <si>
    <t>PPL/D/337</t>
  </si>
  <si>
    <t>PP Lam Fabric With UV-SPOUT</t>
  </si>
  <si>
    <t>Webbing-MW</t>
  </si>
  <si>
    <t>PP UL Fabric With UV-SPOUT</t>
  </si>
  <si>
    <t>PPL/E/53/26-27</t>
  </si>
  <si>
    <t>PPL/TP/020</t>
  </si>
  <si>
    <t>Hcp Plastene Bulkpack Ltd Vadodara-Sales</t>
  </si>
  <si>
    <t>PPL/D/339</t>
  </si>
  <si>
    <t>PPL/D/340</t>
  </si>
  <si>
    <t>90 GSM</t>
  </si>
  <si>
    <t>PPL/E/49/26-27</t>
  </si>
  <si>
    <t>PPL/E/50/26-27</t>
  </si>
  <si>
    <t>PPL/E/51/26-27</t>
  </si>
  <si>
    <t>PPL/E/52/26-27</t>
  </si>
  <si>
    <t>PP Braided Rope</t>
  </si>
  <si>
    <t>PPL/D/338</t>
  </si>
  <si>
    <t>PST-26004/SN21U40P-01</t>
  </si>
  <si>
    <t>PST-26004/SN24U40P-02</t>
  </si>
  <si>
    <t>PST-26004/SN24U40P-03</t>
  </si>
  <si>
    <t>PST-26004/SN21U40P-04</t>
  </si>
  <si>
    <t>PPL/D/342</t>
  </si>
  <si>
    <t>COLOUR WEBBING</t>
  </si>
  <si>
    <t>CUT PCS 77X77 CM</t>
  </si>
  <si>
    <t>PPL/D/344</t>
  </si>
  <si>
    <t>13-07-2026</t>
  </si>
  <si>
    <t>PPL/D/351</t>
  </si>
  <si>
    <t>23112/CMC 3-RC</t>
  </si>
  <si>
    <t>PPL/D/347</t>
  </si>
  <si>
    <t>PPL/D/346</t>
  </si>
  <si>
    <t>PPL/D/348</t>
  </si>
  <si>
    <t>REJECTED BAGS</t>
  </si>
  <si>
    <t>PPL/D/349</t>
  </si>
  <si>
    <t>Ink Vyankatesh White VLX 624 Tape Tested</t>
  </si>
  <si>
    <t>PPL/D/352</t>
  </si>
  <si>
    <t>14-07-2026</t>
  </si>
  <si>
    <t>PPL/D/355</t>
  </si>
  <si>
    <t>22752/JEWSON TERRALIS FIBC-RC</t>
  </si>
  <si>
    <t>22752/RO-BEDS &amp; BORDERS</t>
  </si>
  <si>
    <t>22752/RO-HALLSTONE-RC</t>
  </si>
  <si>
    <t>22752/RO-LANDSCAPE BARK-RC</t>
  </si>
  <si>
    <t>22752/TOPSOIL.CO.UK-RC</t>
  </si>
  <si>
    <t>PPL/D/356</t>
  </si>
  <si>
    <t>2026001243/2026001529</t>
  </si>
  <si>
    <t>PPL/D/353</t>
  </si>
  <si>
    <t>PPL/D/357</t>
  </si>
  <si>
    <t>PP UL Fabric With UV-SPOUT-COLOUR</t>
  </si>
  <si>
    <t>15-07-2026</t>
  </si>
  <si>
    <t>PPL/E/54/26-27</t>
  </si>
  <si>
    <t>PPL/E/55/26-27</t>
  </si>
  <si>
    <t>PPL/D/361</t>
  </si>
  <si>
    <t>PPL/D/359</t>
  </si>
  <si>
    <t>PPL/D/360</t>
  </si>
  <si>
    <t>Shyam Plastic Services</t>
  </si>
  <si>
    <t>Sales High-seas</t>
  </si>
  <si>
    <t>PPL/HSS/1/26-27</t>
  </si>
  <si>
    <t>Sales - High Seas</t>
  </si>
  <si>
    <t>PP Exxon Exceed PP3155E5</t>
  </si>
  <si>
    <t>29ADEPR8799L2ZA</t>
  </si>
  <si>
    <t>PPL/HSS/2/26-27</t>
  </si>
  <si>
    <t>LLDPE Exxon 6202 Vistamaxx</t>
  </si>
  <si>
    <t>16-07-2026</t>
  </si>
  <si>
    <t>PPL/E/56/26-27</t>
  </si>
  <si>
    <t>PPL/D/365</t>
  </si>
  <si>
    <t>PPL/D/364</t>
  </si>
  <si>
    <t>BC-63764/04-12508</t>
  </si>
  <si>
    <t>BC-63801/04-11452</t>
  </si>
  <si>
    <t>BC-63840/04-10415</t>
  </si>
  <si>
    <t>BC-62900/04-11883</t>
  </si>
  <si>
    <t>BC-63573/04-11287</t>
  </si>
  <si>
    <t>17-07-2026</t>
  </si>
  <si>
    <t>PPL/D/368</t>
  </si>
  <si>
    <t>KRZY-83/KK0019 SUGAR KSC</t>
  </si>
  <si>
    <t>PPL/D/367</t>
  </si>
  <si>
    <t>PPL/D/369</t>
  </si>
  <si>
    <t>18-07-2026</t>
  </si>
  <si>
    <t>PPL/D/375</t>
  </si>
  <si>
    <t>PO-064321/CA22</t>
  </si>
  <si>
    <t>PO-065408/AV SC 1812 N</t>
  </si>
  <si>
    <t>PO-068423/IBR 1299 D</t>
  </si>
  <si>
    <t>Small Bags</t>
  </si>
  <si>
    <t>PP Bags</t>
  </si>
  <si>
    <t>PP UL Bags With UV</t>
  </si>
  <si>
    <t>PO-064321/CA2W</t>
  </si>
  <si>
    <t>PO-064321/CA10</t>
  </si>
  <si>
    <t>PO-064321/CA20</t>
  </si>
  <si>
    <t>PO-064321/CA20P</t>
  </si>
  <si>
    <t>PPL/E/57/26-27</t>
  </si>
  <si>
    <t>PPL/D/370</t>
  </si>
  <si>
    <t>PPL/D/372</t>
  </si>
  <si>
    <t>19-07-2026</t>
  </si>
  <si>
    <t>PPL/D/376</t>
  </si>
  <si>
    <t>LABLE</t>
  </si>
  <si>
    <t>PPL/D/377</t>
  </si>
  <si>
    <t>20-07-2026</t>
  </si>
  <si>
    <t>PPL/D/379</t>
  </si>
  <si>
    <t>PO-067306/CA 1F</t>
  </si>
  <si>
    <t>PO-067306/BB DC 60</t>
  </si>
  <si>
    <t>PO-067306/CA10W</t>
  </si>
  <si>
    <t>PO-067306/CA20P</t>
  </si>
  <si>
    <t>PO-067306/CA22</t>
  </si>
  <si>
    <t>PO-067306/DC 1299 S</t>
  </si>
  <si>
    <t>PPL/D/381</t>
  </si>
  <si>
    <t>21-07-2026</t>
  </si>
  <si>
    <t>PPL/D/384</t>
  </si>
  <si>
    <t>20X25X80 OPEN DOC</t>
  </si>
  <si>
    <t>PPL/D/382</t>
  </si>
  <si>
    <t>Ink Vyankatesh Poly Process Blue VLX 643</t>
  </si>
  <si>
    <t>PPL/D/383</t>
  </si>
  <si>
    <t>PPL/D/385</t>
  </si>
  <si>
    <t>4500199098/IQE-4</t>
  </si>
  <si>
    <t>4500199098/IQE-5</t>
  </si>
  <si>
    <t>4500202488/SGS-5</t>
  </si>
  <si>
    <t>4500199046/NAL-14</t>
  </si>
  <si>
    <t>4500199054/MIM-1</t>
  </si>
  <si>
    <t>4500199098/IQE-6</t>
  </si>
  <si>
    <t>4500200362/ILA-2</t>
  </si>
  <si>
    <t>4500202507/SAS-4 (BLUE</t>
  </si>
  <si>
    <t>4500202507/SAS-4 (GREEN</t>
  </si>
  <si>
    <t>4500202507/SAS-4 (GREY</t>
  </si>
  <si>
    <t>4500202507/SAS-4 (UNPRINTING)</t>
  </si>
  <si>
    <t>PPL/D/386</t>
  </si>
  <si>
    <t>22-07-2026</t>
  </si>
  <si>
    <t>Co.Ri.Sac.S.R.L</t>
  </si>
  <si>
    <t>PPL/E/58/26-27</t>
  </si>
  <si>
    <t>Italy</t>
  </si>
  <si>
    <t>Oswal Extrusion Ltd - Unit 6-Sales</t>
  </si>
  <si>
    <t>PPL/D/392</t>
  </si>
  <si>
    <t>Webbing blue</t>
  </si>
  <si>
    <t>24AAACO7290H2ZD</t>
  </si>
  <si>
    <t>Webbing mw</t>
  </si>
  <si>
    <t>PPL/D/389</t>
  </si>
  <si>
    <t>23-07-2026</t>
  </si>
  <si>
    <t>PPL/D/398</t>
  </si>
  <si>
    <t>PPL/D/399</t>
  </si>
  <si>
    <t>PP Lam Fabric With UV-SPOUT BLACK</t>
  </si>
  <si>
    <t>PPL/D/394</t>
  </si>
  <si>
    <t>PPL/D/396</t>
  </si>
  <si>
    <t>Shri Bajrangbali Ashok Construction Private Limited</t>
  </si>
  <si>
    <t>PPL/D/393</t>
  </si>
  <si>
    <t>JUMBO BAGS</t>
  </si>
  <si>
    <t>20AAMCS4446B1ZQ</t>
  </si>
  <si>
    <t>24-07-2026</t>
  </si>
  <si>
    <t>PPL/D/406</t>
  </si>
  <si>
    <t>PP Lam Fabric With UV-SPOUT - COLOUR</t>
  </si>
  <si>
    <t>PPL/D/404</t>
  </si>
  <si>
    <t>E-IO26-00515/006086-00011-00</t>
  </si>
  <si>
    <t>E-IO26-00515/006087-00011-00</t>
  </si>
  <si>
    <t>PPL/D/401</t>
  </si>
  <si>
    <t>HPCPO003830-9393145-3</t>
  </si>
  <si>
    <t>HPC-PO003830-9393145-2</t>
  </si>
  <si>
    <t>HPC-PO003830-939385-1</t>
  </si>
  <si>
    <t>PPL/D/403</t>
  </si>
  <si>
    <t>PO6026/MANO-288.2</t>
  </si>
  <si>
    <t>PPL/D/405</t>
  </si>
  <si>
    <t>20BB-2026-PL-013/DSLO160L</t>
  </si>
  <si>
    <t>25-07-2026</t>
  </si>
  <si>
    <t>PPL/D/415</t>
  </si>
  <si>
    <t>PPL/E/61/26-27</t>
  </si>
  <si>
    <t>PPL/E/62/26-27</t>
  </si>
  <si>
    <t>PPL/E/63/26-27</t>
  </si>
  <si>
    <t>PPL/E/60/26-27</t>
  </si>
  <si>
    <t>Oswal Lumber Pvt Ltd - Sales</t>
  </si>
  <si>
    <t>PPL/D/410</t>
  </si>
  <si>
    <t>24AAACO3558Q1Z0</t>
  </si>
  <si>
    <t>PPL/D/411</t>
  </si>
  <si>
    <t>PPL/D/408</t>
  </si>
  <si>
    <t>LAMI CUT PCS M/W FABRIC</t>
  </si>
  <si>
    <t>LAMI CUT PCS BLACK FABRIC</t>
  </si>
  <si>
    <t>PPL/D/409</t>
  </si>
  <si>
    <t>PPL/D/412</t>
  </si>
  <si>
    <t>PPL/D/413</t>
  </si>
  <si>
    <t>26-07-2026</t>
  </si>
  <si>
    <t>PPL/D/417</t>
  </si>
  <si>
    <t>27-07-2026</t>
  </si>
  <si>
    <t>PPL/TP/021</t>
  </si>
  <si>
    <t>PPL/D/419</t>
  </si>
  <si>
    <t>lable</t>
  </si>
  <si>
    <t>Pt Sheel Oil Indonesia</t>
  </si>
  <si>
    <t>PPL/E/64/26-27</t>
  </si>
  <si>
    <t>Indonesia</t>
  </si>
  <si>
    <t>28-07-2026</t>
  </si>
  <si>
    <t>PPL/D/422</t>
  </si>
  <si>
    <t>UL CUTPCS FABRIC</t>
  </si>
  <si>
    <t>PPL/E/65/26-27</t>
  </si>
  <si>
    <t>PPL/E/66/26-27</t>
  </si>
  <si>
    <t>PPL/D/420</t>
  </si>
  <si>
    <t>LAMI CUT PCS BUFFLE PUNCHING</t>
  </si>
  <si>
    <t>PPL/D/423</t>
  </si>
  <si>
    <t>LDPE/LLDPE Bags/Liner--195 x 355 x 72 / GZT X 270 CM X 65 MIC / 207x260x750</t>
  </si>
  <si>
    <t>29-07-2026</t>
  </si>
  <si>
    <t>PPL/TP/022</t>
  </si>
  <si>
    <t>PPL/D/424</t>
  </si>
  <si>
    <t>LAMI CUT PCS BAFFLE PUNCHING</t>
  </si>
  <si>
    <t>30-07-2026</t>
  </si>
  <si>
    <t>PPL/D/428</t>
  </si>
  <si>
    <t>PP Lam Fabric With UV - Spout</t>
  </si>
  <si>
    <t>PP Lam Fabric With UV  - Blue Spout</t>
  </si>
  <si>
    <t>PPL/E/67/26-27</t>
  </si>
  <si>
    <t>PPL/D/425</t>
  </si>
  <si>
    <t>PPL/D/427</t>
  </si>
  <si>
    <t>Polyster Yarn (1000x2 MW)</t>
  </si>
  <si>
    <t>PPL/D/430</t>
  </si>
  <si>
    <t>PPL/D/431</t>
  </si>
  <si>
    <t>PO00012244</t>
  </si>
  <si>
    <t>31-07-2026</t>
  </si>
  <si>
    <t>PPL/D/432</t>
  </si>
  <si>
    <t>KRZY-93/KK0019 SUGAR KSC</t>
  </si>
  <si>
    <t>PPL/D/433</t>
  </si>
  <si>
    <t>PP Yarn-Export</t>
  </si>
  <si>
    <t>PP UL Fabric-Export</t>
  </si>
  <si>
    <t>PP Lam Fabric-Export</t>
  </si>
  <si>
    <t>GJ14Z3205</t>
  </si>
  <si>
    <t>GJ12DE3213</t>
  </si>
  <si>
    <t>POLYSTER YARN</t>
  </si>
  <si>
    <t>PP Woven Big Bags</t>
  </si>
  <si>
    <t>PP MULTIFILAMENT YARN</t>
  </si>
  <si>
    <t>Ink / Pigment</t>
  </si>
  <si>
    <t>RAW05728</t>
  </si>
  <si>
    <t>GJ-35 T 2925</t>
  </si>
  <si>
    <t>GJ05BV2093</t>
  </si>
  <si>
    <t>SEKU6335751</t>
  </si>
  <si>
    <t>GJ12CT5847</t>
  </si>
  <si>
    <t>PP/HD/LD WASTE</t>
  </si>
  <si>
    <t>Wastage</t>
  </si>
  <si>
    <t>WIP00031</t>
  </si>
  <si>
    <t>GJ-09 AW 0619</t>
  </si>
  <si>
    <t>PP WOVEN FABRIC LAMINATED/COATED</t>
  </si>
  <si>
    <t>GJ21W4683</t>
  </si>
  <si>
    <t>Polypropylene Granuals</t>
  </si>
  <si>
    <t>RAW06340</t>
  </si>
  <si>
    <t>MEHSANA</t>
  </si>
  <si>
    <t>GJ-02 AT 1733</t>
  </si>
  <si>
    <t>GJ12BX8562</t>
  </si>
  <si>
    <t>GJ 12BY 9286</t>
  </si>
  <si>
    <t>VADODARA</t>
  </si>
  <si>
    <t>GJ-12 BY -9286</t>
  </si>
  <si>
    <t>Polypropylene Woven Fabrics</t>
  </si>
  <si>
    <t>GJ12AU8624</t>
  </si>
  <si>
    <t>TRHU1104380</t>
  </si>
  <si>
    <t>U S A</t>
  </si>
  <si>
    <t>GJ39T7823</t>
  </si>
  <si>
    <t>GJ-39 TB -3534</t>
  </si>
  <si>
    <t>GJ39TA5218</t>
  </si>
  <si>
    <t>GJ-38 TB 2114</t>
  </si>
  <si>
    <t>GJ12CT0058</t>
  </si>
  <si>
    <t>GJ-35 T-2925</t>
  </si>
  <si>
    <t> GJ 18 X 9932</t>
  </si>
  <si>
    <t>GJ12BV1104</t>
  </si>
  <si>
    <t>GJ12BV4739</t>
  </si>
  <si>
    <t>PP Woven Sacks With U.V.Stabilization (2% By Weight)</t>
  </si>
  <si>
    <t>WIP00037</t>
  </si>
  <si>
    <t>GJ12BY0479</t>
  </si>
  <si>
    <t>GJ39TA8822</t>
  </si>
  <si>
    <t>RAW05727</t>
  </si>
  <si>
    <t>GJ12CT7818</t>
  </si>
  <si>
    <t>GJ39TA4529</t>
  </si>
  <si>
    <t>VARSANA-KUTCH</t>
  </si>
  <si>
    <t>GJ39TA5586</t>
  </si>
  <si>
    <t>MEDU8833282</t>
  </si>
  <si>
    <t>ITALY</t>
  </si>
  <si>
    <t>GJ12CV2685</t>
  </si>
  <si>
    <t>Flexible Intermediate Bulk Containers (Attachment Bag)</t>
  </si>
  <si>
    <t>KASHIDA, EAST SINGHBHUM,</t>
  </si>
  <si>
    <t>GJ12U0544</t>
  </si>
  <si>
    <t>GJ-12 BU -0544</t>
  </si>
  <si>
    <t>GJ12CT6130</t>
  </si>
  <si>
    <t>GJ12CT6598</t>
  </si>
  <si>
    <t>GJ12CT5914</t>
  </si>
  <si>
    <t>GJ12BY8439</t>
  </si>
  <si>
    <t>GJ-39 TB 3534</t>
  </si>
  <si>
    <t>GJ01DY8320</t>
  </si>
  <si>
    <t>GJ-06 ZZ 8766</t>
  </si>
  <si>
    <t>Polypropylene woven Fabrics</t>
  </si>
  <si>
    <t>GJ12CT7030</t>
  </si>
  <si>
    <t>OOCU7306230</t>
  </si>
  <si>
    <t>MALAYSIA</t>
  </si>
  <si>
    <t>29934/516R1</t>
  </si>
  <si>
    <t>29934/AG825</t>
  </si>
  <si>
    <t>CMS</t>
  </si>
  <si>
    <t>OEL432/542</t>
  </si>
  <si>
    <t>29969/386R1</t>
  </si>
  <si>
    <t>ARTICLES MADE OF LLDPE (LLDPE BAGS)</t>
  </si>
  <si>
    <t>Small Bag</t>
  </si>
  <si>
    <t>Flexible Intermediate Bulk Containers (Attachment bag)</t>
  </si>
  <si>
    <t>POLYESTER YARN</t>
  </si>
  <si>
    <t>GJ39T9710</t>
  </si>
  <si>
    <t>GJ39TA9436</t>
  </si>
  <si>
    <t>PP Granules-HSS</t>
  </si>
  <si>
    <t>LLDPE Granules-HSS</t>
  </si>
  <si>
    <t>PPL/D/421</t>
  </si>
  <si>
    <t>Plastene India ltd - Unit 1-Purchase</t>
  </si>
  <si>
    <t>R.M.P.</t>
  </si>
  <si>
    <t>RM 272</t>
  </si>
  <si>
    <t>Purchase Withinstate - Raw Material</t>
  </si>
  <si>
    <t>PIL1/D/878</t>
  </si>
  <si>
    <t>Plastene India ltd - Unit 2-Purchase</t>
  </si>
  <si>
    <t>General Purchase</t>
  </si>
  <si>
    <t>Stores/Spares</t>
  </si>
  <si>
    <t>RM 271</t>
  </si>
  <si>
    <t>PIL2/D/327</t>
  </si>
  <si>
    <t>Purchase Withinstate- Stores, Spares &amp; Consumable</t>
  </si>
  <si>
    <t>HCP Plastene Bulkpack Limited - Purchase</t>
  </si>
  <si>
    <t>RM 274</t>
  </si>
  <si>
    <t>HPBL/D/338</t>
  </si>
  <si>
    <t>RM 273</t>
  </si>
  <si>
    <t>PIL1/D/886</t>
  </si>
  <si>
    <t>Hcp Plastene Bulkpack Ltd (Unit-Iv) - Purchase</t>
  </si>
  <si>
    <t>RM 275</t>
  </si>
  <si>
    <t>HPBL4/D/134.</t>
  </si>
  <si>
    <t>K.P. Woven Pvt Ltd - Unit 3 -Purchase</t>
  </si>
  <si>
    <t>KPW3/E/067</t>
  </si>
  <si>
    <t>Purchase-Import - Third Party</t>
  </si>
  <si>
    <t>K.P. Woven Pvt Ltd-Purchase</t>
  </si>
  <si>
    <t>RM 276</t>
  </si>
  <si>
    <t>KPV/D/392</t>
  </si>
  <si>
    <t>RM 277</t>
  </si>
  <si>
    <t>PIL1/D/900</t>
  </si>
  <si>
    <t>PP Braided Rope MW 6 to 8 GPM</t>
  </si>
  <si>
    <t>RM 278</t>
  </si>
  <si>
    <t>PIL1/D/902</t>
  </si>
  <si>
    <t>PP MF Yarn Twisted 1000 UV NW</t>
  </si>
  <si>
    <t>PP MF Yarn Twisted 3000 Denier UV NW</t>
  </si>
  <si>
    <t>RM 279</t>
  </si>
  <si>
    <t>PIL1/D/897</t>
  </si>
  <si>
    <t>Printing &amp; Stationery</t>
  </si>
  <si>
    <t>Shree Kdk Enterprise</t>
  </si>
  <si>
    <t>GNCN 106</t>
  </si>
  <si>
    <t>Purchase Interstate- Stores, Spares &amp; Consumable</t>
  </si>
  <si>
    <t>26-27/0199</t>
  </si>
  <si>
    <t>FIBC Accessories</t>
  </si>
  <si>
    <t>Tyvek Labels</t>
  </si>
  <si>
    <t>23AMAPK7277K1ZU</t>
  </si>
  <si>
    <t>Sq Meter</t>
  </si>
  <si>
    <t>RM 280</t>
  </si>
  <si>
    <t>PIL1/D/909</t>
  </si>
  <si>
    <t>RM 281</t>
  </si>
  <si>
    <t>PIL1/D/912</t>
  </si>
  <si>
    <t>RM 282</t>
  </si>
  <si>
    <t>PIL1/D/910</t>
  </si>
  <si>
    <t>PP Basell 462S</t>
  </si>
  <si>
    <t>LLDPE Granules</t>
  </si>
  <si>
    <t>LDPE Granuels</t>
  </si>
  <si>
    <t>LLDPE F0120L HMEL</t>
  </si>
  <si>
    <t>RM 285</t>
  </si>
  <si>
    <t>KPV/D/403</t>
  </si>
  <si>
    <t>PP Fibrillated Tape Twisted 3200 MW</t>
  </si>
  <si>
    <t>RM 283</t>
  </si>
  <si>
    <t>PIL1/D/921</t>
  </si>
  <si>
    <t>RM 284</t>
  </si>
  <si>
    <t>PIL1/D/922</t>
  </si>
  <si>
    <t>RM 286</t>
  </si>
  <si>
    <t>PIL1/D/927</t>
  </si>
  <si>
    <t>RM 287</t>
  </si>
  <si>
    <t>HPBL/D/350</t>
  </si>
  <si>
    <t>RM 288</t>
  </si>
  <si>
    <t>PIL1/D/938</t>
  </si>
  <si>
    <t>PP Lam Fabric Without UV</t>
  </si>
  <si>
    <t>RM 289</t>
  </si>
  <si>
    <t>PIL1/D/939</t>
  </si>
  <si>
    <t>RM 290</t>
  </si>
  <si>
    <t>PIL1/D/940</t>
  </si>
  <si>
    <t>RM 292</t>
  </si>
  <si>
    <t>KPV/D/414</t>
  </si>
  <si>
    <t>RM 291</t>
  </si>
  <si>
    <t>PIL1/D/947</t>
  </si>
  <si>
    <t>RM 293</t>
  </si>
  <si>
    <t>PIL1/D/957</t>
  </si>
  <si>
    <t>RM 294</t>
  </si>
  <si>
    <t>PIL1/D/963</t>
  </si>
  <si>
    <t>Masterbatch</t>
  </si>
  <si>
    <t>Master Batch</t>
  </si>
  <si>
    <t>MB Colman Shiny Black ( RD Black-01 )</t>
  </si>
  <si>
    <t>RM 296</t>
  </si>
  <si>
    <t>PIL1/D/973</t>
  </si>
  <si>
    <t>RM 297</t>
  </si>
  <si>
    <t>PIL1/D/972</t>
  </si>
  <si>
    <t>RM 298</t>
  </si>
  <si>
    <t>PIL1/D/971</t>
  </si>
  <si>
    <t>RM 295</t>
  </si>
  <si>
    <t>PIL2/D/347</t>
  </si>
  <si>
    <t>KPW3/E/072</t>
  </si>
  <si>
    <t>RM 299</t>
  </si>
  <si>
    <t>PIL1/D/985</t>
  </si>
  <si>
    <t>RM 300</t>
  </si>
  <si>
    <t>PIL1/D/998</t>
  </si>
  <si>
    <t>PP RIL H350EC</t>
  </si>
  <si>
    <t>RM 301</t>
  </si>
  <si>
    <t>PIL1/D/979</t>
  </si>
  <si>
    <t>RM 303</t>
  </si>
  <si>
    <t>HPBL/D/362</t>
  </si>
  <si>
    <t>KPW3/E/073</t>
  </si>
  <si>
    <t>RM 302</t>
  </si>
  <si>
    <t>KPV/D/429</t>
  </si>
  <si>
    <t>PP Fibrillated Tape Twisted 3200 Blue</t>
  </si>
  <si>
    <t>Parsva Trading</t>
  </si>
  <si>
    <t>GNCN 114</t>
  </si>
  <si>
    <t>24AMOPG6602J2Z0</t>
  </si>
  <si>
    <t>RM 304</t>
  </si>
  <si>
    <t>PIL1/D/994</t>
  </si>
  <si>
    <t>RM 305</t>
  </si>
  <si>
    <t>PIL1/D/995</t>
  </si>
  <si>
    <t>RM 306</t>
  </si>
  <si>
    <t>PIL1/D/1002</t>
  </si>
  <si>
    <t>PP MF Yarn Twisted 2500 Denier UV NW</t>
  </si>
  <si>
    <t>RM 307</t>
  </si>
  <si>
    <t>PIL1/D/1004</t>
  </si>
  <si>
    <t>KPW3/E/074</t>
  </si>
  <si>
    <t>RM 309</t>
  </si>
  <si>
    <t>PIL1/D/1017</t>
  </si>
  <si>
    <t>RM 308</t>
  </si>
  <si>
    <t>PIL2/D/356</t>
  </si>
  <si>
    <t>RM 310</t>
  </si>
  <si>
    <t>PIL1/D/1022</t>
  </si>
  <si>
    <t>RM 311</t>
  </si>
  <si>
    <t>PIL1/D/1025</t>
  </si>
  <si>
    <t>RP Granules</t>
  </si>
  <si>
    <t>REPROCESSED GRANULE</t>
  </si>
  <si>
    <t>RM 312</t>
  </si>
  <si>
    <t>PIL1/D/1027</t>
  </si>
  <si>
    <t>RM 317</t>
  </si>
  <si>
    <t>HPBL/D/373</t>
  </si>
  <si>
    <t>Hcp Plastene Bulkpack Ltd Vadodara Purchase</t>
  </si>
  <si>
    <t>RM 319</t>
  </si>
  <si>
    <t>HPBLV/D/34</t>
  </si>
  <si>
    <t>RM 313</t>
  </si>
  <si>
    <t>KPV/D/448</t>
  </si>
  <si>
    <t>PP Fibrillated Tape Twisted 3200 Black</t>
  </si>
  <si>
    <t>RM 314</t>
  </si>
  <si>
    <t>KPV/D/450</t>
  </si>
  <si>
    <t>RM 315</t>
  </si>
  <si>
    <t>PIL1/D/1030</t>
  </si>
  <si>
    <t>RM 318</t>
  </si>
  <si>
    <t>PIL1/D/1038</t>
  </si>
  <si>
    <t>RM 316</t>
  </si>
  <si>
    <t>PIL2/D/367</t>
  </si>
  <si>
    <t>Isotech Tie Up Pvt Ltd</t>
  </si>
  <si>
    <t>RMP - High Seas</t>
  </si>
  <si>
    <t>RMIMP 3</t>
  </si>
  <si>
    <t>Purchase Trading - High Seas</t>
  </si>
  <si>
    <t>9005602387 (27.03.2026)</t>
  </si>
  <si>
    <t>PP Granules Others</t>
  </si>
  <si>
    <t>29AAACI5914N1Z6</t>
  </si>
  <si>
    <t>RMIMP 4</t>
  </si>
  <si>
    <t>9005604815 (27.03.2026)</t>
  </si>
  <si>
    <t>RM 320</t>
  </si>
  <si>
    <t>KPV/D/455</t>
  </si>
  <si>
    <t>RM 321</t>
  </si>
  <si>
    <t>PIL1/D/1049</t>
  </si>
  <si>
    <t>RM 322</t>
  </si>
  <si>
    <t>PIL1/D/1056</t>
  </si>
  <si>
    <t>LDPE Granules</t>
  </si>
  <si>
    <t>LDPE LOTTE LF512</t>
  </si>
  <si>
    <t>RM 324</t>
  </si>
  <si>
    <t>HPBL/D/382</t>
  </si>
  <si>
    <t>RM 326</t>
  </si>
  <si>
    <t>KPV/D/461</t>
  </si>
  <si>
    <t>Parth Poly Coat Yarn Pvt Ltd</t>
  </si>
  <si>
    <t>RM 325</t>
  </si>
  <si>
    <t>PPCYPL/2627/102</t>
  </si>
  <si>
    <t>24AAGCP6363E1ZH</t>
  </si>
  <si>
    <t>RM 327</t>
  </si>
  <si>
    <t>PIL1/D/1058</t>
  </si>
  <si>
    <t>RM 323</t>
  </si>
  <si>
    <t>PIL2/D/378</t>
  </si>
  <si>
    <t>RM 329</t>
  </si>
  <si>
    <t>HPBL/D/387</t>
  </si>
  <si>
    <t>RM 330</t>
  </si>
  <si>
    <t>PIL1/D/1074</t>
  </si>
  <si>
    <t>RM 328</t>
  </si>
  <si>
    <t>PIL2/D/379</t>
  </si>
  <si>
    <t>UV PIL NFG 20LD</t>
  </si>
  <si>
    <t>HCP Enterprise Ltd-Purchase</t>
  </si>
  <si>
    <t>RM 335</t>
  </si>
  <si>
    <t>HCP/D/60</t>
  </si>
  <si>
    <t>PP NSRP NSY114G</t>
  </si>
  <si>
    <t>24AAACC7815N1ZI</t>
  </si>
  <si>
    <t>RM 331</t>
  </si>
  <si>
    <t>HPBL/D/390</t>
  </si>
  <si>
    <t>LDPE RIL J24FS040</t>
  </si>
  <si>
    <t>RM 333</t>
  </si>
  <si>
    <t>PIL1/D/1081</t>
  </si>
  <si>
    <t>LLDPE KUNLUN DFDA9047</t>
  </si>
  <si>
    <t>RM 334</t>
  </si>
  <si>
    <t>PIL1/D/1083</t>
  </si>
  <si>
    <t>RM 336</t>
  </si>
  <si>
    <t>PIL1/D/1095</t>
  </si>
  <si>
    <t>RM 332</t>
  </si>
  <si>
    <t>PIL2/D/385</t>
  </si>
  <si>
    <t>Brahmani Labels</t>
  </si>
  <si>
    <t>GNCN 121</t>
  </si>
  <si>
    <t>24CIAPP4681A1ZK</t>
  </si>
  <si>
    <t>RM 339</t>
  </si>
  <si>
    <t>KPV/D/482</t>
  </si>
  <si>
    <t>RM 337</t>
  </si>
  <si>
    <t>PIL1/D/1097</t>
  </si>
  <si>
    <t>RM 338</t>
  </si>
  <si>
    <t>PIL1/D/1099</t>
  </si>
  <si>
    <t>RM 340</t>
  </si>
  <si>
    <t>PIL1/D/1109</t>
  </si>
  <si>
    <t>LDPE Granules (Trading)</t>
  </si>
  <si>
    <t>RM 342</t>
  </si>
  <si>
    <t>KPV/D/487</t>
  </si>
  <si>
    <t>RM 343</t>
  </si>
  <si>
    <t>PIL1/D/1106</t>
  </si>
  <si>
    <t>RM 344</t>
  </si>
  <si>
    <t>PIL1/D/1115</t>
  </si>
  <si>
    <t>RM 341</t>
  </si>
  <si>
    <t>PIL2/D/391</t>
  </si>
  <si>
    <t>RM 346</t>
  </si>
  <si>
    <t>HPBL4/D/173</t>
  </si>
  <si>
    <t>RM 349</t>
  </si>
  <si>
    <t>KPV/D/491</t>
  </si>
  <si>
    <t>RM 345</t>
  </si>
  <si>
    <t>PIL1/D/1120</t>
  </si>
  <si>
    <t>RM 347</t>
  </si>
  <si>
    <t>PIL1/D/1126</t>
  </si>
  <si>
    <t>RM 348</t>
  </si>
  <si>
    <t>PIL1/D/1123</t>
  </si>
  <si>
    <t>RM 350</t>
  </si>
  <si>
    <t>HPBL/D/401</t>
  </si>
  <si>
    <t>RM 352</t>
  </si>
  <si>
    <t>PIL1/D/1132</t>
  </si>
  <si>
    <t>RM 353</t>
  </si>
  <si>
    <t>PIL1/D/1135</t>
  </si>
  <si>
    <t>RM 354</t>
  </si>
  <si>
    <t>PIL1/D/1140</t>
  </si>
  <si>
    <t>RM 351</t>
  </si>
  <si>
    <t>PIL2/D/396</t>
  </si>
  <si>
    <t>RM 355</t>
  </si>
  <si>
    <t>PIL1/D/1151</t>
  </si>
  <si>
    <t>RM 356</t>
  </si>
  <si>
    <t>PIL1/D/1153</t>
  </si>
  <si>
    <t>RM 358</t>
  </si>
  <si>
    <t>HPBL/D/408</t>
  </si>
  <si>
    <t>RM 360</t>
  </si>
  <si>
    <t>KPV/D/508</t>
  </si>
  <si>
    <t>RM 357</t>
  </si>
  <si>
    <t>PIL1/D/1154</t>
  </si>
  <si>
    <t>RM 359</t>
  </si>
  <si>
    <t>PIL1/D/1163</t>
  </si>
  <si>
    <t>RM 362</t>
  </si>
  <si>
    <t>PIL1/D/1166</t>
  </si>
  <si>
    <t>RM 363</t>
  </si>
  <si>
    <t>PIL1/D/1170</t>
  </si>
  <si>
    <t>Vyankatesh Udyog (I) Pvt Ltd - Purchase</t>
  </si>
  <si>
    <t>RM 361</t>
  </si>
  <si>
    <t>Purchase Interstate - Raw Material</t>
  </si>
  <si>
    <t>1156/26-27</t>
  </si>
  <si>
    <t>27AAECV8365Q1ZC</t>
  </si>
  <si>
    <t>Ink Vyankatesh Poly Reflex Blue VLX 573</t>
  </si>
  <si>
    <t>Ink Vyankatesh Poly Robbin Red VLX 876</t>
  </si>
  <si>
    <t>Ink Vyankatesh Poly Warm Red C VLX 607</t>
  </si>
  <si>
    <t>Ink Vyankatesh Poly Orange 021 C VLX 528</t>
  </si>
  <si>
    <t>RM 364</t>
  </si>
  <si>
    <t>PIL1/D/1179</t>
  </si>
  <si>
    <t>RM 365</t>
  </si>
  <si>
    <t>PIL1/D/1181</t>
  </si>
  <si>
    <t>RM 366</t>
  </si>
  <si>
    <t>PIL1/D/1185</t>
  </si>
  <si>
    <t>RM 368</t>
  </si>
  <si>
    <t>HPBL/D/419</t>
  </si>
  <si>
    <t>KPW3/E/087</t>
  </si>
  <si>
    <t>RM 370</t>
  </si>
  <si>
    <t>PIL1/D/1194</t>
  </si>
  <si>
    <t>RM 367</t>
  </si>
  <si>
    <t>PIL2/D/409</t>
  </si>
  <si>
    <t>RM 369</t>
  </si>
  <si>
    <t>PIL2/D/412</t>
  </si>
  <si>
    <t>GNCN 130</t>
  </si>
  <si>
    <t>GNCN 131</t>
  </si>
  <si>
    <t>RM 371</t>
  </si>
  <si>
    <t>PIL1/D/1199</t>
  </si>
  <si>
    <t>KPW3/E/088</t>
  </si>
  <si>
    <t>RM 372</t>
  </si>
  <si>
    <t>PIL1/D/1211</t>
  </si>
  <si>
    <t>RM 373</t>
  </si>
  <si>
    <t>PIL1/D/1214</t>
  </si>
  <si>
    <t>RM 374</t>
  </si>
  <si>
    <t>HPBL/D/431</t>
  </si>
  <si>
    <t>RM 376</t>
  </si>
  <si>
    <t>KPV/D/521</t>
  </si>
  <si>
    <t>RM 377</t>
  </si>
  <si>
    <t>KPV/D/520</t>
  </si>
  <si>
    <t>RM 375</t>
  </si>
  <si>
    <t>PIL1/D/1218</t>
  </si>
  <si>
    <t>RM 378</t>
  </si>
  <si>
    <t>PIL1/D/1224</t>
  </si>
  <si>
    <t>RM 379</t>
  </si>
  <si>
    <t>PIL1/D/1225</t>
  </si>
  <si>
    <t>Filler Terramag Calcium 20%</t>
  </si>
  <si>
    <t>RM 380</t>
  </si>
  <si>
    <t>PIL1/D/1236</t>
  </si>
  <si>
    <t>July.2026</t>
  </si>
  <si>
    <t>PPL/26-27/SII00772</t>
  </si>
  <si>
    <t>SMF00149</t>
  </si>
  <si>
    <t>PPL/CON/26-27/102</t>
  </si>
  <si>
    <t>GJ39T1656</t>
  </si>
  <si>
    <t>GENERAL</t>
  </si>
  <si>
    <t>CONSUMABLES</t>
  </si>
  <si>
    <t>TYPE B LABL SIZE- 10CM X 8CM  8500PCS.</t>
  </si>
  <si>
    <t>H K TRAVELLS</t>
  </si>
  <si>
    <t>VAT</t>
  </si>
  <si>
    <t>erp</t>
  </si>
  <si>
    <t>storeppl</t>
  </si>
  <si>
    <t>COMMERCIAL LABEL SIZE- 100CM X 200CM  8500PCS</t>
  </si>
  <si>
    <t>PPL/26-27/SII00844</t>
  </si>
  <si>
    <t>PPL/CON/26-27/109</t>
  </si>
  <si>
    <t>PPL/26-27/SII00916</t>
  </si>
  <si>
    <t>PPL/CON/26-27/119</t>
  </si>
  <si>
    <t>33800PCS</t>
  </si>
  <si>
    <t>Shree Sahjanand Logistics</t>
  </si>
  <si>
    <t>PPL/26-27/SII00993</t>
  </si>
  <si>
    <t>PPL/CON/26-27/128</t>
  </si>
  <si>
    <t>500 pcs (sacherie label size- 6x10 three color</t>
  </si>
  <si>
    <t>ANJANI  COURIER</t>
  </si>
  <si>
    <t>PPL/26-27/SII00994</t>
  </si>
  <si>
    <t>PPL/CON/26-27/129</t>
  </si>
  <si>
    <t>POLYSY LABEL</t>
  </si>
  <si>
    <t>SHREE SAHJANAND LOGISTICS</t>
  </si>
  <si>
    <t>1/10554</t>
  </si>
  <si>
    <t>PPL/26-27/SII00755</t>
  </si>
  <si>
    <t>PPL/RAW/26-27/273</t>
  </si>
  <si>
    <t>GJ06BT5602</t>
  </si>
  <si>
    <t>RAW MATERIAL</t>
  </si>
  <si>
    <t>INDIGENOUS</t>
  </si>
  <si>
    <t>S.R. ROADWAYS</t>
  </si>
  <si>
    <t>PPL/26-27/SII00756</t>
  </si>
  <si>
    <t>PPL/RAW/26-27/274</t>
  </si>
  <si>
    <t>PPL/26-27/SII00758</t>
  </si>
  <si>
    <t>PPL/RAW/26-27/275</t>
  </si>
  <si>
    <t>PPL/26-27/SII00759</t>
  </si>
  <si>
    <t>PPL/RAW/26-27/276</t>
  </si>
  <si>
    <t>GJ24X5687</t>
  </si>
  <si>
    <t>PPL/26-27/SII00764</t>
  </si>
  <si>
    <t>PPL/RAW/26-27/277</t>
  </si>
  <si>
    <t>PPL/26-27/SII00765</t>
  </si>
  <si>
    <t>PPL/RAW/26-27/278</t>
  </si>
  <si>
    <t>GJ12CT5320 - GJ12BZ8110</t>
  </si>
  <si>
    <t>JAI AMBE TRANSMOVERS PRIVATE LIMITED</t>
  </si>
  <si>
    <t>002295-002276</t>
  </si>
  <si>
    <t>PPL/26-27/SII00768</t>
  </si>
  <si>
    <t>PPL/RAW/26-27/279</t>
  </si>
  <si>
    <t>WIP00236</t>
  </si>
  <si>
    <t>PPL/26-27/SII00769</t>
  </si>
  <si>
    <t>WIP00191</t>
  </si>
  <si>
    <t>WIP00151</t>
  </si>
  <si>
    <t>PPL/26-27/SII00770</t>
  </si>
  <si>
    <t>PPL/26-27/SII00774</t>
  </si>
  <si>
    <t>PPL/RAW/26-27/280</t>
  </si>
  <si>
    <t>PPL/26-27/SII00775</t>
  </si>
  <si>
    <t>PPL/RAW/26-27/281</t>
  </si>
  <si>
    <t>PPL/26-27/SII00776</t>
  </si>
  <si>
    <t>RAW06259</t>
  </si>
  <si>
    <t>PPL/RAW/26-27/282</t>
  </si>
  <si>
    <t>mani</t>
  </si>
  <si>
    <t>RAW05130</t>
  </si>
  <si>
    <t>PPL/26-27/SII00779</t>
  </si>
  <si>
    <t>PPL/RAW/26-27/283</t>
  </si>
  <si>
    <t>PPL/26-27/SII00780</t>
  </si>
  <si>
    <t>PP WOVEN LAMINATED FABRIC SIZE : 55X90+12 / 4280 MTR.</t>
  </si>
  <si>
    <t>PPL/26-27/SII00781</t>
  </si>
  <si>
    <t>SMF00054</t>
  </si>
  <si>
    <t>PPL/RAW/26-27/284</t>
  </si>
  <si>
    <t>GJ39T8608</t>
  </si>
  <si>
    <t>PPL/26-27/SII00783</t>
  </si>
  <si>
    <t>PPL/RAW/26-27/285</t>
  </si>
  <si>
    <t>PPL/26-27/SII00784</t>
  </si>
  <si>
    <t>PPL/RAW/26-27/286</t>
  </si>
  <si>
    <t>GJ17XX0310</t>
  </si>
  <si>
    <t>SHREENA  ROADWAYS</t>
  </si>
  <si>
    <t>PPL/26-27/SII00792</t>
  </si>
  <si>
    <t>PPL/RAW/26-27/287</t>
  </si>
  <si>
    <t>WIP00026</t>
  </si>
  <si>
    <t>PPL/26-27/SII00793</t>
  </si>
  <si>
    <t>PPL/26-27/SII00794</t>
  </si>
  <si>
    <t>PPL/RAW/26-27/288</t>
  </si>
  <si>
    <t>PPL/26-27/SII00802</t>
  </si>
  <si>
    <t>PPL/RAW/26-27/289</t>
  </si>
  <si>
    <t>PPL/26-27/SII00803</t>
  </si>
  <si>
    <t>PPL/RAW/26-27/290</t>
  </si>
  <si>
    <t>PPL/26-27/SII00814</t>
  </si>
  <si>
    <t>PPL/RAW/26-27/291</t>
  </si>
  <si>
    <t>PPL/26-27/SII00818</t>
  </si>
  <si>
    <t>RAW06279</t>
  </si>
  <si>
    <t>PPL/RAW/26-27/292</t>
  </si>
  <si>
    <t>PPL/26-27/SII00819</t>
  </si>
  <si>
    <t>PPL/RAW/26-27/293</t>
  </si>
  <si>
    <t>GJ08AY2968</t>
  </si>
  <si>
    <t>PPL/26-27/SII00822</t>
  </si>
  <si>
    <t>PPL/RAW/26-27/294</t>
  </si>
  <si>
    <t>PPL/26-27/SII00823</t>
  </si>
  <si>
    <t>PPL/RAW/26-27/295</t>
  </si>
  <si>
    <t>PPL/26-27/SII00824</t>
  </si>
  <si>
    <t>PPL/RAW/26-27/296</t>
  </si>
  <si>
    <t>PPL/26-27/SII00830</t>
  </si>
  <si>
    <t>PPL/RAW/26-27/298</t>
  </si>
  <si>
    <t>PPL/26-27/SII00831</t>
  </si>
  <si>
    <t>RAW06258</t>
  </si>
  <si>
    <t>PPL/RAW/26-27/299</t>
  </si>
  <si>
    <t>PPL/26-27/SII00832</t>
  </si>
  <si>
    <t>PPL/RAW/26-27/300</t>
  </si>
  <si>
    <t>PPL/26-27/SII00833</t>
  </si>
  <si>
    <t>SMF00052</t>
  </si>
  <si>
    <t>PPL/RAW/26-27/301</t>
  </si>
  <si>
    <t>GJ24X8047</t>
  </si>
  <si>
    <t>SHREENA ROADWAYS</t>
  </si>
  <si>
    <t>PPL/26-27/SII00834</t>
  </si>
  <si>
    <t>PPL/RAW/26-27/302</t>
  </si>
  <si>
    <t>GJ12BV1841</t>
  </si>
  <si>
    <t>PPL/26-27/SII00835</t>
  </si>
  <si>
    <t>PPL/RAW/26-27/303</t>
  </si>
  <si>
    <t>PPL/26-27/SII00836</t>
  </si>
  <si>
    <t>PPL/RAW/26-27/304</t>
  </si>
  <si>
    <t>PPL/26-27/SII00841</t>
  </si>
  <si>
    <t>PPL/RAW/26-27/305</t>
  </si>
  <si>
    <t>WIP00181</t>
  </si>
  <si>
    <t>PPL/26-27/SII00842</t>
  </si>
  <si>
    <t>PPL/26-27/SII00847</t>
  </si>
  <si>
    <t>PPL/RAW/26-27/306</t>
  </si>
  <si>
    <t>PPL/26-27/SII00850</t>
  </si>
  <si>
    <t>PPL/RAW/26-27/308</t>
  </si>
  <si>
    <t>PPL/26-27/SII00854</t>
  </si>
  <si>
    <t>PPL/RAW/26-27/309</t>
  </si>
  <si>
    <t>PPL/26-27/SII00855</t>
  </si>
  <si>
    <t>WIP00002</t>
  </si>
  <si>
    <t>PPL/RAW/26-27/310</t>
  </si>
  <si>
    <t>PPL/26-27/SII00856</t>
  </si>
  <si>
    <t>PPL/26-27/SII00857</t>
  </si>
  <si>
    <t>PPL/RAW/26-27/311</t>
  </si>
  <si>
    <t>GJ12BZ4679</t>
  </si>
  <si>
    <t>G NAAM LOGISTICS</t>
  </si>
  <si>
    <t>SMF00051</t>
  </si>
  <si>
    <t>PPL/26-27/SII00858</t>
  </si>
  <si>
    <t>PPL/RAW/26-27/312</t>
  </si>
  <si>
    <t>GJ39T5096</t>
  </si>
  <si>
    <t>B.K. ROADWAYS</t>
  </si>
  <si>
    <t>PPL/26-27/SII00859</t>
  </si>
  <si>
    <t>PPL/RAW/26-27/313</t>
  </si>
  <si>
    <t>PPL/26-27/SII00861</t>
  </si>
  <si>
    <t>PPL/RAW/26-27/314</t>
  </si>
  <si>
    <t>GJ08AW4550</t>
  </si>
  <si>
    <t>PPL/26-27/SII00862</t>
  </si>
  <si>
    <t>PPL/RAW/26-27/316</t>
  </si>
  <si>
    <t>GJ01LT3770</t>
  </si>
  <si>
    <t>PPL/26-27/SII00865</t>
  </si>
  <si>
    <t>PPL/RAW/26-27/317</t>
  </si>
  <si>
    <t>PPL/26-27/SII00866</t>
  </si>
  <si>
    <t>PPL/RAW/26-27/315</t>
  </si>
  <si>
    <t>PPL/26-27/SII00867</t>
  </si>
  <si>
    <t>PPL/RAW/26-27/318</t>
  </si>
  <si>
    <t>GJ16Z8614</t>
  </si>
  <si>
    <t>PPL/26-27/SII00868</t>
  </si>
  <si>
    <t>PPL/RAW/26-27/319</t>
  </si>
  <si>
    <t>PPL/26-27/SII00869</t>
  </si>
  <si>
    <t>RAW06398</t>
  </si>
  <si>
    <t>PPL/RAW/26-27/320</t>
  </si>
  <si>
    <t>PPL/26-27/SII00874</t>
  </si>
  <si>
    <t>PPL/RAW/26-27/321</t>
  </si>
  <si>
    <t>GJ02VV9251</t>
  </si>
  <si>
    <t>PPL/26-27/SII00875</t>
  </si>
  <si>
    <t>PPL/RAW/26-27/322</t>
  </si>
  <si>
    <t>anil</t>
  </si>
  <si>
    <t>PPL/26-27/SII00876</t>
  </si>
  <si>
    <t>PPL/RAW/26-27/307</t>
  </si>
  <si>
    <t>GJ24X6976</t>
  </si>
  <si>
    <t>rmp2</t>
  </si>
  <si>
    <t>PPL/26-27/SII00877</t>
  </si>
  <si>
    <t>PPL/RAW/26-27/323</t>
  </si>
  <si>
    <t>GJ06AX2024</t>
  </si>
  <si>
    <t>PPL/26-27/SII00879</t>
  </si>
  <si>
    <t>PPL/RAW/26-27/324</t>
  </si>
  <si>
    <t>PPL/26-27/SII00885</t>
  </si>
  <si>
    <t>RAW06198</t>
  </si>
  <si>
    <t>PPL/RAW/26-27/325</t>
  </si>
  <si>
    <t>GJ39TA3045</t>
  </si>
  <si>
    <t>PPL/26-27/SII00886</t>
  </si>
  <si>
    <t>PPL/RAW/26-27/326</t>
  </si>
  <si>
    <t>GJ05BZ7002</t>
  </si>
  <si>
    <t>PPL/26-27/SII00893</t>
  </si>
  <si>
    <t>PPL/RAW/26-27/327</t>
  </si>
  <si>
    <t>PPL/26-27/SII00894</t>
  </si>
  <si>
    <t>PPL/RAW/26-27/329</t>
  </si>
  <si>
    <t>RAW05810</t>
  </si>
  <si>
    <t>PPL/26-27/SII00895</t>
  </si>
  <si>
    <t>PPL/RAW/26-27/330</t>
  </si>
  <si>
    <t>GJ24X5012</t>
  </si>
  <si>
    <t>PPL/26-27/SII00896</t>
  </si>
  <si>
    <t>RAW06390</t>
  </si>
  <si>
    <t>PPL/RAW/26-27/328</t>
  </si>
  <si>
    <t>PPL/26-27/SII00897</t>
  </si>
  <si>
    <t>PPL/RAW/26-27/331</t>
  </si>
  <si>
    <t>PPL/26-27/SII00902</t>
  </si>
  <si>
    <t>RAW06251</t>
  </si>
  <si>
    <t>PPL/RAW/26-27/332</t>
  </si>
  <si>
    <t>GJ14Z0316//GJ12CT5113</t>
  </si>
  <si>
    <t>JAI AMBE TRANSMOVER PVT LTD</t>
  </si>
  <si>
    <t>002687-002672</t>
  </si>
  <si>
    <t>PPL/26-27/SII00909</t>
  </si>
  <si>
    <t>PPL/RAW/26-27/333</t>
  </si>
  <si>
    <t>PPL/26-27/SII00910</t>
  </si>
  <si>
    <t>PPL/RAW/26-27/334</t>
  </si>
  <si>
    <t>PPL/26-27/SII00911</t>
  </si>
  <si>
    <t>PPL/RAW/26-27/335</t>
  </si>
  <si>
    <t>PPL/26-27/SII00915</t>
  </si>
  <si>
    <t>PPL/RAW/26-27/336</t>
  </si>
  <si>
    <t>GJ12BY5178</t>
  </si>
  <si>
    <t>PPL/26-27/SII00918</t>
  </si>
  <si>
    <t>PPL/RAW/26-27/337</t>
  </si>
  <si>
    <t>PPL/26-27/SII00919</t>
  </si>
  <si>
    <t>PPL/RAW/26-27/339</t>
  </si>
  <si>
    <t>GJ24X8795</t>
  </si>
  <si>
    <t>PPL/26-27/SII00920</t>
  </si>
  <si>
    <t>PPL/RAW/26-27/340</t>
  </si>
  <si>
    <t>PPL/26-27/SII00922</t>
  </si>
  <si>
    <t>PPL/RAW/26-27/338</t>
  </si>
  <si>
    <t>PPL/26-27/SII00923</t>
  </si>
  <si>
    <t>PPL/RAW/26-27/341</t>
  </si>
  <si>
    <t>PPL/26-27/SII00931</t>
  </si>
  <si>
    <t>PPL/RAW/26-27/342</t>
  </si>
  <si>
    <t>PPL/26-27/SII00932</t>
  </si>
  <si>
    <t>PPL/RAW/26-27/343</t>
  </si>
  <si>
    <t>GJ12BT2409</t>
  </si>
  <si>
    <t>PPL/26-27/SII00933</t>
  </si>
  <si>
    <t>PPL/RAW/26-27/344</t>
  </si>
  <si>
    <t>PPL/26-27/SII00934</t>
  </si>
  <si>
    <t>PPL/RAW/26-27/346</t>
  </si>
  <si>
    <t>PPL/26-27/SII00935</t>
  </si>
  <si>
    <t>PPL/RAW/26-27/345</t>
  </si>
  <si>
    <t>PPL/26-27/SII00943</t>
  </si>
  <si>
    <t>PPL/RAW/26-27/347</t>
  </si>
  <si>
    <t>GJ01LT7680</t>
  </si>
  <si>
    <t>PPL/26-27/SII00945</t>
  </si>
  <si>
    <t>PPL/RAW/26-27/349</t>
  </si>
  <si>
    <t>GJ12AZ1107</t>
  </si>
  <si>
    <t>KUTCH RATANAM ROADWAYS</t>
  </si>
  <si>
    <t>PPL/26-27/SII00946</t>
  </si>
  <si>
    <t>PPL/RAW/26-27/350</t>
  </si>
  <si>
    <t>PPL/26-27/SII00947</t>
  </si>
  <si>
    <t>PPL/RAW/26-27/348</t>
  </si>
  <si>
    <t>PPL/26-27/SII00948</t>
  </si>
  <si>
    <t>PPL/RAW/26-27/351</t>
  </si>
  <si>
    <t>PPL/26-27/SII00954</t>
  </si>
  <si>
    <t>PPL/RAW/26-27/352</t>
  </si>
  <si>
    <t>PPL/26-27/SII00955</t>
  </si>
  <si>
    <t>PPL/RAW/26-27/353</t>
  </si>
  <si>
    <t>PPL/26-27/SII00957</t>
  </si>
  <si>
    <t>PPL/RAW/26-27/354</t>
  </si>
  <si>
    <t>PPL/26-27/SII00960</t>
  </si>
  <si>
    <t>PPL/RAW/26-27/355</t>
  </si>
  <si>
    <t>PPL/26-27/SII00964</t>
  </si>
  <si>
    <t>PPL/RAW/26-27/356</t>
  </si>
  <si>
    <t>PPL/26-27/SII00965</t>
  </si>
  <si>
    <t>PPL/RAW/26-27/357</t>
  </si>
  <si>
    <t xml:space="preserve">LAXMAN B BAKUTRA </t>
  </si>
  <si>
    <t>PPL/26-27/SII00968</t>
  </si>
  <si>
    <t>PPL/RAW/26-27/297</t>
  </si>
  <si>
    <t>GJ39TB7350</t>
  </si>
  <si>
    <t>V-Trans ( India ) Ltd.</t>
  </si>
  <si>
    <t>storegrp</t>
  </si>
  <si>
    <t>RAW05730</t>
  </si>
  <si>
    <t>RAW05731</t>
  </si>
  <si>
    <t>RAW05734</t>
  </si>
  <si>
    <t>RAW05741</t>
  </si>
  <si>
    <t>PPL/26-27/SII00969</t>
  </si>
  <si>
    <t>PPL/RAW/26-27/358</t>
  </si>
  <si>
    <t>GJ07Y1324</t>
  </si>
  <si>
    <t>PPL/26-27/SII00971</t>
  </si>
  <si>
    <t>PPL/RAW/26-27/359</t>
  </si>
  <si>
    <t>PPL/26-27/SII00979</t>
  </si>
  <si>
    <t>PPL/RAW/26-27/360</t>
  </si>
  <si>
    <t>PPL/26-27/SII00980</t>
  </si>
  <si>
    <t>PPL/RAW/26-27/361</t>
  </si>
  <si>
    <t>PPL/26-27/SII00982</t>
  </si>
  <si>
    <t>PPL/RAW/26-27/362</t>
  </si>
  <si>
    <t>PPL/26-27/SII00983</t>
  </si>
  <si>
    <t>PPL/RAW/26-27/363</t>
  </si>
  <si>
    <t>PPL/26-27/SII00984</t>
  </si>
  <si>
    <t>PPL/RAW/26-27/364</t>
  </si>
  <si>
    <t>PPL/26-27/SII00987</t>
  </si>
  <si>
    <t>PPL/RAW/26-27/365</t>
  </si>
  <si>
    <t>GJ12CT6319</t>
  </si>
  <si>
    <t>PPL/26-27/SII00988</t>
  </si>
  <si>
    <t>PPL/RAW/26-27/366</t>
  </si>
  <si>
    <t>PPL/26-27/SII00992</t>
  </si>
  <si>
    <t>PPL/RAW/26-27/367</t>
  </si>
  <si>
    <t>PPL/26-27/SII01005</t>
  </si>
  <si>
    <t>PPL/RAW/26-27/368</t>
  </si>
  <si>
    <t>PPL/26-27/SII01006</t>
  </si>
  <si>
    <t>PPL/26-27/SII01008</t>
  </si>
  <si>
    <t>PPL/RAW/26-27/369</t>
  </si>
  <si>
    <t>PPL/26-27/SII01009</t>
  </si>
  <si>
    <t>PPL/RAW/26-27/370</t>
  </si>
  <si>
    <t>PPL/26-27/SII01010</t>
  </si>
  <si>
    <t>PPL/RAW/26-27/371</t>
  </si>
  <si>
    <t>PPL/26-27/SII01011</t>
  </si>
  <si>
    <t>PPL/RAW/26-27/372</t>
  </si>
  <si>
    <t>PPL/26-27/SII01017</t>
  </si>
  <si>
    <t>PPL/RAW/26-27/373</t>
  </si>
  <si>
    <t>PPL/26-27/SII01018</t>
  </si>
  <si>
    <t>RAW06371</t>
  </si>
  <si>
    <t>PPL/RAW/26-27/374</t>
  </si>
  <si>
    <t>PPL/26-27/SII01028</t>
  </si>
  <si>
    <t>PPL/RAW/26-27/375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</si>
</sst>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0" xfId="0" applyAlignme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right"/>
    </xf>
    <xf numFmtId="1" fontId="0" fillId="0" borderId="0" xfId="0" applyNumberFormat="1"/>
    <xf numFmtId="0" fontId="3" fillId="0" borderId="0" xfId="0" applyFont="1" applyAlignment="1"/>
    <xf numFmtId="0" fontId="0" fillId="0" borderId="0" xfId="0" applyFill="1" applyAlignment="1"/>
    <xf numFmtId="0" fontId="0" fillId="0" borderId="0" xfId="0" applyFill="1" applyAlignment="1">
      <alignment horizontal="center"/>
    </xf>
    <xf numFmtId="2" fontId="0" fillId="0" borderId="0" xfId="0" applyNumberFormat="1"/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NumberFormat="1" applyFont="1"/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9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BITDA-Monthly\26-27\July-2026\QTY%20Reco%20July-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BITDA-Monthly\26-27\July-2026\QTY%20Reco%20July-26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BITDA-Monthly\26-27\July-2026\QTY%20Reco%20July-26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BITDA-Monthly\26-27\July-2026\QTY%20Reco%20July-26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37.537464814814" createdVersion="5" refreshedVersion="5" minRefreshableVersion="3" recordCount="309">
  <cacheSource type="worksheet">
    <worksheetSource ref="B1:AG310" sheet="Purch-Account" r:id="rId2"/>
  </cacheSource>
  <cacheFields count="32">
    <cacheField name="Date" numFmtId="0">
      <sharedItems containsNonDate="0" containsDate="1" containsString="0" containsBlank="1" minDate="2026-07-01T00:00:00" maxDate="2026-08-01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/>
    </cacheField>
    <cacheField name="Invoice No" numFmtId="0">
      <sharedItems containsBlank="1" containsMixedTypes="1" containsNumber="1" containsInteger="1" minValue="21" maxValue="383"/>
    </cacheField>
    <cacheField name="Invoice Date" numFmtId="0">
      <sharedItems containsNonDate="0" containsDate="1" containsString="0" containsBlank="1" minDate="2026-04-08T00:00:00" maxDate="2026-08-01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 count="22">
        <s v="PP UL Fabric"/>
        <s v="LDPE/LLDPE Bags"/>
        <s v="PP Lam Fabric"/>
        <s v="PP Webbing"/>
        <s v="FIBC Bags-TP"/>
        <s v="PP Granules"/>
        <s v="PP Yarn"/>
        <s v="LLDPE Granules"/>
        <s v="FIBC WIP"/>
        <s v="FIBC Bags"/>
        <s v="Masterbatch"/>
        <s v="PE Film"/>
        <s v="PP Bags"/>
        <s v="RP Granules"/>
        <s v="PP Granules-HSS"/>
        <s v="LLDPE Granules-HSS"/>
        <s v="LDPE Granules"/>
        <s v="Filler"/>
        <s v="Thinner"/>
        <s v="PP Tapes"/>
        <s v="Ink"/>
        <m/>
      </sharedItems>
    </cacheField>
    <cacheField name="Purchase Group Name" numFmtId="0">
      <sharedItems containsBlank="1"/>
    </cacheField>
    <cacheField name="Item Name" numFmtId="0">
      <sharedItems containsBlank="1"/>
    </cacheField>
    <cacheField name="Quantity" numFmtId="0">
      <sharedItems containsString="0" containsBlank="1" containsNumber="1" minValue="1.83" maxValue="102000"/>
    </cacheField>
    <cacheField name="Amount" numFmtId="0">
      <sharedItems containsString="0" containsBlank="1" containsNumber="1" minValue="1800" maxValue="9639000"/>
    </cacheField>
    <cacheField name="Item Desc" numFmtId="0">
      <sharedItems containsBlank="1"/>
    </cacheField>
    <cacheField name="Bill Amount" numFmtId="0">
      <sharedItems containsString="0" containsBlank="1" containsNumber="1" minValue="0" maxValue="9629361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602640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602640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23133.599999999999"/>
    </cacheField>
    <cacheField name="Freight GST" numFmtId="0">
      <sharedItems containsString="0" containsBlank="1" containsNumber="1" minValue="0" maxValue="17.5"/>
    </cacheField>
    <cacheField name="Total GST" numFmtId="0">
      <sharedItems containsString="0" containsBlank="1" containsNumber="1" minValue="0" maxValue="1205280"/>
    </cacheField>
    <cacheField name="TCS" numFmtId="0">
      <sharedItems containsString="0" containsBlank="1" containsNumber="1" containsInteger="1" minValue="0" maxValue="0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21519" maxValue="84529099"/>
    </cacheField>
    <cacheField name="Currencty" numFmtId="0">
      <sharedItems containsBlank="1"/>
    </cacheField>
    <cacheField name="Exc.Rate" numFmtId="0">
      <sharedItems containsString="0" containsBlank="1" containsNumber="1" minValue="1" maxValue="95.45"/>
    </cacheField>
    <cacheField name="Net Wt" numFmtId="0">
      <sharedItems containsString="0" containsBlank="1" containsNumber="1" minValue="1.83" maxValue="102000"/>
    </cacheField>
    <cacheField name="Count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37.537483217595" createdVersion="5" refreshedVersion="5" minRefreshableVersion="3" recordCount="289">
  <cacheSource type="worksheet">
    <worksheetSource ref="B1:BO290" sheet="RM Report-Store" r:id="rId2"/>
  </cacheSource>
  <cacheFields count="66">
    <cacheField name="CompanyName" numFmtId="0">
      <sharedItems containsBlank="1"/>
    </cacheField>
    <cacheField name="Date" numFmtId="0">
      <sharedItems containsNonDate="0" containsDate="1" containsString="0" containsBlank="1" minDate="2026-07-01T00:00:00" maxDate="2026-08-01T00:00:00"/>
    </cacheField>
    <cacheField name="srno" numFmtId="0">
      <sharedItems containsBlank="1"/>
    </cacheField>
    <cacheField name="Itemcode" numFmtId="0">
      <sharedItems containsBlank="1"/>
    </cacheField>
    <cacheField name="Itemname" numFmtId="0">
      <sharedItems containsBlank="1"/>
    </cacheField>
    <cacheField name="PoNO" numFmtId="0">
      <sharedItems containsBlank="1"/>
    </cacheField>
    <cacheField name="OrderQty" numFmtId="0">
      <sharedItems containsString="0" containsBlank="1" containsNumber="1" minValue="25" maxValue="54000"/>
    </cacheField>
    <cacheField name="Challanqty" numFmtId="0">
      <sharedItems containsString="0" containsBlank="1" containsNumber="1" minValue="25" maxValue="54000"/>
    </cacheField>
    <cacheField name="Unit" numFmtId="0">
      <sharedItems containsBlank="1"/>
    </cacheField>
    <cacheField name="Recdqty" numFmtId="0">
      <sharedItems containsString="0" containsBlank="1" containsNumber="1" minValue="25" maxValue="54000"/>
    </cacheField>
    <cacheField name="PendingQty" numFmtId="0">
      <sharedItems containsString="0" containsBlank="1" containsNumber="1" minValue="-28.6999999999998" maxValue="0"/>
    </cacheField>
    <cacheField name="Acceptedqty" numFmtId="0">
      <sharedItems containsString="0" containsBlank="1" containsNumber="1" minValue="25" maxValue="54000"/>
    </cacheField>
    <cacheField name="Vehicalno" numFmtId="0">
      <sharedItems containsBlank="1"/>
    </cacheField>
    <cacheField name="Partyname" numFmtId="0">
      <sharedItems containsBlank="1"/>
    </cacheField>
    <cacheField name="Suppliername" numFmtId="0">
      <sharedItems containsBlank="1"/>
    </cacheField>
    <cacheField name="ChallanNo" numFmtId="0">
      <sharedItems containsBlank="1"/>
    </cacheField>
    <cacheField name="Challan Date" numFmtId="0">
      <sharedItems containsNonDate="0" containsDate="1" containsString="0" containsBlank="1" minDate="2026-06-30T00:00:00" maxDate="2026-08-01T00:00:00"/>
    </cacheField>
    <cacheField name="category" numFmtId="0">
      <sharedItems containsBlank="1"/>
    </cacheField>
    <cacheField name="subcategory" numFmtId="0">
      <sharedItems containsBlank="1"/>
    </cacheField>
    <cacheField name="MRno" numFmtId="0">
      <sharedItems containsBlank="1"/>
    </cacheField>
    <cacheField name="Rate" numFmtId="0">
      <sharedItems containsString="0" containsBlank="1" containsNumber="1" minValue="37.5" maxValue="330"/>
    </cacheField>
    <cacheField name="Amount" numFmtId="0">
      <sharedItems containsString="0" containsBlank="1" containsNumber="1" minValue="37.5" maxValue="349.6"/>
    </cacheField>
    <cacheField name="BillNo" numFmtId="0">
      <sharedItems containsBlank="1"/>
    </cacheField>
    <cacheField name="Bill Date" numFmtId="0">
      <sharedItems containsNonDate="0" containsDate="1" containsString="0" containsBlank="1" minDate="2026-06-30T00:00:00" maxDate="2026-08-01T00:00:00"/>
    </cacheField>
    <cacheField name="ItemRemarks" numFmtId="0">
      <sharedItems containsBlank="1"/>
    </cacheField>
    <cacheField name="Remarks" numFmtId="0">
      <sharedItems containsBlank="1" containsMixedTypes="1" containsNumber="1" containsInteger="1" minValue="0" maxValue="0"/>
    </cacheField>
    <cacheField name="Note" numFmtId="0">
      <sharedItems containsNonDate="0" containsString="0" containsBlank="1"/>
    </cacheField>
    <cacheField name="Transportname" numFmtId="0">
      <sharedItems containsBlank="1" containsMixedTypes="1" containsNumber="1" containsInteger="1" minValue="0" maxValue="0"/>
    </cacheField>
    <cacheField name="Lrnodate" numFmtId="0">
      <sharedItems containsBlank="1" containsMixedTypes="1" containsNumber="1" containsInteger="1" minValue="0" maxValue="4102516008"/>
    </cacheField>
    <cacheField name="Discamt" numFmtId="0">
      <sharedItems containsString="0" containsBlank="1" containsNumber="1" containsInteger="1" minValue="0" maxValue="0"/>
    </cacheField>
    <cacheField name="Discamt1" numFmtId="0">
      <sharedItems containsString="0" containsBlank="1" containsNumber="1" containsInteger="1" minValue="0" maxValue="0"/>
    </cacheField>
    <cacheField name="ExciseAmount" numFmtId="0">
      <sharedItems containsString="0" containsBlank="1" containsNumber="1" containsInteger="1" minValue="0" maxValue="0"/>
    </cacheField>
    <cacheField name="EducessAmount" numFmtId="0">
      <sharedItems containsString="0" containsBlank="1" containsNumber="1" containsInteger="1" minValue="0" maxValue="0"/>
    </cacheField>
    <cacheField name="HiEducessamount" numFmtId="0">
      <sharedItems containsString="0" containsBlank="1" containsNumber="1" containsInteger="1" minValue="0" maxValue="0"/>
    </cacheField>
    <cacheField name="InwardVatType" numFmtId="0">
      <sharedItems containsBlank="1"/>
    </cacheField>
    <cacheField name="Vatamount" numFmtId="0">
      <sharedItems containsString="0" containsBlank="1" containsNumber="1" containsInteger="1" minValue="0" maxValue="0"/>
    </cacheField>
    <cacheField name="Addvatamount" numFmtId="0">
      <sharedItems containsString="0" containsBlank="1" containsNumber="1" containsInteger="1" minValue="0" maxValue="0"/>
    </cacheField>
    <cacheField name="Frieght" numFmtId="0">
      <sharedItems containsString="0" containsBlank="1" containsNumber="1" containsInteger="1" minValue="0" maxValue="0"/>
    </cacheField>
    <cacheField name="Pkgfwd" numFmtId="0">
      <sharedItems containsString="0" containsBlank="1" containsNumber="1" containsInteger="1" minValue="0" maxValue="0"/>
    </cacheField>
    <cacheField name="Otherchg" numFmtId="0">
      <sharedItems containsString="0" containsBlank="1" containsNumber="1" containsInteger="1" minValue="0" maxValue="0"/>
    </cacheField>
    <cacheField name="Spdutyname" numFmtId="0">
      <sharedItems containsNonDate="0" containsString="0" containsBlank="1"/>
    </cacheField>
    <cacheField name="Spdutyamt" numFmtId="0">
      <sharedItems containsString="0" containsBlank="1" containsNumber="1" containsInteger="1" minValue="0" maxValue="0"/>
    </cacheField>
    <cacheField name="Additionalduty" numFmtId="0">
      <sharedItems containsString="0" containsBlank="1" containsNumber="1" containsInteger="1" minValue="0" maxValue="0"/>
    </cacheField>
    <cacheField name="Billamount" numFmtId="0">
      <sharedItems containsString="0" containsBlank="1" containsNumber="1" minValue="5009.72" maxValue="7901280"/>
    </cacheField>
    <cacheField name="Deptt" numFmtId="0">
      <sharedItems containsBlank="1"/>
    </cacheField>
    <cacheField name="GroupName" numFmtId="0">
      <sharedItems containsBlank="1"/>
    </cacheField>
    <cacheField name="SubGroupName" numFmtId="0">
      <sharedItems containsBlank="1" count="19">
        <s v="PP UL Fabric"/>
        <s v="LDPE/LLDPE Bags"/>
        <s v="PP Lam Fabric"/>
        <s v="PP Webbing"/>
        <s v="PP Granules"/>
        <s v="PP Yarn"/>
        <s v="LLDPE Granules"/>
        <s v="FIBC WIP"/>
        <s v="FIBC Bags"/>
        <s v="Masterbatch"/>
        <s v="PE Film"/>
        <s v="PP Bags"/>
        <s v="RP Granules"/>
        <s v="LDPE Granules"/>
        <s v="Filler"/>
        <s v="Thinner"/>
        <s v="PP Tapes"/>
        <s v="Ink"/>
        <m/>
      </sharedItems>
    </cacheField>
    <cacheField name="Deptt Po Indent" numFmtId="0">
      <sharedItems containsBlank="1"/>
    </cacheField>
    <cacheField name="LoginName" numFmtId="0">
      <sharedItems containsBlank="1"/>
    </cacheField>
    <cacheField name="servicetax" numFmtId="0">
      <sharedItems containsString="0" containsBlank="1" containsNumber="1" containsInteger="1" minValue="0" maxValue="0"/>
    </cacheField>
    <cacheField name="Basic Amount" numFmtId="0">
      <sharedItems containsString="0" containsBlank="1" containsNumber="1" minValue="4024.75" maxValue="6696000"/>
    </cacheField>
    <cacheField name="GateInwardNo" numFmtId="0">
      <sharedItems containsString="0" containsBlank="1" containsNumber="1" containsInteger="1" minValue="112" maxValue="3556"/>
    </cacheField>
    <cacheField name="GateInwardDate" numFmtId="0">
      <sharedItems containsNonDate="0" containsDate="1" containsString="0" containsBlank="1" minDate="2026-07-01T00:00:00" maxDate="2026-08-01T00:00:00"/>
    </cacheField>
    <cacheField name="VendorGST" numFmtId="0">
      <sharedItems containsBlank="1"/>
    </cacheField>
    <cacheField name="MRN User" numFmtId="0">
      <sharedItems containsBlank="1"/>
    </cacheField>
    <cacheField name="POUserName" numFmtId="0">
      <sharedItems containsBlank="1"/>
    </cacheField>
    <cacheField name="CGSTPer" numFmtId="0">
      <sharedItems containsString="0" containsBlank="1" containsNumber="1" minValue="0" maxValue="9"/>
    </cacheField>
    <cacheField name="CGSTAmount" numFmtId="0">
      <sharedItems containsString="0" containsBlank="1" containsNumber="1" minValue="0" maxValue="602640"/>
    </cacheField>
    <cacheField name="SGSTPer" numFmtId="0">
      <sharedItems containsString="0" containsBlank="1" containsNumber="1" minValue="0" maxValue="9"/>
    </cacheField>
    <cacheField name="SGSTAmount" numFmtId="0">
      <sharedItems containsString="0" containsBlank="1" containsNumber="1" minValue="0" maxValue="602640"/>
    </cacheField>
    <cacheField name="IGSTPer" numFmtId="0">
      <sharedItems containsString="0" containsBlank="1" containsNumber="1" containsInteger="1" minValue="0" maxValue="18"/>
    </cacheField>
    <cacheField name="IGSTAmount" numFmtId="0">
      <sharedItems containsString="0" containsBlank="1" containsNumber="1" minValue="0" maxValue="23133.599999999999"/>
    </cacheField>
    <cacheField name="RBIllmount" numFmtId="0">
      <sharedItems containsString="0" containsBlank="1" containsNumber="1" minValue="0" maxValue="7901280"/>
    </cacheField>
    <cacheField name="EWayNo" numFmtId="0">
      <sharedItems containsString="0" containsBlank="1" containsNumber="1" containsInteger="1" minValue="0" maxValue="692153828679"/>
    </cacheField>
    <cacheField name="EWayDt" numFmtId="0">
      <sharedItems containsNonDate="0" containsDate="1" containsString="0" containsBlank="1" minDate="2026-06-30T00:00:00" maxDate="2026-08-01T00:00:00"/>
    </cacheField>
    <cacheField name="netwt" numFmtId="0">
      <sharedItems containsString="0" containsBlank="1" containsNumber="1" minValue="25" maxValue="5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6237.639783449071" createdVersion="5" refreshedVersion="5" minRefreshableVersion="3" recordCount="209">
  <cacheSource type="worksheet">
    <worksheetSource ref="B1:BB210" sheet="Dispatch-GST Report" r:id="rId2"/>
  </cacheSource>
  <cacheFields count="53">
    <cacheField name="companyname" numFmtId="0">
      <sharedItems containsBlank="1"/>
    </cacheField>
    <cacheField name="InvNo" numFmtId="0">
      <sharedItems containsBlank="1" containsMixedTypes="1" containsNumber="1" containsInteger="1" minValue="300" maxValue="433"/>
    </cacheField>
    <cacheField name="Invdate" numFmtId="0">
      <sharedItems containsNonDate="0" containsDate="1" containsString="0" containsBlank="1" minDate="2026-07-01T00:00:00" maxDate="2026-08-01T00:00:00"/>
    </cacheField>
    <cacheField name="Buyername" numFmtId="0">
      <sharedItems containsBlank="1"/>
    </cacheField>
    <cacheField name="VehicalNo" numFmtId="0">
      <sharedItems containsBlank="1"/>
    </cacheField>
    <cacheField name="Commodity" numFmtId="0">
      <sharedItems containsBlank="1"/>
    </cacheField>
    <cacheField name="ItemDesc" numFmtId="0">
      <sharedItems containsBlank="1"/>
    </cacheField>
    <cacheField name="Rate" numFmtId="0">
      <sharedItems containsString="0" containsBlank="1" containsNumber="1" minValue="1.1499999999999999" maxValue="692"/>
    </cacheField>
    <cacheField name="qty" numFmtId="0">
      <sharedItems containsString="0" containsBlank="1" containsNumber="1" minValue="1.1499999999999999" maxValue="30000"/>
    </cacheField>
    <cacheField name="Unit" numFmtId="0">
      <sharedItems containsBlank="1"/>
    </cacheField>
    <cacheField name="Amount" numFmtId="0">
      <sharedItems containsString="0" containsBlank="1" containsNumber="1" minValue="345" maxValue="5024349.72"/>
    </cacheField>
    <cacheField name="Netwt" numFmtId="0">
      <sharedItems containsString="0" containsBlank="1" containsNumber="1" minValue="1.1499999999999999" maxValue="30000"/>
    </cacheField>
    <cacheField name="Grosswt" numFmtId="0">
      <sharedItems containsString="0" containsBlank="1" containsNumber="1" minValue="1.1499999999999999" maxValue="30000"/>
    </cacheField>
    <cacheField name="Totalamt" numFmtId="0">
      <sharedItems containsString="0" containsBlank="1" containsNumber="1" minValue="0" maxValue="6767535.3099999996"/>
    </cacheField>
    <cacheField name="Deptt" numFmtId="0">
      <sharedItems containsBlank="1"/>
    </cacheField>
    <cacheField name="itemdeptt" numFmtId="0">
      <sharedItems containsBlank="1"/>
    </cacheField>
    <cacheField name="OrderNo" numFmtId="0">
      <sharedItems containsNonDate="0" containsString="0" containsBlank="1"/>
    </cacheField>
    <cacheField name="Remarks" numFmtId="0">
      <sharedItems containsNonDate="0" containsString="0" containsBlank="1"/>
    </cacheField>
    <cacheField name="Currency" numFmtId="0">
      <sharedItems containsBlank="1"/>
    </cacheField>
    <cacheField name="ExRate" numFmtId="0">
      <sharedItems containsString="0" containsBlank="1" containsNumber="1" minValue="1" maxValue="108.6"/>
    </cacheField>
    <cacheField name="beingexport" numFmtId="0">
      <sharedItems containsBlank="1"/>
    </cacheField>
    <cacheField name="CGSTrate" numFmtId="0">
      <sharedItems containsString="0" containsBlank="1" containsNumber="1" minValue="0" maxValue="9"/>
    </cacheField>
    <cacheField name="CGSTamt" numFmtId="0">
      <sharedItems containsString="0" containsBlank="1" containsNumber="1" minValue="0" maxValue="452191.47"/>
    </cacheField>
    <cacheField name="SGSTRate" numFmtId="0">
      <sharedItems containsString="0" containsBlank="1" containsNumber="1" minValue="0" maxValue="9"/>
    </cacheField>
    <cacheField name="SGSTAmt" numFmtId="0">
      <sharedItems containsString="0" containsBlank="1" containsNumber="1" minValue="0" maxValue="452191.47"/>
    </cacheField>
    <cacheField name="IGSTrate" numFmtId="0">
      <sharedItems containsString="0" containsBlank="1" containsNumber="1" containsInteger="1" minValue="0" maxValue="18"/>
    </cacheField>
    <cacheField name="IGSTAmt" numFmtId="0">
      <sharedItems containsString="0" containsBlank="1" containsNumber="1" minValue="0" maxValue="82404"/>
    </cacheField>
    <cacheField name="HSNCode" numFmtId="0">
      <sharedItems containsString="0" containsBlank="1" containsNumber="1" containsInteger="1" minValue="392310" maxValue="63053200"/>
    </cacheField>
    <cacheField name="LRNo" numFmtId="0">
      <sharedItems containsBlank="1" containsMixedTypes="1" containsNumber="1" containsInteger="1" minValue="20" maxValue="3937"/>
    </cacheField>
    <cacheField name="LRDate" numFmtId="0">
      <sharedItems containsNonDate="0" containsDate="1" containsString="0" containsBlank="1" minDate="2026-07-01T00:00:00" maxDate="2026-08-01T00:00:00"/>
    </cacheField>
    <cacheField name="FOBValue" numFmtId="0">
      <sharedItems containsString="0" containsBlank="1" containsNumber="1" minValue="0" maxValue="47502"/>
    </cacheField>
    <cacheField name="FOBValueInRS" numFmtId="0">
      <sharedItems containsString="0" containsBlank="1" containsNumber="1" minValue="0" maxValue="4526205.8219999997"/>
    </cacheField>
    <cacheField name="NatureofContract" numFmtId="0">
      <sharedItems containsBlank="1"/>
    </cacheField>
    <cacheField name="Commercialvalue" numFmtId="0">
      <sharedItems containsString="0" containsBlank="1" containsNumber="1" minValue="0" maxValue="47502"/>
    </cacheField>
    <cacheField name="AdvanceLicNo" numFmtId="0">
      <sharedItems containsNonDate="0" containsString="0" containsBlank="1"/>
    </cacheField>
    <cacheField name="EPCGNo" numFmtId="0">
      <sharedItems containsNonDate="0" containsString="0" containsBlank="1"/>
    </cacheField>
    <cacheField name="ADCODE" numFmtId="0">
      <sharedItems containsString="0" containsBlank="1" containsNumber="1" containsInteger="1" minValue="6220250" maxValue="6220250"/>
    </cacheField>
    <cacheField name="Freight" numFmtId="0">
      <sharedItems containsString="0" containsBlank="1" containsNumber="1" minValue="0" maxValue="4104.53"/>
    </cacheField>
    <cacheField name="Insurance" numFmtId="0">
      <sharedItems containsString="0" containsBlank="1" containsNumber="1" minValue="0" maxValue="22.9"/>
    </cacheField>
    <cacheField name="SpeDuty1" numFmtId="0">
      <sharedItems containsString="0" containsBlank="1" containsNumber="1" containsInteger="1" minValue="0" maxValue="0"/>
    </cacheField>
    <cacheField name="SpeDuty2" numFmtId="0">
      <sharedItems containsString="0" containsBlank="1" containsNumber="1" containsInteger="1" minValue="0" maxValue="0"/>
    </cacheField>
    <cacheField name="SpeDuty3" numFmtId="0">
      <sharedItems containsString="0" containsBlank="1" containsNumber="1" containsInteger="1" minValue="0" maxValue="0"/>
    </cacheField>
    <cacheField name="Otherdec1" numFmtId="0">
      <sharedItems containsString="0" containsBlank="1" containsNumber="1" containsInteger="1" minValue="0" maxValue="0"/>
    </cacheField>
    <cacheField name="Otherdec2" numFmtId="0">
      <sharedItems containsString="0" containsBlank="1" containsNumber="1" containsInteger="1" minValue="0" maxValue="0"/>
    </cacheField>
    <cacheField name="Otherdec3" numFmtId="0">
      <sharedItems containsString="0" containsBlank="1" containsNumber="1" containsInteger="1" minValue="0" maxValue="0"/>
    </cacheField>
    <cacheField name="containerno" numFmtId="0">
      <sharedItems containsBlank="1"/>
    </cacheField>
    <cacheField name="Destination" numFmtId="0">
      <sharedItems containsBlank="1"/>
    </cacheField>
    <cacheField name="Country" numFmtId="0">
      <sharedItems containsBlank="1"/>
    </cacheField>
    <cacheField name="Itemcode" numFmtId="0">
      <sharedItems containsBlank="1"/>
    </cacheField>
    <cacheField name="Itemname" numFmtId="0">
      <sharedItems containsBlank="1"/>
    </cacheField>
    <cacheField name="Deptt1" numFmtId="0">
      <sharedItems containsBlank="1"/>
    </cacheField>
    <cacheField name="Groupname" numFmtId="0">
      <sharedItems containsBlank="1"/>
    </cacheField>
    <cacheField name="Subgroupname" numFmtId="0">
      <sharedItems containsBlank="1" count="20">
        <s v="FIBC Bags"/>
        <s v="PP Yarn"/>
        <s v="PE Film"/>
        <s v="LDPE/LLDPE Bags"/>
        <s v="FIBC Bags-Export"/>
        <s v="PP Yarn-Export"/>
        <s v="FIBC WIP"/>
        <s v="PP Lam Fabric"/>
        <s v="PP Webbing"/>
        <s v="Ink"/>
        <s v="PP UL Fabric"/>
        <s v="Wastage/Scrap"/>
        <s v="PP Granules"/>
        <s v="PP UL Fabric-Export"/>
        <s v="PP Lam Fabric-Export"/>
        <s v="Thinner"/>
        <s v="Filler"/>
        <s v="PP Tapes"/>
        <s v="PP Bag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hor" refreshedDate="46238.439105092591" createdVersion="5" refreshedVersion="5" minRefreshableVersion="3" recordCount="214">
  <cacheSource type="worksheet">
    <worksheetSource ref="B1:AG217" sheet="Sale-Account" r:id="rId2"/>
  </cacheSource>
  <cacheFields count="32">
    <cacheField name="Date" numFmtId="0">
      <sharedItems containsDate="1" containsBlank="1" containsMixedTypes="1" minDate="2026-01-07T00:00:00" maxDate="2026-12-08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 containsMixedTypes="1" containsNumber="1" containsInteger="1" minValue="300" maxValue="433"/>
    </cacheField>
    <cacheField name="Type" numFmtId="0">
      <sharedItems containsBlank="1"/>
    </cacheField>
    <cacheField name="Invoice No" numFmtId="0">
      <sharedItems containsBlank="1"/>
    </cacheField>
    <cacheField name="Invoice Date" numFmtId="0">
      <sharedItems containsDate="1" containsBlank="1" containsMixedTypes="1" minDate="2026-01-07T00:00:00" maxDate="2026-12-08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 count="27">
        <s v="FIBC Bags"/>
        <s v="PP Yarn"/>
        <s v="PE Film"/>
        <s v="LDPE/LLDPE Bags"/>
        <s v="FIBC Bags-Export"/>
        <s v="PP Yarn-Export"/>
        <s v="FIBC Bags-TP"/>
        <s v="PP Lam Fabric"/>
        <s v="PP Webbing"/>
        <s v="FIBC WIP"/>
        <s v="Ink"/>
        <s v="PP UL Fabric"/>
        <s v="Wastage/Scrap"/>
        <s v="PP Granules"/>
        <s v="PP UL Fabric-Export"/>
        <s v="PP Lam Fabric-Export"/>
        <s v="Thinner"/>
        <s v="Filler"/>
        <s v="PP Granules-HSS"/>
        <s v="LLDPE Granules-HSS"/>
        <s v="PP Bags"/>
        <s v="PP Tapes"/>
        <m/>
        <s v="Spares &amp; Stores" u="1"/>
        <s v="LLDPE Granules" u="1"/>
        <s v="Polyester Yarn" u="1"/>
        <s v="Pallets" u="1"/>
      </sharedItems>
    </cacheField>
    <cacheField name="sales Group Name" numFmtId="0">
      <sharedItems containsBlank="1"/>
    </cacheField>
    <cacheField name="Item Name" numFmtId="0">
      <sharedItems containsBlank="1"/>
    </cacheField>
    <cacheField name="Quantity" numFmtId="0">
      <sharedItems containsString="0" containsBlank="1" containsNumber="1" minValue="1.1499999999999999" maxValue="102000"/>
    </cacheField>
    <cacheField name="Amount" numFmtId="0">
      <sharedItems containsString="0" containsBlank="1" containsNumber="1" minValue="345" maxValue="9690000"/>
    </cacheField>
    <cacheField name="Item Desc" numFmtId="0">
      <sharedItems containsBlank="1"/>
    </cacheField>
    <cacheField name="Bill Amount" numFmtId="0">
      <sharedItems containsString="0" containsBlank="1" containsNumber="1" minValue="0" maxValue="9680310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452191.47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452191.47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799458.66"/>
    </cacheField>
    <cacheField name="Freight GST" numFmtId="0">
      <sharedItems containsString="0" containsBlank="1" containsNumber="1" containsInteger="1" minValue="0" maxValue="0"/>
    </cacheField>
    <cacheField name="Total GST" numFmtId="0">
      <sharedItems containsString="0" containsBlank="1" containsNumber="1" minValue="0" maxValue="904382.94"/>
    </cacheField>
    <cacheField name="TCS" numFmtId="0">
      <sharedItems containsString="0" containsBlank="1" containsNumber="1" minValue="0" maxValue="837.8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90110" maxValue="63053200"/>
    </cacheField>
    <cacheField name="Currencty" numFmtId="0">
      <sharedItems containsBlank="1"/>
    </cacheField>
    <cacheField name="Exc.Rate" numFmtId="0">
      <sharedItems containsString="0" containsBlank="1" containsNumber="1" minValue="1" maxValue="108.6"/>
    </cacheField>
    <cacheField name="Net Wt" numFmtId="0">
      <sharedItems containsString="0" containsBlank="1" containsNumber="1" minValue="1.1499999999999999" maxValue="102000"/>
    </cacheField>
    <cacheField name="Count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9">
  <r>
    <d v="2026-07-01T00:00:00"/>
    <s v="Plastene India ltd - Unit 1-Purchase"/>
    <s v="R.M.P."/>
    <s v="RM 272"/>
    <s v="Purchase Withinstate - Raw Material"/>
    <s v="PIL1/D/878"/>
    <d v="2026-07-01T00:00:00"/>
    <s v="SF"/>
    <s v="PP/PE Fabric"/>
    <x v="0"/>
    <s v="PP WOVEN FABRIC"/>
    <s v="PP UL Fabric With UV"/>
    <n v="1321"/>
    <n v="195164.54"/>
    <s v="PP UL Fabric With UV"/>
    <n v="230099"/>
    <n v="9"/>
    <n v="17564.810000000001"/>
    <n v="9"/>
    <n v="17564.810000000001"/>
    <n v="0"/>
    <n v="0"/>
    <n v="0"/>
    <n v="35129.620000000003"/>
    <n v="0"/>
    <s v="24AAACO3087C1ZT"/>
    <s v="Kgs"/>
    <n v="39269080"/>
    <s v="Rs."/>
    <n v="1"/>
    <n v="1321"/>
    <s v="India"/>
  </r>
  <r>
    <d v="2026-07-01T00:00:00"/>
    <s v="Plastene India ltd - Unit 2-Purchase"/>
    <s v="R.M.P."/>
    <s v="RM 271"/>
    <s v="Purchase Withinstate - Raw Material"/>
    <s v="PIL2/D/327"/>
    <d v="2026-06-30T00:00:00"/>
    <s v="SF"/>
    <s v="PP/PE Fabric"/>
    <x v="0"/>
    <s v="PP WOVEN FABRIC"/>
    <s v="PP UL Fabric With UV"/>
    <n v="1082"/>
    <n v="132004"/>
    <s v="PP UL Fabric With UV"/>
    <n v="216954.38"/>
    <n v="9"/>
    <n v="11880.36"/>
    <n v="9"/>
    <n v="11880.36"/>
    <n v="0"/>
    <n v="0"/>
    <n v="0"/>
    <n v="23760.720000000001"/>
    <n v="0"/>
    <s v="24AAACO3087C1ZT"/>
    <s v="Kgs"/>
    <n v="39269080"/>
    <s v="Rs."/>
    <n v="1"/>
    <n v="1082"/>
    <s v="India"/>
  </r>
  <r>
    <d v="2026-07-01T00:00:00"/>
    <s v="Plastene India ltd - Unit 2-Purchase"/>
    <s v="R.M.P."/>
    <s v="RM 271"/>
    <s v="Purchase Withinstate - Raw Material"/>
    <s v="PIL2/D/327"/>
    <d v="2026-06-30T00:00:00"/>
    <s v="SF"/>
    <s v="PP/PE Fabric"/>
    <x v="0"/>
    <s v="PP WOVEN FABRIC"/>
    <s v="PP UL Fabric With UV"/>
    <n v="487"/>
    <n v="52011.6"/>
    <s v="PP UL Fabric With UV"/>
    <n v="0"/>
    <n v="9"/>
    <n v="4681.04"/>
    <n v="9"/>
    <n v="4681.04"/>
    <n v="0"/>
    <n v="0"/>
    <n v="0"/>
    <n v="9362.08"/>
    <n v="0"/>
    <s v="24AAACO3087C1ZT"/>
    <s v="Kgs"/>
    <n v="39269080"/>
    <s v="Rs."/>
    <n v="1"/>
    <n v="487"/>
    <s v="India"/>
  </r>
  <r>
    <d v="2026-07-02T00:00:00"/>
    <s v="HCP Plastene Bulkpack Limited - Purchase"/>
    <s v="R.M.P."/>
    <s v="RM 274"/>
    <s v="Purchase Withinstate - Raw Material"/>
    <s v="HPBL/D/338"/>
    <d v="2026-07-01T00:00:00"/>
    <s v="SF"/>
    <s v="PP/PE Fabric"/>
    <x v="0"/>
    <s v="PP WOVEN FABRIC"/>
    <s v="PP UL Fabric With UV"/>
    <n v="755"/>
    <n v="124499.5"/>
    <s v="PP UL Fabric With UV"/>
    <n v="464791.18"/>
    <n v="9"/>
    <n v="11204.96"/>
    <n v="9"/>
    <n v="11204.96"/>
    <n v="0"/>
    <n v="0"/>
    <n v="0"/>
    <n v="22409.919999999998"/>
    <n v="0"/>
    <s v="24AABCG1282C2Z6"/>
    <s v="Kgs"/>
    <n v="39269080"/>
    <s v="Rs."/>
    <n v="1"/>
    <n v="755"/>
    <s v="India"/>
  </r>
  <r>
    <d v="2026-07-02T00:00:00"/>
    <s v="HCP Plastene Bulkpack Limited - Purchase"/>
    <s v="R.M.P."/>
    <s v="RM 274"/>
    <s v="Purchase Withinstate - Raw Material"/>
    <s v="HPBL/D/338"/>
    <d v="2026-07-01T00:00:00"/>
    <s v="SF"/>
    <s v="PP/PE Fabric"/>
    <x v="0"/>
    <s v="PP WOVEN FABRIC"/>
    <s v="PP UL Fabric With UV"/>
    <n v="1666"/>
    <n v="269725.40000000002"/>
    <s v="PP UL Fabric With UV"/>
    <n v="0"/>
    <n v="9"/>
    <n v="24275.29"/>
    <n v="9"/>
    <n v="24275.29"/>
    <n v="0"/>
    <n v="0"/>
    <n v="0"/>
    <n v="48550.58"/>
    <n v="0"/>
    <s v="24AABCG1282C2Z6"/>
    <s v="Kgs"/>
    <n v="39269080"/>
    <s v="Rs."/>
    <n v="1"/>
    <n v="1666"/>
    <s v="India"/>
  </r>
  <r>
    <d v="2026-07-02T00:00:00"/>
    <s v="Plastene India ltd - Unit 1-Purchase"/>
    <s v="R.M.P."/>
    <s v="RM 273"/>
    <s v="Purchase Withinstate - Raw Material"/>
    <s v="PIL1/D/886"/>
    <d v="2026-07-02T00:00:00"/>
    <s v="SF"/>
    <s v="Liners"/>
    <x v="1"/>
    <s v="LDPE/LLDPE Bags"/>
    <s v="LDPE/LLDPE Bags/Liner"/>
    <n v="334"/>
    <n v="60504.1"/>
    <s v="LDPE/LLDPE Bags/Liner"/>
    <n v="691442.6"/>
    <n v="9"/>
    <n v="5445.37"/>
    <n v="9"/>
    <n v="5445.37"/>
    <n v="0"/>
    <n v="0"/>
    <n v="0"/>
    <n v="10890.74"/>
    <n v="0"/>
    <s v="24AAACO3087C1ZT"/>
    <s v="Kgs"/>
    <n v="39200000"/>
    <s v="Rs."/>
    <n v="1"/>
    <n v="334"/>
    <s v="India"/>
  </r>
  <r>
    <d v="2026-07-02T00:00:00"/>
    <s v="Plastene India ltd - Unit 1-Purchase"/>
    <s v="R.M.P."/>
    <s v="RM 273"/>
    <s v="Purchase Withinstate - Raw Material"/>
    <s v="PIL1/D/886"/>
    <d v="2026-07-02T00:00:00"/>
    <s v="SF"/>
    <s v="PP/PE Fabric"/>
    <x v="0"/>
    <s v="PP WOVEN FABRIC"/>
    <s v="PP UL Fabric With UV"/>
    <n v="646"/>
    <n v="98670.04"/>
    <s v="PP UL Fabric With UV"/>
    <n v="0"/>
    <n v="9"/>
    <n v="8880.2999999999993"/>
    <n v="9"/>
    <n v="8880.2999999999993"/>
    <n v="0"/>
    <n v="0"/>
    <n v="0"/>
    <n v="17760.599999999999"/>
    <n v="0"/>
    <s v="24AAACO3087C1ZT"/>
    <s v="Kgs"/>
    <n v="39269080"/>
    <s v="Rs."/>
    <n v="1"/>
    <n v="646"/>
    <s v="India"/>
  </r>
  <r>
    <d v="2026-07-02T00:00:00"/>
    <s v="Plastene India ltd - Unit 1-Purchase"/>
    <s v="R.M.P."/>
    <s v="RM 273"/>
    <s v="Purchase Withinstate - Raw Material"/>
    <s v="PIL1/D/886"/>
    <d v="2026-07-02T00:00:00"/>
    <s v="SF"/>
    <s v="PP/PE Fabric"/>
    <x v="2"/>
    <s v="PP Laminated Fabric"/>
    <s v="PP Lam Fabric With UV"/>
    <n v="2683"/>
    <n v="415167.42"/>
    <s v="PP Lam Fabric With UV"/>
    <n v="0"/>
    <n v="9"/>
    <n v="37365.07"/>
    <n v="9"/>
    <n v="37365.07"/>
    <n v="0"/>
    <n v="0"/>
    <n v="0"/>
    <n v="74730.14"/>
    <n v="0"/>
    <s v="24AAACO3087C1ZT"/>
    <s v="Kgs"/>
    <n v="63053300"/>
    <s v="Rs."/>
    <n v="1"/>
    <n v="2683"/>
    <s v="India"/>
  </r>
  <r>
    <d v="2026-07-02T00:00:00"/>
    <s v="Plastene India ltd - Unit 1-Purchase"/>
    <s v="R.M.P."/>
    <s v="RM 273"/>
    <s v="Purchase Withinstate - Raw Material"/>
    <s v="PIL1/D/886"/>
    <d v="2026-07-02T00:00:00"/>
    <s v="SF"/>
    <s v="Webbing"/>
    <x v="3"/>
    <s v="PP Webbing"/>
    <s v="Webbing"/>
    <n v="38.200000000000003"/>
    <n v="5834.6679999999997"/>
    <s v="Webbing"/>
    <n v="0"/>
    <n v="9"/>
    <n v="525.12"/>
    <n v="9"/>
    <n v="525.12"/>
    <n v="0"/>
    <n v="0"/>
    <n v="0"/>
    <n v="1050.24"/>
    <n v="0"/>
    <s v="24AAACO3087C1ZT"/>
    <s v="Kgs"/>
    <n v="3926908"/>
    <s v="Rs."/>
    <n v="1"/>
    <n v="38.200000000000003"/>
    <s v="India"/>
  </r>
  <r>
    <d v="2026-07-02T00:00:00"/>
    <s v="Plastene India ltd - Unit 1-Purchase"/>
    <s v="R.M.P."/>
    <s v="RM 273"/>
    <s v="Purchase Withinstate - Raw Material"/>
    <s v="PIL1/D/886"/>
    <d v="2026-07-02T00:00:00"/>
    <s v="SF"/>
    <s v="Webbing"/>
    <x v="3"/>
    <s v="PP Webbing"/>
    <s v="Webbing"/>
    <n v="42"/>
    <n v="6289.08"/>
    <s v="Webbing"/>
    <n v="0"/>
    <n v="9"/>
    <n v="566.02"/>
    <n v="9"/>
    <n v="566.02"/>
    <n v="0"/>
    <n v="0"/>
    <n v="0"/>
    <n v="1132.04"/>
    <n v="0"/>
    <s v="24AAACO3087C1ZT"/>
    <s v="Kgs"/>
    <n v="3926908"/>
    <s v="Rs."/>
    <n v="1"/>
    <n v="42"/>
    <s v="India"/>
  </r>
  <r>
    <d v="2026-07-03T00:00:00"/>
    <s v="Hcp Plastene Bulkpack Ltd (Unit-Iv) - Purchase"/>
    <s v="R.M.P."/>
    <s v="RM 275"/>
    <s v="Purchase Withinstate - Raw Material"/>
    <s v="HPBL4/D/134."/>
    <d v="2026-06-30T00:00:00"/>
    <s v="SF"/>
    <s v="PP/PE Fabric"/>
    <x v="2"/>
    <s v="PP Laminated Fabric"/>
    <s v="PP Lam Fabric With UV"/>
    <n v="186"/>
    <n v="28781.64"/>
    <s v="PP Lam Fabric With UV"/>
    <n v="33933.56"/>
    <n v="9"/>
    <n v="2590.35"/>
    <n v="9"/>
    <n v="2590.35"/>
    <n v="0"/>
    <n v="0"/>
    <n v="0"/>
    <n v="5180.7"/>
    <n v="0"/>
    <s v="24AABCG1282C2Z6"/>
    <s v="Kgs"/>
    <n v="63053300"/>
    <s v="Rs."/>
    <n v="1"/>
    <n v="186"/>
    <s v="India"/>
  </r>
  <r>
    <d v="2026-07-03T00:00:00"/>
    <s v="K.P. Woven Pvt Ltd - Unit 3 -Purchase"/>
    <s v="R.M.P."/>
    <s v="KPW3/E/067"/>
    <s v="Purchase-Import - Third Party"/>
    <s v="KPW3/E/067"/>
    <d v="2026-07-03T00:00:00"/>
    <s v="FG"/>
    <s v="FIBC Bags"/>
    <x v="4"/>
    <s v="FIBC"/>
    <s v="FIBC Bags With UV Without Liner"/>
    <n v="19758"/>
    <n v="5116986.6549999993"/>
    <s v="FIBC Bags With UV Without Liner"/>
    <n v="5116987"/>
    <n v="0"/>
    <n v="0"/>
    <n v="0"/>
    <n v="0"/>
    <n v="0"/>
    <n v="0"/>
    <n v="0"/>
    <n v="0"/>
    <n v="0"/>
    <s v="24AAECK6307M2ZE"/>
    <s v="Kgs"/>
    <n v="63053200"/>
    <s v="$"/>
    <n v="93.5"/>
    <n v="19758"/>
    <s v="India"/>
  </r>
  <r>
    <d v="2026-07-03T00:00:00"/>
    <s v="K.P. Woven Pvt Ltd-Purchase"/>
    <s v="R.M.P."/>
    <s v="RM 276"/>
    <s v="Purchase Withinstate - Raw Material"/>
    <s v="KPV/D/392"/>
    <d v="2026-07-03T00:00:00"/>
    <s v="RM"/>
    <s v="Granules"/>
    <x v="5"/>
    <s v="PP Granules"/>
    <s v="PP Advanced H312"/>
    <n v="49500"/>
    <n v="3821053.5"/>
    <s v="PP Advanced H312"/>
    <n v="4505022.09"/>
    <n v="9"/>
    <n v="343894.82"/>
    <n v="9"/>
    <n v="343894.82"/>
    <n v="0"/>
    <n v="0"/>
    <n v="0"/>
    <n v="687789.64"/>
    <n v="0"/>
    <s v="24AAECK6307M1ZF"/>
    <s v="Kgs"/>
    <n v="39021000"/>
    <s v="Rs."/>
    <n v="1"/>
    <n v="49500"/>
    <s v="India"/>
  </r>
  <r>
    <d v="2026-07-03T00:00:00"/>
    <s v="Plastene India ltd - Unit 1-Purchase"/>
    <s v="R.M.P."/>
    <s v="RM 277"/>
    <s v="Purchase Withinstate - Raw Material"/>
    <s v="PIL1/D/900"/>
    <d v="2026-07-03T00:00:00"/>
    <s v="SF"/>
    <s v="Liners"/>
    <x v="1"/>
    <s v="LDPE/LLDPE Bags"/>
    <s v="LDPE/LLDPE Bags/Liner"/>
    <n v="1485.8"/>
    <n v="269152.67"/>
    <s v="LDPE/LLDPE Bags/Liner"/>
    <n v="957235"/>
    <n v="9"/>
    <n v="24223.74"/>
    <n v="9"/>
    <n v="24223.74"/>
    <n v="0"/>
    <n v="0"/>
    <n v="0"/>
    <n v="48447.48"/>
    <n v="0"/>
    <s v="24AAACO3087C1ZT"/>
    <s v="Kgs"/>
    <n v="39200000"/>
    <s v="Rs."/>
    <n v="1"/>
    <n v="1485.8"/>
    <s v="India"/>
  </r>
  <r>
    <d v="2026-07-03T00:00:00"/>
    <s v="Plastene India ltd - Unit 1-Purchase"/>
    <s v="R.M.P."/>
    <s v="RM 277"/>
    <s v="Purchase Withinstate - Raw Material"/>
    <s v="PIL1/D/900"/>
    <d v="2026-07-03T00:00:00"/>
    <s v="SF"/>
    <s v="Liners"/>
    <x v="1"/>
    <s v="LDPE/LLDPE Bags"/>
    <s v="LDPE/LLDPE Bags/Liner"/>
    <n v="585"/>
    <n v="117672.75"/>
    <s v="LDPE/LLDPE Bags/Liner"/>
    <n v="0"/>
    <n v="9"/>
    <n v="10590.55"/>
    <n v="9"/>
    <n v="10590.55"/>
    <n v="0"/>
    <n v="0"/>
    <n v="0"/>
    <n v="21181.1"/>
    <n v="0"/>
    <s v="24AAACO3087C1ZT"/>
    <s v="Kgs"/>
    <n v="39200000"/>
    <s v="Rs."/>
    <n v="1"/>
    <n v="585"/>
    <s v="India"/>
  </r>
  <r>
    <d v="2026-07-03T00:00:00"/>
    <s v="Plastene India ltd - Unit 1-Purchase"/>
    <s v="R.M.P."/>
    <s v="RM 277"/>
    <s v="Purchase Withinstate - Raw Material"/>
    <s v="PIL1/D/900"/>
    <d v="2026-07-03T00:00:00"/>
    <s v="SF"/>
    <s v="Liners"/>
    <x v="1"/>
    <s v="LDPE/LLDPE Bags"/>
    <s v="LDPE/LLDPE Bags/Liner"/>
    <n v="1447.9"/>
    <n v="297036.685"/>
    <s v="LDPE/LLDPE Bags/Liner"/>
    <n v="0"/>
    <n v="9"/>
    <n v="26733.3"/>
    <n v="9"/>
    <n v="26733.3"/>
    <n v="0"/>
    <n v="0"/>
    <n v="0"/>
    <n v="53466.6"/>
    <n v="0"/>
    <s v="24AAACO3087C1ZT"/>
    <s v="Kgs"/>
    <n v="39200000"/>
    <s v="Rs."/>
    <n v="1"/>
    <n v="1447.9"/>
    <s v="India"/>
  </r>
  <r>
    <d v="2026-07-03T00:00:00"/>
    <s v="Plastene India ltd - Unit 1-Purchase"/>
    <s v="R.M.P."/>
    <s v="RM 277"/>
    <s v="Purchase Withinstate - Raw Material"/>
    <s v="PIL1/D/900"/>
    <d v="2026-07-03T00:00:00"/>
    <s v="SF"/>
    <s v="PP/PE Fabric"/>
    <x v="0"/>
    <s v="PP WOVEN FABRIC"/>
    <s v="PP UL Fabric With UV"/>
    <n v="644"/>
    <n v="98364.56"/>
    <s v="PP UL Fabric With UV"/>
    <n v="0"/>
    <n v="9"/>
    <n v="8852.81"/>
    <n v="9"/>
    <n v="8852.81"/>
    <n v="0"/>
    <n v="0"/>
    <n v="0"/>
    <n v="17705.62"/>
    <n v="0"/>
    <s v="24AAACO3087C1ZT"/>
    <s v="Kgs"/>
    <n v="39269080"/>
    <s v="Rs."/>
    <n v="1"/>
    <n v="644"/>
    <s v="India"/>
  </r>
  <r>
    <d v="2026-07-03T00:00:00"/>
    <s v="Plastene India ltd - Unit 1-Purchase"/>
    <s v="R.M.P."/>
    <s v="RM 277"/>
    <s v="Purchase Withinstate - Raw Material"/>
    <s v="PIL1/D/900"/>
    <d v="2026-07-03T00:00:00"/>
    <s v="SF"/>
    <s v="Webbing"/>
    <x v="3"/>
    <s v="PP Webbing"/>
    <s v="Webbing"/>
    <n v="59.6"/>
    <n v="9103.3040000000001"/>
    <s v="Webbing"/>
    <n v="0"/>
    <n v="9"/>
    <n v="819.3"/>
    <n v="9"/>
    <n v="819.3"/>
    <n v="0"/>
    <n v="0"/>
    <n v="0"/>
    <n v="1638.6"/>
    <n v="0"/>
    <s v="24AAACO3087C1ZT"/>
    <s v="Kgs"/>
    <n v="3926908"/>
    <s v="Rs."/>
    <n v="1"/>
    <n v="59.6"/>
    <s v="India"/>
  </r>
  <r>
    <d v="2026-07-03T00:00:00"/>
    <s v="Plastene India ltd - Unit 1-Purchase"/>
    <s v="R.M.P."/>
    <s v="RM 277"/>
    <s v="Purchase Withinstate - Raw Material"/>
    <s v="PIL1/D/900"/>
    <d v="2026-07-03T00:00:00"/>
    <s v="SF"/>
    <s v="Webbing"/>
    <x v="3"/>
    <s v="PP Webbing"/>
    <s v="Webbing"/>
    <n v="72.599999999999994"/>
    <n v="10871.124"/>
    <s v="Webbing"/>
    <n v="0"/>
    <n v="9"/>
    <n v="978.4"/>
    <n v="9"/>
    <n v="978.4"/>
    <n v="0"/>
    <n v="0"/>
    <n v="0"/>
    <n v="1956.8"/>
    <n v="0"/>
    <s v="24AAACO3087C1ZT"/>
    <s v="Kgs"/>
    <n v="3926908"/>
    <s v="Rs."/>
    <n v="1"/>
    <n v="72.599999999999994"/>
    <s v="India"/>
  </r>
  <r>
    <d v="2026-07-03T00:00:00"/>
    <s v="Plastene India ltd - Unit 1-Purchase"/>
    <s v="R.M.P."/>
    <s v="RM 277"/>
    <s v="Purchase Withinstate - Raw Material"/>
    <s v="PIL1/D/900"/>
    <d v="2026-07-03T00:00:00"/>
    <s v="SF"/>
    <s v="Yarn All"/>
    <x v="6"/>
    <s v="Yarn"/>
    <s v="PP Braided Rope MW 6 to 8 GPM"/>
    <n v="66.400000000000006"/>
    <n v="10905.536"/>
    <s v="PP Braided Rope MW 6 to 8 GPM"/>
    <n v="0"/>
    <n v="2.5"/>
    <n v="272.64"/>
    <n v="2.5"/>
    <n v="272.64"/>
    <n v="0"/>
    <n v="0"/>
    <n v="0"/>
    <n v="545.28"/>
    <n v="0"/>
    <s v="24AAACO3087C1ZT"/>
    <s v="Kgs"/>
    <n v="540269"/>
    <s v="Rs."/>
    <n v="1"/>
    <n v="66.400000000000006"/>
    <s v="India"/>
  </r>
  <r>
    <d v="2026-07-03T00:00:00"/>
    <s v="Plastene India ltd - Unit 1-Purchase"/>
    <s v="R.M.P."/>
    <s v="RM 278"/>
    <s v="Purchase Withinstate - Raw Material"/>
    <s v="PIL1/D/902"/>
    <d v="2026-07-03T00:00:00"/>
    <s v="SF"/>
    <s v="PP/PE Fabric"/>
    <x v="2"/>
    <s v="PP Laminated Fabric"/>
    <s v="PP Lam Fabric With UV"/>
    <n v="1928"/>
    <n v="298338.71999999997"/>
    <s v="PP Lam Fabric With UV"/>
    <n v="573600.39"/>
    <n v="9"/>
    <n v="26850.48"/>
    <n v="9"/>
    <n v="26850.48"/>
    <n v="0"/>
    <n v="0"/>
    <n v="0"/>
    <n v="53700.959999999999"/>
    <n v="0"/>
    <s v="24AAACO3087C1ZT"/>
    <s v="Kgs"/>
    <n v="63053300"/>
    <s v="Rs."/>
    <n v="1"/>
    <n v="1928"/>
    <s v="India"/>
  </r>
  <r>
    <d v="2026-07-03T00:00:00"/>
    <s v="Plastene India ltd - Unit 1-Purchase"/>
    <s v="R.M.P."/>
    <s v="RM 278"/>
    <s v="Purchase Withinstate - Raw Material"/>
    <s v="PIL1/D/902"/>
    <d v="2026-07-03T00:00:00"/>
    <s v="SF"/>
    <s v="Yarn All"/>
    <x v="6"/>
    <s v="Yarn"/>
    <s v="PP MF Yarn Twisted 1000 UV NW"/>
    <n v="445.7"/>
    <n v="71196.118000000002"/>
    <s v="PP MF Yarn Twisted 1000 UV NW"/>
    <n v="0"/>
    <n v="2.5"/>
    <n v="1779.9"/>
    <n v="2.5"/>
    <n v="1779.9"/>
    <n v="0"/>
    <n v="0"/>
    <n v="0"/>
    <n v="3559.8"/>
    <n v="0"/>
    <s v="24AAACO3087C1ZT"/>
    <s v="Kgs"/>
    <n v="54026930"/>
    <s v="Rs."/>
    <n v="1"/>
    <n v="445.7"/>
    <s v="India"/>
  </r>
  <r>
    <d v="2026-07-03T00:00:00"/>
    <s v="Plastene India ltd - Unit 1-Purchase"/>
    <s v="R.M.P."/>
    <s v="RM 278"/>
    <s v="Purchase Withinstate - Raw Material"/>
    <s v="PIL1/D/902"/>
    <d v="2026-07-03T00:00:00"/>
    <s v="SF"/>
    <s v="Yarn All"/>
    <x v="6"/>
    <s v="Yarn"/>
    <s v="PP MF Yarn Twisted 3000 Denier UV NW"/>
    <n v="878.3"/>
    <n v="140299.64199999999"/>
    <s v="PP MF Yarn Twisted 3000 Denier UV NW"/>
    <n v="0"/>
    <n v="2.5"/>
    <n v="3507.49"/>
    <n v="2.5"/>
    <n v="3507.49"/>
    <n v="0"/>
    <n v="0"/>
    <n v="0"/>
    <n v="7014.98"/>
    <n v="0"/>
    <s v="24AAACO3087C1ZT"/>
    <s v="Kgs"/>
    <n v="540263"/>
    <s v="Rs."/>
    <n v="1"/>
    <n v="878.3"/>
    <s v="India"/>
  </r>
  <r>
    <d v="2026-07-03T00:00:00"/>
    <s v="Plastene India ltd - Unit 1-Purchase"/>
    <s v="R.M.P."/>
    <s v="RM 279"/>
    <s v="Purchase Withinstate - Raw Material"/>
    <s v="PIL1/D/897"/>
    <d v="2026-07-03T00:00:00"/>
    <s v="SF"/>
    <s v="PP/PE Fabric"/>
    <x v="0"/>
    <s v="PP WOVEN FABRIC"/>
    <s v="PP UL Fabric With UV"/>
    <n v="378"/>
    <n v="55845.72"/>
    <s v="PP UL Fabric With UV"/>
    <n v="65842.09"/>
    <n v="9"/>
    <n v="5026.1099999999997"/>
    <n v="9"/>
    <n v="5026.1099999999997"/>
    <n v="0"/>
    <n v="0"/>
    <n v="0"/>
    <n v="10052.219999999999"/>
    <n v="0"/>
    <s v="24AAACO3087C1ZT"/>
    <s v="Kgs"/>
    <n v="39269080"/>
    <s v="Rs."/>
    <n v="1"/>
    <n v="378"/>
    <s v="India"/>
  </r>
  <r>
    <d v="2026-07-03T00:00:00"/>
    <s v="Shree Kdk Enterprise"/>
    <s v="General Purchase"/>
    <s v="GNCN 106"/>
    <s v="Purchase Interstate- Stores, Spares &amp; Consumable"/>
    <s v="26-27/0199"/>
    <d v="2026-07-01T00:00:00"/>
    <s v="RM Consumables"/>
    <s v="FIBC Accessories"/>
    <x v="1"/>
    <s v="LDPE/LLDPE Bags"/>
    <s v="Tyvek Labels"/>
    <n v="3.0979999999999999"/>
    <n v="10625"/>
    <s v="Tyvek Labels"/>
    <n v="31159"/>
    <n v="0"/>
    <n v="0"/>
    <n v="0"/>
    <n v="0"/>
    <n v="5"/>
    <n v="531.25"/>
    <n v="17.5"/>
    <n v="548.75"/>
    <n v="0"/>
    <s v="23AMAPK7277K1ZU"/>
    <s v="Sq Meter"/>
    <n v="58079010"/>
    <s v="Rs."/>
    <n v="1"/>
    <n v="3.0979999999999999"/>
    <s v="India"/>
  </r>
  <r>
    <d v="2026-07-03T00:00:00"/>
    <s v="Shree Kdk Enterprise"/>
    <s v="General Purchase"/>
    <s v="GNCN 106"/>
    <s v="Purchase Interstate- Stores, Spares &amp; Consumable"/>
    <s v="26-27/0199"/>
    <d v="2026-07-01T00:00:00"/>
    <s v="RM Consumables"/>
    <s v="FIBC Accessories"/>
    <x v="1"/>
    <s v="LDPE/LLDPE Bags"/>
    <s v="Tyvek Labels"/>
    <n v="7.83"/>
    <n v="18700"/>
    <s v="Tyvek Labels"/>
    <n v="0"/>
    <n v="0"/>
    <n v="0"/>
    <n v="0"/>
    <n v="0"/>
    <n v="5"/>
    <n v="935"/>
    <n v="17.5"/>
    <n v="952.5"/>
    <n v="0"/>
    <s v="23AMAPK7277K1ZU"/>
    <s v="Sq Meter"/>
    <n v="58079010"/>
    <s v="Rs."/>
    <n v="1"/>
    <n v="7.83"/>
    <s v="India"/>
  </r>
  <r>
    <d v="2026-07-04T00:00:00"/>
    <s v="Plastene India ltd - Unit 1-Purchase"/>
    <s v="R.M.P."/>
    <s v="RM 280"/>
    <s v="Purchase Withinstate - Raw Material"/>
    <s v="PIL1/D/909"/>
    <d v="2026-07-04T00:00:00"/>
    <s v="SF"/>
    <s v="PP/PE Fabric"/>
    <x v="0"/>
    <s v="PP WOVEN FABRIC"/>
    <s v="PP UL Fabric With UV"/>
    <n v="624"/>
    <n v="92189.759999999995"/>
    <s v="PP UL Fabric With UV"/>
    <n v="167436.92000000001"/>
    <n v="9"/>
    <n v="8297.08"/>
    <n v="9"/>
    <n v="8297.08"/>
    <n v="0"/>
    <n v="0"/>
    <n v="0"/>
    <n v="16594.16"/>
    <n v="0"/>
    <s v="24AAACO3087C1ZT"/>
    <s v="Kgs"/>
    <n v="39269080"/>
    <s v="Rs."/>
    <n v="1"/>
    <n v="624"/>
    <s v="India"/>
  </r>
  <r>
    <d v="2026-07-04T00:00:00"/>
    <s v="Plastene India ltd - Unit 1-Purchase"/>
    <s v="R.M.P."/>
    <s v="RM 280"/>
    <s v="Purchase Withinstate - Raw Material"/>
    <s v="PIL1/D/909"/>
    <d v="2026-07-04T00:00:00"/>
    <s v="SF"/>
    <s v="PP/PE Fabric"/>
    <x v="2"/>
    <s v="PP Laminated Fabric"/>
    <s v="PP Lam Fabric With UV"/>
    <n v="322"/>
    <n v="49826.28"/>
    <s v="PP Lam Fabric With UV"/>
    <n v="0"/>
    <n v="9"/>
    <n v="4484.37"/>
    <n v="9"/>
    <n v="4484.37"/>
    <n v="0"/>
    <n v="0"/>
    <n v="0"/>
    <n v="8968.74"/>
    <n v="0"/>
    <s v="24AAACO3087C1ZT"/>
    <s v="Kgs"/>
    <n v="63053300"/>
    <s v="Rs."/>
    <n v="1"/>
    <n v="322"/>
    <s v="India"/>
  </r>
  <r>
    <d v="2026-07-04T00:00:00"/>
    <s v="Plastene India ltd - Unit 1-Purchase"/>
    <s v="R.M.P."/>
    <s v="RM 281"/>
    <s v="Purchase Withinstate - Raw Material"/>
    <s v="PIL1/D/912"/>
    <d v="2026-07-04T00:00:00"/>
    <s v="SF"/>
    <s v="PP/PE Fabric"/>
    <x v="0"/>
    <s v="PP WOVEN FABRIC"/>
    <s v="PP UL Fabric With UV"/>
    <n v="653"/>
    <n v="97616.97"/>
    <s v="PP UL Fabric With UV"/>
    <n v="349682.86"/>
    <n v="9"/>
    <n v="8785.5300000000007"/>
    <n v="9"/>
    <n v="8785.5300000000007"/>
    <n v="0"/>
    <n v="0"/>
    <n v="0"/>
    <n v="17571.060000000001"/>
    <n v="0"/>
    <s v="24AAACO3087C1ZT"/>
    <s v="Kgs"/>
    <n v="39269080"/>
    <s v="Rs."/>
    <n v="1"/>
    <n v="653"/>
    <s v="India"/>
  </r>
  <r>
    <d v="2026-07-04T00:00:00"/>
    <s v="Plastene India ltd - Unit 1-Purchase"/>
    <s v="R.M.P."/>
    <s v="RM 281"/>
    <s v="Purchase Withinstate - Raw Material"/>
    <s v="PIL1/D/912"/>
    <d v="2026-07-04T00:00:00"/>
    <s v="SF"/>
    <s v="PP/PE Fabric"/>
    <x v="2"/>
    <s v="PP Laminated Fabric"/>
    <s v="PP Lam Fabric With UV"/>
    <n v="633"/>
    <n v="95893.17"/>
    <s v="PP Lam Fabric With UV"/>
    <n v="0"/>
    <n v="9"/>
    <n v="8630.39"/>
    <n v="9"/>
    <n v="8630.39"/>
    <n v="0"/>
    <n v="0"/>
    <n v="0"/>
    <n v="17260.78"/>
    <n v="0"/>
    <s v="24AAACO3087C1ZT"/>
    <s v="Kgs"/>
    <n v="63053300"/>
    <s v="Rs."/>
    <n v="1"/>
    <n v="633"/>
    <s v="India"/>
  </r>
  <r>
    <d v="2026-07-04T00:00:00"/>
    <s v="Plastene India ltd - Unit 1-Purchase"/>
    <s v="R.M.P."/>
    <s v="RM 281"/>
    <s v="Purchase Withinstate - Raw Material"/>
    <s v="PIL1/D/912"/>
    <d v="2026-07-04T00:00:00"/>
    <s v="SF"/>
    <s v="Liners"/>
    <x v="1"/>
    <s v="LDPE/LLDPE Bags"/>
    <s v="LDPE/LLDPE Bags/Liner"/>
    <n v="334"/>
    <n v="61048.52"/>
    <s v="LDPE/LLDPE Bags/Liner"/>
    <n v="0"/>
    <n v="9"/>
    <n v="5494.37"/>
    <n v="9"/>
    <n v="5494.37"/>
    <n v="0"/>
    <n v="0"/>
    <n v="0"/>
    <n v="10988.74"/>
    <n v="0"/>
    <s v="24AAACO3087C1ZT"/>
    <s v="Kgs"/>
    <n v="39200000"/>
    <s v="Rs."/>
    <n v="1"/>
    <n v="334"/>
    <s v="India"/>
  </r>
  <r>
    <d v="2026-07-04T00:00:00"/>
    <s v="Plastene India ltd - Unit 1-Purchase"/>
    <s v="R.M.P."/>
    <s v="RM 281"/>
    <s v="Purchase Withinstate - Raw Material"/>
    <s v="PIL1/D/912"/>
    <d v="2026-07-04T00:00:00"/>
    <s v="SF"/>
    <s v="Webbing"/>
    <x v="3"/>
    <s v="PP Webbing"/>
    <s v="Webbing"/>
    <n v="108.2"/>
    <n v="15850.21"/>
    <s v="Webbing"/>
    <n v="0"/>
    <n v="9"/>
    <n v="1426.52"/>
    <n v="9"/>
    <n v="1426.52"/>
    <n v="0"/>
    <n v="0"/>
    <n v="0"/>
    <n v="2853.04"/>
    <n v="0"/>
    <s v="24AAACO3087C1ZT"/>
    <s v="Kgs"/>
    <n v="3926908"/>
    <s v="Rs."/>
    <n v="1"/>
    <n v="108.2"/>
    <s v="India"/>
  </r>
  <r>
    <d v="2026-07-04T00:00:00"/>
    <s v="Plastene India ltd - Unit 1-Purchase"/>
    <s v="R.M.P."/>
    <s v="RM 281"/>
    <s v="Purchase Withinstate - Raw Material"/>
    <s v="PIL1/D/912"/>
    <d v="2026-07-04T00:00:00"/>
    <s v="SF"/>
    <s v="Webbing"/>
    <x v="3"/>
    <s v="PP Webbing"/>
    <s v="Webbing"/>
    <n v="151.19999999999999"/>
    <n v="22602.880000000001"/>
    <s v="Webbing"/>
    <n v="0"/>
    <n v="9"/>
    <n v="2034.26"/>
    <n v="9"/>
    <n v="2034.26"/>
    <n v="0"/>
    <n v="0"/>
    <n v="0"/>
    <n v="4068.52"/>
    <n v="0"/>
    <s v="24AAACO3087C1ZT"/>
    <s v="Kgs"/>
    <n v="3926908"/>
    <s v="Rs."/>
    <n v="1"/>
    <n v="151.19999999999999"/>
    <s v="India"/>
  </r>
  <r>
    <d v="2026-07-04T00:00:00"/>
    <s v="Plastene India ltd - Unit 1-Purchase"/>
    <s v="R.M.P."/>
    <s v="RM 281"/>
    <s v="Purchase Withinstate - Raw Material"/>
    <s v="PIL1/D/912"/>
    <d v="2026-07-04T00:00:00"/>
    <s v="SF"/>
    <s v="Yarn All"/>
    <x v="6"/>
    <s v="Yarn"/>
    <s v="PP Braided Rope MW 6 to 8 GPM"/>
    <n v="25"/>
    <n v="4024.77"/>
    <s v="PP Braided Rope MW 6 to 8 GPM"/>
    <n v="0"/>
    <n v="2.5"/>
    <n v="100.62"/>
    <n v="2.5"/>
    <n v="100.62"/>
    <n v="0"/>
    <n v="0"/>
    <n v="0"/>
    <n v="201.24"/>
    <n v="0"/>
    <s v="24AAACO3087C1ZT"/>
    <s v="Kgs"/>
    <n v="540269"/>
    <s v="Rs."/>
    <n v="1"/>
    <n v="25"/>
    <s v="India"/>
  </r>
  <r>
    <d v="2026-07-04T00:00:00"/>
    <s v="Plastene India ltd - Unit 1-Purchase"/>
    <s v="R.M.P."/>
    <s v="RM 282"/>
    <s v="Purchase Withinstate - Raw Material"/>
    <s v="PIL1/D/910"/>
    <d v="2026-07-04T00:00:00"/>
    <s v="RM"/>
    <s v="Granules"/>
    <x v="5"/>
    <s v="PP Granules"/>
    <s v="PP Basell 462S"/>
    <n v="4125"/>
    <n v="618750"/>
    <s v="PP Basell 462S"/>
    <n v="911020.66"/>
    <n v="9"/>
    <n v="55687.5"/>
    <n v="9"/>
    <n v="55687.5"/>
    <n v="0"/>
    <n v="0"/>
    <n v="0"/>
    <n v="111375"/>
    <n v="0"/>
    <s v="24AAACO3087C1ZT"/>
    <s v="Kgs"/>
    <n v="39021000"/>
    <s v="Rs."/>
    <n v="1"/>
    <n v="4125"/>
    <s v="India"/>
  </r>
  <r>
    <d v="2026-07-04T00:00:00"/>
    <s v="Plastene India ltd - Unit 1-Purchase"/>
    <s v="R.M.P."/>
    <s v="RM 282"/>
    <s v="Purchase Withinstate - Raw Material"/>
    <s v="PIL1/D/910"/>
    <d v="2026-07-04T00:00:00"/>
    <s v="RM"/>
    <s v="Granules"/>
    <x v="7"/>
    <s v="LDPE Granuels"/>
    <s v="LLDPE F0120L HMEL"/>
    <n v="1125"/>
    <n v="153956.25"/>
    <s v="LLDPE F0120L HMEL"/>
    <n v="0"/>
    <n v="9"/>
    <n v="13856.06"/>
    <n v="9"/>
    <n v="13856.06"/>
    <n v="0"/>
    <n v="0"/>
    <n v="0"/>
    <n v="27712.12"/>
    <n v="0"/>
    <s v="24AAACO3087C1ZT"/>
    <s v="Kgs"/>
    <n v="39014010"/>
    <s v="Rs."/>
    <n v="1"/>
    <n v="1125"/>
    <s v="India"/>
  </r>
  <r>
    <d v="2026-07-05T00:00:00"/>
    <s v="K.P. Woven Pvt Ltd-Purchase"/>
    <s v="R.M.P."/>
    <s v="RM 285"/>
    <s v="Purchase Withinstate - Raw Material"/>
    <s v="KPV/D/403"/>
    <d v="2026-07-04T00:00:00"/>
    <s v="SF"/>
    <s v="Yarn All"/>
    <x v="6"/>
    <s v="Yarn"/>
    <s v="PP Fibrillated Tape Twisted 3200 MW"/>
    <n v="3250"/>
    <n v="491237.5"/>
    <s v="PP Fibrillated Tape Twisted 3200 MW"/>
    <n v="515308.14"/>
    <n v="2.5"/>
    <n v="12280.94"/>
    <n v="2.5"/>
    <n v="12280.94"/>
    <n v="0"/>
    <n v="0"/>
    <n v="0"/>
    <n v="24561.88"/>
    <n v="0"/>
    <s v="24AAECK6307M1ZF"/>
    <s v="Kgs"/>
    <n v="54026930"/>
    <s v="Rs."/>
    <n v="1"/>
    <n v="3250"/>
    <s v="India"/>
  </r>
  <r>
    <d v="2026-07-05T00:00:00"/>
    <s v="Plastene India ltd - Unit 1-Purchase"/>
    <s v="R.M.P."/>
    <s v="RM 283"/>
    <s v="Purchase Withinstate - Raw Material"/>
    <s v="PIL1/D/921"/>
    <d v="2026-07-05T00:00:00"/>
    <s v="SF"/>
    <s v="PP/PE Fabric"/>
    <x v="0"/>
    <s v="PP WOVEN FABRIC"/>
    <s v="PP UL Fabric With UV"/>
    <n v="419"/>
    <n v="60541.31"/>
    <s v="PP UL Fabric With UV"/>
    <n v="240398.2"/>
    <n v="9"/>
    <n v="5448.72"/>
    <n v="9"/>
    <n v="5448.72"/>
    <n v="0"/>
    <n v="0"/>
    <n v="0"/>
    <n v="10897.44"/>
    <n v="0"/>
    <s v="24AAACO3087C1ZT"/>
    <s v="Kgs"/>
    <n v="39269080"/>
    <s v="Rs."/>
    <n v="1"/>
    <n v="419"/>
    <s v="India"/>
  </r>
  <r>
    <d v="2026-07-05T00:00:00"/>
    <s v="Plastene India ltd - Unit 1-Purchase"/>
    <s v="R.M.P."/>
    <s v="RM 283"/>
    <s v="Purchase Withinstate - Raw Material"/>
    <s v="PIL1/D/921"/>
    <d v="2026-07-05T00:00:00"/>
    <s v="SF"/>
    <s v="PP/PE Fabric"/>
    <x v="0"/>
    <s v="PP WOVEN FABRIC"/>
    <s v="PP UL Fabric With UV"/>
    <n v="667"/>
    <n v="99709.83"/>
    <s v="PP UL Fabric With UV"/>
    <n v="0"/>
    <n v="9"/>
    <n v="8973.8799999999992"/>
    <n v="9"/>
    <n v="8973.8799999999992"/>
    <n v="0"/>
    <n v="0"/>
    <n v="0"/>
    <n v="17947.759999999998"/>
    <n v="0"/>
    <s v="24AAACO3087C1ZT"/>
    <s v="Kgs"/>
    <n v="39269080"/>
    <s v="Rs."/>
    <n v="1"/>
    <n v="667"/>
    <s v="India"/>
  </r>
  <r>
    <d v="2026-07-05T00:00:00"/>
    <s v="Plastene India ltd - Unit 1-Purchase"/>
    <s v="R.M.P."/>
    <s v="RM 283"/>
    <s v="Purchase Withinstate - Raw Material"/>
    <s v="PIL1/D/921"/>
    <d v="2026-07-05T00:00:00"/>
    <s v="SF"/>
    <s v="Webbing"/>
    <x v="3"/>
    <s v="PP Webbing"/>
    <s v="Webbing"/>
    <n v="170.7"/>
    <n v="25517.94"/>
    <s v="Webbing"/>
    <n v="0"/>
    <n v="9"/>
    <n v="2296.61"/>
    <n v="9"/>
    <n v="2296.61"/>
    <n v="0"/>
    <n v="0"/>
    <n v="0"/>
    <n v="4593.22"/>
    <n v="0"/>
    <s v="24AAACO3087C1ZT"/>
    <s v="Kgs"/>
    <n v="3926908"/>
    <s v="Rs."/>
    <n v="1"/>
    <n v="170.7"/>
    <s v="India"/>
  </r>
  <r>
    <d v="2026-07-05T00:00:00"/>
    <s v="Plastene India ltd - Unit 1-Purchase"/>
    <s v="R.M.P."/>
    <s v="RM 283"/>
    <s v="Purchase Withinstate - Raw Material"/>
    <s v="PIL1/D/921"/>
    <d v="2026-07-05T00:00:00"/>
    <s v="SF"/>
    <s v="Webbing"/>
    <x v="3"/>
    <s v="PP Webbing"/>
    <s v="Webbing"/>
    <n v="96"/>
    <n v="14063.04"/>
    <s v="Webbing"/>
    <n v="0"/>
    <n v="9"/>
    <n v="1265.67"/>
    <n v="9"/>
    <n v="1265.67"/>
    <n v="0"/>
    <n v="0"/>
    <n v="0"/>
    <n v="2531.34"/>
    <n v="0"/>
    <s v="24AAACO3087C1ZT"/>
    <s v="Kgs"/>
    <n v="3926908"/>
    <s v="Rs."/>
    <n v="1"/>
    <n v="96"/>
    <s v="India"/>
  </r>
  <r>
    <d v="2026-07-05T00:00:00"/>
    <s v="Plastene India ltd - Unit 1-Purchase"/>
    <s v="R.M.P."/>
    <s v="RM 283"/>
    <s v="Purchase Withinstate - Raw Material"/>
    <s v="PIL1/D/921"/>
    <d v="2026-07-05T00:00:00"/>
    <s v="SF"/>
    <s v="Yarn All"/>
    <x v="6"/>
    <s v="Yarn"/>
    <s v="PP Braided Rope MW 6 to 8 GPM"/>
    <n v="28.4"/>
    <n v="4572.12"/>
    <s v="PP Braided Rope MW 6 to 8 GPM"/>
    <n v="0"/>
    <n v="2.5"/>
    <n v="114.3"/>
    <n v="2.5"/>
    <n v="114.3"/>
    <n v="0"/>
    <n v="0"/>
    <n v="0"/>
    <n v="228.6"/>
    <n v="0"/>
    <s v="24AAACO3087C1ZT"/>
    <s v="Kgs"/>
    <n v="540269"/>
    <s v="Rs."/>
    <n v="1"/>
    <n v="28.4"/>
    <s v="India"/>
  </r>
  <r>
    <d v="2026-07-05T00:00:00"/>
    <s v="Plastene India ltd - Unit 1-Purchase"/>
    <s v="R.M.P."/>
    <s v="RM 284"/>
    <s v="Purchase Withinstate - Raw Material"/>
    <s v="PIL1/D/922"/>
    <d v="2026-07-05T00:00:00"/>
    <s v="FG"/>
    <s v="FIBC WIP"/>
    <x v="8"/>
    <s v="PP Laminated Fabric"/>
    <s v="FIBC WIP"/>
    <n v="243"/>
    <n v="35111.07"/>
    <s v="FIBC WIP"/>
    <n v="70867.149999999994"/>
    <n v="9"/>
    <n v="3160"/>
    <n v="9"/>
    <n v="3160"/>
    <n v="0"/>
    <n v="0"/>
    <n v="0"/>
    <n v="6320"/>
    <n v="0"/>
    <s v="24AAACO3087C1ZT"/>
    <s v="Kgs"/>
    <n v="39269080"/>
    <s v="Rs."/>
    <n v="1"/>
    <n v="243"/>
    <s v="India"/>
  </r>
  <r>
    <d v="2026-07-05T00:00:00"/>
    <s v="Plastene India ltd - Unit 1-Purchase"/>
    <s v="R.M.P."/>
    <s v="RM 284"/>
    <s v="Purchase Withinstate - Raw Material"/>
    <s v="PIL1/D/922"/>
    <d v="2026-07-05T00:00:00"/>
    <s v="SF"/>
    <s v="PP/PE Fabric"/>
    <x v="2"/>
    <s v="PP Laminated Fabric"/>
    <s v="PP Lam Fabric With UV"/>
    <n v="173"/>
    <n v="24996.77"/>
    <s v="PP Lam Fabric With UV"/>
    <n v="0"/>
    <n v="9"/>
    <n v="2249.71"/>
    <n v="9"/>
    <n v="2249.71"/>
    <n v="0"/>
    <n v="0"/>
    <n v="0"/>
    <n v="4499.42"/>
    <n v="0"/>
    <s v="24AAACO3087C1ZT"/>
    <s v="Kgs"/>
    <n v="63053300"/>
    <s v="Rs."/>
    <n v="1"/>
    <n v="173"/>
    <s v="India"/>
  </r>
  <r>
    <d v="2026-07-05T00:00:00"/>
    <s v="Plastene India ltd - Unit 1-Purchase"/>
    <s v="R.M.P."/>
    <s v="RM 286"/>
    <s v="Purchase Withinstate - Raw Material"/>
    <s v="PIL1/D/927"/>
    <d v="2026-07-05T00:00:00"/>
    <s v="SF"/>
    <s v="Webbing"/>
    <x v="3"/>
    <s v="PP Webbing"/>
    <s v="Webbing"/>
    <n v="28.4"/>
    <n v="4245.5200000000004"/>
    <s v="Webbing"/>
    <n v="5005.47"/>
    <n v="9"/>
    <n v="382.1"/>
    <n v="9"/>
    <n v="382.1"/>
    <n v="0"/>
    <n v="0"/>
    <n v="0"/>
    <n v="764.2"/>
    <n v="0"/>
    <s v="24AAACO3087C1ZT"/>
    <s v="Kgs"/>
    <n v="3926908"/>
    <s v="Rs."/>
    <n v="1"/>
    <n v="28.4"/>
    <s v="India"/>
  </r>
  <r>
    <d v="2026-07-06T00:00:00"/>
    <s v="HCP Plastene Bulkpack Limited - Purchase"/>
    <s v="R.M.P."/>
    <s v="RM 287"/>
    <s v="Purchase Withinstate - Raw Material"/>
    <s v="HPBL/D/350"/>
    <d v="2026-07-05T00:00:00"/>
    <s v="SF"/>
    <s v="PP/PE Fabric"/>
    <x v="0"/>
    <s v="PP WOVEN FABRIC"/>
    <s v="PP UL Fabric With UV"/>
    <n v="226"/>
    <n v="37267.4"/>
    <s v="PP UL Fabric With UV"/>
    <n v="672315.56"/>
    <n v="9"/>
    <n v="3354.07"/>
    <n v="9"/>
    <n v="3354.07"/>
    <n v="0"/>
    <n v="0"/>
    <n v="0"/>
    <n v="6708.14"/>
    <n v="0"/>
    <s v="24AABCG1282C2Z6"/>
    <s v="Kgs"/>
    <n v="39269080"/>
    <s v="Rs."/>
    <n v="1"/>
    <n v="226"/>
    <s v="India"/>
  </r>
  <r>
    <d v="2026-07-06T00:00:00"/>
    <s v="HCP Plastene Bulkpack Limited - Purchase"/>
    <s v="R.M.P."/>
    <s v="RM 287"/>
    <s v="Purchase Withinstate - Raw Material"/>
    <s v="HPBL/D/350"/>
    <d v="2026-07-05T00:00:00"/>
    <s v="SF"/>
    <s v="PP/PE Fabric"/>
    <x v="0"/>
    <s v="PP WOVEN FABRIC"/>
    <s v="PP UL Fabric With UV"/>
    <n v="3292"/>
    <n v="532974.80000000005"/>
    <s v="PP UL Fabric With UV"/>
    <n v="0"/>
    <n v="9"/>
    <n v="47967.73"/>
    <n v="9"/>
    <n v="47967.73"/>
    <n v="0"/>
    <n v="0"/>
    <n v="0"/>
    <n v="95935.46"/>
    <n v="0"/>
    <s v="24AABCG1282C2Z6"/>
    <s v="Kgs"/>
    <n v="39269080"/>
    <s v="Rs."/>
    <n v="1"/>
    <n v="3292"/>
    <s v="India"/>
  </r>
  <r>
    <d v="2026-07-06T00:00:00"/>
    <s v="Plastene India ltd - Unit 1-Purchase"/>
    <s v="R.M.P."/>
    <s v="RM 288"/>
    <s v="Purchase Withinstate - Raw Material"/>
    <s v="PIL1/D/938"/>
    <d v="2026-07-06T00:00:00"/>
    <s v="SF"/>
    <s v="PP/PE Fabric"/>
    <x v="0"/>
    <s v="PP WOVEN FABRIC"/>
    <s v="PP UL Fabric With UV"/>
    <n v="385"/>
    <n v="55628.65"/>
    <s v="PP UL Fabric With UV"/>
    <n v="323469.89"/>
    <n v="9"/>
    <n v="5006.58"/>
    <n v="9"/>
    <n v="5006.58"/>
    <n v="0"/>
    <n v="0"/>
    <n v="0"/>
    <n v="10013.16"/>
    <n v="0"/>
    <s v="24AAACO3087C1ZT"/>
    <s v="Kgs"/>
    <n v="39269080"/>
    <s v="Rs."/>
    <n v="1"/>
    <n v="385"/>
    <s v="India"/>
  </r>
  <r>
    <d v="2026-07-06T00:00:00"/>
    <s v="Plastene India ltd - Unit 1-Purchase"/>
    <s v="R.M.P."/>
    <s v="RM 288"/>
    <s v="Purchase Withinstate - Raw Material"/>
    <s v="PIL1/D/938"/>
    <d v="2026-07-06T00:00:00"/>
    <s v="SF"/>
    <s v="PP/PE Fabric"/>
    <x v="0"/>
    <s v="PP WOVEN FABRIC"/>
    <s v="PP UL Fabric With UV"/>
    <n v="870"/>
    <n v="130056.3"/>
    <s v="PP UL Fabric With UV"/>
    <n v="0"/>
    <n v="9"/>
    <n v="11705.07"/>
    <n v="9"/>
    <n v="11705.07"/>
    <n v="0"/>
    <n v="0"/>
    <n v="0"/>
    <n v="23410.14"/>
    <n v="0"/>
    <s v="24AAACO3087C1ZT"/>
    <s v="Kgs"/>
    <n v="39269080"/>
    <s v="Rs."/>
    <n v="1"/>
    <n v="870"/>
    <s v="India"/>
  </r>
  <r>
    <d v="2026-07-06T00:00:00"/>
    <s v="Plastene India ltd - Unit 1-Purchase"/>
    <s v="R.M.P."/>
    <s v="RM 288"/>
    <s v="Purchase Withinstate - Raw Material"/>
    <s v="PIL1/D/938"/>
    <d v="2026-07-06T00:00:00"/>
    <s v="SF"/>
    <s v="PP/PE Fabric"/>
    <x v="2"/>
    <s v="PP Laminated Fabric"/>
    <s v="PP Lam Fabric With UV"/>
    <n v="141"/>
    <n v="20937.09"/>
    <s v="PP Lam Fabric With UV"/>
    <n v="0"/>
    <n v="9"/>
    <n v="1884.34"/>
    <n v="9"/>
    <n v="1884.34"/>
    <n v="0"/>
    <n v="0"/>
    <n v="0"/>
    <n v="3768.68"/>
    <n v="0"/>
    <s v="24AAACO3087C1ZT"/>
    <s v="Kgs"/>
    <n v="63053300"/>
    <s v="Rs."/>
    <n v="1"/>
    <n v="141"/>
    <s v="India"/>
  </r>
  <r>
    <d v="2026-07-06T00:00:00"/>
    <s v="Plastene India ltd - Unit 1-Purchase"/>
    <s v="R.M.P."/>
    <s v="RM 288"/>
    <s v="Purchase Withinstate - Raw Material"/>
    <s v="PIL1/D/938"/>
    <d v="2026-07-06T00:00:00"/>
    <s v="SF"/>
    <s v="PP/PE Fabric"/>
    <x v="2"/>
    <s v="PP Laminated Fabric"/>
    <s v="PP Lam Fabric Without UV"/>
    <n v="305"/>
    <n v="45289.45"/>
    <s v="PP Lam Fabric Without UV"/>
    <n v="0"/>
    <n v="9"/>
    <n v="4076.05"/>
    <n v="9"/>
    <n v="4076.05"/>
    <n v="0"/>
    <n v="0"/>
    <n v="0"/>
    <n v="8152.1"/>
    <n v="0"/>
    <s v="24AAACO3087C1ZT"/>
    <s v="Kgs"/>
    <n v="392690"/>
    <s v="Rs."/>
    <n v="1"/>
    <n v="305"/>
    <s v="India"/>
  </r>
  <r>
    <d v="2026-07-06T00:00:00"/>
    <s v="Plastene India ltd - Unit 1-Purchase"/>
    <s v="R.M.P."/>
    <s v="RM 288"/>
    <s v="Purchase Withinstate - Raw Material"/>
    <s v="PIL1/D/938"/>
    <d v="2026-07-06T00:00:00"/>
    <s v="SF"/>
    <s v="Webbing"/>
    <x v="3"/>
    <s v="PP Webbing"/>
    <s v="Webbing"/>
    <n v="97.7"/>
    <n v="14605.17"/>
    <s v="Webbing"/>
    <n v="0"/>
    <n v="9"/>
    <n v="1314.47"/>
    <n v="9"/>
    <n v="1314.47"/>
    <n v="0"/>
    <n v="0"/>
    <n v="0"/>
    <n v="2628.94"/>
    <n v="0"/>
    <s v="24AAACO3087C1ZT"/>
    <s v="Kgs"/>
    <n v="3926908"/>
    <s v="Rs."/>
    <n v="1"/>
    <n v="97.7"/>
    <s v="India"/>
  </r>
  <r>
    <d v="2026-07-06T00:00:00"/>
    <s v="Plastene India ltd - Unit 1-Purchase"/>
    <s v="R.M.P."/>
    <s v="RM 288"/>
    <s v="Purchase Withinstate - Raw Material"/>
    <s v="PIL1/D/938"/>
    <d v="2026-07-06T00:00:00"/>
    <s v="SF"/>
    <s v="Webbing"/>
    <x v="3"/>
    <s v="PP Webbing"/>
    <s v="Webbing"/>
    <n v="28.8"/>
    <n v="4218.91"/>
    <s v="Webbing"/>
    <n v="0"/>
    <n v="9"/>
    <n v="379.7"/>
    <n v="9"/>
    <n v="379.7"/>
    <n v="0"/>
    <n v="0"/>
    <n v="0"/>
    <n v="759.4"/>
    <n v="0"/>
    <s v="24AAACO3087C1ZT"/>
    <s v="Kgs"/>
    <n v="3926908"/>
    <s v="Rs."/>
    <n v="1"/>
    <n v="28.8"/>
    <s v="India"/>
  </r>
  <r>
    <d v="2026-07-06T00:00:00"/>
    <s v="Plastene India ltd - Unit 1-Purchase"/>
    <s v="R.M.P."/>
    <s v="RM 288"/>
    <s v="Purchase Withinstate - Raw Material"/>
    <s v="PIL1/D/938"/>
    <d v="2026-07-06T00:00:00"/>
    <s v="SF"/>
    <s v="Yarn All"/>
    <x v="6"/>
    <s v="Yarn"/>
    <s v="PP Braided Rope MW 6 to 8 GPM"/>
    <n v="25.3"/>
    <n v="4073.05"/>
    <s v="PP Braided Rope MW 6 to 8 GPM"/>
    <n v="0"/>
    <n v="2.5"/>
    <n v="101.83"/>
    <n v="2.5"/>
    <n v="101.83"/>
    <n v="0"/>
    <n v="0"/>
    <n v="0"/>
    <n v="203.66"/>
    <n v="0"/>
    <s v="24AAACO3087C1ZT"/>
    <s v="Kgs"/>
    <n v="540269"/>
    <s v="Rs."/>
    <n v="1"/>
    <n v="25.3"/>
    <s v="India"/>
  </r>
  <r>
    <d v="2026-07-06T00:00:00"/>
    <s v="Plastene India ltd - Unit 1-Purchase"/>
    <s v="R.M.P."/>
    <s v="RM 289"/>
    <s v="Purchase Withinstate - Raw Material"/>
    <s v="PIL1/D/939"/>
    <d v="2026-07-06T00:00:00"/>
    <s v="SF"/>
    <s v="PP/PE Fabric"/>
    <x v="2"/>
    <s v="PP Laminated Fabric"/>
    <s v="PP Lam Fabric Without UV"/>
    <n v="542"/>
    <n v="80481.58"/>
    <s v="PP Lam Fabric Without UV"/>
    <n v="94887.78"/>
    <n v="9"/>
    <n v="7243.34"/>
    <n v="9"/>
    <n v="7243.34"/>
    <n v="0"/>
    <n v="0"/>
    <n v="0"/>
    <n v="14486.68"/>
    <n v="0"/>
    <s v="24AAACO3087C1ZT"/>
    <s v="Kgs"/>
    <n v="392690"/>
    <s v="Rs."/>
    <n v="1"/>
    <n v="542"/>
    <s v="India"/>
  </r>
  <r>
    <d v="2026-07-06T00:00:00"/>
    <s v="Plastene India ltd - Unit 1-Purchase"/>
    <s v="R.M.P."/>
    <s v="RM 290"/>
    <s v="Purchase Withinstate - Raw Material"/>
    <s v="PIL1/D/940"/>
    <d v="2026-07-06T00:00:00"/>
    <s v="SF"/>
    <s v="Yarn All"/>
    <x v="6"/>
    <s v="Yarn"/>
    <s v="PP MF Yarn Twisted 1000 UV NW"/>
    <n v="418.3"/>
    <n v="65459.77"/>
    <s v="PP MF Yarn Twisted 1000 UV NW"/>
    <n v="68667.289999999994"/>
    <n v="2.5"/>
    <n v="1636.49"/>
    <n v="2.5"/>
    <n v="1636.49"/>
    <n v="0"/>
    <n v="0"/>
    <n v="0"/>
    <n v="3272.98"/>
    <n v="0"/>
    <s v="24AAACO3087C1ZT"/>
    <s v="Kgs"/>
    <n v="54026930"/>
    <s v="Rs."/>
    <n v="1"/>
    <n v="418.3"/>
    <s v="India"/>
  </r>
  <r>
    <d v="2026-07-07T00:00:00"/>
    <s v="K.P. Woven Pvt Ltd-Purchase"/>
    <s v="R.M.P."/>
    <s v="RM 292"/>
    <s v="Purchase Withinstate - Raw Material"/>
    <s v="KPV/D/414"/>
    <d v="2026-07-06T00:00:00"/>
    <s v="FG"/>
    <s v="FIBC Bags"/>
    <x v="9"/>
    <s v="FIBC"/>
    <s v="FIBC Bags With UV Without Liner"/>
    <n v="19278.400000000001"/>
    <n v="4570715.8600000003"/>
    <s v="FIBC Bags With UV Without Liner"/>
    <n v="5388874"/>
    <n v="9"/>
    <n v="411364.43"/>
    <n v="9"/>
    <n v="411364.43"/>
    <n v="0"/>
    <n v="0"/>
    <n v="0"/>
    <n v="822728.86"/>
    <n v="0"/>
    <s v="24AAECK6307M1ZF"/>
    <s v="Kgs"/>
    <n v="63053200"/>
    <s v="Rs."/>
    <n v="1"/>
    <n v="19278.400000000001"/>
    <s v="India"/>
  </r>
  <r>
    <d v="2026-07-07T00:00:00"/>
    <s v="Plastene India ltd - Unit 1-Purchase"/>
    <s v="R.M.P."/>
    <s v="RM 291"/>
    <s v="Purchase Withinstate - Raw Material"/>
    <s v="PIL1/D/947"/>
    <d v="2026-07-07T00:00:00"/>
    <s v="SF"/>
    <s v="PP/PE Fabric"/>
    <x v="0"/>
    <s v="PP WOVEN FABRIC"/>
    <s v="PP UL Fabric With UV"/>
    <n v="1451"/>
    <n v="209654.99"/>
    <s v="PP UL Fabric With UV"/>
    <n v="445109.47"/>
    <n v="9"/>
    <n v="18868.95"/>
    <n v="9"/>
    <n v="18868.95"/>
    <n v="0"/>
    <n v="0"/>
    <n v="0"/>
    <n v="37737.9"/>
    <n v="0"/>
    <s v="24AAACO3087C1ZT"/>
    <s v="Kgs"/>
    <n v="39269080"/>
    <s v="Rs."/>
    <n v="1"/>
    <n v="1451"/>
    <s v="India"/>
  </r>
  <r>
    <d v="2026-07-07T00:00:00"/>
    <s v="Plastene India ltd - Unit 1-Purchase"/>
    <s v="R.M.P."/>
    <s v="RM 291"/>
    <s v="Purchase Withinstate - Raw Material"/>
    <s v="PIL1/D/947"/>
    <d v="2026-07-07T00:00:00"/>
    <s v="SF"/>
    <s v="PP/PE Fabric"/>
    <x v="2"/>
    <s v="PP Laminated Fabric"/>
    <s v="PP Lam Fabric With UV"/>
    <n v="813"/>
    <n v="167876.37"/>
    <s v="PP Lam Fabric With UV"/>
    <n v="0"/>
    <n v="9"/>
    <n v="15108.87"/>
    <n v="9"/>
    <n v="15108.87"/>
    <n v="0"/>
    <n v="0"/>
    <n v="0"/>
    <n v="30217.74"/>
    <n v="0"/>
    <s v="24AAACO3087C1ZT"/>
    <s v="Kgs"/>
    <n v="63053300"/>
    <s v="Rs."/>
    <n v="1"/>
    <n v="813"/>
    <s v="India"/>
  </r>
  <r>
    <d v="2026-07-07T00:00:00"/>
    <s v="Plastene India ltd - Unit 1-Purchase"/>
    <s v="R.M.P."/>
    <s v="RM 293"/>
    <s v="Purchase Withinstate - Raw Material"/>
    <s v="PIL1/D/957"/>
    <d v="2026-07-07T00:00:00"/>
    <s v="SF"/>
    <s v="Liners"/>
    <x v="1"/>
    <s v="LDPE/LLDPE Bags"/>
    <s v="LDPE/LLDPE Bags/Liner"/>
    <n v="740.6"/>
    <n v="153141.26"/>
    <s v="LDPE/LLDPE Bags/Liner"/>
    <n v="649609.76"/>
    <n v="9"/>
    <n v="13782.71"/>
    <n v="9"/>
    <n v="13782.71"/>
    <n v="0"/>
    <n v="0"/>
    <n v="0"/>
    <n v="27565.42"/>
    <n v="0"/>
    <s v="24AAACO3087C1ZT"/>
    <s v="Kgs"/>
    <n v="39200000"/>
    <s v="Rs."/>
    <n v="1"/>
    <n v="740.6"/>
    <s v="India"/>
  </r>
  <r>
    <d v="2026-07-07T00:00:00"/>
    <s v="Plastene India ltd - Unit 1-Purchase"/>
    <s v="R.M.P."/>
    <s v="RM 293"/>
    <s v="Purchase Withinstate - Raw Material"/>
    <s v="PIL1/D/957"/>
    <d v="2026-07-07T00:00:00"/>
    <s v="SF"/>
    <s v="PP/PE Fabric"/>
    <x v="0"/>
    <s v="PP WOVEN FABRIC"/>
    <s v="PP UL Fabric With UV"/>
    <n v="575"/>
    <n v="83081.75"/>
    <s v="PP UL Fabric With UV"/>
    <n v="0"/>
    <n v="9"/>
    <n v="7477.36"/>
    <n v="9"/>
    <n v="7477.36"/>
    <n v="0"/>
    <n v="0"/>
    <n v="0"/>
    <n v="14954.72"/>
    <n v="0"/>
    <s v="24AAACO3087C1ZT"/>
    <s v="Kgs"/>
    <n v="39269080"/>
    <s v="Rs."/>
    <n v="1"/>
    <n v="575"/>
    <s v="India"/>
  </r>
  <r>
    <d v="2026-07-07T00:00:00"/>
    <s v="Plastene India ltd - Unit 1-Purchase"/>
    <s v="R.M.P."/>
    <s v="RM 293"/>
    <s v="Purchase Withinstate - Raw Material"/>
    <s v="PIL1/D/957"/>
    <d v="2026-07-07T00:00:00"/>
    <s v="SF"/>
    <s v="PP/PE Fabric"/>
    <x v="2"/>
    <s v="PP Laminated Fabric"/>
    <s v="PP Lam Fabric With UV"/>
    <n v="1978"/>
    <n v="299647.21999999997"/>
    <s v="PP Lam Fabric With UV"/>
    <n v="0"/>
    <n v="9"/>
    <n v="26968.25"/>
    <n v="9"/>
    <n v="26968.25"/>
    <n v="0"/>
    <n v="0"/>
    <n v="0"/>
    <n v="53936.5"/>
    <n v="0"/>
    <s v="24AAACO3087C1ZT"/>
    <s v="Kgs"/>
    <n v="63053300"/>
    <s v="Rs."/>
    <n v="1"/>
    <n v="1978"/>
    <s v="India"/>
  </r>
  <r>
    <d v="2026-07-07T00:00:00"/>
    <s v="Plastene India ltd - Unit 1-Purchase"/>
    <s v="R.M.P."/>
    <s v="RM 293"/>
    <s v="Purchase Withinstate - Raw Material"/>
    <s v="PIL1/D/957"/>
    <d v="2026-07-07T00:00:00"/>
    <s v="SF"/>
    <s v="Webbing"/>
    <x v="3"/>
    <s v="PP Webbing"/>
    <s v="Webbing"/>
    <n v="101.1"/>
    <n v="15113.45"/>
    <s v="Webbing"/>
    <n v="0"/>
    <n v="9"/>
    <n v="1360.21"/>
    <n v="9"/>
    <n v="1360.21"/>
    <n v="0"/>
    <n v="0"/>
    <n v="0"/>
    <n v="2720.42"/>
    <n v="0"/>
    <s v="24AAACO3087C1ZT"/>
    <s v="Kgs"/>
    <n v="3926908"/>
    <s v="Rs."/>
    <n v="1"/>
    <n v="101.1"/>
    <s v="India"/>
  </r>
  <r>
    <d v="2026-07-08T00:00:00"/>
    <s v="Plastene India ltd - Unit 1-Purchase"/>
    <s v="R.M.P."/>
    <s v="RM 294"/>
    <s v="Purchase Withinstate - Raw Material"/>
    <s v="PIL1/D/963"/>
    <d v="2026-07-08T00:00:00"/>
    <s v="RM"/>
    <s v="Granules"/>
    <x v="10"/>
    <s v="Master Batch"/>
    <s v="MB Colman Shiny Black ( RD Black-01 )"/>
    <n v="100"/>
    <n v="15900"/>
    <s v="MB Colman Shiny Black ( RD Black-01 )"/>
    <n v="18746.099999999999"/>
    <n v="9"/>
    <n v="1431"/>
    <n v="9"/>
    <n v="1431"/>
    <n v="0"/>
    <n v="0"/>
    <n v="0"/>
    <n v="2862"/>
    <n v="0"/>
    <s v="24AAACO3087C1ZT"/>
    <s v="Kgs"/>
    <n v="32064990"/>
    <s v="Rs."/>
    <n v="1"/>
    <n v="100"/>
    <s v="India"/>
  </r>
  <r>
    <d v="2026-07-08T00:00:00"/>
    <s v="Plastene India ltd - Unit 1-Purchase"/>
    <s v="R.M.P."/>
    <s v="RM 296"/>
    <s v="Purchase Withinstate - Raw Material"/>
    <s v="PIL1/D/973"/>
    <d v="2026-07-08T00:00:00"/>
    <s v="RM"/>
    <s v="Granules"/>
    <x v="7"/>
    <s v="LDPE Granuels"/>
    <s v="LLDPE F0120L HMEL"/>
    <n v="2000"/>
    <n v="273700"/>
    <s v="LLDPE F0120L HMEL"/>
    <n v="322692.3"/>
    <n v="9"/>
    <n v="24633"/>
    <n v="9"/>
    <n v="24633"/>
    <n v="0"/>
    <n v="0"/>
    <n v="0"/>
    <n v="49266"/>
    <n v="0"/>
    <s v="24AAACO3087C1ZT"/>
    <s v="Kgs"/>
    <n v="39014010"/>
    <s v="Rs."/>
    <n v="1"/>
    <n v="2000"/>
    <s v="India"/>
  </r>
  <r>
    <d v="2026-07-08T00:00:00"/>
    <s v="Plastene India ltd - Unit 1-Purchase"/>
    <s v="R.M.P."/>
    <s v="RM 297"/>
    <s v="Purchase Withinstate - Raw Material"/>
    <s v="PIL1/D/972"/>
    <d v="2026-07-08T00:00:00"/>
    <s v="SF"/>
    <s v="Films All (SF)"/>
    <x v="11"/>
    <s v="LLDPE FILM"/>
    <s v="LDPE/LLDPE Film"/>
    <n v="91.4"/>
    <n v="15792.09"/>
    <s v="LDPE/LLDPE Film"/>
    <n v="18618.88"/>
    <n v="9"/>
    <n v="1421.29"/>
    <n v="9"/>
    <n v="1421.29"/>
    <n v="0"/>
    <n v="0"/>
    <n v="0"/>
    <n v="2842.58"/>
    <n v="0"/>
    <s v="24AAACO3087C1ZT"/>
    <s v="Kgs"/>
    <n v="3920101"/>
    <s v="Rs."/>
    <n v="1"/>
    <n v="91.4"/>
    <s v="India"/>
  </r>
  <r>
    <d v="2026-07-08T00:00:00"/>
    <s v="Plastene India ltd - Unit 1-Purchase"/>
    <s v="R.M.P."/>
    <s v="RM 298"/>
    <s v="Purchase Withinstate - Raw Material"/>
    <s v="PIL1/D/971"/>
    <d v="2026-07-08T00:00:00"/>
    <s v="SF"/>
    <s v="PP/PE Fabric"/>
    <x v="2"/>
    <s v="PP Laminated Fabric"/>
    <s v="PP Lam Fabric Without UV"/>
    <n v="297"/>
    <n v="43507.53"/>
    <s v="PP Lam Fabric Without UV"/>
    <n v="707610.04"/>
    <n v="9"/>
    <n v="3915.68"/>
    <n v="9"/>
    <n v="3915.68"/>
    <n v="0"/>
    <n v="0"/>
    <n v="0"/>
    <n v="7831.36"/>
    <n v="0"/>
    <s v="24AAACO3087C1ZT"/>
    <s v="Kgs"/>
    <n v="392690"/>
    <s v="Rs."/>
    <n v="1"/>
    <n v="297"/>
    <s v="India"/>
  </r>
  <r>
    <d v="2026-07-08T00:00:00"/>
    <s v="Plastene India ltd - Unit 1-Purchase"/>
    <s v="R.M.P."/>
    <s v="RM 298"/>
    <s v="Purchase Withinstate - Raw Material"/>
    <s v="PIL1/D/971"/>
    <d v="2026-07-08T00:00:00"/>
    <s v="SF"/>
    <s v="Webbing"/>
    <x v="3"/>
    <s v="PP Webbing"/>
    <s v="Webbing"/>
    <n v="309.3"/>
    <n v="46237.27"/>
    <s v="Webbing"/>
    <n v="0"/>
    <n v="9"/>
    <n v="4161.3500000000004"/>
    <n v="9"/>
    <n v="4161.3500000000004"/>
    <n v="0"/>
    <n v="0"/>
    <n v="0"/>
    <n v="8322.7000000000007"/>
    <n v="0"/>
    <s v="24AAACO3087C1ZT"/>
    <s v="Kgs"/>
    <n v="3926908"/>
    <s v="Rs."/>
    <n v="1"/>
    <n v="309.3"/>
    <s v="India"/>
  </r>
  <r>
    <d v="2026-07-08T00:00:00"/>
    <s v="Plastene India ltd - Unit 1-Purchase"/>
    <s v="R.M.P."/>
    <s v="RM 298"/>
    <s v="Purchase Withinstate - Raw Material"/>
    <s v="PIL1/D/971"/>
    <d v="2026-07-08T00:00:00"/>
    <s v="SF"/>
    <s v="Liners"/>
    <x v="1"/>
    <s v="LDPE/LLDPE Bags"/>
    <s v="LDPE/LLDPE Bags/Liner"/>
    <n v="105.7"/>
    <n v="19319.84"/>
    <s v="LDPE/LLDPE Bags/Liner"/>
    <n v="0"/>
    <n v="9"/>
    <n v="1738.79"/>
    <n v="9"/>
    <n v="1738.79"/>
    <n v="0"/>
    <n v="0"/>
    <n v="0"/>
    <n v="3477.58"/>
    <n v="0"/>
    <s v="24AAACO3087C1ZT"/>
    <s v="Kgs"/>
    <n v="39200000"/>
    <s v="Rs."/>
    <n v="1"/>
    <n v="105.7"/>
    <s v="India"/>
  </r>
  <r>
    <d v="2026-07-08T00:00:00"/>
    <s v="Plastene India ltd - Unit 1-Purchase"/>
    <s v="R.M.P."/>
    <s v="RM 298"/>
    <s v="Purchase Withinstate - Raw Material"/>
    <s v="PIL1/D/971"/>
    <d v="2026-07-08T00:00:00"/>
    <s v="SF"/>
    <s v="PP/PE Fabric"/>
    <x v="0"/>
    <s v="PP WOVEN FABRIC"/>
    <s v="PP UL Fabric With UV"/>
    <n v="310"/>
    <n v="44791.9"/>
    <s v="PP UL Fabric With UV"/>
    <n v="0"/>
    <n v="9"/>
    <n v="4031.27"/>
    <n v="9"/>
    <n v="4031.27"/>
    <n v="0"/>
    <n v="0"/>
    <n v="0"/>
    <n v="8062.54"/>
    <n v="0"/>
    <s v="24AAACO3087C1ZT"/>
    <s v="Kgs"/>
    <n v="39269080"/>
    <s v="Rs."/>
    <n v="1"/>
    <n v="310"/>
    <s v="India"/>
  </r>
  <r>
    <d v="2026-07-08T00:00:00"/>
    <s v="Plastene India ltd - Unit 1-Purchase"/>
    <s v="R.M.P."/>
    <s v="RM 298"/>
    <s v="Purchase Withinstate - Raw Material"/>
    <s v="PIL1/D/971"/>
    <d v="2026-07-08T00:00:00"/>
    <s v="SF"/>
    <s v="PP/PE Fabric"/>
    <x v="2"/>
    <s v="PP Laminated Fabric"/>
    <s v="PP Lam Fabric With UV"/>
    <n v="2889"/>
    <n v="446321.61"/>
    <s v="PP Lam Fabric With UV"/>
    <n v="0"/>
    <n v="9"/>
    <n v="40168.94"/>
    <n v="9"/>
    <n v="40168.94"/>
    <n v="0"/>
    <n v="0"/>
    <n v="0"/>
    <n v="80337.88"/>
    <n v="0"/>
    <s v="24AAACO3087C1ZT"/>
    <s v="Kgs"/>
    <n v="63053300"/>
    <s v="Rs."/>
    <n v="1"/>
    <n v="2889"/>
    <s v="India"/>
  </r>
  <r>
    <d v="2026-07-08T00:00:00"/>
    <s v="Plastene India ltd - Unit 2-Purchase"/>
    <s v="R.M.P."/>
    <s v="RM 295"/>
    <s v="Purchase Withinstate - Raw Material"/>
    <s v="PIL2/D/347"/>
    <d v="2026-07-07T00:00:00"/>
    <s v="FG"/>
    <s v="FIBC Bags"/>
    <x v="9"/>
    <s v="FIBC"/>
    <s v="FIBC Bags With UV Without Liner"/>
    <n v="1022"/>
    <n v="256440.24"/>
    <s v="FIBC Bags With UV Without Liner"/>
    <n v="816104.72"/>
    <n v="9"/>
    <n v="23079.62"/>
    <n v="9"/>
    <n v="23079.62"/>
    <n v="0"/>
    <n v="0"/>
    <n v="0"/>
    <n v="46159.24"/>
    <n v="0"/>
    <s v="24AAACO3087C1ZT"/>
    <s v="Kgs"/>
    <n v="63053200"/>
    <s v="Rs."/>
    <n v="1"/>
    <n v="1022"/>
    <s v="India"/>
  </r>
  <r>
    <d v="2026-07-08T00:00:00"/>
    <s v="Plastene India ltd - Unit 2-Purchase"/>
    <s v="R.M.P."/>
    <s v="RM 295"/>
    <s v="Purchase Withinstate - Raw Material"/>
    <s v="PIL2/D/347"/>
    <d v="2026-07-07T00:00:00"/>
    <s v="FG"/>
    <s v="FIBC Bags"/>
    <x v="9"/>
    <s v="FIBC"/>
    <s v="FIBC Bags With UV Without Liner"/>
    <n v="401"/>
    <n v="109288.54"/>
    <s v="FIBC Bags With UV Without Liner"/>
    <n v="0"/>
    <n v="9"/>
    <n v="9835.9699999999993"/>
    <n v="9"/>
    <n v="9835.9699999999993"/>
    <n v="0"/>
    <n v="0"/>
    <n v="0"/>
    <n v="19671.939999999999"/>
    <n v="0"/>
    <s v="24AAACO3087C1ZT"/>
    <s v="Kgs"/>
    <n v="63053200"/>
    <s v="Rs."/>
    <n v="1"/>
    <n v="401"/>
    <s v="India"/>
  </r>
  <r>
    <d v="2026-07-08T00:00:00"/>
    <s v="Plastene India ltd - Unit 2-Purchase"/>
    <s v="R.M.P."/>
    <s v="RM 295"/>
    <s v="Purchase Withinstate - Raw Material"/>
    <s v="PIL2/D/347"/>
    <d v="2026-07-07T00:00:00"/>
    <s v="SF"/>
    <s v="PP/PE Fabric"/>
    <x v="0"/>
    <s v="FIBC"/>
    <s v="PP UL Fabric With UV"/>
    <n v="2676"/>
    <n v="326472"/>
    <s v="PP UL Fabric With UV"/>
    <n v="0"/>
    <n v="9"/>
    <n v="29382.48"/>
    <n v="9"/>
    <n v="29382.48"/>
    <n v="0"/>
    <n v="0"/>
    <n v="0"/>
    <n v="58764.959999999999"/>
    <n v="0"/>
    <s v="24AAACO3087C1ZT"/>
    <s v="Kgs"/>
    <n v="39269080"/>
    <s v="Rs."/>
    <n v="1"/>
    <n v="2676"/>
    <s v="India"/>
  </r>
  <r>
    <d v="2026-07-09T00:00:00"/>
    <s v="K.P. Woven Pvt Ltd - Unit 3 -Purchase"/>
    <s v="R.M.P."/>
    <s v="KPW3/E/072"/>
    <s v="Purchase-Import - Third Party"/>
    <s v="KPW3/E/072"/>
    <d v="2026-07-09T00:00:00"/>
    <s v="FG"/>
    <s v="FIBC Bags"/>
    <x v="4"/>
    <s v="FIBC"/>
    <s v="FIBC Bags With UV Without Liner"/>
    <n v="19674"/>
    <n v="5116986.6549999993"/>
    <s v="FIBC Bags With UV Without Liner"/>
    <n v="5116986"/>
    <n v="0"/>
    <n v="0"/>
    <n v="0"/>
    <n v="0"/>
    <n v="0"/>
    <n v="0"/>
    <n v="0"/>
    <n v="0"/>
    <n v="0"/>
    <s v="24AAECK6307M2ZE"/>
    <s v="Kgs"/>
    <n v="63053200"/>
    <s v="$"/>
    <n v="93.5"/>
    <n v="19674"/>
    <s v="India"/>
  </r>
  <r>
    <d v="2026-07-09T00:00:00"/>
    <s v="Plastene India ltd - Unit 1-Purchase"/>
    <s v="R.M.P."/>
    <s v="RM 299"/>
    <s v="Purchase Withinstate - Raw Material"/>
    <s v="PIL1/D/985"/>
    <d v="2026-07-09T00:00:00"/>
    <s v="SF"/>
    <s v="PP/PE Fabric"/>
    <x v="0"/>
    <s v="PP WOVEN FABRIC"/>
    <s v="PP UL Fabric With UV"/>
    <n v="295"/>
    <n v="42624.55"/>
    <s v="PP UL Fabric With UV"/>
    <n v="153271.56"/>
    <n v="9"/>
    <n v="3836.21"/>
    <n v="9"/>
    <n v="3836.21"/>
    <n v="0"/>
    <n v="0"/>
    <n v="0"/>
    <n v="7672.42"/>
    <n v="0"/>
    <s v="24AAACO3087C1ZT"/>
    <s v="Kgs"/>
    <n v="39269080"/>
    <s v="Rs."/>
    <n v="1"/>
    <n v="295"/>
    <s v="India"/>
  </r>
  <r>
    <d v="2026-07-09T00:00:00"/>
    <s v="Plastene India ltd - Unit 1-Purchase"/>
    <s v="R.M.P."/>
    <s v="RM 299"/>
    <s v="Purchase Withinstate - Raw Material"/>
    <s v="PIL1/D/985"/>
    <d v="2026-07-09T00:00:00"/>
    <s v="SF"/>
    <s v="PP/PE Fabric"/>
    <x v="0"/>
    <s v="PP WOVEN FABRIC"/>
    <s v="PP UL Fabric With UV"/>
    <n v="573"/>
    <n v="87376.77"/>
    <s v="PP UL Fabric With UV"/>
    <n v="0"/>
    <n v="9"/>
    <n v="7863.91"/>
    <n v="9"/>
    <n v="7863.91"/>
    <n v="0"/>
    <n v="0"/>
    <n v="0"/>
    <n v="15727.82"/>
    <n v="0"/>
    <s v="24AAACO3087C1ZT"/>
    <s v="Kgs"/>
    <n v="39269080"/>
    <s v="Rs."/>
    <n v="1"/>
    <n v="573"/>
    <s v="India"/>
  </r>
  <r>
    <d v="2026-07-09T00:00:00"/>
    <s v="Plastene India ltd - Unit 1-Purchase"/>
    <s v="R.M.P."/>
    <s v="RM 300"/>
    <s v="Purchase Withinstate - Raw Material"/>
    <s v="PIL1/D/998"/>
    <d v="2026-07-09T00:00:00"/>
    <s v="RM"/>
    <s v="Granules"/>
    <x v="5"/>
    <s v="PP Granules"/>
    <s v="PP RIL H350EC"/>
    <n v="5000"/>
    <n v="681655"/>
    <s v="PP RIL H350EC"/>
    <n v="803671.25"/>
    <n v="9"/>
    <n v="61348.95"/>
    <n v="9"/>
    <n v="61348.95"/>
    <n v="0"/>
    <n v="0"/>
    <n v="0"/>
    <n v="122697.9"/>
    <n v="0"/>
    <s v="24AAACO3087C1ZT"/>
    <s v="Kgs"/>
    <n v="39021000"/>
    <s v="Rs."/>
    <n v="1"/>
    <n v="5000"/>
    <s v="India"/>
  </r>
  <r>
    <d v="2026-07-09T00:00:00"/>
    <s v="Plastene India ltd - Unit 1-Purchase"/>
    <s v="R.M.P."/>
    <s v="RM 301"/>
    <s v="Purchase Withinstate - Raw Material"/>
    <s v="PIL1/D/979"/>
    <d v="2026-07-09T00:00:00"/>
    <s v="SF"/>
    <s v="PP/PE Fabric"/>
    <x v="0"/>
    <s v="PP WOVEN FABRIC"/>
    <s v="PP UL Fabric With UV"/>
    <n v="1452"/>
    <n v="209799.48"/>
    <s v="PP UL Fabric With UV"/>
    <n v="247353.58"/>
    <n v="9"/>
    <n v="18881.95"/>
    <n v="9"/>
    <n v="18881.95"/>
    <n v="0"/>
    <n v="0"/>
    <n v="0"/>
    <n v="37763.9"/>
    <n v="0"/>
    <s v="24AAACO3087C1ZT"/>
    <s v="Kgs"/>
    <n v="39269080"/>
    <s v="Rs."/>
    <n v="1"/>
    <n v="1452"/>
    <s v="India"/>
  </r>
  <r>
    <d v="2026-07-10T00:00:00"/>
    <s v="HCP Plastene Bulkpack Limited - Purchase"/>
    <s v="R.M.P."/>
    <s v="RM 303"/>
    <s v="Purchase Withinstate - Raw Material"/>
    <s v="HPBL/D/362"/>
    <d v="2026-07-09T00:00:00"/>
    <s v="SF"/>
    <s v="Liners"/>
    <x v="1"/>
    <s v="LDPE/LLDPE Bags"/>
    <s v="LDPE/LLDPE Bags/Liner"/>
    <n v="534"/>
    <n v="93295.14"/>
    <s v="LDPE/LLDPE Bags/Liner"/>
    <n v="386874.35"/>
    <n v="9"/>
    <n v="8396.56"/>
    <n v="9"/>
    <n v="8396.56"/>
    <n v="0"/>
    <n v="0"/>
    <n v="0"/>
    <n v="16793.12"/>
    <n v="0"/>
    <s v="24AABCG1282C2Z6"/>
    <s v="Kgs"/>
    <n v="39200000"/>
    <s v="Rs."/>
    <n v="1"/>
    <n v="534"/>
    <s v="India"/>
  </r>
  <r>
    <d v="2026-07-10T00:00:00"/>
    <s v="HCP Plastene Bulkpack Limited - Purchase"/>
    <s v="R.M.P."/>
    <s v="RM 303"/>
    <s v="Purchase Withinstate - Raw Material"/>
    <s v="HPBL/D/362"/>
    <d v="2026-07-09T00:00:00"/>
    <s v="SF"/>
    <s v="PP/PE Fabric"/>
    <x v="0"/>
    <s v="PP WOVEN FABRIC"/>
    <s v="PP UL Fabric With UV"/>
    <n v="401"/>
    <n v="63955.49"/>
    <s v="PP UL Fabric With UV"/>
    <n v="0"/>
    <n v="9"/>
    <n v="5755.99"/>
    <n v="9"/>
    <n v="5755.99"/>
    <n v="0"/>
    <n v="0"/>
    <n v="0"/>
    <n v="11511.98"/>
    <n v="0"/>
    <s v="24AABCG1282C2Z6"/>
    <s v="Kgs"/>
    <n v="39269080"/>
    <s v="Rs."/>
    <n v="1"/>
    <n v="401"/>
    <s v="India"/>
  </r>
  <r>
    <d v="2026-07-10T00:00:00"/>
    <s v="HCP Plastene Bulkpack Limited - Purchase"/>
    <s v="R.M.P."/>
    <s v="RM 303"/>
    <s v="Purchase Withinstate - Raw Material"/>
    <s v="HPBL/D/362"/>
    <d v="2026-07-09T00:00:00"/>
    <s v="SF"/>
    <s v="PP/PE Fabric"/>
    <x v="0"/>
    <s v="PP WOVEN FABRIC"/>
    <s v="PP UL Fabric With UV"/>
    <n v="1092"/>
    <n v="170887.08"/>
    <s v="PP UL Fabric With UV"/>
    <n v="0"/>
    <n v="9"/>
    <n v="15379.84"/>
    <n v="9"/>
    <n v="15379.84"/>
    <n v="0"/>
    <n v="0"/>
    <n v="0"/>
    <n v="30759.68"/>
    <n v="0"/>
    <s v="24AABCG1282C2Z6"/>
    <s v="Kgs"/>
    <n v="39269080"/>
    <s v="Rs."/>
    <n v="1"/>
    <n v="1092"/>
    <s v="India"/>
  </r>
  <r>
    <d v="2026-07-10T00:00:00"/>
    <s v="K.P. Woven Pvt Ltd - Unit 3 -Purchase"/>
    <s v="R.M.P."/>
    <s v="KPW3/E/073"/>
    <s v="Purchase-Import - Third Party"/>
    <s v="KPW3/E/073"/>
    <d v="2026-07-10T00:00:00"/>
    <s v="FG"/>
    <s v="FIBC Bags"/>
    <x v="4"/>
    <s v="FIBC"/>
    <s v="FIBC Bags With UV Without Liner"/>
    <n v="19795"/>
    <n v="5116986.6549999993"/>
    <s v="FIBC Bags With UV Without Liner"/>
    <n v="5116986"/>
    <n v="0"/>
    <n v="0"/>
    <n v="0"/>
    <n v="0"/>
    <n v="0"/>
    <n v="0"/>
    <n v="0"/>
    <n v="0"/>
    <n v="0"/>
    <s v="24AAECK6307M2ZE"/>
    <s v="Kgs"/>
    <n v="63053200"/>
    <s v="$"/>
    <n v="93.5"/>
    <n v="19795"/>
    <s v="India"/>
  </r>
  <r>
    <d v="2026-07-10T00:00:00"/>
    <s v="K.P. Woven Pvt Ltd-Purchase"/>
    <s v="R.M.P."/>
    <s v="RM 302"/>
    <s v="Purchase Withinstate - Raw Material"/>
    <s v="KPV/D/429"/>
    <d v="2026-07-09T00:00:00"/>
    <s v="SF"/>
    <s v="Yarn All"/>
    <x v="6"/>
    <s v="Yarn"/>
    <s v="PP Fibrillated Tape Twisted 3200 Blue"/>
    <n v="980"/>
    <n v="151067"/>
    <s v="PP Fibrillated Tape Twisted 3200 Blue"/>
    <n v="313854.53000000003"/>
    <n v="2.5"/>
    <n v="3776.68"/>
    <n v="2.5"/>
    <n v="3776.68"/>
    <n v="0"/>
    <n v="0"/>
    <n v="0"/>
    <n v="7553.36"/>
    <n v="0"/>
    <s v="24AAECK6307M1ZF"/>
    <s v="Kgs"/>
    <n v="54026930"/>
    <s v="Rs."/>
    <n v="1"/>
    <n v="980"/>
    <s v="India"/>
  </r>
  <r>
    <d v="2026-07-10T00:00:00"/>
    <s v="K.P. Woven Pvt Ltd-Purchase"/>
    <s v="R.M.P."/>
    <s v="RM 302"/>
    <s v="Purchase Withinstate - Raw Material"/>
    <s v="KPV/D/429"/>
    <d v="2026-07-09T00:00:00"/>
    <s v="SF"/>
    <s v="Yarn All"/>
    <x v="6"/>
    <s v="Yarn"/>
    <s v="PP Fibrillated Tape Twisted 3200 MW"/>
    <n v="980"/>
    <n v="148127"/>
    <s v="PP Fibrillated Tape Twisted 3200 MW"/>
    <n v="0"/>
    <n v="2.5"/>
    <n v="3703.18"/>
    <n v="2.5"/>
    <n v="3703.18"/>
    <n v="0"/>
    <n v="0"/>
    <n v="0"/>
    <n v="7406.36"/>
    <n v="0"/>
    <s v="24AAECK6307M1ZF"/>
    <s v="Kgs"/>
    <n v="54026930"/>
    <s v="Rs."/>
    <n v="1"/>
    <n v="980"/>
    <s v="India"/>
  </r>
  <r>
    <d v="2026-07-10T00:00:00"/>
    <s v="Parsva Trading"/>
    <s v="General Purchase"/>
    <s v="GNCN 114"/>
    <s v="Purchase Withinstate- Stores, Spares &amp; Consumable"/>
    <n v="21"/>
    <d v="2026-07-05T00:00:00"/>
    <s v="SF"/>
    <s v="Liners"/>
    <x v="1"/>
    <s v="LDPE/LLDPE Bags"/>
    <s v="PE Labels (Kgs)"/>
    <n v="63.78"/>
    <n v="13941.5"/>
    <s v="PE Labels (Kgs)"/>
    <n v="16450.97"/>
    <n v="9"/>
    <n v="1254.73"/>
    <n v="9"/>
    <n v="1254.73"/>
    <n v="0"/>
    <n v="0"/>
    <n v="0"/>
    <n v="2509.46"/>
    <n v="0"/>
    <s v="24AMOPG6602J2Z0"/>
    <s v="Kgs"/>
    <n v="3920101"/>
    <s v="Rs."/>
    <n v="1"/>
    <n v="63.78"/>
    <s v="India"/>
  </r>
  <r>
    <d v="2026-07-10T00:00:00"/>
    <s v="Plastene India ltd - Unit 1-Purchase"/>
    <s v="R.M.P."/>
    <s v="RM 304"/>
    <s v="Purchase Withinstate - Raw Material"/>
    <s v="PIL1/D/994"/>
    <d v="2026-07-10T00:00:00"/>
    <s v="FG"/>
    <s v="Small Bags"/>
    <x v="12"/>
    <s v="FIBC"/>
    <s v="PP UL Bags With UV"/>
    <n v="416.8"/>
    <n v="95797.31"/>
    <s v="PP UL Bags With UV"/>
    <n v="112945.03"/>
    <n v="9"/>
    <n v="8621.76"/>
    <n v="9"/>
    <n v="8621.76"/>
    <n v="0"/>
    <n v="0"/>
    <n v="0"/>
    <n v="17243.52"/>
    <n v="0"/>
    <s v="24AAACO3087C1ZT"/>
    <s v="Kgs"/>
    <n v="39232990"/>
    <s v="Rs."/>
    <n v="1"/>
    <n v="416.8"/>
    <s v="India"/>
  </r>
  <r>
    <d v="2026-07-10T00:00:00"/>
    <s v="Plastene India ltd - Unit 1-Purchase"/>
    <s v="R.M.P."/>
    <s v="RM 305"/>
    <s v="Purchase Withinstate - Raw Material"/>
    <s v="PIL1/D/995"/>
    <d v="2026-07-10T00:00:00"/>
    <s v="SF"/>
    <s v="Yarn All"/>
    <x v="6"/>
    <s v="Yarn"/>
    <s v="PP MF Yarn Twisted 1000 UV NW"/>
    <n v="203.4"/>
    <n v="31830.07"/>
    <s v="PP MF Yarn Twisted 1000 UV NW"/>
    <n v="33389.74"/>
    <n v="2.5"/>
    <n v="795.75"/>
    <n v="2.5"/>
    <n v="795.75"/>
    <n v="0"/>
    <n v="0"/>
    <n v="0"/>
    <n v="1591.5"/>
    <n v="0"/>
    <s v="24AAACO3087C1ZT"/>
    <s v="Kgs"/>
    <n v="54026930"/>
    <s v="Rs."/>
    <n v="1"/>
    <n v="203.4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PP/PE Fabric"/>
    <x v="2"/>
    <s v="PP Laminated Fabric"/>
    <s v="PP Lam Fabric With UV"/>
    <n v="1396"/>
    <n v="211480.04"/>
    <s v="PP Lam Fabric With UV"/>
    <n v="1805411.03"/>
    <n v="9"/>
    <n v="19033.2"/>
    <n v="9"/>
    <n v="19033.2"/>
    <n v="0"/>
    <n v="0"/>
    <n v="0"/>
    <n v="38066.400000000001"/>
    <n v="0"/>
    <s v="24AAACO3087C1ZT"/>
    <s v="Kgs"/>
    <n v="63053300"/>
    <s v="Rs."/>
    <n v="1"/>
    <n v="1396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Webbing"/>
    <x v="3"/>
    <s v="PP Webbing"/>
    <s v="Webbing"/>
    <n v="1479.3"/>
    <n v="221140.557"/>
    <s v="Webbing"/>
    <n v="0"/>
    <n v="9"/>
    <n v="19902.650000000001"/>
    <n v="9"/>
    <n v="19902.650000000001"/>
    <n v="0"/>
    <n v="0"/>
    <n v="0"/>
    <n v="39805.300000000003"/>
    <n v="0"/>
    <s v="24AAACO3087C1ZT"/>
    <s v="Kgs"/>
    <n v="3926908"/>
    <s v="Rs."/>
    <n v="1"/>
    <n v="1479.3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Webbing"/>
    <x v="3"/>
    <s v="PP Webbing"/>
    <s v="Webbing"/>
    <n v="75.2"/>
    <n v="11016.048000000001"/>
    <s v="Webbing"/>
    <n v="0"/>
    <n v="9"/>
    <n v="991.44"/>
    <n v="9"/>
    <n v="991.44"/>
    <n v="0"/>
    <n v="0"/>
    <n v="0"/>
    <n v="1982.88"/>
    <n v="0"/>
    <s v="24AAACO3087C1ZT"/>
    <s v="Kgs"/>
    <n v="3926908"/>
    <s v="Rs."/>
    <n v="1"/>
    <n v="75.2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Yarn All"/>
    <x v="6"/>
    <s v="Yarn"/>
    <s v="PP MF Yarn Twisted 1000 UV NW"/>
    <n v="1128.8"/>
    <n v="176645.91200000001"/>
    <s v="PP MF Yarn Twisted 1000 UV NW"/>
    <n v="0"/>
    <n v="2.5"/>
    <n v="4416.1499999999996"/>
    <n v="2.5"/>
    <n v="4416.1499999999996"/>
    <n v="0"/>
    <n v="0"/>
    <n v="0"/>
    <n v="8832.2999999999993"/>
    <n v="0"/>
    <s v="24AAACO3087C1ZT"/>
    <s v="Kgs"/>
    <n v="54026930"/>
    <s v="Rs."/>
    <n v="1"/>
    <n v="1128.8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Yarn All"/>
    <x v="6"/>
    <s v="Yarn"/>
    <s v="PP MF Yarn Twisted 2500 Denier UV NW"/>
    <n v="312"/>
    <n v="48824.88"/>
    <s v="PP MF Yarn Twisted 2500 Denier UV NW"/>
    <n v="0"/>
    <n v="2.5"/>
    <n v="1220.6199999999999"/>
    <n v="2.5"/>
    <n v="1220.6199999999999"/>
    <n v="0"/>
    <n v="0"/>
    <n v="0"/>
    <n v="2441.2399999999998"/>
    <n v="0"/>
    <s v="24AAACO3087C1ZT"/>
    <s v="Kgs"/>
    <n v="54026300"/>
    <s v="Rs."/>
    <n v="1"/>
    <n v="312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Yarn All"/>
    <x v="6"/>
    <s v="Yarn"/>
    <s v="PP MF Yarn Twisted 3000 Denier UV NW"/>
    <n v="862"/>
    <n v="134894.38"/>
    <s v="PP MF Yarn Twisted 3000 Denier UV NW"/>
    <n v="0"/>
    <n v="2.5"/>
    <n v="3372.36"/>
    <n v="2.5"/>
    <n v="3372.36"/>
    <n v="0"/>
    <n v="0"/>
    <n v="0"/>
    <n v="6744.72"/>
    <n v="0"/>
    <s v="24AAACO3087C1ZT"/>
    <s v="Kgs"/>
    <n v="540263"/>
    <s v="Rs."/>
    <n v="1"/>
    <n v="862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Yarn All"/>
    <x v="6"/>
    <s v="Yarn"/>
    <s v="PP Braided Rope MW 6 to 8 GPM"/>
    <n v="44.4"/>
    <n v="7147.9560000000001"/>
    <s v="PP Braided Rope MW 6 to 8 GPM"/>
    <n v="0"/>
    <n v="2.5"/>
    <n v="178.7"/>
    <n v="2.5"/>
    <n v="178.7"/>
    <n v="0"/>
    <n v="0"/>
    <n v="0"/>
    <n v="357.4"/>
    <n v="0"/>
    <s v="24AAACO3087C1ZT"/>
    <s v="Kgs"/>
    <n v="540269"/>
    <s v="Rs."/>
    <n v="1"/>
    <n v="44.4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Liners"/>
    <x v="1"/>
    <s v="LDPE/LLDPE Bags"/>
    <s v="LDPE/LLDPE Bags/Liner"/>
    <n v="3036"/>
    <n v="554920.07999999996"/>
    <s v="LDPE/LLDPE Bags/Liner"/>
    <n v="0"/>
    <n v="9"/>
    <n v="49942.81"/>
    <n v="9"/>
    <n v="49942.81"/>
    <n v="0"/>
    <n v="0"/>
    <n v="0"/>
    <n v="99885.62"/>
    <n v="0"/>
    <s v="24AAACO3087C1ZT"/>
    <s v="Kgs"/>
    <n v="39200000"/>
    <s v="Rs."/>
    <n v="1"/>
    <n v="3036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PP/PE Fabric"/>
    <x v="0"/>
    <s v="PP WOVEN FABRIC"/>
    <s v="PP UL Fabric With UV"/>
    <n v="255"/>
    <n v="36844.949999999997"/>
    <s v="PP UL Fabric With UV"/>
    <n v="0"/>
    <n v="9"/>
    <n v="3316.05"/>
    <n v="9"/>
    <n v="3316.05"/>
    <n v="0"/>
    <n v="0"/>
    <n v="0"/>
    <n v="6632.1"/>
    <n v="0"/>
    <s v="24AAACO3087C1ZT"/>
    <s v="Kgs"/>
    <n v="39269080"/>
    <s v="Rs."/>
    <n v="1"/>
    <n v="255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PP/PE Fabric"/>
    <x v="0"/>
    <s v="PP WOVEN FABRIC"/>
    <s v="PP UL Fabric With UV"/>
    <n v="472"/>
    <n v="70559.28"/>
    <s v="PP UL Fabric With UV"/>
    <n v="0"/>
    <n v="9"/>
    <n v="6350.34"/>
    <n v="9"/>
    <n v="6350.34"/>
    <n v="0"/>
    <n v="0"/>
    <n v="0"/>
    <n v="12700.68"/>
    <n v="0"/>
    <s v="24AAACO3087C1ZT"/>
    <s v="Kgs"/>
    <n v="39269080"/>
    <s v="Rs."/>
    <n v="1"/>
    <n v="472"/>
    <s v="India"/>
  </r>
  <r>
    <d v="2026-07-10T00:00:00"/>
    <s v="Plastene India ltd - Unit 1-Purchase"/>
    <s v="R.M.P."/>
    <s v="RM 306"/>
    <s v="Purchase Withinstate - Raw Material"/>
    <s v="PIL1/D/1002"/>
    <d v="2026-07-10T00:00:00"/>
    <s v="SF"/>
    <s v="PP/PE Fabric"/>
    <x v="0"/>
    <s v="PP WOVEN FABRIC"/>
    <s v="PP UL Fabric With UV"/>
    <n v="645"/>
    <n v="98356.05"/>
    <s v="PP UL Fabric With UV"/>
    <n v="0"/>
    <n v="9"/>
    <n v="8852.0400000000009"/>
    <n v="9"/>
    <n v="8852.0400000000009"/>
    <n v="0"/>
    <n v="0"/>
    <n v="0"/>
    <n v="17704.080000000002"/>
    <n v="0"/>
    <s v="24AAACO3087C1ZT"/>
    <s v="Kgs"/>
    <n v="39269080"/>
    <s v="Rs."/>
    <n v="1"/>
    <n v="645"/>
    <s v="India"/>
  </r>
  <r>
    <d v="2026-07-10T00:00:00"/>
    <s v="Plastene India ltd - Unit 1-Purchase"/>
    <s v="R.M.P."/>
    <s v="RM 307"/>
    <s v="Purchase Withinstate - Raw Material"/>
    <s v="PIL1/D/1004"/>
    <d v="2026-07-10T00:00:00"/>
    <s v="SF"/>
    <s v="Films All (SF)"/>
    <x v="11"/>
    <s v="LLDPE FILM"/>
    <s v="LDPE/LLDPE Film"/>
    <n v="88.8"/>
    <n v="15342.86"/>
    <s v="LDPE/LLDPE Film"/>
    <n v="18089.240000000002"/>
    <n v="9"/>
    <n v="1380.86"/>
    <n v="9"/>
    <n v="1380.86"/>
    <n v="0"/>
    <n v="0"/>
    <n v="0"/>
    <n v="2761.72"/>
    <n v="0"/>
    <s v="24AAACO3087C1ZT"/>
    <s v="Kgs"/>
    <n v="3920101"/>
    <s v="Rs."/>
    <n v="1"/>
    <n v="88.8"/>
    <s v="India"/>
  </r>
  <r>
    <d v="2026-07-11T00:00:00"/>
    <s v="K.P. Woven Pvt Ltd - Unit 3 -Purchase"/>
    <s v="R.M.P."/>
    <s v="KPW3/E/074"/>
    <s v="Purchase-Import - Third Party"/>
    <s v="KPW3/E/074"/>
    <d v="2026-07-11T00:00:00"/>
    <s v="FG"/>
    <s v="FIBC Bags"/>
    <x v="4"/>
    <s v="FIBC"/>
    <s v="FIBC Bags With UV Without Liner"/>
    <n v="17778"/>
    <n v="4414194.84"/>
    <s v="FIBC Bags With UV Without Liner"/>
    <n v="4414195"/>
    <n v="0"/>
    <n v="0"/>
    <n v="0"/>
    <n v="0"/>
    <n v="0"/>
    <n v="0"/>
    <n v="0"/>
    <n v="0"/>
    <n v="0"/>
    <s v="24AAECK6307M2ZE"/>
    <s v="Kgs"/>
    <n v="63053200"/>
    <s v="$"/>
    <n v="93.5"/>
    <n v="17778"/>
    <s v="India"/>
  </r>
  <r>
    <d v="2026-07-11T00:00:00"/>
    <s v="Plastene India ltd - Unit 1-Purchase"/>
    <s v="R.M.P."/>
    <s v="RM 309"/>
    <s v="Purchase Withinstate - Raw Material"/>
    <s v="PIL1/D/1017"/>
    <d v="2026-07-11T00:00:00"/>
    <s v="SF"/>
    <s v="Webbing"/>
    <x v="3"/>
    <s v="PP Webbing"/>
    <s v="Webbing"/>
    <n v="126.1"/>
    <n v="18850.68"/>
    <s v="Webbing"/>
    <n v="861013.63"/>
    <n v="9"/>
    <n v="1696.56"/>
    <n v="9"/>
    <n v="1696.56"/>
    <n v="0"/>
    <n v="0"/>
    <n v="0"/>
    <n v="3393.12"/>
    <n v="0"/>
    <s v="24AAACO3087C1ZT"/>
    <s v="Kgs"/>
    <n v="3926908"/>
    <s v="Rs."/>
    <n v="1"/>
    <n v="126.1"/>
    <s v="India"/>
  </r>
  <r>
    <d v="2026-07-11T00:00:00"/>
    <s v="Plastene India ltd - Unit 1-Purchase"/>
    <s v="R.M.P."/>
    <s v="RM 309"/>
    <s v="Purchase Withinstate - Raw Material"/>
    <s v="PIL1/D/1017"/>
    <d v="2026-07-11T00:00:00"/>
    <s v="SF"/>
    <s v="Webbing"/>
    <x v="3"/>
    <s v="PP Webbing"/>
    <s v="Webbing"/>
    <n v="98.4"/>
    <n v="14414.61"/>
    <s v="Webbing"/>
    <n v="0"/>
    <n v="9"/>
    <n v="1297.32"/>
    <n v="9"/>
    <n v="1297.32"/>
    <n v="0"/>
    <n v="0"/>
    <n v="0"/>
    <n v="2594.64"/>
    <n v="0"/>
    <s v="24AAACO3087C1ZT"/>
    <s v="Kgs"/>
    <n v="3926908"/>
    <s v="Rs."/>
    <n v="1"/>
    <n v="98.4"/>
    <s v="India"/>
  </r>
  <r>
    <d v="2026-07-11T00:00:00"/>
    <s v="Plastene India ltd - Unit 1-Purchase"/>
    <s v="R.M.P."/>
    <s v="RM 309"/>
    <s v="Purchase Withinstate - Raw Material"/>
    <s v="PIL1/D/1017"/>
    <d v="2026-07-11T00:00:00"/>
    <s v="SF"/>
    <s v="Yarn All"/>
    <x v="6"/>
    <s v="FILLER CORD"/>
    <s v="Filler Cord"/>
    <n v="49.1"/>
    <n v="7757.3"/>
    <s v="Filler Cord"/>
    <n v="0"/>
    <n v="2.5"/>
    <n v="193.93"/>
    <n v="2.5"/>
    <n v="193.93"/>
    <n v="0"/>
    <n v="0"/>
    <n v="0"/>
    <n v="387.86"/>
    <n v="0"/>
    <s v="24AAACO3087C1ZT"/>
    <s v="Kgs"/>
    <n v="540263"/>
    <s v="Rs."/>
    <n v="1"/>
    <n v="49.1"/>
    <s v="India"/>
  </r>
  <r>
    <d v="2026-07-11T00:00:00"/>
    <s v="Plastene India ltd - Unit 1-Purchase"/>
    <s v="R.M.P."/>
    <s v="RM 309"/>
    <s v="Purchase Withinstate - Raw Material"/>
    <s v="PIL1/D/1017"/>
    <d v="2026-07-11T00:00:00"/>
    <s v="SF"/>
    <s v="PP/PE Fabric"/>
    <x v="0"/>
    <s v="PP WOVEN FABRIC"/>
    <s v="PP UL Fabric With UV"/>
    <n v="323"/>
    <n v="46670.27"/>
    <s v="PP UL Fabric With UV"/>
    <n v="0"/>
    <n v="9"/>
    <n v="4200.32"/>
    <n v="9"/>
    <n v="4200.32"/>
    <n v="0"/>
    <n v="0"/>
    <n v="0"/>
    <n v="8400.64"/>
    <n v="0"/>
    <s v="24AAACO3087C1ZT"/>
    <s v="Kgs"/>
    <n v="39269080"/>
    <s v="Rs."/>
    <n v="1"/>
    <n v="323"/>
    <s v="India"/>
  </r>
  <r>
    <d v="2026-07-11T00:00:00"/>
    <s v="Plastene India ltd - Unit 1-Purchase"/>
    <s v="R.M.P."/>
    <s v="RM 309"/>
    <s v="Purchase Withinstate - Raw Material"/>
    <s v="PIL1/D/1017"/>
    <d v="2026-07-11T00:00:00"/>
    <s v="SF"/>
    <s v="PP/PE Fabric"/>
    <x v="0"/>
    <s v="PP WOVEN FABRIC"/>
    <s v="PP UL Fabric With UV"/>
    <n v="578"/>
    <n v="88139.22"/>
    <s v="PP UL Fabric With UV"/>
    <n v="0"/>
    <n v="9"/>
    <n v="7932.53"/>
    <n v="9"/>
    <n v="7932.53"/>
    <n v="0"/>
    <n v="0"/>
    <n v="0"/>
    <n v="15865.06"/>
    <n v="0"/>
    <s v="24AAACO3087C1ZT"/>
    <s v="Kgs"/>
    <n v="39269080"/>
    <s v="Rs."/>
    <n v="1"/>
    <n v="578"/>
    <s v="India"/>
  </r>
  <r>
    <d v="2026-07-11T00:00:00"/>
    <s v="Plastene India ltd - Unit 1-Purchase"/>
    <s v="R.M.P."/>
    <s v="RM 309"/>
    <s v="Purchase Withinstate - Raw Material"/>
    <s v="PIL1/D/1017"/>
    <d v="2026-07-11T00:00:00"/>
    <s v="SF"/>
    <s v="Liners"/>
    <x v="1"/>
    <s v="LDPE/LLDPE Bags"/>
    <s v="LDPE/LLDPE Bags/Liner"/>
    <n v="497"/>
    <n v="90841.66"/>
    <s v="LDPE/LLDPE Bags/Liner"/>
    <n v="0"/>
    <n v="9"/>
    <n v="8175.75"/>
    <n v="9"/>
    <n v="8175.75"/>
    <n v="0"/>
    <n v="0"/>
    <n v="0"/>
    <n v="16351.5"/>
    <n v="0"/>
    <s v="24AAACO3087C1ZT"/>
    <s v="Kgs"/>
    <n v="39200000"/>
    <s v="Rs."/>
    <n v="1"/>
    <n v="497"/>
    <s v="India"/>
  </r>
  <r>
    <d v="2026-07-11T00:00:00"/>
    <s v="Plastene India ltd - Unit 1-Purchase"/>
    <s v="R.M.P."/>
    <s v="RM 309"/>
    <s v="Purchase Withinstate - Raw Material"/>
    <s v="PIL1/D/1017"/>
    <d v="2026-07-11T00:00:00"/>
    <s v="SF"/>
    <s v="Liners"/>
    <x v="1"/>
    <s v="LDPE/LLDPE Bags"/>
    <s v="LDPE/LLDPE Bags/Liner"/>
    <n v="2228"/>
    <n v="460705.84"/>
    <s v="LDPE/LLDPE Bags/Liner"/>
    <n v="0"/>
    <n v="9"/>
    <n v="41463.53"/>
    <n v="9"/>
    <n v="41463.53"/>
    <n v="0"/>
    <n v="0"/>
    <n v="0"/>
    <n v="82927.06"/>
    <n v="0"/>
    <s v="24AAACO3087C1ZT"/>
    <s v="Kgs"/>
    <n v="39200000"/>
    <s v="Rs."/>
    <n v="1"/>
    <n v="2228"/>
    <s v="India"/>
  </r>
  <r>
    <d v="2026-07-11T00:00:00"/>
    <s v="Plastene India ltd - Unit 1-Purchase"/>
    <s v="R.M.P."/>
    <s v="RM 309"/>
    <s v="Purchase Withinstate - Raw Material"/>
    <s v="PIL1/D/1017"/>
    <d v="2026-07-11T00:00:00"/>
    <s v="SF"/>
    <s v="Yarn All"/>
    <x v="6"/>
    <s v="Yarn"/>
    <s v="PP Braided Rope MW 6 to 8 GPM"/>
    <n v="26.3"/>
    <n v="4234.07"/>
    <s v="PP Braided Rope MW 6 to 8 GPM"/>
    <n v="0"/>
    <n v="2.5"/>
    <n v="105.85"/>
    <n v="2.5"/>
    <n v="105.85"/>
    <n v="0"/>
    <n v="0"/>
    <n v="0"/>
    <n v="211.7"/>
    <n v="0"/>
    <s v="24AAACO3087C1ZT"/>
    <s v="Kgs"/>
    <n v="540269"/>
    <s v="Rs."/>
    <n v="1"/>
    <n v="26.3"/>
    <s v="India"/>
  </r>
  <r>
    <d v="2026-07-11T00:00:00"/>
    <s v="Plastene India ltd - Unit 2-Purchase"/>
    <s v="R.M.P."/>
    <s v="RM 308"/>
    <s v="Purchase Withinstate - Raw Material"/>
    <s v="PIL2/D/356"/>
    <d v="2026-07-10T00:00:00"/>
    <s v="FG"/>
    <s v="FIBC Bags"/>
    <x v="9"/>
    <s v="FIBC"/>
    <s v="FIBC Bags With UV Without Liner"/>
    <n v="7549"/>
    <n v="1732872.95"/>
    <s v="FIBC Bags With UV Without Liner"/>
    <n v="2043057.22"/>
    <n v="9"/>
    <n v="155958.57"/>
    <n v="9"/>
    <n v="155958.57"/>
    <n v="0"/>
    <n v="0"/>
    <n v="0"/>
    <n v="311917.14"/>
    <n v="0"/>
    <s v="24AAACO3087C1ZT"/>
    <s v="Kgs"/>
    <n v="63053200"/>
    <s v="Rs."/>
    <n v="1"/>
    <n v="7549"/>
    <s v="India"/>
  </r>
  <r>
    <d v="2026-07-12T00:00:00"/>
    <s v="Plastene India ltd - Unit 1-Purchase"/>
    <s v="R.M.P."/>
    <s v="RM 310"/>
    <s v="Purchase Withinstate - Raw Material"/>
    <s v="PIL1/D/1022"/>
    <d v="2026-07-12T00:00:00"/>
    <s v="SF"/>
    <s v="PP/PE Fabric"/>
    <x v="0"/>
    <s v="PP WOVEN FABRIC"/>
    <s v="PP UL Fabric With UV"/>
    <n v="712"/>
    <n v="102876.88"/>
    <s v="PP UL Fabric With UV"/>
    <n v="121291.84"/>
    <n v="9"/>
    <n v="9258.92"/>
    <n v="9"/>
    <n v="9258.92"/>
    <n v="0"/>
    <n v="0"/>
    <n v="0"/>
    <n v="18517.84"/>
    <n v="0"/>
    <s v="24AAACO3087C1ZT"/>
    <s v="Kgs"/>
    <n v="39269080"/>
    <s v="Rs."/>
    <n v="1"/>
    <n v="712"/>
    <s v="India"/>
  </r>
  <r>
    <d v="2026-07-12T00:00:00"/>
    <s v="Plastene India ltd - Unit 1-Purchase"/>
    <s v="R.M.P."/>
    <s v="RM 311"/>
    <s v="Purchase Withinstate - Raw Material"/>
    <s v="PIL1/D/1025"/>
    <d v="2026-07-12T00:00:00"/>
    <s v="SF"/>
    <s v="RP Granules"/>
    <x v="13"/>
    <s v="REPROCESSED GRANULE"/>
    <s v="RP Granules"/>
    <n v="2000"/>
    <n v="210000"/>
    <s v="RP Granules"/>
    <n v="247590"/>
    <n v="9"/>
    <n v="18900"/>
    <n v="9"/>
    <n v="18900"/>
    <n v="0"/>
    <n v="0"/>
    <n v="0"/>
    <n v="37800"/>
    <n v="0"/>
    <s v="24AAACO3087C1ZT"/>
    <s v="Kgs"/>
    <n v="39021000"/>
    <s v="Rs."/>
    <n v="1"/>
    <n v="2000"/>
    <s v="India"/>
  </r>
  <r>
    <d v="2026-07-12T00:00:00"/>
    <s v="Plastene India ltd - Unit 1-Purchase"/>
    <s v="R.M.P."/>
    <s v="RM 312"/>
    <s v="Purchase Withinstate - Raw Material"/>
    <s v="PIL1/D/1027"/>
    <d v="2026-07-12T00:00:00"/>
    <s v="SF"/>
    <s v="PP/PE Fabric"/>
    <x v="0"/>
    <s v="PP WOVEN FABRIC"/>
    <s v="PP UL Fabric With UV"/>
    <n v="339"/>
    <n v="48982.11"/>
    <s v="PP UL Fabric With UV"/>
    <n v="661076.85"/>
    <n v="9"/>
    <n v="4408.3900000000003"/>
    <n v="9"/>
    <n v="4408.3900000000003"/>
    <n v="0"/>
    <n v="0"/>
    <n v="0"/>
    <n v="8816.7800000000007"/>
    <n v="0"/>
    <s v="24AAACO3087C1ZT"/>
    <s v="Kgs"/>
    <n v="39269080"/>
    <s v="Rs."/>
    <n v="1"/>
    <n v="339"/>
    <s v="India"/>
  </r>
  <r>
    <d v="2026-07-12T00:00:00"/>
    <s v="Plastene India ltd - Unit 1-Purchase"/>
    <s v="R.M.P."/>
    <s v="RM 312"/>
    <s v="Purchase Withinstate - Raw Material"/>
    <s v="PIL1/D/1027"/>
    <d v="2026-07-12T00:00:00"/>
    <s v="SF"/>
    <s v="PP/PE Fabric"/>
    <x v="0"/>
    <s v="PP WOVEN FABRIC"/>
    <s v="PP UL Fabric With UV"/>
    <n v="662"/>
    <n v="100948.38"/>
    <s v="PP UL Fabric With UV"/>
    <n v="0"/>
    <n v="9"/>
    <n v="9085.35"/>
    <n v="9"/>
    <n v="9085.35"/>
    <n v="0"/>
    <n v="0"/>
    <n v="0"/>
    <n v="18170.7"/>
    <n v="0"/>
    <s v="24AAACO3087C1ZT"/>
    <s v="Kgs"/>
    <n v="39269080"/>
    <s v="Rs."/>
    <n v="1"/>
    <n v="662"/>
    <s v="India"/>
  </r>
  <r>
    <d v="2026-07-12T00:00:00"/>
    <s v="Plastene India ltd - Unit 1-Purchase"/>
    <s v="R.M.P."/>
    <s v="RM 312"/>
    <s v="Purchase Withinstate - Raw Material"/>
    <s v="PIL1/D/1027"/>
    <d v="2026-07-12T00:00:00"/>
    <s v="SF"/>
    <s v="PP/PE Fabric"/>
    <x v="2"/>
    <s v="PP Laminated Fabric"/>
    <s v="PP Lam Fabric With UV"/>
    <n v="2426"/>
    <n v="374792.74"/>
    <s v="PP Lam Fabric With UV"/>
    <n v="0"/>
    <n v="9"/>
    <n v="33731.35"/>
    <n v="9"/>
    <n v="33731.35"/>
    <n v="0"/>
    <n v="0"/>
    <n v="0"/>
    <n v="67462.7"/>
    <n v="0"/>
    <s v="24AAACO3087C1ZT"/>
    <s v="Kgs"/>
    <n v="63053300"/>
    <s v="Rs."/>
    <n v="1"/>
    <n v="2426"/>
    <s v="India"/>
  </r>
  <r>
    <d v="2026-07-12T00:00:00"/>
    <s v="Plastene India ltd - Unit 1-Purchase"/>
    <s v="R.M.P."/>
    <s v="RM 312"/>
    <s v="Purchase Withinstate - Raw Material"/>
    <s v="PIL1/D/1027"/>
    <d v="2026-07-12T00:00:00"/>
    <s v="SF"/>
    <s v="Webbing"/>
    <x v="3"/>
    <s v="PP Webbing"/>
    <s v="Webbing"/>
    <n v="139.6"/>
    <n v="20868.8"/>
    <s v="Webbing"/>
    <n v="0"/>
    <n v="9"/>
    <n v="1878.19"/>
    <n v="9"/>
    <n v="1878.19"/>
    <n v="0"/>
    <n v="0"/>
    <n v="0"/>
    <n v="3756.38"/>
    <n v="0"/>
    <s v="24AAACO3087C1ZT"/>
    <s v="Kgs"/>
    <n v="3926908"/>
    <s v="Rs."/>
    <n v="1"/>
    <n v="139.6"/>
    <s v="India"/>
  </r>
  <r>
    <d v="2026-07-12T00:00:00"/>
    <s v="Plastene India ltd - Unit 1-Purchase"/>
    <s v="R.M.P."/>
    <s v="RM 312"/>
    <s v="Purchase Withinstate - Raw Material"/>
    <s v="PIL1/D/1027"/>
    <d v="2026-07-12T00:00:00"/>
    <s v="SF"/>
    <s v="Webbing"/>
    <x v="3"/>
    <s v="PP Webbing"/>
    <s v="Webbing"/>
    <n v="103.2"/>
    <n v="15117.77"/>
    <s v="Webbing"/>
    <n v="0"/>
    <n v="9"/>
    <n v="1360.6"/>
    <n v="9"/>
    <n v="1360.6"/>
    <n v="0"/>
    <n v="0"/>
    <n v="0"/>
    <n v="2721.2"/>
    <n v="0"/>
    <s v="24AAACO3087C1ZT"/>
    <s v="Kgs"/>
    <n v="3926908"/>
    <s v="Rs."/>
    <n v="1"/>
    <n v="103.2"/>
    <s v="India"/>
  </r>
  <r>
    <d v="2026-07-13T00:00:00"/>
    <s v="HCP Plastene Bulkpack Limited - Purchase"/>
    <s v="R.M.P."/>
    <s v="RM 317"/>
    <s v="Purchase Withinstate - Raw Material"/>
    <s v="HPBL/D/373"/>
    <d v="2026-07-12T00:00:00"/>
    <s v="SF"/>
    <s v="PP/PE Fabric"/>
    <x v="0"/>
    <s v="PP WOVEN FABRIC"/>
    <s v="PP UL Fabric With UV"/>
    <n v="2100"/>
    <n v="328629"/>
    <s v="PP UL Fabric With UV"/>
    <n v="387453.59"/>
    <n v="9"/>
    <n v="29576.61"/>
    <n v="9"/>
    <n v="29576.61"/>
    <n v="0"/>
    <n v="0"/>
    <n v="0"/>
    <n v="59153.22"/>
    <n v="0"/>
    <s v="24AABCG1282C2Z6"/>
    <s v="Kgs"/>
    <n v="39269080"/>
    <s v="Rs."/>
    <n v="1"/>
    <n v="2100"/>
    <s v="India"/>
  </r>
  <r>
    <d v="2026-07-13T00:00:00"/>
    <s v="Hcp Plastene Bulkpack Ltd Vadodara Purchase"/>
    <s v="R.M.P."/>
    <s v="RM 319"/>
    <s v="Purchase Withinstate - Raw Material"/>
    <s v="HPBLV/D/34"/>
    <d v="2026-07-11T00:00:00"/>
    <s v="FG"/>
    <s v="FIBC Bags"/>
    <x v="9"/>
    <s v="FIBC"/>
    <s v="FIBC Bags With UV Without Liner"/>
    <n v="9143.9"/>
    <n v="1660075.04"/>
    <s v="FIBC Bags With UV Without Liner"/>
    <n v="3822863.22"/>
    <n v="9"/>
    <n v="149406.75"/>
    <n v="9"/>
    <n v="149406.75"/>
    <n v="0"/>
    <n v="0"/>
    <n v="0"/>
    <n v="298813.5"/>
    <n v="0"/>
    <s v="24AABCG1282C2Z6"/>
    <s v="Kgs"/>
    <n v="63053200"/>
    <s v="Rs."/>
    <n v="1"/>
    <n v="9143.9"/>
    <s v="India"/>
  </r>
  <r>
    <d v="2026-07-13T00:00:00"/>
    <s v="Hcp Plastene Bulkpack Ltd Vadodara Purchase"/>
    <s v="R.M.P."/>
    <s v="RM 319"/>
    <s v="Purchase Withinstate - Raw Material"/>
    <s v="HPBLV/D/34"/>
    <d v="2026-07-11T00:00:00"/>
    <s v="FG"/>
    <s v="FIBC Bags"/>
    <x v="9"/>
    <s v="FIBC"/>
    <s v="FIBC Bags With UV Without Liner"/>
    <n v="845.2"/>
    <n v="150707.60999999999"/>
    <s v="FIBC Bags With UV Without Liner"/>
    <n v="0"/>
    <n v="9"/>
    <n v="13563.69"/>
    <n v="9"/>
    <n v="13563.69"/>
    <n v="0"/>
    <n v="0"/>
    <n v="0"/>
    <n v="27127.38"/>
    <n v="0"/>
    <s v="24AABCG1282C2Z6"/>
    <s v="Kgs"/>
    <n v="63053200"/>
    <s v="Rs."/>
    <n v="1"/>
    <n v="845.2"/>
    <s v="India"/>
  </r>
  <r>
    <d v="2026-07-13T00:00:00"/>
    <s v="Hcp Plastene Bulkpack Ltd Vadodara Purchase"/>
    <s v="R.M.P."/>
    <s v="RM 319"/>
    <s v="Purchase Withinstate - Raw Material"/>
    <s v="HPBLV/D/34"/>
    <d v="2026-07-11T00:00:00"/>
    <s v="FG"/>
    <s v="FIBC Bags"/>
    <x v="9"/>
    <s v="FIBC"/>
    <s v="FIBC Bags With UV Without Liner"/>
    <n v="5936.6"/>
    <n v="1054696.3500000001"/>
    <s v="FIBC Bags With UV Without Liner"/>
    <n v="0"/>
    <n v="9"/>
    <n v="94922.67"/>
    <n v="9"/>
    <n v="94922.67"/>
    <n v="0"/>
    <n v="0"/>
    <n v="0"/>
    <n v="189845.34"/>
    <n v="0"/>
    <s v="24AABCG1282C2Z6"/>
    <s v="Kgs"/>
    <n v="63053200"/>
    <s v="Rs."/>
    <n v="1"/>
    <n v="5936.6"/>
    <s v="India"/>
  </r>
  <r>
    <d v="2026-07-13T00:00:00"/>
    <s v="Hcp Plastene Bulkpack Ltd Vadodara Purchase"/>
    <s v="R.M.P."/>
    <s v="RM 319"/>
    <s v="Purchase Withinstate - Raw Material"/>
    <s v="HPBLV/D/34"/>
    <d v="2026-07-11T00:00:00"/>
    <s v="FG"/>
    <s v="FIBC Bags"/>
    <x v="9"/>
    <s v="FIBC"/>
    <s v="FIBC Bags With UV Without Liner"/>
    <n v="832.2"/>
    <n v="150902.82"/>
    <s v="FIBC Bags With UV Without Liner"/>
    <n v="0"/>
    <n v="9"/>
    <n v="13581.25"/>
    <n v="9"/>
    <n v="13581.25"/>
    <n v="0"/>
    <n v="0"/>
    <n v="0"/>
    <n v="27162.5"/>
    <n v="0"/>
    <s v="24AABCG1282C2Z6"/>
    <s v="Kgs"/>
    <n v="63053200"/>
    <s v="Rs."/>
    <n v="1"/>
    <n v="832.2"/>
    <s v="India"/>
  </r>
  <r>
    <d v="2026-07-13T00:00:00"/>
    <s v="Hcp Plastene Bulkpack Ltd Vadodara Purchase"/>
    <s v="R.M.P."/>
    <s v="RM 319"/>
    <s v="Purchase Withinstate - Raw Material"/>
    <s v="HPBLV/D/34"/>
    <d v="2026-07-11T00:00:00"/>
    <s v="FG"/>
    <s v="FIBC Bags"/>
    <x v="9"/>
    <s v="FIBC"/>
    <s v="FIBC Bags With UV Without Liner"/>
    <n v="1266.7"/>
    <n v="226080.64000000001"/>
    <s v="FIBC Bags With UV Without Liner"/>
    <n v="0"/>
    <n v="9"/>
    <n v="20347.259999999998"/>
    <n v="9"/>
    <n v="20347.259999999998"/>
    <n v="0"/>
    <n v="0"/>
    <n v="0"/>
    <n v="40694.519999999997"/>
    <n v="0"/>
    <s v="24AABCG1282C2Z6"/>
    <s v="Kgs"/>
    <n v="63053200"/>
    <s v="Rs."/>
    <n v="1"/>
    <n v="1266.7"/>
    <s v="India"/>
  </r>
  <r>
    <d v="2026-07-13T00:00:00"/>
    <s v="K.P. Woven Pvt Ltd-Purchase"/>
    <s v="R.M.P."/>
    <s v="RM 313"/>
    <s v="Purchase Withinstate - Raw Material"/>
    <s v="KPV/D/448"/>
    <d v="2026-07-12T00:00:00"/>
    <s v="SF"/>
    <s v="Yarn All"/>
    <x v="6"/>
    <s v="Yarn"/>
    <s v="PP Fibrillated Tape Twisted 3200 Black"/>
    <n v="460"/>
    <n v="70909"/>
    <s v="PP Fibrillated Tape Twisted 3200 Black"/>
    <n v="470272.18"/>
    <n v="2.5"/>
    <n v="1772.72"/>
    <n v="2.5"/>
    <n v="1772.72"/>
    <n v="0"/>
    <n v="0"/>
    <n v="0"/>
    <n v="3545.44"/>
    <n v="0"/>
    <s v="24AAECK6307M1ZF"/>
    <s v="Kgs"/>
    <n v="5402693"/>
    <s v="Rs."/>
    <n v="1"/>
    <n v="460"/>
    <s v="India"/>
  </r>
  <r>
    <d v="2026-07-13T00:00:00"/>
    <s v="K.P. Woven Pvt Ltd-Purchase"/>
    <s v="R.M.P."/>
    <s v="RM 313"/>
    <s v="Purchase Withinstate - Raw Material"/>
    <s v="KPV/D/448"/>
    <d v="2026-07-12T00:00:00"/>
    <s v="SF"/>
    <s v="Yarn All"/>
    <x v="6"/>
    <s v="Yarn"/>
    <s v="PP Fibrillated Tape Twisted 3200 Blue"/>
    <n v="1100"/>
    <n v="169565"/>
    <s v="PP Fibrillated Tape Twisted 3200 Blue"/>
    <n v="0"/>
    <n v="2.5"/>
    <n v="4239.12"/>
    <n v="2.5"/>
    <n v="4239.12"/>
    <n v="0"/>
    <n v="0"/>
    <n v="0"/>
    <n v="8478.24"/>
    <n v="0"/>
    <s v="24AAECK6307M1ZF"/>
    <s v="Kgs"/>
    <n v="54026930"/>
    <s v="Rs."/>
    <n v="1"/>
    <n v="1100"/>
    <s v="India"/>
  </r>
  <r>
    <d v="2026-07-13T00:00:00"/>
    <s v="K.P. Woven Pvt Ltd-Purchase"/>
    <s v="R.M.P."/>
    <s v="RM 313"/>
    <s v="Purchase Withinstate - Raw Material"/>
    <s v="KPV/D/448"/>
    <d v="2026-07-12T00:00:00"/>
    <s v="SF"/>
    <s v="Yarn All"/>
    <x v="6"/>
    <s v="Yarn"/>
    <s v="PP Fibrillated Tape Twisted 3200 MW"/>
    <n v="1375"/>
    <n v="207831.25"/>
    <s v="PP Fibrillated Tape Twisted 3200 MW"/>
    <n v="0"/>
    <n v="2.5"/>
    <n v="5195.78"/>
    <n v="2.5"/>
    <n v="5195.78"/>
    <n v="0"/>
    <n v="0"/>
    <n v="0"/>
    <n v="10391.56"/>
    <n v="0"/>
    <s v="24AAECK6307M1ZF"/>
    <s v="Kgs"/>
    <n v="54026930"/>
    <s v="Rs."/>
    <n v="1"/>
    <n v="1375"/>
    <s v="India"/>
  </r>
  <r>
    <d v="2026-07-13T00:00:00"/>
    <s v="K.P. Woven Pvt Ltd-Purchase"/>
    <s v="R.M.P."/>
    <s v="RM 314"/>
    <s v="Purchase Withinstate - Raw Material"/>
    <s v="KPV/D/450"/>
    <d v="2026-07-12T00:00:00"/>
    <s v="FG"/>
    <s v="FIBC Bags"/>
    <x v="9"/>
    <s v="FIBC"/>
    <s v="FIBC Bags With UV Without Liner"/>
    <n v="2441.1"/>
    <n v="520076.35"/>
    <s v="FIBC Bags With UV Without Liner"/>
    <n v="849387.54"/>
    <n v="9"/>
    <n v="46806.87"/>
    <n v="9"/>
    <n v="46806.87"/>
    <n v="0"/>
    <n v="0"/>
    <n v="0"/>
    <n v="93613.74"/>
    <n v="0"/>
    <s v="24AAECK6307M1ZF"/>
    <s v="Kgs"/>
    <n v="63053200"/>
    <s v="Rs."/>
    <n v="1"/>
    <n v="2441.1"/>
    <s v="India"/>
  </r>
  <r>
    <d v="2026-07-13T00:00:00"/>
    <s v="K.P. Woven Pvt Ltd-Purchase"/>
    <s v="R.M.P."/>
    <s v="RM 314"/>
    <s v="Purchase Withinstate - Raw Material"/>
    <s v="KPV/D/450"/>
    <d v="2026-07-12T00:00:00"/>
    <s v="FG"/>
    <s v="FIBC Bags"/>
    <x v="9"/>
    <s v="FIBC"/>
    <s v="FIBC Bags With UV Without Liner"/>
    <n v="801"/>
    <n v="200354.13"/>
    <s v="FIBC Bags With UV Without Liner"/>
    <n v="0"/>
    <n v="9"/>
    <n v="18031.87"/>
    <n v="9"/>
    <n v="18031.87"/>
    <n v="0"/>
    <n v="0"/>
    <n v="0"/>
    <n v="36063.74"/>
    <n v="0"/>
    <s v="24AAECK6307M1ZF"/>
    <s v="Kgs"/>
    <n v="63053200"/>
    <s v="Rs."/>
    <n v="1"/>
    <n v="801"/>
    <s v="India"/>
  </r>
  <r>
    <d v="2026-07-13T00:00:00"/>
    <s v="Plastene India ltd - Unit 1-Purchase"/>
    <s v="R.M.P."/>
    <s v="RM 315"/>
    <s v="Purchase Withinstate - Raw Material"/>
    <s v="PIL1/D/1030"/>
    <d v="2026-07-13T00:00:00"/>
    <s v="SF"/>
    <s v="Liners"/>
    <x v="1"/>
    <s v="LDPE/LLDPE Bags"/>
    <s v="LDPE/LLDPE Bags/Liner"/>
    <n v="52"/>
    <n v="9504.56"/>
    <s v="LDPE/LLDPE Bags/Liner"/>
    <n v="11205.88"/>
    <n v="9"/>
    <n v="855.41"/>
    <n v="9"/>
    <n v="855.41"/>
    <n v="0"/>
    <n v="0"/>
    <n v="0"/>
    <n v="1710.82"/>
    <n v="0"/>
    <s v="24AAACO3087C1ZT"/>
    <s v="Kgs"/>
    <n v="39200000"/>
    <s v="Rs."/>
    <n v="1"/>
    <n v="52"/>
    <s v="India"/>
  </r>
  <r>
    <d v="2026-07-13T00:00:00"/>
    <s v="Plastene India ltd - Unit 1-Purchase"/>
    <s v="R.M.P."/>
    <s v="RM 318"/>
    <s v="Purchase Withinstate - Raw Material"/>
    <s v="PIL1/D/1038"/>
    <d v="2026-07-13T00:00:00"/>
    <s v="SF"/>
    <s v="PP/PE Fabric"/>
    <x v="0"/>
    <s v="PP WOVEN FABRIC"/>
    <s v="PP UL Fabric With UV"/>
    <n v="320"/>
    <n v="46236.800000000003"/>
    <s v="PP UL Fabric With UV"/>
    <n v="1030682.9"/>
    <n v="9"/>
    <n v="4161.3100000000004"/>
    <n v="9"/>
    <n v="4161.3100000000004"/>
    <n v="0"/>
    <n v="0"/>
    <n v="0"/>
    <n v="8322.6200000000008"/>
    <n v="0"/>
    <s v="24AAACO3087C1ZT"/>
    <s v="Kgs"/>
    <n v="39269080"/>
    <s v="Rs."/>
    <n v="1"/>
    <n v="320"/>
    <s v="India"/>
  </r>
  <r>
    <d v="2026-07-13T00:00:00"/>
    <s v="Plastene India ltd - Unit 1-Purchase"/>
    <s v="R.M.P."/>
    <s v="RM 318"/>
    <s v="Purchase Withinstate - Raw Material"/>
    <s v="PIL1/D/1038"/>
    <d v="2026-07-13T00:00:00"/>
    <s v="SF"/>
    <s v="PP/PE Fabric"/>
    <x v="0"/>
    <s v="PP WOVEN FABRIC"/>
    <s v="PP UL Fabric With UV"/>
    <n v="277"/>
    <n v="40577.730000000003"/>
    <s v="PP UL Fabric With UV"/>
    <n v="0"/>
    <n v="9"/>
    <n v="3652"/>
    <n v="9"/>
    <n v="3652"/>
    <n v="0"/>
    <n v="0"/>
    <n v="0"/>
    <n v="7304"/>
    <n v="0"/>
    <s v="24AAACO3087C1ZT"/>
    <s v="Kgs"/>
    <n v="39269080"/>
    <s v="Rs."/>
    <n v="1"/>
    <n v="277"/>
    <s v="India"/>
  </r>
  <r>
    <d v="2026-07-13T00:00:00"/>
    <s v="Plastene India ltd - Unit 1-Purchase"/>
    <s v="R.M.P."/>
    <s v="RM 318"/>
    <s v="Purchase Withinstate - Raw Material"/>
    <s v="PIL1/D/1038"/>
    <d v="2026-07-13T00:00:00"/>
    <s v="SF"/>
    <s v="PP/PE Fabric"/>
    <x v="0"/>
    <s v="PP WOVEN FABRIC"/>
    <s v="PP UL Fabric With UV"/>
    <n v="736"/>
    <n v="112232.64"/>
    <s v="PP UL Fabric With UV"/>
    <n v="0"/>
    <n v="9"/>
    <n v="10100.94"/>
    <n v="9"/>
    <n v="10100.94"/>
    <n v="0"/>
    <n v="0"/>
    <n v="0"/>
    <n v="20201.88"/>
    <n v="0"/>
    <s v="24AAACO3087C1ZT"/>
    <s v="Kgs"/>
    <n v="39269080"/>
    <s v="Rs."/>
    <n v="1"/>
    <n v="736"/>
    <s v="India"/>
  </r>
  <r>
    <d v="2026-07-13T00:00:00"/>
    <s v="Plastene India ltd - Unit 1-Purchase"/>
    <s v="R.M.P."/>
    <s v="RM 318"/>
    <s v="Purchase Withinstate - Raw Material"/>
    <s v="PIL1/D/1038"/>
    <d v="2026-07-13T00:00:00"/>
    <s v="SF"/>
    <s v="PP/PE Fabric"/>
    <x v="2"/>
    <s v="PP Laminated Fabric"/>
    <s v="PP Lam Fabric With UV"/>
    <n v="3850"/>
    <n v="583236.5"/>
    <s v="PP Lam Fabric With UV"/>
    <n v="0"/>
    <n v="9"/>
    <n v="52491.28"/>
    <n v="9"/>
    <n v="52491.28"/>
    <n v="0"/>
    <n v="0"/>
    <n v="0"/>
    <n v="104982.56"/>
    <n v="0"/>
    <s v="24AAACO3087C1ZT"/>
    <s v="Kgs"/>
    <n v="63053300"/>
    <s v="Rs."/>
    <n v="1"/>
    <n v="3850"/>
    <s v="India"/>
  </r>
  <r>
    <d v="2026-07-13T00:00:00"/>
    <s v="Plastene India ltd - Unit 1-Purchase"/>
    <s v="R.M.P."/>
    <s v="RM 318"/>
    <s v="Purchase Withinstate - Raw Material"/>
    <s v="PIL1/D/1038"/>
    <d v="2026-07-13T00:00:00"/>
    <s v="SF"/>
    <s v="Webbing"/>
    <x v="3"/>
    <s v="PP Webbing"/>
    <s v="Webbing"/>
    <n v="476.8"/>
    <n v="71276.83"/>
    <s v="Webbing"/>
    <n v="0"/>
    <n v="9"/>
    <n v="6414.91"/>
    <n v="9"/>
    <n v="6414.91"/>
    <n v="0"/>
    <n v="0"/>
    <n v="0"/>
    <n v="12829.82"/>
    <n v="0"/>
    <s v="24AAACO3087C1ZT"/>
    <s v="Kgs"/>
    <n v="3926908"/>
    <s v="Rs."/>
    <n v="1"/>
    <n v="476.8"/>
    <s v="India"/>
  </r>
  <r>
    <d v="2026-07-13T00:00:00"/>
    <s v="Plastene India ltd - Unit 1-Purchase"/>
    <s v="R.M.P."/>
    <s v="RM 318"/>
    <s v="Purchase Withinstate - Raw Material"/>
    <s v="PIL1/D/1038"/>
    <d v="2026-07-13T00:00:00"/>
    <s v="SF"/>
    <s v="Webbing"/>
    <x v="3"/>
    <s v="PP Webbing"/>
    <s v="Webbing"/>
    <n v="140.9"/>
    <n v="20640.439999999999"/>
    <s v="Webbing"/>
    <n v="0"/>
    <n v="9"/>
    <n v="1857.64"/>
    <n v="9"/>
    <n v="1857.64"/>
    <n v="0"/>
    <n v="0"/>
    <n v="0"/>
    <n v="3715.28"/>
    <n v="0"/>
    <s v="24AAACO3087C1ZT"/>
    <s v="Kgs"/>
    <n v="3926908"/>
    <s v="Rs."/>
    <n v="1"/>
    <n v="140.9"/>
    <s v="India"/>
  </r>
  <r>
    <d v="2026-07-13T00:00:00"/>
    <s v="Plastene India ltd - Unit 2-Purchase"/>
    <s v="R.M.P."/>
    <s v="RM 316"/>
    <s v="Purchase Withinstate - Raw Material"/>
    <s v="PIL2/D/367"/>
    <d v="2026-07-12T00:00:00"/>
    <s v="SF"/>
    <s v="PP/PE Fabric"/>
    <x v="0"/>
    <s v="PP WOVEN FABRIC"/>
    <s v="PP UL Fabric With UV"/>
    <n v="1640"/>
    <n v="200080"/>
    <s v="PP UL Fabric With UV"/>
    <n v="235894.32"/>
    <n v="9"/>
    <n v="18007.2"/>
    <n v="9"/>
    <n v="18007.2"/>
    <n v="0"/>
    <n v="0"/>
    <n v="0"/>
    <n v="36014.400000000001"/>
    <n v="0"/>
    <s v="24AAACO3087C1ZT"/>
    <s v="Kgs"/>
    <n v="39269080"/>
    <s v="Rs."/>
    <n v="1"/>
    <n v="1640"/>
    <s v="India"/>
  </r>
  <r>
    <d v="2026-07-14T00:00:00"/>
    <s v="Isotech Tie Up Pvt Ltd"/>
    <s v="RMP - High Seas"/>
    <s v="RMIMP 3"/>
    <s v="Purchase Trading - High Seas"/>
    <s v="9005602387 (27.03.2026)"/>
    <d v="2026-04-08T00:00:00"/>
    <s v="RM"/>
    <s v="Granules"/>
    <x v="14"/>
    <s v="PP Granules"/>
    <s v="PP Granules Others"/>
    <n v="102000"/>
    <n v="9639000"/>
    <s v="PP Granules Others"/>
    <n v="9629361"/>
    <n v="0"/>
    <n v="0"/>
    <n v="0"/>
    <n v="0"/>
    <n v="0"/>
    <n v="0"/>
    <n v="0"/>
    <n v="0"/>
    <n v="0"/>
    <s v="29AAACI5914N1Z6"/>
    <s v="Kgs"/>
    <n v="39021000"/>
    <s v="Rs."/>
    <n v="1"/>
    <n v="102000"/>
    <s v="India"/>
  </r>
  <r>
    <d v="2026-07-14T00:00:00"/>
    <s v="Isotech Tie Up Pvt Ltd"/>
    <s v="RMP - High Seas"/>
    <s v="RMIMP 4"/>
    <s v="Purchase Trading - High Seas"/>
    <s v="9005604815 (27.03.2026)"/>
    <d v="2026-04-08T00:00:00"/>
    <s v="RM"/>
    <s v="Granules"/>
    <x v="15"/>
    <s v="LDPE Granuels"/>
    <s v="LLDPE Exxon 6202 Vistamaxx"/>
    <n v="51000"/>
    <n v="8976000"/>
    <s v="LLDPE Exxon 6202 Vistamaxx"/>
    <n v="8967024"/>
    <n v="0"/>
    <n v="0"/>
    <n v="0"/>
    <n v="0"/>
    <n v="0"/>
    <n v="0"/>
    <n v="0"/>
    <n v="0"/>
    <n v="0"/>
    <s v="29AAACI5914N1Z6"/>
    <s v="Kgs"/>
    <n v="39023000"/>
    <s v="Rs."/>
    <n v="1"/>
    <n v="51000"/>
    <s v="India"/>
  </r>
  <r>
    <d v="2026-07-14T00:00:00"/>
    <s v="K.P. Woven Pvt Ltd-Purchase"/>
    <s v="R.M.P."/>
    <s v="RM 320"/>
    <s v="Purchase Withinstate - Raw Material"/>
    <s v="KPV/D/455"/>
    <d v="2026-07-13T00:00:00"/>
    <s v="FG"/>
    <s v="FIBC Bags"/>
    <x v="9"/>
    <s v="FIBC"/>
    <s v="FIBC Bags With UV Without Liner"/>
    <n v="6672"/>
    <n v="2004468.96"/>
    <s v="FIBC Bags With UV Without Liner"/>
    <n v="2363268.91"/>
    <n v="9"/>
    <n v="180402.21"/>
    <n v="9"/>
    <n v="180402.21"/>
    <n v="0"/>
    <n v="0"/>
    <n v="0"/>
    <n v="360804.42"/>
    <n v="0"/>
    <s v="24AAECK6307M1ZF"/>
    <s v="Kgs"/>
    <n v="63053200"/>
    <s v="Rs."/>
    <n v="1"/>
    <n v="6672"/>
    <s v="India"/>
  </r>
  <r>
    <d v="2026-07-14T00:00:00"/>
    <s v="Plastene India ltd - Unit 1-Purchase"/>
    <s v="R.M.P."/>
    <s v="RM 321"/>
    <s v="Purchase Withinstate - Raw Material"/>
    <s v="PIL1/D/1049"/>
    <d v="2026-07-14T00:00:00"/>
    <s v="SF"/>
    <s v="PP/PE Fabric"/>
    <x v="0"/>
    <s v="PP WOVEN FABRIC"/>
    <s v="PP UL Fabric With UV"/>
    <n v="1099"/>
    <n v="158794.51"/>
    <s v="PP UL Fabric With UV"/>
    <n v="187218.74"/>
    <n v="9"/>
    <n v="14291.51"/>
    <n v="9"/>
    <n v="14291.51"/>
    <n v="0"/>
    <n v="0"/>
    <n v="0"/>
    <n v="28583.02"/>
    <n v="0"/>
    <s v="24AAACO3087C1ZT"/>
    <s v="Kgs"/>
    <n v="39269080"/>
    <s v="Rs."/>
    <n v="1"/>
    <n v="1099"/>
    <s v="India"/>
  </r>
  <r>
    <d v="2026-07-14T00:00:00"/>
    <s v="Plastene India ltd - Unit 1-Purchase"/>
    <s v="R.M.P."/>
    <s v="RM 322"/>
    <s v="Purchase Withinstate - Raw Material"/>
    <s v="PIL1/D/1056"/>
    <d v="2026-07-14T00:00:00"/>
    <s v="RM"/>
    <s v="Granules"/>
    <x v="16"/>
    <s v="LDPE Granuels"/>
    <s v="LDPE LOTTE LF512"/>
    <n v="2000"/>
    <n v="290000"/>
    <s v="LDPE LOTTE LF512"/>
    <n v="341910"/>
    <n v="9"/>
    <n v="26100"/>
    <n v="9"/>
    <n v="26100"/>
    <n v="0"/>
    <n v="0"/>
    <n v="0"/>
    <n v="52200"/>
    <n v="0"/>
    <s v="24AAACO3087C1ZT"/>
    <s v="Kgs"/>
    <n v="390110"/>
    <s v="Rs."/>
    <n v="1"/>
    <n v="2000"/>
    <s v="India"/>
  </r>
  <r>
    <d v="2026-07-15T00:00:00"/>
    <s v="HCP Plastene Bulkpack Limited - Purchase"/>
    <s v="R.M.P."/>
    <s v="RM 324"/>
    <s v="Purchase Withinstate - Raw Material"/>
    <s v="HPBL/D/382"/>
    <d v="2026-07-14T00:00:00"/>
    <s v="RM"/>
    <s v="Granules"/>
    <x v="17"/>
    <s v="FILLER CACO3"/>
    <s v="Filler Soltex PTUFF23"/>
    <n v="4000"/>
    <n v="152000"/>
    <s v="Filler Soltex PTUFF23"/>
    <n v="619982.57999999996"/>
    <n v="9"/>
    <n v="13680"/>
    <n v="9"/>
    <n v="13680"/>
    <n v="0"/>
    <n v="0"/>
    <n v="0"/>
    <n v="27360"/>
    <n v="0"/>
    <s v="24AABCG1282C2Z6"/>
    <s v="Kgs"/>
    <n v="32041990"/>
    <s v="Rs."/>
    <n v="1"/>
    <n v="4000"/>
    <s v="India"/>
  </r>
  <r>
    <d v="2026-07-15T00:00:00"/>
    <s v="HCP Plastene Bulkpack Limited - Purchase"/>
    <s v="R.M.P."/>
    <s v="RM 324"/>
    <s v="Purchase Withinstate - Raw Material"/>
    <s v="HPBL/D/382"/>
    <d v="2026-07-14T00:00:00"/>
    <s v="SF"/>
    <s v="PP/PE Fabric"/>
    <x v="0"/>
    <s v="PP WOVEN FABRIC"/>
    <s v="PP UL Fabric With UV"/>
    <n v="2389"/>
    <n v="373854.61"/>
    <s v="PP UL Fabric With UV"/>
    <n v="0"/>
    <n v="9"/>
    <n v="33646.910000000003"/>
    <n v="9"/>
    <n v="33646.910000000003"/>
    <n v="0"/>
    <n v="0"/>
    <n v="0"/>
    <n v="67293.820000000007"/>
    <n v="0"/>
    <s v="24AABCG1282C2Z6"/>
    <s v="Kgs"/>
    <n v="39269080"/>
    <s v="Rs."/>
    <n v="1"/>
    <n v="2389"/>
    <s v="India"/>
  </r>
  <r>
    <d v="2026-07-15T00:00:00"/>
    <s v="K.P. Woven Pvt Ltd-Purchase"/>
    <s v="R.M.P."/>
    <s v="RM 326"/>
    <s v="Purchase Withinstate - Raw Material"/>
    <s v="KPV/D/461"/>
    <d v="2026-07-14T00:00:00"/>
    <s v="SF"/>
    <s v="Yarn All"/>
    <x v="6"/>
    <s v="FILLER CORD"/>
    <s v="Filler Cord"/>
    <n v="1190"/>
    <n v="198313.5"/>
    <s v="Filler Cord"/>
    <n v="208030.87"/>
    <n v="2.5"/>
    <n v="4957.84"/>
    <n v="2.5"/>
    <n v="4957.84"/>
    <n v="0"/>
    <n v="0"/>
    <n v="0"/>
    <n v="9915.68"/>
    <n v="0"/>
    <s v="24AAECK6307M1ZF"/>
    <s v="Kgs"/>
    <n v="540263"/>
    <s v="Rs."/>
    <n v="1"/>
    <n v="1190"/>
    <s v="India"/>
  </r>
  <r>
    <d v="2026-07-15T00:00:00"/>
    <s v="Parth Poly Coat Yarn Pvt Ltd"/>
    <s v="R.M.P."/>
    <s v="RM 325"/>
    <s v="Purchase Withinstate - Raw Material"/>
    <s v="PPCYPL/2627/102"/>
    <d v="2026-07-14T00:00:00"/>
    <s v="SF"/>
    <s v="Yarn All"/>
    <x v="6"/>
    <s v="FILLER CORD"/>
    <s v="Filler Cord"/>
    <n v="5028.7"/>
    <n v="890079.9"/>
    <s v="Filler Cord"/>
    <n v="934583.9"/>
    <n v="2.5"/>
    <n v="22252"/>
    <n v="2.5"/>
    <n v="22252"/>
    <n v="0"/>
    <n v="0"/>
    <n v="0"/>
    <n v="44504"/>
    <n v="0"/>
    <s v="24AAGCP6363E1ZH"/>
    <s v="Kgs"/>
    <n v="540263"/>
    <s v="Rs."/>
    <n v="1"/>
    <n v="5028.7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Yarn All"/>
    <x v="6"/>
    <s v="Yarn"/>
    <s v="PP MF Yarn Twisted 3000 Denier UV NW"/>
    <n v="224"/>
    <n v="35725.760000000002"/>
    <s v="PP MF Yarn Twisted 3000 Denier UV NW"/>
    <n v="1117005.21"/>
    <n v="2.5"/>
    <n v="893.14"/>
    <n v="2.5"/>
    <n v="893.14"/>
    <n v="0"/>
    <n v="0"/>
    <n v="0"/>
    <n v="1786.28"/>
    <n v="0"/>
    <s v="24AAACO3087C1ZT"/>
    <s v="Kgs"/>
    <n v="540263"/>
    <s v="Rs."/>
    <n v="1"/>
    <n v="224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Films All (SF)"/>
    <x v="11"/>
    <s v="LLDPE FILM"/>
    <s v="LDPE/LLDPE Film"/>
    <n v="673.9"/>
    <n v="116436.442"/>
    <s v="LDPE/LLDPE Film"/>
    <n v="0"/>
    <n v="9"/>
    <n v="10479.280000000001"/>
    <n v="9"/>
    <n v="10479.280000000001"/>
    <n v="0"/>
    <n v="0"/>
    <n v="0"/>
    <n v="20958.560000000001"/>
    <n v="0"/>
    <s v="24AAACO3087C1ZT"/>
    <s v="Kgs"/>
    <n v="3920101"/>
    <s v="Rs."/>
    <n v="1"/>
    <n v="673.9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Yarn All"/>
    <x v="6"/>
    <s v="FILLER CORD"/>
    <s v="Filler Cord"/>
    <n v="32"/>
    <n v="5055.68"/>
    <s v="Filler Cord"/>
    <n v="0"/>
    <n v="2.5"/>
    <n v="126.39"/>
    <n v="2.5"/>
    <n v="126.39"/>
    <n v="0"/>
    <n v="0"/>
    <n v="0"/>
    <n v="252.78"/>
    <n v="0"/>
    <s v="24AAACO3087C1ZT"/>
    <s v="Kgs"/>
    <n v="540263"/>
    <s v="Rs."/>
    <n v="1"/>
    <n v="32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PP/PE Fabric"/>
    <x v="0"/>
    <s v="PP WOVEN FABRIC"/>
    <s v="PP UL Fabric With UV"/>
    <n v="549"/>
    <n v="79325.009999999995"/>
    <s v="PP UL Fabric With UV"/>
    <n v="0"/>
    <n v="9"/>
    <n v="7139.25"/>
    <n v="9"/>
    <n v="7139.25"/>
    <n v="0"/>
    <n v="0"/>
    <n v="0"/>
    <n v="14278.5"/>
    <n v="0"/>
    <s v="24AAACO3087C1ZT"/>
    <s v="Kgs"/>
    <n v="39269080"/>
    <s v="Rs."/>
    <n v="1"/>
    <n v="549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PP/PE Fabric"/>
    <x v="0"/>
    <s v="PP WOVEN FABRIC"/>
    <s v="PP UL Fabric With UV"/>
    <n v="1281"/>
    <n v="191496.69"/>
    <s v="PP UL Fabric With UV"/>
    <n v="0"/>
    <n v="9"/>
    <n v="17234.7"/>
    <n v="9"/>
    <n v="17234.7"/>
    <n v="0"/>
    <n v="0"/>
    <n v="0"/>
    <n v="34469.4"/>
    <n v="0"/>
    <s v="24AAACO3087C1ZT"/>
    <s v="Kgs"/>
    <n v="39269080"/>
    <s v="Rs."/>
    <n v="1"/>
    <n v="1281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PP/PE Fabric"/>
    <x v="2"/>
    <s v="PP Laminated Fabric"/>
    <s v="PP Lam Fabric With UV"/>
    <n v="712"/>
    <n v="107860.88"/>
    <s v="PP Lam Fabric With UV"/>
    <n v="0"/>
    <n v="9"/>
    <n v="9707.48"/>
    <n v="9"/>
    <n v="9707.48"/>
    <n v="0"/>
    <n v="0"/>
    <n v="0"/>
    <n v="19414.96"/>
    <n v="0"/>
    <s v="24AAACO3087C1ZT"/>
    <s v="Kgs"/>
    <n v="63053300"/>
    <s v="Rs."/>
    <n v="1"/>
    <n v="712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Webbing"/>
    <x v="3"/>
    <s v="PP Webbing"/>
    <s v="Webbing"/>
    <n v="1290.4000000000001"/>
    <n v="192901.89600000001"/>
    <s v="Webbing"/>
    <n v="0"/>
    <n v="9"/>
    <n v="17361.169999999998"/>
    <n v="9"/>
    <n v="17361.169999999998"/>
    <n v="0"/>
    <n v="0"/>
    <n v="0"/>
    <n v="34722.339999999997"/>
    <n v="0"/>
    <s v="24AAACO3087C1ZT"/>
    <s v="Kgs"/>
    <n v="3926908"/>
    <s v="Rs."/>
    <n v="1"/>
    <n v="1290.4000000000001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Webbing"/>
    <x v="3"/>
    <s v="PP Webbing"/>
    <s v="Webbing"/>
    <n v="144.6"/>
    <n v="21182.454000000002"/>
    <s v="Webbing"/>
    <n v="0"/>
    <n v="9"/>
    <n v="1906.42"/>
    <n v="9"/>
    <n v="1906.42"/>
    <n v="0"/>
    <n v="0"/>
    <n v="0"/>
    <n v="3812.84"/>
    <n v="0"/>
    <s v="24AAACO3087C1ZT"/>
    <s v="Kgs"/>
    <n v="3926908"/>
    <s v="Rs."/>
    <n v="1"/>
    <n v="144.6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Liners"/>
    <x v="1"/>
    <s v="LDPE/LLDPE Bags"/>
    <s v="LDPE/LLDPE Bags/Liner"/>
    <n v="571.70000000000005"/>
    <n v="118216.126"/>
    <s v="LDPE/LLDPE Bags/Liner"/>
    <n v="0"/>
    <n v="9"/>
    <n v="10639.45"/>
    <n v="9"/>
    <n v="10639.45"/>
    <n v="0"/>
    <n v="0"/>
    <n v="0"/>
    <n v="21278.9"/>
    <n v="0"/>
    <s v="24AAACO3087C1ZT"/>
    <s v="Kgs"/>
    <n v="39200000"/>
    <s v="Rs."/>
    <n v="1"/>
    <n v="571.70000000000005"/>
    <s v="India"/>
  </r>
  <r>
    <d v="2026-07-15T00:00:00"/>
    <s v="Plastene India ltd - Unit 1-Purchase"/>
    <s v="R.M.P."/>
    <s v="RM 327"/>
    <s v="Purchase Withinstate - Raw Material"/>
    <s v="PIL1/D/1058"/>
    <d v="2026-07-15T00:00:00"/>
    <s v="SF"/>
    <s v="Liners"/>
    <x v="1"/>
    <s v="LDPE/LLDPE Bags"/>
    <s v="LDPE/LLDPE Bags/Liner"/>
    <n v="458"/>
    <n v="83713.240000000005"/>
    <s v="LDPE/LLDPE Bags/Liner"/>
    <n v="0"/>
    <n v="9"/>
    <n v="7534.19"/>
    <n v="9"/>
    <n v="7534.19"/>
    <n v="0"/>
    <n v="0"/>
    <n v="0"/>
    <n v="15068.38"/>
    <n v="0"/>
    <s v="24AAACO3087C1ZT"/>
    <s v="Kgs"/>
    <n v="39200000"/>
    <s v="Rs."/>
    <n v="1"/>
    <n v="458"/>
    <s v="India"/>
  </r>
  <r>
    <d v="2026-07-15T00:00:00"/>
    <s v="Plastene India ltd - Unit 2-Purchase"/>
    <s v="R.M.P."/>
    <s v="RM 323"/>
    <s v="Purchase Withinstate - Raw Material"/>
    <s v="PIL2/D/378"/>
    <d v="2026-07-15T00:00:00"/>
    <s v="FG"/>
    <s v="FIBC Bags"/>
    <x v="9"/>
    <s v="FIBC"/>
    <s v="FIBC Bags With UV Without Liner"/>
    <n v="5437"/>
    <n v="1264319.98"/>
    <s v="FIBC Bags With UV Without Liner"/>
    <n v="1490633.26"/>
    <n v="9"/>
    <n v="113788.8"/>
    <n v="9"/>
    <n v="113788.8"/>
    <n v="0"/>
    <n v="0"/>
    <n v="0"/>
    <n v="227577.60000000001"/>
    <n v="0"/>
    <s v="24AAACO3087C1ZT"/>
    <s v="Kgs"/>
    <n v="63053200"/>
    <s v="Rs."/>
    <n v="1"/>
    <n v="5437"/>
    <s v="India"/>
  </r>
  <r>
    <d v="2026-07-16T00:00:00"/>
    <s v="HCP Plastene Bulkpack Limited - Purchase"/>
    <s v="R.M.P."/>
    <s v="RM 329"/>
    <s v="Purchase Withinstate - Raw Material"/>
    <s v="HPBL/D/387"/>
    <d v="2026-07-15T00:00:00"/>
    <s v="SF"/>
    <s v="PP/PE Fabric"/>
    <x v="0"/>
    <s v="PP WOVEN FABRIC"/>
    <s v="PP UL Fabric With UV"/>
    <n v="1444"/>
    <n v="225971.56"/>
    <s v="PP UL Fabric With UV"/>
    <n v="319071.31"/>
    <n v="9"/>
    <n v="20337.439999999999"/>
    <n v="9"/>
    <n v="20337.439999999999"/>
    <n v="0"/>
    <n v="0"/>
    <n v="0"/>
    <n v="40674.879999999997"/>
    <n v="0"/>
    <s v="24AABCG1282C2Z6"/>
    <s v="Kgs"/>
    <n v="39269080"/>
    <s v="Rs."/>
    <n v="1"/>
    <n v="1444"/>
    <s v="India"/>
  </r>
  <r>
    <d v="2026-07-16T00:00:00"/>
    <s v="HCP Plastene Bulkpack Limited - Purchase"/>
    <s v="R.M.P."/>
    <s v="RM 329"/>
    <s v="Purchase Withinstate - Raw Material"/>
    <s v="HPBL/D/387"/>
    <d v="2026-07-15T00:00:00"/>
    <s v="SF"/>
    <s v="PP/PE Fabric"/>
    <x v="0"/>
    <s v="PP WOVEN FABRIC"/>
    <s v="PP UL Fabric With UV"/>
    <n v="280"/>
    <n v="44657.2"/>
    <s v="PP UL Fabric With UV"/>
    <n v="0"/>
    <n v="9"/>
    <n v="4019.15"/>
    <n v="9"/>
    <n v="4019.15"/>
    <n v="0"/>
    <n v="0"/>
    <n v="0"/>
    <n v="8038.3"/>
    <n v="0"/>
    <s v="24AABCG1282C2Z6"/>
    <s v="Kgs"/>
    <n v="39269080"/>
    <s v="Rs."/>
    <n v="1"/>
    <n v="280"/>
    <s v="India"/>
  </r>
  <r>
    <d v="2026-07-16T00:00:00"/>
    <s v="Plastene India ltd - Unit 1-Purchase"/>
    <s v="R.M.P."/>
    <s v="RM 330"/>
    <s v="Purchase Withinstate - Raw Material"/>
    <s v="PIL1/D/1074"/>
    <d v="2026-07-16T00:00:00"/>
    <s v="SF"/>
    <s v="Liners"/>
    <x v="1"/>
    <s v="LDPE/LLDPE Bags"/>
    <s v="LDPE/LLDPE Bags/Liner"/>
    <n v="939.1"/>
    <n v="194187.098"/>
    <s v="LDPE/LLDPE Bags/Liner"/>
    <n v="836957.43"/>
    <n v="9"/>
    <n v="17476.84"/>
    <n v="9"/>
    <n v="17476.84"/>
    <n v="0"/>
    <n v="0"/>
    <n v="0"/>
    <n v="34953.68"/>
    <n v="0"/>
    <s v="24AAACO3087C1ZT"/>
    <s v="Kgs"/>
    <n v="39200000"/>
    <s v="Rs."/>
    <n v="1"/>
    <n v="939.1"/>
    <s v="India"/>
  </r>
  <r>
    <d v="2026-07-16T00:00:00"/>
    <s v="Plastene India ltd - Unit 1-Purchase"/>
    <s v="R.M.P."/>
    <s v="RM 330"/>
    <s v="Purchase Withinstate - Raw Material"/>
    <s v="PIL1/D/1074"/>
    <d v="2026-07-16T00:00:00"/>
    <s v="SF"/>
    <s v="Liners"/>
    <x v="1"/>
    <s v="LDPE/LLDPE Bags"/>
    <s v="LDPE/LLDPE Bags/Liner"/>
    <n v="811"/>
    <n v="164454.57999999999"/>
    <s v="LDPE/LLDPE Bags/Liner"/>
    <n v="0"/>
    <n v="9"/>
    <n v="14800.91"/>
    <n v="9"/>
    <n v="14800.91"/>
    <n v="0"/>
    <n v="0"/>
    <n v="0"/>
    <n v="29601.82"/>
    <n v="0"/>
    <s v="24AAACO3087C1ZT"/>
    <s v="Kgs"/>
    <n v="39200000"/>
    <s v="Rs."/>
    <n v="1"/>
    <n v="811"/>
    <s v="India"/>
  </r>
  <r>
    <d v="2026-07-16T00:00:00"/>
    <s v="Plastene India ltd - Unit 1-Purchase"/>
    <s v="R.M.P."/>
    <s v="RM 330"/>
    <s v="Purchase Withinstate - Raw Material"/>
    <s v="PIL1/D/1074"/>
    <d v="2026-07-16T00:00:00"/>
    <s v="SF"/>
    <s v="Yarn All"/>
    <x v="6"/>
    <s v="Yarn"/>
    <s v="PP MF Yarn Twisted 1000 UV NW"/>
    <n v="465.4"/>
    <n v="72830.445999999996"/>
    <s v="PP MF Yarn Twisted 1000 UV NW"/>
    <n v="0"/>
    <n v="2.5"/>
    <n v="1820.76"/>
    <n v="2.5"/>
    <n v="1820.76"/>
    <n v="0"/>
    <n v="0"/>
    <n v="0"/>
    <n v="3641.52"/>
    <n v="0"/>
    <s v="24AAACO3087C1ZT"/>
    <s v="Kgs"/>
    <n v="54026930"/>
    <s v="Rs."/>
    <n v="1"/>
    <n v="465.4"/>
    <s v="India"/>
  </r>
  <r>
    <d v="2026-07-16T00:00:00"/>
    <s v="Plastene India ltd - Unit 1-Purchase"/>
    <s v="R.M.P."/>
    <s v="RM 330"/>
    <s v="Purchase Withinstate - Raw Material"/>
    <s v="PIL1/D/1074"/>
    <d v="2026-07-16T00:00:00"/>
    <s v="SF"/>
    <s v="Yarn All"/>
    <x v="6"/>
    <s v="Yarn"/>
    <s v="PP MF Yarn Twisted 2500 Denier UV NW"/>
    <n v="826"/>
    <n v="129260.74"/>
    <s v="PP MF Yarn Twisted 2500 Denier UV NW"/>
    <n v="0"/>
    <n v="2.5"/>
    <n v="3231.52"/>
    <n v="2.5"/>
    <n v="3231.52"/>
    <n v="0"/>
    <n v="0"/>
    <n v="0"/>
    <n v="6463.04"/>
    <n v="0"/>
    <s v="24AAACO3087C1ZT"/>
    <s v="Kgs"/>
    <n v="54026300"/>
    <s v="Rs."/>
    <n v="1"/>
    <n v="826"/>
    <s v="India"/>
  </r>
  <r>
    <d v="2026-07-16T00:00:00"/>
    <s v="Plastene India ltd - Unit 1-Purchase"/>
    <s v="R.M.P."/>
    <s v="RM 330"/>
    <s v="Purchase Withinstate - Raw Material"/>
    <s v="PIL1/D/1074"/>
    <d v="2026-07-16T00:00:00"/>
    <s v="SF"/>
    <s v="Yarn All"/>
    <x v="6"/>
    <s v="Yarn"/>
    <s v="PP MF Yarn Twisted 3000 Denier UV Deep Blue"/>
    <n v="423.8"/>
    <n v="67591.861999999994"/>
    <s v="PP MF Yarn Twisted 3000 Denier UV Deep Blue"/>
    <n v="0"/>
    <n v="2.5"/>
    <n v="1689.8"/>
    <n v="2.5"/>
    <n v="1689.8"/>
    <n v="0"/>
    <n v="0"/>
    <n v="0"/>
    <n v="3379.6"/>
    <n v="0"/>
    <s v="24AAACO3087C1ZT"/>
    <s v="Kgs"/>
    <n v="54026930"/>
    <s v="Rs."/>
    <n v="1"/>
    <n v="423.8"/>
    <s v="India"/>
  </r>
  <r>
    <d v="2026-07-16T00:00:00"/>
    <s v="Plastene India ltd - Unit 1-Purchase"/>
    <s v="R.M.P."/>
    <s v="RM 330"/>
    <s v="Purchase Withinstate - Raw Material"/>
    <s v="PIL1/D/1074"/>
    <d v="2026-07-16T00:00:00"/>
    <s v="SF"/>
    <s v="Webbing"/>
    <x v="3"/>
    <s v="PP Webbing"/>
    <s v="Webbing"/>
    <n v="511.3"/>
    <n v="76434.236999999994"/>
    <s v="Webbing"/>
    <n v="0"/>
    <n v="9"/>
    <n v="6879.08"/>
    <n v="9"/>
    <n v="6879.08"/>
    <n v="0"/>
    <n v="0"/>
    <n v="0"/>
    <n v="13758.16"/>
    <n v="0"/>
    <s v="24AAACO3087C1ZT"/>
    <s v="Kgs"/>
    <n v="3926908"/>
    <s v="Rs."/>
    <n v="1"/>
    <n v="511.3"/>
    <s v="India"/>
  </r>
  <r>
    <d v="2026-07-16T00:00:00"/>
    <s v="Plastene India ltd - Unit 1-Purchase"/>
    <s v="R.M.P."/>
    <s v="RM 330"/>
    <s v="Purchase Withinstate - Raw Material"/>
    <s v="PIL1/D/1074"/>
    <d v="2026-07-16T00:00:00"/>
    <s v="SF"/>
    <s v="Webbing"/>
    <x v="3"/>
    <s v="PP Webbing"/>
    <s v="Webbing"/>
    <n v="238"/>
    <n v="34864.620000000003"/>
    <s v="Webbing"/>
    <n v="0"/>
    <n v="9"/>
    <n v="3137.82"/>
    <n v="9"/>
    <n v="3137.82"/>
    <n v="0"/>
    <n v="0"/>
    <n v="0"/>
    <n v="6275.64"/>
    <n v="0"/>
    <s v="24AAACO3087C1ZT"/>
    <s v="Kgs"/>
    <n v="3926908"/>
    <s v="Rs."/>
    <n v="1"/>
    <n v="238"/>
    <s v="India"/>
  </r>
  <r>
    <d v="2026-07-16T00:00:00"/>
    <s v="Plastene India ltd - Unit 2-Purchase"/>
    <s v="R.M.P."/>
    <s v="RM 328"/>
    <s v="Purchase Withinstate - Raw Material"/>
    <s v="PIL2/D/379"/>
    <d v="2026-07-15T00:00:00"/>
    <s v="RM"/>
    <s v="Granules"/>
    <x v="10"/>
    <s v="Master Batch"/>
    <s v="UV PIL NFG 20LD"/>
    <n v="2500"/>
    <n v="450000"/>
    <s v="UV PIL NFG 20LD"/>
    <n v="530550"/>
    <n v="9"/>
    <n v="40500"/>
    <n v="9"/>
    <n v="40500"/>
    <n v="0"/>
    <n v="0"/>
    <n v="0"/>
    <n v="81000"/>
    <n v="0"/>
    <s v="24AAACO3087C1ZT"/>
    <s v="Kgs"/>
    <n v="38123990"/>
    <s v="Rs."/>
    <n v="1"/>
    <n v="2500"/>
    <s v="India"/>
  </r>
  <r>
    <d v="2026-07-17T00:00:00"/>
    <s v="HCP Enterprise Ltd-Purchase"/>
    <s v="R.M.P."/>
    <s v="RM 335"/>
    <s v="Purchase Withinstate - Raw Material"/>
    <s v="HCP/D/60"/>
    <d v="2026-07-17T00:00:00"/>
    <s v="RM"/>
    <s v="Granules"/>
    <x v="5"/>
    <s v="PP Granules"/>
    <s v="PP NSRP NSY114G"/>
    <n v="54000"/>
    <n v="6696000"/>
    <s v="PP NSRP NSY114G"/>
    <n v="7894584"/>
    <n v="9"/>
    <n v="602640"/>
    <n v="9"/>
    <n v="602640"/>
    <n v="0"/>
    <n v="0"/>
    <n v="0"/>
    <n v="1205280"/>
    <n v="0"/>
    <s v="24AAACC7815N1ZI"/>
    <s v="Kgs"/>
    <n v="39021000"/>
    <s v="Rs."/>
    <n v="1"/>
    <n v="54000"/>
    <s v="India"/>
  </r>
  <r>
    <d v="2026-07-17T00:00:00"/>
    <s v="HCP Plastene Bulkpack Limited - Purchase"/>
    <s v="R.M.P."/>
    <s v="RM 331"/>
    <s v="Purchase Withinstate - Raw Material"/>
    <s v="HPBL/D/390"/>
    <d v="2026-07-16T00:00:00"/>
    <s v="RM"/>
    <s v="Granules"/>
    <x v="16"/>
    <s v="LDPE Granuels"/>
    <s v="LDPE RIL J24FS040"/>
    <n v="1200"/>
    <n v="135456"/>
    <s v="LDPE RIL J24FS040"/>
    <n v="657115.61"/>
    <n v="9"/>
    <n v="12191.04"/>
    <n v="9"/>
    <n v="12191.04"/>
    <n v="0"/>
    <n v="0"/>
    <n v="0"/>
    <n v="24382.080000000002"/>
    <n v="0"/>
    <s v="24AABCG1282C2Z6"/>
    <s v="Kgs"/>
    <n v="39011020"/>
    <s v="Rs."/>
    <n v="1"/>
    <n v="1200"/>
    <s v="India"/>
  </r>
  <r>
    <d v="2026-07-17T00:00:00"/>
    <s v="HCP Plastene Bulkpack Limited - Purchase"/>
    <s v="R.M.P."/>
    <s v="RM 331"/>
    <s v="Purchase Withinstate - Raw Material"/>
    <s v="HPBL/D/390"/>
    <d v="2026-07-16T00:00:00"/>
    <s v="SF"/>
    <s v="Liners"/>
    <x v="1"/>
    <s v="LDPE/LLDPE Bags"/>
    <s v="LDPE/LLDPE Bags/Liner"/>
    <n v="514.5"/>
    <n v="86379.404999999999"/>
    <s v="LDPE/LLDPE Bags/Liner"/>
    <n v="0"/>
    <n v="9"/>
    <n v="7774.15"/>
    <n v="9"/>
    <n v="7774.15"/>
    <n v="0"/>
    <n v="0"/>
    <n v="0"/>
    <n v="15548.3"/>
    <n v="0"/>
    <s v="24AABCG1282C2Z6"/>
    <s v="Kgs"/>
    <n v="39200000"/>
    <s v="Rs."/>
    <n v="1"/>
    <n v="514.5"/>
    <s v="India"/>
  </r>
  <r>
    <d v="2026-07-17T00:00:00"/>
    <s v="HCP Plastene Bulkpack Limited - Purchase"/>
    <s v="R.M.P."/>
    <s v="RM 331"/>
    <s v="Purchase Withinstate - Raw Material"/>
    <s v="HPBL/D/390"/>
    <d v="2026-07-16T00:00:00"/>
    <s v="SF"/>
    <s v="PP/PE Fabric"/>
    <x v="0"/>
    <s v="PP WOVEN FABRIC"/>
    <s v="PP UL Fabric With UV"/>
    <n v="2144"/>
    <n v="335514.56"/>
    <s v="PP UL Fabric With UV"/>
    <n v="0"/>
    <n v="9"/>
    <n v="30196.31"/>
    <n v="9"/>
    <n v="30196.31"/>
    <n v="0"/>
    <n v="0"/>
    <n v="0"/>
    <n v="60392.62"/>
    <n v="0"/>
    <s v="24AABCG1282C2Z6"/>
    <s v="Kgs"/>
    <n v="39269080"/>
    <s v="Rs."/>
    <n v="1"/>
    <n v="2144"/>
    <s v="India"/>
  </r>
  <r>
    <d v="2026-07-17T00:00:00"/>
    <s v="Plastene India ltd - Unit 1-Purchase"/>
    <s v="R.M.P."/>
    <s v="RM 333"/>
    <s v="Purchase Withinstate - Raw Material"/>
    <s v="PIL1/D/1081"/>
    <d v="2026-07-17T00:00:00"/>
    <s v="RM"/>
    <s v="Granules"/>
    <x v="7"/>
    <s v="LDPE Granuels"/>
    <s v="LLDPE KUNLUN DFDA9047"/>
    <n v="2000"/>
    <n v="248800"/>
    <s v="LLDPE KUNLUN DFDA9047"/>
    <n v="293335.2"/>
    <n v="9"/>
    <n v="22392"/>
    <n v="9"/>
    <n v="22392"/>
    <n v="0"/>
    <n v="0"/>
    <n v="0"/>
    <n v="44784"/>
    <n v="0"/>
    <s v="24AAACO3087C1ZT"/>
    <s v="Kgs"/>
    <n v="39014000"/>
    <s v="Rs."/>
    <n v="1"/>
    <n v="2000"/>
    <s v="India"/>
  </r>
  <r>
    <d v="2026-07-17T00:00:00"/>
    <s v="Plastene India ltd - Unit 1-Purchase"/>
    <s v="R.M.P."/>
    <s v="RM 334"/>
    <s v="Purchase Withinstate - Raw Material"/>
    <s v="PIL1/D/1083"/>
    <d v="2026-07-17T00:00:00"/>
    <s v="RM"/>
    <s v="Granules"/>
    <x v="17"/>
    <s v="FILLER CACO3"/>
    <s v="Filler Soltex PTUFF23"/>
    <n v="3000"/>
    <n v="117000"/>
    <s v="Filler Soltex PTUFF23"/>
    <n v="137943"/>
    <n v="9"/>
    <n v="10530"/>
    <n v="9"/>
    <n v="10530"/>
    <n v="0"/>
    <n v="0"/>
    <n v="0"/>
    <n v="21060"/>
    <n v="0"/>
    <s v="24AAACO3087C1ZT"/>
    <s v="Kgs"/>
    <n v="32041990"/>
    <s v="Rs."/>
    <n v="1"/>
    <n v="3000"/>
    <s v="India"/>
  </r>
  <r>
    <d v="2026-07-17T00:00:00"/>
    <s v="Plastene India ltd - Unit 1-Purchase"/>
    <s v="R.M.P."/>
    <s v="RM 336"/>
    <s v="Purchase Withinstate - Raw Material"/>
    <s v="PIL1/D/1095"/>
    <d v="2026-07-17T00:00:00"/>
    <s v="SF"/>
    <s v="PP/PE Fabric"/>
    <x v="0"/>
    <s v="PP WOVEN FABRIC"/>
    <s v="PP UL Fabric With UV"/>
    <n v="355"/>
    <n v="52358.95"/>
    <s v="PP UL Fabric With UV"/>
    <n v="829201.64"/>
    <n v="9"/>
    <n v="4712.3100000000004"/>
    <n v="9"/>
    <n v="4712.3100000000004"/>
    <n v="0"/>
    <n v="0"/>
    <n v="0"/>
    <n v="9424.6200000000008"/>
    <n v="0"/>
    <s v="24AAACO3087C1ZT"/>
    <s v="Kgs"/>
    <n v="39269080"/>
    <s v="Rs."/>
    <n v="1"/>
    <n v="355"/>
    <s v="India"/>
  </r>
  <r>
    <d v="2026-07-17T00:00:00"/>
    <s v="Plastene India ltd - Unit 1-Purchase"/>
    <s v="R.M.P."/>
    <s v="RM 336"/>
    <s v="Purchase Withinstate - Raw Material"/>
    <s v="PIL1/D/1095"/>
    <d v="2026-07-17T00:00:00"/>
    <s v="SF"/>
    <s v="PP/PE Fabric"/>
    <x v="0"/>
    <s v="PP WOVEN FABRIC"/>
    <s v="PP UL Fabric With UV"/>
    <n v="1385"/>
    <n v="202888.65"/>
    <s v="PP UL Fabric With UV"/>
    <n v="0"/>
    <n v="9"/>
    <n v="18259.98"/>
    <n v="9"/>
    <n v="18259.98"/>
    <n v="0"/>
    <n v="0"/>
    <n v="0"/>
    <n v="36519.96"/>
    <n v="0"/>
    <s v="24AAACO3087C1ZT"/>
    <s v="Kgs"/>
    <n v="39269080"/>
    <s v="Rs."/>
    <n v="1"/>
    <n v="1385"/>
    <s v="India"/>
  </r>
  <r>
    <d v="2026-07-17T00:00:00"/>
    <s v="Plastene India ltd - Unit 1-Purchase"/>
    <s v="R.M.P."/>
    <s v="RM 336"/>
    <s v="Purchase Withinstate - Raw Material"/>
    <s v="PIL1/D/1095"/>
    <d v="2026-07-17T00:00:00"/>
    <s v="SF"/>
    <s v="PP/PE Fabric"/>
    <x v="0"/>
    <s v="PP WOVEN FABRIC"/>
    <s v="PP UL Fabric With UV"/>
    <n v="1113"/>
    <n v="166382.37"/>
    <s v="PP UL Fabric With UV"/>
    <n v="0"/>
    <n v="9"/>
    <n v="14974.41"/>
    <n v="9"/>
    <n v="14974.41"/>
    <n v="0"/>
    <n v="0"/>
    <n v="0"/>
    <n v="29948.82"/>
    <n v="0"/>
    <s v="24AAACO3087C1ZT"/>
    <s v="Kgs"/>
    <n v="39269080"/>
    <s v="Rs."/>
    <n v="1"/>
    <n v="1113"/>
    <s v="India"/>
  </r>
  <r>
    <d v="2026-07-17T00:00:00"/>
    <s v="Plastene India ltd - Unit 1-Purchase"/>
    <s v="R.M.P."/>
    <s v="RM 336"/>
    <s v="Purchase Withinstate - Raw Material"/>
    <s v="PIL1/D/1095"/>
    <d v="2026-07-17T00:00:00"/>
    <s v="SF"/>
    <s v="Webbing"/>
    <x v="3"/>
    <s v="PP Webbing"/>
    <s v="Webbing"/>
    <n v="459.3"/>
    <n v="68660.756999999998"/>
    <s v="Webbing"/>
    <n v="0"/>
    <n v="9"/>
    <n v="6179.47"/>
    <n v="9"/>
    <n v="6179.47"/>
    <n v="0"/>
    <n v="0"/>
    <n v="0"/>
    <n v="12358.94"/>
    <n v="0"/>
    <s v="24AAACO3087C1ZT"/>
    <s v="Kgs"/>
    <n v="3926908"/>
    <s v="Rs."/>
    <n v="1"/>
    <n v="459.3"/>
    <s v="India"/>
  </r>
  <r>
    <d v="2026-07-17T00:00:00"/>
    <s v="Plastene India ltd - Unit 1-Purchase"/>
    <s v="R.M.P."/>
    <s v="RM 336"/>
    <s v="Purchase Withinstate - Raw Material"/>
    <s v="PIL1/D/1095"/>
    <d v="2026-07-17T00:00:00"/>
    <s v="SF"/>
    <s v="Webbing"/>
    <x v="3"/>
    <s v="PP Webbing"/>
    <s v="Webbing"/>
    <n v="190.2"/>
    <n v="27862.398000000001"/>
    <s v="Webbing"/>
    <n v="0"/>
    <n v="9"/>
    <n v="2507.62"/>
    <n v="9"/>
    <n v="2507.62"/>
    <n v="0"/>
    <n v="0"/>
    <n v="0"/>
    <n v="5015.24"/>
    <n v="0"/>
    <s v="24AAACO3087C1ZT"/>
    <s v="Kgs"/>
    <n v="3926908"/>
    <s v="Rs."/>
    <n v="1"/>
    <n v="190.2"/>
    <s v="India"/>
  </r>
  <r>
    <d v="2026-07-17T00:00:00"/>
    <s v="Plastene India ltd - Unit 1-Purchase"/>
    <s v="R.M.P."/>
    <s v="RM 336"/>
    <s v="Purchase Withinstate - Raw Material"/>
    <s v="PIL1/D/1095"/>
    <d v="2026-07-17T00:00:00"/>
    <s v="SF"/>
    <s v="Liners"/>
    <x v="1"/>
    <s v="LDPE/LLDPE Bags"/>
    <s v="LDPE/LLDPE Bags/Liner"/>
    <n v="1013"/>
    <n v="185156.14"/>
    <s v="LDPE/LLDPE Bags/Liner"/>
    <n v="0"/>
    <n v="9"/>
    <n v="16664.05"/>
    <n v="9"/>
    <n v="16664.05"/>
    <n v="0"/>
    <n v="0"/>
    <n v="0"/>
    <n v="33328.1"/>
    <n v="0"/>
    <s v="24AAACO3087C1ZT"/>
    <s v="Kgs"/>
    <n v="39200000"/>
    <s v="Rs."/>
    <n v="1"/>
    <n v="1013"/>
    <s v="India"/>
  </r>
  <r>
    <d v="2026-07-17T00:00:00"/>
    <s v="Plastene India ltd - Unit 2-Purchase"/>
    <s v="R.M.P."/>
    <s v="RM 332"/>
    <s v="Purchase Withinstate - Raw Material"/>
    <s v="PIL2/D/385"/>
    <d v="2026-07-16T00:00:00"/>
    <s v="RM"/>
    <s v="Granules"/>
    <x v="10"/>
    <s v="Master Batch"/>
    <s v="UV PIL NFG 20LD"/>
    <n v="3000"/>
    <n v="540000"/>
    <s v="UV PIL NFG 20LD"/>
    <n v="1201815.04"/>
    <n v="9"/>
    <n v="48600"/>
    <n v="9"/>
    <n v="48600"/>
    <n v="0"/>
    <n v="0"/>
    <n v="0"/>
    <n v="97200"/>
    <n v="0"/>
    <s v="24AAACO3087C1ZT"/>
    <s v="Kgs"/>
    <n v="38123990"/>
    <s v="Rs."/>
    <n v="1"/>
    <n v="3000"/>
    <s v="India"/>
  </r>
  <r>
    <d v="2026-07-17T00:00:00"/>
    <s v="Plastene India ltd - Unit 2-Purchase"/>
    <s v="R.M.P."/>
    <s v="RM 332"/>
    <s v="Purchase Withinstate - Raw Material"/>
    <s v="PIL2/D/385"/>
    <d v="2026-07-16T00:00:00"/>
    <s v="FG"/>
    <s v="FIBC Bags"/>
    <x v="9"/>
    <s v="FIBC"/>
    <s v="FIBC Bags With UV Without Liner"/>
    <n v="826"/>
    <n v="170189.04"/>
    <s v="FIBC Bags With UV Without Liner"/>
    <n v="0"/>
    <n v="9"/>
    <n v="15317.01"/>
    <n v="9"/>
    <n v="15317.01"/>
    <n v="0"/>
    <n v="0"/>
    <n v="0"/>
    <n v="30634.02"/>
    <n v="0"/>
    <s v="24AAACO3087C1ZT"/>
    <s v="Kgs"/>
    <n v="63053200"/>
    <s v="Rs."/>
    <n v="1"/>
    <n v="826"/>
    <s v="India"/>
  </r>
  <r>
    <d v="2026-07-17T00:00:00"/>
    <s v="Plastene India ltd - Unit 2-Purchase"/>
    <s v="R.M.P."/>
    <s v="RM 332"/>
    <s v="Purchase Withinstate - Raw Material"/>
    <s v="PIL2/D/385"/>
    <d v="2026-07-16T00:00:00"/>
    <s v="FG"/>
    <s v="FIBC Bags"/>
    <x v="9"/>
    <s v="FIBC"/>
    <s v="FIBC Bags With UV Without Liner"/>
    <n v="1485"/>
    <n v="309162.15000000002"/>
    <s v="FIBC Bags With UV Without Liner"/>
    <n v="0"/>
    <n v="9"/>
    <n v="27824.59"/>
    <n v="9"/>
    <n v="27824.59"/>
    <n v="0"/>
    <n v="0"/>
    <n v="0"/>
    <n v="55649.18"/>
    <n v="0"/>
    <s v="24AAACO3087C1ZT"/>
    <s v="Kgs"/>
    <n v="63053200"/>
    <s v="Rs."/>
    <n v="1"/>
    <n v="1485"/>
    <s v="India"/>
  </r>
  <r>
    <d v="2026-07-18T00:00:00"/>
    <s v="Brahmani Labels"/>
    <s v="General Purchase"/>
    <s v="GNCN 121"/>
    <s v="Purchase Withinstate- Stores, Spares &amp; Consumable"/>
    <n v="339"/>
    <d v="2026-07-16T00:00:00"/>
    <s v="SF"/>
    <s v="Liners"/>
    <x v="1"/>
    <s v="LDPE/LLDPE Bags"/>
    <s v="PE Labels (Kgs)"/>
    <n v="90.58"/>
    <n v="40560"/>
    <s v="PE Labels (Kgs)"/>
    <n v="47861.01"/>
    <n v="9"/>
    <n v="3650.4"/>
    <n v="9"/>
    <n v="3650.4"/>
    <n v="0"/>
    <n v="0"/>
    <n v="0"/>
    <n v="7300.8"/>
    <n v="0"/>
    <s v="24CIAPP4681A1ZK"/>
    <s v="Kgs"/>
    <n v="3920101"/>
    <s v="Rs."/>
    <n v="1"/>
    <n v="90.58"/>
    <m/>
  </r>
  <r>
    <d v="2026-07-18T00:00:00"/>
    <s v="K.P. Woven Pvt Ltd-Purchase"/>
    <s v="R.M.P."/>
    <s v="RM 339"/>
    <s v="Purchase Withinstate - Raw Material"/>
    <s v="KPV/D/482"/>
    <d v="2026-07-17T00:00:00"/>
    <s v="FG"/>
    <s v="FIBC Bags"/>
    <x v="9"/>
    <s v="FIBC"/>
    <s v="FIBC Bags With UV Without Liner"/>
    <n v="10402.5"/>
    <n v="2878163.7"/>
    <s v="FIBC Bags With UV Without Liner"/>
    <n v="3393355"/>
    <n v="9"/>
    <n v="259034.73"/>
    <n v="9"/>
    <n v="259034.73"/>
    <n v="0"/>
    <n v="0"/>
    <n v="0"/>
    <n v="518069.46"/>
    <n v="0"/>
    <s v="24AAECK6307M1ZF"/>
    <s v="Kgs"/>
    <n v="63053200"/>
    <s v="Rs."/>
    <n v="1"/>
    <n v="10402.5"/>
    <s v="India"/>
  </r>
  <r>
    <d v="2026-07-18T00:00:00"/>
    <s v="Plastene India ltd - Unit 1-Purchase"/>
    <s v="R.M.P."/>
    <s v="RM 337"/>
    <s v="Purchase Withinstate - Raw Material"/>
    <s v="PIL1/D/1097"/>
    <d v="2026-07-18T00:00:00"/>
    <s v="SF"/>
    <s v="PP/PE Fabric"/>
    <x v="0"/>
    <s v="PP WOVEN FABRIC"/>
    <s v="PP UL Fabric With UV"/>
    <n v="1626"/>
    <n v="234891.96"/>
    <s v="PP UL Fabric With UV"/>
    <n v="372516.29"/>
    <n v="9"/>
    <n v="21140.28"/>
    <n v="9"/>
    <n v="21140.28"/>
    <n v="0"/>
    <n v="0"/>
    <n v="0"/>
    <n v="42280.56"/>
    <n v="0"/>
    <s v="24AAACO3087C1ZT"/>
    <s v="Kgs"/>
    <n v="39269080"/>
    <s v="Rs."/>
    <n v="1"/>
    <n v="1626"/>
    <s v="India"/>
  </r>
  <r>
    <d v="2026-07-18T00:00:00"/>
    <s v="Plastene India ltd - Unit 1-Purchase"/>
    <s v="R.M.P."/>
    <s v="RM 337"/>
    <s v="Purchase Withinstate - Raw Material"/>
    <s v="PIL1/D/1097"/>
    <d v="2026-07-18T00:00:00"/>
    <s v="SF"/>
    <s v="Webbing"/>
    <x v="3"/>
    <s v="PP Webbing"/>
    <s v="Webbing"/>
    <n v="553.4"/>
    <n v="81067.570000000007"/>
    <s v="Webbing"/>
    <n v="0"/>
    <n v="9"/>
    <n v="7296.08"/>
    <n v="9"/>
    <n v="7296.08"/>
    <n v="0"/>
    <n v="0"/>
    <n v="0"/>
    <n v="14592.16"/>
    <n v="0"/>
    <s v="24AAACO3087C1ZT"/>
    <s v="Kgs"/>
    <n v="3926908"/>
    <s v="Rs."/>
    <n v="1"/>
    <n v="553.4"/>
    <s v="India"/>
  </r>
  <r>
    <d v="2026-07-18T00:00:00"/>
    <s v="Plastene India ltd - Unit 1-Purchase"/>
    <s v="R.M.P."/>
    <s v="RM 338"/>
    <s v="Purchase Withinstate - Raw Material"/>
    <s v="PIL1/D/1099"/>
    <d v="2026-07-18T00:00:00"/>
    <s v="FG"/>
    <s v="FIBC Bags"/>
    <x v="9"/>
    <s v="FIBC"/>
    <s v="FIBC Bags With UV Without Liner"/>
    <n v="4973"/>
    <n v="1091374.58"/>
    <s v="FIBC Bags With UV Without Liner"/>
    <n v="1286730.6299999999"/>
    <n v="9"/>
    <n v="98223.71"/>
    <n v="9"/>
    <n v="98223.71"/>
    <n v="0"/>
    <n v="0"/>
    <n v="0"/>
    <n v="196447.42"/>
    <n v="0"/>
    <s v="24AAACO3087C1ZT"/>
    <s v="Kgs"/>
    <n v="63053200"/>
    <s v="Rs."/>
    <n v="1"/>
    <n v="4973"/>
    <s v="India"/>
  </r>
  <r>
    <d v="2026-07-18T00:00:00"/>
    <s v="Plastene India ltd - Unit 1-Purchase"/>
    <s v="R.M.P."/>
    <s v="RM 340"/>
    <s v="Purchase Withinstate - Raw Material"/>
    <s v="PIL1/D/1109"/>
    <d v="2026-07-18T00:00:00"/>
    <s v="SF"/>
    <s v="Liners"/>
    <x v="1"/>
    <s v="LDPE Granules (Trading)"/>
    <s v="LDPE/LLDPE Bags/Liner"/>
    <n v="416"/>
    <n v="77700.479999999996"/>
    <s v="LDPE/LLDPE Bags/Liner"/>
    <n v="1083589.78"/>
    <n v="9"/>
    <n v="6993.04"/>
    <n v="9"/>
    <n v="6993.04"/>
    <n v="0"/>
    <n v="0"/>
    <n v="0"/>
    <n v="13986.08"/>
    <n v="0"/>
    <s v="24AAACO3087C1ZT"/>
    <s v="Kgs"/>
    <n v="39200000"/>
    <s v="Rs."/>
    <n v="1"/>
    <n v="416"/>
    <s v="India"/>
  </r>
  <r>
    <d v="2026-07-18T00:00:00"/>
    <s v="Plastene India ltd - Unit 1-Purchase"/>
    <s v="R.M.P."/>
    <s v="RM 340"/>
    <s v="Purchase Withinstate - Raw Material"/>
    <s v="PIL1/D/1109"/>
    <d v="2026-07-18T00:00:00"/>
    <s v="SF"/>
    <s v="PP/PE Fabric"/>
    <x v="2"/>
    <s v="PP Laminated Fabric"/>
    <s v="PP Lam Fabric With UV"/>
    <n v="4058.7"/>
    <n v="656454.13800000004"/>
    <s v="PP Lam Fabric With UV"/>
    <n v="0"/>
    <n v="9"/>
    <n v="59080.87"/>
    <n v="9"/>
    <n v="59080.87"/>
    <n v="0"/>
    <n v="0"/>
    <n v="0"/>
    <n v="118161.74"/>
    <n v="0"/>
    <s v="24AAACO3087C1ZT"/>
    <s v="Kgs"/>
    <n v="63053300"/>
    <s v="Rs."/>
    <n v="1"/>
    <n v="4058.7"/>
    <s v="India"/>
  </r>
  <r>
    <d v="2026-07-18T00:00:00"/>
    <s v="Plastene India ltd - Unit 1-Purchase"/>
    <s v="R.M.P."/>
    <s v="RM 340"/>
    <s v="Purchase Withinstate - Raw Material"/>
    <s v="PIL1/D/1109"/>
    <d v="2026-07-18T00:00:00"/>
    <s v="SF"/>
    <s v="Webbing"/>
    <x v="3"/>
    <s v="PP Webbing"/>
    <s v="Webbing"/>
    <n v="783.4"/>
    <n v="117110.466"/>
    <s v="Webbing"/>
    <n v="0"/>
    <n v="9"/>
    <n v="10539.94"/>
    <n v="9"/>
    <n v="10539.94"/>
    <n v="0"/>
    <n v="0"/>
    <n v="0"/>
    <n v="21079.88"/>
    <n v="0"/>
    <s v="24AAACO3087C1ZT"/>
    <s v="Kgs"/>
    <n v="3926908"/>
    <s v="Rs."/>
    <n v="1"/>
    <n v="783.4"/>
    <s v="India"/>
  </r>
  <r>
    <d v="2026-07-18T00:00:00"/>
    <s v="Plastene India ltd - Unit 1-Purchase"/>
    <s v="R.M.P."/>
    <s v="RM 340"/>
    <s v="Purchase Withinstate - Raw Material"/>
    <s v="PIL1/D/1109"/>
    <d v="2026-07-18T00:00:00"/>
    <s v="SF"/>
    <s v="Webbing"/>
    <x v="3"/>
    <s v="PP Webbing"/>
    <s v="Webbing"/>
    <n v="462.9"/>
    <n v="67810.221000000005"/>
    <s v="Webbing"/>
    <n v="0"/>
    <n v="9"/>
    <n v="6102.92"/>
    <n v="9"/>
    <n v="6102.92"/>
    <n v="0"/>
    <n v="0"/>
    <n v="0"/>
    <n v="12205.84"/>
    <n v="0"/>
    <s v="24AAACO3087C1ZT"/>
    <s v="Kgs"/>
    <n v="3926908"/>
    <s v="Rs."/>
    <n v="1"/>
    <n v="462.9"/>
    <s v="India"/>
  </r>
  <r>
    <d v="2026-07-19T00:00:00"/>
    <s v="K.P. Woven Pvt Ltd-Purchase"/>
    <s v="R.M.P."/>
    <s v="RM 342"/>
    <s v="Purchase Withinstate - Raw Material"/>
    <s v="KPV/D/487"/>
    <d v="2026-07-18T00:00:00"/>
    <s v="FG"/>
    <s v="FIBC Bags"/>
    <x v="9"/>
    <s v="FIBC"/>
    <s v="FIBC Bags With UV With Liner"/>
    <n v="2856"/>
    <n v="715456.56"/>
    <s v="FIBC Bags With UV With Liner"/>
    <n v="2618089.4300000002"/>
    <n v="9"/>
    <n v="64391.09"/>
    <n v="9"/>
    <n v="64391.09"/>
    <n v="0"/>
    <n v="0"/>
    <n v="0"/>
    <n v="128782.18"/>
    <n v="0"/>
    <s v="24AAECK6307M1ZF"/>
    <s v="Kgs"/>
    <n v="63053200"/>
    <s v="Rs."/>
    <n v="1"/>
    <n v="2856"/>
    <s v="India"/>
  </r>
  <r>
    <d v="2026-07-19T00:00:00"/>
    <s v="K.P. Woven Pvt Ltd-Purchase"/>
    <s v="R.M.P."/>
    <s v="RM 342"/>
    <s v="Purchase Withinstate - Raw Material"/>
    <s v="KPV/D/487"/>
    <d v="2026-07-18T00:00:00"/>
    <s v="FG"/>
    <s v="FIBC Bags"/>
    <x v="9"/>
    <s v="FIBC"/>
    <s v="FIBC Bags With UV With Liner"/>
    <n v="2883"/>
    <n v="790201.47"/>
    <s v="FIBC Bags With UV With Liner"/>
    <n v="0"/>
    <n v="9"/>
    <n v="71118.13"/>
    <n v="9"/>
    <n v="71118.13"/>
    <n v="0"/>
    <n v="0"/>
    <n v="0"/>
    <n v="142236.26"/>
    <n v="0"/>
    <s v="24AAECK6307M1ZF"/>
    <s v="Kgs"/>
    <n v="63053200"/>
    <s v="Rs."/>
    <n v="1"/>
    <n v="2883"/>
    <s v="India"/>
  </r>
  <r>
    <d v="2026-07-19T00:00:00"/>
    <s v="K.P. Woven Pvt Ltd-Purchase"/>
    <s v="R.M.P."/>
    <s v="RM 342"/>
    <s v="Purchase Withinstate - Raw Material"/>
    <s v="KPV/D/487"/>
    <d v="2026-07-18T00:00:00"/>
    <s v="FG"/>
    <s v="FIBC Bags"/>
    <x v="9"/>
    <s v="FIBC"/>
    <s v="FIBC Bags With UV Without Liner"/>
    <n v="2588.5"/>
    <n v="714943.7"/>
    <s v="FIBC Bags With UV Without Liner"/>
    <n v="0"/>
    <n v="9"/>
    <n v="64344.93"/>
    <n v="9"/>
    <n v="64344.93"/>
    <n v="0"/>
    <n v="0"/>
    <n v="0"/>
    <n v="128689.86"/>
    <n v="0"/>
    <s v="24AAECK6307M1ZF"/>
    <s v="Kgs"/>
    <n v="63053200"/>
    <s v="Rs."/>
    <n v="1"/>
    <n v="2588.5"/>
    <s v="India"/>
  </r>
  <r>
    <d v="2026-07-19T00:00:00"/>
    <s v="Plastene India ltd - Unit 1-Purchase"/>
    <s v="R.M.P."/>
    <s v="RM 343"/>
    <s v="Purchase Withinstate - Raw Material"/>
    <s v="PIL1/D/1106"/>
    <d v="2026-07-18T00:00:00"/>
    <s v="SF"/>
    <s v="Yarn All"/>
    <x v="6"/>
    <s v="Yarn"/>
    <s v="PP MF Yarn Twisted 1000 UV NW"/>
    <n v="245"/>
    <n v="38340.050000000003"/>
    <s v="PP MF Yarn Twisted 1000 UV NW"/>
    <n v="40218.71"/>
    <n v="2.5"/>
    <n v="958.5"/>
    <n v="2.5"/>
    <n v="958.5"/>
    <n v="0"/>
    <n v="0"/>
    <n v="0"/>
    <n v="1917"/>
    <n v="0"/>
    <s v="24AAACO3087C1ZT"/>
    <s v="Kgs"/>
    <n v="54026930"/>
    <s v="Rs."/>
    <n v="1"/>
    <n v="245"/>
    <s v="India"/>
  </r>
  <r>
    <d v="2026-07-19T00:00:00"/>
    <s v="Plastene India ltd - Unit 1-Purchase"/>
    <s v="R.M.P."/>
    <s v="RM 344"/>
    <s v="Purchase Withinstate - Raw Material"/>
    <s v="PIL1/D/1115"/>
    <d v="2026-07-19T00:00:00"/>
    <s v="SF"/>
    <s v="Liners"/>
    <x v="1"/>
    <s v="LDPE/LLDPE Bags"/>
    <s v="LDPE/LLDPE Bags/Liner"/>
    <n v="1174.3"/>
    <n v="214638.554"/>
    <s v="LDPE/LLDPE Bags/Liner"/>
    <n v="1507938.93"/>
    <n v="9"/>
    <n v="19317.47"/>
    <n v="9"/>
    <n v="19317.47"/>
    <n v="0"/>
    <n v="0"/>
    <n v="0"/>
    <n v="38634.94"/>
    <n v="0"/>
    <s v="24AAACO3087C1ZT"/>
    <s v="Kgs"/>
    <n v="39200000"/>
    <s v="Rs."/>
    <n v="1"/>
    <n v="1174.3"/>
    <s v="India"/>
  </r>
  <r>
    <d v="2026-07-19T00:00:00"/>
    <s v="Plastene India ltd - Unit 1-Purchase"/>
    <s v="R.M.P."/>
    <s v="RM 344"/>
    <s v="Purchase Withinstate - Raw Material"/>
    <s v="PIL1/D/1115"/>
    <d v="2026-07-19T00:00:00"/>
    <s v="SF"/>
    <s v="Liners"/>
    <x v="1"/>
    <s v="LDPE/LLDPE Bags"/>
    <s v="LDPE/LLDPE Bags/Liner"/>
    <n v="527"/>
    <n v="106865.06"/>
    <s v="LDPE/LLDPE Bags/Liner"/>
    <n v="0"/>
    <n v="9"/>
    <n v="9617.86"/>
    <n v="9"/>
    <n v="9617.86"/>
    <n v="0"/>
    <n v="0"/>
    <n v="0"/>
    <n v="19235.72"/>
    <n v="0"/>
    <s v="24AAACO3087C1ZT"/>
    <s v="Kgs"/>
    <n v="39200000"/>
    <s v="Rs."/>
    <n v="1"/>
    <n v="527"/>
    <s v="India"/>
  </r>
  <r>
    <d v="2026-07-19T00:00:00"/>
    <s v="Plastene India ltd - Unit 1-Purchase"/>
    <s v="R.M.P."/>
    <s v="RM 344"/>
    <s v="Purchase Withinstate - Raw Material"/>
    <s v="PIL1/D/1115"/>
    <d v="2026-07-19T00:00:00"/>
    <s v="SF"/>
    <s v="PP/PE Fabric"/>
    <x v="0"/>
    <s v="PP WOVEN FABRIC"/>
    <s v="PP UL Fabric With UV"/>
    <n v="1336"/>
    <n v="199718.64"/>
    <s v="PP UL Fabric With UV"/>
    <n v="0"/>
    <n v="9"/>
    <n v="17974.68"/>
    <n v="9"/>
    <n v="17974.68"/>
    <n v="0"/>
    <n v="0"/>
    <n v="0"/>
    <n v="35949.360000000001"/>
    <n v="0"/>
    <s v="24AAACO3087C1ZT"/>
    <s v="Kgs"/>
    <n v="39269080"/>
    <s v="Rs."/>
    <n v="1"/>
    <n v="1336"/>
    <s v="India"/>
  </r>
  <r>
    <d v="2026-07-19T00:00:00"/>
    <s v="Plastene India ltd - Unit 1-Purchase"/>
    <s v="R.M.P."/>
    <s v="RM 344"/>
    <s v="Purchase Withinstate - Raw Material"/>
    <s v="PIL1/D/1115"/>
    <d v="2026-07-19T00:00:00"/>
    <s v="SF"/>
    <s v="PP/PE Fabric"/>
    <x v="0"/>
    <s v="PP WOVEN FABRIC"/>
    <s v="PP UL Fabric With UV"/>
    <n v="347"/>
    <n v="51179.03"/>
    <s v="PP UL Fabric With UV"/>
    <n v="0"/>
    <n v="9"/>
    <n v="4606.1099999999997"/>
    <n v="9"/>
    <n v="4606.1099999999997"/>
    <n v="0"/>
    <n v="0"/>
    <n v="0"/>
    <n v="9212.2199999999993"/>
    <n v="0"/>
    <s v="24AAACO3087C1ZT"/>
    <s v="Kgs"/>
    <n v="39269080"/>
    <s v="Rs."/>
    <n v="1"/>
    <n v="347"/>
    <s v="India"/>
  </r>
  <r>
    <d v="2026-07-19T00:00:00"/>
    <s v="Plastene India ltd - Unit 1-Purchase"/>
    <s v="R.M.P."/>
    <s v="RM 344"/>
    <s v="Purchase Withinstate - Raw Material"/>
    <s v="PIL1/D/1115"/>
    <d v="2026-07-19T00:00:00"/>
    <s v="SF"/>
    <s v="PP/PE Fabric"/>
    <x v="2"/>
    <s v="PP Laminated Fabric"/>
    <s v="PP Lam Fabric With UV"/>
    <n v="2742"/>
    <n v="415385.58"/>
    <s v="PP Lam Fabric With UV"/>
    <n v="0"/>
    <n v="9"/>
    <n v="37384.699999999997"/>
    <n v="9"/>
    <n v="37384.699999999997"/>
    <n v="0"/>
    <n v="0"/>
    <n v="0"/>
    <n v="74769.399999999994"/>
    <n v="0"/>
    <s v="24AAACO3087C1ZT"/>
    <s v="Kgs"/>
    <n v="63053300"/>
    <s v="Rs."/>
    <n v="1"/>
    <n v="2742"/>
    <s v="India"/>
  </r>
  <r>
    <d v="2026-07-19T00:00:00"/>
    <s v="Plastene India ltd - Unit 1-Purchase"/>
    <s v="R.M.P."/>
    <s v="RM 344"/>
    <s v="Purchase Withinstate - Raw Material"/>
    <s v="PIL1/D/1115"/>
    <d v="2026-07-19T00:00:00"/>
    <s v="SF"/>
    <s v="Webbing"/>
    <x v="3"/>
    <s v="PP Webbing"/>
    <s v="Webbing"/>
    <n v="471.6"/>
    <n v="69084.683999999994"/>
    <s v="Webbing"/>
    <n v="0"/>
    <n v="9"/>
    <n v="6217.62"/>
    <n v="9"/>
    <n v="6217.62"/>
    <n v="0"/>
    <n v="0"/>
    <n v="0"/>
    <n v="12435.24"/>
    <n v="0"/>
    <s v="24AAACO3087C1ZT"/>
    <s v="Kgs"/>
    <n v="3926908"/>
    <s v="Rs."/>
    <n v="1"/>
    <n v="471.6"/>
    <s v="India"/>
  </r>
  <r>
    <d v="2026-07-19T00:00:00"/>
    <s v="Plastene India ltd - Unit 1-Purchase"/>
    <s v="R.M.P."/>
    <s v="RM 344"/>
    <s v="Purchase Withinstate - Raw Material"/>
    <s v="PIL1/D/1115"/>
    <d v="2026-07-19T00:00:00"/>
    <s v="SF"/>
    <s v="Webbing"/>
    <x v="3"/>
    <s v="PP Webbing"/>
    <s v="Webbing"/>
    <n v="623.70000000000005"/>
    <n v="93236.913"/>
    <s v="Webbing"/>
    <n v="0"/>
    <n v="9"/>
    <n v="8391.32"/>
    <n v="9"/>
    <n v="8391.32"/>
    <n v="0"/>
    <n v="0"/>
    <n v="0"/>
    <n v="16782.64"/>
    <n v="0"/>
    <s v="24AAACO3087C1ZT"/>
    <s v="Kgs"/>
    <n v="3926908"/>
    <s v="Rs."/>
    <n v="1"/>
    <n v="623.70000000000005"/>
    <s v="India"/>
  </r>
  <r>
    <d v="2026-07-19T00:00:00"/>
    <s v="Plastene India ltd - Unit 1-Purchase"/>
    <s v="R.M.P."/>
    <s v="RM 344"/>
    <s v="Purchase Withinstate - Raw Material"/>
    <s v="PIL1/D/1115"/>
    <d v="2026-07-19T00:00:00"/>
    <s v="SF"/>
    <s v="Yarn All"/>
    <x v="6"/>
    <s v="Yarn"/>
    <s v="PP MF Yarn Twisted 1000 UV NW"/>
    <n v="925.7"/>
    <n v="144862.79300000001"/>
    <s v="PP MF Yarn Twisted 1000 UV NW"/>
    <n v="0"/>
    <n v="2.5"/>
    <n v="3621.57"/>
    <n v="2.5"/>
    <n v="3621.57"/>
    <n v="0"/>
    <n v="0"/>
    <n v="0"/>
    <n v="7243.14"/>
    <n v="0"/>
    <s v="24AAACO3087C1ZT"/>
    <s v="Kgs"/>
    <n v="54026930"/>
    <s v="Rs."/>
    <n v="1"/>
    <n v="925.7"/>
    <s v="India"/>
  </r>
  <r>
    <d v="2026-07-19T00:00:00"/>
    <s v="Plastene India ltd - Unit 2-Purchase"/>
    <s v="R.M.P."/>
    <s v="RM 341"/>
    <s v="Purchase Withinstate - Raw Material"/>
    <s v="PIL2/D/391"/>
    <d v="2026-07-18T00:00:00"/>
    <s v="SF"/>
    <s v="Webbing"/>
    <x v="3"/>
    <s v="PP Webbing"/>
    <s v="Webbing"/>
    <n v="1632.7"/>
    <n v="182209.32"/>
    <s v="Webbing"/>
    <n v="342800.16"/>
    <n v="9"/>
    <n v="16398.84"/>
    <n v="9"/>
    <n v="16398.84"/>
    <n v="0"/>
    <n v="0"/>
    <n v="0"/>
    <n v="32797.68"/>
    <n v="0"/>
    <s v="24AAACO3087C1ZT"/>
    <s v="Kgs"/>
    <n v="3926908"/>
    <s v="Rs."/>
    <n v="1"/>
    <n v="1632.7"/>
    <s v="India"/>
  </r>
  <r>
    <d v="2026-07-19T00:00:00"/>
    <s v="Plastene India ltd - Unit 2-Purchase"/>
    <s v="R.M.P."/>
    <s v="RM 341"/>
    <s v="Purchase Withinstate - Raw Material"/>
    <s v="PIL2/D/391"/>
    <d v="2026-07-18T00:00:00"/>
    <s v="SF"/>
    <s v="Webbing"/>
    <x v="3"/>
    <s v="PP Webbing"/>
    <s v="Webbing"/>
    <n v="999.5"/>
    <n v="108545.7"/>
    <s v="Webbing"/>
    <n v="0"/>
    <n v="9"/>
    <n v="9769.11"/>
    <n v="9"/>
    <n v="9769.11"/>
    <n v="0"/>
    <n v="0"/>
    <n v="0"/>
    <n v="19538.22"/>
    <n v="0"/>
    <s v="24AAACO3087C1ZT"/>
    <s v="Kgs"/>
    <n v="3926908"/>
    <s v="Rs."/>
    <n v="1"/>
    <n v="999.5"/>
    <s v="India"/>
  </r>
  <r>
    <d v="2026-07-20T00:00:00"/>
    <s v="Hcp Plastene Bulkpack Ltd (Unit-Iv) - Purchase"/>
    <s v="R.M.P."/>
    <s v="RM 346"/>
    <s v="Purchase Withinstate - Raw Material"/>
    <s v="HPBL4/D/173"/>
    <d v="2026-07-20T00:00:00"/>
    <s v="RM Consumables"/>
    <s v="Ink"/>
    <x v="18"/>
    <s v="Thinner"/>
    <s v="Thinner Vyankatesh Thinner"/>
    <n v="170"/>
    <n v="47940"/>
    <s v="Thinner Vyankatesh Thinner"/>
    <n v="56521.26"/>
    <n v="9"/>
    <n v="4314.6000000000004"/>
    <n v="9"/>
    <n v="4314.6000000000004"/>
    <n v="0"/>
    <n v="0"/>
    <n v="0"/>
    <n v="8629.2000000000007"/>
    <n v="0"/>
    <s v="24AABCG1282C2Z6"/>
    <s v="Kgs"/>
    <n v="38140010"/>
    <s v="Rs."/>
    <n v="1"/>
    <n v="170"/>
    <s v="India"/>
  </r>
  <r>
    <d v="2026-07-20T00:00:00"/>
    <s v="K.P. Woven Pvt Ltd-Purchase"/>
    <s v="R.M.P."/>
    <s v="RM 349"/>
    <s v="Purchase Withinstate - Raw Material"/>
    <s v="KPV/D/491"/>
    <d v="2026-07-19T00:00:00"/>
    <s v="FG"/>
    <s v="FIBC Bags"/>
    <x v="9"/>
    <s v="FIBC"/>
    <s v="FIBC Bags With UV With Liner"/>
    <n v="1262"/>
    <n v="316143.62"/>
    <s v="FIBC Bags With UV With Liner"/>
    <n v="372733.34"/>
    <n v="9"/>
    <n v="28452.93"/>
    <n v="9"/>
    <n v="28452.93"/>
    <n v="0"/>
    <n v="0"/>
    <n v="0"/>
    <n v="56905.86"/>
    <n v="0"/>
    <s v="24AAECK6307M1ZF"/>
    <s v="Kgs"/>
    <n v="63053200"/>
    <s v="Rs."/>
    <n v="1"/>
    <n v="1262"/>
    <s v="India"/>
  </r>
  <r>
    <d v="2026-07-20T00:00:00"/>
    <s v="Plastene India ltd - Unit 1-Purchase"/>
    <s v="R.M.P."/>
    <s v="RM 345"/>
    <s v="Purchase Withinstate - Raw Material"/>
    <s v="PIL1/D/1120"/>
    <d v="2026-07-20T00:00:00"/>
    <s v="SF"/>
    <s v="RP Granules"/>
    <x v="13"/>
    <s v="REPROCESSED GRANULE"/>
    <s v="RP Granules"/>
    <n v="5075"/>
    <n v="532875"/>
    <s v="RP Granules"/>
    <n v="628259.63"/>
    <n v="9"/>
    <n v="47958.75"/>
    <n v="9"/>
    <n v="47958.75"/>
    <n v="0"/>
    <n v="0"/>
    <n v="0"/>
    <n v="95917.5"/>
    <n v="0"/>
    <s v="24AAACO3087C1ZT"/>
    <s v="Kgs"/>
    <n v="39021000"/>
    <s v="Rs."/>
    <n v="1"/>
    <n v="5075"/>
    <s v="India"/>
  </r>
  <r>
    <d v="2026-07-20T00:00:00"/>
    <s v="Plastene India ltd - Unit 1-Purchase"/>
    <s v="R.M.P."/>
    <s v="RM 347"/>
    <s v="Purchase Withinstate - Raw Material"/>
    <s v="PIL1/D/1126"/>
    <d v="2026-07-20T00:00:00"/>
    <s v="SF"/>
    <s v="PP/PE Fabric"/>
    <x v="2"/>
    <s v="PP Laminated Fabric"/>
    <s v="PP Lam Fabric With UV"/>
    <n v="292"/>
    <n v="44235.08"/>
    <s v="PP Lam Fabric With UV"/>
    <n v="52153.16"/>
    <n v="9"/>
    <n v="3981.16"/>
    <n v="9"/>
    <n v="3981.16"/>
    <n v="0"/>
    <n v="0"/>
    <n v="0"/>
    <n v="7962.32"/>
    <n v="0"/>
    <s v="24AAACO3087C1ZT"/>
    <s v="Kgs"/>
    <n v="63053300"/>
    <s v="Rs."/>
    <n v="1"/>
    <n v="292"/>
    <s v="India"/>
  </r>
  <r>
    <d v="2026-07-20T00:00:00"/>
    <s v="Plastene India ltd - Unit 1-Purchase"/>
    <s v="R.M.P."/>
    <s v="RM 348"/>
    <s v="Purchase Withinstate - Raw Material"/>
    <s v="PIL1/D/1123"/>
    <d v="2026-07-20T00:00:00"/>
    <s v="SF"/>
    <s v="PP/PE Fabric"/>
    <x v="2"/>
    <s v="PP Laminated Fabric"/>
    <s v="PP Lam Fabric With UV"/>
    <n v="507"/>
    <n v="75284.429999999993"/>
    <s v="PP Lam Fabric With UV"/>
    <n v="428399.55"/>
    <n v="9"/>
    <n v="6775.6"/>
    <n v="9"/>
    <n v="6775.6"/>
    <n v="0"/>
    <n v="0"/>
    <n v="0"/>
    <n v="13551.2"/>
    <n v="0"/>
    <s v="24AAACO3087C1ZT"/>
    <s v="Kgs"/>
    <n v="63053300"/>
    <s v="Rs."/>
    <n v="1"/>
    <n v="507"/>
    <s v="India"/>
  </r>
  <r>
    <d v="2026-07-20T00:00:00"/>
    <s v="Plastene India ltd - Unit 1-Purchase"/>
    <s v="R.M.P."/>
    <s v="RM 348"/>
    <s v="Purchase Withinstate - Raw Material"/>
    <s v="PIL1/D/1123"/>
    <d v="2026-07-20T00:00:00"/>
    <s v="SF"/>
    <s v="PP/PE Fabric"/>
    <x v="2"/>
    <s v="PP Laminated Fabric"/>
    <s v="PP Lam Fabric With UV"/>
    <n v="375"/>
    <n v="56808.75"/>
    <s v="PP Lam Fabric With UV"/>
    <n v="0"/>
    <n v="9"/>
    <n v="5112.79"/>
    <n v="9"/>
    <n v="5112.79"/>
    <n v="0"/>
    <n v="0"/>
    <n v="0"/>
    <n v="10225.58"/>
    <n v="0"/>
    <s v="24AAACO3087C1ZT"/>
    <s v="Kgs"/>
    <n v="63053300"/>
    <s v="Rs."/>
    <n v="1"/>
    <n v="375"/>
    <s v="India"/>
  </r>
  <r>
    <d v="2026-07-20T00:00:00"/>
    <s v="Plastene India ltd - Unit 1-Purchase"/>
    <s v="R.M.P."/>
    <s v="RM 348"/>
    <s v="Purchase Withinstate - Raw Material"/>
    <s v="PIL1/D/1123"/>
    <d v="2026-07-20T00:00:00"/>
    <s v="SF"/>
    <s v="Webbing"/>
    <x v="3"/>
    <s v="PP Webbing"/>
    <s v="Webbing"/>
    <n v="850.7"/>
    <n v="124619.04300000001"/>
    <s v="Webbing"/>
    <n v="0"/>
    <n v="9"/>
    <n v="11215.71"/>
    <n v="9"/>
    <n v="11215.71"/>
    <n v="0"/>
    <n v="0"/>
    <n v="0"/>
    <n v="22431.42"/>
    <n v="0"/>
    <s v="24AAACO3087C1ZT"/>
    <s v="Kgs"/>
    <n v="3926908"/>
    <s v="Rs."/>
    <n v="1"/>
    <n v="850.7"/>
    <s v="India"/>
  </r>
  <r>
    <d v="2026-07-20T00:00:00"/>
    <s v="Plastene India ltd - Unit 1-Purchase"/>
    <s v="R.M.P."/>
    <s v="RM 348"/>
    <s v="Purchase Withinstate - Raw Material"/>
    <s v="PIL1/D/1123"/>
    <d v="2026-07-20T00:00:00"/>
    <s v="SF"/>
    <s v="Webbing"/>
    <x v="3"/>
    <s v="PP Webbing"/>
    <s v="Webbing"/>
    <n v="713.4"/>
    <n v="106646.166"/>
    <s v="Webbing"/>
    <n v="0"/>
    <n v="9"/>
    <n v="9598.15"/>
    <n v="9"/>
    <n v="9598.15"/>
    <n v="0"/>
    <n v="0"/>
    <n v="0"/>
    <n v="19196.3"/>
    <n v="0"/>
    <s v="24AAACO3087C1ZT"/>
    <s v="Kgs"/>
    <n v="3926908"/>
    <s v="Rs."/>
    <n v="1"/>
    <n v="713.4"/>
    <s v="India"/>
  </r>
  <r>
    <d v="2026-07-21T00:00:00"/>
    <s v="HCP Plastene Bulkpack Limited - Purchase"/>
    <s v="R.M.P."/>
    <s v="RM 350"/>
    <s v="Purchase Withinstate - Raw Material"/>
    <s v="HPBL/D/401"/>
    <d v="2026-07-20T00:00:00"/>
    <s v="SF"/>
    <s v="PP/PE Fabric"/>
    <x v="0"/>
    <s v="PP WOVEN FABRIC"/>
    <s v="PP UL Fabric With UV"/>
    <n v="3690"/>
    <n v="577448.1"/>
    <s v="PP UL Fabric With UV"/>
    <n v="680811.31"/>
    <n v="9"/>
    <n v="51970.33"/>
    <n v="9"/>
    <n v="51970.33"/>
    <n v="0"/>
    <n v="0"/>
    <n v="0"/>
    <n v="103940.66"/>
    <n v="0"/>
    <s v="24AABCG1282C2Z6"/>
    <s v="Kgs"/>
    <n v="39269080"/>
    <s v="Rs."/>
    <n v="1"/>
    <n v="3690"/>
    <s v="India"/>
  </r>
  <r>
    <d v="2026-07-21T00:00:00"/>
    <s v="Plastene India ltd - Unit 1-Purchase"/>
    <s v="R.M.P."/>
    <s v="RM 352"/>
    <s v="Purchase Withinstate - Raw Material"/>
    <s v="PIL1/D/1132"/>
    <d v="2026-07-21T00:00:00"/>
    <s v="SF"/>
    <s v="Webbing"/>
    <x v="3"/>
    <s v="PP Webbing"/>
    <s v="Webbing"/>
    <n v="519.5"/>
    <n v="76101.554999999993"/>
    <s v="Webbing"/>
    <n v="284778.74"/>
    <n v="9"/>
    <n v="6849.14"/>
    <n v="9"/>
    <n v="6849.14"/>
    <n v="0"/>
    <n v="0"/>
    <n v="0"/>
    <n v="13698.28"/>
    <n v="0"/>
    <s v="24AAACO3087C1ZT"/>
    <s v="Kgs"/>
    <n v="3926908"/>
    <s v="Rs."/>
    <n v="1"/>
    <n v="519.5"/>
    <s v="India"/>
  </r>
  <r>
    <d v="2026-07-21T00:00:00"/>
    <s v="Plastene India ltd - Unit 1-Purchase"/>
    <s v="R.M.P."/>
    <s v="RM 352"/>
    <s v="Purchase Withinstate - Raw Material"/>
    <s v="PIL1/D/1132"/>
    <d v="2026-07-21T00:00:00"/>
    <s v="SF"/>
    <s v="PP/PE Fabric"/>
    <x v="0"/>
    <s v="PP WOVEN FABRIC"/>
    <s v="PP UL Fabric With UV"/>
    <n v="1145"/>
    <n v="165441.04999999999"/>
    <s v="PP UL Fabric With UV"/>
    <n v="0"/>
    <n v="9"/>
    <n v="14889.69"/>
    <n v="9"/>
    <n v="14889.69"/>
    <n v="0"/>
    <n v="0"/>
    <n v="0"/>
    <n v="29779.38"/>
    <n v="0"/>
    <s v="24AAACO3087C1ZT"/>
    <s v="Kgs"/>
    <n v="39269080"/>
    <s v="Rs."/>
    <n v="1"/>
    <n v="1145"/>
    <s v="India"/>
  </r>
  <r>
    <d v="2026-07-21T00:00:00"/>
    <s v="Plastene India ltd - Unit 1-Purchase"/>
    <s v="R.M.P."/>
    <s v="RM 353"/>
    <s v="Purchase Withinstate - Raw Material"/>
    <s v="PIL1/D/1135"/>
    <d v="2026-07-21T00:00:00"/>
    <s v="RM"/>
    <s v="Granules"/>
    <x v="17"/>
    <s v="FILLER CACO3"/>
    <s v="Filler Soltex PTUFF23"/>
    <n v="6000"/>
    <n v="234000"/>
    <s v="Filler Soltex PTUFF23"/>
    <n v="275886"/>
    <n v="9"/>
    <n v="21060"/>
    <n v="9"/>
    <n v="21060"/>
    <n v="0"/>
    <n v="0"/>
    <n v="0"/>
    <n v="42120"/>
    <n v="0"/>
    <s v="24AAACO3087C1ZT"/>
    <s v="Kgs"/>
    <n v="32041990"/>
    <s v="Rs."/>
    <n v="1"/>
    <n v="6000"/>
    <s v="India"/>
  </r>
  <r>
    <d v="2026-07-21T00:00:00"/>
    <s v="Plastene India ltd - Unit 1-Purchase"/>
    <s v="R.M.P."/>
    <s v="RM 354"/>
    <s v="Purchase Withinstate - Raw Material"/>
    <s v="PIL1/D/1140"/>
    <d v="2026-07-21T00:00:00"/>
    <s v="SF"/>
    <s v="PP/PE Fabric"/>
    <x v="0"/>
    <s v="PP WOVEN FABRIC"/>
    <s v="PP UL Fabric With UV"/>
    <n v="5478"/>
    <n v="818906.22"/>
    <s v="PP UL Fabric With UV"/>
    <n v="1208385.1299999999"/>
    <n v="9"/>
    <n v="73701.56"/>
    <n v="9"/>
    <n v="73701.56"/>
    <n v="0"/>
    <n v="0"/>
    <n v="0"/>
    <n v="147403.12"/>
    <n v="0"/>
    <s v="24AAACO3087C1ZT"/>
    <s v="Kgs"/>
    <n v="39269080"/>
    <s v="Rs."/>
    <n v="1"/>
    <n v="5478"/>
    <s v="India"/>
  </r>
  <r>
    <d v="2026-07-21T00:00:00"/>
    <s v="Plastene India ltd - Unit 1-Purchase"/>
    <s v="R.M.P."/>
    <s v="RM 354"/>
    <s v="Purchase Withinstate - Raw Material"/>
    <s v="PIL1/D/1140"/>
    <d v="2026-07-21T00:00:00"/>
    <s v="SF"/>
    <s v="Tape Stock"/>
    <x v="19"/>
    <s v="PP TAPE"/>
    <s v="PP Tapes"/>
    <n v="91"/>
    <n v="12511.59"/>
    <s v="PP Tapes"/>
    <n v="0"/>
    <n v="9"/>
    <n v="1126.04"/>
    <n v="9"/>
    <n v="1126.04"/>
    <n v="0"/>
    <n v="0"/>
    <n v="0"/>
    <n v="2252.08"/>
    <n v="0"/>
    <s v="24AAACO3087C1ZT"/>
    <s v="Kgs"/>
    <n v="39199090"/>
    <s v="Rs."/>
    <n v="1"/>
    <n v="91"/>
    <s v="India"/>
  </r>
  <r>
    <d v="2026-07-21T00:00:00"/>
    <s v="Plastene India ltd - Unit 1-Purchase"/>
    <s v="R.M.P."/>
    <s v="RM 354"/>
    <s v="Purchase Withinstate - Raw Material"/>
    <s v="PIL1/D/1140"/>
    <d v="2026-07-21T00:00:00"/>
    <s v="SF"/>
    <s v="Webbing"/>
    <x v="3"/>
    <s v="PP Webbing"/>
    <s v="Webbing"/>
    <n v="559.1"/>
    <n v="83579.858999999997"/>
    <s v="Webbing"/>
    <n v="0"/>
    <n v="9"/>
    <n v="7522.19"/>
    <n v="9"/>
    <n v="7522.19"/>
    <n v="0"/>
    <n v="0"/>
    <n v="0"/>
    <n v="15044.38"/>
    <n v="0"/>
    <s v="24AAACO3087C1ZT"/>
    <s v="Kgs"/>
    <n v="3926908"/>
    <s v="Rs."/>
    <n v="1"/>
    <n v="559.1"/>
    <s v="India"/>
  </r>
  <r>
    <d v="2026-07-21T00:00:00"/>
    <s v="Plastene India ltd - Unit 1-Purchase"/>
    <s v="R.M.P."/>
    <s v="RM 354"/>
    <s v="Purchase Withinstate - Raw Material"/>
    <s v="PIL1/D/1140"/>
    <d v="2026-07-21T00:00:00"/>
    <s v="SF"/>
    <s v="Webbing"/>
    <x v="3"/>
    <s v="PP Webbing"/>
    <s v="Webbing"/>
    <n v="750.4"/>
    <n v="109926.09600000001"/>
    <s v="Webbing"/>
    <n v="0"/>
    <n v="9"/>
    <n v="9893.35"/>
    <n v="9"/>
    <n v="9893.35"/>
    <n v="0"/>
    <n v="0"/>
    <n v="0"/>
    <n v="19786.7"/>
    <n v="0"/>
    <s v="24AAACO3087C1ZT"/>
    <s v="Kgs"/>
    <n v="3926908"/>
    <s v="Rs."/>
    <n v="1"/>
    <n v="750.4"/>
    <s v="India"/>
  </r>
  <r>
    <d v="2026-07-21T00:00:00"/>
    <s v="Plastene India ltd - Unit 2-Purchase"/>
    <s v="R.M.P."/>
    <s v="RM 351"/>
    <s v="Purchase Withinstate - Raw Material"/>
    <s v="PIL2/D/396"/>
    <d v="2026-07-20T00:00:00"/>
    <s v="SF"/>
    <s v="PP/PE Fabric"/>
    <x v="0"/>
    <s v="PP WOVEN FABRIC"/>
    <s v="PP UL Fabric With UV"/>
    <n v="3239"/>
    <n v="395158"/>
    <s v="PP UL Fabric With UV"/>
    <n v="653281.4"/>
    <n v="9"/>
    <n v="35564.22"/>
    <n v="9"/>
    <n v="35564.22"/>
    <n v="0"/>
    <n v="0"/>
    <n v="0"/>
    <n v="71128.44"/>
    <n v="0"/>
    <s v="24AAACO3087C1ZT"/>
    <s v="Kgs"/>
    <n v="39269080"/>
    <s v="Rs."/>
    <n v="1"/>
    <n v="3239"/>
    <s v="India"/>
  </r>
  <r>
    <d v="2026-07-21T00:00:00"/>
    <s v="Plastene India ltd - Unit 2-Purchase"/>
    <s v="R.M.P."/>
    <s v="RM 351"/>
    <s v="Purchase Withinstate - Raw Material"/>
    <s v="PIL2/D/396"/>
    <d v="2026-07-20T00:00:00"/>
    <s v="SF"/>
    <s v="Webbing"/>
    <x v="3"/>
    <s v="PP Webbing"/>
    <s v="Webbing"/>
    <n v="1064.2"/>
    <n v="115572.12"/>
    <s v="Webbing"/>
    <n v="0"/>
    <n v="9"/>
    <n v="10401.49"/>
    <n v="9"/>
    <n v="10401.49"/>
    <n v="0"/>
    <n v="0"/>
    <n v="0"/>
    <n v="20802.98"/>
    <n v="0"/>
    <s v="24AAACO3087C1ZT"/>
    <s v="Kgs"/>
    <n v="3926908"/>
    <s v="Rs."/>
    <n v="1"/>
    <n v="1064.2"/>
    <s v="India"/>
  </r>
  <r>
    <d v="2026-07-21T00:00:00"/>
    <s v="Plastene India ltd - Unit 2-Purchase"/>
    <s v="R.M.P."/>
    <s v="RM 351"/>
    <s v="Purchase Withinstate - Raw Material"/>
    <s v="PIL2/D/396"/>
    <d v="2026-07-20T00:00:00"/>
    <s v="SF"/>
    <s v="Webbing"/>
    <x v="3"/>
    <s v="PP Webbing"/>
    <s v="Webbing"/>
    <n v="388.6"/>
    <n v="43367.76"/>
    <s v="Webbing"/>
    <n v="0"/>
    <n v="9"/>
    <n v="3903.1"/>
    <n v="9"/>
    <n v="3903.1"/>
    <n v="0"/>
    <n v="0"/>
    <n v="0"/>
    <n v="7806.2"/>
    <n v="0"/>
    <s v="24AAACO3087C1ZT"/>
    <s v="Kgs"/>
    <n v="3926908"/>
    <s v="Rs."/>
    <n v="1"/>
    <n v="388.6"/>
    <s v="India"/>
  </r>
  <r>
    <d v="2026-07-22T00:00:00"/>
    <s v="Plastene India ltd - Unit 1-Purchase"/>
    <s v="R.M.P."/>
    <s v="RM 355"/>
    <s v="Purchase Withinstate - Raw Material"/>
    <s v="PIL1/D/1151"/>
    <d v="2026-07-22T00:00:00"/>
    <s v="SF"/>
    <s v="PP/PE Fabric"/>
    <x v="0"/>
    <s v="PP WOVEN FABRIC"/>
    <s v="PP UL Fabric With UV"/>
    <n v="1412"/>
    <n v="211079.88"/>
    <s v="PP UL Fabric With UV"/>
    <n v="671069.51"/>
    <n v="9"/>
    <n v="18997.189999999999"/>
    <n v="9"/>
    <n v="18997.189999999999"/>
    <n v="0"/>
    <n v="0"/>
    <n v="0"/>
    <n v="37994.379999999997"/>
    <n v="0"/>
    <s v="24AAACO3087C1ZT"/>
    <s v="Kgs"/>
    <n v="39269080"/>
    <s v="Rs."/>
    <n v="1"/>
    <n v="1412"/>
    <s v="India"/>
  </r>
  <r>
    <d v="2026-07-22T00:00:00"/>
    <s v="Plastene India ltd - Unit 1-Purchase"/>
    <s v="R.M.P."/>
    <s v="RM 355"/>
    <s v="Purchase Withinstate - Raw Material"/>
    <s v="PIL1/D/1151"/>
    <d v="2026-07-22T00:00:00"/>
    <s v="SF"/>
    <s v="Webbing"/>
    <x v="3"/>
    <s v="PP Webbing"/>
    <s v="Webbing"/>
    <n v="1253.5999999999999"/>
    <n v="187400.66"/>
    <s v="Webbing"/>
    <n v="0"/>
    <n v="9"/>
    <n v="16866.060000000001"/>
    <n v="9"/>
    <n v="16866.060000000001"/>
    <n v="0"/>
    <n v="0"/>
    <n v="0"/>
    <n v="33732.120000000003"/>
    <n v="0"/>
    <s v="24AAACO3087C1ZT"/>
    <s v="Kgs"/>
    <n v="3926908"/>
    <s v="Rs."/>
    <n v="1"/>
    <n v="1253.5999999999999"/>
    <s v="India"/>
  </r>
  <r>
    <d v="2026-07-22T00:00:00"/>
    <s v="Plastene India ltd - Unit 1-Purchase"/>
    <s v="R.M.P."/>
    <s v="RM 355"/>
    <s v="Purchase Withinstate - Raw Material"/>
    <s v="PIL1/D/1151"/>
    <d v="2026-07-22T00:00:00"/>
    <s v="SF"/>
    <s v="Webbing"/>
    <x v="3"/>
    <s v="PP Webbing"/>
    <s v="Webbing"/>
    <n v="1165.3"/>
    <n v="170704.8"/>
    <s v="Webbing"/>
    <n v="0"/>
    <n v="9"/>
    <n v="15363.43"/>
    <n v="9"/>
    <n v="15363.43"/>
    <n v="0"/>
    <n v="0"/>
    <n v="0"/>
    <n v="30726.86"/>
    <n v="0"/>
    <s v="24AAACO3087C1ZT"/>
    <s v="Kgs"/>
    <n v="3926908"/>
    <s v="Rs."/>
    <n v="1"/>
    <n v="1165.3"/>
    <s v="India"/>
  </r>
  <r>
    <d v="2026-07-22T00:00:00"/>
    <s v="Plastene India ltd - Unit 1-Purchase"/>
    <s v="R.M.P."/>
    <s v="RM 356"/>
    <s v="Purchase Withinstate - Raw Material"/>
    <s v="PIL1/D/1153"/>
    <d v="2026-07-22T00:00:00"/>
    <s v="RM"/>
    <s v="Granules"/>
    <x v="10"/>
    <s v="Master Batch"/>
    <s v="MB Colman Shiny Black ( RD Black-01 )"/>
    <n v="100"/>
    <n v="15500"/>
    <s v="MB Colman Shiny Black ( RD Black-01 )"/>
    <n v="18274.5"/>
    <n v="9"/>
    <n v="1395"/>
    <n v="9"/>
    <n v="1395"/>
    <n v="0"/>
    <n v="0"/>
    <n v="0"/>
    <n v="2790"/>
    <n v="0"/>
    <s v="24AAACO3087C1ZT"/>
    <s v="Kgs"/>
    <n v="32064990"/>
    <s v="Rs."/>
    <n v="1"/>
    <n v="100"/>
    <s v="India"/>
  </r>
  <r>
    <d v="2026-07-23T00:00:00"/>
    <s v="HCP Plastene Bulkpack Limited - Purchase"/>
    <s v="R.M.P."/>
    <s v="RM 358"/>
    <s v="Purchase Withinstate - Raw Material"/>
    <s v="HPBL/D/408"/>
    <d v="2026-07-22T00:00:00"/>
    <s v="SF"/>
    <s v="PP/PE Fabric"/>
    <x v="0"/>
    <s v="PP WOVEN FABRIC"/>
    <s v="PP UL Fabric With UV"/>
    <n v="651"/>
    <n v="103827.99"/>
    <s v="PP UL Fabric With UV"/>
    <n v="644368.54"/>
    <n v="9"/>
    <n v="9344.52"/>
    <n v="9"/>
    <n v="9344.52"/>
    <n v="0"/>
    <n v="0"/>
    <n v="0"/>
    <n v="18689.04"/>
    <n v="0"/>
    <s v="24AABCG1282C2Z6"/>
    <s v="Kgs"/>
    <n v="39269080"/>
    <s v="Rs."/>
    <n v="1"/>
    <n v="651"/>
    <s v="India"/>
  </r>
  <r>
    <d v="2026-07-23T00:00:00"/>
    <s v="HCP Plastene Bulkpack Limited - Purchase"/>
    <s v="R.M.P."/>
    <s v="RM 358"/>
    <s v="Purchase Withinstate - Raw Material"/>
    <s v="HPBL/D/408"/>
    <d v="2026-07-22T00:00:00"/>
    <s v="SF"/>
    <s v="PP/PE Fabric"/>
    <x v="0"/>
    <s v="PP WOVEN FABRIC"/>
    <s v="PP UL Fabric With UV"/>
    <n v="2829"/>
    <n v="442710.21"/>
    <s v="PP UL Fabric With UV"/>
    <n v="0"/>
    <n v="9"/>
    <n v="39843.919999999998"/>
    <n v="9"/>
    <n v="39843.919999999998"/>
    <n v="0"/>
    <n v="0"/>
    <n v="0"/>
    <n v="79687.839999999997"/>
    <n v="0"/>
    <s v="24AABCG1282C2Z6"/>
    <s v="Kgs"/>
    <n v="39269080"/>
    <s v="Rs."/>
    <n v="1"/>
    <n v="2829"/>
    <s v="India"/>
  </r>
  <r>
    <d v="2026-07-23T00:00:00"/>
    <s v="K.P. Woven Pvt Ltd-Purchase"/>
    <s v="R.M.P."/>
    <s v="RM 360"/>
    <s v="Purchase Withinstate - Raw Material"/>
    <s v="KPV/D/508"/>
    <d v="2026-07-22T00:00:00"/>
    <s v="FG"/>
    <s v="FIBC Bags"/>
    <x v="9"/>
    <s v="FIBC"/>
    <s v="FIBC Bags With UV Without Liner"/>
    <n v="853.8"/>
    <n v="220177.94399999999"/>
    <s v="FIBC Bags With UV Without Liner"/>
    <n v="988072.29"/>
    <n v="9"/>
    <n v="19816.009999999998"/>
    <n v="9"/>
    <n v="19816.009999999998"/>
    <n v="0"/>
    <n v="0"/>
    <n v="0"/>
    <n v="39632.019999999997"/>
    <n v="0"/>
    <s v="24AAECK6307M1ZF"/>
    <s v="Kgs"/>
    <n v="63053200"/>
    <s v="Rs."/>
    <n v="1"/>
    <n v="853.8"/>
    <s v="India"/>
  </r>
  <r>
    <d v="2026-07-23T00:00:00"/>
    <s v="K.P. Woven Pvt Ltd-Purchase"/>
    <s v="R.M.P."/>
    <s v="RM 360"/>
    <s v="Purchase Withinstate - Raw Material"/>
    <s v="KPV/D/508"/>
    <d v="2026-07-22T00:00:00"/>
    <s v="FG"/>
    <s v="FIBC Bags"/>
    <x v="9"/>
    <s v="FIBC"/>
    <s v="FIBC Bags With UV Without Liner"/>
    <n v="2407.3000000000002"/>
    <n v="617881.69099999999"/>
    <s v="FIBC Bags With UV Without Liner"/>
    <n v="0"/>
    <n v="9"/>
    <n v="55609.35"/>
    <n v="9"/>
    <n v="55609.35"/>
    <n v="0"/>
    <n v="0"/>
    <n v="0"/>
    <n v="111218.7"/>
    <n v="0"/>
    <s v="24AAECK6307M1ZF"/>
    <s v="Kgs"/>
    <n v="63053200"/>
    <s v="Rs."/>
    <n v="1"/>
    <n v="2407.3000000000002"/>
    <s v="India"/>
  </r>
  <r>
    <d v="2026-07-23T00:00:00"/>
    <s v="Plastene India ltd - Unit 1-Purchase"/>
    <s v="R.M.P."/>
    <s v="RM 357"/>
    <s v="Purchase Withinstate - Raw Material"/>
    <s v="PIL1/D/1154"/>
    <d v="2026-07-22T00:00:00"/>
    <s v="SF"/>
    <s v="Webbing"/>
    <x v="3"/>
    <s v="PP Webbing"/>
    <s v="Webbing"/>
    <n v="494"/>
    <n v="72366.06"/>
    <s v="Webbing"/>
    <n v="260102.51"/>
    <n v="9"/>
    <n v="6512.95"/>
    <n v="9"/>
    <n v="6512.95"/>
    <n v="0"/>
    <n v="0"/>
    <n v="0"/>
    <n v="13025.9"/>
    <n v="0"/>
    <s v="24AAACO3087C1ZT"/>
    <s v="Kgs"/>
    <n v="3926908"/>
    <s v="Rs."/>
    <n v="1"/>
    <n v="494"/>
    <s v="India"/>
  </r>
  <r>
    <d v="2026-07-23T00:00:00"/>
    <s v="Plastene India ltd - Unit 1-Purchase"/>
    <s v="R.M.P."/>
    <s v="RM 357"/>
    <s v="Purchase Withinstate - Raw Material"/>
    <s v="PIL1/D/1154"/>
    <d v="2026-07-22T00:00:00"/>
    <s v="SF"/>
    <s v="PP/PE Fabric"/>
    <x v="0"/>
    <s v="PP WOVEN FABRIC"/>
    <s v="PP UL Fabric With UV"/>
    <n v="1026"/>
    <n v="148246.74"/>
    <s v="PP UL Fabric With UV"/>
    <n v="0"/>
    <n v="9"/>
    <n v="13342.21"/>
    <n v="9"/>
    <n v="13342.21"/>
    <n v="0"/>
    <n v="0"/>
    <n v="0"/>
    <n v="26684.42"/>
    <n v="0"/>
    <s v="24AAACO3087C1ZT"/>
    <s v="Kgs"/>
    <n v="39269080"/>
    <s v="Rs."/>
    <n v="1"/>
    <n v="1026"/>
    <s v="India"/>
  </r>
  <r>
    <d v="2026-07-23T00:00:00"/>
    <s v="Plastene India ltd - Unit 1-Purchase"/>
    <s v="R.M.P."/>
    <s v="RM 359"/>
    <s v="Purchase Withinstate - Raw Material"/>
    <s v="PIL1/D/1163"/>
    <d v="2026-07-23T00:00:00"/>
    <s v="SF"/>
    <s v="Webbing"/>
    <x v="3"/>
    <s v="PP Webbing"/>
    <s v="Webbing"/>
    <n v="1207.3"/>
    <n v="180479.277"/>
    <s v="Webbing"/>
    <n v="434000"/>
    <n v="9"/>
    <n v="16243.13"/>
    <n v="9"/>
    <n v="16243.13"/>
    <n v="0"/>
    <n v="0"/>
    <n v="0"/>
    <n v="32486.26"/>
    <n v="0"/>
    <s v="24AAACO3087C1ZT"/>
    <s v="Kgs"/>
    <n v="3926908"/>
    <s v="Rs."/>
    <n v="1"/>
    <n v="1207.3"/>
    <s v="India"/>
  </r>
  <r>
    <d v="2026-07-23T00:00:00"/>
    <s v="Plastene India ltd - Unit 1-Purchase"/>
    <s v="R.M.P."/>
    <s v="RM 359"/>
    <s v="Purchase Withinstate - Raw Material"/>
    <s v="PIL1/D/1163"/>
    <d v="2026-07-23T00:00:00"/>
    <s v="SF"/>
    <s v="Webbing"/>
    <x v="3"/>
    <s v="PP Webbing"/>
    <s v="Webbing"/>
    <n v="1123.7"/>
    <n v="164610.81299999999"/>
    <s v="Webbing"/>
    <n v="0"/>
    <n v="9"/>
    <n v="14814.97"/>
    <n v="9"/>
    <n v="14814.97"/>
    <n v="0"/>
    <n v="0"/>
    <n v="0"/>
    <n v="29629.94"/>
    <n v="0"/>
    <s v="24AAACO3087C1ZT"/>
    <s v="Kgs"/>
    <n v="3926908"/>
    <s v="Rs."/>
    <n v="1"/>
    <n v="1123.7"/>
    <s v="India"/>
  </r>
  <r>
    <d v="2026-07-23T00:00:00"/>
    <s v="Plastene India ltd - Unit 1-Purchase"/>
    <s v="R.M.P."/>
    <s v="RM 359"/>
    <s v="Purchase Withinstate - Raw Material"/>
    <s v="PIL1/D/1163"/>
    <d v="2026-07-23T00:00:00"/>
    <s v="SF"/>
    <s v="Yarn All"/>
    <x v="6"/>
    <s v="Yarn"/>
    <s v="PP Braided Rope MW 6 to 8 GPM"/>
    <n v="160.69999999999999"/>
    <n v="25871.093000000001"/>
    <s v="PP Braided Rope MW 6 to 8 GPM"/>
    <n v="0"/>
    <n v="2.5"/>
    <n v="646.78"/>
    <n v="2.5"/>
    <n v="646.78"/>
    <n v="0"/>
    <n v="0"/>
    <n v="0"/>
    <n v="1293.56"/>
    <n v="0"/>
    <s v="24AAACO3087C1ZT"/>
    <s v="Kgs"/>
    <n v="540269"/>
    <s v="Rs."/>
    <n v="1"/>
    <n v="160.69999999999999"/>
    <s v="India"/>
  </r>
  <r>
    <d v="2026-07-24T00:00:00"/>
    <s v="Plastene India ltd - Unit 1-Purchase"/>
    <s v="R.M.P."/>
    <s v="RM 362"/>
    <s v="Purchase Withinstate - Raw Material"/>
    <s v="PIL1/D/1166"/>
    <d v="2026-07-24T00:00:00"/>
    <s v="SF"/>
    <s v="PP/PE Fabric"/>
    <x v="0"/>
    <s v="PP WOVEN FABRIC"/>
    <s v="PP UL Fabric With UV"/>
    <n v="892"/>
    <n v="133345.07999999999"/>
    <s v="PP UL Fabric With UV"/>
    <n v="157213.85"/>
    <n v="9"/>
    <n v="12001.06"/>
    <n v="9"/>
    <n v="12001.06"/>
    <n v="0"/>
    <n v="0"/>
    <n v="0"/>
    <n v="24002.12"/>
    <n v="0"/>
    <s v="24AAACO3087C1ZT"/>
    <s v="Kgs"/>
    <n v="39269080"/>
    <s v="Rs."/>
    <n v="1"/>
    <n v="892"/>
    <s v="India"/>
  </r>
  <r>
    <d v="2026-07-24T00:00:00"/>
    <s v="Plastene India ltd - Unit 1-Purchase"/>
    <s v="R.M.P."/>
    <s v="RM 363"/>
    <s v="Purchase Withinstate - Raw Material"/>
    <s v="PIL1/D/1170"/>
    <d v="2026-07-24T00:00:00"/>
    <s v="RM"/>
    <s v="Granules"/>
    <x v="7"/>
    <s v="LDPE Granuels"/>
    <s v="LLDPE KUNLUN DFDA9047"/>
    <n v="5000"/>
    <n v="622000"/>
    <s v="LLDPE KUNLUN DFDA9047"/>
    <n v="733338"/>
    <n v="9"/>
    <n v="55980"/>
    <n v="9"/>
    <n v="55980"/>
    <n v="0"/>
    <n v="0"/>
    <n v="0"/>
    <n v="111960"/>
    <n v="0"/>
    <s v="24AAACO3087C1ZT"/>
    <s v="Kgs"/>
    <n v="39014000"/>
    <s v="Rs."/>
    <n v="1"/>
    <n v="5000"/>
    <s v="India"/>
  </r>
  <r>
    <d v="2026-07-24T00:00:00"/>
    <s v="Vyankatesh Udyog (I) Pvt Ltd - Purchase"/>
    <s v="R.M.P."/>
    <s v="RM 361"/>
    <s v="Purchase Interstate - Raw Material"/>
    <s v="1156/26-27"/>
    <d v="2026-07-16T00:00:00"/>
    <s v="RM Consumables"/>
    <s v="Ink"/>
    <x v="20"/>
    <s v="INK"/>
    <s v="Ink Vyankatesh Poly Process Blue VLX 643"/>
    <n v="50"/>
    <n v="15550"/>
    <s v="Ink Vyankatesh Poly Process Blue VLX 643"/>
    <n v="277058"/>
    <n v="0"/>
    <n v="0"/>
    <n v="0"/>
    <n v="0"/>
    <n v="18"/>
    <n v="2799"/>
    <n v="0"/>
    <n v="2799"/>
    <n v="0"/>
    <s v="27AAECV8365Q1ZC"/>
    <s v="Kgs"/>
    <n v="32151990"/>
    <s v="Rs."/>
    <n v="1"/>
    <n v="50"/>
    <s v="India"/>
  </r>
  <r>
    <d v="2026-07-24T00:00:00"/>
    <s v="Vyankatesh Udyog (I) Pvt Ltd - Purchase"/>
    <s v="R.M.P."/>
    <s v="RM 361"/>
    <s v="Purchase Interstate - Raw Material"/>
    <s v="1156/26-27"/>
    <d v="2026-07-16T00:00:00"/>
    <s v="RM Consumables"/>
    <s v="Ink"/>
    <x v="20"/>
    <s v="INK"/>
    <s v="Ink Vyankatesh Poly Process Yellow VLX 671"/>
    <n v="50"/>
    <n v="14100"/>
    <s v="Ink Vyankatesh Poly Process Yellow VLX 671"/>
    <n v="0"/>
    <n v="0"/>
    <n v="0"/>
    <n v="0"/>
    <n v="0"/>
    <n v="18"/>
    <n v="2538"/>
    <n v="0"/>
    <n v="2538"/>
    <n v="0"/>
    <s v="27AAECV8365Q1ZC"/>
    <s v="Kgs"/>
    <n v="84485900"/>
    <s v="Rs."/>
    <n v="1"/>
    <n v="50"/>
    <s v="India"/>
  </r>
  <r>
    <d v="2026-07-24T00:00:00"/>
    <s v="Vyankatesh Udyog (I) Pvt Ltd - Purchase"/>
    <s v="R.M.P."/>
    <s v="RM 361"/>
    <s v="Purchase Interstate - Raw Material"/>
    <s v="1156/26-27"/>
    <d v="2026-07-16T00:00:00"/>
    <s v="RM Consumables"/>
    <s v="Ink"/>
    <x v="20"/>
    <s v="INK"/>
    <s v="Ink Vyankatesh Poly Reflex Blue VLX 573"/>
    <n v="50"/>
    <n v="16500"/>
    <s v="Ink Vyankatesh Poly Reflex Blue VLX 573"/>
    <n v="0"/>
    <n v="0"/>
    <n v="0"/>
    <n v="0"/>
    <n v="0"/>
    <n v="18"/>
    <n v="2970"/>
    <n v="0"/>
    <n v="2970"/>
    <n v="0"/>
    <s v="27AAECV8365Q1ZC"/>
    <s v="Kgs"/>
    <n v="32151910"/>
    <s v="Rs."/>
    <n v="1"/>
    <n v="50"/>
    <s v="India"/>
  </r>
  <r>
    <d v="2026-07-24T00:00:00"/>
    <s v="Vyankatesh Udyog (I) Pvt Ltd - Purchase"/>
    <s v="R.M.P."/>
    <s v="RM 361"/>
    <s v="Purchase Interstate - Raw Material"/>
    <s v="1156/26-27"/>
    <d v="2026-07-16T00:00:00"/>
    <s v="RM Consumables"/>
    <s v="Ink"/>
    <x v="20"/>
    <s v="INK"/>
    <s v="Ink Vyankatesh Poly Robbin Red VLX 876"/>
    <n v="25"/>
    <n v="6925"/>
    <s v="Ink Vyankatesh Poly Robbin Red VLX 876"/>
    <n v="0"/>
    <n v="0"/>
    <n v="0"/>
    <n v="0"/>
    <n v="0"/>
    <n v="18"/>
    <n v="1246.5"/>
    <n v="0"/>
    <n v="1246.5"/>
    <n v="0"/>
    <s v="27AAECV8365Q1ZC"/>
    <s v="Kgs"/>
    <n v="84529099"/>
    <s v="Rs."/>
    <n v="1"/>
    <n v="25"/>
    <s v="India"/>
  </r>
  <r>
    <d v="2026-07-24T00:00:00"/>
    <s v="Vyankatesh Udyog (I) Pvt Ltd - Purchase"/>
    <s v="R.M.P."/>
    <s v="RM 361"/>
    <s v="Purchase Interstate - Raw Material"/>
    <s v="1156/26-27"/>
    <d v="2026-07-16T00:00:00"/>
    <s v="RM Consumables"/>
    <s v="Ink"/>
    <x v="20"/>
    <s v="INK"/>
    <s v="Ink Vyankatesh Poly Warm Red C VLX 607"/>
    <n v="50"/>
    <n v="14250"/>
    <s v="Ink Vyankatesh Poly Warm Red C VLX 607"/>
    <n v="0"/>
    <n v="0"/>
    <n v="0"/>
    <n v="0"/>
    <n v="0"/>
    <n v="18"/>
    <n v="2565"/>
    <n v="0"/>
    <n v="2565"/>
    <n v="0"/>
    <s v="27AAECV8365Q1ZC"/>
    <s v="Kgs"/>
    <n v="32151910"/>
    <s v="Rs."/>
    <n v="1"/>
    <n v="50"/>
    <s v="India"/>
  </r>
  <r>
    <d v="2026-07-24T00:00:00"/>
    <s v="Vyankatesh Udyog (I) Pvt Ltd - Purchase"/>
    <s v="R.M.P."/>
    <s v="RM 361"/>
    <s v="Purchase Interstate - Raw Material"/>
    <s v="1156/26-27"/>
    <d v="2026-07-16T00:00:00"/>
    <s v="RM Consumables"/>
    <s v="Ink"/>
    <x v="20"/>
    <s v="INK"/>
    <s v="Ink Vyankatesh Poly Orange 021 C VLX 528"/>
    <n v="50"/>
    <n v="14250"/>
    <s v="Ink Vyankatesh Poly Orange 021 C VLX 528"/>
    <n v="0"/>
    <n v="0"/>
    <n v="0"/>
    <n v="0"/>
    <n v="0"/>
    <n v="18"/>
    <n v="2565"/>
    <n v="0"/>
    <n v="2565"/>
    <n v="0"/>
    <s v="27AAECV8365Q1ZC"/>
    <s v="Kgs"/>
    <n v="32151910"/>
    <s v="Rs."/>
    <n v="1"/>
    <n v="50"/>
    <s v="India"/>
  </r>
  <r>
    <d v="2026-07-24T00:00:00"/>
    <s v="Vyankatesh Udyog (I) Pvt Ltd - Purchase"/>
    <s v="R.M.P."/>
    <s v="RM 361"/>
    <s v="Purchase Interstate - Raw Material"/>
    <s v="1156/26-27"/>
    <d v="2026-07-16T00:00:00"/>
    <s v="RM Consumables"/>
    <s v="Ink"/>
    <x v="18"/>
    <s v="Thinner"/>
    <s v="Thinner Vyankatesh Thinner"/>
    <n v="1190"/>
    <n v="128520"/>
    <s v="Thinner Vyankatesh Thinner"/>
    <n v="0"/>
    <n v="0"/>
    <n v="0"/>
    <n v="0"/>
    <n v="0"/>
    <n v="18"/>
    <n v="23133.599999999999"/>
    <n v="0"/>
    <n v="23133.599999999999"/>
    <n v="0"/>
    <s v="27AAECV8365Q1ZC"/>
    <s v="Kgs"/>
    <n v="38140010"/>
    <s v="Rs."/>
    <n v="1"/>
    <n v="1190"/>
    <s v="India"/>
  </r>
  <r>
    <d v="2026-07-24T00:00:00"/>
    <s v="Vyankatesh Udyog (I) Pvt Ltd - Purchase"/>
    <s v="R.M.P."/>
    <s v="RM 361"/>
    <s v="Purchase Interstate - Raw Material"/>
    <s v="1156/26-27"/>
    <d v="2026-07-16T00:00:00"/>
    <s v="RM Consumables"/>
    <s v="Ink"/>
    <x v="20"/>
    <s v="INK"/>
    <s v="Ink Vyankatesh White VLX 624 Tape Tested"/>
    <n v="50"/>
    <n v="13850"/>
    <s v="Ink Vyankatesh White VLX 624 Tape Tested"/>
    <n v="0"/>
    <n v="0"/>
    <n v="0"/>
    <n v="0"/>
    <n v="0"/>
    <n v="18"/>
    <n v="2493"/>
    <n v="0"/>
    <n v="2493"/>
    <n v="0"/>
    <s v="27AAECV8365Q1ZC"/>
    <s v="Kgs"/>
    <n v="321519"/>
    <s v="Rs."/>
    <n v="1"/>
    <n v="50"/>
    <s v="India"/>
  </r>
  <r>
    <d v="2026-07-24T00:00:00"/>
    <s v="Vyankatesh Udyog (I) Pvt Ltd - Purchase"/>
    <s v="R.M.P."/>
    <s v="RM 361"/>
    <s v="Purchase Interstate - Raw Material"/>
    <s v="1156/26-27"/>
    <d v="2026-07-16T00:00:00"/>
    <s v="RM Consumables"/>
    <s v="Ink"/>
    <x v="20"/>
    <s v="INK"/>
    <s v="Ink Vyankatesh Black VLX 579 Tape Tested"/>
    <n v="50"/>
    <n v="10850"/>
    <s v="Ink Vyankatesh Black VLX 579 Tape Tested"/>
    <n v="0"/>
    <n v="0"/>
    <n v="0"/>
    <n v="0"/>
    <n v="0"/>
    <n v="18"/>
    <n v="1953"/>
    <n v="0"/>
    <n v="1953"/>
    <n v="0"/>
    <s v="27AAECV8365Q1ZC"/>
    <s v="Kgs"/>
    <n v="32151910"/>
    <s v="Rs."/>
    <n v="1"/>
    <n v="50"/>
    <s v="India"/>
  </r>
  <r>
    <d v="2026-07-25T00:00:00"/>
    <s v="Plastene India ltd - Unit 1-Purchase"/>
    <s v="R.M.P."/>
    <s v="RM 364"/>
    <s v="Purchase Withinstate - Raw Material"/>
    <s v="PIL1/D/1179"/>
    <d v="2026-07-25T00:00:00"/>
    <s v="SF"/>
    <s v="Liners"/>
    <x v="1"/>
    <s v="LDPE/LLDPE Bags"/>
    <s v="LDPE/LLDPE Bags/Liner"/>
    <n v="1386"/>
    <n v="253333.08"/>
    <s v="LDPE/LLDPE Bags/Liner"/>
    <n v="1062680.03"/>
    <n v="9"/>
    <n v="22799.98"/>
    <n v="9"/>
    <n v="22799.98"/>
    <n v="0"/>
    <n v="0"/>
    <n v="0"/>
    <n v="45599.96"/>
    <n v="0"/>
    <s v="24AAACO3087C1ZT"/>
    <s v="Kgs"/>
    <n v="39200000"/>
    <s v="Rs."/>
    <n v="1"/>
    <n v="1386"/>
    <s v="India"/>
  </r>
  <r>
    <d v="2026-07-25T00:00:00"/>
    <s v="Plastene India ltd - Unit 1-Purchase"/>
    <s v="R.M.P."/>
    <s v="RM 364"/>
    <s v="Purchase Withinstate - Raw Material"/>
    <s v="PIL1/D/1179"/>
    <d v="2026-07-25T00:00:00"/>
    <s v="SF"/>
    <s v="PP/PE Fabric"/>
    <x v="2"/>
    <s v="PP Laminated Fabric"/>
    <s v="PP Lam Fabric With UV"/>
    <n v="1289"/>
    <n v="195270.61"/>
    <s v="PP Lam Fabric With UV"/>
    <n v="0"/>
    <n v="9"/>
    <n v="17574.349999999999"/>
    <n v="9"/>
    <n v="17574.349999999999"/>
    <n v="0"/>
    <n v="0"/>
    <n v="0"/>
    <n v="35148.699999999997"/>
    <n v="0"/>
    <s v="24AAACO3087C1ZT"/>
    <s v="Kgs"/>
    <n v="63053300"/>
    <s v="Rs."/>
    <n v="1"/>
    <n v="1289"/>
    <s v="India"/>
  </r>
  <r>
    <d v="2026-07-25T00:00:00"/>
    <s v="Plastene India ltd - Unit 1-Purchase"/>
    <s v="R.M.P."/>
    <s v="RM 364"/>
    <s v="Purchase Withinstate - Raw Material"/>
    <s v="PIL1/D/1179"/>
    <d v="2026-07-25T00:00:00"/>
    <s v="SF"/>
    <s v="Webbing"/>
    <x v="3"/>
    <s v="PP Webbing"/>
    <s v="Webbing"/>
    <n v="1007.9"/>
    <n v="150670.97"/>
    <s v="Webbing"/>
    <n v="0"/>
    <n v="9"/>
    <n v="13560.39"/>
    <n v="9"/>
    <n v="13560.39"/>
    <n v="0"/>
    <n v="0"/>
    <n v="0"/>
    <n v="27120.78"/>
    <n v="0"/>
    <s v="24AAACO3087C1ZT"/>
    <s v="Kgs"/>
    <n v="3926908"/>
    <s v="Rs."/>
    <n v="1"/>
    <n v="1007.9"/>
    <s v="India"/>
  </r>
  <r>
    <d v="2026-07-25T00:00:00"/>
    <s v="Plastene India ltd - Unit 1-Purchase"/>
    <s v="R.M.P."/>
    <s v="RM 364"/>
    <s v="Purchase Withinstate - Raw Material"/>
    <s v="PIL1/D/1179"/>
    <d v="2026-07-25T00:00:00"/>
    <s v="SF"/>
    <s v="Webbing"/>
    <x v="3"/>
    <s v="PP Webbing"/>
    <s v="Webbing"/>
    <n v="1107.5999999999999"/>
    <n v="162252.32"/>
    <s v="Webbing"/>
    <n v="0"/>
    <n v="9"/>
    <n v="14602.71"/>
    <n v="9"/>
    <n v="14602.71"/>
    <n v="0"/>
    <n v="0"/>
    <n v="0"/>
    <n v="29205.42"/>
    <n v="0"/>
    <s v="24AAACO3087C1ZT"/>
    <s v="Kgs"/>
    <n v="3926908"/>
    <s v="Rs."/>
    <n v="1"/>
    <n v="1107.5999999999999"/>
    <s v="India"/>
  </r>
  <r>
    <d v="2026-07-25T00:00:00"/>
    <s v="Plastene India ltd - Unit 1-Purchase"/>
    <s v="R.M.P."/>
    <s v="RM 364"/>
    <s v="Purchase Withinstate - Raw Material"/>
    <s v="PIL1/D/1179"/>
    <d v="2026-07-25T00:00:00"/>
    <s v="SF"/>
    <s v="Yarn All"/>
    <x v="6"/>
    <s v="Yarn"/>
    <s v="PP MF Yarn Twisted 1000 UV NW"/>
    <n v="948.6"/>
    <n v="148446.41"/>
    <s v="PP MF Yarn Twisted 1000 UV NW"/>
    <n v="0"/>
    <n v="2.5"/>
    <n v="3711.16"/>
    <n v="2.5"/>
    <n v="3711.16"/>
    <n v="0"/>
    <n v="0"/>
    <n v="0"/>
    <n v="7422.32"/>
    <n v="0"/>
    <s v="24AAACO3087C1ZT"/>
    <s v="Kgs"/>
    <n v="54026930"/>
    <s v="Rs."/>
    <n v="1"/>
    <n v="948.6"/>
    <s v="India"/>
  </r>
  <r>
    <d v="2026-07-25T00:00:00"/>
    <s v="Plastene India ltd - Unit 1-Purchase"/>
    <s v="R.M.P."/>
    <s v="RM 364"/>
    <s v="Purchase Withinstate - Raw Material"/>
    <s v="PIL1/D/1179"/>
    <d v="2026-07-25T00:00:00"/>
    <s v="SF"/>
    <s v="Yarn All"/>
    <x v="6"/>
    <s v="Yarn"/>
    <s v="PP Braided Rope MW 6 to 8 GPM"/>
    <n v="54"/>
    <n v="8693.4599999999991"/>
    <s v="PP Braided Rope MW 6 to 8 GPM"/>
    <n v="0"/>
    <n v="2.5"/>
    <n v="217.34"/>
    <n v="2.5"/>
    <n v="217.34"/>
    <n v="0"/>
    <n v="0"/>
    <n v="0"/>
    <n v="434.68"/>
    <n v="0"/>
    <s v="24AAACO3087C1ZT"/>
    <s v="Kgs"/>
    <n v="540269"/>
    <s v="Rs."/>
    <n v="1"/>
    <n v="54"/>
    <s v="India"/>
  </r>
  <r>
    <d v="2026-07-26T00:00:00"/>
    <s v="Plastene India ltd - Unit 1-Purchase"/>
    <s v="R.M.P."/>
    <s v="RM 365"/>
    <s v="Purchase Withinstate - Raw Material"/>
    <s v="PIL1/D/1181"/>
    <d v="2026-07-26T00:00:00"/>
    <s v="SF"/>
    <s v="PP/PE Fabric"/>
    <x v="0"/>
    <s v="PP WOVEN FABRIC"/>
    <s v="PP UL Fabric With UV"/>
    <n v="412"/>
    <n v="59529.88"/>
    <s v="PP UL Fabric With UV"/>
    <n v="70185.73"/>
    <n v="9"/>
    <n v="5357.69"/>
    <n v="9"/>
    <n v="5357.69"/>
    <n v="0"/>
    <n v="0"/>
    <n v="0"/>
    <n v="10715.38"/>
    <n v="0"/>
    <s v="24AAACO3087C1ZT"/>
    <s v="Kgs"/>
    <n v="39269080"/>
    <s v="Rs."/>
    <n v="1"/>
    <n v="412"/>
    <s v="India"/>
  </r>
  <r>
    <d v="2026-07-26T00:00:00"/>
    <s v="Plastene India ltd - Unit 1-Purchase"/>
    <s v="R.M.P."/>
    <s v="RM 366"/>
    <s v="Purchase Withinstate - Raw Material"/>
    <s v="PIL1/D/1185"/>
    <d v="2026-07-26T00:00:00"/>
    <s v="SF"/>
    <s v="PP/PE Fabric"/>
    <x v="2"/>
    <s v="PP Laminated Fabric"/>
    <s v="PP Lam Fabric With UV"/>
    <n v="1368"/>
    <n v="207238.32"/>
    <s v="PP Lam Fabric With UV"/>
    <n v="559881.34"/>
    <n v="9"/>
    <n v="18651.45"/>
    <n v="9"/>
    <n v="18651.45"/>
    <n v="0"/>
    <n v="0"/>
    <n v="0"/>
    <n v="37302.9"/>
    <n v="0"/>
    <s v="24AAACO3087C1ZT"/>
    <s v="Kgs"/>
    <n v="63053300"/>
    <s v="Rs."/>
    <n v="1"/>
    <n v="1368"/>
    <s v="India"/>
  </r>
  <r>
    <d v="2026-07-26T00:00:00"/>
    <s v="Plastene India ltd - Unit 1-Purchase"/>
    <s v="R.M.P."/>
    <s v="RM 366"/>
    <s v="Purchase Withinstate - Raw Material"/>
    <s v="PIL1/D/1185"/>
    <d v="2026-07-26T00:00:00"/>
    <s v="SF"/>
    <s v="Webbing"/>
    <x v="3"/>
    <s v="PP Webbing"/>
    <s v="Webbing"/>
    <n v="276.10000000000002"/>
    <n v="40445.879999999997"/>
    <s v="Webbing"/>
    <n v="0"/>
    <n v="9"/>
    <n v="3640.13"/>
    <n v="9"/>
    <n v="3640.13"/>
    <n v="0"/>
    <n v="0"/>
    <n v="0"/>
    <n v="7280.26"/>
    <n v="0"/>
    <s v="24AAACO3087C1ZT"/>
    <s v="Kgs"/>
    <n v="3926908"/>
    <s v="Rs."/>
    <n v="1"/>
    <n v="276.10000000000002"/>
    <s v="India"/>
  </r>
  <r>
    <d v="2026-07-26T00:00:00"/>
    <s v="Plastene India ltd - Unit 1-Purchase"/>
    <s v="R.M.P."/>
    <s v="RM 366"/>
    <s v="Purchase Withinstate - Raw Material"/>
    <s v="PIL1/D/1185"/>
    <d v="2026-07-26T00:00:00"/>
    <s v="SF"/>
    <s v="Webbing"/>
    <x v="3"/>
    <s v="PP Webbing"/>
    <s v="Webbing"/>
    <n v="279.2"/>
    <n v="41737.620000000003"/>
    <s v="Webbing"/>
    <n v="0"/>
    <n v="9"/>
    <n v="3756.38"/>
    <n v="9"/>
    <n v="3756.38"/>
    <n v="0"/>
    <n v="0"/>
    <n v="0"/>
    <n v="7512.76"/>
    <n v="0"/>
    <s v="24AAACO3087C1ZT"/>
    <s v="Kgs"/>
    <n v="3926908"/>
    <s v="Rs."/>
    <n v="1"/>
    <n v="279.2"/>
    <s v="India"/>
  </r>
  <r>
    <d v="2026-07-26T00:00:00"/>
    <s v="Plastene India ltd - Unit 1-Purchase"/>
    <s v="R.M.P."/>
    <s v="RM 366"/>
    <s v="Purchase Withinstate - Raw Material"/>
    <s v="PIL1/D/1185"/>
    <d v="2026-07-26T00:00:00"/>
    <s v="SF"/>
    <s v="PP/PE Fabric"/>
    <x v="0"/>
    <s v="PP WOVEN FABRIC"/>
    <s v="PP UL Fabric With UV"/>
    <n v="1266"/>
    <n v="185456.34"/>
    <s v="PP UL Fabric With UV"/>
    <n v="0"/>
    <n v="9"/>
    <n v="16691.07"/>
    <n v="9"/>
    <n v="16691.07"/>
    <n v="0"/>
    <n v="0"/>
    <n v="0"/>
    <n v="33382.14"/>
    <n v="0"/>
    <s v="24AAACO3087C1ZT"/>
    <s v="Kgs"/>
    <n v="39269080"/>
    <s v="Rs."/>
    <n v="1"/>
    <n v="1266"/>
    <s v="India"/>
  </r>
  <r>
    <d v="2026-07-27T00:00:00"/>
    <s v="HCP Plastene Bulkpack Limited - Purchase"/>
    <s v="R.M.P."/>
    <s v="RM 368"/>
    <s v="Purchase Withinstate - Raw Material"/>
    <s v="HPBL/D/419"/>
    <d v="2026-07-25T00:00:00"/>
    <s v="SF"/>
    <s v="PP/PE Fabric"/>
    <x v="0"/>
    <s v="PP WOVEN FABRIC"/>
    <s v="PP UL Fabric With UV"/>
    <n v="188"/>
    <n v="29984.12"/>
    <s v="PP UL Fabric With UV"/>
    <n v="1201410.17"/>
    <n v="9"/>
    <n v="2698.57"/>
    <n v="9"/>
    <n v="2698.57"/>
    <n v="0"/>
    <n v="0"/>
    <n v="0"/>
    <n v="5397.14"/>
    <n v="0"/>
    <s v="24AABCG1282C2Z6"/>
    <s v="Kgs"/>
    <n v="39269080"/>
    <s v="Rs."/>
    <n v="1"/>
    <n v="188"/>
    <s v="India"/>
  </r>
  <r>
    <d v="2026-07-27T00:00:00"/>
    <s v="HCP Plastene Bulkpack Limited - Purchase"/>
    <s v="R.M.P."/>
    <s v="RM 368"/>
    <s v="Purchase Withinstate - Raw Material"/>
    <s v="HPBL/D/419"/>
    <d v="2026-07-25T00:00:00"/>
    <s v="SF"/>
    <s v="PP/PE Fabric"/>
    <x v="0"/>
    <s v="PP WOVEN FABRIC"/>
    <s v="PP UL Fabric With UV"/>
    <n v="5908"/>
    <n v="924542.92"/>
    <s v="PP UL Fabric With UV"/>
    <n v="0"/>
    <n v="9"/>
    <n v="83208.86"/>
    <n v="9"/>
    <n v="83208.86"/>
    <n v="0"/>
    <n v="0"/>
    <n v="0"/>
    <n v="166417.72"/>
    <n v="0"/>
    <s v="24AABCG1282C2Z6"/>
    <s v="Kgs"/>
    <n v="39269080"/>
    <s v="Rs."/>
    <n v="1"/>
    <n v="5908"/>
    <s v="India"/>
  </r>
  <r>
    <d v="2026-07-27T00:00:00"/>
    <s v="HCP Plastene Bulkpack Limited - Purchase"/>
    <s v="R.M.P."/>
    <s v="RM 368"/>
    <s v="Purchase Withinstate - Raw Material"/>
    <s v="HPBL/D/419"/>
    <d v="2026-07-25T00:00:00"/>
    <s v="SF"/>
    <s v="Liners"/>
    <x v="1"/>
    <s v="LDPE/LLDPE Bags"/>
    <s v="LDPE/LLDPE Bags/Liner"/>
    <n v="397"/>
    <n v="64480.74"/>
    <s v="LDPE/LLDPE Bags/Liner"/>
    <n v="0"/>
    <n v="9"/>
    <n v="5803.27"/>
    <n v="9"/>
    <n v="5803.27"/>
    <n v="0"/>
    <n v="0"/>
    <n v="0"/>
    <n v="11606.54"/>
    <n v="0"/>
    <s v="24AABCG1282C2Z6"/>
    <s v="Kgs"/>
    <n v="39200000"/>
    <s v="Rs."/>
    <n v="1"/>
    <n v="397"/>
    <s v="India"/>
  </r>
  <r>
    <d v="2026-07-27T00:00:00"/>
    <s v="K.P. Woven Pvt Ltd - Unit 3 -Purchase"/>
    <s v="R.M.P."/>
    <s v="KPW3/E/087"/>
    <s v="Purchase-Import - Third Party"/>
    <s v="KPW3/E/087"/>
    <d v="2026-07-27T00:00:00"/>
    <s v="FG"/>
    <s v="FIBC Bags"/>
    <x v="4"/>
    <s v="FIBC"/>
    <s v="FIBC Bags With UV Without Liner"/>
    <n v="2556"/>
    <n v="558353.86499999999"/>
    <s v="FIBC Bags With UV Without Liner"/>
    <n v="558354"/>
    <n v="0"/>
    <n v="0"/>
    <n v="0"/>
    <n v="0"/>
    <n v="0"/>
    <n v="0"/>
    <n v="0"/>
    <n v="0"/>
    <n v="0"/>
    <s v="24AAECK6307M2ZE"/>
    <s v="Kgs"/>
    <n v="63053200"/>
    <s v="$"/>
    <n v="95.45"/>
    <n v="2556"/>
    <s v="India"/>
  </r>
  <r>
    <d v="2026-07-27T00:00:00"/>
    <s v="Plastene India ltd - Unit 1-Purchase"/>
    <s v="R.M.P."/>
    <s v="RM 370"/>
    <s v="Purchase Withinstate - Raw Material"/>
    <s v="PIL1/D/1194"/>
    <d v="2026-07-27T00:00:00"/>
    <s v="SF"/>
    <s v="PP/PE Fabric"/>
    <x v="0"/>
    <s v="PP WOVEN FABRIC"/>
    <s v="PP UL Fabric With UV"/>
    <n v="2048"/>
    <n v="306155.52000000002"/>
    <s v="PP UL Fabric With UV"/>
    <n v="1585746.62"/>
    <n v="9"/>
    <n v="27554"/>
    <n v="9"/>
    <n v="27554"/>
    <n v="0"/>
    <n v="0"/>
    <n v="0"/>
    <n v="55108"/>
    <n v="0"/>
    <s v="24AAACO3087C1ZT"/>
    <s v="Kgs"/>
    <n v="39269080"/>
    <s v="Rs."/>
    <n v="1"/>
    <n v="2048"/>
    <s v="India"/>
  </r>
  <r>
    <d v="2026-07-27T00:00:00"/>
    <s v="Plastene India ltd - Unit 1-Purchase"/>
    <s v="R.M.P."/>
    <s v="RM 370"/>
    <s v="Purchase Withinstate - Raw Material"/>
    <s v="PIL1/D/1194"/>
    <d v="2026-07-27T00:00:00"/>
    <s v="SF"/>
    <s v="PP/PE Fabric"/>
    <x v="2"/>
    <s v="PP Laminated Fabric"/>
    <s v="PP Lam Fabric With UV"/>
    <n v="6510"/>
    <n v="986199.9"/>
    <s v="PP Lam Fabric With UV"/>
    <n v="0"/>
    <n v="9"/>
    <n v="88757.99"/>
    <n v="9"/>
    <n v="88757.99"/>
    <n v="0"/>
    <n v="0"/>
    <n v="0"/>
    <n v="177515.98"/>
    <n v="0"/>
    <s v="24AAACO3087C1ZT"/>
    <s v="Kgs"/>
    <n v="63053300"/>
    <s v="Rs."/>
    <n v="1"/>
    <n v="6510"/>
    <s v="India"/>
  </r>
  <r>
    <d v="2026-07-27T00:00:00"/>
    <s v="Plastene India ltd - Unit 1-Purchase"/>
    <s v="R.M.P."/>
    <s v="RM 370"/>
    <s v="Purchase Withinstate - Raw Material"/>
    <s v="PIL1/D/1194"/>
    <d v="2026-07-27T00:00:00"/>
    <s v="SF"/>
    <s v="Webbing"/>
    <x v="3"/>
    <s v="PP Webbing"/>
    <s v="Webbing"/>
    <n v="243.5"/>
    <n v="35670.31"/>
    <s v="Webbing"/>
    <n v="0"/>
    <n v="9"/>
    <n v="3210.33"/>
    <n v="9"/>
    <n v="3210.33"/>
    <n v="0"/>
    <n v="0"/>
    <n v="0"/>
    <n v="6420.66"/>
    <n v="0"/>
    <s v="24AAACO3087C1ZT"/>
    <s v="Kgs"/>
    <n v="3926908"/>
    <s v="Rs."/>
    <n v="1"/>
    <n v="243.5"/>
    <s v="India"/>
  </r>
  <r>
    <d v="2026-07-27T00:00:00"/>
    <s v="Plastene India ltd - Unit 1-Purchase"/>
    <s v="R.M.P."/>
    <s v="RM 370"/>
    <s v="Purchase Withinstate - Raw Material"/>
    <s v="PIL1/D/1194"/>
    <d v="2026-07-27T00:00:00"/>
    <s v="SF"/>
    <s v="Webbing"/>
    <x v="3"/>
    <s v="PP Webbing"/>
    <s v="Webbing"/>
    <n v="113.5"/>
    <n v="16967.150000000001"/>
    <s v="Webbing"/>
    <n v="0"/>
    <n v="9"/>
    <n v="1527.04"/>
    <n v="9"/>
    <n v="1527.04"/>
    <n v="0"/>
    <n v="0"/>
    <n v="0"/>
    <n v="3054.08"/>
    <n v="0"/>
    <s v="24AAACO3087C1ZT"/>
    <s v="Kgs"/>
    <n v="3926908"/>
    <s v="Rs."/>
    <n v="1"/>
    <n v="113.5"/>
    <s v="India"/>
  </r>
  <r>
    <d v="2026-07-27T00:00:00"/>
    <s v="Plastene India ltd - Unit 2-Purchase"/>
    <s v="R.M.P."/>
    <s v="RM 367"/>
    <s v="Purchase Withinstate - Raw Material"/>
    <s v="PIL2/D/409"/>
    <d v="2026-07-26T00:00:00"/>
    <s v="FG"/>
    <s v="FIBC Bags"/>
    <x v="9"/>
    <s v="FIBC"/>
    <s v="FIBC Bags With UV Without Liner"/>
    <n v="19608"/>
    <n v="4433760.96"/>
    <s v="FIBC Bags With UV Without Liner"/>
    <n v="5227404.18"/>
    <n v="9"/>
    <n v="399038.49"/>
    <n v="9"/>
    <n v="399038.49"/>
    <n v="0"/>
    <n v="0"/>
    <n v="0"/>
    <n v="798076.98"/>
    <n v="0"/>
    <s v="24AAACO3087C1ZT"/>
    <s v="Kgs"/>
    <n v="63053200"/>
    <s v="Rs."/>
    <n v="1"/>
    <n v="19608"/>
    <s v="India"/>
  </r>
  <r>
    <d v="2026-07-27T00:00:00"/>
    <s v="Plastene India ltd - Unit 2-Purchase"/>
    <s v="R.M.P."/>
    <s v="RM 369"/>
    <s v="Purchase Withinstate - Raw Material"/>
    <s v="PIL2/D/412"/>
    <d v="2026-07-27T00:00:00"/>
    <s v="SF"/>
    <s v="Yarn All"/>
    <x v="6"/>
    <s v="Yarn"/>
    <s v="Polyester Yarn Twisted"/>
    <n v="879.61"/>
    <n v="116108.52"/>
    <s v="Polyester Yarn Twisted"/>
    <n v="1008411.5"/>
    <n v="2.5"/>
    <n v="2902.71"/>
    <n v="2.5"/>
    <n v="2902.71"/>
    <n v="0"/>
    <n v="0"/>
    <n v="0"/>
    <n v="5805.42"/>
    <n v="0"/>
    <s v="24AAACO3087C1ZT"/>
    <s v="Kgs"/>
    <n v="54026990"/>
    <s v="Rs."/>
    <n v="1"/>
    <n v="879.61"/>
    <s v="India"/>
  </r>
  <r>
    <d v="2026-07-27T00:00:00"/>
    <s v="Plastene India ltd - Unit 2-Purchase"/>
    <s v="R.M.P."/>
    <s v="RM 369"/>
    <s v="Purchase Withinstate - Raw Material"/>
    <s v="PIL2/D/412"/>
    <d v="2026-07-27T00:00:00"/>
    <s v="SF"/>
    <s v="Yarn All"/>
    <x v="6"/>
    <s v="FILLER CORD"/>
    <s v="Filler Cord"/>
    <n v="6199.2"/>
    <n v="845198.93"/>
    <s v="Filler Cord"/>
    <n v="0"/>
    <n v="2.5"/>
    <n v="21129.97"/>
    <n v="2.5"/>
    <n v="21129.97"/>
    <n v="0"/>
    <n v="0"/>
    <n v="0"/>
    <n v="42259.94"/>
    <n v="0"/>
    <s v="24AAACO3087C1ZT"/>
    <s v="Kgs"/>
    <n v="540263"/>
    <s v="Rs."/>
    <n v="1"/>
    <n v="6199.2"/>
    <s v="India"/>
  </r>
  <r>
    <d v="2026-07-28T00:00:00"/>
    <s v="Brahmani Labels"/>
    <s v="General Purchase"/>
    <s v="GNCN 130"/>
    <s v="Purchase Withinstate- Stores, Spares &amp; Consumable"/>
    <n v="379"/>
    <d v="2026-07-23T00:00:00"/>
    <s v="SF"/>
    <s v="Liners"/>
    <x v="1"/>
    <s v="LDPE/LLDPE Bags"/>
    <s v="PE Labels (Kgs)"/>
    <n v="1.83"/>
    <n v="1800"/>
    <s v="PE Labels (Kgs)"/>
    <n v="2124"/>
    <n v="9"/>
    <n v="162"/>
    <n v="9"/>
    <n v="162"/>
    <n v="0"/>
    <n v="0"/>
    <n v="0"/>
    <n v="324"/>
    <n v="0"/>
    <s v="24CIAPP4681A1ZK"/>
    <s v="Kgs"/>
    <n v="3920101"/>
    <s v="Rs."/>
    <n v="1"/>
    <n v="1.83"/>
    <m/>
  </r>
  <r>
    <d v="2026-07-28T00:00:00"/>
    <s v="Brahmani Labels"/>
    <s v="General Purchase"/>
    <s v="GNCN 131"/>
    <s v="Purchase Withinstate- Stores, Spares &amp; Consumable"/>
    <n v="383"/>
    <d v="2026-07-25T00:00:00"/>
    <s v="SF"/>
    <s v="Liners"/>
    <x v="1"/>
    <s v="LDPE/LLDPE Bags"/>
    <s v="PE Labels (Kgs)"/>
    <n v="50.735999999999997"/>
    <n v="16501"/>
    <s v="PE Labels (Kgs)"/>
    <n v="19471"/>
    <n v="9"/>
    <n v="1485.09"/>
    <n v="9"/>
    <n v="1485.09"/>
    <n v="0"/>
    <n v="0"/>
    <n v="0"/>
    <n v="2970.18"/>
    <n v="0"/>
    <s v="24CIAPP4681A1ZK"/>
    <s v="Kgs"/>
    <n v="3920101"/>
    <s v="Rs."/>
    <n v="1"/>
    <n v="50.735999999999997"/>
    <m/>
  </r>
  <r>
    <d v="2026-07-28T00:00:00"/>
    <s v="Plastene India ltd - Unit 1-Purchase"/>
    <s v="R.M.P."/>
    <s v="RM 371"/>
    <s v="Purchase Withinstate - Raw Material"/>
    <s v="PIL1/D/1199"/>
    <d v="2026-07-28T00:00:00"/>
    <s v="SF"/>
    <s v="PP/PE Fabric"/>
    <x v="0"/>
    <s v="PP WOVEN FABRIC"/>
    <s v="PP UL Fabric With UV"/>
    <n v="961"/>
    <n v="138960.6"/>
    <s v="PP UL Fabric With UV"/>
    <n v="163834.54"/>
    <n v="9"/>
    <n v="12506.45"/>
    <n v="9"/>
    <n v="12506.45"/>
    <n v="0"/>
    <n v="0"/>
    <n v="0"/>
    <n v="25012.9"/>
    <n v="0"/>
    <s v="24AAACO3087C1ZT"/>
    <s v="Kgs"/>
    <n v="39269080"/>
    <s v="Rs."/>
    <n v="1"/>
    <n v="961"/>
    <s v="India"/>
  </r>
  <r>
    <d v="2026-07-29T00:00:00"/>
    <s v="K.P. Woven Pvt Ltd - Unit 3 -Purchase"/>
    <s v="R.M.P."/>
    <s v="KPW3/E/088"/>
    <s v="Purchase-Import - Third Party"/>
    <s v="KPW3/E/088"/>
    <d v="2026-07-29T00:00:00"/>
    <s v="FG"/>
    <s v="FIBC Bags"/>
    <x v="4"/>
    <s v="FIBC"/>
    <s v="FIBC Bags With UV Without Liner"/>
    <n v="19831"/>
    <n v="5223704.5585000003"/>
    <s v="FIBC Bags With UV Without Liner"/>
    <n v="5223704"/>
    <n v="0"/>
    <n v="0"/>
    <n v="0"/>
    <n v="0"/>
    <n v="0"/>
    <n v="0"/>
    <n v="0"/>
    <n v="0"/>
    <n v="0"/>
    <s v="24AAECK6307M2ZE"/>
    <s v="Kgs"/>
    <n v="63053200"/>
    <s v="$"/>
    <n v="95.45"/>
    <n v="19831"/>
    <s v="India"/>
  </r>
  <r>
    <d v="2026-07-29T00:00:00"/>
    <s v="Plastene India ltd - Unit 1-Purchase"/>
    <s v="R.M.P."/>
    <s v="RM 372"/>
    <s v="Purchase Withinstate - Raw Material"/>
    <s v="PIL1/D/1211"/>
    <d v="2026-07-29T00:00:00"/>
    <s v="SF"/>
    <s v="Liners"/>
    <x v="1"/>
    <s v="LDPE/LLDPE Bags"/>
    <s v="LDPE/LLDPE Bags/Liner"/>
    <n v="1096.5"/>
    <n v="204804.27"/>
    <s v="LDPE/LLDPE Bags/Liner"/>
    <n v="530907.62"/>
    <n v="9"/>
    <n v="18432.38"/>
    <n v="9"/>
    <n v="18432.38"/>
    <n v="0"/>
    <n v="0"/>
    <n v="0"/>
    <n v="36864.76"/>
    <n v="0"/>
    <s v="24AAACO3087C1ZT"/>
    <s v="Kgs"/>
    <n v="39200000"/>
    <s v="Rs."/>
    <n v="1"/>
    <n v="1096.5"/>
    <s v="India"/>
  </r>
  <r>
    <d v="2026-07-29T00:00:00"/>
    <s v="Plastene India ltd - Unit 1-Purchase"/>
    <s v="R.M.P."/>
    <s v="RM 372"/>
    <s v="Purchase Withinstate - Raw Material"/>
    <s v="PIL1/D/1211"/>
    <d v="2026-07-29T00:00:00"/>
    <s v="SF"/>
    <s v="PP/PE Fabric"/>
    <x v="0"/>
    <s v="PP WOVEN FABRIC"/>
    <s v="PP UL Fabric With UV"/>
    <n v="299"/>
    <n v="43800.51"/>
    <s v="PP UL Fabric With UV"/>
    <n v="0"/>
    <n v="9"/>
    <n v="3942.05"/>
    <n v="9"/>
    <n v="3942.05"/>
    <n v="0"/>
    <n v="0"/>
    <n v="0"/>
    <n v="7884.1"/>
    <n v="0"/>
    <s v="24AAACO3087C1ZT"/>
    <s v="Kgs"/>
    <n v="39269080"/>
    <s v="Rs."/>
    <n v="1"/>
    <n v="299"/>
    <s v="India"/>
  </r>
  <r>
    <d v="2026-07-29T00:00:00"/>
    <s v="Plastene India ltd - Unit 1-Purchase"/>
    <s v="R.M.P."/>
    <s v="RM 372"/>
    <s v="Purchase Withinstate - Raw Material"/>
    <s v="PIL1/D/1211"/>
    <d v="2026-07-29T00:00:00"/>
    <s v="SF"/>
    <s v="Webbing"/>
    <x v="3"/>
    <s v="PP Webbing"/>
    <s v="Webbing"/>
    <n v="152"/>
    <n v="22722.48"/>
    <s v="Webbing"/>
    <n v="0"/>
    <n v="9"/>
    <n v="2045.02"/>
    <n v="9"/>
    <n v="2045.02"/>
    <n v="0"/>
    <n v="0"/>
    <n v="0"/>
    <n v="4090.04"/>
    <n v="0"/>
    <s v="24AAACO3087C1ZT"/>
    <s v="Kgs"/>
    <n v="3926908"/>
    <s v="Rs."/>
    <n v="1"/>
    <n v="152"/>
    <s v="India"/>
  </r>
  <r>
    <d v="2026-07-29T00:00:00"/>
    <s v="Plastene India ltd - Unit 1-Purchase"/>
    <s v="R.M.P."/>
    <s v="RM 372"/>
    <s v="Purchase Withinstate - Raw Material"/>
    <s v="PIL1/D/1211"/>
    <d v="2026-07-29T00:00:00"/>
    <s v="SF"/>
    <s v="Webbing"/>
    <x v="3"/>
    <s v="PP Webbing"/>
    <s v="Webbing"/>
    <n v="1039.5"/>
    <n v="152276.35"/>
    <s v="Webbing"/>
    <n v="0"/>
    <n v="9"/>
    <n v="13704.87"/>
    <n v="9"/>
    <n v="13704.87"/>
    <n v="0"/>
    <n v="0"/>
    <n v="0"/>
    <n v="27409.74"/>
    <n v="0"/>
    <s v="24AAACO3087C1ZT"/>
    <s v="Kgs"/>
    <n v="3926908"/>
    <s v="Rs."/>
    <n v="1"/>
    <n v="1039.5"/>
    <s v="India"/>
  </r>
  <r>
    <d v="2026-07-29T00:00:00"/>
    <s v="Plastene India ltd - Unit 1-Purchase"/>
    <s v="R.M.P."/>
    <s v="RM 372"/>
    <s v="Purchase Withinstate - Raw Material"/>
    <s v="PIL1/D/1211"/>
    <d v="2026-07-29T00:00:00"/>
    <s v="SF"/>
    <s v="Yarn All"/>
    <x v="6"/>
    <s v="Yarn"/>
    <s v="PP Braided Rope MW 6 to 8 GPM"/>
    <n v="186.4"/>
    <n v="30008.55"/>
    <s v="PP Braided Rope MW 6 to 8 GPM"/>
    <n v="0"/>
    <n v="2.5"/>
    <n v="750.21"/>
    <n v="2.5"/>
    <n v="750.21"/>
    <n v="0"/>
    <n v="0"/>
    <n v="0"/>
    <n v="1500.42"/>
    <n v="0"/>
    <s v="24AAACO3087C1ZT"/>
    <s v="Kgs"/>
    <n v="540269"/>
    <s v="Rs."/>
    <n v="1"/>
    <n v="186.4"/>
    <s v="India"/>
  </r>
  <r>
    <d v="2026-07-29T00:00:00"/>
    <s v="Plastene India ltd - Unit 1-Purchase"/>
    <s v="R.M.P."/>
    <s v="RM 373"/>
    <s v="Purchase Withinstate - Raw Material"/>
    <s v="PIL1/D/1214"/>
    <d v="2026-07-29T00:00:00"/>
    <s v="SF"/>
    <s v="Yarn All"/>
    <x v="6"/>
    <s v="Yarn"/>
    <s v="PP MF Yarn Twisted 1000 UV NW"/>
    <n v="969.1"/>
    <n v="151654.45000000001"/>
    <s v="PP MF Yarn Twisted 1000 UV NW"/>
    <n v="235304.1"/>
    <n v="2.5"/>
    <n v="3791.36"/>
    <n v="2.5"/>
    <n v="3791.36"/>
    <n v="0"/>
    <n v="0"/>
    <n v="0"/>
    <n v="7582.72"/>
    <n v="0"/>
    <s v="24AAACO3087C1ZT"/>
    <s v="Kgs"/>
    <n v="54026930"/>
    <s v="Rs."/>
    <n v="1"/>
    <n v="969.1"/>
    <s v="India"/>
  </r>
  <r>
    <d v="2026-07-29T00:00:00"/>
    <s v="Plastene India ltd - Unit 1-Purchase"/>
    <s v="R.M.P."/>
    <s v="RM 373"/>
    <s v="Purchase Withinstate - Raw Material"/>
    <s v="PIL1/D/1214"/>
    <d v="2026-07-29T00:00:00"/>
    <s v="SF"/>
    <s v="Yarn All"/>
    <x v="6"/>
    <s v="Yarn"/>
    <s v="PP MF Yarn Twisted 3000 Denier UV NW"/>
    <n v="464.3"/>
    <n v="72658.320000000007"/>
    <s v="PP MF Yarn Twisted 3000 Denier UV NW"/>
    <n v="0"/>
    <n v="2.5"/>
    <n v="1816.46"/>
    <n v="2.5"/>
    <n v="1816.46"/>
    <n v="0"/>
    <n v="0"/>
    <n v="0"/>
    <n v="3632.92"/>
    <n v="0"/>
    <s v="24AAACO3087C1ZT"/>
    <s v="Kgs"/>
    <n v="540263"/>
    <s v="Rs."/>
    <n v="1"/>
    <n v="464.3"/>
    <s v="India"/>
  </r>
  <r>
    <d v="2026-07-30T00:00:00"/>
    <s v="HCP Plastene Bulkpack Limited - Purchase"/>
    <s v="R.M.P."/>
    <s v="RM 374"/>
    <s v="Purchase Withinstate - Raw Material"/>
    <s v="HPBL/D/431"/>
    <d v="2026-07-29T00:00:00"/>
    <s v="SF"/>
    <s v="PP/PE Fabric"/>
    <x v="0"/>
    <s v="PP WOVEN FABRIC"/>
    <s v="PP UL Fabric With UV"/>
    <n v="512"/>
    <n v="81658.880000000005"/>
    <s v="PP UL Fabric With UV"/>
    <n v="1434835.74"/>
    <n v="9"/>
    <n v="7349.3"/>
    <n v="9"/>
    <n v="7349.3"/>
    <n v="0"/>
    <n v="0"/>
    <n v="0"/>
    <n v="14698.6"/>
    <n v="0"/>
    <s v="24AABCG1282C2Z6"/>
    <s v="Kgs"/>
    <n v="39269080"/>
    <s v="Rs."/>
    <n v="1"/>
    <n v="512"/>
    <s v="India"/>
  </r>
  <r>
    <d v="2026-07-30T00:00:00"/>
    <s v="HCP Plastene Bulkpack Limited - Purchase"/>
    <s v="R.M.P."/>
    <s v="RM 374"/>
    <s v="Purchase Withinstate - Raw Material"/>
    <s v="HPBL/D/431"/>
    <d v="2026-07-29T00:00:00"/>
    <s v="SF"/>
    <s v="PP/PE Fabric"/>
    <x v="0"/>
    <s v="PP WOVEN FABRIC"/>
    <s v="PP UL Fabric With UV"/>
    <n v="7255"/>
    <n v="1135334.95"/>
    <s v="PP UL Fabric With UV"/>
    <n v="0"/>
    <n v="9"/>
    <n v="102180.15"/>
    <n v="9"/>
    <n v="102180.15"/>
    <n v="0"/>
    <n v="0"/>
    <n v="0"/>
    <n v="204360.3"/>
    <n v="0"/>
    <s v="24AABCG1282C2Z6"/>
    <s v="Kgs"/>
    <n v="39269080"/>
    <s v="Rs."/>
    <n v="1"/>
    <n v="7255"/>
    <s v="India"/>
  </r>
  <r>
    <d v="2026-07-30T00:00:00"/>
    <s v="K.P. Woven Pvt Ltd-Purchase"/>
    <s v="R.M.P."/>
    <s v="RM 376"/>
    <s v="Purchase Withinstate - Raw Material"/>
    <s v="KPV/D/521"/>
    <d v="2026-07-29T00:00:00"/>
    <s v="FG"/>
    <s v="FIBC Bags"/>
    <x v="9"/>
    <s v="FIBC"/>
    <s v="FIBC Bags With UV Without Liner"/>
    <n v="428.3"/>
    <n v="110090.23"/>
    <s v="FIBC Bags With UV Without Liner"/>
    <n v="129796.38"/>
    <n v="9"/>
    <n v="9908.1200000000008"/>
    <n v="9"/>
    <n v="9908.1200000000008"/>
    <n v="0"/>
    <n v="0"/>
    <n v="0"/>
    <n v="19816.240000000002"/>
    <n v="0"/>
    <s v="24AAECK6307M1ZF"/>
    <s v="Kgs"/>
    <n v="63053200"/>
    <s v="Rs."/>
    <n v="1"/>
    <n v="428.3"/>
    <s v="India"/>
  </r>
  <r>
    <d v="2026-07-30T00:00:00"/>
    <s v="K.P. Woven Pvt Ltd-Purchase"/>
    <s v="R.M.P."/>
    <s v="RM 377"/>
    <s v="Purchase Withinstate - Raw Material"/>
    <s v="KPV/D/520"/>
    <d v="2026-07-29T00:00:00"/>
    <s v="SF"/>
    <s v="Yarn All"/>
    <x v="6"/>
    <s v="Yarn"/>
    <s v="PP Fibrillated Tape Twisted 3200 Blue"/>
    <n v="1949.9"/>
    <n v="300577.08500000002"/>
    <s v="PP Fibrillated Tape Twisted 3200 Blue"/>
    <n v="513992.33"/>
    <n v="2.5"/>
    <n v="7514.43"/>
    <n v="2.5"/>
    <n v="7514.43"/>
    <n v="0"/>
    <n v="0"/>
    <n v="0"/>
    <n v="15028.86"/>
    <n v="0"/>
    <s v="24AAECK6307M1ZF"/>
    <s v="Kgs"/>
    <n v="54026930"/>
    <s v="Rs."/>
    <n v="1"/>
    <n v="1949.9"/>
    <s v="India"/>
  </r>
  <r>
    <d v="2026-07-30T00:00:00"/>
    <s v="K.P. Woven Pvt Ltd-Purchase"/>
    <s v="R.M.P."/>
    <s v="RM 377"/>
    <s v="Purchase Withinstate - Raw Material"/>
    <s v="KPV/D/520"/>
    <d v="2026-07-29T00:00:00"/>
    <s v="SF"/>
    <s v="Yarn All"/>
    <x v="6"/>
    <s v="Yarn"/>
    <s v="PP Fibrillated Tape Twisted 3200 MW"/>
    <n v="1253.0999999999999"/>
    <n v="189406.065"/>
    <s v="PP Fibrillated Tape Twisted 3200 MW"/>
    <n v="0"/>
    <n v="2.5"/>
    <n v="4735.1499999999996"/>
    <n v="2.5"/>
    <n v="4735.1499999999996"/>
    <n v="0"/>
    <n v="0"/>
    <n v="0"/>
    <n v="9470.2999999999993"/>
    <n v="0"/>
    <s v="24AAECK6307M1ZF"/>
    <s v="Kgs"/>
    <n v="54026930"/>
    <s v="Rs."/>
    <n v="1"/>
    <n v="1253.0999999999999"/>
    <s v="India"/>
  </r>
  <r>
    <d v="2026-07-30T00:00:00"/>
    <s v="Plastene India ltd - Unit 1-Purchase"/>
    <s v="R.M.P."/>
    <s v="RM 375"/>
    <s v="Purchase Withinstate - Raw Material"/>
    <s v="PIL1/D/1218"/>
    <d v="2026-07-30T00:00:00"/>
    <s v="SF"/>
    <s v="PP/PE Fabric"/>
    <x v="0"/>
    <s v="PP WOVEN FABRIC"/>
    <s v="PP UL Fabric With UV"/>
    <n v="4063"/>
    <n v="587062.87"/>
    <s v="PP UL Fabric With UV"/>
    <n v="1114717.3500000001"/>
    <n v="9"/>
    <n v="52835.66"/>
    <n v="9"/>
    <n v="52835.66"/>
    <n v="0"/>
    <n v="0"/>
    <n v="0"/>
    <n v="105671.32"/>
    <n v="0"/>
    <s v="24AAACO3087C1ZT"/>
    <s v="Kgs"/>
    <n v="39269080"/>
    <s v="Rs."/>
    <n v="1"/>
    <n v="4063"/>
    <s v="India"/>
  </r>
  <r>
    <d v="2026-07-30T00:00:00"/>
    <s v="Plastene India ltd - Unit 1-Purchase"/>
    <s v="R.M.P."/>
    <s v="RM 375"/>
    <s v="Purchase Withinstate - Raw Material"/>
    <s v="PIL1/D/1218"/>
    <d v="2026-07-30T00:00:00"/>
    <s v="SF"/>
    <s v="PP/PE Fabric"/>
    <x v="0"/>
    <s v="PP WOVEN FABRIC"/>
    <s v="PP UL Fabric With UV"/>
    <n v="2090"/>
    <n v="358414.1"/>
    <s v="PP UL Fabric With UV"/>
    <n v="0"/>
    <n v="9"/>
    <n v="32257.27"/>
    <n v="9"/>
    <n v="32257.27"/>
    <n v="0"/>
    <n v="0"/>
    <n v="0"/>
    <n v="64514.54"/>
    <n v="0"/>
    <s v="24AAACO3087C1ZT"/>
    <s v="Kgs"/>
    <n v="39269080"/>
    <s v="Rs."/>
    <n v="1"/>
    <n v="2090"/>
    <s v="India"/>
  </r>
  <r>
    <d v="2026-07-30T00:00:00"/>
    <s v="Plastene India ltd - Unit 1-Purchase"/>
    <s v="R.M.P."/>
    <s v="RM 378"/>
    <s v="Purchase Withinstate - Raw Material"/>
    <s v="PIL1/D/1224"/>
    <d v="2026-07-30T00:00:00"/>
    <s v="SF"/>
    <s v="PP/PE Fabric"/>
    <x v="0"/>
    <s v="PP WOVEN FABRIC"/>
    <s v="PP UL Fabric With UV"/>
    <n v="1256"/>
    <n v="187759.44"/>
    <s v="PP UL Fabric With UV"/>
    <n v="336057.66"/>
    <n v="9"/>
    <n v="16898.349999999999"/>
    <n v="9"/>
    <n v="16898.349999999999"/>
    <n v="0"/>
    <n v="0"/>
    <n v="0"/>
    <n v="33796.699999999997"/>
    <n v="0"/>
    <s v="24AAACO3087C1ZT"/>
    <s v="Kgs"/>
    <n v="39269080"/>
    <s v="Rs."/>
    <n v="1"/>
    <n v="1256"/>
    <s v="India"/>
  </r>
  <r>
    <d v="2026-07-30T00:00:00"/>
    <s v="Plastene India ltd - Unit 1-Purchase"/>
    <s v="R.M.P."/>
    <s v="RM 378"/>
    <s v="Purchase Withinstate - Raw Material"/>
    <s v="PIL1/D/1224"/>
    <d v="2026-07-30T00:00:00"/>
    <s v="SF"/>
    <s v="Webbing"/>
    <x v="3"/>
    <s v="PP Webbing"/>
    <s v="Webbing"/>
    <n v="237.5"/>
    <n v="35503.870000000003"/>
    <s v="Webbing"/>
    <n v="0"/>
    <n v="9"/>
    <n v="3195.35"/>
    <n v="9"/>
    <n v="3195.35"/>
    <n v="0"/>
    <n v="0"/>
    <n v="0"/>
    <n v="6390.7"/>
    <n v="0"/>
    <s v="24AAACO3087C1ZT"/>
    <s v="Kgs"/>
    <n v="3926908"/>
    <s v="Rs."/>
    <n v="1"/>
    <n v="237.5"/>
    <s v="India"/>
  </r>
  <r>
    <d v="2026-07-30T00:00:00"/>
    <s v="Plastene India ltd - Unit 1-Purchase"/>
    <s v="R.M.P."/>
    <s v="RM 378"/>
    <s v="Purchase Withinstate - Raw Material"/>
    <s v="PIL1/D/1224"/>
    <d v="2026-07-30T00:00:00"/>
    <s v="SF"/>
    <s v="Webbing"/>
    <x v="3"/>
    <s v="PP Webbing"/>
    <s v="Webbing"/>
    <n v="275.7"/>
    <n v="40387.29"/>
    <s v="Webbing"/>
    <n v="0"/>
    <n v="9"/>
    <n v="3634.86"/>
    <n v="9"/>
    <n v="3634.86"/>
    <n v="0"/>
    <n v="0"/>
    <n v="0"/>
    <n v="7269.72"/>
    <n v="0"/>
    <s v="24AAACO3087C1ZT"/>
    <s v="Kgs"/>
    <n v="3926908"/>
    <s v="Rs."/>
    <n v="1"/>
    <n v="275.7"/>
    <s v="India"/>
  </r>
  <r>
    <d v="2026-07-30T00:00:00"/>
    <s v="Plastene India ltd - Unit 1-Purchase"/>
    <s v="R.M.P."/>
    <s v="RM 378"/>
    <s v="Purchase Withinstate - Raw Material"/>
    <s v="PIL1/D/1224"/>
    <d v="2026-07-30T00:00:00"/>
    <s v="SF"/>
    <s v="Yarn All"/>
    <x v="6"/>
    <s v="Yarn"/>
    <s v="PP Braided Rope MW 6 to 8 GPM"/>
    <n v="149.30000000000001"/>
    <n v="24035.82"/>
    <s v="PP Braided Rope MW 6 to 8 GPM"/>
    <n v="0"/>
    <n v="2.5"/>
    <n v="600.9"/>
    <n v="2.5"/>
    <n v="600.9"/>
    <n v="0"/>
    <n v="0"/>
    <n v="0"/>
    <n v="1201.8"/>
    <n v="0"/>
    <s v="24AAACO3087C1ZT"/>
    <s v="Kgs"/>
    <n v="540269"/>
    <s v="Rs."/>
    <n v="1"/>
    <n v="149.30000000000001"/>
    <s v="India"/>
  </r>
  <r>
    <d v="2026-07-30T00:00:00"/>
    <s v="Plastene India ltd - Unit 1-Purchase"/>
    <s v="R.M.P."/>
    <s v="RM 379"/>
    <s v="Purchase Withinstate - Raw Material"/>
    <s v="PIL1/D/1225"/>
    <d v="2026-07-30T00:00:00"/>
    <s v="RM"/>
    <s v="Granules"/>
    <x v="17"/>
    <s v="FILLER CACO3"/>
    <s v="Filler Terramag Calcium 20%"/>
    <n v="4500"/>
    <n v="168750"/>
    <s v="Filler Terramag Calcium 20%"/>
    <n v="198956.25"/>
    <n v="9"/>
    <n v="15187.5"/>
    <n v="9"/>
    <n v="15187.5"/>
    <n v="0"/>
    <n v="0"/>
    <n v="0"/>
    <n v="30375"/>
    <n v="0"/>
    <s v="24AAACO3087C1ZT"/>
    <s v="Kgs"/>
    <n v="39029000"/>
    <s v="Rs."/>
    <n v="1"/>
    <n v="4500"/>
    <s v="India"/>
  </r>
  <r>
    <d v="2026-07-31T00:00:00"/>
    <s v="Plastene India ltd - Unit 1-Purchase"/>
    <s v="R.M.P."/>
    <s v="RM 380"/>
    <s v="Purchase Withinstate - Raw Material"/>
    <s v="PIL1/D/1236"/>
    <d v="2026-07-31T00:00:00"/>
    <s v="SF"/>
    <s v="Liners"/>
    <x v="1"/>
    <s v="LDPE/LLDPE Bags"/>
    <s v="LDPE/LLDPE Bags/Liner"/>
    <n v="108"/>
    <n v="19740.240000000002"/>
    <s v="LDPE/LLDPE Bags/Liner"/>
    <n v="1024257.47"/>
    <n v="9"/>
    <n v="1776.62"/>
    <n v="9"/>
    <n v="1776.62"/>
    <n v="0"/>
    <n v="0"/>
    <n v="0"/>
    <n v="3553.24"/>
    <n v="0"/>
    <s v="24AAACO3087C1ZT"/>
    <s v="Kgs"/>
    <n v="39200000"/>
    <s v="Rs."/>
    <n v="1"/>
    <n v="108"/>
    <s v="India"/>
  </r>
  <r>
    <d v="2026-07-31T00:00:00"/>
    <s v="Plastene India ltd - Unit 1-Purchase"/>
    <s v="R.M.P."/>
    <s v="RM 380"/>
    <s v="Purchase Withinstate - Raw Material"/>
    <s v="PIL1/D/1236"/>
    <d v="2026-07-31T00:00:00"/>
    <s v="SF"/>
    <s v="PP/PE Fabric"/>
    <x v="0"/>
    <s v="PP WOVEN FABRIC"/>
    <s v="PP UL Fabric With UV"/>
    <n v="1949"/>
    <n v="291356.01"/>
    <s v="PP UL Fabric With UV"/>
    <n v="0"/>
    <n v="9"/>
    <n v="26222.04"/>
    <n v="9"/>
    <n v="26222.04"/>
    <n v="0"/>
    <n v="0"/>
    <n v="0"/>
    <n v="52444.08"/>
    <n v="0"/>
    <s v="24AAACO3087C1ZT"/>
    <s v="Kgs"/>
    <n v="39269080"/>
    <s v="Rs."/>
    <n v="1"/>
    <n v="1949"/>
    <s v="India"/>
  </r>
  <r>
    <d v="2026-07-31T00:00:00"/>
    <s v="Plastene India ltd - Unit 1-Purchase"/>
    <s v="R.M.P."/>
    <s v="RM 380"/>
    <s v="Purchase Withinstate - Raw Material"/>
    <s v="PIL1/D/1236"/>
    <d v="2026-07-31T00:00:00"/>
    <s v="SF"/>
    <s v="PP/PE Fabric"/>
    <x v="2"/>
    <s v="PP Laminated Fabric"/>
    <s v="PP Lam Fabric With UV"/>
    <n v="3211"/>
    <n v="486434.39"/>
    <s v="PP Lam Fabric With UV"/>
    <n v="0"/>
    <n v="9"/>
    <n v="43779.1"/>
    <n v="9"/>
    <n v="43779.1"/>
    <n v="0"/>
    <n v="0"/>
    <n v="0"/>
    <n v="87558.2"/>
    <n v="0"/>
    <s v="24AAACO3087C1ZT"/>
    <s v="Kgs"/>
    <n v="63053300"/>
    <s v="Rs."/>
    <n v="1"/>
    <n v="3211"/>
    <s v="India"/>
  </r>
  <r>
    <d v="2026-07-31T00:00:00"/>
    <s v="Plastene India ltd - Unit 1-Purchase"/>
    <s v="R.M.P."/>
    <s v="RM 380"/>
    <s v="Purchase Withinstate - Raw Material"/>
    <s v="PIL1/D/1236"/>
    <d v="2026-07-31T00:00:00"/>
    <s v="SF"/>
    <s v="Webbing"/>
    <x v="3"/>
    <s v="PP Webbing"/>
    <s v="Webbing"/>
    <n v="433.4"/>
    <n v="64788.966"/>
    <s v="Webbing"/>
    <n v="0"/>
    <n v="9"/>
    <n v="5831.01"/>
    <n v="9"/>
    <n v="5831.01"/>
    <n v="0"/>
    <n v="0"/>
    <n v="0"/>
    <n v="11662.02"/>
    <n v="0"/>
    <s v="24AAACO3087C1ZT"/>
    <s v="Kgs"/>
    <n v="3926908"/>
    <s v="Rs."/>
    <n v="1"/>
    <n v="433.4"/>
    <s v="India"/>
  </r>
  <r>
    <d v="2026-07-31T00:00:00"/>
    <s v="Plastene India ltd - Unit 1-Purchase"/>
    <s v="R.M.P."/>
    <s v="RM 380"/>
    <s v="Purchase Withinstate - Raw Material"/>
    <s v="PIL1/D/1236"/>
    <d v="2026-07-31T00:00:00"/>
    <s v="SF"/>
    <s v="Yarn All"/>
    <x v="6"/>
    <s v="Yarn"/>
    <s v="PP Braided Rope MW 6 to 8 GPM"/>
    <n v="44.9"/>
    <n v="7228.451"/>
    <s v="PP Braided Rope MW 6 to 8 GPM"/>
    <n v="0"/>
    <n v="2.5"/>
    <n v="180.71"/>
    <n v="2.5"/>
    <n v="180.71"/>
    <n v="0"/>
    <n v="0"/>
    <n v="0"/>
    <n v="361.42"/>
    <n v="0"/>
    <s v="24AAACO3087C1ZT"/>
    <s v="Kgs"/>
    <n v="540269"/>
    <s v="Rs."/>
    <n v="1"/>
    <n v="44.9"/>
    <s v="India"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21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9">
  <r>
    <s v="Plastene Polyfilms Limited"/>
    <d v="2026-07-01T00:00:00"/>
    <s v="PPL/26-27/SII00755"/>
    <s v="WIP00023"/>
    <s v="PP UL Fabric With UV"/>
    <s v="PPL/RAW/26-27/273"/>
    <n v="1082"/>
    <n v="1082"/>
    <s v="Kgs"/>
    <n v="1082"/>
    <n v="0"/>
    <n v="1082"/>
    <s v="GJ06BT5602"/>
    <s v="Plastene India ltd - Unit 2-Purchase"/>
    <s v="Plastene India ltd - Unit 2-Purchase"/>
    <s v="PIL2/D/327"/>
    <d v="2026-06-30T00:00:00"/>
    <s v="RAW MATERIAL"/>
    <s v="INDIGENOUS"/>
    <s v="RM 271"/>
    <n v="122"/>
    <n v="122"/>
    <s v="PIL2/D/327"/>
    <d v="2026-06-30T00:00:00"/>
    <s v="."/>
    <s v="."/>
    <m/>
    <s v="S.R. ROADWAYS"/>
    <n v="337"/>
    <n v="0"/>
    <n v="0"/>
    <n v="0"/>
    <n v="0"/>
    <n v="0"/>
    <s v="VAT"/>
    <n v="0"/>
    <n v="0"/>
    <n v="0"/>
    <n v="0"/>
    <n v="0"/>
    <m/>
    <n v="0"/>
    <n v="0"/>
    <n v="217138.4"/>
    <s v="SF"/>
    <s v="PP/PE Fabric"/>
    <x v="0"/>
    <s v="RM"/>
    <s v="erp"/>
    <n v="0"/>
    <n v="132004"/>
    <n v="276"/>
    <d v="2026-07-01T00:00:00"/>
    <s v="24AAACO3087C1ZT"/>
    <s v="storeppl"/>
    <s v="storeppl"/>
    <n v="9"/>
    <n v="11880.36"/>
    <n v="9"/>
    <n v="11880.36"/>
    <n v="0"/>
    <n v="0"/>
    <n v="217138.4"/>
    <n v="672137664176"/>
    <d v="2026-06-30T00:00:00"/>
    <n v="1082"/>
  </r>
  <r>
    <s v="Plastene Polyfilms Limited"/>
    <d v="2026-07-01T00:00:00"/>
    <s v="PPL/26-27/SII00755"/>
    <s v="WIP00023"/>
    <s v="PP UL Fabric With UV"/>
    <s v="PPL/RAW/26-27/273"/>
    <n v="487"/>
    <n v="487"/>
    <s v="Kgs"/>
    <n v="487"/>
    <n v="0"/>
    <n v="487"/>
    <s v="GJ06BT5602"/>
    <s v="Plastene India ltd - Unit 2-Purchase"/>
    <s v="Plastene India ltd - Unit 2-Purchase"/>
    <s v="PIL2/D/327"/>
    <d v="2026-06-30T00:00:00"/>
    <s v="RAW MATERIAL"/>
    <s v="INDIGENOUS"/>
    <s v="RM 271"/>
    <n v="106.8"/>
    <n v="106.8"/>
    <s v="PIL2/D/327"/>
    <d v="2026-06-30T00:00:00"/>
    <s v="."/>
    <s v="."/>
    <m/>
    <s v="S.R. ROADWAYS"/>
    <n v="337"/>
    <n v="0"/>
    <n v="0"/>
    <n v="0"/>
    <n v="0"/>
    <n v="0"/>
    <s v="VAT"/>
    <n v="0"/>
    <n v="0"/>
    <n v="0"/>
    <n v="0"/>
    <n v="0"/>
    <m/>
    <n v="0"/>
    <n v="0"/>
    <n v="217138.4"/>
    <s v="SF"/>
    <s v="PP/PE Fabric"/>
    <x v="0"/>
    <s v="RM"/>
    <s v="erp"/>
    <n v="0"/>
    <n v="52011.6"/>
    <n v="276"/>
    <d v="2026-07-01T00:00:00"/>
    <s v="24AAACO3087C1ZT"/>
    <s v="storeppl"/>
    <s v="storeppl"/>
    <n v="9"/>
    <n v="4681.04"/>
    <n v="9"/>
    <n v="4681.04"/>
    <n v="0"/>
    <n v="0"/>
    <n v="0"/>
    <n v="672137664176"/>
    <d v="2026-06-30T00:00:00"/>
    <n v="487"/>
  </r>
  <r>
    <s v="Plastene Polyfilms Limited"/>
    <d v="2026-07-01T00:00:00"/>
    <s v="PPL/26-27/SII00756"/>
    <s v="WIP00023"/>
    <s v="PP UL Fabric With UV"/>
    <s v="PPL/RAW/26-27/274"/>
    <n v="1321"/>
    <n v="1321"/>
    <s v="Kgs"/>
    <n v="1321"/>
    <n v="0"/>
    <n v="1321"/>
    <s v="GJ12BY1595"/>
    <s v="Plastene India ltd - Unit 1-Purchase"/>
    <s v="Plastene India ltd - Unit 1-Purchase"/>
    <s v="PIL1/D/878"/>
    <d v="2026-07-01T00:00:00"/>
    <s v="RAW MATERIAL"/>
    <s v="INDIGENOUS"/>
    <s v="RM 272"/>
    <n v="147.74"/>
    <n v="147.74"/>
    <s v="PIL1/D/878"/>
    <d v="2026-07-0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30294.16"/>
    <s v="SF"/>
    <s v="PP/PE Fabric"/>
    <x v="0"/>
    <s v="RM"/>
    <s v="erp"/>
    <n v="0"/>
    <n v="195164.54"/>
    <n v="277"/>
    <d v="2026-07-01T00:00:00"/>
    <s v="24AAACO3087C1ZT"/>
    <s v="storeppl"/>
    <s v="storeppl"/>
    <n v="9"/>
    <n v="17564.810000000001"/>
    <n v="9"/>
    <n v="17564.810000000001"/>
    <n v="0"/>
    <n v="0"/>
    <n v="230294.16"/>
    <n v="642138108900"/>
    <d v="2026-07-01T00:00:00"/>
    <n v="1321"/>
  </r>
  <r>
    <s v="Plastene Polyfilms Limited"/>
    <d v="2026-07-02T00:00:00"/>
    <s v="PPL/26-27/SII00758"/>
    <s v="WIP00023"/>
    <s v="PP UL Fabric With UV"/>
    <s v="PPL/RAW/26-27/275"/>
    <n v="646"/>
    <n v="646"/>
    <s v="Kgs"/>
    <n v="646"/>
    <n v="0"/>
    <n v="646"/>
    <s v="GJ12X1249"/>
    <s v="Plastene India ltd - Unit 1-Purchase"/>
    <s v="Plastene India ltd - Unit 1-Purchase"/>
    <s v="PIL1/D/886"/>
    <d v="2026-07-02T00:00:00"/>
    <s v="RAW MATERIAL"/>
    <s v="INDIGENOUS"/>
    <s v="RM 273"/>
    <n v="152.74"/>
    <n v="152.74000044142699"/>
    <s v="PIL1/D/886"/>
    <d v="2026-07-02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92029.07"/>
    <s v="SF"/>
    <s v="PP/PE Fabric"/>
    <x v="0"/>
    <s v="RM"/>
    <s v="erp"/>
    <n v="0"/>
    <n v="98670.04"/>
    <n v="279"/>
    <d v="2026-07-02T00:00:00"/>
    <s v="24AAACO3087C1ZT"/>
    <s v="storeppl"/>
    <s v="storeppl"/>
    <n v="9"/>
    <n v="8880.2999999999993"/>
    <n v="9"/>
    <n v="8880.2999999999993"/>
    <n v="0"/>
    <n v="0"/>
    <n v="692029.07"/>
    <n v="622138537830"/>
    <d v="2026-07-02T00:00:00"/>
    <n v="646"/>
  </r>
  <r>
    <s v="Plastene Polyfilms Limited"/>
    <d v="2026-07-02T00:00:00"/>
    <s v="PPL/26-27/SII00758"/>
    <s v="WIP00013"/>
    <s v="LDPE/LLDPE Bags/Liner"/>
    <s v="PPL/RAW/26-27/275"/>
    <n v="334"/>
    <n v="334"/>
    <s v="Kgs"/>
    <n v="334"/>
    <n v="0"/>
    <n v="334"/>
    <s v="GJ12X1249"/>
    <s v="Plastene India ltd - Unit 1-Purchase"/>
    <s v="Plastene India ltd - Unit 1-Purchase"/>
    <s v="PIL1/D/886"/>
    <d v="2026-07-02T00:00:00"/>
    <s v="RAW MATERIAL"/>
    <s v="INDIGENOUS"/>
    <s v="RM 273"/>
    <n v="181.15"/>
    <n v="181.15000052353301"/>
    <s v="PIL1/D/886"/>
    <d v="2026-07-02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92029.07"/>
    <s v="SF"/>
    <s v="Liners"/>
    <x v="1"/>
    <s v="RM"/>
    <s v="erp"/>
    <n v="0"/>
    <n v="60504.1"/>
    <n v="279"/>
    <d v="2026-07-02T00:00:00"/>
    <s v="24AAACO3087C1ZT"/>
    <s v="storeppl"/>
    <s v="storeppl"/>
    <n v="9"/>
    <n v="5445.37"/>
    <n v="9"/>
    <n v="5445.37"/>
    <n v="0"/>
    <n v="0"/>
    <n v="0"/>
    <n v="622138537830"/>
    <d v="2026-07-02T00:00:00"/>
    <n v="334"/>
  </r>
  <r>
    <s v="Plastene Polyfilms Limited"/>
    <d v="2026-07-02T00:00:00"/>
    <s v="PPL/26-27/SII00758"/>
    <s v="WIP00025"/>
    <s v="PP Lam Fabric With UV"/>
    <s v="PPL/RAW/26-27/275"/>
    <n v="2683"/>
    <n v="2683"/>
    <s v="Kgs"/>
    <n v="2683"/>
    <n v="0"/>
    <n v="2683"/>
    <s v="GJ12X1249"/>
    <s v="Plastene India ltd - Unit 1-Purchase"/>
    <s v="Plastene India ltd - Unit 1-Purchase"/>
    <s v="PIL1/D/886"/>
    <d v="2026-07-02T00:00:00"/>
    <s v="RAW MATERIAL"/>
    <s v="INDIGENOUS"/>
    <s v="RM 273"/>
    <n v="154.74"/>
    <n v="154.740000447207"/>
    <s v="PIL1/D/886"/>
    <d v="2026-07-02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92029.07"/>
    <s v="SF"/>
    <s v="PP/PE Fabric"/>
    <x v="2"/>
    <s v="RM"/>
    <s v="erp"/>
    <n v="0"/>
    <n v="415167.42"/>
    <n v="279"/>
    <d v="2026-07-02T00:00:00"/>
    <s v="24AAACO3087C1ZT"/>
    <s v="storeppl"/>
    <s v="storeppl"/>
    <n v="9"/>
    <n v="37365.07"/>
    <n v="9"/>
    <n v="37365.07"/>
    <n v="0"/>
    <n v="0"/>
    <n v="0"/>
    <n v="622138537830"/>
    <d v="2026-07-02T00:00:00"/>
    <n v="2683"/>
  </r>
  <r>
    <s v="Plastene Polyfilms Limited"/>
    <d v="2026-07-02T00:00:00"/>
    <s v="PPL/26-27/SII00758"/>
    <s v="WIP00032"/>
    <s v="Webbing"/>
    <s v="PPL/RAW/26-27/275"/>
    <n v="38.200000000000003"/>
    <n v="38.200000000000003"/>
    <s v="Kgs"/>
    <n v="38.200000000000003"/>
    <n v="0"/>
    <n v="38.200000000000003"/>
    <s v="GJ12X1249"/>
    <s v="Plastene India ltd - Unit 1-Purchase"/>
    <s v="Plastene India ltd - Unit 1-Purchase"/>
    <s v="PIL1/D/886"/>
    <d v="2026-07-02T00:00:00"/>
    <s v="RAW MATERIAL"/>
    <s v="INDIGENOUS"/>
    <s v="RM 273"/>
    <n v="152.74"/>
    <n v="152.74000044142699"/>
    <s v="PIL1/D/886"/>
    <d v="2026-07-02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92029.07"/>
    <s v="SF"/>
    <s v="Webbing"/>
    <x v="3"/>
    <s v="RM"/>
    <s v="erp"/>
    <n v="0"/>
    <n v="5834.67"/>
    <n v="279"/>
    <d v="2026-07-02T00:00:00"/>
    <s v="24AAACO3087C1ZT"/>
    <s v="storeppl"/>
    <s v="storeppl"/>
    <n v="9"/>
    <n v="525.12"/>
    <n v="9"/>
    <n v="525.12"/>
    <n v="0"/>
    <n v="0"/>
    <n v="0"/>
    <n v="622138537830"/>
    <d v="2026-07-02T00:00:00"/>
    <n v="38.200000000000003"/>
  </r>
  <r>
    <s v="Plastene Polyfilms Limited"/>
    <d v="2026-07-02T00:00:00"/>
    <s v="PPL/26-27/SII00758"/>
    <s v="WIP00032"/>
    <s v="Webbing"/>
    <s v="PPL/RAW/26-27/275"/>
    <n v="42"/>
    <n v="42"/>
    <s v="Kgs"/>
    <n v="42"/>
    <n v="0"/>
    <n v="42"/>
    <s v="GJ12X1249"/>
    <s v="Plastene India ltd - Unit 1-Purchase"/>
    <s v="Plastene India ltd - Unit 1-Purchase"/>
    <s v="PIL1/D/886"/>
    <d v="2026-07-02T00:00:00"/>
    <s v="RAW MATERIAL"/>
    <s v="INDIGENOUS"/>
    <s v="RM 273"/>
    <n v="149.74"/>
    <n v="149.74000043275601"/>
    <s v="PIL1/D/886"/>
    <d v="2026-07-02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92029.07"/>
    <s v="SF"/>
    <s v="Webbing"/>
    <x v="3"/>
    <s v="RM"/>
    <s v="erp"/>
    <n v="0"/>
    <n v="6289.08"/>
    <n v="279"/>
    <d v="2026-07-02T00:00:00"/>
    <s v="24AAACO3087C1ZT"/>
    <s v="storeppl"/>
    <s v="storeppl"/>
    <n v="9"/>
    <n v="566.02"/>
    <n v="9"/>
    <n v="566.02"/>
    <n v="0"/>
    <n v="0"/>
    <n v="0"/>
    <n v="622138537830"/>
    <d v="2026-07-02T00:00:00"/>
    <n v="42"/>
  </r>
  <r>
    <s v="Plastene Polyfilms Limited"/>
    <d v="2026-07-02T00:00:00"/>
    <s v="PPL/26-27/SII00759"/>
    <s v="WIP00023"/>
    <s v="PP UL Fabric With UV"/>
    <s v="PPL/RAW/26-27/276"/>
    <n v="755"/>
    <n v="755"/>
    <s v="Kgs"/>
    <n v="755"/>
    <n v="0"/>
    <n v="755"/>
    <s v="GJ24X5687"/>
    <s v="HCP Plastene Bulkpack Limited - Purchase"/>
    <s v="HCP Plastene Bulkpack Limited - Purchase"/>
    <s v="HPBL/D/338"/>
    <d v="2026-07-01T00:00:00"/>
    <s v="RAW MATERIAL"/>
    <s v="INDIGENOUS"/>
    <s v="RM 274"/>
    <n v="164.9"/>
    <n v="164.9"/>
    <s v="HPBL/D/338"/>
    <d v="2026-07-0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65185.4"/>
    <s v="SF"/>
    <s v="PP/PE Fabric"/>
    <x v="0"/>
    <s v="RM"/>
    <s v="erp"/>
    <n v="0"/>
    <n v="124499.5"/>
    <n v="278"/>
    <d v="2026-07-02T00:00:00"/>
    <s v="24AABCG1282C2Z6"/>
    <s v="storeppl"/>
    <s v="storeppl"/>
    <n v="9"/>
    <n v="11204.96"/>
    <n v="9"/>
    <n v="11204.96"/>
    <n v="0"/>
    <n v="0"/>
    <n v="465185.4"/>
    <n v="652138125551"/>
    <d v="2026-07-01T00:00:00"/>
    <n v="755"/>
  </r>
  <r>
    <s v="Plastene Polyfilms Limited"/>
    <d v="2026-07-02T00:00:00"/>
    <s v="PPL/26-27/SII00759"/>
    <s v="WIP00023"/>
    <s v="PP UL Fabric With UV"/>
    <s v="PPL/RAW/26-27/276"/>
    <n v="1666"/>
    <n v="1666"/>
    <s v="Kgs"/>
    <n v="1666"/>
    <n v="0"/>
    <n v="1666"/>
    <s v="GJ24X5687"/>
    <s v="HCP Plastene Bulkpack Limited - Purchase"/>
    <s v="HCP Plastene Bulkpack Limited - Purchase"/>
    <s v="HPBL/D/338"/>
    <d v="2026-07-01T00:00:00"/>
    <s v="RAW MATERIAL"/>
    <s v="INDIGENOUS"/>
    <s v="RM 274"/>
    <n v="161.9"/>
    <n v="161.9"/>
    <s v="HPBL/D/338"/>
    <d v="2026-07-0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65185.4"/>
    <s v="SF"/>
    <s v="PP/PE Fabric"/>
    <x v="0"/>
    <s v="RM"/>
    <s v="erp"/>
    <n v="0"/>
    <n v="269725.40000000002"/>
    <n v="278"/>
    <d v="2026-07-02T00:00:00"/>
    <s v="24AABCG1282C2Z6"/>
    <s v="storeppl"/>
    <s v="storeppl"/>
    <n v="9"/>
    <n v="24275.29"/>
    <n v="9"/>
    <n v="24275.29"/>
    <n v="0"/>
    <n v="0"/>
    <n v="0"/>
    <n v="652138125551"/>
    <d v="2026-07-01T00:00:00"/>
    <n v="1666"/>
  </r>
  <r>
    <s v="Plastene Polyfilms Limited"/>
    <d v="2026-07-03T00:00:00"/>
    <s v="PPL/26-27/SII00764"/>
    <s v="WIP00025"/>
    <s v="PP Lam Fabric With UV"/>
    <s v="PPL/RAW/26-27/277"/>
    <n v="186"/>
    <n v="186"/>
    <s v="Kgs"/>
    <n v="186"/>
    <n v="0"/>
    <n v="186"/>
    <s v="GJ12X1249"/>
    <s v="Hcp Plastene Bulkpack Ltd (Unit-Iv) - Purchase"/>
    <s v="Hcp Plastene Bulkpack Ltd (Unit-Iv) - Purchase"/>
    <s v="HPBL4/D/134."/>
    <d v="2026-06-30T00:00:00"/>
    <s v="RAW MATERIAL"/>
    <s v="INDIGENOUS"/>
    <s v="RM 275"/>
    <n v="154.74"/>
    <n v="154.74"/>
    <s v="HPBL4/D/134."/>
    <d v="2026-06-3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3962.339999999997"/>
    <s v="SF"/>
    <s v="PP/PE Fabric"/>
    <x v="2"/>
    <s v="RM"/>
    <s v="erp"/>
    <n v="0"/>
    <n v="28781.64"/>
    <n v="280"/>
    <d v="2026-07-03T00:00:00"/>
    <s v="24AABCG1282C2Z6"/>
    <s v="storeppl"/>
    <s v="storeppl"/>
    <n v="9"/>
    <n v="2590.35"/>
    <n v="9"/>
    <n v="2590.35"/>
    <n v="0"/>
    <n v="0"/>
    <n v="33962.339999999997"/>
    <n v="672137563592"/>
    <d v="2026-06-30T00:00:00"/>
    <n v="186"/>
  </r>
  <r>
    <s v="Plastene Polyfilms Limited"/>
    <d v="2026-07-03T00:00:00"/>
    <s v="PPL/26-27/SII00765"/>
    <s v="RAW06340"/>
    <s v="PP Advanced H312"/>
    <s v="PPL/RAW/26-27/278"/>
    <n v="49500"/>
    <n v="49500"/>
    <s v="Kgs"/>
    <n v="49500"/>
    <n v="0"/>
    <n v="49500"/>
    <s v="GJ12CT5320 - GJ12BZ8110"/>
    <s v="K.P. Woven Pvt Ltd-Purchase"/>
    <s v="K.P. Woven Pvt Ltd-Purchase"/>
    <s v="KPV/D/392"/>
    <d v="2026-07-03T00:00:00"/>
    <s v="RAW MATERIAL"/>
    <s v="INDIGENOUS"/>
    <s v="RM 276"/>
    <n v="77.192999999999998"/>
    <n v="77.192999999999998"/>
    <s v="KPV/D/392"/>
    <d v="2026-07-03T00:00:00"/>
    <m/>
    <n v="0"/>
    <m/>
    <s v="JAI AMBE TRANSMOVERS PRIVATE LIMITED"/>
    <s v="002295-002276"/>
    <n v="0"/>
    <n v="0"/>
    <n v="0"/>
    <n v="0"/>
    <n v="0"/>
    <s v="VAT"/>
    <n v="0"/>
    <n v="0"/>
    <n v="0"/>
    <n v="0"/>
    <n v="0"/>
    <m/>
    <n v="0"/>
    <n v="0"/>
    <n v="4508843.1399999997"/>
    <s v="RM"/>
    <s v="Granules"/>
    <x v="4"/>
    <s v="RM"/>
    <m/>
    <n v="0"/>
    <n v="3821053.5"/>
    <n v="281"/>
    <d v="2026-07-03T00:00:00"/>
    <s v="24AAECK6307M1ZF"/>
    <s v="storeppl"/>
    <s v="storeppl"/>
    <n v="9"/>
    <n v="343894.82"/>
    <n v="9"/>
    <n v="343894.82"/>
    <n v="0"/>
    <n v="0"/>
    <n v="4508843.1399999997"/>
    <n v="612436845518"/>
    <d v="2026-07-01T00:00:00"/>
    <n v="49500"/>
  </r>
  <r>
    <s v="Plastene Polyfilms Limited"/>
    <d v="2026-07-03T00:00:00"/>
    <s v="PPL/26-27/SII00768"/>
    <s v="WIP00013"/>
    <s v="LDPE/LLDPE Bags/Liner"/>
    <s v="PPL/RAW/26-27/279"/>
    <n v="1485.8"/>
    <n v="1485.8"/>
    <s v="Kgs"/>
    <n v="1485.8"/>
    <n v="0"/>
    <n v="1485.8"/>
    <s v="GJ12X1249"/>
    <s v="Plastene India ltd - Unit 1-Purchase"/>
    <s v="Plastene India ltd - Unit 1-Purchase"/>
    <s v="PIL1/D/900"/>
    <d v="2026-07-03T00:00:00"/>
    <s v="RAW MATERIAL"/>
    <s v="INDIGENOUS"/>
    <s v="RM 277"/>
    <n v="181.15"/>
    <n v="181.15000018908199"/>
    <s v="PIL1/D/900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58048.11"/>
    <s v="SF"/>
    <s v="Liners"/>
    <x v="1"/>
    <s v="RM"/>
    <s v="erp"/>
    <n v="0"/>
    <n v="269152.67"/>
    <n v="282"/>
    <d v="2026-07-03T00:00:00"/>
    <s v="24AAACO3087C1ZT"/>
    <s v="storeppl"/>
    <s v="storeppl"/>
    <n v="9"/>
    <n v="24223.74"/>
    <n v="9"/>
    <n v="24223.74"/>
    <n v="0"/>
    <n v="0"/>
    <n v="958048.11"/>
    <n v="692139278562"/>
    <d v="2026-07-03T00:00:00"/>
    <n v="1485.8"/>
  </r>
  <r>
    <s v="Plastene Polyfilms Limited"/>
    <d v="2026-07-03T00:00:00"/>
    <s v="PPL/26-27/SII00768"/>
    <s v="WIP00013"/>
    <s v="LDPE/LLDPE Bags/Liner"/>
    <s v="PPL/RAW/26-27/279"/>
    <n v="585"/>
    <n v="585"/>
    <s v="Kgs"/>
    <n v="585"/>
    <n v="0"/>
    <n v="585"/>
    <s v="GJ12X1249"/>
    <s v="Plastene India ltd - Unit 1-Purchase"/>
    <s v="Plastene India ltd - Unit 1-Purchase"/>
    <s v="PIL1/D/900"/>
    <d v="2026-07-03T00:00:00"/>
    <s v="RAW MATERIAL"/>
    <s v="INDIGENOUS"/>
    <s v="RM 277"/>
    <n v="201.15"/>
    <n v="201.15000020995799"/>
    <s v="PIL1/D/900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58048.11"/>
    <s v="SF"/>
    <s v="Liners"/>
    <x v="1"/>
    <s v="RM"/>
    <s v="erp"/>
    <n v="0"/>
    <n v="117672.75"/>
    <n v="282"/>
    <d v="2026-07-03T00:00:00"/>
    <s v="24AAACO3087C1ZT"/>
    <s v="storeppl"/>
    <s v="storeppl"/>
    <n v="9"/>
    <n v="10590.55"/>
    <n v="9"/>
    <n v="10590.55"/>
    <n v="0"/>
    <n v="0"/>
    <n v="0"/>
    <n v="692139278562"/>
    <d v="2026-07-03T00:00:00"/>
    <n v="585"/>
  </r>
  <r>
    <s v="Plastene Polyfilms Limited"/>
    <d v="2026-07-03T00:00:00"/>
    <s v="PPL/26-27/SII00768"/>
    <s v="WIP00013"/>
    <s v="LDPE/LLDPE Bags/Liner"/>
    <s v="PPL/RAW/26-27/279"/>
    <n v="1447.9"/>
    <n v="1447.9"/>
    <s v="Kgs"/>
    <n v="1447.9"/>
    <n v="0"/>
    <n v="1447.9"/>
    <s v="GJ12X1249"/>
    <s v="Plastene India ltd - Unit 1-Purchase"/>
    <s v="Plastene India ltd - Unit 1-Purchase"/>
    <s v="PIL1/D/900"/>
    <d v="2026-07-03T00:00:00"/>
    <s v="RAW MATERIAL"/>
    <s v="INDIGENOUS"/>
    <s v="RM 277"/>
    <n v="205.15"/>
    <n v="205.150000214133"/>
    <s v="PIL1/D/900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58048.11"/>
    <s v="SF"/>
    <s v="Liners"/>
    <x v="1"/>
    <s v="RM"/>
    <s v="erp"/>
    <n v="0"/>
    <n v="297036.69"/>
    <n v="282"/>
    <d v="2026-07-03T00:00:00"/>
    <s v="24AAACO3087C1ZT"/>
    <s v="storeppl"/>
    <s v="storeppl"/>
    <n v="9"/>
    <n v="26733.3"/>
    <n v="9"/>
    <n v="26733.3"/>
    <n v="0"/>
    <n v="0"/>
    <n v="0"/>
    <n v="692139278562"/>
    <d v="2026-07-03T00:00:00"/>
    <n v="1447.9"/>
  </r>
  <r>
    <s v="Plastene Polyfilms Limited"/>
    <d v="2026-07-03T00:00:00"/>
    <s v="PPL/26-27/SII00768"/>
    <s v="WIP00023"/>
    <s v="PP UL Fabric With UV"/>
    <s v="PPL/RAW/26-27/279"/>
    <n v="644"/>
    <n v="644"/>
    <s v="Kgs"/>
    <n v="644"/>
    <n v="0"/>
    <n v="644"/>
    <s v="GJ12X1249"/>
    <s v="Plastene India ltd - Unit 1-Purchase"/>
    <s v="Plastene India ltd - Unit 1-Purchase"/>
    <s v="PIL1/D/900"/>
    <d v="2026-07-03T00:00:00"/>
    <s v="RAW MATERIAL"/>
    <s v="INDIGENOUS"/>
    <s v="RM 277"/>
    <n v="152.74"/>
    <n v="152.74000015942801"/>
    <s v="PIL1/D/900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58048.11"/>
    <s v="SF"/>
    <s v="PP/PE Fabric"/>
    <x v="0"/>
    <s v="RM"/>
    <s v="erp"/>
    <n v="0"/>
    <n v="98364.56"/>
    <n v="282"/>
    <d v="2026-07-03T00:00:00"/>
    <s v="24AAACO3087C1ZT"/>
    <s v="storeppl"/>
    <s v="storeppl"/>
    <n v="9"/>
    <n v="8852.81"/>
    <n v="9"/>
    <n v="8852.81"/>
    <n v="0"/>
    <n v="0"/>
    <n v="0"/>
    <n v="692139278562"/>
    <d v="2026-07-03T00:00:00"/>
    <n v="644"/>
  </r>
  <r>
    <s v="Plastene Polyfilms Limited"/>
    <d v="2026-07-03T00:00:00"/>
    <s v="PPL/26-27/SII00768"/>
    <s v="WIP00032"/>
    <s v="Webbing"/>
    <s v="PPL/RAW/26-27/279"/>
    <n v="59.6"/>
    <n v="59.6"/>
    <s v="Kgs"/>
    <n v="59.6"/>
    <n v="0"/>
    <n v="59.6"/>
    <s v="GJ12X1249"/>
    <s v="Plastene India ltd - Unit 1-Purchase"/>
    <s v="Plastene India ltd - Unit 1-Purchase"/>
    <s v="PIL1/D/900"/>
    <d v="2026-07-03T00:00:00"/>
    <s v="RAW MATERIAL"/>
    <s v="INDIGENOUS"/>
    <s v="RM 277"/>
    <n v="152.74"/>
    <n v="152.74000015942801"/>
    <s v="PIL1/D/900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58048.11"/>
    <s v="SF"/>
    <s v="Webbing"/>
    <x v="3"/>
    <s v="RM"/>
    <s v="erp"/>
    <n v="0"/>
    <n v="9103.2999999999993"/>
    <n v="282"/>
    <d v="2026-07-03T00:00:00"/>
    <s v="24AAACO3087C1ZT"/>
    <s v="storeppl"/>
    <s v="storeppl"/>
    <n v="9"/>
    <n v="819.3"/>
    <n v="9"/>
    <n v="819.3"/>
    <n v="0"/>
    <n v="0"/>
    <n v="0"/>
    <n v="692139278562"/>
    <d v="2026-07-03T00:00:00"/>
    <n v="59.6"/>
  </r>
  <r>
    <s v="Plastene Polyfilms Limited"/>
    <d v="2026-07-03T00:00:00"/>
    <s v="PPL/26-27/SII00768"/>
    <s v="WIP00032"/>
    <s v="Webbing"/>
    <s v="PPL/RAW/26-27/279"/>
    <n v="72.599999999999994"/>
    <n v="72.599999999999994"/>
    <s v="Kgs"/>
    <n v="72.599999999999994"/>
    <n v="0"/>
    <n v="72.599999999999994"/>
    <s v="GJ12X1249"/>
    <s v="Plastene India ltd - Unit 1-Purchase"/>
    <s v="Plastene India ltd - Unit 1-Purchase"/>
    <s v="PIL1/D/900"/>
    <d v="2026-07-03T00:00:00"/>
    <s v="RAW MATERIAL"/>
    <s v="INDIGENOUS"/>
    <s v="RM 277"/>
    <n v="149.74"/>
    <n v="149.74000015629699"/>
    <s v="PIL1/D/900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58048.11"/>
    <s v="SF"/>
    <s v="Webbing"/>
    <x v="3"/>
    <s v="RM"/>
    <s v="erp"/>
    <n v="0"/>
    <n v="10871.12"/>
    <n v="282"/>
    <d v="2026-07-03T00:00:00"/>
    <s v="24AAACO3087C1ZT"/>
    <s v="storeppl"/>
    <s v="storeppl"/>
    <n v="9"/>
    <n v="978.4"/>
    <n v="9"/>
    <n v="978.4"/>
    <n v="0"/>
    <n v="0"/>
    <n v="0"/>
    <n v="692139278562"/>
    <d v="2026-07-03T00:00:00"/>
    <n v="72.599999999999994"/>
  </r>
  <r>
    <s v="Plastene Polyfilms Limited"/>
    <d v="2026-07-03T00:00:00"/>
    <s v="PPL/26-27/SII00768"/>
    <s v="WIP00236"/>
    <s v="PP Braided Rope MW 6 to 8 GPM"/>
    <s v="PPL/RAW/26-27/279"/>
    <n v="66.400000000000006"/>
    <n v="66.400000000000006"/>
    <s v="Kgs"/>
    <n v="66.400000000000006"/>
    <n v="0"/>
    <n v="66.400000000000006"/>
    <s v="GJ12X1249"/>
    <s v="Plastene India ltd - Unit 1-Purchase"/>
    <s v="Plastene India ltd - Unit 1-Purchase"/>
    <s v="PIL1/D/900"/>
    <d v="2026-07-03T00:00:00"/>
    <s v="RAW MATERIAL"/>
    <s v="INDIGENOUS"/>
    <s v="RM 277"/>
    <n v="164.24"/>
    <n v="164.240000171432"/>
    <s v="PIL1/D/900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58048.11"/>
    <s v="SF"/>
    <s v="Yarn All"/>
    <x v="5"/>
    <s v="RM"/>
    <s v="erp"/>
    <n v="0"/>
    <n v="10905.54"/>
    <n v="282"/>
    <d v="2026-07-03T00:00:00"/>
    <s v="24AAACO3087C1ZT"/>
    <s v="storeppl"/>
    <s v="storeppl"/>
    <n v="2.5"/>
    <n v="272.64"/>
    <n v="2.5"/>
    <n v="272.64"/>
    <n v="0"/>
    <n v="0"/>
    <n v="0"/>
    <n v="692139278562"/>
    <d v="2026-07-03T00:00:00"/>
    <n v="66.400000000000006"/>
  </r>
  <r>
    <s v="Plastene Polyfilms Limited"/>
    <d v="2026-07-03T00:00:00"/>
    <s v="PPL/26-27/SII00769"/>
    <s v="WIP00191"/>
    <s v="PP MF Yarn Twisted 3000 Denier UV NW"/>
    <s v="PPL/RAW/26-27/279"/>
    <n v="878.3"/>
    <n v="878.3"/>
    <s v="Kgs"/>
    <n v="878.3"/>
    <n v="0"/>
    <n v="878.3"/>
    <s v="GJ12X1249"/>
    <s v="Plastene India ltd - Unit 1-Purchase"/>
    <s v="Plastene India ltd - Unit 1-Purchase"/>
    <s v="PIL1/D/902"/>
    <d v="2026-07-03T00:00:00"/>
    <s v="RAW MATERIAL"/>
    <s v="INDIGENOUS"/>
    <s v="RM 278"/>
    <n v="159.74"/>
    <n v="159.74"/>
    <s v="PIL1/D/902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74110.22"/>
    <s v="SF"/>
    <s v="Yarn All"/>
    <x v="5"/>
    <s v="RM"/>
    <m/>
    <n v="0"/>
    <n v="140299.64000000001"/>
    <n v="283"/>
    <d v="2026-07-03T00:00:00"/>
    <s v="24AAACO3087C1ZT"/>
    <s v="storeppl"/>
    <s v="storeppl"/>
    <n v="2.5"/>
    <n v="3507.49"/>
    <n v="2.5"/>
    <n v="3507.49"/>
    <n v="0"/>
    <n v="0"/>
    <n v="574110.22"/>
    <n v="682139368084"/>
    <d v="2026-07-03T00:00:00"/>
    <n v="878.3"/>
  </r>
  <r>
    <s v="Plastene Polyfilms Limited"/>
    <d v="2026-07-03T00:00:00"/>
    <s v="PPL/26-27/SII00769"/>
    <s v="WIP00151"/>
    <s v="PP MF Yarn Twisted 1000 UV NW"/>
    <s v="PPL/RAW/26-27/279"/>
    <n v="445.7"/>
    <n v="445.7"/>
    <s v="Kgs"/>
    <n v="445.7"/>
    <n v="0"/>
    <n v="445.7"/>
    <s v="GJ12X1249"/>
    <s v="Plastene India ltd - Unit 1-Purchase"/>
    <s v="Plastene India ltd - Unit 1-Purchase"/>
    <s v="PIL1/D/902"/>
    <d v="2026-07-03T00:00:00"/>
    <s v="RAW MATERIAL"/>
    <s v="INDIGENOUS"/>
    <s v="RM 278"/>
    <n v="159.74"/>
    <n v="159.74"/>
    <s v="PIL1/D/902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74110.22"/>
    <s v="SF"/>
    <s v="Yarn All"/>
    <x v="5"/>
    <s v="RM"/>
    <m/>
    <n v="0"/>
    <n v="71196.12"/>
    <n v="283"/>
    <d v="2026-07-03T00:00:00"/>
    <s v="24AAACO3087C1ZT"/>
    <s v="storeppl"/>
    <s v="storeppl"/>
    <n v="2.5"/>
    <n v="1779.9"/>
    <n v="2.5"/>
    <n v="1779.9"/>
    <n v="0"/>
    <n v="0"/>
    <n v="0"/>
    <n v="682139368084"/>
    <d v="2026-07-03T00:00:00"/>
    <n v="445.7"/>
  </r>
  <r>
    <s v="Plastene Polyfilms Limited"/>
    <d v="2026-07-03T00:00:00"/>
    <s v="PPL/26-27/SII00769"/>
    <s v="WIP00025"/>
    <s v="PP Lam Fabric With UV"/>
    <s v="PPL/RAW/26-27/279"/>
    <n v="1928"/>
    <n v="1928"/>
    <s v="Kgs"/>
    <n v="1928"/>
    <n v="0"/>
    <n v="1928"/>
    <s v="GJ12X1249"/>
    <s v="Plastene India ltd - Unit 1-Purchase"/>
    <s v="Plastene India ltd - Unit 1-Purchase"/>
    <s v="PIL1/D/902"/>
    <d v="2026-07-03T00:00:00"/>
    <s v="RAW MATERIAL"/>
    <s v="INDIGENOUS"/>
    <s v="RM 278"/>
    <n v="154.74"/>
    <n v="154.74"/>
    <s v="PIL1/D/902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74110.22"/>
    <s v="SF"/>
    <s v="PP/PE Fabric"/>
    <x v="2"/>
    <s v="RM"/>
    <s v="erp"/>
    <n v="0"/>
    <n v="298338.71999999997"/>
    <n v="283"/>
    <d v="2026-07-03T00:00:00"/>
    <s v="24AAACO3087C1ZT"/>
    <s v="storeppl"/>
    <s v="storeppl"/>
    <n v="9"/>
    <n v="26850.48"/>
    <n v="9"/>
    <n v="26850.48"/>
    <n v="0"/>
    <n v="0"/>
    <n v="0"/>
    <n v="682139368084"/>
    <d v="2026-07-03T00:00:00"/>
    <n v="1928"/>
  </r>
  <r>
    <s v="Plastene Polyfilms Limited"/>
    <d v="2026-07-03T00:00:00"/>
    <s v="PPL/26-27/SII00770"/>
    <s v="WIP00023"/>
    <s v="PP UL Fabric With UV"/>
    <s v="PPL/RAW/26-27/279"/>
    <n v="378"/>
    <n v="378"/>
    <s v="Kgs"/>
    <n v="378"/>
    <n v="0"/>
    <n v="378"/>
    <s v="GJ12BY1595"/>
    <s v="Plastene India ltd - Unit 1-Purchase"/>
    <s v="Plastene India ltd - Unit 1-Purchase"/>
    <s v="PIL1/D/897"/>
    <d v="2026-07-03T00:00:00"/>
    <s v="RAW MATERIAL"/>
    <s v="INDIGENOUS"/>
    <s v="RM 279"/>
    <n v="147.74"/>
    <n v="147.74"/>
    <s v="PIL1/D/897"/>
    <d v="2026-07-0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5897.94"/>
    <s v="SF"/>
    <s v="PP/PE Fabric"/>
    <x v="0"/>
    <s v="RM"/>
    <s v="erp"/>
    <n v="0"/>
    <n v="55845.72"/>
    <n v="284"/>
    <d v="2026-07-03T00:00:00"/>
    <s v="24AAACO3087C1ZT"/>
    <s v="storeppl"/>
    <s v="storeppl"/>
    <n v="9"/>
    <n v="5026.1099999999997"/>
    <n v="9"/>
    <n v="5026.1099999999997"/>
    <n v="0"/>
    <n v="0"/>
    <n v="65897.94"/>
    <n v="682139202386"/>
    <d v="2026-07-03T00:00:00"/>
    <n v="378"/>
  </r>
  <r>
    <s v="Plastene Polyfilms Limited"/>
    <d v="2026-07-04T00:00:00"/>
    <s v="PPL/26-27/SII00774"/>
    <s v="WIP00023"/>
    <s v="PP UL Fabric With UV"/>
    <s v="PPL/RAW/26-27/280"/>
    <n v="624"/>
    <n v="624"/>
    <s v="Kgs"/>
    <n v="624"/>
    <n v="0"/>
    <n v="624"/>
    <s v="GJ09Z0572"/>
    <s v="Plastene India ltd - Unit 1-Purchase"/>
    <s v="Plastene India ltd - Unit 1-Purchase"/>
    <s v="PIL1/D/909"/>
    <d v="2026-07-04T00:00:00"/>
    <s v="RAW MATERIAL"/>
    <s v="INDIGENOUS"/>
    <s v="RM 280"/>
    <n v="147.74"/>
    <n v="147.74"/>
    <s v="PIL1/D/909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7578.94"/>
    <s v="SF"/>
    <s v="PP/PE Fabric"/>
    <x v="0"/>
    <s v="RM"/>
    <s v="erp"/>
    <n v="0"/>
    <n v="92189.759999999995"/>
    <n v="287"/>
    <d v="2026-07-04T00:00:00"/>
    <s v="24AAACO3087C1ZT"/>
    <s v="storeppl"/>
    <s v="storeppl"/>
    <n v="9"/>
    <n v="8297.08"/>
    <n v="9"/>
    <n v="8297.08"/>
    <n v="0"/>
    <n v="0"/>
    <n v="167578.94"/>
    <n v="672139738792"/>
    <d v="2026-07-04T00:00:00"/>
    <n v="624"/>
  </r>
  <r>
    <s v="Plastene Polyfilms Limited"/>
    <d v="2026-07-04T00:00:00"/>
    <s v="PPL/26-27/SII00774"/>
    <s v="WIP00025"/>
    <s v="PP Lam Fabric With UV"/>
    <s v="PPL/RAW/26-27/280"/>
    <n v="322"/>
    <n v="322"/>
    <s v="Kgs"/>
    <n v="322"/>
    <n v="0"/>
    <n v="322"/>
    <s v="GJ09Z0572"/>
    <s v="Plastene India ltd - Unit 1-Purchase"/>
    <s v="Plastene India ltd - Unit 1-Purchase"/>
    <s v="PIL1/D/909"/>
    <d v="2026-07-04T00:00:00"/>
    <s v="RAW MATERIAL"/>
    <s v="INDIGENOUS"/>
    <s v="RM 280"/>
    <n v="154.74"/>
    <n v="154.74"/>
    <s v="PIL1/D/909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7578.94"/>
    <s v="SF"/>
    <s v="PP/PE Fabric"/>
    <x v="2"/>
    <s v="RM"/>
    <s v="erp"/>
    <n v="0"/>
    <n v="49826.28"/>
    <n v="287"/>
    <d v="2026-07-04T00:00:00"/>
    <s v="24AAACO3087C1ZT"/>
    <s v="storeppl"/>
    <s v="storeppl"/>
    <n v="9"/>
    <n v="4484.37"/>
    <n v="9"/>
    <n v="4484.37"/>
    <n v="0"/>
    <n v="0"/>
    <n v="0"/>
    <n v="672139738792"/>
    <d v="2026-07-04T00:00:00"/>
    <n v="322"/>
  </r>
  <r>
    <s v="Plastene Polyfilms Limited"/>
    <d v="2026-07-04T00:00:00"/>
    <s v="PPL/26-27/SII00775"/>
    <s v="WIP00025"/>
    <s v="PP Lam Fabric With UV"/>
    <s v="PPL/RAW/26-27/281"/>
    <n v="633"/>
    <n v="633"/>
    <s v="Kgs"/>
    <n v="633"/>
    <n v="0"/>
    <n v="633"/>
    <s v="GJ12X1249"/>
    <s v="Plastene India ltd - Unit 1-Purchase"/>
    <s v="Plastene India ltd - Unit 1-Purchase"/>
    <s v="PIL1/D/912"/>
    <d v="2026-07-04T00:00:00"/>
    <s v="RAW MATERIAL"/>
    <s v="INDIGENOUS"/>
    <s v="RM 281"/>
    <n v="151.49"/>
    <n v="151.490001731414"/>
    <s v="PIL1/D/912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49979.9"/>
    <s v="SF"/>
    <s v="PP/PE Fabric"/>
    <x v="2"/>
    <s v="RM"/>
    <s v="erp"/>
    <n v="0"/>
    <n v="95893.17"/>
    <n v="286"/>
    <d v="2026-07-04T00:00:00"/>
    <s v="24AAACO3087C1ZT"/>
    <s v="storeppl"/>
    <s v="storeppl"/>
    <n v="9"/>
    <n v="8630.39"/>
    <n v="9"/>
    <n v="8630.39"/>
    <n v="0"/>
    <n v="0"/>
    <n v="349979.9"/>
    <n v="652139916136"/>
    <d v="2026-07-04T00:00:00"/>
    <n v="633"/>
  </r>
  <r>
    <s v="Plastene Polyfilms Limited"/>
    <d v="2026-07-04T00:00:00"/>
    <s v="PPL/26-27/SII00775"/>
    <s v="WIP00032"/>
    <s v="Webbing"/>
    <s v="PPL/RAW/26-27/281"/>
    <n v="108.2"/>
    <n v="108.2"/>
    <s v="Kgs"/>
    <n v="108.2"/>
    <n v="0"/>
    <n v="108.2"/>
    <s v="GJ12X1249"/>
    <s v="Plastene India ltd - Unit 1-Purchase"/>
    <s v="Plastene India ltd - Unit 1-Purchase"/>
    <s v="PIL1/D/912"/>
    <d v="2026-07-04T00:00:00"/>
    <s v="RAW MATERIAL"/>
    <s v="INDIGENOUS"/>
    <s v="RM 281"/>
    <n v="146.49"/>
    <n v="146.490001674268"/>
    <s v="PIL1/D/912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49979.9"/>
    <s v="SF"/>
    <s v="Webbing"/>
    <x v="3"/>
    <s v="RM"/>
    <s v="erp"/>
    <n v="0"/>
    <n v="15850.22"/>
    <n v="286"/>
    <d v="2026-07-04T00:00:00"/>
    <s v="24AAACO3087C1ZT"/>
    <s v="storeppl"/>
    <s v="storeppl"/>
    <n v="9"/>
    <n v="1426.52"/>
    <n v="9"/>
    <n v="1426.52"/>
    <n v="0"/>
    <n v="0"/>
    <n v="0"/>
    <n v="652139916136"/>
    <d v="2026-07-04T00:00:00"/>
    <n v="108.2"/>
  </r>
  <r>
    <s v="Plastene Polyfilms Limited"/>
    <d v="2026-07-04T00:00:00"/>
    <s v="PPL/26-27/SII00775"/>
    <s v="WIP00032"/>
    <s v="Webbing"/>
    <s v="PPL/RAW/26-27/281"/>
    <n v="151.19999999999999"/>
    <n v="151.19999999999999"/>
    <s v="Kgs"/>
    <n v="151.19999999999999"/>
    <n v="0"/>
    <n v="151.19999999999999"/>
    <s v="GJ12X1249"/>
    <s v="Plastene India ltd - Unit 1-Purchase"/>
    <s v="Plastene India ltd - Unit 1-Purchase"/>
    <s v="PIL1/D/912"/>
    <d v="2026-07-04T00:00:00"/>
    <s v="RAW MATERIAL"/>
    <s v="INDIGENOUS"/>
    <s v="RM 281"/>
    <n v="149.49"/>
    <n v="149.49000170855501"/>
    <s v="PIL1/D/912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49979.9"/>
    <s v="SF"/>
    <s v="Webbing"/>
    <x v="3"/>
    <s v="RM"/>
    <s v="erp"/>
    <n v="0"/>
    <n v="22602.89"/>
    <n v="286"/>
    <d v="2026-07-04T00:00:00"/>
    <s v="24AAACO3087C1ZT"/>
    <s v="storeppl"/>
    <s v="storeppl"/>
    <n v="9"/>
    <n v="2034.26"/>
    <n v="9"/>
    <n v="2034.26"/>
    <n v="0"/>
    <n v="0"/>
    <n v="0"/>
    <n v="652139916136"/>
    <d v="2026-07-04T00:00:00"/>
    <n v="151.19999999999999"/>
  </r>
  <r>
    <s v="Plastene Polyfilms Limited"/>
    <d v="2026-07-04T00:00:00"/>
    <s v="PPL/26-27/SII00775"/>
    <s v="WIP00236"/>
    <s v="PP Braided Rope MW 6 to 8 GPM"/>
    <s v="PPL/RAW/26-27/281"/>
    <n v="25"/>
    <n v="25"/>
    <s v="Kgs"/>
    <n v="25"/>
    <n v="0"/>
    <n v="25"/>
    <s v="GJ12X1249"/>
    <s v="Plastene India ltd - Unit 1-Purchase"/>
    <s v="Plastene India ltd - Unit 1-Purchase"/>
    <s v="PIL1/D/912"/>
    <d v="2026-07-04T00:00:00"/>
    <s v="RAW MATERIAL"/>
    <s v="INDIGENOUS"/>
    <s v="RM 281"/>
    <n v="160.99"/>
    <n v="160.99000183999101"/>
    <s v="PIL1/D/912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49979.9"/>
    <s v="SF"/>
    <s v="Yarn All"/>
    <x v="5"/>
    <s v="RM"/>
    <s v="erp"/>
    <n v="0"/>
    <n v="4024.75"/>
    <n v="286"/>
    <d v="2026-07-04T00:00:00"/>
    <s v="24AAACO3087C1ZT"/>
    <s v="storeppl"/>
    <s v="storeppl"/>
    <n v="2.5"/>
    <n v="100.62"/>
    <n v="2.5"/>
    <n v="100.62"/>
    <n v="0"/>
    <n v="0"/>
    <n v="0"/>
    <n v="652139916136"/>
    <d v="2026-07-04T00:00:00"/>
    <n v="25"/>
  </r>
  <r>
    <s v="Plastene Polyfilms Limited"/>
    <d v="2026-07-04T00:00:00"/>
    <s v="PPL/26-27/SII00775"/>
    <s v="WIP00023"/>
    <s v="PP UL Fabric With UV"/>
    <s v="PPL/RAW/26-27/281"/>
    <n v="653"/>
    <n v="653"/>
    <s v="Kgs"/>
    <n v="653"/>
    <n v="0"/>
    <n v="653"/>
    <s v="GJ12X1249"/>
    <s v="Plastene India ltd - Unit 1-Purchase"/>
    <s v="Plastene India ltd - Unit 1-Purchase"/>
    <s v="PIL1/D/912"/>
    <d v="2026-07-04T00:00:00"/>
    <s v="RAW MATERIAL"/>
    <s v="INDIGENOUS"/>
    <s v="RM 281"/>
    <n v="149.49"/>
    <n v="149.49000170855501"/>
    <s v="PIL1/D/912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49979.9"/>
    <s v="SF"/>
    <s v="PP/PE Fabric"/>
    <x v="0"/>
    <s v="RM"/>
    <s v="erp"/>
    <n v="0"/>
    <n v="97616.97"/>
    <n v="286"/>
    <d v="2026-07-04T00:00:00"/>
    <s v="24AAACO3087C1ZT"/>
    <s v="storeppl"/>
    <s v="storeppl"/>
    <n v="9"/>
    <n v="8785.5300000000007"/>
    <n v="9"/>
    <n v="8785.5300000000007"/>
    <n v="0"/>
    <n v="0"/>
    <n v="0"/>
    <n v="652139916136"/>
    <d v="2026-07-04T00:00:00"/>
    <n v="653"/>
  </r>
  <r>
    <s v="Plastene Polyfilms Limited"/>
    <d v="2026-07-04T00:00:00"/>
    <s v="PPL/26-27/SII00775"/>
    <s v="WIP00013"/>
    <s v="LDPE/LLDPE Bags/Liner"/>
    <s v="PPL/RAW/26-27/281"/>
    <n v="334"/>
    <n v="334"/>
    <s v="Kgs"/>
    <n v="334"/>
    <n v="0"/>
    <n v="334"/>
    <s v="GJ12X1249"/>
    <s v="Plastene India ltd - Unit 1-Purchase"/>
    <s v="Plastene India ltd - Unit 1-Purchase"/>
    <s v="PIL1/D/912"/>
    <d v="2026-07-04T00:00:00"/>
    <s v="RAW MATERIAL"/>
    <s v="INDIGENOUS"/>
    <s v="RM 281"/>
    <n v="182.78"/>
    <n v="182.78000208903401"/>
    <s v="PIL1/D/912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49979.9"/>
    <s v="SF"/>
    <s v="Liners"/>
    <x v="1"/>
    <s v="RM"/>
    <s v="erp"/>
    <n v="0"/>
    <n v="61048.52"/>
    <n v="286"/>
    <d v="2026-07-04T00:00:00"/>
    <s v="24AAACO3087C1ZT"/>
    <s v="storeppl"/>
    <s v="storeppl"/>
    <n v="9"/>
    <n v="5494.37"/>
    <n v="9"/>
    <n v="5494.37"/>
    <n v="0"/>
    <n v="0"/>
    <n v="0"/>
    <n v="652139916136"/>
    <d v="2026-07-04T00:00:00"/>
    <n v="334"/>
  </r>
  <r>
    <s v="Plastene Polyfilms Limited"/>
    <d v="2026-07-04T00:00:00"/>
    <s v="PPL/26-27/SII00776"/>
    <s v="RAW06259"/>
    <s v="LLDPE F0120L HMEL"/>
    <s v="PPL/RAW/26-27/282"/>
    <n v="1125"/>
    <n v="1125"/>
    <s v="Kgs"/>
    <n v="1125"/>
    <n v="0"/>
    <n v="1125"/>
    <s v="GJ12X1249"/>
    <s v="Plastene India ltd - Unit 1-Purchase"/>
    <s v="Plastene India ltd - Unit 1-Purchase"/>
    <s v="PIL1/D/910"/>
    <d v="2026-07-04T00:00:00"/>
    <s v="RAW MATERIAL"/>
    <s v="INDIGENOUS"/>
    <s v="RM 282"/>
    <n v="136.85"/>
    <n v="136.85"/>
    <s v="PIL1/D/910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11793.37"/>
    <s v="RM"/>
    <s v="Granules"/>
    <x v="6"/>
    <s v="RM"/>
    <s v="mani"/>
    <n v="0"/>
    <n v="153956.25"/>
    <n v="285"/>
    <d v="2026-07-04T00:00:00"/>
    <s v="24AAACO3087C1ZT"/>
    <s v="storeppl"/>
    <s v="storeppl"/>
    <n v="9"/>
    <n v="13856.06"/>
    <n v="9"/>
    <n v="13856.06"/>
    <n v="0"/>
    <n v="0"/>
    <n v="911793.37"/>
    <n v="662139856976"/>
    <d v="2026-07-04T00:00:00"/>
    <n v="1125"/>
  </r>
  <r>
    <s v="Plastene Polyfilms Limited"/>
    <d v="2026-07-04T00:00:00"/>
    <s v="PPL/26-27/SII00776"/>
    <s v="RAW05130"/>
    <s v="PP Basell 462S"/>
    <s v="PPL/RAW/26-27/282"/>
    <n v="4125"/>
    <n v="4125"/>
    <s v="Kgs"/>
    <n v="4125"/>
    <n v="0"/>
    <n v="4125"/>
    <s v="GJ12X1249"/>
    <s v="Plastene India ltd - Unit 1-Purchase"/>
    <s v="Plastene India ltd - Unit 1-Purchase"/>
    <s v="PIL1/D/910"/>
    <d v="2026-07-04T00:00:00"/>
    <s v="RAW MATERIAL"/>
    <s v="INDIGENOUS"/>
    <s v="RM 282"/>
    <n v="150"/>
    <n v="150"/>
    <s v="PIL1/D/910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11793.37"/>
    <s v="RM"/>
    <s v="Granules"/>
    <x v="4"/>
    <s v="RM"/>
    <s v="erp"/>
    <n v="0"/>
    <n v="618750"/>
    <n v="285"/>
    <d v="2026-07-04T00:00:00"/>
    <s v="24AAACO3087C1ZT"/>
    <s v="storeppl"/>
    <s v="storeppl"/>
    <n v="9"/>
    <n v="55687.5"/>
    <n v="9"/>
    <n v="55687.5"/>
    <n v="0"/>
    <n v="0"/>
    <n v="0"/>
    <n v="662139856976"/>
    <d v="2026-07-04T00:00:00"/>
    <n v="4125"/>
  </r>
  <r>
    <s v="Plastene Polyfilms Limited"/>
    <d v="2026-07-05T00:00:00"/>
    <s v="PPL/26-27/SII00779"/>
    <s v="WIP00023"/>
    <s v="PP UL Fabric With UV"/>
    <s v="PPL/RAW/26-27/283"/>
    <n v="419"/>
    <n v="419"/>
    <s v="Kgs"/>
    <n v="419"/>
    <n v="0"/>
    <n v="419"/>
    <s v="GJ12X1249"/>
    <s v="Plastene India ltd - Unit 1-Purchase"/>
    <s v="Plastene India ltd - Unit 1-Purchase"/>
    <s v="PIL1/D/921"/>
    <d v="2026-07-05T00:00:00"/>
    <s v="RAW MATERIAL"/>
    <s v="INDIGENOUS"/>
    <s v="RM 283"/>
    <n v="144.49"/>
    <n v="144.49000060053399"/>
    <s v="PIL1/D/921"/>
    <d v="2026-07-0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40602.6"/>
    <s v="SF"/>
    <s v="PP/PE Fabric"/>
    <x v="0"/>
    <s v="RM"/>
    <s v="erp"/>
    <n v="0"/>
    <n v="60541.31"/>
    <n v="289"/>
    <d v="2026-07-05T00:00:00"/>
    <s v="24AAACO3087C1ZT"/>
    <s v="storeppl"/>
    <s v="storeppl"/>
    <n v="9"/>
    <n v="5448.72"/>
    <n v="9"/>
    <n v="5448.72"/>
    <n v="0"/>
    <n v="0"/>
    <n v="240602.6"/>
    <n v="632140184870"/>
    <d v="2026-07-05T00:00:00"/>
    <n v="419"/>
  </r>
  <r>
    <s v="Plastene Polyfilms Limited"/>
    <d v="2026-07-05T00:00:00"/>
    <s v="PPL/26-27/SII00779"/>
    <s v="WIP00023"/>
    <s v="PP UL Fabric With UV"/>
    <s v="PPL/RAW/26-27/283"/>
    <n v="667"/>
    <n v="667"/>
    <s v="Kgs"/>
    <n v="667"/>
    <n v="0"/>
    <n v="667"/>
    <s v="GJ12X1249"/>
    <s v="Plastene India ltd - Unit 1-Purchase"/>
    <s v="Plastene India ltd - Unit 1-Purchase"/>
    <s v="PIL1/D/921"/>
    <d v="2026-07-05T00:00:00"/>
    <s v="RAW MATERIAL"/>
    <s v="INDIGENOUS"/>
    <s v="RM 283"/>
    <n v="149.49"/>
    <n v="149.490000621315"/>
    <s v="PIL1/D/921"/>
    <d v="2026-07-0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40602.6"/>
    <s v="SF"/>
    <s v="PP/PE Fabric"/>
    <x v="0"/>
    <s v="RM"/>
    <s v="erp"/>
    <n v="0"/>
    <n v="99709.83"/>
    <n v="289"/>
    <d v="2026-07-05T00:00:00"/>
    <s v="24AAACO3087C1ZT"/>
    <s v="storeppl"/>
    <s v="storeppl"/>
    <n v="9"/>
    <n v="8973.8799999999992"/>
    <n v="9"/>
    <n v="8973.8799999999992"/>
    <n v="0"/>
    <n v="0"/>
    <n v="0"/>
    <n v="632140184870"/>
    <d v="2026-07-05T00:00:00"/>
    <n v="667"/>
  </r>
  <r>
    <s v="Plastene Polyfilms Limited"/>
    <d v="2026-07-05T00:00:00"/>
    <s v="PPL/26-27/SII00779"/>
    <s v="WIP00236"/>
    <s v="PP Braided Rope MW 6 to 8 GPM"/>
    <s v="PPL/RAW/26-27/283"/>
    <n v="28.4"/>
    <n v="28.4"/>
    <s v="Kgs"/>
    <n v="28.4"/>
    <n v="0"/>
    <n v="28.4"/>
    <s v="GJ12X1249"/>
    <s v="Plastene India ltd - Unit 1-Purchase"/>
    <s v="Plastene India ltd - Unit 1-Purchase"/>
    <s v="PIL1/D/921"/>
    <d v="2026-07-05T00:00:00"/>
    <s v="RAW MATERIAL"/>
    <s v="INDIGENOUS"/>
    <s v="RM 283"/>
    <n v="160.99"/>
    <n v="160.99000066911199"/>
    <s v="PIL1/D/921"/>
    <d v="2026-07-0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40602.6"/>
    <s v="SF"/>
    <s v="Yarn All"/>
    <x v="5"/>
    <s v="RM"/>
    <s v="erp"/>
    <n v="0"/>
    <n v="4572.12"/>
    <n v="289"/>
    <d v="2026-07-05T00:00:00"/>
    <s v="24AAACO3087C1ZT"/>
    <s v="storeppl"/>
    <s v="storeppl"/>
    <n v="2.5"/>
    <n v="114.3"/>
    <n v="2.5"/>
    <n v="114.3"/>
    <n v="0"/>
    <n v="0"/>
    <n v="0"/>
    <n v="632140184870"/>
    <d v="2026-07-05T00:00:00"/>
    <n v="28.4"/>
  </r>
  <r>
    <s v="Plastene Polyfilms Limited"/>
    <d v="2026-07-05T00:00:00"/>
    <s v="PPL/26-27/SII00779"/>
    <s v="WIP00032"/>
    <s v="Webbing"/>
    <s v="PPL/RAW/26-27/283"/>
    <n v="170.7"/>
    <n v="170.7"/>
    <s v="Kgs"/>
    <n v="170.7"/>
    <n v="0"/>
    <n v="170.7"/>
    <s v="GJ12X1249"/>
    <s v="Plastene India ltd - Unit 1-Purchase"/>
    <s v="Plastene India ltd - Unit 1-Purchase"/>
    <s v="PIL1/D/921"/>
    <d v="2026-07-05T00:00:00"/>
    <s v="RAW MATERIAL"/>
    <s v="INDIGENOUS"/>
    <s v="RM 283"/>
    <n v="149.49"/>
    <n v="149.490000621315"/>
    <s v="PIL1/D/921"/>
    <d v="2026-07-0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40602.6"/>
    <s v="SF"/>
    <s v="Webbing"/>
    <x v="3"/>
    <s v="RM"/>
    <s v="erp"/>
    <n v="0"/>
    <n v="25517.94"/>
    <n v="289"/>
    <d v="2026-07-05T00:00:00"/>
    <s v="24AAACO3087C1ZT"/>
    <s v="storeppl"/>
    <s v="storeppl"/>
    <n v="9"/>
    <n v="2296.61"/>
    <n v="9"/>
    <n v="2296.61"/>
    <n v="0"/>
    <n v="0"/>
    <n v="0"/>
    <n v="632140184870"/>
    <d v="2026-07-05T00:00:00"/>
    <n v="170.7"/>
  </r>
  <r>
    <s v="Plastene Polyfilms Limited"/>
    <d v="2026-07-05T00:00:00"/>
    <s v="PPL/26-27/SII00779"/>
    <s v="WIP00032"/>
    <s v="Webbing"/>
    <s v="PPL/RAW/26-27/283"/>
    <n v="96"/>
    <n v="96"/>
    <s v="Kgs"/>
    <n v="96"/>
    <n v="0"/>
    <n v="96"/>
    <s v="GJ12X1249"/>
    <s v="Plastene India ltd - Unit 1-Purchase"/>
    <s v="Plastene India ltd - Unit 1-Purchase"/>
    <s v="PIL1/D/921"/>
    <d v="2026-07-05T00:00:00"/>
    <s v="RAW MATERIAL"/>
    <s v="INDIGENOUS"/>
    <s v="RM 283"/>
    <n v="146.49"/>
    <n v="146.490000608846"/>
    <s v="PIL1/D/921"/>
    <d v="2026-07-0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40602.6"/>
    <s v="SF"/>
    <s v="Webbing"/>
    <x v="3"/>
    <s v="RM"/>
    <s v="erp"/>
    <n v="0"/>
    <n v="14063.04"/>
    <n v="289"/>
    <d v="2026-07-05T00:00:00"/>
    <s v="24AAACO3087C1ZT"/>
    <s v="storeppl"/>
    <s v="storeppl"/>
    <n v="9"/>
    <n v="1265.67"/>
    <n v="9"/>
    <n v="1265.67"/>
    <n v="0"/>
    <n v="0"/>
    <n v="0"/>
    <n v="632140184870"/>
    <d v="2026-07-05T00:00:00"/>
    <n v="96"/>
  </r>
  <r>
    <s v="Plastene Polyfilms Limited"/>
    <d v="2026-07-05T00:00:00"/>
    <s v="PPL/26-27/SII00780"/>
    <s v="WIP00025"/>
    <s v="PP Lam Fabric With UV"/>
    <s v="PPL/RAW/26-27/283"/>
    <n v="173"/>
    <n v="173"/>
    <s v="Kgs"/>
    <n v="173"/>
    <n v="0"/>
    <n v="173"/>
    <s v="GJ12X1249"/>
    <s v="Plastene India ltd - Unit 1-Purchase"/>
    <s v="Plastene India ltd - Unit 1-Purchase"/>
    <s v="PIL1/D/922"/>
    <d v="2026-07-05T00:00:00"/>
    <s v="RAW MATERIAL"/>
    <s v="INDIGENOUS"/>
    <s v="RM 284"/>
    <n v="144.49"/>
    <n v="144.49"/>
    <s v="PIL1/D/922"/>
    <d v="2026-07-05T00:00:00"/>
    <s v="PP WOVEN LAMINATED FABRIC SIZE : 55X90+12 / 4280 MTR."/>
    <s v="."/>
    <m/>
    <s v="."/>
    <s v="."/>
    <n v="0"/>
    <n v="0"/>
    <n v="0"/>
    <n v="0"/>
    <n v="0"/>
    <s v="VAT"/>
    <n v="0"/>
    <n v="0"/>
    <n v="0"/>
    <n v="0"/>
    <n v="0"/>
    <m/>
    <n v="0"/>
    <n v="0"/>
    <n v="70927.259999999995"/>
    <s v="SF"/>
    <s v="PP/PE Fabric"/>
    <x v="2"/>
    <s v="RM"/>
    <s v="erp"/>
    <n v="0"/>
    <n v="24996.77"/>
    <n v="290"/>
    <d v="2026-07-05T00:00:00"/>
    <s v="24AAACO3087C1ZT"/>
    <s v="storeppl"/>
    <s v="storeppl"/>
    <n v="9"/>
    <n v="2249.71"/>
    <n v="9"/>
    <n v="2249.71"/>
    <n v="0"/>
    <n v="0"/>
    <n v="70927.259999999995"/>
    <n v="682140186264"/>
    <d v="2026-07-05T00:00:00"/>
    <n v="173"/>
  </r>
  <r>
    <s v="Plastene Polyfilms Limited"/>
    <d v="2026-07-05T00:00:00"/>
    <s v="PPL/26-27/SII00780"/>
    <s v="FIG00001"/>
    <s v="FIBC WIP"/>
    <s v="PPL/RAW/26-27/283"/>
    <n v="243"/>
    <n v="243"/>
    <s v="Kgs"/>
    <n v="243"/>
    <n v="0"/>
    <n v="243"/>
    <s v="GJ12X1249"/>
    <s v="Plastene India ltd - Unit 1-Purchase"/>
    <s v="Plastene India ltd - Unit 1-Purchase"/>
    <s v="PIL1/D/922"/>
    <d v="2026-07-05T00:00:00"/>
    <s v="RAW MATERIAL"/>
    <s v="INDIGENOUS"/>
    <s v="RM 284"/>
    <n v="144.49"/>
    <n v="144.49"/>
    <s v="PIL1/D/922"/>
    <d v="2026-07-0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70927.259999999995"/>
    <s v="FG"/>
    <s v="FIBC WIP"/>
    <x v="7"/>
    <s v="RM"/>
    <s v="erp"/>
    <n v="0"/>
    <n v="35111.07"/>
    <n v="290"/>
    <d v="2026-07-05T00:00:00"/>
    <s v="24AAACO3087C1ZT"/>
    <s v="storeppl"/>
    <s v="storeppl"/>
    <n v="9"/>
    <n v="3160"/>
    <n v="9"/>
    <n v="3160"/>
    <n v="0"/>
    <n v="0"/>
    <n v="0"/>
    <n v="682140186264"/>
    <d v="2026-07-05T00:00:00"/>
    <n v="243"/>
  </r>
  <r>
    <s v="Plastene Polyfilms Limited"/>
    <d v="2026-07-05T00:00:00"/>
    <s v="PPL/26-27/SII00781"/>
    <s v="SMF00054"/>
    <s v="PP Fibrillated Tape Twisted 3200 MW"/>
    <s v="PPL/RAW/26-27/284"/>
    <n v="3250"/>
    <n v="3250"/>
    <s v="Kgs"/>
    <n v="3250"/>
    <n v="0"/>
    <n v="3250"/>
    <s v="GJ39T8608"/>
    <s v="K.P. Woven Pvt Ltd-Purchase"/>
    <s v="K.P. Woven Pvt Ltd-Purchase"/>
    <s v="KPV/D/403"/>
    <d v="2026-07-04T00:00:00"/>
    <s v="RAW MATERIAL"/>
    <s v="INDIGENOUS"/>
    <s v="RM 285"/>
    <n v="151.15"/>
    <n v="151.15"/>
    <s v="KPV/D/403"/>
    <d v="2026-07-0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15799.38"/>
    <s v="SF"/>
    <s v="Yarn All"/>
    <x v="5"/>
    <s v="RM"/>
    <s v="erp"/>
    <n v="0"/>
    <n v="491237.5"/>
    <n v="288"/>
    <d v="2026-07-05T00:00:00"/>
    <s v="24AAECK6307M1ZF"/>
    <s v="storeppl"/>
    <s v="storeppl"/>
    <n v="2.5"/>
    <n v="12280.94"/>
    <n v="2.5"/>
    <n v="12280.94"/>
    <n v="0"/>
    <n v="0"/>
    <n v="515799.38"/>
    <n v="692139985112"/>
    <d v="2026-07-05T00:00:00"/>
    <n v="3250"/>
  </r>
  <r>
    <s v="Plastene Polyfilms Limited"/>
    <d v="2026-07-05T00:00:00"/>
    <s v="PPL/26-27/SII00783"/>
    <s v="WIP00032"/>
    <s v="Webbing"/>
    <s v="PPL/RAW/26-27/285"/>
    <n v="28.4"/>
    <n v="28.4"/>
    <s v="Kgs"/>
    <n v="28.4"/>
    <n v="0"/>
    <n v="28.4"/>
    <s v="GJ39T1656"/>
    <s v="Plastene India ltd - Unit 1-Purchase"/>
    <s v="Plastene India ltd - Unit 1-Purchase"/>
    <s v="PIL1/D/927"/>
    <d v="2026-07-05T00:00:00"/>
    <s v="RAW MATERIAL"/>
    <s v="INDIGENOUS"/>
    <s v="RM 286"/>
    <n v="149.49"/>
    <n v="149.49011936005999"/>
    <s v="PIL1/D/927"/>
    <d v="2026-07-0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009.72"/>
    <s v="SF"/>
    <s v="Webbing"/>
    <x v="3"/>
    <s v="RM"/>
    <s v="erp"/>
    <n v="0"/>
    <n v="4245.5200000000004"/>
    <n v="291"/>
    <d v="2026-07-05T00:00:00"/>
    <s v="24AAACO3087C1ZT"/>
    <s v="storeppl"/>
    <s v="storeppl"/>
    <n v="9"/>
    <n v="382.1"/>
    <n v="9"/>
    <n v="382.1"/>
    <n v="0"/>
    <n v="0"/>
    <n v="5009.72"/>
    <n v="612140246624"/>
    <d v="2026-07-05T00:00:00"/>
    <n v="28.4"/>
  </r>
  <r>
    <s v="Plastene Polyfilms Limited"/>
    <d v="2026-07-06T00:00:00"/>
    <s v="PPL/26-27/SII00784"/>
    <s v="WIP00023"/>
    <s v="PP UL Fabric With UV"/>
    <s v="PPL/RAW/26-27/286"/>
    <n v="226"/>
    <n v="226"/>
    <s v="Kgs"/>
    <n v="226"/>
    <n v="0"/>
    <n v="226"/>
    <s v="GJ17XX0310"/>
    <s v="HCP Plastene Bulkpack Limited - Purchase"/>
    <s v="HCP Plastene Bulkpack Limited - Purchase"/>
    <s v="HPBL/D/350"/>
    <d v="2026-07-05T00:00:00"/>
    <s v="RAW MATERIAL"/>
    <s v="INDIGENOUS"/>
    <s v="RM 287"/>
    <n v="164.9"/>
    <n v="164.9"/>
    <s v="HPBL/D/350"/>
    <d v="2026-07-05T00:00:00"/>
    <m/>
    <n v="0"/>
    <m/>
    <s v="SHREENA  ROADWAYS"/>
    <n v="2397"/>
    <n v="0"/>
    <n v="0"/>
    <n v="0"/>
    <n v="0"/>
    <n v="0"/>
    <s v="VAT"/>
    <n v="0"/>
    <n v="0"/>
    <n v="0"/>
    <n v="0"/>
    <n v="0"/>
    <m/>
    <n v="0"/>
    <n v="0"/>
    <n v="672885.8"/>
    <s v="SF"/>
    <s v="PP/PE Fabric"/>
    <x v="0"/>
    <s v="RM"/>
    <s v="erp"/>
    <n v="0"/>
    <n v="37267.4"/>
    <n v="292"/>
    <d v="2026-07-06T00:00:00"/>
    <s v="24AABCG1282C2Z6"/>
    <s v="storeppl"/>
    <s v="storeppl"/>
    <n v="9"/>
    <n v="3354.07"/>
    <n v="9"/>
    <n v="3354.07"/>
    <n v="0"/>
    <n v="0"/>
    <n v="672885.8"/>
    <n v="632140255150"/>
    <d v="2026-07-05T00:00:00"/>
    <n v="226"/>
  </r>
  <r>
    <s v="Plastene Polyfilms Limited"/>
    <d v="2026-07-06T00:00:00"/>
    <s v="PPL/26-27/SII00784"/>
    <s v="WIP00023"/>
    <s v="PP UL Fabric With UV"/>
    <s v="PPL/RAW/26-27/286"/>
    <n v="3292"/>
    <n v="3292"/>
    <s v="Kgs"/>
    <n v="3292"/>
    <n v="0"/>
    <n v="3292"/>
    <s v="GJ17XX0310"/>
    <s v="HCP Plastene Bulkpack Limited - Purchase"/>
    <s v="HCP Plastene Bulkpack Limited - Purchase"/>
    <s v="HPBL/D/350"/>
    <d v="2026-07-05T00:00:00"/>
    <s v="RAW MATERIAL"/>
    <s v="INDIGENOUS"/>
    <s v="RM 287"/>
    <n v="161.9"/>
    <n v="161.9"/>
    <s v="HPBL/D/350"/>
    <d v="2026-07-05T00:00:00"/>
    <m/>
    <n v="0"/>
    <m/>
    <s v="SHREENA  ROADWAYS"/>
    <n v="2397"/>
    <n v="0"/>
    <n v="0"/>
    <n v="0"/>
    <n v="0"/>
    <n v="0"/>
    <s v="VAT"/>
    <n v="0"/>
    <n v="0"/>
    <n v="0"/>
    <n v="0"/>
    <n v="0"/>
    <m/>
    <n v="0"/>
    <n v="0"/>
    <n v="672885.8"/>
    <s v="SF"/>
    <s v="PP/PE Fabric"/>
    <x v="0"/>
    <s v="RM"/>
    <s v="erp"/>
    <n v="0"/>
    <n v="532974.80000000005"/>
    <n v="292"/>
    <d v="2026-07-06T00:00:00"/>
    <s v="24AABCG1282C2Z6"/>
    <s v="storeppl"/>
    <s v="storeppl"/>
    <n v="9"/>
    <n v="47967.73"/>
    <n v="9"/>
    <n v="47967.73"/>
    <n v="0"/>
    <n v="0"/>
    <n v="0"/>
    <n v="632140255150"/>
    <d v="2026-07-05T00:00:00"/>
    <n v="3292"/>
  </r>
  <r>
    <s v="Plastene Polyfilms Limited"/>
    <d v="2026-07-06T00:00:00"/>
    <s v="PPL/26-27/SII00792"/>
    <s v="WIP00023"/>
    <s v="PP UL Fabric With UV"/>
    <s v="PPL/RAW/26-27/287"/>
    <n v="385"/>
    <n v="385"/>
    <s v="Kgs"/>
    <n v="385"/>
    <n v="0"/>
    <n v="385"/>
    <s v="GJ12X1249"/>
    <s v="Plastene India ltd - Unit 1-Purchase"/>
    <s v="Plastene India ltd - Unit 1-Purchase"/>
    <s v="PIL1/D/938"/>
    <d v="2026-07-06T00:00:00"/>
    <s v="RAW MATERIAL"/>
    <s v="INDIGENOUS"/>
    <s v="RM 288"/>
    <n v="144.49"/>
    <n v="144.489999107383"/>
    <s v="PIL1/D/938"/>
    <d v="2026-07-0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23744.7"/>
    <s v="SF"/>
    <s v="PP/PE Fabric"/>
    <x v="0"/>
    <s v="RM"/>
    <s v="erp"/>
    <n v="0"/>
    <n v="55628.65"/>
    <n v="293"/>
    <d v="2026-07-06T00:00:00"/>
    <s v="24AAACO3087C1ZT"/>
    <s v="storeppl"/>
    <s v="storeppl"/>
    <n v="9"/>
    <n v="5006.58"/>
    <n v="9"/>
    <n v="5006.58"/>
    <n v="0"/>
    <n v="0"/>
    <n v="323744.7"/>
    <n v="642140746334"/>
    <d v="2026-07-06T00:00:00"/>
    <n v="385"/>
  </r>
  <r>
    <s v="Plastene Polyfilms Limited"/>
    <d v="2026-07-06T00:00:00"/>
    <s v="PPL/26-27/SII00792"/>
    <s v="WIP00023"/>
    <s v="PP UL Fabric With UV"/>
    <s v="PPL/RAW/26-27/287"/>
    <n v="870"/>
    <n v="870"/>
    <s v="Kgs"/>
    <n v="870"/>
    <n v="0"/>
    <n v="870"/>
    <s v="GJ12X1249"/>
    <s v="Plastene India ltd - Unit 1-Purchase"/>
    <s v="Plastene India ltd - Unit 1-Purchase"/>
    <s v="PIL1/D/938"/>
    <d v="2026-07-06T00:00:00"/>
    <s v="RAW MATERIAL"/>
    <s v="INDIGENOUS"/>
    <s v="RM 288"/>
    <n v="149.49"/>
    <n v="149.489999076495"/>
    <s v="PIL1/D/938"/>
    <d v="2026-07-0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23744.7"/>
    <s v="SF"/>
    <s v="PP/PE Fabric"/>
    <x v="0"/>
    <s v="RM"/>
    <s v="erp"/>
    <n v="0"/>
    <n v="130056.3"/>
    <n v="293"/>
    <d v="2026-07-06T00:00:00"/>
    <s v="24AAACO3087C1ZT"/>
    <s v="storeppl"/>
    <s v="storeppl"/>
    <n v="9"/>
    <n v="11705.07"/>
    <n v="9"/>
    <n v="11705.07"/>
    <n v="0"/>
    <n v="0"/>
    <n v="0"/>
    <n v="642140746334"/>
    <d v="2026-07-06T00:00:00"/>
    <n v="870"/>
  </r>
  <r>
    <s v="Plastene Polyfilms Limited"/>
    <d v="2026-07-06T00:00:00"/>
    <s v="PPL/26-27/SII00792"/>
    <s v="WIP00032"/>
    <s v="Webbing"/>
    <s v="PPL/RAW/26-27/287"/>
    <n v="97.7"/>
    <n v="97.7"/>
    <s v="Kgs"/>
    <n v="97.7"/>
    <n v="0"/>
    <n v="97.7"/>
    <s v="GJ12X1249"/>
    <s v="Plastene India ltd - Unit 1-Purchase"/>
    <s v="Plastene India ltd - Unit 1-Purchase"/>
    <s v="PIL1/D/938"/>
    <d v="2026-07-06T00:00:00"/>
    <s v="RAW MATERIAL"/>
    <s v="INDIGENOUS"/>
    <s v="RM 288"/>
    <n v="149.49"/>
    <n v="149.489999076495"/>
    <s v="PIL1/D/938"/>
    <d v="2026-07-0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23744.7"/>
    <s v="SF"/>
    <s v="Webbing"/>
    <x v="3"/>
    <s v="RM"/>
    <s v="erp"/>
    <n v="0"/>
    <n v="14605.17"/>
    <n v="293"/>
    <d v="2026-07-06T00:00:00"/>
    <s v="24AAACO3087C1ZT"/>
    <s v="storeppl"/>
    <s v="storeppl"/>
    <n v="9"/>
    <n v="1314.47"/>
    <n v="9"/>
    <n v="1314.47"/>
    <n v="0"/>
    <n v="0"/>
    <n v="0"/>
    <n v="642140746334"/>
    <d v="2026-07-06T00:00:00"/>
    <n v="97.7"/>
  </r>
  <r>
    <s v="Plastene Polyfilms Limited"/>
    <d v="2026-07-06T00:00:00"/>
    <s v="PPL/26-27/SII00792"/>
    <s v="WIP00032"/>
    <s v="Webbing"/>
    <s v="PPL/RAW/26-27/287"/>
    <n v="28.8"/>
    <n v="28.8"/>
    <s v="Kgs"/>
    <n v="28.8"/>
    <n v="0"/>
    <n v="28.8"/>
    <s v="GJ12X1249"/>
    <s v="Plastene India ltd - Unit 1-Purchase"/>
    <s v="Plastene India ltd - Unit 1-Purchase"/>
    <s v="PIL1/D/938"/>
    <d v="2026-07-06T00:00:00"/>
    <s v="RAW MATERIAL"/>
    <s v="INDIGENOUS"/>
    <s v="RM 288"/>
    <n v="146.49"/>
    <n v="146.489999095028"/>
    <s v="PIL1/D/938"/>
    <d v="2026-07-0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23744.7"/>
    <s v="SF"/>
    <s v="Webbing"/>
    <x v="3"/>
    <s v="RM"/>
    <s v="erp"/>
    <n v="0"/>
    <n v="4218.91"/>
    <n v="293"/>
    <d v="2026-07-06T00:00:00"/>
    <s v="24AAACO3087C1ZT"/>
    <s v="storeppl"/>
    <s v="storeppl"/>
    <n v="9"/>
    <n v="379.7"/>
    <n v="9"/>
    <n v="379.7"/>
    <n v="0"/>
    <n v="0"/>
    <n v="0"/>
    <n v="642140746334"/>
    <d v="2026-07-06T00:00:00"/>
    <n v="28.8"/>
  </r>
  <r>
    <s v="Plastene Polyfilms Limited"/>
    <d v="2026-07-06T00:00:00"/>
    <s v="PPL/26-27/SII00792"/>
    <s v="WIP00236"/>
    <s v="PP Braided Rope MW 6 to 8 GPM"/>
    <s v="PPL/RAW/26-27/287"/>
    <n v="25.3"/>
    <n v="25.3"/>
    <s v="Kgs"/>
    <n v="25.3"/>
    <n v="0"/>
    <n v="25.3"/>
    <s v="GJ12X1249"/>
    <s v="Plastene India ltd - Unit 1-Purchase"/>
    <s v="Plastene India ltd - Unit 1-Purchase"/>
    <s v="PIL1/D/938"/>
    <d v="2026-07-06T00:00:00"/>
    <s v="RAW MATERIAL"/>
    <s v="INDIGENOUS"/>
    <s v="RM 288"/>
    <n v="160.99"/>
    <n v="160.98999900545101"/>
    <s v="PIL1/D/938"/>
    <d v="2026-07-0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23744.7"/>
    <s v="SF"/>
    <s v="Yarn All"/>
    <x v="5"/>
    <s v="RM"/>
    <s v="erp"/>
    <n v="0"/>
    <n v="4073.05"/>
    <n v="293"/>
    <d v="2026-07-06T00:00:00"/>
    <s v="24AAACO3087C1ZT"/>
    <s v="storeppl"/>
    <s v="storeppl"/>
    <n v="2.5"/>
    <n v="101.83"/>
    <n v="2.5"/>
    <n v="101.83"/>
    <n v="0"/>
    <n v="0"/>
    <n v="0"/>
    <n v="642140746334"/>
    <d v="2026-07-06T00:00:00"/>
    <n v="25.3"/>
  </r>
  <r>
    <s v="Plastene Polyfilms Limited"/>
    <d v="2026-07-06T00:00:00"/>
    <s v="PPL/26-27/SII00792"/>
    <s v="WIP00025"/>
    <s v="PP Lam Fabric With UV"/>
    <s v="PPL/RAW/26-27/287"/>
    <n v="141"/>
    <n v="141"/>
    <s v="Kgs"/>
    <n v="141"/>
    <n v="0"/>
    <n v="141"/>
    <s v="GJ12X1249"/>
    <s v="Plastene India ltd - Unit 1-Purchase"/>
    <s v="Plastene India ltd - Unit 1-Purchase"/>
    <s v="PIL1/D/938"/>
    <d v="2026-07-06T00:00:00"/>
    <s v="RAW MATERIAL"/>
    <s v="INDIGENOUS"/>
    <s v="RM 288"/>
    <n v="148.49"/>
    <n v="148.489999082672"/>
    <s v="PIL1/D/938"/>
    <d v="2026-07-0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23744.7"/>
    <s v="SF"/>
    <s v="PP/PE Fabric"/>
    <x v="2"/>
    <s v="RM"/>
    <s v="erp"/>
    <n v="0"/>
    <n v="20937.09"/>
    <n v="293"/>
    <d v="2026-07-06T00:00:00"/>
    <s v="24AAACO3087C1ZT"/>
    <s v="storeppl"/>
    <s v="storeppl"/>
    <n v="9"/>
    <n v="1884.34"/>
    <n v="9"/>
    <n v="1884.34"/>
    <n v="0"/>
    <n v="0"/>
    <n v="0"/>
    <n v="642140746334"/>
    <d v="2026-07-06T00:00:00"/>
    <n v="141"/>
  </r>
  <r>
    <s v="Plastene Polyfilms Limited"/>
    <d v="2026-07-06T00:00:00"/>
    <s v="PPL/26-27/SII00792"/>
    <s v="WIP00026"/>
    <s v="PP Lam Fabric Without UV"/>
    <s v="PPL/RAW/26-27/287"/>
    <n v="305"/>
    <n v="305"/>
    <s v="Kgs"/>
    <n v="305"/>
    <n v="0"/>
    <n v="305"/>
    <s v="GJ12X1249"/>
    <s v="Plastene India ltd - Unit 1-Purchase"/>
    <s v="Plastene India ltd - Unit 1-Purchase"/>
    <s v="PIL1/D/938"/>
    <d v="2026-07-06T00:00:00"/>
    <s v="RAW MATERIAL"/>
    <s v="INDIGENOUS"/>
    <s v="RM 288"/>
    <n v="148.49"/>
    <n v="148.489999082672"/>
    <s v="PIL1/D/938"/>
    <d v="2026-07-0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23744.7"/>
    <s v="SF"/>
    <s v="PP/PE Fabric"/>
    <x v="2"/>
    <s v="RM"/>
    <s v="erp"/>
    <n v="0"/>
    <n v="45289.45"/>
    <n v="293"/>
    <d v="2026-07-06T00:00:00"/>
    <s v="24AAACO3087C1ZT"/>
    <s v="storeppl"/>
    <s v="storeppl"/>
    <n v="9"/>
    <n v="4076.05"/>
    <n v="9"/>
    <n v="4076.05"/>
    <n v="0"/>
    <n v="0"/>
    <n v="0"/>
    <n v="642140746334"/>
    <d v="2026-07-06T00:00:00"/>
    <n v="305"/>
  </r>
  <r>
    <s v="Plastene Polyfilms Limited"/>
    <d v="2026-07-06T00:00:00"/>
    <s v="PPL/26-27/SII00793"/>
    <s v="WIP00026"/>
    <s v="PP Lam Fabric Without UV"/>
    <s v="PPL/RAW/26-27/287"/>
    <n v="542"/>
    <n v="542"/>
    <s v="Kgs"/>
    <n v="542"/>
    <n v="0"/>
    <n v="542"/>
    <s v="GJ12X1249"/>
    <s v="Plastene India ltd - Unit 1-Purchase"/>
    <s v="Plastene India ltd - Unit 1-Purchase"/>
    <s v="PIL1/D/939"/>
    <d v="2026-07-06T00:00:00"/>
    <s v="RAW MATERIAL"/>
    <s v="INDIGENOUS"/>
    <s v="RM 289"/>
    <n v="148.49"/>
    <n v="148.49"/>
    <s v="PIL1/D/939"/>
    <d v="2026-07-0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4968.26"/>
    <s v="SF"/>
    <s v="PP/PE Fabric"/>
    <x v="2"/>
    <s v="RM"/>
    <s v="erp"/>
    <n v="0"/>
    <n v="80481.58"/>
    <n v="295"/>
    <d v="2026-07-06T00:00:00"/>
    <s v="24AAACO3087C1ZT"/>
    <s v="storeppl"/>
    <s v="storeppl"/>
    <n v="9"/>
    <n v="7243.34"/>
    <n v="9"/>
    <n v="7243.34"/>
    <n v="0"/>
    <n v="0"/>
    <n v="94968.26"/>
    <n v="672140752330"/>
    <d v="2026-07-06T00:00:00"/>
    <n v="542"/>
  </r>
  <r>
    <s v="Plastene Polyfilms Limited"/>
    <d v="2026-07-06T00:00:00"/>
    <s v="PPL/26-27/SII00794"/>
    <s v="WIP00151"/>
    <s v="PP MF Yarn Twisted 1000 UV NW"/>
    <s v="PPL/RAW/26-27/288"/>
    <n v="418.3"/>
    <n v="418.3"/>
    <s v="Kgs"/>
    <n v="418.3"/>
    <n v="0"/>
    <n v="418.3"/>
    <s v="GJ12X1249"/>
    <s v="Plastene India ltd - Unit 1-Purchase"/>
    <s v="Plastene India ltd - Unit 1-Purchase"/>
    <s v="PIL1/D/940"/>
    <d v="2026-07-06T00:00:00"/>
    <s v="RAW MATERIAL"/>
    <s v="INDIGENOUS"/>
    <s v="RM 290"/>
    <n v="156.49"/>
    <n v="156.490006830369"/>
    <s v="PIL1/D/940"/>
    <d v="2026-07-0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8732.75"/>
    <s v="SF"/>
    <s v="Yarn All"/>
    <x v="5"/>
    <s v="RM"/>
    <m/>
    <n v="0"/>
    <n v="65459.77"/>
    <n v="294"/>
    <d v="2026-07-06T00:00:00"/>
    <s v="24AAACO3087C1ZT"/>
    <s v="storeppl"/>
    <s v="storeppl"/>
    <n v="2.5"/>
    <n v="1636.49"/>
    <n v="2.5"/>
    <n v="1636.49"/>
    <n v="0"/>
    <n v="0"/>
    <n v="68732.75"/>
    <n v="682140781324"/>
    <d v="2026-07-06T00:00:00"/>
    <n v="418.3"/>
  </r>
  <r>
    <s v="Plastene Polyfilms Limited"/>
    <d v="2026-07-07T00:00:00"/>
    <s v="PPL/26-27/SII00802"/>
    <s v="WIP00025"/>
    <s v="PP Lam Fabric With UV"/>
    <s v="PPL/RAW/26-27/289"/>
    <n v="813"/>
    <n v="813"/>
    <s v="Kgs"/>
    <n v="813"/>
    <n v="0"/>
    <n v="813"/>
    <s v="GJ09Z0572"/>
    <s v="Plastene India ltd - Unit 1-Purchase"/>
    <s v="Plastene India ltd - Unit 1-Purchase"/>
    <s v="PIL1/D/947"/>
    <d v="2026-07-07T00:00:00"/>
    <s v="RAW MATERIAL"/>
    <s v="INDIGENOUS"/>
    <s v="RM 291"/>
    <n v="206.49"/>
    <n v="206.49"/>
    <s v="PIL1/D/947"/>
    <d v="2026-07-0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45487"/>
    <s v="SF"/>
    <s v="PP/PE Fabric"/>
    <x v="2"/>
    <s v="RM"/>
    <s v="erp"/>
    <n v="0"/>
    <n v="167876.37"/>
    <n v="296"/>
    <d v="2026-07-07T00:00:00"/>
    <s v="24AAACO3087C1ZT"/>
    <s v="storeppl"/>
    <s v="storeppl"/>
    <n v="9"/>
    <n v="15108.87"/>
    <n v="9"/>
    <n v="15108.87"/>
    <n v="0"/>
    <n v="0"/>
    <n v="445487"/>
    <n v="642141004992"/>
    <d v="2026-07-07T00:00:00"/>
    <n v="813"/>
  </r>
  <r>
    <s v="Plastene Polyfilms Limited"/>
    <d v="2026-07-07T00:00:00"/>
    <s v="PPL/26-27/SII00802"/>
    <s v="WIP00023"/>
    <s v="PP UL Fabric With UV"/>
    <s v="PPL/RAW/26-27/289"/>
    <n v="1451"/>
    <n v="1451"/>
    <s v="Kgs"/>
    <n v="1451"/>
    <n v="0"/>
    <n v="1451"/>
    <s v="GJ09Z0572"/>
    <s v="Plastene India ltd - Unit 1-Purchase"/>
    <s v="Plastene India ltd - Unit 1-Purchase"/>
    <s v="PIL1/D/947"/>
    <d v="2026-07-07T00:00:00"/>
    <s v="RAW MATERIAL"/>
    <s v="INDIGENOUS"/>
    <s v="RM 291"/>
    <n v="144.49"/>
    <n v="144.49"/>
    <s v="PIL1/D/947"/>
    <d v="2026-07-0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45487"/>
    <s v="SF"/>
    <s v="PP/PE Fabric"/>
    <x v="0"/>
    <s v="RM"/>
    <s v="erp"/>
    <n v="0"/>
    <n v="209654.99"/>
    <n v="296"/>
    <d v="2026-07-07T00:00:00"/>
    <s v="24AAACO3087C1ZT"/>
    <s v="storeppl"/>
    <s v="storeppl"/>
    <n v="9"/>
    <n v="18868.95"/>
    <n v="9"/>
    <n v="18868.95"/>
    <n v="0"/>
    <n v="0"/>
    <n v="0"/>
    <n v="642141004992"/>
    <d v="2026-07-07T00:00:00"/>
    <n v="1451"/>
  </r>
  <r>
    <s v="Plastene Polyfilms Limited"/>
    <d v="2026-07-07T00:00:00"/>
    <s v="PPL/26-27/SII00803"/>
    <s v="WIP00004"/>
    <s v="FIBC Bags With UV Without Liner"/>
    <s v="PPL/RAW/26-27/290"/>
    <n v="19278.400000000001"/>
    <n v="19278.400000000001"/>
    <s v="Kgs"/>
    <n v="19278.400000000001"/>
    <n v="0"/>
    <n v="19278.400000000001"/>
    <s v="GJ05BV2093"/>
    <s v="K.P. Woven Pvt Ltd-Purchase"/>
    <s v="K.P. Woven Pvt Ltd-Purchase"/>
    <s v="KPV/D/414"/>
    <d v="2026-07-06T00:00:00"/>
    <s v="RAW MATERIAL"/>
    <s v="INDIGENOUS"/>
    <s v="RM 292"/>
    <n v="237.09"/>
    <n v="237.090000175836"/>
    <s v="KPV/D/414"/>
    <d v="2026-07-06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393444.7199999997"/>
    <s v="FG"/>
    <s v="FIBC Bags"/>
    <x v="8"/>
    <s v="RM"/>
    <s v="erp"/>
    <n v="0"/>
    <n v="4570715.8600000003"/>
    <n v="297"/>
    <d v="2026-07-07T00:00:00"/>
    <s v="24AAECK6307M1ZF"/>
    <s v="storeppl"/>
    <s v="storeppl"/>
    <n v="9"/>
    <n v="411364.43"/>
    <n v="9"/>
    <n v="411364.43"/>
    <n v="0"/>
    <n v="0"/>
    <n v="5393444.7199999997"/>
    <n v="642140809608"/>
    <d v="2026-07-06T00:00:00"/>
    <n v="19278.400000000001"/>
  </r>
  <r>
    <s v="Plastene Polyfilms Limited"/>
    <d v="2026-07-07T00:00:00"/>
    <s v="PPL/26-27/SII00814"/>
    <s v="WIP00013"/>
    <s v="LDPE/LLDPE Bags/Liner"/>
    <s v="PPL/RAW/26-27/291"/>
    <n v="740.6"/>
    <n v="740.6"/>
    <s v="Kgs"/>
    <n v="740.6"/>
    <n v="0"/>
    <n v="740.6"/>
    <s v="GJ12X1249"/>
    <s v="Plastene India ltd - Unit 1-Purchase"/>
    <s v="Plastene India ltd - Unit 1-Purchase"/>
    <s v="PIL1/D/957"/>
    <d v="2026-07-07T00:00:00"/>
    <s v="RAW MATERIAL"/>
    <s v="INDIGENOUS"/>
    <s v="RM 293"/>
    <n v="206.78"/>
    <n v="206.78000095413299"/>
    <s v="PIL1/D/957"/>
    <d v="2026-07-0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50160.74"/>
    <s v="SF"/>
    <s v="Liners"/>
    <x v="1"/>
    <s v="Stores/Spares"/>
    <s v="erp"/>
    <n v="0"/>
    <n v="153141.26999999999"/>
    <n v="298"/>
    <d v="2026-07-07T00:00:00"/>
    <s v="24AAACO3087C1ZT"/>
    <s v="storeppl"/>
    <s v="storeppl"/>
    <n v="9"/>
    <n v="13782.71"/>
    <n v="9"/>
    <n v="13782.71"/>
    <n v="0"/>
    <n v="0"/>
    <n v="650160.74"/>
    <n v="692141259245"/>
    <d v="2026-07-07T00:00:00"/>
    <n v="740.6"/>
  </r>
  <r>
    <s v="Plastene Polyfilms Limited"/>
    <d v="2026-07-07T00:00:00"/>
    <s v="PPL/26-27/SII00814"/>
    <s v="WIP00023"/>
    <s v="PP UL Fabric With UV"/>
    <s v="PPL/RAW/26-27/291"/>
    <n v="575"/>
    <n v="575"/>
    <s v="Kgs"/>
    <n v="575"/>
    <n v="0"/>
    <n v="575"/>
    <s v="GJ12X1249"/>
    <s v="Plastene India ltd - Unit 1-Purchase"/>
    <s v="Plastene India ltd - Unit 1-Purchase"/>
    <s v="PIL1/D/957"/>
    <d v="2026-07-07T00:00:00"/>
    <s v="RAW MATERIAL"/>
    <s v="INDIGENOUS"/>
    <s v="RM 293"/>
    <n v="144.49"/>
    <n v="144.49000066671201"/>
    <s v="PIL1/D/957"/>
    <d v="2026-07-0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50160.74"/>
    <s v="SF"/>
    <s v="PP/PE Fabric"/>
    <x v="0"/>
    <s v="Stores/Spares"/>
    <s v="erp"/>
    <n v="0"/>
    <n v="83081.75"/>
    <n v="298"/>
    <d v="2026-07-07T00:00:00"/>
    <s v="24AAACO3087C1ZT"/>
    <s v="storeppl"/>
    <s v="storeppl"/>
    <n v="9"/>
    <n v="7477.36"/>
    <n v="9"/>
    <n v="7477.36"/>
    <n v="0"/>
    <n v="0"/>
    <n v="0"/>
    <n v="692141259245"/>
    <d v="2026-07-07T00:00:00"/>
    <n v="575"/>
  </r>
  <r>
    <s v="Plastene Polyfilms Limited"/>
    <d v="2026-07-07T00:00:00"/>
    <s v="PPL/26-27/SII00814"/>
    <s v="WIP00025"/>
    <s v="PP Lam Fabric With UV"/>
    <s v="PPL/RAW/26-27/291"/>
    <n v="1978"/>
    <n v="1978"/>
    <s v="Kgs"/>
    <n v="1978"/>
    <n v="0"/>
    <n v="1978"/>
    <s v="GJ12X1249"/>
    <s v="Plastene India ltd - Unit 1-Purchase"/>
    <s v="Plastene India ltd - Unit 1-Purchase"/>
    <s v="PIL1/D/957"/>
    <d v="2026-07-07T00:00:00"/>
    <s v="RAW MATERIAL"/>
    <s v="INDIGENOUS"/>
    <s v="RM 293"/>
    <n v="151.49"/>
    <n v="151.490000699012"/>
    <s v="PIL1/D/957"/>
    <d v="2026-07-0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50160.74"/>
    <s v="SF"/>
    <s v="PP/PE Fabric"/>
    <x v="2"/>
    <s v="Stores/Spares"/>
    <s v="erp"/>
    <n v="0"/>
    <n v="299647.21999999997"/>
    <n v="298"/>
    <d v="2026-07-07T00:00:00"/>
    <s v="24AAACO3087C1ZT"/>
    <s v="storeppl"/>
    <s v="storeppl"/>
    <n v="9"/>
    <n v="26968.25"/>
    <n v="9"/>
    <n v="26968.25"/>
    <n v="0"/>
    <n v="0"/>
    <n v="0"/>
    <n v="692141259245"/>
    <d v="2026-07-07T00:00:00"/>
    <n v="1978"/>
  </r>
  <r>
    <s v="Plastene Polyfilms Limited"/>
    <d v="2026-07-07T00:00:00"/>
    <s v="PPL/26-27/SII00814"/>
    <s v="WIP00032"/>
    <s v="Webbing"/>
    <s v="PPL/RAW/26-27/291"/>
    <n v="101.1"/>
    <n v="101.1"/>
    <s v="Kgs"/>
    <n v="101.1"/>
    <n v="0"/>
    <n v="101.1"/>
    <s v="GJ12X1249"/>
    <s v="Plastene India ltd - Unit 1-Purchase"/>
    <s v="Plastene India ltd - Unit 1-Purchase"/>
    <s v="PIL1/D/957"/>
    <d v="2026-07-07T00:00:00"/>
    <s v="RAW MATERIAL"/>
    <s v="INDIGENOUS"/>
    <s v="RM 293"/>
    <n v="149.49"/>
    <n v="149.49000068978299"/>
    <s v="PIL1/D/957"/>
    <d v="2026-07-0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50160.74"/>
    <s v="SF"/>
    <s v="Webbing"/>
    <x v="3"/>
    <s v="Stores/Spares"/>
    <s v="erp"/>
    <n v="0"/>
    <n v="15113.44"/>
    <n v="298"/>
    <d v="2026-07-07T00:00:00"/>
    <s v="24AAACO3087C1ZT"/>
    <s v="storeppl"/>
    <s v="storeppl"/>
    <n v="9"/>
    <n v="1360.21"/>
    <n v="9"/>
    <n v="1360.21"/>
    <n v="0"/>
    <n v="0"/>
    <n v="0"/>
    <n v="692141259245"/>
    <d v="2026-07-07T00:00:00"/>
    <n v="101.1"/>
  </r>
  <r>
    <s v="Plastene Polyfilms Limited"/>
    <d v="2026-07-08T00:00:00"/>
    <s v="PPL/26-27/SII00818"/>
    <s v="RAW06279"/>
    <s v="MB Colman Shiny Black ( RD Black-01 )"/>
    <s v="PPL/RAW/26-27/292"/>
    <n v="100"/>
    <n v="100"/>
    <s v="Kgs"/>
    <n v="100"/>
    <n v="0"/>
    <n v="100"/>
    <s v="GJ39T1656"/>
    <s v="Plastene India ltd - Unit 1-Purchase"/>
    <s v="Plastene India ltd - Unit 1-Purchase"/>
    <s v="PIL1/D/963"/>
    <d v="2026-07-08T00:00:00"/>
    <s v="RAW MATERIAL"/>
    <s v="INDIGENOUS"/>
    <s v="RM 294"/>
    <n v="159"/>
    <n v="159"/>
    <s v="PIL1/D/963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8762"/>
    <s v="RM"/>
    <s v="Granules"/>
    <x v="9"/>
    <s v="RM"/>
    <m/>
    <n v="0"/>
    <n v="15900"/>
    <n v="299"/>
    <d v="2026-07-08T00:00:00"/>
    <s v="24AAACO3087C1ZT"/>
    <s v="storeppl"/>
    <s v="storeppl"/>
    <n v="9"/>
    <n v="1431"/>
    <n v="9"/>
    <n v="1431"/>
    <n v="0"/>
    <n v="0"/>
    <n v="18762"/>
    <n v="632141514766"/>
    <d v="2026-07-08T00:00:00"/>
    <n v="100"/>
  </r>
  <r>
    <s v="Plastene Polyfilms Limited"/>
    <d v="2026-07-08T00:00:00"/>
    <s v="PPL/26-27/SII00819"/>
    <s v="WIP00004"/>
    <s v="FIBC Bags With UV Without Liner"/>
    <s v="PPL/RAW/26-27/293"/>
    <n v="1022"/>
    <n v="1022"/>
    <s v="Kgs"/>
    <n v="1022"/>
    <n v="0"/>
    <n v="1022"/>
    <s v="GJ08AY2968"/>
    <s v="Plastene India ltd - Unit 2-Purchase"/>
    <s v="Plastene India ltd - Unit 2-Purchase"/>
    <s v="PIL2/D/347"/>
    <d v="2026-07-07T00:00:00"/>
    <s v="RAW MATERIAL"/>
    <s v="INDIGENOUS"/>
    <s v="RM 295"/>
    <n v="250.92"/>
    <n v="250.92"/>
    <s v="PIL2/D/347"/>
    <d v="2026-07-07T00:00:00"/>
    <m/>
    <n v="0"/>
    <m/>
    <s v="SHREENA  ROADWAYS"/>
    <n v="2340"/>
    <n v="0"/>
    <n v="0"/>
    <n v="0"/>
    <n v="0"/>
    <n v="0"/>
    <s v="VAT"/>
    <n v="0"/>
    <n v="0"/>
    <n v="0"/>
    <n v="0"/>
    <n v="0"/>
    <m/>
    <n v="0"/>
    <n v="0"/>
    <n v="816796.92"/>
    <s v="FG"/>
    <s v="FIBC Bags"/>
    <x v="8"/>
    <s v="RM"/>
    <s v="erp"/>
    <n v="0"/>
    <n v="256440.24"/>
    <n v="300"/>
    <d v="2026-07-08T00:00:00"/>
    <s v="24AAACO3087C1ZT"/>
    <s v="storeppl"/>
    <s v="storeppl"/>
    <n v="9"/>
    <n v="23079.62"/>
    <n v="9"/>
    <n v="23079.62"/>
    <n v="0"/>
    <n v="0"/>
    <n v="816796.92"/>
    <n v="682141342047"/>
    <d v="2026-07-07T00:00:00"/>
    <n v="1022"/>
  </r>
  <r>
    <s v="Plastene Polyfilms Limited"/>
    <d v="2026-07-08T00:00:00"/>
    <s v="PPL/26-27/SII00819"/>
    <s v="WIP00004"/>
    <s v="FIBC Bags With UV Without Liner"/>
    <s v="PPL/RAW/26-27/293"/>
    <n v="401"/>
    <n v="401"/>
    <s v="Kgs"/>
    <n v="401"/>
    <n v="0"/>
    <n v="401"/>
    <s v="GJ08AY2968"/>
    <s v="Plastene India ltd - Unit 2-Purchase"/>
    <s v="Plastene India ltd - Unit 2-Purchase"/>
    <s v="PIL2/D/347"/>
    <d v="2026-07-07T00:00:00"/>
    <s v="RAW MATERIAL"/>
    <s v="INDIGENOUS"/>
    <s v="RM 295"/>
    <n v="272.54000000000002"/>
    <n v="272.54000000000002"/>
    <s v="PIL2/D/347"/>
    <d v="2026-07-07T00:00:00"/>
    <m/>
    <n v="0"/>
    <m/>
    <s v="SHREENA  ROADWAYS"/>
    <n v="2340"/>
    <n v="0"/>
    <n v="0"/>
    <n v="0"/>
    <n v="0"/>
    <n v="0"/>
    <s v="VAT"/>
    <n v="0"/>
    <n v="0"/>
    <n v="0"/>
    <n v="0"/>
    <n v="0"/>
    <m/>
    <n v="0"/>
    <n v="0"/>
    <n v="816796.92"/>
    <s v="FG"/>
    <s v="FIBC Bags"/>
    <x v="8"/>
    <s v="RM"/>
    <s v="erp"/>
    <n v="0"/>
    <n v="109288.54"/>
    <n v="300"/>
    <d v="2026-07-08T00:00:00"/>
    <s v="24AAACO3087C1ZT"/>
    <s v="storeppl"/>
    <s v="storeppl"/>
    <n v="9"/>
    <n v="9835.9699999999993"/>
    <n v="9"/>
    <n v="9835.9699999999993"/>
    <n v="0"/>
    <n v="0"/>
    <n v="0"/>
    <n v="682141342047"/>
    <d v="2026-07-07T00:00:00"/>
    <n v="401"/>
  </r>
  <r>
    <s v="Plastene Polyfilms Limited"/>
    <d v="2026-07-08T00:00:00"/>
    <s v="PPL/26-27/SII00819"/>
    <s v="WIP00023"/>
    <s v="PP UL Fabric With UV"/>
    <s v="PPL/RAW/26-27/293"/>
    <n v="2676"/>
    <n v="2676"/>
    <s v="Kgs"/>
    <n v="2676"/>
    <n v="0"/>
    <n v="2676"/>
    <s v="GJ08AY2968"/>
    <s v="Plastene India ltd - Unit 2-Purchase"/>
    <s v="Plastene India ltd - Unit 2-Purchase"/>
    <s v="PIL2/D/347"/>
    <d v="2026-07-07T00:00:00"/>
    <s v="RAW MATERIAL"/>
    <s v="INDIGENOUS"/>
    <s v="RM 295"/>
    <n v="122"/>
    <n v="122"/>
    <s v="PIL2/D/347"/>
    <d v="2026-07-07T00:00:00"/>
    <m/>
    <n v="0"/>
    <m/>
    <s v="SHREENA  ROADWAYS"/>
    <n v="2340"/>
    <n v="0"/>
    <n v="0"/>
    <n v="0"/>
    <n v="0"/>
    <n v="0"/>
    <s v="VAT"/>
    <n v="0"/>
    <n v="0"/>
    <n v="0"/>
    <n v="0"/>
    <n v="0"/>
    <m/>
    <n v="0"/>
    <n v="0"/>
    <n v="816796.92"/>
    <s v="SF"/>
    <s v="PP/PE Fabric"/>
    <x v="0"/>
    <s v="RM"/>
    <s v="erp"/>
    <n v="0"/>
    <n v="326472"/>
    <n v="300"/>
    <d v="2026-07-08T00:00:00"/>
    <s v="24AAACO3087C1ZT"/>
    <s v="storeppl"/>
    <s v="storeppl"/>
    <n v="9"/>
    <n v="29382.48"/>
    <n v="9"/>
    <n v="29382.48"/>
    <n v="0"/>
    <n v="0"/>
    <n v="0"/>
    <n v="682141342047"/>
    <d v="2026-07-07T00:00:00"/>
    <n v="2676"/>
  </r>
  <r>
    <s v="Plastene Polyfilms Limited"/>
    <d v="2026-07-08T00:00:00"/>
    <s v="PPL/26-27/SII00822"/>
    <s v="RAW06259"/>
    <s v="LLDPE F0120L HMEL"/>
    <s v="PPL/RAW/26-27/294"/>
    <n v="2000"/>
    <n v="2000"/>
    <s v="Kgs"/>
    <n v="2000"/>
    <n v="0"/>
    <n v="2000"/>
    <s v="GJ12X1249"/>
    <s v="Plastene India ltd - Unit 1-Purchase"/>
    <s v="Plastene India ltd - Unit 1-Purchase"/>
    <s v="PIL1/D/973"/>
    <d v="2026-07-08T00:00:00"/>
    <s v="RAW MATERIAL"/>
    <s v="INDIGENOUS"/>
    <s v="RM 296"/>
    <n v="136.85"/>
    <n v="136.85"/>
    <s v="PIL1/D/973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22966"/>
    <s v="RM"/>
    <s v="Granules"/>
    <x v="6"/>
    <s v="RM"/>
    <s v="mani"/>
    <n v="0"/>
    <n v="273700"/>
    <n v="303"/>
    <d v="2026-07-08T00:00:00"/>
    <s v="24AAACO3087C1ZT"/>
    <s v="storeppl"/>
    <s v="storeppl"/>
    <n v="9"/>
    <n v="24633"/>
    <n v="9"/>
    <n v="24633"/>
    <n v="0"/>
    <n v="0"/>
    <n v="322966"/>
    <n v="642141739937"/>
    <d v="2026-07-08T00:00:00"/>
    <n v="2000"/>
  </r>
  <r>
    <s v="Plastene Polyfilms Limited"/>
    <d v="2026-07-08T00:00:00"/>
    <s v="PPL/26-27/SII00823"/>
    <s v="RAW05124"/>
    <s v="LDPE/LLDPE Film"/>
    <s v="PPL/RAW/26-27/295"/>
    <n v="91.4"/>
    <n v="91.4"/>
    <s v="Kgs"/>
    <n v="91.4"/>
    <n v="0"/>
    <n v="91.4"/>
    <s v="GJ12X1249"/>
    <s v="Plastene India ltd - Unit 1-Purchase"/>
    <s v="Plastene India ltd - Unit 1-Purchase"/>
    <s v="PIL1/D/972"/>
    <d v="2026-07-08T00:00:00"/>
    <s v="RAW MATERIAL"/>
    <s v="INDIGENOUS"/>
    <s v="RM 297"/>
    <n v="172.78"/>
    <n v="172.77998145607299"/>
    <s v="PIL1/D/972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8634.669999999998"/>
    <s v="SF"/>
    <s v="Films All (SF)"/>
    <x v="10"/>
    <s v="RM"/>
    <s v="erp"/>
    <n v="0"/>
    <n v="15792.09"/>
    <n v="302"/>
    <d v="2026-07-08T00:00:00"/>
    <s v="24AAACO3087C1ZT"/>
    <s v="storeppl"/>
    <s v="storeppl"/>
    <n v="9"/>
    <n v="1421.29"/>
    <n v="9"/>
    <n v="1421.29"/>
    <n v="0"/>
    <n v="0"/>
    <n v="18634.669999999998"/>
    <n v="632141725610"/>
    <d v="2026-07-08T00:00:00"/>
    <n v="91.4"/>
  </r>
  <r>
    <s v="Plastene Polyfilms Limited"/>
    <d v="2026-07-08T00:00:00"/>
    <s v="PPL/26-27/SII00824"/>
    <s v="WIP00013"/>
    <s v="LDPE/LLDPE Bags/Liner"/>
    <s v="PPL/RAW/26-27/296"/>
    <n v="105.7"/>
    <n v="105.7"/>
    <s v="Kgs"/>
    <n v="105.7"/>
    <n v="0"/>
    <n v="105.7"/>
    <s v="GJ12X1249"/>
    <s v="Plastene India ltd - Unit 1-Purchase"/>
    <s v="Plastene India ltd - Unit 1-Purchase"/>
    <s v="PIL1/D/971"/>
    <d v="2026-07-08T00:00:00"/>
    <s v="RAW MATERIAL"/>
    <s v="INDIGENOUS"/>
    <s v="RM 298"/>
    <n v="182.78"/>
    <n v="182.78000180661101"/>
    <s v="PIL1/D/971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08210.21"/>
    <s v="SF"/>
    <s v="Liners"/>
    <x v="1"/>
    <s v="RM"/>
    <s v="erp"/>
    <n v="0"/>
    <n v="19319.849999999999"/>
    <n v="301"/>
    <d v="2026-07-08T00:00:00"/>
    <s v="24AAACO3087C1ZT"/>
    <s v="storeppl"/>
    <s v="storeppl"/>
    <n v="9"/>
    <n v="1738.79"/>
    <n v="9"/>
    <n v="1738.79"/>
    <n v="0"/>
    <n v="0"/>
    <n v="708210.21"/>
    <n v="662141716840"/>
    <d v="2026-07-08T00:00:00"/>
    <n v="105.7"/>
  </r>
  <r>
    <s v="Plastene Polyfilms Limited"/>
    <d v="2026-07-08T00:00:00"/>
    <s v="PPL/26-27/SII00824"/>
    <s v="WIP00023"/>
    <s v="PP UL Fabric With UV"/>
    <s v="PPL/RAW/26-27/296"/>
    <n v="310"/>
    <n v="310"/>
    <s v="Kgs"/>
    <n v="310"/>
    <n v="0"/>
    <n v="310"/>
    <s v="GJ12X1249"/>
    <s v="Plastene India ltd - Unit 1-Purchase"/>
    <s v="Plastene India ltd - Unit 1-Purchase"/>
    <s v="PIL1/D/971"/>
    <d v="2026-07-08T00:00:00"/>
    <s v="RAW MATERIAL"/>
    <s v="INDIGENOUS"/>
    <s v="RM 298"/>
    <n v="144.49"/>
    <n v="144.49000142814899"/>
    <s v="PIL1/D/971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08210.21"/>
    <s v="SF"/>
    <s v="PP/PE Fabric"/>
    <x v="0"/>
    <s v="RM"/>
    <s v="erp"/>
    <n v="0"/>
    <n v="44791.9"/>
    <n v="301"/>
    <d v="2026-07-08T00:00:00"/>
    <s v="24AAACO3087C1ZT"/>
    <s v="storeppl"/>
    <s v="storeppl"/>
    <n v="9"/>
    <n v="4031.27"/>
    <n v="9"/>
    <n v="4031.27"/>
    <n v="0"/>
    <n v="0"/>
    <n v="0"/>
    <n v="662141716840"/>
    <d v="2026-07-08T00:00:00"/>
    <n v="310"/>
  </r>
  <r>
    <s v="Plastene Polyfilms Limited"/>
    <d v="2026-07-08T00:00:00"/>
    <s v="PPL/26-27/SII00824"/>
    <s v="WIP00032"/>
    <s v="Webbing"/>
    <s v="PPL/RAW/26-27/296"/>
    <n v="309.3"/>
    <n v="309.3"/>
    <s v="Kgs"/>
    <n v="309.3"/>
    <n v="0"/>
    <n v="309.3"/>
    <s v="GJ12X1249"/>
    <s v="Plastene India ltd - Unit 1-Purchase"/>
    <s v="Plastene India ltd - Unit 1-Purchase"/>
    <s v="PIL1/D/971"/>
    <d v="2026-07-08T00:00:00"/>
    <s v="RAW MATERIAL"/>
    <s v="INDIGENOUS"/>
    <s v="RM 298"/>
    <n v="149.49"/>
    <n v="149.49000147756999"/>
    <s v="PIL1/D/971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08210.21"/>
    <s v="SF"/>
    <s v="Webbing"/>
    <x v="3"/>
    <s v="RM"/>
    <s v="erp"/>
    <n v="0"/>
    <n v="46237.26"/>
    <n v="301"/>
    <d v="2026-07-08T00:00:00"/>
    <s v="24AAACO3087C1ZT"/>
    <s v="storeppl"/>
    <s v="storeppl"/>
    <n v="9"/>
    <n v="4161.3500000000004"/>
    <n v="9"/>
    <n v="4161.3500000000004"/>
    <n v="0"/>
    <n v="0"/>
    <n v="0"/>
    <n v="662141716840"/>
    <d v="2026-07-08T00:00:00"/>
    <n v="309.3"/>
  </r>
  <r>
    <s v="Plastene Polyfilms Limited"/>
    <d v="2026-07-08T00:00:00"/>
    <s v="PPL/26-27/SII00824"/>
    <s v="WIP00026"/>
    <s v="PP Lam Fabric Without UV"/>
    <s v="PPL/RAW/26-27/296"/>
    <n v="297"/>
    <n v="297"/>
    <s v="Kgs"/>
    <n v="297"/>
    <n v="0"/>
    <n v="297"/>
    <s v="GJ12X1249"/>
    <s v="Plastene India ltd - Unit 1-Purchase"/>
    <s v="Plastene India ltd - Unit 1-Purchase"/>
    <s v="PIL1/D/971"/>
    <d v="2026-07-08T00:00:00"/>
    <s v="RAW MATERIAL"/>
    <s v="INDIGENOUS"/>
    <s v="RM 298"/>
    <n v="146.49"/>
    <n v="146.49000144791799"/>
    <s v="PIL1/D/971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08210.21"/>
    <s v="SF"/>
    <s v="PP/PE Fabric"/>
    <x v="2"/>
    <s v="RM"/>
    <s v="erp"/>
    <n v="0"/>
    <n v="43507.53"/>
    <n v="301"/>
    <d v="2026-07-08T00:00:00"/>
    <s v="24AAACO3087C1ZT"/>
    <s v="storeppl"/>
    <s v="storeppl"/>
    <n v="9"/>
    <n v="3915.68"/>
    <n v="9"/>
    <n v="3915.68"/>
    <n v="0"/>
    <n v="0"/>
    <n v="0"/>
    <n v="662141716840"/>
    <d v="2026-07-08T00:00:00"/>
    <n v="297"/>
  </r>
  <r>
    <s v="Plastene Polyfilms Limited"/>
    <d v="2026-07-08T00:00:00"/>
    <s v="PPL/26-27/SII00824"/>
    <s v="WIP00025"/>
    <s v="PP Lam Fabric With UV"/>
    <s v="PPL/RAW/26-27/296"/>
    <n v="2889"/>
    <n v="2889"/>
    <s v="Kgs"/>
    <n v="2889"/>
    <n v="0"/>
    <n v="2889"/>
    <s v="GJ12X1249"/>
    <s v="Plastene India ltd - Unit 1-Purchase"/>
    <s v="Plastene India ltd - Unit 1-Purchase"/>
    <s v="PIL1/D/971"/>
    <d v="2026-07-08T00:00:00"/>
    <s v="RAW MATERIAL"/>
    <s v="INDIGENOUS"/>
    <s v="RM 298"/>
    <n v="154.49"/>
    <n v="154.49000152699"/>
    <s v="PIL1/D/971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08210.21"/>
    <s v="SF"/>
    <s v="PP/PE Fabric"/>
    <x v="2"/>
    <s v="RM"/>
    <s v="erp"/>
    <n v="0"/>
    <n v="446321.61"/>
    <n v="301"/>
    <d v="2026-07-08T00:00:00"/>
    <s v="24AAACO3087C1ZT"/>
    <s v="storeppl"/>
    <s v="storeppl"/>
    <n v="9"/>
    <n v="40168.94"/>
    <n v="9"/>
    <n v="40168.94"/>
    <n v="0"/>
    <n v="0"/>
    <n v="0"/>
    <n v="662141716840"/>
    <d v="2026-07-08T00:00:00"/>
    <n v="2889"/>
  </r>
  <r>
    <s v="Plastene Polyfilms Limited"/>
    <d v="2026-07-09T00:00:00"/>
    <s v="PPL/26-27/SII00830"/>
    <s v="WIP00023"/>
    <s v="PP UL Fabric With UV"/>
    <s v="PPL/RAW/26-27/298"/>
    <n v="295"/>
    <n v="295"/>
    <s v="Kgs"/>
    <n v="295"/>
    <n v="0"/>
    <n v="295"/>
    <s v="GJ12X1249"/>
    <s v="Plastene India ltd - Unit 1-Purchase"/>
    <s v="Plastene India ltd - Unit 1-Purchase"/>
    <s v="PIL1/D/985"/>
    <d v="2026-07-09T00:00:00"/>
    <s v="RAW MATERIAL"/>
    <s v="INDIGENOUS"/>
    <s v="RM 299"/>
    <n v="144.49"/>
    <n v="144.49"/>
    <s v="PIL1/D/985"/>
    <d v="2026-07-0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3401.56"/>
    <s v="SF"/>
    <s v="PP/PE Fabric"/>
    <x v="0"/>
    <s v="Stores/Spares"/>
    <s v="erp"/>
    <n v="0"/>
    <n v="42624.55"/>
    <n v="306"/>
    <d v="2026-07-09T00:00:00"/>
    <s v="24AAACO3087C1ZT"/>
    <s v="storeppl"/>
    <s v="storeppl"/>
    <n v="9"/>
    <n v="3836.21"/>
    <n v="9"/>
    <n v="3836.21"/>
    <n v="0"/>
    <n v="0"/>
    <n v="153401.56"/>
    <n v="662142294035"/>
    <d v="2026-07-09T00:00:00"/>
    <n v="295"/>
  </r>
  <r>
    <s v="Plastene Polyfilms Limited"/>
    <d v="2026-07-09T00:00:00"/>
    <s v="PPL/26-27/SII00830"/>
    <s v="WIP00023"/>
    <s v="PP UL Fabric With UV"/>
    <s v="PPL/RAW/26-27/298"/>
    <n v="573"/>
    <n v="573"/>
    <s v="Kgs"/>
    <n v="573"/>
    <n v="0"/>
    <n v="573"/>
    <s v="GJ12X1249"/>
    <s v="Plastene India ltd - Unit 1-Purchase"/>
    <s v="Plastene India ltd - Unit 1-Purchase"/>
    <s v="PIL1/D/985"/>
    <d v="2026-07-09T00:00:00"/>
    <s v="RAW MATERIAL"/>
    <s v="INDIGENOUS"/>
    <s v="RM 299"/>
    <n v="152.49"/>
    <n v="152.49"/>
    <s v="PIL1/D/985"/>
    <d v="2026-07-0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3401.56"/>
    <s v="SF"/>
    <s v="PP/PE Fabric"/>
    <x v="0"/>
    <s v="Stores/Spares"/>
    <s v="erp"/>
    <n v="0"/>
    <n v="87376.77"/>
    <n v="306"/>
    <d v="2026-07-09T00:00:00"/>
    <s v="24AAACO3087C1ZT"/>
    <s v="storeppl"/>
    <s v="storeppl"/>
    <n v="9"/>
    <n v="7863.91"/>
    <n v="9"/>
    <n v="7863.91"/>
    <n v="0"/>
    <n v="0"/>
    <n v="0"/>
    <n v="662142294035"/>
    <d v="2026-07-09T00:00:00"/>
    <n v="573"/>
  </r>
  <r>
    <s v="Plastene Polyfilms Limited"/>
    <d v="2026-07-09T00:00:00"/>
    <s v="PPL/26-27/SII00831"/>
    <s v="RAW06258"/>
    <s v="PP RIL H350EC"/>
    <s v="PPL/RAW/26-27/299"/>
    <n v="5000"/>
    <n v="5000"/>
    <s v="Kgs"/>
    <n v="5000"/>
    <n v="0"/>
    <n v="5000"/>
    <s v="GJ12X1249"/>
    <s v="Plastene India ltd - Unit 1-Purchase"/>
    <s v="Plastene India ltd - Unit 1-Purchase"/>
    <s v="PIL1/D/998"/>
    <d v="2026-07-09T00:00:00"/>
    <s v="RAW MATERIAL"/>
    <s v="INDIGENOUS"/>
    <s v="RM 300"/>
    <n v="136.33099999999999"/>
    <n v="136.33099999999999"/>
    <s v="PIL1/D/998"/>
    <d v="2026-07-0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04352.9"/>
    <s v="RM"/>
    <s v="Granules"/>
    <x v="4"/>
    <s v="RM"/>
    <s v="mani"/>
    <n v="0"/>
    <n v="681655"/>
    <n v="305"/>
    <d v="2026-07-09T00:00:00"/>
    <s v="24AAACO3087C1ZT"/>
    <s v="storeppl"/>
    <s v="storeppl"/>
    <n v="9"/>
    <n v="61348.95"/>
    <n v="9"/>
    <n v="61348.95"/>
    <n v="0"/>
    <n v="0"/>
    <n v="804352.9"/>
    <n v="672142355616"/>
    <d v="2026-07-09T00:00:00"/>
    <n v="5000"/>
  </r>
  <r>
    <s v="Plastene Polyfilms Limited"/>
    <d v="2026-07-09T00:00:00"/>
    <s v="PPL/26-27/SII00832"/>
    <s v="WIP00023"/>
    <s v="PP UL Fabric With UV"/>
    <s v="PPL/RAW/26-27/300"/>
    <n v="1452"/>
    <n v="1452"/>
    <s v="Kgs"/>
    <n v="1452"/>
    <n v="0"/>
    <n v="1452"/>
    <s v="GJ09Z0572"/>
    <s v="Plastene India ltd - Unit 1-Purchase"/>
    <s v="Plastene India ltd - Unit 1-Purchase"/>
    <s v="PIL1/D/979"/>
    <d v="2026-07-09T00:00:00"/>
    <s v="RAW MATERIAL"/>
    <s v="INDIGENOUS"/>
    <s v="RM 301"/>
    <n v="144.49"/>
    <n v="144.49"/>
    <s v="PIL1/D/979"/>
    <d v="2026-07-0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47563.38"/>
    <s v="SF"/>
    <s v="PP/PE Fabric"/>
    <x v="0"/>
    <s v="RM"/>
    <s v="erp"/>
    <n v="0"/>
    <n v="209799.48"/>
    <n v="304"/>
    <d v="2026-07-09T00:00:00"/>
    <s v="24AAACO3087C1ZT"/>
    <s v="storeppl"/>
    <s v="storeppl"/>
    <n v="9"/>
    <n v="18881.95"/>
    <n v="9"/>
    <n v="18881.95"/>
    <n v="0"/>
    <n v="0"/>
    <n v="247563.38"/>
    <n v="662141973119"/>
    <d v="2026-07-09T00:00:00"/>
    <n v="1452"/>
  </r>
  <r>
    <s v="Plastene Polyfilms Limited"/>
    <d v="2026-07-10T00:00:00"/>
    <s v="PPL/26-27/SII00833"/>
    <s v="SMF00052"/>
    <s v="PP Fibrillated Tape Twisted 3200 Blue"/>
    <s v="PPL/RAW/26-27/301"/>
    <n v="980"/>
    <n v="980"/>
    <s v="Kgs"/>
    <n v="980"/>
    <n v="0"/>
    <n v="980"/>
    <s v="GJ24X8047"/>
    <s v="K.P. Woven Pvt Ltd-Purchase"/>
    <s v="K.P. Woven Pvt Ltd-Purchase"/>
    <s v="KPV/D/429"/>
    <d v="2026-07-09T00:00:00"/>
    <s v="RAW MATERIAL"/>
    <s v="INDIGENOUS"/>
    <s v="RM 302"/>
    <n v="154.15"/>
    <n v="154.15"/>
    <s v="KPV/D/429"/>
    <d v="2026-07-09T00:00:00"/>
    <s v="."/>
    <s v="."/>
    <m/>
    <s v="SHREENA ROADWAYS"/>
    <n v="2427"/>
    <n v="0"/>
    <n v="0"/>
    <n v="0"/>
    <n v="0"/>
    <n v="0"/>
    <s v="VAT"/>
    <n v="0"/>
    <n v="0"/>
    <n v="0"/>
    <n v="0"/>
    <n v="0"/>
    <m/>
    <n v="0"/>
    <n v="0"/>
    <n v="314153.71999999997"/>
    <s v="SF"/>
    <s v="Yarn All"/>
    <x v="5"/>
    <s v="RM"/>
    <s v="erp"/>
    <n v="0"/>
    <n v="151067"/>
    <n v="307"/>
    <d v="2026-07-10T00:00:00"/>
    <s v="24AAECK6307M1ZF"/>
    <s v="storeppl"/>
    <s v="storeppl"/>
    <n v="2.5"/>
    <n v="3776.68"/>
    <n v="2.5"/>
    <n v="3776.68"/>
    <n v="0"/>
    <n v="0"/>
    <n v="314153.71999999997"/>
    <n v="682142328103"/>
    <d v="2026-07-09T00:00:00"/>
    <n v="980"/>
  </r>
  <r>
    <s v="Plastene Polyfilms Limited"/>
    <d v="2026-07-10T00:00:00"/>
    <s v="PPL/26-27/SII00833"/>
    <s v="SMF00054"/>
    <s v="PP Fibrillated Tape Twisted 3200 MW"/>
    <s v="PPL/RAW/26-27/301"/>
    <n v="980"/>
    <n v="980"/>
    <s v="Kgs"/>
    <n v="980"/>
    <n v="0"/>
    <n v="980"/>
    <s v="GJ24X8047"/>
    <s v="K.P. Woven Pvt Ltd-Purchase"/>
    <s v="K.P. Woven Pvt Ltd-Purchase"/>
    <s v="KPV/D/429"/>
    <d v="2026-07-09T00:00:00"/>
    <s v="RAW MATERIAL"/>
    <s v="INDIGENOUS"/>
    <s v="RM 302"/>
    <n v="151.15"/>
    <n v="151.15"/>
    <s v="KPV/D/429"/>
    <d v="2026-07-09T00:00:00"/>
    <s v="."/>
    <s v="."/>
    <m/>
    <s v="SHREENA ROADWAYS"/>
    <n v="2427"/>
    <n v="0"/>
    <n v="0"/>
    <n v="0"/>
    <n v="0"/>
    <n v="0"/>
    <s v="VAT"/>
    <n v="0"/>
    <n v="0"/>
    <n v="0"/>
    <n v="0"/>
    <n v="0"/>
    <m/>
    <n v="0"/>
    <n v="0"/>
    <n v="314153.71999999997"/>
    <s v="SF"/>
    <s v="Yarn All"/>
    <x v="5"/>
    <s v="RM"/>
    <s v="erp"/>
    <n v="0"/>
    <n v="148127"/>
    <n v="307"/>
    <d v="2026-07-10T00:00:00"/>
    <s v="24AAECK6307M1ZF"/>
    <s v="storeppl"/>
    <s v="storeppl"/>
    <n v="2.5"/>
    <n v="3703.18"/>
    <n v="2.5"/>
    <n v="3703.18"/>
    <n v="0"/>
    <n v="0"/>
    <n v="0"/>
    <n v="682142328103"/>
    <d v="2026-07-09T00:00:00"/>
    <n v="980"/>
  </r>
  <r>
    <s v="Plastene Polyfilms Limited"/>
    <d v="2026-07-10T00:00:00"/>
    <s v="PPL/26-27/SII00834"/>
    <s v="WIP00023"/>
    <s v="PP UL Fabric With UV"/>
    <s v="PPL/RAW/26-27/302"/>
    <n v="401"/>
    <n v="401"/>
    <s v="Kgs"/>
    <n v="401"/>
    <n v="0"/>
    <n v="401"/>
    <s v="GJ12BV1841"/>
    <s v="HCP Plastene Bulkpack Limited - Purchase"/>
    <s v="HCP Plastene Bulkpack Limited - Purchase"/>
    <s v="HPBL/D/362"/>
    <d v="2026-07-09T00:00:00"/>
    <s v="RAW MATERIAL"/>
    <s v="INDIGENOUS"/>
    <s v="RM 303"/>
    <n v="159.49"/>
    <n v="159.49"/>
    <s v="HPBL/D/362"/>
    <d v="2026-07-09T00:00:00"/>
    <s v="."/>
    <s v="."/>
    <m/>
    <s v="SHREENA ROADWAYS"/>
    <n v="2501"/>
    <n v="0"/>
    <n v="0"/>
    <n v="0"/>
    <n v="0"/>
    <n v="0"/>
    <s v="VAT"/>
    <n v="0"/>
    <n v="0"/>
    <n v="0"/>
    <n v="0"/>
    <n v="0"/>
    <m/>
    <n v="0"/>
    <n v="0"/>
    <n v="387202.49"/>
    <s v="SF"/>
    <s v="PP/PE Fabric"/>
    <x v="0"/>
    <s v="RM"/>
    <s v="erp"/>
    <n v="0"/>
    <n v="63955.49"/>
    <n v="308"/>
    <d v="2026-07-10T00:00:00"/>
    <s v="24AABCG1282C2Z6"/>
    <s v="storeppl"/>
    <s v="storeppl"/>
    <n v="9"/>
    <n v="5755.99"/>
    <n v="9"/>
    <n v="5755.99"/>
    <n v="0"/>
    <n v="0"/>
    <n v="387202.49"/>
    <n v="642142232576"/>
    <d v="2026-07-09T00:00:00"/>
    <n v="401"/>
  </r>
  <r>
    <s v="Plastene Polyfilms Limited"/>
    <d v="2026-07-10T00:00:00"/>
    <s v="PPL/26-27/SII00834"/>
    <s v="WIP00023"/>
    <s v="PP UL Fabric With UV"/>
    <s v="PPL/RAW/26-27/302"/>
    <n v="1092"/>
    <n v="1092"/>
    <s v="Kgs"/>
    <n v="1092"/>
    <n v="0"/>
    <n v="1092"/>
    <s v="GJ12BV1841"/>
    <s v="HCP Plastene Bulkpack Limited - Purchase"/>
    <s v="HCP Plastene Bulkpack Limited - Purchase"/>
    <s v="HPBL/D/362"/>
    <d v="2026-07-09T00:00:00"/>
    <s v="RAW MATERIAL"/>
    <s v="INDIGENOUS"/>
    <s v="RM 303"/>
    <n v="156.49"/>
    <n v="156.49"/>
    <s v="HPBL/D/362"/>
    <d v="2026-07-09T00:00:00"/>
    <s v="."/>
    <s v="."/>
    <m/>
    <s v="SHREENA ROADWAYS"/>
    <n v="2501"/>
    <n v="0"/>
    <n v="0"/>
    <n v="0"/>
    <n v="0"/>
    <n v="0"/>
    <s v="VAT"/>
    <n v="0"/>
    <n v="0"/>
    <n v="0"/>
    <n v="0"/>
    <n v="0"/>
    <m/>
    <n v="0"/>
    <n v="0"/>
    <n v="387202.49"/>
    <s v="SF"/>
    <s v="PP/PE Fabric"/>
    <x v="0"/>
    <s v="RM"/>
    <s v="erp"/>
    <n v="0"/>
    <n v="170887.08"/>
    <n v="308"/>
    <d v="2026-07-10T00:00:00"/>
    <s v="24AABCG1282C2Z6"/>
    <s v="storeppl"/>
    <s v="storeppl"/>
    <n v="9"/>
    <n v="15379.84"/>
    <n v="9"/>
    <n v="15379.84"/>
    <n v="0"/>
    <n v="0"/>
    <n v="0"/>
    <n v="642142232576"/>
    <d v="2026-07-09T00:00:00"/>
    <n v="1092"/>
  </r>
  <r>
    <s v="Plastene Polyfilms Limited"/>
    <d v="2026-07-10T00:00:00"/>
    <s v="PPL/26-27/SII00834"/>
    <s v="WIP00013"/>
    <s v="LDPE/LLDPE Bags/Liner"/>
    <s v="PPL/RAW/26-27/302"/>
    <n v="534"/>
    <n v="534"/>
    <s v="Kgs"/>
    <n v="534"/>
    <n v="0"/>
    <n v="534"/>
    <s v="GJ12BV1841"/>
    <s v="HCP Plastene Bulkpack Limited - Purchase"/>
    <s v="HCP Plastene Bulkpack Limited - Purchase"/>
    <s v="HPBL/D/362"/>
    <d v="2026-07-09T00:00:00"/>
    <s v="RAW MATERIAL"/>
    <s v="INDIGENOUS"/>
    <s v="RM 303"/>
    <n v="174.71"/>
    <n v="174.71"/>
    <s v="HPBL/D/362"/>
    <d v="2026-07-09T00:00:00"/>
    <s v="."/>
    <s v="."/>
    <m/>
    <s v="SHREENA ROADWAYS"/>
    <n v="2501"/>
    <n v="0"/>
    <n v="0"/>
    <n v="0"/>
    <n v="0"/>
    <n v="0"/>
    <s v="VAT"/>
    <n v="0"/>
    <n v="0"/>
    <n v="0"/>
    <n v="0"/>
    <n v="0"/>
    <m/>
    <n v="0"/>
    <n v="0"/>
    <n v="387202.49"/>
    <s v="SF"/>
    <s v="Liners"/>
    <x v="1"/>
    <s v="RM"/>
    <s v="erp"/>
    <n v="0"/>
    <n v="93295.14"/>
    <n v="308"/>
    <d v="2026-07-10T00:00:00"/>
    <s v="24AABCG1282C2Z6"/>
    <s v="storeppl"/>
    <s v="storeppl"/>
    <n v="9"/>
    <n v="8396.56"/>
    <n v="9"/>
    <n v="8396.56"/>
    <n v="0"/>
    <n v="0"/>
    <n v="0"/>
    <n v="642142232576"/>
    <d v="2026-07-09T00:00:00"/>
    <n v="534"/>
  </r>
  <r>
    <s v="Plastene Polyfilms Limited"/>
    <d v="2026-07-10T00:00:00"/>
    <s v="PPL/26-27/SII00835"/>
    <s v="WIP00037"/>
    <s v="PP UL Bags With UV"/>
    <s v="PPL/RAW/26-27/303"/>
    <n v="416.8"/>
    <n v="416.8"/>
    <s v="Kgs"/>
    <n v="416.8"/>
    <n v="0"/>
    <n v="416.8"/>
    <s v="GJ12BV1841"/>
    <s v="Plastene India ltd - Unit 1-Purchase"/>
    <s v="Plastene India ltd - Unit 1-Purchase"/>
    <s v="PIL1/D/994"/>
    <d v="2026-07-10T00:00:00"/>
    <s v="RAW MATERIAL"/>
    <s v="INDIGENOUS"/>
    <s v="RM 304"/>
    <n v="229.84"/>
    <n v="229.83999593350501"/>
    <s v="PIL1/D/994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3040.83"/>
    <s v="FG"/>
    <s v="Small Bags"/>
    <x v="11"/>
    <s v="RM"/>
    <s v="erp"/>
    <n v="0"/>
    <n v="95797.31"/>
    <n v="309"/>
    <d v="2026-07-10T00:00:00"/>
    <s v="24AAACO3087C1ZT"/>
    <s v="storeppl"/>
    <s v="storeppl"/>
    <n v="9"/>
    <n v="8621.76"/>
    <n v="9"/>
    <n v="8621.76"/>
    <n v="0"/>
    <n v="0"/>
    <n v="113040.83"/>
    <n v="602142607152"/>
    <d v="2026-07-10T00:00:00"/>
    <n v="416.8"/>
  </r>
  <r>
    <s v="Plastene Polyfilms Limited"/>
    <d v="2026-07-10T00:00:00"/>
    <s v="PPL/26-27/SII00836"/>
    <s v="WIP00151"/>
    <s v="PP MF Yarn Twisted 1000 UV NW"/>
    <s v="PPL/RAW/26-27/304"/>
    <n v="203.4"/>
    <n v="203.4"/>
    <s v="Kgs"/>
    <n v="203.4"/>
    <n v="0"/>
    <n v="203.4"/>
    <s v="GJ39T1656"/>
    <s v="Plastene India ltd - Unit 1-Purchase"/>
    <s v="Plastene India ltd - Unit 1-Purchase"/>
    <s v="PIL1/D/995"/>
    <d v="2026-07-10T00:00:00"/>
    <s v="RAW MATERIAL"/>
    <s v="INDIGENOUS"/>
    <s v="RM 305"/>
    <n v="156.49"/>
    <n v="156.490018729224"/>
    <s v="PIL1/D/995"/>
    <d v="2026-07-10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3421.57"/>
    <s v="SF"/>
    <s v="Yarn All"/>
    <x v="5"/>
    <s v="RM"/>
    <m/>
    <n v="0"/>
    <n v="31830.07"/>
    <n v="310"/>
    <d v="2026-07-10T00:00:00"/>
    <s v="24AAACO3087C1ZT"/>
    <s v="storeppl"/>
    <s v="storeppl"/>
    <n v="2.5"/>
    <n v="795.75"/>
    <n v="2.5"/>
    <n v="795.75"/>
    <n v="0"/>
    <n v="0"/>
    <n v="33421.57"/>
    <n v="692142613338"/>
    <d v="2026-07-10T00:00:00"/>
    <n v="203.4"/>
  </r>
  <r>
    <s v="Plastene Polyfilms Limited"/>
    <d v="2026-07-10T00:00:00"/>
    <s v="PPL/26-27/SII00841"/>
    <s v="WIP00151"/>
    <s v="PP MF Yarn Twisted 1000 UV NW"/>
    <s v="PPL/RAW/26-27/305"/>
    <n v="1128.8"/>
    <n v="1128.8"/>
    <s v="Kgs"/>
    <n v="1128.8"/>
    <n v="0"/>
    <n v="1128.8"/>
    <s v="GJ12X1249"/>
    <s v="Plastene India ltd - Unit 1-Purchase"/>
    <s v="Plastene India ltd - Unit 1-Purchase"/>
    <s v="PIL1/D/1002"/>
    <d v="2026-07-10T00:00:00"/>
    <s v="RAW MATERIAL"/>
    <s v="INDIGENOUS"/>
    <s v="RM 306"/>
    <n v="156.49"/>
    <n v="156.49000060622001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Yarn All"/>
    <x v="5"/>
    <s v="RM"/>
    <m/>
    <n v="0"/>
    <n v="176645.91"/>
    <n v="311"/>
    <d v="2026-07-10T00:00:00"/>
    <s v="24AAACO3087C1ZT"/>
    <s v="storeppl"/>
    <s v="storeppl"/>
    <n v="2.5"/>
    <n v="4416.1499999999996"/>
    <n v="2.5"/>
    <n v="4416.1499999999996"/>
    <n v="0"/>
    <n v="0"/>
    <n v="1806982.86"/>
    <n v="692142973315"/>
    <d v="2026-07-10T00:00:00"/>
    <n v="1128.8"/>
  </r>
  <r>
    <s v="Plastene Polyfilms Limited"/>
    <d v="2026-07-10T00:00:00"/>
    <s v="PPL/26-27/SII00841"/>
    <s v="WIP00032"/>
    <s v="Webbing"/>
    <s v="PPL/RAW/26-27/305"/>
    <n v="1479.3"/>
    <n v="1479.3"/>
    <s v="Kgs"/>
    <n v="1479.3"/>
    <n v="0"/>
    <n v="1479.3"/>
    <s v="GJ12X1249"/>
    <s v="Plastene India ltd - Unit 1-Purchase"/>
    <s v="Plastene India ltd - Unit 1-Purchase"/>
    <s v="PIL1/D/1002"/>
    <d v="2026-07-10T00:00:00"/>
    <s v="RAW MATERIAL"/>
    <s v="INDIGENOUS"/>
    <s v="RM 306"/>
    <n v="149.49"/>
    <n v="149.490000579103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Webbing"/>
    <x v="3"/>
    <s v="RM"/>
    <s v="erp"/>
    <n v="0"/>
    <n v="221140.56"/>
    <n v="311"/>
    <d v="2026-07-10T00:00:00"/>
    <s v="24AAACO3087C1ZT"/>
    <s v="storeppl"/>
    <s v="storeppl"/>
    <n v="9"/>
    <n v="19902.650000000001"/>
    <n v="9"/>
    <n v="19902.650000000001"/>
    <n v="0"/>
    <n v="0"/>
    <n v="0"/>
    <n v="692142973315"/>
    <d v="2026-07-10T00:00:00"/>
    <n v="1479.3"/>
  </r>
  <r>
    <s v="Plastene Polyfilms Limited"/>
    <d v="2026-07-10T00:00:00"/>
    <s v="PPL/26-27/SII00841"/>
    <s v="WIP00032"/>
    <s v="Webbing"/>
    <s v="PPL/RAW/26-27/305"/>
    <n v="75.2"/>
    <n v="75.2"/>
    <s v="Kgs"/>
    <n v="75.2"/>
    <n v="0"/>
    <n v="75.2"/>
    <s v="GJ12X1249"/>
    <s v="Plastene India ltd - Unit 1-Purchase"/>
    <s v="Plastene India ltd - Unit 1-Purchase"/>
    <s v="PIL1/D/1002"/>
    <d v="2026-07-10T00:00:00"/>
    <s v="RAW MATERIAL"/>
    <s v="INDIGENOUS"/>
    <s v="RM 306"/>
    <n v="146.49"/>
    <n v="146.49000056748201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Webbing"/>
    <x v="3"/>
    <s v="RM"/>
    <s v="erp"/>
    <n v="0"/>
    <n v="11016.05"/>
    <n v="311"/>
    <d v="2026-07-10T00:00:00"/>
    <s v="24AAACO3087C1ZT"/>
    <s v="storeppl"/>
    <s v="storeppl"/>
    <n v="9"/>
    <n v="991.44"/>
    <n v="9"/>
    <n v="991.44"/>
    <n v="0"/>
    <n v="0"/>
    <n v="0"/>
    <n v="692142973315"/>
    <d v="2026-07-10T00:00:00"/>
    <n v="75.2"/>
  </r>
  <r>
    <s v="Plastene Polyfilms Limited"/>
    <d v="2026-07-10T00:00:00"/>
    <s v="PPL/26-27/SII00841"/>
    <s v="WIP00236"/>
    <s v="PP Braided Rope MW 6 to 8 GPM"/>
    <s v="PPL/RAW/26-27/305"/>
    <n v="44.4"/>
    <n v="44.4"/>
    <s v="Kgs"/>
    <n v="44.4"/>
    <n v="0"/>
    <n v="44.4"/>
    <s v="GJ12X1249"/>
    <s v="Plastene India ltd - Unit 1-Purchase"/>
    <s v="Plastene India ltd - Unit 1-Purchase"/>
    <s v="PIL1/D/1002"/>
    <d v="2026-07-10T00:00:00"/>
    <s v="RAW MATERIAL"/>
    <s v="INDIGENOUS"/>
    <s v="RM 306"/>
    <n v="160.99"/>
    <n v="160.990000623653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Yarn All"/>
    <x v="5"/>
    <s v="RM"/>
    <s v="erp"/>
    <n v="0"/>
    <n v="7147.96"/>
    <n v="311"/>
    <d v="2026-07-10T00:00:00"/>
    <s v="24AAACO3087C1ZT"/>
    <s v="storeppl"/>
    <s v="storeppl"/>
    <n v="2.5"/>
    <n v="178.7"/>
    <n v="2.5"/>
    <n v="178.7"/>
    <n v="0"/>
    <n v="0"/>
    <n v="0"/>
    <n v="692142973315"/>
    <d v="2026-07-10T00:00:00"/>
    <n v="44.4"/>
  </r>
  <r>
    <s v="Plastene Polyfilms Limited"/>
    <d v="2026-07-10T00:00:00"/>
    <s v="PPL/26-27/SII00841"/>
    <s v="WIP00181"/>
    <s v="PP MF Yarn Twisted 2500 Denier UV NW"/>
    <s v="PPL/RAW/26-27/305"/>
    <n v="312"/>
    <n v="312"/>
    <s v="Kgs"/>
    <n v="312"/>
    <n v="0"/>
    <n v="312"/>
    <s v="GJ12X1249"/>
    <s v="Plastene India ltd - Unit 1-Purchase"/>
    <s v="Plastene India ltd - Unit 1-Purchase"/>
    <s v="PIL1/D/1002"/>
    <d v="2026-07-10T00:00:00"/>
    <s v="RAW MATERIAL"/>
    <s v="INDIGENOUS"/>
    <s v="RM 306"/>
    <n v="156.49"/>
    <n v="156.49000060622001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Yarn All"/>
    <x v="5"/>
    <s v="RM"/>
    <m/>
    <n v="0"/>
    <n v="48824.88"/>
    <n v="311"/>
    <d v="2026-07-10T00:00:00"/>
    <s v="24AAACO3087C1ZT"/>
    <s v="storeppl"/>
    <s v="storeppl"/>
    <n v="2.5"/>
    <n v="1220.6199999999999"/>
    <n v="2.5"/>
    <n v="1220.6199999999999"/>
    <n v="0"/>
    <n v="0"/>
    <n v="0"/>
    <n v="692142973315"/>
    <d v="2026-07-10T00:00:00"/>
    <n v="312"/>
  </r>
  <r>
    <s v="Plastene Polyfilms Limited"/>
    <d v="2026-07-10T00:00:00"/>
    <s v="PPL/26-27/SII00841"/>
    <s v="WIP00191"/>
    <s v="PP MF Yarn Twisted 3000 Denier UV NW"/>
    <s v="PPL/RAW/26-27/305"/>
    <n v="862"/>
    <n v="862"/>
    <s v="Kgs"/>
    <n v="862"/>
    <n v="0"/>
    <n v="862"/>
    <s v="GJ12X1249"/>
    <s v="Plastene India ltd - Unit 1-Purchase"/>
    <s v="Plastene India ltd - Unit 1-Purchase"/>
    <s v="PIL1/D/1002"/>
    <d v="2026-07-10T00:00:00"/>
    <s v="RAW MATERIAL"/>
    <s v="INDIGENOUS"/>
    <s v="RM 306"/>
    <n v="156.49"/>
    <n v="156.49000060622001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Yarn All"/>
    <x v="5"/>
    <s v="RM"/>
    <m/>
    <n v="0"/>
    <n v="134894.38"/>
    <n v="311"/>
    <d v="2026-07-10T00:00:00"/>
    <s v="24AAACO3087C1ZT"/>
    <s v="storeppl"/>
    <s v="storeppl"/>
    <n v="2.5"/>
    <n v="3372.36"/>
    <n v="2.5"/>
    <n v="3372.36"/>
    <n v="0"/>
    <n v="0"/>
    <n v="0"/>
    <n v="692142973315"/>
    <d v="2026-07-10T00:00:00"/>
    <n v="862"/>
  </r>
  <r>
    <s v="Plastene Polyfilms Limited"/>
    <d v="2026-07-10T00:00:00"/>
    <s v="PPL/26-27/SII00841"/>
    <s v="WIP00025"/>
    <s v="PP Lam Fabric With UV"/>
    <s v="PPL/RAW/26-27/305"/>
    <n v="1396"/>
    <n v="1396"/>
    <s v="Kgs"/>
    <n v="1396"/>
    <n v="0"/>
    <n v="1396"/>
    <s v="GJ12X1249"/>
    <s v="Plastene India ltd - Unit 1-Purchase"/>
    <s v="Plastene India ltd - Unit 1-Purchase"/>
    <s v="PIL1/D/1002"/>
    <d v="2026-07-10T00:00:00"/>
    <s v="RAW MATERIAL"/>
    <s v="INDIGENOUS"/>
    <s v="RM 306"/>
    <n v="151.49"/>
    <n v="151.49000058685101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PP/PE Fabric"/>
    <x v="2"/>
    <s v="RM"/>
    <s v="erp"/>
    <n v="0"/>
    <n v="211480.04"/>
    <n v="311"/>
    <d v="2026-07-10T00:00:00"/>
    <s v="24AAACO3087C1ZT"/>
    <s v="storeppl"/>
    <s v="storeppl"/>
    <n v="9"/>
    <n v="19033.2"/>
    <n v="9"/>
    <n v="19033.2"/>
    <n v="0"/>
    <n v="0"/>
    <n v="0"/>
    <n v="692142973315"/>
    <d v="2026-07-10T00:00:00"/>
    <n v="1396"/>
  </r>
  <r>
    <s v="Plastene Polyfilms Limited"/>
    <d v="2026-07-10T00:00:00"/>
    <s v="PPL/26-27/SII00841"/>
    <s v="WIP00013"/>
    <s v="LDPE/LLDPE Bags/Liner"/>
    <s v="PPL/RAW/26-27/305"/>
    <n v="3036"/>
    <n v="3036"/>
    <s v="Kgs"/>
    <n v="3036"/>
    <n v="0"/>
    <n v="3036"/>
    <s v="GJ12X1249"/>
    <s v="Plastene India ltd - Unit 1-Purchase"/>
    <s v="Plastene India ltd - Unit 1-Purchase"/>
    <s v="PIL1/D/1002"/>
    <d v="2026-07-10T00:00:00"/>
    <s v="RAW MATERIAL"/>
    <s v="INDIGENOUS"/>
    <s v="RM 306"/>
    <n v="182.78"/>
    <n v="182.78000070806399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Liners"/>
    <x v="1"/>
    <s v="RM"/>
    <s v="erp"/>
    <n v="0"/>
    <n v="554920.07999999996"/>
    <n v="311"/>
    <d v="2026-07-10T00:00:00"/>
    <s v="24AAACO3087C1ZT"/>
    <s v="storeppl"/>
    <s v="storeppl"/>
    <n v="9"/>
    <n v="49942.81"/>
    <n v="9"/>
    <n v="49942.81"/>
    <n v="0"/>
    <n v="0"/>
    <n v="0"/>
    <n v="692142973315"/>
    <d v="2026-07-10T00:00:00"/>
    <n v="3036"/>
  </r>
  <r>
    <s v="Plastene Polyfilms Limited"/>
    <d v="2026-07-10T00:00:00"/>
    <s v="PPL/26-27/SII00841"/>
    <s v="WIP00023"/>
    <s v="PP UL Fabric With UV"/>
    <s v="PPL/RAW/26-27/305"/>
    <n v="255"/>
    <n v="255"/>
    <s v="Kgs"/>
    <n v="255"/>
    <n v="0"/>
    <n v="255"/>
    <s v="GJ12X1249"/>
    <s v="Plastene India ltd - Unit 1-Purchase"/>
    <s v="Plastene India ltd - Unit 1-Purchase"/>
    <s v="PIL1/D/1002"/>
    <d v="2026-07-10T00:00:00"/>
    <s v="RAW MATERIAL"/>
    <s v="INDIGENOUS"/>
    <s v="RM 306"/>
    <n v="144.49"/>
    <n v="144.490000559734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PP/PE Fabric"/>
    <x v="0"/>
    <s v="RM"/>
    <s v="erp"/>
    <n v="0"/>
    <n v="36844.949999999997"/>
    <n v="311"/>
    <d v="2026-07-10T00:00:00"/>
    <s v="24AAACO3087C1ZT"/>
    <s v="storeppl"/>
    <s v="storeppl"/>
    <n v="9"/>
    <n v="3316.05"/>
    <n v="9"/>
    <n v="3316.05"/>
    <n v="0"/>
    <n v="0"/>
    <n v="0"/>
    <n v="692142973315"/>
    <d v="2026-07-10T00:00:00"/>
    <n v="255"/>
  </r>
  <r>
    <s v="Plastene Polyfilms Limited"/>
    <d v="2026-07-10T00:00:00"/>
    <s v="PPL/26-27/SII00841"/>
    <s v="WIP00023"/>
    <s v="PP UL Fabric With UV"/>
    <s v="PPL/RAW/26-27/305"/>
    <n v="472"/>
    <n v="472"/>
    <s v="Kgs"/>
    <n v="472"/>
    <n v="0"/>
    <n v="472"/>
    <s v="GJ12X1249"/>
    <s v="Plastene India ltd - Unit 1-Purchase"/>
    <s v="Plastene India ltd - Unit 1-Purchase"/>
    <s v="PIL1/D/1002"/>
    <d v="2026-07-10T00:00:00"/>
    <s v="RAW MATERIAL"/>
    <s v="INDIGENOUS"/>
    <s v="RM 306"/>
    <n v="149.49"/>
    <n v="149.490000579103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PP/PE Fabric"/>
    <x v="0"/>
    <s v="RM"/>
    <s v="erp"/>
    <n v="0"/>
    <n v="70559.28"/>
    <n v="311"/>
    <d v="2026-07-10T00:00:00"/>
    <s v="24AAACO3087C1ZT"/>
    <s v="storeppl"/>
    <s v="storeppl"/>
    <n v="9"/>
    <n v="6350.34"/>
    <n v="9"/>
    <n v="6350.34"/>
    <n v="0"/>
    <n v="0"/>
    <n v="0"/>
    <n v="692142973315"/>
    <d v="2026-07-10T00:00:00"/>
    <n v="472"/>
  </r>
  <r>
    <s v="Plastene Polyfilms Limited"/>
    <d v="2026-07-10T00:00:00"/>
    <s v="PPL/26-27/SII00841"/>
    <s v="WIP00023"/>
    <s v="PP UL Fabric With UV"/>
    <s v="PPL/RAW/26-27/305"/>
    <n v="645"/>
    <n v="645"/>
    <s v="Kgs"/>
    <n v="645"/>
    <n v="0"/>
    <n v="645"/>
    <s v="GJ12X1249"/>
    <s v="Plastene India ltd - Unit 1-Purchase"/>
    <s v="Plastene India ltd - Unit 1-Purchase"/>
    <s v="PIL1/D/1002"/>
    <d v="2026-07-10T00:00:00"/>
    <s v="RAW MATERIAL"/>
    <s v="INDIGENOUS"/>
    <s v="RM 306"/>
    <n v="152.49"/>
    <n v="152.490000590725"/>
    <s v="PIL1/D/1002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982.86"/>
    <s v="SF"/>
    <s v="PP/PE Fabric"/>
    <x v="0"/>
    <s v="RM"/>
    <s v="erp"/>
    <n v="0"/>
    <n v="98356.05"/>
    <n v="311"/>
    <d v="2026-07-10T00:00:00"/>
    <s v="24AAACO3087C1ZT"/>
    <s v="storeppl"/>
    <s v="storeppl"/>
    <n v="9"/>
    <n v="8852.0400000000009"/>
    <n v="9"/>
    <n v="8852.0400000000009"/>
    <n v="0"/>
    <n v="0"/>
    <n v="0"/>
    <n v="692142973315"/>
    <d v="2026-07-10T00:00:00"/>
    <n v="645"/>
  </r>
  <r>
    <s v="Plastene Polyfilms Limited"/>
    <d v="2026-07-10T00:00:00"/>
    <s v="PPL/26-27/SII00842"/>
    <s v="RAW05124"/>
    <s v="LDPE/LLDPE Film"/>
    <s v="PPL/RAW/26-27/305"/>
    <n v="88.8"/>
    <n v="88.8"/>
    <s v="Kgs"/>
    <n v="88.8"/>
    <n v="0"/>
    <n v="88.8"/>
    <s v="GJ12X1249"/>
    <s v="Plastene India ltd - Unit 1-Purchase"/>
    <s v="Plastene India ltd - Unit 1-Purchase"/>
    <s v="PIL1/D/1004"/>
    <d v="2026-07-10T00:00:00"/>
    <s v="RAW MATERIAL"/>
    <s v="INDIGENOUS"/>
    <s v="RM 307"/>
    <n v="172.78"/>
    <n v="172.77996182624199"/>
    <s v="PIL1/D/1004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104.580000000002"/>
    <s v="SF"/>
    <s v="Films All (SF)"/>
    <x v="10"/>
    <s v="RM"/>
    <s v="erp"/>
    <n v="0"/>
    <n v="15342.86"/>
    <n v="112"/>
    <d v="2026-07-10T00:00:00"/>
    <s v="24AAACO3087C1ZT"/>
    <s v="storeppl"/>
    <s v="storeppl"/>
    <n v="9"/>
    <n v="1380.86"/>
    <n v="9"/>
    <n v="1380.86"/>
    <n v="0"/>
    <n v="0"/>
    <n v="18104.580000000002"/>
    <n v="602143016922"/>
    <d v="2026-07-10T00:00:00"/>
    <n v="88.8"/>
  </r>
  <r>
    <s v="Plastene Polyfilms Limited"/>
    <d v="2026-07-11T00:00:00"/>
    <s v="PPL/26-27/SII00847"/>
    <s v="WIP00004"/>
    <s v="FIBC Bags With UV Without Liner"/>
    <s v="PPL/RAW/26-27/306"/>
    <n v="7549"/>
    <n v="7549"/>
    <s v="Kgs"/>
    <n v="7549"/>
    <n v="0"/>
    <n v="7549"/>
    <s v="GJ12AU8624"/>
    <s v="Plastene India ltd - Unit 2-Purchase"/>
    <s v="Plastene India ltd - Unit 2-Purchase"/>
    <s v="PIL2/D/356"/>
    <d v="2026-07-10T00:00:00"/>
    <s v="RAW MATERIAL"/>
    <s v="INDIGENOUS"/>
    <s v="RM 308"/>
    <n v="229.55"/>
    <n v="229.55"/>
    <s v="PIL2/D/356"/>
    <d v="2026-07-1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044790.09"/>
    <s v="FG"/>
    <s v="FIBC Bags"/>
    <x v="8"/>
    <s v="RM"/>
    <s v="erp"/>
    <n v="0"/>
    <n v="1732872.95"/>
    <n v="313"/>
    <d v="2026-07-11T00:00:00"/>
    <s v="24AAACO3087C1ZT"/>
    <s v="storeppl"/>
    <s v="storeppl"/>
    <n v="9"/>
    <n v="155958.57"/>
    <n v="9"/>
    <n v="155958.57"/>
    <n v="0"/>
    <n v="0"/>
    <n v="2044790.09"/>
    <n v="682142852459"/>
    <d v="2026-07-10T00:00:00"/>
    <n v="7549"/>
  </r>
  <r>
    <s v="Plastene Polyfilms Limited"/>
    <d v="2026-07-11T00:00:00"/>
    <s v="PPL/26-27/SII00850"/>
    <s v="WIP00013"/>
    <s v="LDPE/LLDPE Bags/Liner"/>
    <s v="PPL/RAW/26-27/308"/>
    <n v="497"/>
    <n v="497"/>
    <s v="Kgs"/>
    <n v="497"/>
    <n v="0"/>
    <n v="497"/>
    <s v="GJ12X1249"/>
    <s v="Plastene India ltd - Unit 1-Purchase"/>
    <s v="Plastene India ltd - Unit 1-Purchase"/>
    <s v="PIL1/D/1017"/>
    <d v="2026-07-11T00:00:00"/>
    <s v="RAW MATERIAL"/>
    <s v="INDIGENOUS"/>
    <s v="RM 309"/>
    <n v="182.78"/>
    <n v="182.78000190893999"/>
    <s v="PIL1/D/1017"/>
    <d v="2026-07-1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61745.23"/>
    <s v="SF"/>
    <s v="Liners"/>
    <x v="1"/>
    <s v="RM"/>
    <s v="erp"/>
    <n v="0"/>
    <n v="90841.66"/>
    <n v="314"/>
    <d v="2026-07-11T00:00:00"/>
    <s v="24AAACO3087C1ZT"/>
    <s v="storeppl"/>
    <s v="storeppl"/>
    <n v="9"/>
    <n v="8175.75"/>
    <n v="9"/>
    <n v="8175.75"/>
    <n v="0"/>
    <n v="0"/>
    <n v="861745.23"/>
    <n v="692143638570"/>
    <d v="2026-07-11T00:00:00"/>
    <n v="497"/>
  </r>
  <r>
    <s v="Plastene Polyfilms Limited"/>
    <d v="2026-07-11T00:00:00"/>
    <s v="PPL/26-27/SII00850"/>
    <s v="WIP00013"/>
    <s v="LDPE/LLDPE Bags/Liner"/>
    <s v="PPL/RAW/26-27/308"/>
    <n v="2228"/>
    <n v="2228"/>
    <s v="Kgs"/>
    <n v="2228"/>
    <n v="0"/>
    <n v="2228"/>
    <s v="GJ12X1249"/>
    <s v="Plastene India ltd - Unit 1-Purchase"/>
    <s v="Plastene India ltd - Unit 1-Purchase"/>
    <s v="PIL1/D/1017"/>
    <d v="2026-07-11T00:00:00"/>
    <s v="RAW MATERIAL"/>
    <s v="INDIGENOUS"/>
    <s v="RM 309"/>
    <n v="206.78"/>
    <n v="206.78000215959401"/>
    <s v="PIL1/D/1017"/>
    <d v="2026-07-1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61745.23"/>
    <s v="SF"/>
    <s v="Liners"/>
    <x v="1"/>
    <s v="RM"/>
    <s v="erp"/>
    <n v="0"/>
    <n v="460705.84"/>
    <n v="314"/>
    <d v="2026-07-11T00:00:00"/>
    <s v="24AAACO3087C1ZT"/>
    <s v="storeppl"/>
    <s v="storeppl"/>
    <n v="9"/>
    <n v="41463.53"/>
    <n v="9"/>
    <n v="41463.53"/>
    <n v="0"/>
    <n v="0"/>
    <n v="0"/>
    <n v="692143638570"/>
    <d v="2026-07-11T00:00:00"/>
    <n v="2228"/>
  </r>
  <r>
    <s v="Plastene Polyfilms Limited"/>
    <d v="2026-07-11T00:00:00"/>
    <s v="PPL/26-27/SII00850"/>
    <s v="WIP00022"/>
    <s v="Filler Cord"/>
    <s v="PPL/RAW/26-27/308"/>
    <n v="49.1"/>
    <n v="49.1"/>
    <s v="Kgs"/>
    <n v="49.1"/>
    <n v="0"/>
    <n v="49.1"/>
    <s v="GJ12X1249"/>
    <s v="Plastene India ltd - Unit 1-Purchase"/>
    <s v="Plastene India ltd - Unit 1-Purchase"/>
    <s v="PIL1/D/1017"/>
    <d v="2026-07-11T00:00:00"/>
    <s v="RAW MATERIAL"/>
    <s v="INDIGENOUS"/>
    <s v="RM 309"/>
    <n v="157.99"/>
    <n v="157.990001650035"/>
    <s v="PIL1/D/1017"/>
    <d v="2026-07-1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61745.23"/>
    <s v="SF"/>
    <s v="Yarn All"/>
    <x v="5"/>
    <s v="RM"/>
    <s v="erp"/>
    <n v="0"/>
    <n v="7757.31"/>
    <n v="314"/>
    <d v="2026-07-11T00:00:00"/>
    <s v="24AAACO3087C1ZT"/>
    <s v="storeppl"/>
    <s v="storeppl"/>
    <n v="2.5"/>
    <n v="193.93"/>
    <n v="2.5"/>
    <n v="193.93"/>
    <n v="0"/>
    <n v="0"/>
    <n v="0"/>
    <n v="692143638570"/>
    <d v="2026-07-11T00:00:00"/>
    <n v="49.1"/>
  </r>
  <r>
    <s v="Plastene Polyfilms Limited"/>
    <d v="2026-07-11T00:00:00"/>
    <s v="PPL/26-27/SII00850"/>
    <s v="WIP00023"/>
    <s v="PP UL Fabric With UV"/>
    <s v="PPL/RAW/26-27/308"/>
    <n v="323"/>
    <n v="323"/>
    <s v="Kgs"/>
    <n v="323"/>
    <n v="0"/>
    <n v="323"/>
    <s v="GJ12X1249"/>
    <s v="Plastene India ltd - Unit 1-Purchase"/>
    <s v="Plastene India ltd - Unit 1-Purchase"/>
    <s v="PIL1/D/1017"/>
    <d v="2026-07-11T00:00:00"/>
    <s v="RAW MATERIAL"/>
    <s v="INDIGENOUS"/>
    <s v="RM 309"/>
    <n v="144.49"/>
    <n v="144.490001509042"/>
    <s v="PIL1/D/1017"/>
    <d v="2026-07-1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61745.23"/>
    <s v="SF"/>
    <s v="PP/PE Fabric"/>
    <x v="0"/>
    <s v="RM"/>
    <s v="erp"/>
    <n v="0"/>
    <n v="46670.27"/>
    <n v="314"/>
    <d v="2026-07-11T00:00:00"/>
    <s v="24AAACO3087C1ZT"/>
    <s v="storeppl"/>
    <s v="storeppl"/>
    <n v="9"/>
    <n v="4200.32"/>
    <n v="9"/>
    <n v="4200.32"/>
    <n v="0"/>
    <n v="0"/>
    <n v="0"/>
    <n v="692143638570"/>
    <d v="2026-07-11T00:00:00"/>
    <n v="323"/>
  </r>
  <r>
    <s v="Plastene Polyfilms Limited"/>
    <d v="2026-07-11T00:00:00"/>
    <s v="PPL/26-27/SII00850"/>
    <s v="WIP00023"/>
    <s v="PP UL Fabric With UV"/>
    <s v="PPL/RAW/26-27/308"/>
    <n v="578"/>
    <n v="578"/>
    <s v="Kgs"/>
    <n v="578"/>
    <n v="0"/>
    <n v="578"/>
    <s v="GJ12X1249"/>
    <s v="Plastene India ltd - Unit 1-Purchase"/>
    <s v="Plastene India ltd - Unit 1-Purchase"/>
    <s v="PIL1/D/1017"/>
    <d v="2026-07-11T00:00:00"/>
    <s v="RAW MATERIAL"/>
    <s v="INDIGENOUS"/>
    <s v="RM 309"/>
    <n v="152.49"/>
    <n v="152.49000159259401"/>
    <s v="PIL1/D/1017"/>
    <d v="2026-07-1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61745.23"/>
    <s v="SF"/>
    <s v="PP/PE Fabric"/>
    <x v="0"/>
    <s v="RM"/>
    <s v="erp"/>
    <n v="0"/>
    <n v="88139.22"/>
    <n v="314"/>
    <d v="2026-07-11T00:00:00"/>
    <s v="24AAACO3087C1ZT"/>
    <s v="storeppl"/>
    <s v="storeppl"/>
    <n v="9"/>
    <n v="7932.53"/>
    <n v="9"/>
    <n v="7932.53"/>
    <n v="0"/>
    <n v="0"/>
    <n v="0"/>
    <n v="692143638570"/>
    <d v="2026-07-11T00:00:00"/>
    <n v="578"/>
  </r>
  <r>
    <s v="Plastene Polyfilms Limited"/>
    <d v="2026-07-11T00:00:00"/>
    <s v="PPL/26-27/SII00850"/>
    <s v="WIP00236"/>
    <s v="PP Braided Rope MW 6 to 8 GPM"/>
    <s v="PPL/RAW/26-27/308"/>
    <n v="26.3"/>
    <n v="26.3"/>
    <s v="Kgs"/>
    <n v="26.3"/>
    <n v="0"/>
    <n v="26.3"/>
    <s v="GJ12X1249"/>
    <s v="Plastene India ltd - Unit 1-Purchase"/>
    <s v="Plastene India ltd - Unit 1-Purchase"/>
    <s v="PIL1/D/1017"/>
    <d v="2026-07-11T00:00:00"/>
    <s v="RAW MATERIAL"/>
    <s v="INDIGENOUS"/>
    <s v="RM 309"/>
    <n v="160.99"/>
    <n v="160.990001681367"/>
    <s v="PIL1/D/1017"/>
    <d v="2026-07-1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61745.23"/>
    <s v="SF"/>
    <s v="Yarn All"/>
    <x v="5"/>
    <s v="RM"/>
    <s v="erp"/>
    <n v="0"/>
    <n v="4234.04"/>
    <n v="314"/>
    <d v="2026-07-11T00:00:00"/>
    <s v="24AAACO3087C1ZT"/>
    <s v="storeppl"/>
    <s v="storeppl"/>
    <n v="2.5"/>
    <n v="105.85"/>
    <n v="2.5"/>
    <n v="105.85"/>
    <n v="0"/>
    <n v="0"/>
    <n v="0"/>
    <n v="692143638570"/>
    <d v="2026-07-11T00:00:00"/>
    <n v="26.3"/>
  </r>
  <r>
    <s v="Plastene Polyfilms Limited"/>
    <d v="2026-07-11T00:00:00"/>
    <s v="PPL/26-27/SII00850"/>
    <s v="WIP00032"/>
    <s v="Webbing"/>
    <s v="PPL/RAW/26-27/308"/>
    <n v="126.1"/>
    <n v="126.1"/>
    <s v="Kgs"/>
    <n v="126.1"/>
    <n v="0"/>
    <n v="126.1"/>
    <s v="GJ12X1249"/>
    <s v="Plastene India ltd - Unit 1-Purchase"/>
    <s v="Plastene India ltd - Unit 1-Purchase"/>
    <s v="PIL1/D/1017"/>
    <d v="2026-07-11T00:00:00"/>
    <s v="RAW MATERIAL"/>
    <s v="INDIGENOUS"/>
    <s v="RM 309"/>
    <n v="149.49"/>
    <n v="149.49000156126201"/>
    <s v="PIL1/D/1017"/>
    <d v="2026-07-1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61745.23"/>
    <s v="SF"/>
    <s v="Webbing"/>
    <x v="3"/>
    <s v="RM"/>
    <s v="erp"/>
    <n v="0"/>
    <n v="18850.689999999999"/>
    <n v="314"/>
    <d v="2026-07-11T00:00:00"/>
    <s v="24AAACO3087C1ZT"/>
    <s v="storeppl"/>
    <s v="storeppl"/>
    <n v="9"/>
    <n v="1696.56"/>
    <n v="9"/>
    <n v="1696.56"/>
    <n v="0"/>
    <n v="0"/>
    <n v="0"/>
    <n v="692143638570"/>
    <d v="2026-07-11T00:00:00"/>
    <n v="126.1"/>
  </r>
  <r>
    <s v="Plastene Polyfilms Limited"/>
    <d v="2026-07-11T00:00:00"/>
    <s v="PPL/26-27/SII00850"/>
    <s v="WIP00032"/>
    <s v="Webbing"/>
    <s v="PPL/RAW/26-27/308"/>
    <n v="98.4"/>
    <n v="98.4"/>
    <s v="Kgs"/>
    <n v="98.4"/>
    <n v="0"/>
    <n v="98.4"/>
    <s v="GJ12X1249"/>
    <s v="Plastene India ltd - Unit 1-Purchase"/>
    <s v="Plastene India ltd - Unit 1-Purchase"/>
    <s v="PIL1/D/1017"/>
    <d v="2026-07-11T00:00:00"/>
    <s v="RAW MATERIAL"/>
    <s v="INDIGENOUS"/>
    <s v="RM 309"/>
    <n v="146.49"/>
    <n v="146.49000152993"/>
    <s v="PIL1/D/1017"/>
    <d v="2026-07-1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61745.23"/>
    <s v="SF"/>
    <s v="Webbing"/>
    <x v="3"/>
    <s v="RM"/>
    <s v="erp"/>
    <n v="0"/>
    <n v="14414.62"/>
    <n v="314"/>
    <d v="2026-07-11T00:00:00"/>
    <s v="24AAACO3087C1ZT"/>
    <s v="storeppl"/>
    <s v="storeppl"/>
    <n v="9"/>
    <n v="1297.32"/>
    <n v="9"/>
    <n v="1297.32"/>
    <n v="0"/>
    <n v="0"/>
    <n v="0"/>
    <n v="692143638570"/>
    <d v="2026-07-11T00:00:00"/>
    <n v="98.4"/>
  </r>
  <r>
    <s v="Plastene Polyfilms Limited"/>
    <d v="2026-07-12T00:00:00"/>
    <s v="PPL/26-27/SII00854"/>
    <s v="WIP00023"/>
    <s v="PP UL Fabric With UV"/>
    <s v="PPL/RAW/26-27/309"/>
    <n v="712"/>
    <n v="712"/>
    <s v="Kgs"/>
    <n v="712"/>
    <n v="0"/>
    <n v="712"/>
    <s v="GJ12X1249"/>
    <s v="Plastene India ltd - Unit 1-Purchase"/>
    <s v="Plastene India ltd - Unit 1-Purchase"/>
    <s v="PIL1/D/1022"/>
    <d v="2026-07-12T00:00:00"/>
    <s v="RAW MATERIAL"/>
    <s v="INDIGENOUS"/>
    <s v="RM 310"/>
    <n v="144.49"/>
    <n v="144.49"/>
    <s v="PIL1/D/1022"/>
    <d v="2026-07-12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21394.72"/>
    <s v="SF"/>
    <s v="PP/PE Fabric"/>
    <x v="0"/>
    <s v="RM"/>
    <s v="erp"/>
    <n v="0"/>
    <n v="102876.88"/>
    <n v="316"/>
    <d v="2026-07-12T00:00:00"/>
    <s v="24AAACO3087C1ZT"/>
    <s v="storeppl"/>
    <s v="storeppl"/>
    <n v="9"/>
    <n v="9258.92"/>
    <n v="9"/>
    <n v="9258.92"/>
    <n v="0"/>
    <n v="0"/>
    <n v="121394.72"/>
    <n v="622143858953"/>
    <d v="2026-07-12T00:00:00"/>
    <n v="712"/>
  </r>
  <r>
    <s v="Plastene Polyfilms Limited"/>
    <d v="2026-07-12T00:00:00"/>
    <s v="PPL/26-27/SII00855"/>
    <s v="WIP00002"/>
    <s v="RP Granules"/>
    <s v="PPL/RAW/26-27/310"/>
    <n v="2000"/>
    <n v="2000"/>
    <s v="Kgs"/>
    <n v="2000"/>
    <n v="0"/>
    <n v="2000"/>
    <s v="GJ12X1249"/>
    <s v="Plastene India ltd - Unit 1-Purchase"/>
    <s v="Plastene India ltd - Unit 1-Purchase"/>
    <s v="PIL1/D/1025"/>
    <d v="2026-07-12T00:00:00"/>
    <s v="RAW MATERIAL"/>
    <s v="INDIGENOUS"/>
    <s v="RM 311"/>
    <n v="105"/>
    <n v="105"/>
    <s v="PIL1/D/1025"/>
    <d v="2026-07-12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47800"/>
    <s v="SF"/>
    <s v="RP Granules"/>
    <x v="12"/>
    <s v="RM"/>
    <s v="erp"/>
    <n v="0"/>
    <n v="210000"/>
    <n v="317"/>
    <d v="2026-07-12T00:00:00"/>
    <s v="24AAACO3087C1ZT"/>
    <s v="storeppl"/>
    <s v="storeppl"/>
    <n v="9"/>
    <n v="18900"/>
    <n v="9"/>
    <n v="18900"/>
    <n v="0"/>
    <n v="0"/>
    <n v="247800"/>
    <n v="672143961537"/>
    <d v="2026-07-12T00:00:00"/>
    <n v="2000"/>
  </r>
  <r>
    <s v="Plastene Polyfilms Limited"/>
    <d v="2026-07-12T00:00:00"/>
    <s v="PPL/26-27/SII00856"/>
    <s v="WIP00023"/>
    <s v="PP UL Fabric With UV"/>
    <s v="PPL/RAW/26-27/310"/>
    <n v="339"/>
    <n v="339"/>
    <s v="Kgs"/>
    <n v="339"/>
    <n v="0"/>
    <n v="339"/>
    <s v="GJ12X1249"/>
    <s v="Plastene India ltd - Unit 1-Purchase"/>
    <s v="Plastene India ltd - Unit 1-Purchase"/>
    <s v="PIL1/D/1027"/>
    <d v="2026-07-12T00:00:00"/>
    <s v="RAW MATERIAL"/>
    <s v="INDIGENOUS"/>
    <s v="RM 312"/>
    <n v="144.49"/>
    <n v="144.48999956323499"/>
    <s v="PIL1/D/1027"/>
    <d v="2026-07-12T00:00:00"/>
    <s v="."/>
    <m/>
    <m/>
    <s v="."/>
    <s v="."/>
    <n v="0"/>
    <n v="0"/>
    <n v="0"/>
    <n v="0"/>
    <n v="0"/>
    <s v="VAT"/>
    <n v="0"/>
    <n v="0"/>
    <n v="0"/>
    <n v="0"/>
    <n v="0"/>
    <m/>
    <n v="0"/>
    <n v="0"/>
    <n v="661637.56000000006"/>
    <s v="SF"/>
    <s v="PP/PE Fabric"/>
    <x v="0"/>
    <s v="RM"/>
    <s v="erp"/>
    <n v="0"/>
    <n v="48982.11"/>
    <n v="315"/>
    <d v="2026-07-12T00:00:00"/>
    <s v="24AAACO3087C1ZT"/>
    <s v="storeppl"/>
    <s v="storeppl"/>
    <n v="9"/>
    <n v="4408.3900000000003"/>
    <n v="9"/>
    <n v="4408.3900000000003"/>
    <n v="0"/>
    <n v="0"/>
    <n v="661637.56000000006"/>
    <n v="692143969230"/>
    <d v="2026-07-12T00:00:00"/>
    <n v="339"/>
  </r>
  <r>
    <s v="Plastene Polyfilms Limited"/>
    <d v="2026-07-12T00:00:00"/>
    <s v="PPL/26-27/SII00856"/>
    <s v="WIP00023"/>
    <s v="PP UL Fabric With UV"/>
    <s v="PPL/RAW/26-27/310"/>
    <n v="662"/>
    <n v="662"/>
    <s v="Kgs"/>
    <n v="662"/>
    <n v="0"/>
    <n v="662"/>
    <s v="GJ12X1249"/>
    <s v="Plastene India ltd - Unit 1-Purchase"/>
    <s v="Plastene India ltd - Unit 1-Purchase"/>
    <s v="PIL1/D/1027"/>
    <d v="2026-07-12T00:00:00"/>
    <s v="RAW MATERIAL"/>
    <s v="INDIGENOUS"/>
    <s v="RM 312"/>
    <n v="152.49"/>
    <n v="152.489999539053"/>
    <s v="PIL1/D/1027"/>
    <d v="2026-07-12T00:00:00"/>
    <s v="."/>
    <m/>
    <m/>
    <s v="."/>
    <s v="."/>
    <n v="0"/>
    <n v="0"/>
    <n v="0"/>
    <n v="0"/>
    <n v="0"/>
    <s v="VAT"/>
    <n v="0"/>
    <n v="0"/>
    <n v="0"/>
    <n v="0"/>
    <n v="0"/>
    <m/>
    <n v="0"/>
    <n v="0"/>
    <n v="661637.56000000006"/>
    <s v="SF"/>
    <s v="PP/PE Fabric"/>
    <x v="0"/>
    <s v="RM"/>
    <s v="erp"/>
    <n v="0"/>
    <n v="100948.38"/>
    <n v="315"/>
    <d v="2026-07-12T00:00:00"/>
    <s v="24AAACO3087C1ZT"/>
    <s v="storeppl"/>
    <s v="storeppl"/>
    <n v="9"/>
    <n v="9085.35"/>
    <n v="9"/>
    <n v="9085.35"/>
    <n v="0"/>
    <n v="0"/>
    <n v="0"/>
    <n v="692143969230"/>
    <d v="2026-07-12T00:00:00"/>
    <n v="662"/>
  </r>
  <r>
    <s v="Plastene Polyfilms Limited"/>
    <d v="2026-07-12T00:00:00"/>
    <s v="PPL/26-27/SII00856"/>
    <s v="WIP00032"/>
    <s v="Webbing"/>
    <s v="PPL/RAW/26-27/310"/>
    <n v="139.6"/>
    <n v="139.6"/>
    <s v="Kgs"/>
    <n v="139.6"/>
    <n v="0"/>
    <n v="139.6"/>
    <s v="GJ12X1249"/>
    <s v="Plastene India ltd - Unit 1-Purchase"/>
    <s v="Plastene India ltd - Unit 1-Purchase"/>
    <s v="PIL1/D/1027"/>
    <d v="2026-07-12T00:00:00"/>
    <s v="RAW MATERIAL"/>
    <s v="INDIGENOUS"/>
    <s v="RM 312"/>
    <n v="149.49"/>
    <n v="149.48999954812101"/>
    <s v="PIL1/D/1027"/>
    <d v="2026-07-12T00:00:00"/>
    <s v="."/>
    <m/>
    <m/>
    <s v="."/>
    <s v="."/>
    <n v="0"/>
    <n v="0"/>
    <n v="0"/>
    <n v="0"/>
    <n v="0"/>
    <s v="VAT"/>
    <n v="0"/>
    <n v="0"/>
    <n v="0"/>
    <n v="0"/>
    <n v="0"/>
    <m/>
    <n v="0"/>
    <n v="0"/>
    <n v="661637.56000000006"/>
    <s v="SF"/>
    <s v="Webbing"/>
    <x v="3"/>
    <s v="RM"/>
    <s v="erp"/>
    <n v="0"/>
    <n v="20868.8"/>
    <n v="315"/>
    <d v="2026-07-12T00:00:00"/>
    <s v="24AAACO3087C1ZT"/>
    <s v="storeppl"/>
    <s v="storeppl"/>
    <n v="9"/>
    <n v="1878.19"/>
    <n v="9"/>
    <n v="1878.19"/>
    <n v="0"/>
    <n v="0"/>
    <n v="0"/>
    <n v="692143969230"/>
    <d v="2026-07-12T00:00:00"/>
    <n v="139.6"/>
  </r>
  <r>
    <s v="Plastene Polyfilms Limited"/>
    <d v="2026-07-12T00:00:00"/>
    <s v="PPL/26-27/SII00856"/>
    <s v="WIP00032"/>
    <s v="Webbing"/>
    <s v="PPL/RAW/26-27/310"/>
    <n v="103.2"/>
    <n v="103.2"/>
    <s v="Kgs"/>
    <n v="103.2"/>
    <n v="0"/>
    <n v="103.2"/>
    <s v="GJ12X1249"/>
    <s v="Plastene India ltd - Unit 1-Purchase"/>
    <s v="Plastene India ltd - Unit 1-Purchase"/>
    <s v="PIL1/D/1027"/>
    <d v="2026-07-12T00:00:00"/>
    <s v="RAW MATERIAL"/>
    <s v="INDIGENOUS"/>
    <s v="RM 312"/>
    <n v="146.49"/>
    <n v="146.48999955719"/>
    <s v="PIL1/D/1027"/>
    <d v="2026-07-12T00:00:00"/>
    <s v="."/>
    <m/>
    <m/>
    <s v="."/>
    <s v="."/>
    <n v="0"/>
    <n v="0"/>
    <n v="0"/>
    <n v="0"/>
    <n v="0"/>
    <s v="VAT"/>
    <n v="0"/>
    <n v="0"/>
    <n v="0"/>
    <n v="0"/>
    <n v="0"/>
    <m/>
    <n v="0"/>
    <n v="0"/>
    <n v="661637.56000000006"/>
    <s v="SF"/>
    <s v="Webbing"/>
    <x v="3"/>
    <s v="RM"/>
    <s v="erp"/>
    <n v="0"/>
    <n v="15117.77"/>
    <n v="315"/>
    <d v="2026-07-12T00:00:00"/>
    <s v="24AAACO3087C1ZT"/>
    <s v="storeppl"/>
    <s v="storeppl"/>
    <n v="9"/>
    <n v="1360.6"/>
    <n v="9"/>
    <n v="1360.6"/>
    <n v="0"/>
    <n v="0"/>
    <n v="0"/>
    <n v="692143969230"/>
    <d v="2026-07-12T00:00:00"/>
    <n v="103.2"/>
  </r>
  <r>
    <s v="Plastene Polyfilms Limited"/>
    <d v="2026-07-12T00:00:00"/>
    <s v="PPL/26-27/SII00856"/>
    <s v="WIP00025"/>
    <s v="PP Lam Fabric With UV"/>
    <s v="PPL/RAW/26-27/310"/>
    <n v="2426"/>
    <n v="2426"/>
    <s v="Kgs"/>
    <n v="2426"/>
    <n v="0"/>
    <n v="2426"/>
    <s v="GJ12X1249"/>
    <s v="Plastene India ltd - Unit 1-Purchase"/>
    <s v="Plastene India ltd - Unit 1-Purchase"/>
    <s v="PIL1/D/1027"/>
    <d v="2026-07-12T00:00:00"/>
    <s v="RAW MATERIAL"/>
    <s v="INDIGENOUS"/>
    <s v="RM 312"/>
    <n v="154.49"/>
    <n v="154.48999953300699"/>
    <s v="PIL1/D/1027"/>
    <d v="2026-07-12T00:00:00"/>
    <s v="."/>
    <m/>
    <m/>
    <s v="."/>
    <s v="."/>
    <n v="0"/>
    <n v="0"/>
    <n v="0"/>
    <n v="0"/>
    <n v="0"/>
    <s v="VAT"/>
    <n v="0"/>
    <n v="0"/>
    <n v="0"/>
    <n v="0"/>
    <n v="0"/>
    <m/>
    <n v="0"/>
    <n v="0"/>
    <n v="661637.56000000006"/>
    <s v="SF"/>
    <s v="PP/PE Fabric"/>
    <x v="2"/>
    <s v="RM"/>
    <s v="erp"/>
    <n v="0"/>
    <n v="374792.74"/>
    <n v="315"/>
    <d v="2026-07-12T00:00:00"/>
    <s v="24AAACO3087C1ZT"/>
    <s v="storeppl"/>
    <s v="storeppl"/>
    <n v="9"/>
    <n v="33731.35"/>
    <n v="9"/>
    <n v="33731.35"/>
    <n v="0"/>
    <n v="0"/>
    <n v="0"/>
    <n v="692143969230"/>
    <d v="2026-07-12T00:00:00"/>
    <n v="2426"/>
  </r>
  <r>
    <s v="Plastene Polyfilms Limited"/>
    <d v="2026-07-13T00:00:00"/>
    <s v="PPL/26-27/SII00857"/>
    <s v="SMF00052"/>
    <s v="PP Fibrillated Tape Twisted 3200 Blue"/>
    <s v="PPL/RAW/26-27/311"/>
    <n v="1100"/>
    <n v="1100"/>
    <s v="Kgs"/>
    <n v="1100"/>
    <n v="0"/>
    <n v="1100"/>
    <s v="GJ12BZ4679"/>
    <s v="K.P. Woven Pvt Ltd-Purchase"/>
    <s v="K.P. Woven Pvt Ltd-Purchase"/>
    <s v="KPV/D/448"/>
    <d v="2026-07-12T00:00:00"/>
    <s v="RAW MATERIAL"/>
    <s v="INDIGENOUS"/>
    <s v="RM 313"/>
    <n v="154.15"/>
    <n v="154.15"/>
    <s v="KPV/D/448"/>
    <d v="2026-07-12T00:00:00"/>
    <s v="."/>
    <s v="."/>
    <m/>
    <s v="G NAAM LOGISTICS"/>
    <n v="1924"/>
    <n v="0"/>
    <n v="0"/>
    <n v="0"/>
    <n v="0"/>
    <n v="0"/>
    <s v="VAT"/>
    <n v="0"/>
    <n v="0"/>
    <n v="0"/>
    <n v="0"/>
    <n v="0"/>
    <m/>
    <n v="0"/>
    <n v="0"/>
    <n v="470720.49"/>
    <s v="SF"/>
    <s v="Yarn All"/>
    <x v="5"/>
    <s v="RM"/>
    <s v="erp"/>
    <n v="0"/>
    <n v="169565"/>
    <n v="318"/>
    <d v="2026-07-13T00:00:00"/>
    <s v="24AAECK6307M1ZF"/>
    <s v="storeppl"/>
    <s v="storeppl"/>
    <n v="2.5"/>
    <n v="4239.12"/>
    <n v="2.5"/>
    <n v="4239.12"/>
    <n v="0"/>
    <n v="0"/>
    <n v="470720.49"/>
    <n v="672143939787"/>
    <d v="2026-07-12T00:00:00"/>
    <n v="1100"/>
  </r>
  <r>
    <s v="Plastene Polyfilms Limited"/>
    <d v="2026-07-13T00:00:00"/>
    <s v="PPL/26-27/SII00857"/>
    <s v="SMF00054"/>
    <s v="PP Fibrillated Tape Twisted 3200 MW"/>
    <s v="PPL/RAW/26-27/311"/>
    <n v="1375"/>
    <n v="1375"/>
    <s v="Kgs"/>
    <n v="1375"/>
    <n v="0"/>
    <n v="1375"/>
    <s v="GJ12BZ4679"/>
    <s v="K.P. Woven Pvt Ltd-Purchase"/>
    <s v="K.P. Woven Pvt Ltd-Purchase"/>
    <s v="KPV/D/448"/>
    <d v="2026-07-12T00:00:00"/>
    <s v="RAW MATERIAL"/>
    <s v="INDIGENOUS"/>
    <s v="RM 313"/>
    <n v="151.15"/>
    <n v="151.15"/>
    <s v="KPV/D/448"/>
    <d v="2026-07-12T00:00:00"/>
    <s v="."/>
    <s v="."/>
    <m/>
    <s v="G NAAM LOGISTICS"/>
    <n v="1924"/>
    <n v="0"/>
    <n v="0"/>
    <n v="0"/>
    <n v="0"/>
    <n v="0"/>
    <s v="VAT"/>
    <n v="0"/>
    <n v="0"/>
    <n v="0"/>
    <n v="0"/>
    <n v="0"/>
    <m/>
    <n v="0"/>
    <n v="0"/>
    <n v="470720.49"/>
    <s v="SF"/>
    <s v="Yarn All"/>
    <x v="5"/>
    <s v="RM"/>
    <s v="erp"/>
    <n v="0"/>
    <n v="207831.25"/>
    <n v="318"/>
    <d v="2026-07-13T00:00:00"/>
    <s v="24AAECK6307M1ZF"/>
    <s v="storeppl"/>
    <s v="storeppl"/>
    <n v="2.5"/>
    <n v="5195.78"/>
    <n v="2.5"/>
    <n v="5195.78"/>
    <n v="0"/>
    <n v="0"/>
    <n v="0"/>
    <n v="672143939787"/>
    <d v="2026-07-12T00:00:00"/>
    <n v="1375"/>
  </r>
  <r>
    <s v="Plastene Polyfilms Limited"/>
    <d v="2026-07-13T00:00:00"/>
    <s v="PPL/26-27/SII00857"/>
    <s v="SMF00051"/>
    <s v="PP Fibrillated Tape Twisted 3200 Black"/>
    <s v="PPL/RAW/26-27/311"/>
    <n v="460"/>
    <n v="460"/>
    <s v="Kgs"/>
    <n v="460"/>
    <n v="0"/>
    <n v="460"/>
    <s v="GJ12BZ4679"/>
    <s v="K.P. Woven Pvt Ltd-Purchase"/>
    <s v="K.P. Woven Pvt Ltd-Purchase"/>
    <s v="KPV/D/448"/>
    <d v="2026-07-12T00:00:00"/>
    <s v="RAW MATERIAL"/>
    <s v="INDIGENOUS"/>
    <s v="RM 313"/>
    <n v="154.15"/>
    <n v="154.15"/>
    <s v="KPV/D/448"/>
    <d v="2026-07-12T00:00:00"/>
    <s v="."/>
    <s v="."/>
    <m/>
    <s v="G NAAM LOGISTICS"/>
    <n v="1924"/>
    <n v="0"/>
    <n v="0"/>
    <n v="0"/>
    <n v="0"/>
    <n v="0"/>
    <s v="VAT"/>
    <n v="0"/>
    <n v="0"/>
    <n v="0"/>
    <n v="0"/>
    <n v="0"/>
    <m/>
    <n v="0"/>
    <n v="0"/>
    <n v="470720.49"/>
    <s v="SF"/>
    <s v="Yarn All"/>
    <x v="5"/>
    <s v="RM"/>
    <s v="erp"/>
    <n v="0"/>
    <n v="70909"/>
    <n v="318"/>
    <d v="2026-07-13T00:00:00"/>
    <s v="24AAECK6307M1ZF"/>
    <s v="storeppl"/>
    <s v="storeppl"/>
    <n v="2.5"/>
    <n v="1772.72"/>
    <n v="2.5"/>
    <n v="1772.72"/>
    <n v="0"/>
    <n v="0"/>
    <n v="0"/>
    <n v="672143939787"/>
    <d v="2026-07-12T00:00:00"/>
    <n v="460"/>
  </r>
  <r>
    <s v="Plastene Polyfilms Limited"/>
    <d v="2026-07-13T00:00:00"/>
    <s v="PPL/26-27/SII00858"/>
    <s v="WIP00004"/>
    <s v="FIBC Bags With UV Without Liner"/>
    <s v="PPL/RAW/26-27/312"/>
    <n v="2441.1"/>
    <n v="2441.1"/>
    <s v="Kgs"/>
    <n v="2441.1"/>
    <n v="0"/>
    <n v="2441.1"/>
    <s v="GJ39T5096"/>
    <s v="K.P. Woven Pvt Ltd-Purchase"/>
    <s v="K.P. Woven Pvt Ltd-Purchase"/>
    <s v="KPV/D/450"/>
    <d v="2026-07-12T00:00:00"/>
    <s v="RAW MATERIAL"/>
    <s v="INDIGENOUS"/>
    <s v="RM 314"/>
    <n v="213.05"/>
    <n v="213.050001253076"/>
    <s v="KPV/D/450"/>
    <d v="2026-07-12T00:00:00"/>
    <s v="."/>
    <s v="."/>
    <m/>
    <s v="B.K. ROADWAYS"/>
    <n v="2285"/>
    <n v="0"/>
    <n v="0"/>
    <n v="0"/>
    <n v="0"/>
    <n v="0"/>
    <s v="VAT"/>
    <n v="0"/>
    <n v="0"/>
    <n v="0"/>
    <n v="0"/>
    <n v="0"/>
    <m/>
    <n v="0"/>
    <n v="0"/>
    <n v="850107.97"/>
    <s v="FG"/>
    <s v="FIBC Bags"/>
    <x v="8"/>
    <s v="RM"/>
    <s v="erp"/>
    <n v="0"/>
    <n v="520076.36"/>
    <n v="319"/>
    <d v="2026-07-13T00:00:00"/>
    <s v="24AAECK6307M1ZF"/>
    <s v="storeppl"/>
    <s v="storeppl"/>
    <n v="9"/>
    <n v="46806.87"/>
    <n v="9"/>
    <n v="46806.87"/>
    <n v="0"/>
    <n v="0"/>
    <n v="850107.97"/>
    <n v="622143966595"/>
    <d v="2026-07-12T00:00:00"/>
    <n v="2441.1"/>
  </r>
  <r>
    <s v="Plastene Polyfilms Limited"/>
    <d v="2026-07-13T00:00:00"/>
    <s v="PPL/26-27/SII00858"/>
    <s v="WIP00004"/>
    <s v="FIBC Bags With UV Without Liner"/>
    <s v="PPL/RAW/26-27/312"/>
    <n v="801"/>
    <n v="801"/>
    <s v="Kgs"/>
    <n v="801"/>
    <n v="0"/>
    <n v="801"/>
    <s v="GJ39T5096"/>
    <s v="K.P. Woven Pvt Ltd-Purchase"/>
    <s v="K.P. Woven Pvt Ltd-Purchase"/>
    <s v="KPV/D/450"/>
    <d v="2026-07-12T00:00:00"/>
    <s v="RAW MATERIAL"/>
    <s v="INDIGENOUS"/>
    <s v="RM 314"/>
    <n v="250.13"/>
    <n v="250.130001471166"/>
    <s v="KPV/D/450"/>
    <d v="2026-07-12T00:00:00"/>
    <s v="."/>
    <s v="."/>
    <m/>
    <s v="B.K. ROADWAYS"/>
    <n v="2285"/>
    <n v="0"/>
    <n v="0"/>
    <n v="0"/>
    <n v="0"/>
    <n v="0"/>
    <s v="VAT"/>
    <n v="0"/>
    <n v="0"/>
    <n v="0"/>
    <n v="0"/>
    <n v="0"/>
    <m/>
    <n v="0"/>
    <n v="0"/>
    <n v="850107.97"/>
    <s v="FG"/>
    <s v="FIBC Bags"/>
    <x v="8"/>
    <s v="RM"/>
    <s v="erp"/>
    <n v="0"/>
    <n v="200354.13"/>
    <n v="319"/>
    <d v="2026-07-13T00:00:00"/>
    <s v="24AAECK6307M1ZF"/>
    <s v="storeppl"/>
    <s v="storeppl"/>
    <n v="9"/>
    <n v="18031.87"/>
    <n v="9"/>
    <n v="18031.87"/>
    <n v="0"/>
    <n v="0"/>
    <n v="0"/>
    <n v="622143966595"/>
    <d v="2026-07-12T00:00:00"/>
    <n v="801"/>
  </r>
  <r>
    <s v="Plastene Polyfilms Limited"/>
    <d v="2026-07-13T00:00:00"/>
    <s v="PPL/26-27/SII00859"/>
    <s v="WIP00013"/>
    <s v="LDPE/LLDPE Bags/Liner"/>
    <s v="PPL/RAW/26-27/313"/>
    <n v="52"/>
    <n v="52"/>
    <s v="Kgs"/>
    <n v="52"/>
    <n v="0"/>
    <n v="52"/>
    <s v="GJ39T1656"/>
    <s v="Plastene India ltd - Unit 1-Purchase"/>
    <s v="Plastene India ltd - Unit 1-Purchase"/>
    <s v="PIL1/D/1030"/>
    <d v="2026-07-13T00:00:00"/>
    <s v="RAW MATERIAL"/>
    <s v="INDIGENOUS"/>
    <s v="RM 315"/>
    <n v="182.78"/>
    <n v="182.78"/>
    <s v="PIL1/D/1030"/>
    <d v="2026-07-1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215.38"/>
    <s v="SF"/>
    <s v="Liners"/>
    <x v="1"/>
    <s v="RM"/>
    <s v="erp"/>
    <n v="0"/>
    <n v="9504.56"/>
    <n v="321"/>
    <d v="2026-07-13T00:00:00"/>
    <s v="24AAACO3087C1ZT"/>
    <s v="storeppl"/>
    <s v="storeppl"/>
    <n v="9"/>
    <n v="855.41"/>
    <n v="9"/>
    <n v="855.41"/>
    <n v="0"/>
    <n v="0"/>
    <n v="11215.38"/>
    <n v="612144089661"/>
    <d v="2026-07-13T00:00:00"/>
    <n v="52"/>
  </r>
  <r>
    <s v="Plastene Polyfilms Limited"/>
    <d v="2026-07-13T00:00:00"/>
    <s v="PPL/26-27/SII00861"/>
    <s v="WIP00023"/>
    <s v="PP UL Fabric With UV"/>
    <s v="PPL/RAW/26-27/314"/>
    <n v="1640"/>
    <n v="1640"/>
    <s v="Kgs"/>
    <n v="1640"/>
    <n v="0"/>
    <n v="1640"/>
    <s v="GJ08AW4550"/>
    <s v="Plastene India ltd - Unit 2-Purchase"/>
    <s v="Plastene India ltd - Unit 2-Purchase"/>
    <s v="PIL2/D/367"/>
    <d v="2026-07-12T00:00:00"/>
    <s v="RAW MATERIAL"/>
    <s v="INDIGENOUS"/>
    <s v="RM 316"/>
    <n v="122"/>
    <n v="122"/>
    <s v="PIL2/D/367"/>
    <d v="2026-07-12T00:00:00"/>
    <s v="."/>
    <s v="."/>
    <m/>
    <s v="SHREENA ROADWAYS"/>
    <n v="2345"/>
    <n v="0"/>
    <n v="0"/>
    <n v="0"/>
    <n v="0"/>
    <n v="0"/>
    <s v="VAT"/>
    <n v="0"/>
    <n v="0"/>
    <n v="0"/>
    <n v="0"/>
    <n v="0"/>
    <m/>
    <n v="0"/>
    <n v="0"/>
    <n v="236094.4"/>
    <s v="SF"/>
    <s v="PP/PE Fabric"/>
    <x v="0"/>
    <s v="RM"/>
    <s v="erp"/>
    <n v="0"/>
    <n v="200080"/>
    <n v="320"/>
    <d v="2026-07-13T00:00:00"/>
    <s v="24AAACO3087C1ZT"/>
    <s v="storeppl"/>
    <s v="storeppl"/>
    <n v="9"/>
    <n v="18007.2"/>
    <n v="9"/>
    <n v="18007.2"/>
    <n v="0"/>
    <n v="0"/>
    <n v="236094.4"/>
    <n v="642143941192"/>
    <d v="2026-07-12T00:00:00"/>
    <n v="1640"/>
  </r>
  <r>
    <s v="Plastene Polyfilms Limited"/>
    <d v="2026-07-13T00:00:00"/>
    <s v="PPL/26-27/SII00862"/>
    <s v="WIP00023"/>
    <s v="PP UL Fabric With UV"/>
    <s v="PPL/RAW/26-27/316"/>
    <n v="2100"/>
    <n v="2100"/>
    <s v="Kgs"/>
    <n v="2100"/>
    <n v="0"/>
    <n v="2100"/>
    <s v="GJ01LT3770"/>
    <s v="HCP Plastene Bulkpack Limited - Purchase"/>
    <s v="HCP Plastene Bulkpack Limited - Purchase"/>
    <s v="HPBL/D/373"/>
    <d v="2026-07-12T00:00:00"/>
    <s v="RAW MATERIAL"/>
    <s v="INDIGENOUS"/>
    <s v="RM 317"/>
    <n v="156.49"/>
    <n v="156.49"/>
    <s v="HPBL/D/373"/>
    <d v="2026-07-12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87782.22"/>
    <s v="SF"/>
    <s v="PP/PE Fabric"/>
    <x v="0"/>
    <s v="RM"/>
    <s v="erp"/>
    <n v="0"/>
    <n v="328629"/>
    <n v="322"/>
    <d v="2026-07-13T00:00:00"/>
    <s v="24AABCG1282C2Z6"/>
    <s v="storeppl"/>
    <s v="storeppl"/>
    <n v="9"/>
    <n v="29576.61"/>
    <n v="9"/>
    <n v="29576.61"/>
    <n v="0"/>
    <n v="0"/>
    <n v="387782.22"/>
    <n v="632143939181"/>
    <d v="2026-07-12T00:00:00"/>
    <n v="2100"/>
  </r>
  <r>
    <s v="Plastene Polyfilms Limited"/>
    <d v="2026-07-13T00:00:00"/>
    <s v="PPL/26-27/SII00865"/>
    <s v="WIP00023"/>
    <s v="PP UL Fabric With UV"/>
    <s v="PPL/RAW/26-27/317"/>
    <n v="320"/>
    <n v="320"/>
    <s v="Kgs"/>
    <n v="320"/>
    <n v="0"/>
    <n v="320"/>
    <s v="GJ12X1249"/>
    <s v="Plastene India ltd - Unit 1-Purchase"/>
    <s v="Plastene India ltd - Unit 1-Purchase"/>
    <s v="PIL1/D/1038"/>
    <d v="2026-07-13T00:00:00"/>
    <s v="RAW MATERIAL"/>
    <s v="INDIGENOUS"/>
    <s v="RM 318"/>
    <n v="144.49"/>
    <n v="144.489999579791"/>
    <s v="PIL1/D/1038"/>
    <d v="2026-07-1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31557.1"/>
    <s v="SF"/>
    <s v="PP/PE Fabric"/>
    <x v="0"/>
    <s v="RM"/>
    <s v="erp"/>
    <n v="0"/>
    <n v="46236.800000000003"/>
    <n v="324"/>
    <d v="2026-07-13T00:00:00"/>
    <s v="24AAACO3087C1ZT"/>
    <s v="storeppl"/>
    <s v="storeppl"/>
    <n v="9"/>
    <n v="4161.3100000000004"/>
    <n v="9"/>
    <n v="4161.3100000000004"/>
    <n v="0"/>
    <n v="0"/>
    <n v="1031557.1"/>
    <n v="692144479051"/>
    <d v="2026-07-13T00:00:00"/>
    <n v="320"/>
  </r>
  <r>
    <s v="Plastene Polyfilms Limited"/>
    <d v="2026-07-13T00:00:00"/>
    <s v="PPL/26-27/SII00865"/>
    <s v="WIP00023"/>
    <s v="PP UL Fabric With UV"/>
    <s v="PPL/RAW/26-27/317"/>
    <n v="277"/>
    <n v="277"/>
    <s v="Kgs"/>
    <n v="277"/>
    <n v="0"/>
    <n v="277"/>
    <s v="GJ12X1249"/>
    <s v="Plastene India ltd - Unit 1-Purchase"/>
    <s v="Plastene India ltd - Unit 1-Purchase"/>
    <s v="PIL1/D/1038"/>
    <d v="2026-07-13T00:00:00"/>
    <s v="RAW MATERIAL"/>
    <s v="INDIGENOUS"/>
    <s v="RM 318"/>
    <n v="146.49"/>
    <n v="146.48999957397399"/>
    <s v="PIL1/D/1038"/>
    <d v="2026-07-1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31557.1"/>
    <s v="SF"/>
    <s v="PP/PE Fabric"/>
    <x v="0"/>
    <s v="RM"/>
    <s v="erp"/>
    <n v="0"/>
    <n v="40577.730000000003"/>
    <n v="324"/>
    <d v="2026-07-13T00:00:00"/>
    <s v="24AAACO3087C1ZT"/>
    <s v="storeppl"/>
    <s v="storeppl"/>
    <n v="9"/>
    <n v="3652"/>
    <n v="9"/>
    <n v="3652"/>
    <n v="0"/>
    <n v="0"/>
    <n v="0"/>
    <n v="692144479051"/>
    <d v="2026-07-13T00:00:00"/>
    <n v="277"/>
  </r>
  <r>
    <s v="Plastene Polyfilms Limited"/>
    <d v="2026-07-13T00:00:00"/>
    <s v="PPL/26-27/SII00865"/>
    <s v="WIP00023"/>
    <s v="PP UL Fabric With UV"/>
    <s v="PPL/RAW/26-27/317"/>
    <n v="736"/>
    <n v="736"/>
    <s v="Kgs"/>
    <n v="736"/>
    <n v="0"/>
    <n v="736"/>
    <s v="GJ12X1249"/>
    <s v="Plastene India ltd - Unit 1-Purchase"/>
    <s v="Plastene India ltd - Unit 1-Purchase"/>
    <s v="PIL1/D/1038"/>
    <d v="2026-07-13T00:00:00"/>
    <s v="RAW MATERIAL"/>
    <s v="INDIGENOUS"/>
    <s v="RM 318"/>
    <n v="152.49"/>
    <n v="152.48999955652499"/>
    <s v="PIL1/D/1038"/>
    <d v="2026-07-1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31557.1"/>
    <s v="SF"/>
    <s v="PP/PE Fabric"/>
    <x v="0"/>
    <s v="RM"/>
    <s v="erp"/>
    <n v="0"/>
    <n v="112232.64"/>
    <n v="324"/>
    <d v="2026-07-13T00:00:00"/>
    <s v="24AAACO3087C1ZT"/>
    <s v="storeppl"/>
    <s v="storeppl"/>
    <n v="9"/>
    <n v="10100.94"/>
    <n v="9"/>
    <n v="10100.94"/>
    <n v="0"/>
    <n v="0"/>
    <n v="0"/>
    <n v="692144479051"/>
    <d v="2026-07-13T00:00:00"/>
    <n v="736"/>
  </r>
  <r>
    <s v="Plastene Polyfilms Limited"/>
    <d v="2026-07-13T00:00:00"/>
    <s v="PPL/26-27/SII00865"/>
    <s v="WIP00025"/>
    <s v="PP Lam Fabric With UV"/>
    <s v="PPL/RAW/26-27/317"/>
    <n v="3850"/>
    <n v="3850"/>
    <s v="Kgs"/>
    <n v="3850"/>
    <n v="0"/>
    <n v="3850"/>
    <s v="GJ12X1249"/>
    <s v="Plastene India ltd - Unit 1-Purchase"/>
    <s v="Plastene India ltd - Unit 1-Purchase"/>
    <s v="PIL1/D/1038"/>
    <d v="2026-07-13T00:00:00"/>
    <s v="RAW MATERIAL"/>
    <s v="INDIGENOUS"/>
    <s v="RM 318"/>
    <n v="151.49"/>
    <n v="151.48999955943299"/>
    <s v="PIL1/D/1038"/>
    <d v="2026-07-1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31557.1"/>
    <s v="SF"/>
    <s v="PP/PE Fabric"/>
    <x v="2"/>
    <s v="RM"/>
    <s v="erp"/>
    <n v="0"/>
    <n v="583236.5"/>
    <n v="324"/>
    <d v="2026-07-13T00:00:00"/>
    <s v="24AAACO3087C1ZT"/>
    <s v="storeppl"/>
    <s v="storeppl"/>
    <n v="9"/>
    <n v="52491.28"/>
    <n v="9"/>
    <n v="52491.28"/>
    <n v="0"/>
    <n v="0"/>
    <n v="0"/>
    <n v="692144479051"/>
    <d v="2026-07-13T00:00:00"/>
    <n v="3850"/>
  </r>
  <r>
    <s v="Plastene Polyfilms Limited"/>
    <d v="2026-07-13T00:00:00"/>
    <s v="PPL/26-27/SII00865"/>
    <s v="WIP00032"/>
    <s v="Webbing"/>
    <s v="PPL/RAW/26-27/317"/>
    <n v="476.8"/>
    <n v="476.8"/>
    <s v="Kgs"/>
    <n v="476.8"/>
    <n v="0"/>
    <n v="476.8"/>
    <s v="GJ12X1249"/>
    <s v="Plastene India ltd - Unit 1-Purchase"/>
    <s v="Plastene India ltd - Unit 1-Purchase"/>
    <s v="PIL1/D/1038"/>
    <d v="2026-07-13T00:00:00"/>
    <s v="RAW MATERIAL"/>
    <s v="INDIGENOUS"/>
    <s v="RM 318"/>
    <n v="149.49"/>
    <n v="149.48999956524901"/>
    <s v="PIL1/D/1038"/>
    <d v="2026-07-1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31557.1"/>
    <s v="SF"/>
    <s v="Webbing"/>
    <x v="3"/>
    <s v="RM"/>
    <s v="erp"/>
    <n v="0"/>
    <n v="71276.83"/>
    <n v="324"/>
    <d v="2026-07-13T00:00:00"/>
    <s v="24AAACO3087C1ZT"/>
    <s v="storeppl"/>
    <s v="storeppl"/>
    <n v="9"/>
    <n v="6414.91"/>
    <n v="9"/>
    <n v="6414.91"/>
    <n v="0"/>
    <n v="0"/>
    <n v="0"/>
    <n v="692144479051"/>
    <d v="2026-07-13T00:00:00"/>
    <n v="476.8"/>
  </r>
  <r>
    <s v="Plastene Polyfilms Limited"/>
    <d v="2026-07-13T00:00:00"/>
    <s v="PPL/26-27/SII00865"/>
    <s v="WIP00032"/>
    <s v="Webbing"/>
    <s v="PPL/RAW/26-27/317"/>
    <n v="140.9"/>
    <n v="140.9"/>
    <s v="Kgs"/>
    <n v="140.9"/>
    <n v="0"/>
    <n v="140.9"/>
    <s v="GJ12X1249"/>
    <s v="Plastene India ltd - Unit 1-Purchase"/>
    <s v="Plastene India ltd - Unit 1-Purchase"/>
    <s v="PIL1/D/1038"/>
    <d v="2026-07-13T00:00:00"/>
    <s v="RAW MATERIAL"/>
    <s v="INDIGENOUS"/>
    <s v="RM 318"/>
    <n v="146.49"/>
    <n v="146.48999957397399"/>
    <s v="PIL1/D/1038"/>
    <d v="2026-07-1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31557.1"/>
    <s v="SF"/>
    <s v="Webbing"/>
    <x v="3"/>
    <s v="RM"/>
    <s v="erp"/>
    <n v="0"/>
    <n v="20640.439999999999"/>
    <n v="324"/>
    <d v="2026-07-13T00:00:00"/>
    <s v="24AAACO3087C1ZT"/>
    <s v="storeppl"/>
    <s v="storeppl"/>
    <n v="9"/>
    <n v="1857.64"/>
    <n v="9"/>
    <n v="1857.64"/>
    <n v="0"/>
    <n v="0"/>
    <n v="0"/>
    <n v="692144479051"/>
    <d v="2026-07-13T00:00:00"/>
    <n v="140.9"/>
  </r>
  <r>
    <s v="Plastene Polyfilms Limited"/>
    <d v="2026-07-13T00:00:00"/>
    <s v="PPL/26-27/SII00866"/>
    <s v="WIP00004"/>
    <s v="FIBC Bags With UV Without Liner"/>
    <s v="PPL/RAW/26-27/315"/>
    <n v="9143.9"/>
    <n v="9143.9"/>
    <s v="Kgs"/>
    <n v="9143.9"/>
    <n v="0"/>
    <n v="9143.9"/>
    <s v="GJ39TA5218"/>
    <s v="Hcp Plastene Bulkpack Ltd Vadodara Purchase"/>
    <s v="Hcp Plastene Bulkpack Ltd Vadodara Purchase"/>
    <s v="HPBLV/D/34"/>
    <d v="2026-07-11T00:00:00"/>
    <s v="RAW MATERIAL"/>
    <s v="INDIGENOUS"/>
    <s v="RM 319"/>
    <n v="181.55"/>
    <n v="181.549999288245"/>
    <s v="HPBLV/D/34"/>
    <d v="2026-07-11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826105.68"/>
    <s v="FG"/>
    <s v="FIBC Bags"/>
    <x v="8"/>
    <s v="RM"/>
    <s v="erp"/>
    <n v="0"/>
    <n v="1660075.04"/>
    <n v="323"/>
    <d v="2026-07-13T00:00:00"/>
    <s v="24AABCG1282C2Z6"/>
    <s v="storeppl"/>
    <s v="storeppl"/>
    <n v="9"/>
    <n v="149406.75"/>
    <n v="9"/>
    <n v="149406.75"/>
    <n v="0"/>
    <n v="0"/>
    <n v="3826105.68"/>
    <n v="682143636290"/>
    <d v="2026-07-11T00:00:00"/>
    <n v="9143.9"/>
  </r>
  <r>
    <s v="Plastene Polyfilms Limited"/>
    <d v="2026-07-13T00:00:00"/>
    <s v="PPL/26-27/SII00866"/>
    <s v="WIP00004"/>
    <s v="FIBC Bags With UV Without Liner"/>
    <s v="PPL/RAW/26-27/315"/>
    <n v="845.2"/>
    <n v="845.2"/>
    <s v="Kgs"/>
    <n v="845.2"/>
    <n v="0"/>
    <n v="845.2"/>
    <s v="GJ39TA5218"/>
    <s v="Hcp Plastene Bulkpack Ltd Vadodara Purchase"/>
    <s v="Hcp Plastene Bulkpack Ltd Vadodara Purchase"/>
    <s v="HPBLV/D/34"/>
    <d v="2026-07-11T00:00:00"/>
    <s v="RAW MATERIAL"/>
    <s v="INDIGENOUS"/>
    <s v="RM 319"/>
    <n v="178.31"/>
    <n v="178.309999300947"/>
    <s v="HPBLV/D/34"/>
    <d v="2026-07-11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826105.68"/>
    <s v="FG"/>
    <s v="FIBC Bags"/>
    <x v="8"/>
    <s v="RM"/>
    <s v="erp"/>
    <n v="0"/>
    <n v="150707.60999999999"/>
    <n v="323"/>
    <d v="2026-07-13T00:00:00"/>
    <s v="24AABCG1282C2Z6"/>
    <s v="storeppl"/>
    <s v="storeppl"/>
    <n v="9"/>
    <n v="13563.69"/>
    <n v="9"/>
    <n v="13563.69"/>
    <n v="0"/>
    <n v="0"/>
    <n v="0"/>
    <n v="682143636290"/>
    <d v="2026-07-11T00:00:00"/>
    <n v="845.2"/>
  </r>
  <r>
    <s v="Plastene Polyfilms Limited"/>
    <d v="2026-07-13T00:00:00"/>
    <s v="PPL/26-27/SII00866"/>
    <s v="WIP00004"/>
    <s v="FIBC Bags With UV Without Liner"/>
    <s v="PPL/RAW/26-27/315"/>
    <n v="5936.6"/>
    <n v="5936.6"/>
    <s v="Kgs"/>
    <n v="5936.6"/>
    <n v="0"/>
    <n v="5936.6"/>
    <s v="GJ39TA5218"/>
    <s v="Hcp Plastene Bulkpack Ltd Vadodara Purchase"/>
    <s v="Hcp Plastene Bulkpack Ltd Vadodara Purchase"/>
    <s v="HPBLV/D/34"/>
    <d v="2026-07-11T00:00:00"/>
    <s v="RAW MATERIAL"/>
    <s v="INDIGENOUS"/>
    <s v="RM 319"/>
    <n v="177.66"/>
    <n v="177.659999303495"/>
    <s v="HPBLV/D/34"/>
    <d v="2026-07-11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826105.68"/>
    <s v="FG"/>
    <s v="FIBC Bags"/>
    <x v="8"/>
    <s v="RM"/>
    <s v="erp"/>
    <n v="0"/>
    <n v="1054696.3500000001"/>
    <n v="323"/>
    <d v="2026-07-13T00:00:00"/>
    <s v="24AABCG1282C2Z6"/>
    <s v="storeppl"/>
    <s v="storeppl"/>
    <n v="9"/>
    <n v="94922.67"/>
    <n v="9"/>
    <n v="94922.67"/>
    <n v="0"/>
    <n v="0"/>
    <n v="0"/>
    <n v="682143636290"/>
    <d v="2026-07-11T00:00:00"/>
    <n v="5936.6"/>
  </r>
  <r>
    <s v="Plastene Polyfilms Limited"/>
    <d v="2026-07-13T00:00:00"/>
    <s v="PPL/26-27/SII00866"/>
    <s v="WIP00004"/>
    <s v="FIBC Bags With UV Without Liner"/>
    <s v="PPL/RAW/26-27/315"/>
    <n v="832.2"/>
    <n v="832.2"/>
    <s v="Kgs"/>
    <n v="832.2"/>
    <n v="0"/>
    <n v="832.2"/>
    <s v="GJ39TA5218"/>
    <s v="Hcp Plastene Bulkpack Ltd Vadodara Purchase"/>
    <s v="Hcp Plastene Bulkpack Ltd Vadodara Purchase"/>
    <s v="HPBLV/D/34"/>
    <d v="2026-07-11T00:00:00"/>
    <s v="RAW MATERIAL"/>
    <s v="INDIGENOUS"/>
    <s v="RM 319"/>
    <n v="181.33"/>
    <n v="181.32999928910701"/>
    <s v="HPBLV/D/34"/>
    <d v="2026-07-11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826105.68"/>
    <s v="FG"/>
    <s v="FIBC Bags"/>
    <x v="8"/>
    <s v="RM"/>
    <s v="erp"/>
    <n v="0"/>
    <n v="150902.82999999999"/>
    <n v="323"/>
    <d v="2026-07-13T00:00:00"/>
    <s v="24AABCG1282C2Z6"/>
    <s v="storeppl"/>
    <s v="storeppl"/>
    <n v="9"/>
    <n v="13581.25"/>
    <n v="9"/>
    <n v="13581.25"/>
    <n v="0"/>
    <n v="0"/>
    <n v="0"/>
    <n v="682143636290"/>
    <d v="2026-07-11T00:00:00"/>
    <n v="832.2"/>
  </r>
  <r>
    <s v="Plastene Polyfilms Limited"/>
    <d v="2026-07-13T00:00:00"/>
    <s v="PPL/26-27/SII00866"/>
    <s v="WIP00004"/>
    <s v="FIBC Bags With UV Without Liner"/>
    <s v="PPL/RAW/26-27/315"/>
    <n v="1266.7"/>
    <n v="1266.7"/>
    <s v="Kgs"/>
    <n v="1266.7"/>
    <n v="0"/>
    <n v="1266.7"/>
    <s v="GJ39TA5218"/>
    <s v="Hcp Plastene Bulkpack Ltd Vadodara Purchase"/>
    <s v="Hcp Plastene Bulkpack Ltd Vadodara Purchase"/>
    <s v="HPBLV/D/34"/>
    <d v="2026-07-11T00:00:00"/>
    <s v="RAW MATERIAL"/>
    <s v="INDIGENOUS"/>
    <s v="RM 319"/>
    <n v="178.48"/>
    <n v="178.47999930028101"/>
    <s v="HPBLV/D/34"/>
    <d v="2026-07-11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826105.68"/>
    <s v="FG"/>
    <s v="FIBC Bags"/>
    <x v="8"/>
    <s v="RM"/>
    <s v="erp"/>
    <n v="0"/>
    <n v="226080.62"/>
    <n v="323"/>
    <d v="2026-07-13T00:00:00"/>
    <s v="24AABCG1282C2Z6"/>
    <s v="storeppl"/>
    <s v="storeppl"/>
    <n v="9"/>
    <n v="20347.259999999998"/>
    <n v="9"/>
    <n v="20347.259999999998"/>
    <n v="0"/>
    <n v="0"/>
    <n v="0"/>
    <n v="682143636290"/>
    <d v="2026-07-11T00:00:00"/>
    <n v="1266.7"/>
  </r>
  <r>
    <s v="Plastene Polyfilms Limited"/>
    <d v="2026-07-14T00:00:00"/>
    <s v="PPL/26-27/SII00867"/>
    <s v="WIP00004"/>
    <s v="FIBC Bags With UV Without Liner"/>
    <s v="PPL/RAW/26-27/318"/>
    <n v="6672"/>
    <n v="6672"/>
    <s v="Kgs"/>
    <n v="6672"/>
    <n v="0"/>
    <n v="6672"/>
    <s v="GJ16Z8614"/>
    <s v="K.P. Woven Pvt Ltd-Purchase"/>
    <s v="K.P. Woven Pvt Ltd-Purchase"/>
    <s v="KPV/D/455"/>
    <d v="2026-07-13T00:00:00"/>
    <s v="RAW MATERIAL"/>
    <s v="INDIGENOUS"/>
    <s v="RM 320"/>
    <n v="300.43"/>
    <n v="300.43"/>
    <s v="KPV/D/455"/>
    <d v="2026-07-13T00:00:00"/>
    <s v="."/>
    <s v="."/>
    <m/>
    <s v="SHREENA ROADWAYS"/>
    <n v="2432"/>
    <n v="0"/>
    <n v="0"/>
    <n v="0"/>
    <n v="0"/>
    <n v="0"/>
    <s v="VAT"/>
    <n v="0"/>
    <n v="0"/>
    <n v="0"/>
    <n v="0"/>
    <n v="0"/>
    <m/>
    <n v="0"/>
    <n v="0"/>
    <n v="2365273.38"/>
    <s v="FG"/>
    <s v="FIBC Bags"/>
    <x v="8"/>
    <s v="RM"/>
    <s v="erp"/>
    <n v="0"/>
    <n v="2004468.96"/>
    <n v="325"/>
    <d v="2026-07-14T00:00:00"/>
    <s v="24AAECK6307M1ZF"/>
    <s v="storeppl"/>
    <s v="storeppl"/>
    <n v="9"/>
    <n v="180402.21"/>
    <n v="9"/>
    <n v="180402.21"/>
    <n v="0"/>
    <n v="0"/>
    <n v="2365273.38"/>
    <n v="632144575319"/>
    <d v="2026-07-13T00:00:00"/>
    <n v="6672"/>
  </r>
  <r>
    <s v="Plastene Polyfilms Limited"/>
    <d v="2026-07-14T00:00:00"/>
    <s v="PPL/26-27/SII00868"/>
    <s v="WIP00023"/>
    <s v="PP UL Fabric With UV"/>
    <s v="PPL/RAW/26-27/319"/>
    <n v="1099"/>
    <n v="1099"/>
    <s v="Kgs"/>
    <n v="1099"/>
    <n v="0"/>
    <n v="1099"/>
    <s v="GJ12BY1595"/>
    <s v="Plastene India ltd - Unit 1-Purchase"/>
    <s v="Plastene India ltd - Unit 1-Purchase"/>
    <s v="PIL1/D/1049"/>
    <d v="2026-07-14T00:00:00"/>
    <s v="RAW MATERIAL"/>
    <s v="INDIGENOUS"/>
    <s v="RM 321"/>
    <n v="144.49"/>
    <n v="144.49"/>
    <s v="PIL1/D/1049"/>
    <d v="2026-07-1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7377.53"/>
    <s v="SF"/>
    <s v="PP/PE Fabric"/>
    <x v="0"/>
    <s v="RM"/>
    <s v="erp"/>
    <n v="0"/>
    <n v="158794.51"/>
    <n v="326"/>
    <d v="2026-07-14T00:00:00"/>
    <s v="24AAACO3087C1ZT"/>
    <s v="storeppl"/>
    <s v="storeppl"/>
    <n v="9"/>
    <n v="14291.51"/>
    <n v="9"/>
    <n v="14291.51"/>
    <n v="0"/>
    <n v="0"/>
    <n v="187377.53"/>
    <n v="692144918161"/>
    <d v="2026-07-14T00:00:00"/>
    <n v="1099"/>
  </r>
  <r>
    <s v="Plastene Polyfilms Limited"/>
    <d v="2026-07-14T00:00:00"/>
    <s v="PPL/26-27/SII00869"/>
    <s v="RAW06398"/>
    <s v="LDPE LOTTE LF512"/>
    <s v="PPL/RAW/26-27/320"/>
    <n v="2000"/>
    <n v="2000"/>
    <s v="Kgs"/>
    <n v="2000"/>
    <n v="0"/>
    <n v="2000"/>
    <s v="GJ12X1249"/>
    <s v="Plastene India ltd - Unit 1-Purchase"/>
    <s v="Plastene India ltd - Unit 1-Purchase"/>
    <s v="PIL1/D/1056"/>
    <d v="2026-07-14T00:00:00"/>
    <s v="RAW MATERIAL"/>
    <s v="INDIGENOUS"/>
    <s v="RM 322"/>
    <n v="145"/>
    <n v="145"/>
    <s v="PIL1/D/1056"/>
    <d v="2026-07-14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42200"/>
    <s v="RM"/>
    <s v="Granules"/>
    <x v="13"/>
    <s v="RM"/>
    <m/>
    <n v="0"/>
    <n v="290000"/>
    <n v="327"/>
    <d v="2026-07-14T00:00:00"/>
    <s v="24AAACO3087C1ZT"/>
    <s v="storeppl"/>
    <s v="storeppl"/>
    <n v="9"/>
    <n v="26100"/>
    <n v="9"/>
    <n v="26100"/>
    <n v="0"/>
    <n v="0"/>
    <n v="342200"/>
    <n v="612145181573"/>
    <d v="2026-07-14T00:00:00"/>
    <n v="2000"/>
  </r>
  <r>
    <s v="Plastene Polyfilms Limited"/>
    <d v="2026-07-15T00:00:00"/>
    <s v="PPL/26-27/SII00874"/>
    <s v="WIP00004"/>
    <s v="FIBC Bags With UV Without Liner"/>
    <s v="PPL/RAW/26-27/321"/>
    <n v="5437"/>
    <n v="5437"/>
    <s v="Kgs"/>
    <n v="5437"/>
    <n v="0"/>
    <n v="5437"/>
    <s v="GJ02VV9251"/>
    <s v="Plastene India ltd - Unit 2-Purchase"/>
    <s v="Plastene India ltd - Unit 2-Purchase"/>
    <s v="PIL2/D/378"/>
    <d v="2026-07-15T00:00:00"/>
    <s v="RAW MATERIAL"/>
    <s v="INDIGENOUS"/>
    <s v="RM 323"/>
    <n v="232.54"/>
    <n v="232.54"/>
    <s v="PIL2/D/37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491897.58"/>
    <s v="FG"/>
    <s v="FIBC Bags"/>
    <x v="8"/>
    <s v="RM"/>
    <s v="erp"/>
    <n v="0"/>
    <n v="1264319.98"/>
    <n v="332"/>
    <d v="2026-07-15T00:00:00"/>
    <s v="24AAACO3087C1ZT"/>
    <s v="storeppl"/>
    <s v="storeppl"/>
    <n v="9"/>
    <n v="113788.8"/>
    <n v="9"/>
    <n v="113788.8"/>
    <n v="0"/>
    <n v="0"/>
    <n v="1491897.58"/>
    <n v="642145560263"/>
    <d v="2026-07-15T00:00:00"/>
    <n v="5437"/>
  </r>
  <r>
    <s v="Plastene Polyfilms Limited"/>
    <d v="2026-07-15T00:00:00"/>
    <s v="PPL/26-27/SII00875"/>
    <s v="RAW06013"/>
    <s v="Filler Soltex PTUFF23"/>
    <s v="PPL/RAW/26-27/322"/>
    <n v="4000"/>
    <n v="4000"/>
    <s v="Kgs"/>
    <n v="4000"/>
    <n v="0"/>
    <n v="4000"/>
    <s v="GJ08AY2968"/>
    <s v="HCP Plastene Bulkpack Limited - Purchase"/>
    <s v="HCP Plastene Bulkpack Limited - Purchase"/>
    <s v="HPBL/D/382"/>
    <d v="2026-07-14T00:00:00"/>
    <s v="RAW MATERIAL"/>
    <s v="INDIGENOUS"/>
    <s v="RM 324"/>
    <n v="38"/>
    <n v="38"/>
    <s v="HPBL/D/382"/>
    <d v="2026-07-14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20508.43000000005"/>
    <s v="RM"/>
    <s v="Granules"/>
    <x v="14"/>
    <s v="RM"/>
    <s v="anil"/>
    <n v="0"/>
    <n v="152000"/>
    <n v="330"/>
    <d v="2026-07-15T00:00:00"/>
    <s v="24AABCG1282C2Z6"/>
    <s v="storeppl"/>
    <s v="storeppl"/>
    <n v="9"/>
    <n v="13680"/>
    <n v="9"/>
    <n v="13680"/>
    <n v="0"/>
    <n v="0"/>
    <n v="620508.43000000005"/>
    <n v="632145137093"/>
    <d v="2026-07-14T00:00:00"/>
    <n v="4000"/>
  </r>
  <r>
    <s v="Plastene Polyfilms Limited"/>
    <d v="2026-07-15T00:00:00"/>
    <s v="PPL/26-27/SII00875"/>
    <s v="WIP00023"/>
    <s v="PP UL Fabric With UV"/>
    <s v="PPL/RAW/26-27/322"/>
    <n v="2389"/>
    <n v="2389"/>
    <s v="Kgs"/>
    <n v="2389"/>
    <n v="0"/>
    <n v="2389"/>
    <s v="GJ08AY2968"/>
    <s v="HCP Plastene Bulkpack Limited - Purchase"/>
    <s v="HCP Plastene Bulkpack Limited - Purchase"/>
    <s v="HPBL/D/382"/>
    <d v="2026-07-14T00:00:00"/>
    <s v="RAW MATERIAL"/>
    <s v="INDIGENOUS"/>
    <s v="RM 324"/>
    <n v="156.49"/>
    <n v="156.49"/>
    <s v="HPBL/D/382"/>
    <d v="2026-07-14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20508.43000000005"/>
    <s v="SF"/>
    <s v="PP/PE Fabric"/>
    <x v="0"/>
    <s v="RM"/>
    <s v="erp"/>
    <n v="0"/>
    <n v="373854.61"/>
    <n v="330"/>
    <d v="2026-07-15T00:00:00"/>
    <s v="24AABCG1282C2Z6"/>
    <s v="storeppl"/>
    <s v="storeppl"/>
    <n v="9"/>
    <n v="33646.910000000003"/>
    <n v="9"/>
    <n v="33646.910000000003"/>
    <n v="0"/>
    <n v="0"/>
    <n v="0"/>
    <n v="632145137093"/>
    <d v="2026-07-14T00:00:00"/>
    <n v="2389"/>
  </r>
  <r>
    <s v="Plastene Polyfilms Limited"/>
    <d v="2026-07-15T00:00:00"/>
    <s v="PPL/26-27/SII00876"/>
    <s v="WIP00022"/>
    <s v="Filler Cord"/>
    <s v="PPL/RAW/26-27/307"/>
    <n v="5000"/>
    <n v="5028.7"/>
    <s v="Kgs"/>
    <n v="5028.7"/>
    <n v="-28.6999999999998"/>
    <n v="5028.7"/>
    <s v="GJ24X6976"/>
    <s v="Parth Poly Coat Yarn Pvt Ltd"/>
    <s v="Parth Poly Coat Yarn Pvt Ltd"/>
    <s v="PPCYPL/2627/102"/>
    <d v="2026-07-14T00:00:00"/>
    <s v="RAW MATERIAL"/>
    <s v="INDIGENOUS"/>
    <s v="RM 325"/>
    <n v="177"/>
    <n v="177"/>
    <s v="PPCYPL/2627/102"/>
    <d v="2026-07-14T00:00:00"/>
    <m/>
    <n v="0"/>
    <m/>
    <s v="SHREENA  ROADWAYS"/>
    <n v="2041"/>
    <n v="0"/>
    <n v="0"/>
    <n v="0"/>
    <n v="0"/>
    <n v="0"/>
    <s v="VAT"/>
    <n v="0"/>
    <n v="0"/>
    <n v="0"/>
    <n v="0"/>
    <n v="0"/>
    <m/>
    <n v="0"/>
    <n v="0"/>
    <n v="934583.9"/>
    <s v="SF"/>
    <s v="Yarn All"/>
    <x v="5"/>
    <s v="RM"/>
    <s v="erp"/>
    <n v="0"/>
    <n v="890079.9"/>
    <n v="328"/>
    <d v="2026-07-15T00:00:00"/>
    <s v="24AAGCP6363E1ZH"/>
    <s v="storeppl"/>
    <s v="rmp2"/>
    <n v="2.5"/>
    <n v="22252"/>
    <n v="2.5"/>
    <n v="22252"/>
    <n v="0"/>
    <n v="0"/>
    <n v="934583.9"/>
    <n v="672145188345"/>
    <d v="2026-07-14T00:00:00"/>
    <n v="5028.7"/>
  </r>
  <r>
    <s v="Plastene Polyfilms Limited"/>
    <d v="2026-07-15T00:00:00"/>
    <s v="PPL/26-27/SII00877"/>
    <s v="WIP00022"/>
    <s v="Filler Cord"/>
    <s v="PPL/RAW/26-27/323"/>
    <n v="1190"/>
    <n v="1190"/>
    <s v="Kgs"/>
    <n v="1190"/>
    <n v="0"/>
    <n v="1190"/>
    <s v="GJ06AX2024"/>
    <s v="K.P. Woven Pvt Ltd-Purchase"/>
    <s v="K.P. Woven Pvt Ltd-Purchase"/>
    <s v="KPV/D/461"/>
    <d v="2026-07-14T00:00:00"/>
    <s v="RAW MATERIAL"/>
    <s v="INDIGENOUS"/>
    <s v="RM 326"/>
    <n v="166.65"/>
    <n v="166.65"/>
    <s v="KPV/D/461"/>
    <d v="2026-07-14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08229.18"/>
    <s v="SF"/>
    <s v="Yarn All"/>
    <x v="5"/>
    <s v="RM"/>
    <s v="erp"/>
    <n v="0"/>
    <n v="198313.5"/>
    <n v="329"/>
    <d v="2026-07-15T00:00:00"/>
    <s v="24AAECK6307M1ZF"/>
    <s v="storeppl"/>
    <s v="storeppl"/>
    <n v="2.5"/>
    <n v="4957.84"/>
    <n v="2.5"/>
    <n v="4957.84"/>
    <n v="0"/>
    <n v="0"/>
    <n v="208229.18"/>
    <n v="602145160384"/>
    <d v="2026-07-14T00:00:00"/>
    <n v="1190"/>
  </r>
  <r>
    <s v="Plastene Polyfilms Limited"/>
    <d v="2026-07-15T00:00:00"/>
    <s v="PPL/26-27/SII00879"/>
    <s v="WIP00023"/>
    <s v="PP UL Fabric With UV"/>
    <s v="PPL/RAW/26-27/324"/>
    <n v="549"/>
    <n v="549"/>
    <s v="Kgs"/>
    <n v="549"/>
    <n v="0"/>
    <n v="549"/>
    <s v="GJ12X1249"/>
    <s v="Plastene India ltd - Unit 1-Purchase"/>
    <s v="Plastene India ltd - Unit 1-Purchase"/>
    <s v="PIL1/D/1058"/>
    <d v="2026-07-15T00:00:00"/>
    <s v="RAW MATERIAL"/>
    <s v="INDIGENOUS"/>
    <s v="RM 327"/>
    <n v="144.49"/>
    <n v="144.490000258489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PP/PE Fabric"/>
    <x v="0"/>
    <s v="RM"/>
    <s v="erp"/>
    <n v="0"/>
    <n v="79325.009999999995"/>
    <n v="331"/>
    <d v="2026-07-15T00:00:00"/>
    <s v="24AAACO3087C1ZT"/>
    <s v="storeppl"/>
    <s v="storeppl"/>
    <n v="9"/>
    <n v="7139.25"/>
    <n v="9"/>
    <n v="7139.25"/>
    <n v="0"/>
    <n v="0"/>
    <n v="1117957.1200000001"/>
    <n v="652145457830"/>
    <d v="2026-07-15T00:00:00"/>
    <n v="549"/>
  </r>
  <r>
    <s v="Plastene Polyfilms Limited"/>
    <d v="2026-07-15T00:00:00"/>
    <s v="PPL/26-27/SII00879"/>
    <s v="WIP00023"/>
    <s v="PP UL Fabric With UV"/>
    <s v="PPL/RAW/26-27/324"/>
    <n v="1281"/>
    <n v="1281"/>
    <s v="Kgs"/>
    <n v="1281"/>
    <n v="0"/>
    <n v="1281"/>
    <s v="GJ12X1249"/>
    <s v="Plastene India ltd - Unit 1-Purchase"/>
    <s v="Plastene India ltd - Unit 1-Purchase"/>
    <s v="PIL1/D/1058"/>
    <d v="2026-07-15T00:00:00"/>
    <s v="RAW MATERIAL"/>
    <s v="INDIGENOUS"/>
    <s v="RM 327"/>
    <n v="149.49"/>
    <n v="149.490000267434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PP/PE Fabric"/>
    <x v="0"/>
    <s v="RM"/>
    <s v="erp"/>
    <n v="0"/>
    <n v="191496.69"/>
    <n v="331"/>
    <d v="2026-07-15T00:00:00"/>
    <s v="24AAACO3087C1ZT"/>
    <s v="storeppl"/>
    <s v="storeppl"/>
    <n v="9"/>
    <n v="17234.7"/>
    <n v="9"/>
    <n v="17234.7"/>
    <n v="0"/>
    <n v="0"/>
    <n v="0"/>
    <n v="652145457830"/>
    <d v="2026-07-15T00:00:00"/>
    <n v="1281"/>
  </r>
  <r>
    <s v="Plastene Polyfilms Limited"/>
    <d v="2026-07-15T00:00:00"/>
    <s v="PPL/26-27/SII00879"/>
    <s v="WIP00022"/>
    <s v="Filler Cord"/>
    <s v="PPL/RAW/26-27/324"/>
    <n v="32"/>
    <n v="32"/>
    <s v="Kgs"/>
    <n v="32"/>
    <n v="0"/>
    <n v="32"/>
    <s v="GJ12X1249"/>
    <s v="Plastene India ltd - Unit 1-Purchase"/>
    <s v="Plastene India ltd - Unit 1-Purchase"/>
    <s v="PIL1/D/1058"/>
    <d v="2026-07-15T00:00:00"/>
    <s v="RAW MATERIAL"/>
    <s v="INDIGENOUS"/>
    <s v="RM 327"/>
    <n v="157.99"/>
    <n v="157.99000028264101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Yarn All"/>
    <x v="5"/>
    <s v="RM"/>
    <s v="erp"/>
    <n v="0"/>
    <n v="5055.68"/>
    <n v="331"/>
    <d v="2026-07-15T00:00:00"/>
    <s v="24AAACO3087C1ZT"/>
    <s v="storeppl"/>
    <s v="storeppl"/>
    <n v="2.5"/>
    <n v="126.39"/>
    <n v="2.5"/>
    <n v="126.39"/>
    <n v="0"/>
    <n v="0"/>
    <n v="0"/>
    <n v="652145457830"/>
    <d v="2026-07-15T00:00:00"/>
    <n v="32"/>
  </r>
  <r>
    <s v="Plastene Polyfilms Limited"/>
    <d v="2026-07-15T00:00:00"/>
    <s v="PPL/26-27/SII00879"/>
    <s v="RAW05124"/>
    <s v="LDPE/LLDPE Film"/>
    <s v="PPL/RAW/26-27/324"/>
    <n v="673.9"/>
    <n v="673.9"/>
    <s v="Kgs"/>
    <n v="673.9"/>
    <n v="0"/>
    <n v="673.9"/>
    <s v="GJ12X1249"/>
    <s v="Plastene India ltd - Unit 1-Purchase"/>
    <s v="Plastene India ltd - Unit 1-Purchase"/>
    <s v="PIL1/D/1058"/>
    <d v="2026-07-15T00:00:00"/>
    <s v="RAW MATERIAL"/>
    <s v="INDIGENOUS"/>
    <s v="RM 327"/>
    <n v="172.78"/>
    <n v="172.78000030909999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Films All (SF)"/>
    <x v="10"/>
    <s v="RM"/>
    <s v="erp"/>
    <n v="0"/>
    <n v="116436.44"/>
    <n v="331"/>
    <d v="2026-07-15T00:00:00"/>
    <s v="24AAACO3087C1ZT"/>
    <s v="storeppl"/>
    <s v="storeppl"/>
    <n v="9"/>
    <n v="10479.280000000001"/>
    <n v="9"/>
    <n v="10479.280000000001"/>
    <n v="0"/>
    <n v="0"/>
    <n v="0"/>
    <n v="652145457830"/>
    <d v="2026-07-15T00:00:00"/>
    <n v="673.9"/>
  </r>
  <r>
    <s v="Plastene Polyfilms Limited"/>
    <d v="2026-07-15T00:00:00"/>
    <s v="PPL/26-27/SII00879"/>
    <s v="WIP00013"/>
    <s v="LDPE/LLDPE Bags/Liner"/>
    <s v="PPL/RAW/26-27/324"/>
    <n v="458"/>
    <n v="458"/>
    <s v="Kgs"/>
    <n v="458"/>
    <n v="0"/>
    <n v="458"/>
    <s v="GJ12X1249"/>
    <s v="Plastene India ltd - Unit 1-Purchase"/>
    <s v="Plastene India ltd - Unit 1-Purchase"/>
    <s v="PIL1/D/1058"/>
    <d v="2026-07-15T00:00:00"/>
    <s v="RAW MATERIAL"/>
    <s v="INDIGENOUS"/>
    <s v="RM 327"/>
    <n v="182.78"/>
    <n v="182.78000032698901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Liners"/>
    <x v="1"/>
    <s v="RM"/>
    <s v="erp"/>
    <n v="0"/>
    <n v="83713.240000000005"/>
    <n v="331"/>
    <d v="2026-07-15T00:00:00"/>
    <s v="24AAACO3087C1ZT"/>
    <s v="storeppl"/>
    <s v="storeppl"/>
    <n v="9"/>
    <n v="7534.19"/>
    <n v="9"/>
    <n v="7534.19"/>
    <n v="0"/>
    <n v="0"/>
    <n v="0"/>
    <n v="652145457830"/>
    <d v="2026-07-15T00:00:00"/>
    <n v="458"/>
  </r>
  <r>
    <s v="Plastene Polyfilms Limited"/>
    <d v="2026-07-15T00:00:00"/>
    <s v="PPL/26-27/SII00879"/>
    <s v="WIP00013"/>
    <s v="LDPE/LLDPE Bags/Liner"/>
    <s v="PPL/RAW/26-27/324"/>
    <n v="571.70000000000005"/>
    <n v="571.70000000000005"/>
    <s v="Kgs"/>
    <n v="571.70000000000005"/>
    <n v="0"/>
    <n v="571.70000000000005"/>
    <s v="GJ12X1249"/>
    <s v="Plastene India ltd - Unit 1-Purchase"/>
    <s v="Plastene India ltd - Unit 1-Purchase"/>
    <s v="PIL1/D/1058"/>
    <d v="2026-07-15T00:00:00"/>
    <s v="RAW MATERIAL"/>
    <s v="INDIGENOUS"/>
    <s v="RM 327"/>
    <n v="206.78"/>
    <n v="206.78000036992501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Liners"/>
    <x v="1"/>
    <s v="RM"/>
    <s v="erp"/>
    <n v="0"/>
    <n v="118216.13"/>
    <n v="331"/>
    <d v="2026-07-15T00:00:00"/>
    <s v="24AAACO3087C1ZT"/>
    <s v="storeppl"/>
    <s v="storeppl"/>
    <n v="9"/>
    <n v="10639.45"/>
    <n v="9"/>
    <n v="10639.45"/>
    <n v="0"/>
    <n v="0"/>
    <n v="0"/>
    <n v="652145457830"/>
    <d v="2026-07-15T00:00:00"/>
    <n v="571.70000000000005"/>
  </r>
  <r>
    <s v="Plastene Polyfilms Limited"/>
    <d v="2026-07-15T00:00:00"/>
    <s v="PPL/26-27/SII00879"/>
    <s v="WIP00032"/>
    <s v="Webbing"/>
    <s v="PPL/RAW/26-27/324"/>
    <n v="1290.4000000000001"/>
    <n v="1290.4000000000001"/>
    <s v="Kgs"/>
    <n v="1290.4000000000001"/>
    <n v="0"/>
    <n v="1290.4000000000001"/>
    <s v="GJ12X1249"/>
    <s v="Plastene India ltd - Unit 1-Purchase"/>
    <s v="Plastene India ltd - Unit 1-Purchase"/>
    <s v="PIL1/D/1058"/>
    <d v="2026-07-15T00:00:00"/>
    <s v="RAW MATERIAL"/>
    <s v="INDIGENOUS"/>
    <s v="RM 327"/>
    <n v="149.49"/>
    <n v="149.490000267434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Webbing"/>
    <x v="3"/>
    <s v="RM"/>
    <s v="erp"/>
    <n v="0"/>
    <n v="192901.9"/>
    <n v="331"/>
    <d v="2026-07-15T00:00:00"/>
    <s v="24AAACO3087C1ZT"/>
    <s v="storeppl"/>
    <s v="storeppl"/>
    <n v="9"/>
    <n v="17361.169999999998"/>
    <n v="9"/>
    <n v="17361.169999999998"/>
    <n v="0"/>
    <n v="0"/>
    <n v="0"/>
    <n v="652145457830"/>
    <d v="2026-07-15T00:00:00"/>
    <n v="1290.4000000000001"/>
  </r>
  <r>
    <s v="Plastene Polyfilms Limited"/>
    <d v="2026-07-15T00:00:00"/>
    <s v="PPL/26-27/SII00879"/>
    <s v="WIP00032"/>
    <s v="Webbing"/>
    <s v="PPL/RAW/26-27/324"/>
    <n v="144.6"/>
    <n v="144.6"/>
    <s v="Kgs"/>
    <n v="144.6"/>
    <n v="0"/>
    <n v="144.6"/>
    <s v="GJ12X1249"/>
    <s v="Plastene India ltd - Unit 1-Purchase"/>
    <s v="Plastene India ltd - Unit 1-Purchase"/>
    <s v="PIL1/D/1058"/>
    <d v="2026-07-15T00:00:00"/>
    <s v="RAW MATERIAL"/>
    <s v="INDIGENOUS"/>
    <s v="RM 327"/>
    <n v="146.49"/>
    <n v="146.49000026206701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Webbing"/>
    <x v="3"/>
    <s v="RM"/>
    <s v="erp"/>
    <n v="0"/>
    <n v="21182.45"/>
    <n v="331"/>
    <d v="2026-07-15T00:00:00"/>
    <s v="24AAACO3087C1ZT"/>
    <s v="storeppl"/>
    <s v="storeppl"/>
    <n v="9"/>
    <n v="1906.42"/>
    <n v="9"/>
    <n v="1906.42"/>
    <n v="0"/>
    <n v="0"/>
    <n v="0"/>
    <n v="652145457830"/>
    <d v="2026-07-15T00:00:00"/>
    <n v="144.6"/>
  </r>
  <r>
    <s v="Plastene Polyfilms Limited"/>
    <d v="2026-07-15T00:00:00"/>
    <s v="PPL/26-27/SII00879"/>
    <s v="WIP00191"/>
    <s v="PP MF Yarn Twisted 3000 Denier UV NW"/>
    <s v="PPL/RAW/26-27/324"/>
    <n v="224"/>
    <n v="224"/>
    <s v="Kgs"/>
    <n v="224"/>
    <n v="0"/>
    <n v="224"/>
    <s v="GJ12X1249"/>
    <s v="Plastene India ltd - Unit 1-Purchase"/>
    <s v="Plastene India ltd - Unit 1-Purchase"/>
    <s v="PIL1/D/1058"/>
    <d v="2026-07-15T00:00:00"/>
    <s v="RAW MATERIAL"/>
    <s v="INDIGENOUS"/>
    <s v="RM 327"/>
    <n v="159.49"/>
    <n v="159.49000028532399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Yarn All"/>
    <x v="5"/>
    <s v="RM"/>
    <m/>
    <n v="0"/>
    <n v="35725.760000000002"/>
    <n v="331"/>
    <d v="2026-07-15T00:00:00"/>
    <s v="24AAACO3087C1ZT"/>
    <s v="storeppl"/>
    <s v="storeppl"/>
    <n v="2.5"/>
    <n v="893.14"/>
    <n v="2.5"/>
    <n v="893.14"/>
    <n v="0"/>
    <n v="0"/>
    <n v="0"/>
    <n v="652145457830"/>
    <d v="2026-07-15T00:00:00"/>
    <n v="224"/>
  </r>
  <r>
    <s v="Plastene Polyfilms Limited"/>
    <d v="2026-07-15T00:00:00"/>
    <s v="PPL/26-27/SII00879"/>
    <s v="WIP00025"/>
    <s v="PP Lam Fabric With UV"/>
    <s v="PPL/RAW/26-27/324"/>
    <n v="712"/>
    <n v="712"/>
    <s v="Kgs"/>
    <n v="712"/>
    <n v="0"/>
    <n v="712"/>
    <s v="GJ12X1249"/>
    <s v="Plastene India ltd - Unit 1-Purchase"/>
    <s v="Plastene India ltd - Unit 1-Purchase"/>
    <s v="PIL1/D/1058"/>
    <d v="2026-07-15T00:00:00"/>
    <s v="RAW MATERIAL"/>
    <s v="INDIGENOUS"/>
    <s v="RM 327"/>
    <n v="151.49"/>
    <n v="151.49000027101201"/>
    <s v="PIL1/D/1058"/>
    <d v="2026-07-15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17957.1200000001"/>
    <s v="SF"/>
    <s v="PP/PE Fabric"/>
    <x v="2"/>
    <s v="RM"/>
    <s v="erp"/>
    <n v="0"/>
    <n v="107860.88"/>
    <n v="331"/>
    <d v="2026-07-15T00:00:00"/>
    <s v="24AAACO3087C1ZT"/>
    <s v="storeppl"/>
    <s v="storeppl"/>
    <n v="9"/>
    <n v="9707.48"/>
    <n v="9"/>
    <n v="9707.48"/>
    <n v="0"/>
    <n v="0"/>
    <n v="0"/>
    <n v="652145457830"/>
    <d v="2026-07-15T00:00:00"/>
    <n v="712"/>
  </r>
  <r>
    <s v="Plastene Polyfilms Limited"/>
    <d v="2026-07-16T00:00:00"/>
    <s v="PPL/26-27/SII00885"/>
    <s v="RAW06198"/>
    <s v="UV PIL NFG 20LD"/>
    <s v="PPL/RAW/26-27/325"/>
    <n v="2500"/>
    <n v="2500"/>
    <s v="Kgs"/>
    <n v="2500"/>
    <n v="0"/>
    <n v="2500"/>
    <s v="GJ39TA3045"/>
    <s v="Plastene India ltd - Unit 2-Purchase"/>
    <s v="Plastene India ltd - Unit 2-Purchase"/>
    <s v="PIL2/D/379"/>
    <d v="2026-07-15T00:00:00"/>
    <s v="RAW MATERIAL"/>
    <s v="INDIGENOUS"/>
    <s v="RM 328"/>
    <n v="180"/>
    <n v="180"/>
    <s v="PIL2/D/379"/>
    <d v="2026-07-15T00:00:00"/>
    <s v="."/>
    <s v="."/>
    <m/>
    <s v="SHREENA ROADWAYS"/>
    <n v="2349"/>
    <n v="0"/>
    <n v="0"/>
    <n v="0"/>
    <n v="0"/>
    <n v="0"/>
    <s v="VAT"/>
    <n v="0"/>
    <n v="0"/>
    <n v="0"/>
    <n v="0"/>
    <n v="0"/>
    <m/>
    <n v="0"/>
    <n v="0"/>
    <n v="531000"/>
    <s v="RM"/>
    <s v="Granules"/>
    <x v="9"/>
    <s v="RM"/>
    <s v="erp"/>
    <n v="0"/>
    <n v="450000"/>
    <n v="333"/>
    <d v="2026-07-16T00:00:00"/>
    <s v="24AAACO3087C1ZT"/>
    <s v="storeppl"/>
    <s v="storeppl"/>
    <n v="9"/>
    <n v="40500"/>
    <n v="9"/>
    <n v="40500"/>
    <n v="0"/>
    <n v="0"/>
    <n v="531000"/>
    <n v="642145581813"/>
    <d v="2026-07-15T00:00:00"/>
    <n v="2500"/>
  </r>
  <r>
    <s v="Plastene Polyfilms Limited"/>
    <d v="2026-07-16T00:00:00"/>
    <s v="PPL/26-27/SII00886"/>
    <s v="WIP00023"/>
    <s v="PP UL Fabric With UV"/>
    <s v="PPL/RAW/26-27/326"/>
    <n v="280"/>
    <n v="280"/>
    <s v="Kgs"/>
    <n v="280"/>
    <n v="0"/>
    <n v="280"/>
    <s v="GJ05BZ7002"/>
    <s v="HCP Plastene Bulkpack Limited - Purchase"/>
    <s v="HCP Plastene Bulkpack Limited - Purchase"/>
    <s v="HPBL/D/387"/>
    <d v="2026-07-15T00:00:00"/>
    <s v="RAW MATERIAL"/>
    <s v="INDIGENOUS"/>
    <s v="RM 329"/>
    <n v="159.49"/>
    <n v="159.49"/>
    <s v="HPBL/D/387"/>
    <d v="2026-07-15T00:00:00"/>
    <s v="."/>
    <s v="."/>
    <m/>
    <s v="SHREENA ROADWAYS"/>
    <n v="2510"/>
    <n v="0"/>
    <n v="0"/>
    <n v="0"/>
    <n v="0"/>
    <n v="0"/>
    <s v="VAT"/>
    <n v="0"/>
    <n v="0"/>
    <n v="0"/>
    <n v="0"/>
    <n v="0"/>
    <m/>
    <n v="0"/>
    <n v="0"/>
    <n v="319341.94"/>
    <s v="SF"/>
    <s v="PP/PE Fabric"/>
    <x v="0"/>
    <s v="RM"/>
    <s v="erp"/>
    <n v="0"/>
    <n v="44657.2"/>
    <n v="334"/>
    <d v="2026-07-16T00:00:00"/>
    <s v="24AABCG1282C2Z6"/>
    <s v="storeppl"/>
    <s v="storeppl"/>
    <n v="9"/>
    <n v="4019.15"/>
    <n v="9"/>
    <n v="4019.15"/>
    <n v="0"/>
    <n v="0"/>
    <n v="319341.94"/>
    <n v="612145717237"/>
    <d v="2026-07-15T00:00:00"/>
    <n v="280"/>
  </r>
  <r>
    <s v="Plastene Polyfilms Limited"/>
    <d v="2026-07-16T00:00:00"/>
    <s v="PPL/26-27/SII00886"/>
    <s v="WIP00023"/>
    <s v="PP UL Fabric With UV"/>
    <s v="PPL/RAW/26-27/326"/>
    <n v="1444"/>
    <n v="1444"/>
    <s v="Kgs"/>
    <n v="1444"/>
    <n v="0"/>
    <n v="1444"/>
    <s v="GJ05BZ7002"/>
    <s v="HCP Plastene Bulkpack Limited - Purchase"/>
    <s v="HCP Plastene Bulkpack Limited - Purchase"/>
    <s v="HPBL/D/387"/>
    <d v="2026-07-15T00:00:00"/>
    <s v="RAW MATERIAL"/>
    <s v="INDIGENOUS"/>
    <s v="RM 329"/>
    <n v="156.49"/>
    <n v="156.49"/>
    <s v="HPBL/D/387"/>
    <d v="2026-07-15T00:00:00"/>
    <s v="."/>
    <s v="."/>
    <m/>
    <s v="SHREENA ROADWAYS"/>
    <n v="2510"/>
    <n v="0"/>
    <n v="0"/>
    <n v="0"/>
    <n v="0"/>
    <n v="0"/>
    <s v="VAT"/>
    <n v="0"/>
    <n v="0"/>
    <n v="0"/>
    <n v="0"/>
    <n v="0"/>
    <m/>
    <n v="0"/>
    <n v="0"/>
    <n v="319341.94"/>
    <s v="SF"/>
    <s v="PP/PE Fabric"/>
    <x v="0"/>
    <s v="RM"/>
    <s v="erp"/>
    <n v="0"/>
    <n v="225971.56"/>
    <n v="334"/>
    <d v="2026-07-16T00:00:00"/>
    <s v="24AABCG1282C2Z6"/>
    <s v="storeppl"/>
    <s v="storeppl"/>
    <n v="9"/>
    <n v="20337.439999999999"/>
    <n v="9"/>
    <n v="20337.439999999999"/>
    <n v="0"/>
    <n v="0"/>
    <n v="0"/>
    <n v="612145717237"/>
    <d v="2026-07-15T00:00:00"/>
    <n v="1444"/>
  </r>
  <r>
    <s v="Plastene Polyfilms Limited"/>
    <d v="2026-07-16T00:00:00"/>
    <s v="PPL/26-27/SII00893"/>
    <s v="WIP00013"/>
    <s v="LDPE/LLDPE Bags/Liner"/>
    <s v="PPL/RAW/26-27/327"/>
    <n v="939.1"/>
    <n v="939.1"/>
    <s v="Kgs"/>
    <n v="939.1"/>
    <n v="0"/>
    <n v="939.1"/>
    <s v="GJ12X1249"/>
    <s v="Plastene India ltd - Unit 1-Purchase"/>
    <s v="Plastene India ltd - Unit 1-Purchase"/>
    <s v="PIL1/D/1074"/>
    <d v="2026-07-16T00:00:00"/>
    <s v="RAW MATERIAL"/>
    <s v="INDIGENOUS"/>
    <s v="RM 330"/>
    <n v="206.78"/>
    <n v="206.78000172790399"/>
    <s v="PIL1/D/1074"/>
    <d v="2026-07-1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37697.05"/>
    <s v="SF"/>
    <s v="Liners"/>
    <x v="1"/>
    <s v="RM"/>
    <s v="erp"/>
    <n v="0"/>
    <n v="194187.1"/>
    <n v="335"/>
    <d v="2026-07-16T00:00:00"/>
    <s v="24AAACO3087C1ZT"/>
    <s v="storeppl"/>
    <s v="storeppl"/>
    <n v="9"/>
    <n v="17476.84"/>
    <n v="9"/>
    <n v="17476.84"/>
    <n v="0"/>
    <n v="0"/>
    <n v="837697.05"/>
    <n v="642146246359"/>
    <d v="2026-07-16T00:00:00"/>
    <n v="939.1"/>
  </r>
  <r>
    <s v="Plastene Polyfilms Limited"/>
    <d v="2026-07-16T00:00:00"/>
    <s v="PPL/26-27/SII00893"/>
    <s v="WIP00013"/>
    <s v="LDPE/LLDPE Bags/Liner"/>
    <s v="PPL/RAW/26-27/327"/>
    <n v="811"/>
    <n v="811"/>
    <s v="Kgs"/>
    <n v="811"/>
    <n v="0"/>
    <n v="811"/>
    <s v="GJ12X1249"/>
    <s v="Plastene India ltd - Unit 1-Purchase"/>
    <s v="Plastene India ltd - Unit 1-Purchase"/>
    <s v="PIL1/D/1074"/>
    <d v="2026-07-16T00:00:00"/>
    <s v="RAW MATERIAL"/>
    <s v="INDIGENOUS"/>
    <s v="RM 330"/>
    <n v="202.78"/>
    <n v="202.78000169447901"/>
    <s v="PIL1/D/1074"/>
    <d v="2026-07-1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37697.05"/>
    <s v="SF"/>
    <s v="Liners"/>
    <x v="1"/>
    <s v="RM"/>
    <s v="erp"/>
    <n v="0"/>
    <n v="164454.57999999999"/>
    <n v="335"/>
    <d v="2026-07-16T00:00:00"/>
    <s v="24AAACO3087C1ZT"/>
    <s v="storeppl"/>
    <s v="storeppl"/>
    <n v="9"/>
    <n v="14800.91"/>
    <n v="9"/>
    <n v="14800.91"/>
    <n v="0"/>
    <n v="0"/>
    <n v="0"/>
    <n v="642146246359"/>
    <d v="2026-07-16T00:00:00"/>
    <n v="811"/>
  </r>
  <r>
    <s v="Plastene Polyfilms Limited"/>
    <d v="2026-07-16T00:00:00"/>
    <s v="PPL/26-27/SII00893"/>
    <s v="WIP00032"/>
    <s v="Webbing"/>
    <s v="PPL/RAW/26-27/327"/>
    <n v="511.3"/>
    <n v="511.3"/>
    <s v="Kgs"/>
    <n v="511.3"/>
    <n v="0"/>
    <n v="511.3"/>
    <s v="GJ12X1249"/>
    <s v="Plastene India ltd - Unit 1-Purchase"/>
    <s v="Plastene India ltd - Unit 1-Purchase"/>
    <s v="PIL1/D/1074"/>
    <d v="2026-07-16T00:00:00"/>
    <s v="RAW MATERIAL"/>
    <s v="INDIGENOUS"/>
    <s v="RM 330"/>
    <n v="149.49"/>
    <n v="149.49000124917501"/>
    <s v="PIL1/D/1074"/>
    <d v="2026-07-1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37697.05"/>
    <s v="SF"/>
    <s v="Webbing"/>
    <x v="3"/>
    <s v="RM"/>
    <s v="erp"/>
    <n v="0"/>
    <n v="76434.240000000005"/>
    <n v="335"/>
    <d v="2026-07-16T00:00:00"/>
    <s v="24AAACO3087C1ZT"/>
    <s v="storeppl"/>
    <s v="storeppl"/>
    <n v="9"/>
    <n v="6879.08"/>
    <n v="9"/>
    <n v="6879.08"/>
    <n v="0"/>
    <n v="0"/>
    <n v="0"/>
    <n v="642146246359"/>
    <d v="2026-07-16T00:00:00"/>
    <n v="511.3"/>
  </r>
  <r>
    <s v="Plastene Polyfilms Limited"/>
    <d v="2026-07-16T00:00:00"/>
    <s v="PPL/26-27/SII00893"/>
    <s v="WIP00032"/>
    <s v="Webbing"/>
    <s v="PPL/RAW/26-27/327"/>
    <n v="238"/>
    <n v="238"/>
    <s v="Kgs"/>
    <n v="238"/>
    <n v="0"/>
    <n v="238"/>
    <s v="GJ12X1249"/>
    <s v="Plastene India ltd - Unit 1-Purchase"/>
    <s v="Plastene India ltd - Unit 1-Purchase"/>
    <s v="PIL1/D/1074"/>
    <d v="2026-07-16T00:00:00"/>
    <s v="RAW MATERIAL"/>
    <s v="INDIGENOUS"/>
    <s v="RM 330"/>
    <n v="146.49"/>
    <n v="146.49000122410601"/>
    <s v="PIL1/D/1074"/>
    <d v="2026-07-1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37697.05"/>
    <s v="SF"/>
    <s v="Webbing"/>
    <x v="3"/>
    <s v="RM"/>
    <s v="erp"/>
    <n v="0"/>
    <n v="34864.620000000003"/>
    <n v="335"/>
    <d v="2026-07-16T00:00:00"/>
    <s v="24AAACO3087C1ZT"/>
    <s v="storeppl"/>
    <s v="storeppl"/>
    <n v="9"/>
    <n v="3137.82"/>
    <n v="9"/>
    <n v="3137.82"/>
    <n v="0"/>
    <n v="0"/>
    <n v="0"/>
    <n v="642146246359"/>
    <d v="2026-07-16T00:00:00"/>
    <n v="238"/>
  </r>
  <r>
    <s v="Plastene Polyfilms Limited"/>
    <d v="2026-07-16T00:00:00"/>
    <s v="PPL/26-27/SII00893"/>
    <s v="WIP00193"/>
    <s v="PP MF Yarn Twisted 3000 Denier UV Deep Blue"/>
    <s v="PPL/RAW/26-27/327"/>
    <n v="423.8"/>
    <n v="423.8"/>
    <s v="Kgs"/>
    <n v="423.8"/>
    <n v="0"/>
    <n v="423.8"/>
    <s v="GJ12X1249"/>
    <s v="Plastene India ltd - Unit 1-Purchase"/>
    <s v="Plastene India ltd - Unit 1-Purchase"/>
    <s v="PIL1/D/1074"/>
    <d v="2026-07-16T00:00:00"/>
    <s v="RAW MATERIAL"/>
    <s v="INDIGENOUS"/>
    <s v="RM 330"/>
    <n v="159.49"/>
    <n v="159.49000133273699"/>
    <s v="PIL1/D/1074"/>
    <d v="2026-07-1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37697.05"/>
    <s v="SF"/>
    <s v="Yarn All"/>
    <x v="5"/>
    <s v="RM"/>
    <m/>
    <n v="0"/>
    <n v="67591.86"/>
    <n v="335"/>
    <d v="2026-07-16T00:00:00"/>
    <s v="24AAACO3087C1ZT"/>
    <s v="storeppl"/>
    <s v="storeppl"/>
    <n v="2.5"/>
    <n v="1689.8"/>
    <n v="2.5"/>
    <n v="1689.8"/>
    <n v="0"/>
    <n v="0"/>
    <n v="0"/>
    <n v="642146246359"/>
    <d v="2026-07-16T00:00:00"/>
    <n v="423.8"/>
  </r>
  <r>
    <s v="Plastene Polyfilms Limited"/>
    <d v="2026-07-16T00:00:00"/>
    <s v="PPL/26-27/SII00893"/>
    <s v="WIP00151"/>
    <s v="PP MF Yarn Twisted 1000 UV NW"/>
    <s v="PPL/RAW/26-27/327"/>
    <n v="465.4"/>
    <n v="465.4"/>
    <s v="Kgs"/>
    <n v="465.4"/>
    <n v="0"/>
    <n v="465.4"/>
    <s v="GJ12X1249"/>
    <s v="Plastene India ltd - Unit 1-Purchase"/>
    <s v="Plastene India ltd - Unit 1-Purchase"/>
    <s v="PIL1/D/1074"/>
    <d v="2026-07-16T00:00:00"/>
    <s v="RAW MATERIAL"/>
    <s v="INDIGENOUS"/>
    <s v="RM 330"/>
    <n v="156.49"/>
    <n v="156.490001307668"/>
    <s v="PIL1/D/1074"/>
    <d v="2026-07-1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37697.05"/>
    <s v="SF"/>
    <s v="Yarn All"/>
    <x v="5"/>
    <s v="RM"/>
    <m/>
    <n v="0"/>
    <n v="72830.45"/>
    <n v="335"/>
    <d v="2026-07-16T00:00:00"/>
    <s v="24AAACO3087C1ZT"/>
    <s v="storeppl"/>
    <s v="storeppl"/>
    <n v="2.5"/>
    <n v="1820.76"/>
    <n v="2.5"/>
    <n v="1820.76"/>
    <n v="0"/>
    <n v="0"/>
    <n v="0"/>
    <n v="642146246359"/>
    <d v="2026-07-16T00:00:00"/>
    <n v="465.4"/>
  </r>
  <r>
    <s v="Plastene Polyfilms Limited"/>
    <d v="2026-07-16T00:00:00"/>
    <s v="PPL/26-27/SII00893"/>
    <s v="WIP00181"/>
    <s v="PP MF Yarn Twisted 2500 Denier UV NW"/>
    <s v="PPL/RAW/26-27/327"/>
    <n v="826"/>
    <n v="826"/>
    <s v="Kgs"/>
    <n v="826"/>
    <n v="0"/>
    <n v="826"/>
    <s v="GJ12X1249"/>
    <s v="Plastene India ltd - Unit 1-Purchase"/>
    <s v="Plastene India ltd - Unit 1-Purchase"/>
    <s v="PIL1/D/1074"/>
    <d v="2026-07-16T00:00:00"/>
    <s v="RAW MATERIAL"/>
    <s v="INDIGENOUS"/>
    <s v="RM 330"/>
    <n v="156.49"/>
    <n v="156.490001307668"/>
    <s v="PIL1/D/1074"/>
    <d v="2026-07-1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37697.05"/>
    <s v="SF"/>
    <s v="Yarn All"/>
    <x v="5"/>
    <s v="RM"/>
    <m/>
    <n v="0"/>
    <n v="129260.74"/>
    <n v="335"/>
    <d v="2026-07-16T00:00:00"/>
    <s v="24AAACO3087C1ZT"/>
    <s v="storeppl"/>
    <s v="storeppl"/>
    <n v="2.5"/>
    <n v="3231.52"/>
    <n v="2.5"/>
    <n v="3231.52"/>
    <n v="0"/>
    <n v="0"/>
    <n v="0"/>
    <n v="642146246359"/>
    <d v="2026-07-16T00:00:00"/>
    <n v="826"/>
  </r>
  <r>
    <s v="Plastene Polyfilms Limited"/>
    <d v="2026-07-17T00:00:00"/>
    <s v="PPL/26-27/SII00894"/>
    <s v="WIP00023"/>
    <s v="PP UL Fabric With UV"/>
    <s v="PPL/RAW/26-27/329"/>
    <n v="2144"/>
    <n v="2144"/>
    <s v="Kgs"/>
    <n v="2144"/>
    <n v="0"/>
    <n v="2144"/>
    <s v="GJ24X8047"/>
    <s v="HCP Plastene Bulkpack Limited - Purchase"/>
    <s v="HCP Plastene Bulkpack Limited - Purchase"/>
    <s v="HPBL/D/390"/>
    <d v="2026-07-16T00:00:00"/>
    <s v="RAW MATERIAL"/>
    <s v="INDIGENOUS"/>
    <s v="RM 331"/>
    <n v="156.49"/>
    <n v="156.48999881027501"/>
    <s v="HPBL/D/390"/>
    <d v="2026-07-16T00:00:00"/>
    <m/>
    <n v="0"/>
    <m/>
    <s v="SHREENA ROADWAYS"/>
    <n v="2511"/>
    <n v="0"/>
    <n v="0"/>
    <n v="0"/>
    <n v="0"/>
    <n v="0"/>
    <s v="VAT"/>
    <n v="0"/>
    <n v="0"/>
    <n v="0"/>
    <n v="0"/>
    <n v="0"/>
    <m/>
    <n v="0"/>
    <n v="0"/>
    <n v="657672.95999999996"/>
    <s v="SF"/>
    <s v="PP/PE Fabric"/>
    <x v="0"/>
    <s v="RM"/>
    <s v="erp"/>
    <n v="0"/>
    <n v="335514.56"/>
    <n v="337"/>
    <d v="2026-07-17T00:00:00"/>
    <s v="24AABCG1282C2Z6"/>
    <s v="storeppl"/>
    <s v="storeppl"/>
    <n v="9"/>
    <n v="30196.31"/>
    <n v="9"/>
    <n v="30196.31"/>
    <n v="0"/>
    <n v="0"/>
    <n v="657672.95999999996"/>
    <n v="622146386068"/>
    <d v="2026-07-16T00:00:00"/>
    <n v="2144"/>
  </r>
  <r>
    <s v="Plastene Polyfilms Limited"/>
    <d v="2026-07-17T00:00:00"/>
    <s v="PPL/26-27/SII00894"/>
    <s v="WIP00013"/>
    <s v="LDPE/LLDPE Bags/Liner"/>
    <s v="PPL/RAW/26-27/329"/>
    <n v="514.5"/>
    <n v="514.5"/>
    <s v="Kgs"/>
    <n v="514.5"/>
    <n v="0"/>
    <n v="514.5"/>
    <s v="GJ24X8047"/>
    <s v="HCP Plastene Bulkpack Limited - Purchase"/>
    <s v="HCP Plastene Bulkpack Limited - Purchase"/>
    <s v="HPBL/D/390"/>
    <d v="2026-07-16T00:00:00"/>
    <s v="RAW MATERIAL"/>
    <s v="INDIGENOUS"/>
    <s v="RM 331"/>
    <n v="167.89"/>
    <n v="167.889998723606"/>
    <s v="HPBL/D/390"/>
    <d v="2026-07-16T00:00:00"/>
    <m/>
    <n v="0"/>
    <m/>
    <s v="SHREENA ROADWAYS"/>
    <n v="2511"/>
    <n v="0"/>
    <n v="0"/>
    <n v="0"/>
    <n v="0"/>
    <n v="0"/>
    <s v="VAT"/>
    <n v="0"/>
    <n v="0"/>
    <n v="0"/>
    <n v="0"/>
    <n v="0"/>
    <m/>
    <n v="0"/>
    <n v="0"/>
    <n v="657672.95999999996"/>
    <s v="SF"/>
    <s v="Liners"/>
    <x v="1"/>
    <s v="RM"/>
    <s v="erp"/>
    <n v="0"/>
    <n v="86379.4"/>
    <n v="337"/>
    <d v="2026-07-17T00:00:00"/>
    <s v="24AABCG1282C2Z6"/>
    <s v="storeppl"/>
    <s v="storeppl"/>
    <n v="9"/>
    <n v="7774.15"/>
    <n v="9"/>
    <n v="7774.15"/>
    <n v="0"/>
    <n v="0"/>
    <n v="0"/>
    <n v="622146386068"/>
    <d v="2026-07-16T00:00:00"/>
    <n v="514.5"/>
  </r>
  <r>
    <s v="Plastene Polyfilms Limited"/>
    <d v="2026-07-17T00:00:00"/>
    <s v="PPL/26-27/SII00894"/>
    <s v="RAW05810"/>
    <s v="LDPE RIL J24FS040"/>
    <s v="PPL/RAW/26-27/329"/>
    <n v="1200"/>
    <n v="1200"/>
    <s v="Kgs"/>
    <n v="1200"/>
    <n v="0"/>
    <n v="1200"/>
    <s v="GJ24X8047"/>
    <s v="HCP Plastene Bulkpack Limited - Purchase"/>
    <s v="HCP Plastene Bulkpack Limited - Purchase"/>
    <s v="HPBL/D/390"/>
    <d v="2026-07-16T00:00:00"/>
    <s v="RAW MATERIAL"/>
    <s v="INDIGENOUS"/>
    <s v="RM 331"/>
    <n v="112.88"/>
    <n v="112.87999914182301"/>
    <s v="HPBL/D/390"/>
    <d v="2026-07-16T00:00:00"/>
    <m/>
    <n v="0"/>
    <m/>
    <s v="SHREENA ROADWAYS"/>
    <n v="2511"/>
    <n v="0"/>
    <n v="0"/>
    <n v="0"/>
    <n v="0"/>
    <n v="0"/>
    <s v="VAT"/>
    <n v="0"/>
    <n v="0"/>
    <n v="0"/>
    <n v="0"/>
    <n v="0"/>
    <m/>
    <n v="0"/>
    <n v="0"/>
    <n v="657672.95999999996"/>
    <s v="RM"/>
    <s v="Granules"/>
    <x v="13"/>
    <s v="RM"/>
    <s v="erp"/>
    <n v="0"/>
    <n v="135456"/>
    <n v="337"/>
    <d v="2026-07-17T00:00:00"/>
    <s v="24AABCG1282C2Z6"/>
    <s v="storeppl"/>
    <s v="storeppl"/>
    <n v="9"/>
    <n v="12191.04"/>
    <n v="9"/>
    <n v="12191.04"/>
    <n v="0"/>
    <n v="0"/>
    <n v="0"/>
    <n v="622146386068"/>
    <d v="2026-07-16T00:00:00"/>
    <n v="1200"/>
  </r>
  <r>
    <s v="Plastene Polyfilms Limited"/>
    <d v="2026-07-17T00:00:00"/>
    <s v="PPL/26-27/SII00895"/>
    <s v="RAW06198"/>
    <s v="UV PIL NFG 20LD"/>
    <s v="PPL/RAW/26-27/330"/>
    <n v="3000"/>
    <n v="3000"/>
    <s v="Kgs"/>
    <n v="3000"/>
    <n v="0"/>
    <n v="3000"/>
    <s v="GJ24X5012"/>
    <s v="Plastene India ltd - Unit 2-Purchase"/>
    <s v="Plastene India ltd - Unit 2-Purchase"/>
    <s v="PIL2/D/385"/>
    <d v="2026-07-16T00:00:00"/>
    <s v="RAW MATERIAL"/>
    <s v="INDIGENOUS"/>
    <s v="RM 332"/>
    <n v="180"/>
    <n v="180"/>
    <s v="PIL2/D/385"/>
    <d v="2026-07-16T00:00:00"/>
    <m/>
    <n v="0"/>
    <m/>
    <s v="SHREENA  ROADWAYS"/>
    <n v="2043"/>
    <n v="0"/>
    <n v="0"/>
    <n v="0"/>
    <n v="0"/>
    <n v="0"/>
    <s v="VAT"/>
    <n v="0"/>
    <n v="0"/>
    <n v="0"/>
    <n v="0"/>
    <n v="0"/>
    <m/>
    <n v="0"/>
    <n v="0"/>
    <n v="1202834.3899999999"/>
    <s v="RM"/>
    <s v="Granules"/>
    <x v="9"/>
    <s v="RM"/>
    <s v="erp"/>
    <n v="0"/>
    <n v="540000"/>
    <n v="336"/>
    <d v="2026-07-17T00:00:00"/>
    <s v="24AAACO3087C1ZT"/>
    <s v="storeppl"/>
    <s v="storeppl"/>
    <n v="9"/>
    <n v="48600"/>
    <n v="9"/>
    <n v="48600"/>
    <n v="0"/>
    <n v="0"/>
    <n v="1202834.3899999999"/>
    <n v="672146317414"/>
    <d v="2026-07-16T00:00:00"/>
    <n v="3000"/>
  </r>
  <r>
    <s v="Plastene Polyfilms Limited"/>
    <d v="2026-07-17T00:00:00"/>
    <s v="PPL/26-27/SII00895"/>
    <s v="WIP00004"/>
    <s v="FIBC Bags With UV Without Liner"/>
    <s v="PPL/RAW/26-27/330"/>
    <n v="826"/>
    <n v="826"/>
    <s v="Kgs"/>
    <n v="826"/>
    <n v="0"/>
    <n v="826"/>
    <s v="GJ24X5012"/>
    <s v="Plastene India ltd - Unit 2-Purchase"/>
    <s v="Plastene India ltd - Unit 2-Purchase"/>
    <s v="PIL2/D/385"/>
    <d v="2026-07-16T00:00:00"/>
    <s v="RAW MATERIAL"/>
    <s v="INDIGENOUS"/>
    <s v="RM 332"/>
    <n v="206.04"/>
    <n v="206.04"/>
    <s v="PIL2/D/385"/>
    <d v="2026-07-16T00:00:00"/>
    <m/>
    <n v="0"/>
    <m/>
    <s v="SHREENA  ROADWAYS"/>
    <n v="2043"/>
    <n v="0"/>
    <n v="0"/>
    <n v="0"/>
    <n v="0"/>
    <n v="0"/>
    <s v="VAT"/>
    <n v="0"/>
    <n v="0"/>
    <n v="0"/>
    <n v="0"/>
    <n v="0"/>
    <m/>
    <n v="0"/>
    <n v="0"/>
    <n v="1202834.3899999999"/>
    <s v="FG"/>
    <s v="FIBC Bags"/>
    <x v="8"/>
    <s v="RM"/>
    <s v="erp"/>
    <n v="0"/>
    <n v="170189.04"/>
    <n v="336"/>
    <d v="2026-07-17T00:00:00"/>
    <s v="24AAACO3087C1ZT"/>
    <s v="storeppl"/>
    <s v="storeppl"/>
    <n v="9"/>
    <n v="15317.01"/>
    <n v="9"/>
    <n v="15317.01"/>
    <n v="0"/>
    <n v="0"/>
    <n v="0"/>
    <n v="672146317414"/>
    <d v="2026-07-16T00:00:00"/>
    <n v="826"/>
  </r>
  <r>
    <s v="Plastene Polyfilms Limited"/>
    <d v="2026-07-17T00:00:00"/>
    <s v="PPL/26-27/SII00895"/>
    <s v="WIP00004"/>
    <s v="FIBC Bags With UV Without Liner"/>
    <s v="PPL/RAW/26-27/330"/>
    <n v="1485"/>
    <n v="1485"/>
    <s v="Kgs"/>
    <n v="1485"/>
    <n v="0"/>
    <n v="1485"/>
    <s v="GJ24X5012"/>
    <s v="Plastene India ltd - Unit 2-Purchase"/>
    <s v="Plastene India ltd - Unit 2-Purchase"/>
    <s v="PIL2/D/385"/>
    <d v="2026-07-16T00:00:00"/>
    <s v="RAW MATERIAL"/>
    <s v="INDIGENOUS"/>
    <s v="RM 332"/>
    <n v="208.19"/>
    <n v="208.19"/>
    <s v="PIL2/D/385"/>
    <d v="2026-07-16T00:00:00"/>
    <m/>
    <n v="0"/>
    <m/>
    <s v="SHREENA  ROADWAYS"/>
    <n v="2043"/>
    <n v="0"/>
    <n v="0"/>
    <n v="0"/>
    <n v="0"/>
    <n v="0"/>
    <s v="VAT"/>
    <n v="0"/>
    <n v="0"/>
    <n v="0"/>
    <n v="0"/>
    <n v="0"/>
    <m/>
    <n v="0"/>
    <n v="0"/>
    <n v="1202834.3899999999"/>
    <s v="FG"/>
    <s v="FIBC Bags"/>
    <x v="8"/>
    <s v="RM"/>
    <s v="erp"/>
    <n v="0"/>
    <n v="309162.15000000002"/>
    <n v="336"/>
    <d v="2026-07-17T00:00:00"/>
    <s v="24AAACO3087C1ZT"/>
    <s v="storeppl"/>
    <s v="storeppl"/>
    <n v="9"/>
    <n v="27824.59"/>
    <n v="9"/>
    <n v="27824.59"/>
    <n v="0"/>
    <n v="0"/>
    <n v="0"/>
    <n v="672146317414"/>
    <d v="2026-07-16T00:00:00"/>
    <n v="1485"/>
  </r>
  <r>
    <s v="Plastene Polyfilms Limited"/>
    <d v="2026-07-17T00:00:00"/>
    <s v="PPL/26-27/SII00896"/>
    <s v="RAW06390"/>
    <s v="LLDPE KUNLUN DFDA9047"/>
    <s v="PPL/RAW/26-27/328"/>
    <n v="2000"/>
    <n v="2000"/>
    <s v="Kgs"/>
    <n v="2000"/>
    <n v="0"/>
    <n v="2000"/>
    <s v="GJ12X1249"/>
    <s v="Plastene India ltd - Unit 1-Purchase"/>
    <s v="Plastene India ltd - Unit 1-Purchase"/>
    <s v="PIL1/D/1081"/>
    <d v="2026-07-17T00:00:00"/>
    <s v="RAW MATERIAL"/>
    <s v="INDIGENOUS"/>
    <s v="RM 333"/>
    <n v="124.4"/>
    <n v="124.4"/>
    <s v="PIL1/D/1081"/>
    <d v="2026-07-1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93584"/>
    <s v="RM"/>
    <s v="Granules"/>
    <x v="6"/>
    <s v="RM"/>
    <m/>
    <n v="0"/>
    <n v="248800"/>
    <n v="338"/>
    <d v="2026-07-17T00:00:00"/>
    <s v="24AAACO3087C1ZT"/>
    <s v="storeppl"/>
    <s v="storeppl"/>
    <n v="9"/>
    <n v="22392"/>
    <n v="9"/>
    <n v="22392"/>
    <n v="0"/>
    <n v="0"/>
    <n v="293584"/>
    <n v="692146656748"/>
    <d v="2026-07-17T00:00:00"/>
    <n v="2000"/>
  </r>
  <r>
    <s v="Plastene Polyfilms Limited"/>
    <d v="2026-07-17T00:00:00"/>
    <s v="PPL/26-27/SII00897"/>
    <s v="RAW06013"/>
    <s v="Filler Soltex PTUFF23"/>
    <s v="PPL/RAW/26-27/331"/>
    <n v="3000"/>
    <n v="3000"/>
    <s v="Kgs"/>
    <n v="3000"/>
    <n v="0"/>
    <n v="3000"/>
    <s v="GJ12X1249"/>
    <s v="Plastene India ltd - Unit 1-Purchase"/>
    <s v="Plastene India ltd - Unit 1-Purchase"/>
    <s v="PIL1/D/1083"/>
    <d v="2026-07-17T00:00:00"/>
    <s v="RAW MATERIAL"/>
    <s v="INDIGENOUS"/>
    <s v="RM 334"/>
    <n v="39"/>
    <n v="39"/>
    <s v="PIL1/D/1083"/>
    <d v="2026-07-1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38060"/>
    <s v="RM"/>
    <s v="Granules"/>
    <x v="14"/>
    <s v="SF"/>
    <s v="anil"/>
    <n v="0"/>
    <n v="117000"/>
    <n v="339"/>
    <d v="2026-07-17T00:00:00"/>
    <s v="24AAACO3087C1ZT"/>
    <s v="storeppl"/>
    <s v="storeppl"/>
    <n v="9"/>
    <n v="10530"/>
    <n v="9"/>
    <n v="10530"/>
    <n v="0"/>
    <n v="0"/>
    <n v="138060"/>
    <n v="662146700918"/>
    <d v="2026-07-17T00:00:00"/>
    <n v="3000"/>
  </r>
  <r>
    <s v="Plastene Polyfilms Limited"/>
    <d v="2026-07-17T00:00:00"/>
    <s v="PPL/26-27/SII00902"/>
    <s v="RAW06251"/>
    <s v="PP NSRP NSY114G"/>
    <s v="PPL/RAW/26-27/332"/>
    <n v="54000"/>
    <n v="54000"/>
    <s v="Kgs"/>
    <n v="54000"/>
    <n v="0"/>
    <n v="54000"/>
    <s v="GJ14Z0316//GJ12CT5113"/>
    <s v="HCP Enterprise Ltd-Purchase"/>
    <s v="HCP Enterprise Ltd-Purchase"/>
    <s v="HCP/D/60"/>
    <d v="2026-07-17T00:00:00"/>
    <s v="RAW MATERIAL"/>
    <s v="INDIGENOUS"/>
    <s v="RM 335"/>
    <n v="124"/>
    <n v="124"/>
    <s v="HCP/D/60"/>
    <d v="2026-07-17T00:00:00"/>
    <m/>
    <n v="0"/>
    <m/>
    <s v="JAI AMBE TRANSMOVER PVT LTD"/>
    <s v="002687-002672"/>
    <n v="0"/>
    <n v="0"/>
    <n v="0"/>
    <n v="0"/>
    <n v="0"/>
    <s v="VAT"/>
    <n v="0"/>
    <n v="0"/>
    <n v="0"/>
    <n v="0"/>
    <n v="0"/>
    <m/>
    <n v="0"/>
    <n v="0"/>
    <n v="7901280"/>
    <s v="RM"/>
    <s v="Granules"/>
    <x v="4"/>
    <s v="RM"/>
    <m/>
    <n v="0"/>
    <n v="6696000"/>
    <n v="340"/>
    <d v="2026-07-17T00:00:00"/>
    <s v="24AAACC7815N1ZI"/>
    <s v="storeppl"/>
    <s v="storeppl"/>
    <n v="9"/>
    <n v="602640"/>
    <n v="9"/>
    <n v="602640"/>
    <n v="0"/>
    <n v="0"/>
    <n v="7901280"/>
    <n v="612145899663"/>
    <d v="2026-07-16T00:00:00"/>
    <n v="54000"/>
  </r>
  <r>
    <s v="Plastene Polyfilms Limited"/>
    <d v="2026-07-17T00:00:00"/>
    <s v="PPL/26-27/SII00909"/>
    <s v="WIP00013"/>
    <s v="LDPE/LLDPE Bags/Liner"/>
    <s v="PPL/RAW/26-27/333"/>
    <n v="1013"/>
    <n v="1013"/>
    <s v="Kgs"/>
    <n v="1013"/>
    <n v="0"/>
    <n v="1013"/>
    <s v="GJ12X1249"/>
    <s v="Plastene India ltd - Unit 1-Purchase"/>
    <s v="Plastene India ltd - Unit 1-Purchase"/>
    <s v="PIL1/D/1095"/>
    <d v="2026-07-17T00:00:00"/>
    <s v="RAW MATERIAL"/>
    <s v="INDIGENOUS"/>
    <s v="RM 336"/>
    <n v="182.78"/>
    <n v="182.78000110120999"/>
    <s v="PIL1/D/1095"/>
    <d v="2026-07-1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29904.95"/>
    <s v="SF"/>
    <s v="Liners"/>
    <x v="1"/>
    <s v="RM"/>
    <s v="erp"/>
    <n v="0"/>
    <n v="185156.14"/>
    <n v="341"/>
    <d v="2026-07-17T00:00:00"/>
    <s v="24AAACO3087C1ZT"/>
    <s v="storeppl"/>
    <s v="storeppl"/>
    <n v="9"/>
    <n v="16664.05"/>
    <n v="9"/>
    <n v="16664.05"/>
    <n v="0"/>
    <n v="0"/>
    <n v="829904.95"/>
    <n v="682147080224"/>
    <d v="2026-07-17T00:00:00"/>
    <n v="1013"/>
  </r>
  <r>
    <s v="Plastene Polyfilms Limited"/>
    <d v="2026-07-17T00:00:00"/>
    <s v="PPL/26-27/SII00909"/>
    <s v="WIP00023"/>
    <s v="PP UL Fabric With UV"/>
    <s v="PPL/RAW/26-27/333"/>
    <n v="355"/>
    <n v="355"/>
    <s v="Kgs"/>
    <n v="355"/>
    <n v="0"/>
    <n v="355"/>
    <s v="GJ12X1249"/>
    <s v="Plastene India ltd - Unit 1-Purchase"/>
    <s v="Plastene India ltd - Unit 1-Purchase"/>
    <s v="PIL1/D/1095"/>
    <d v="2026-07-17T00:00:00"/>
    <s v="RAW MATERIAL"/>
    <s v="INDIGENOUS"/>
    <s v="RM 336"/>
    <n v="147.49"/>
    <n v="147.490000888596"/>
    <s v="PIL1/D/1095"/>
    <d v="2026-07-1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29904.95"/>
    <s v="SF"/>
    <s v="PP/PE Fabric"/>
    <x v="0"/>
    <s v="RM"/>
    <s v="erp"/>
    <n v="0"/>
    <n v="52358.95"/>
    <n v="341"/>
    <d v="2026-07-17T00:00:00"/>
    <s v="24AAACO3087C1ZT"/>
    <s v="storeppl"/>
    <s v="storeppl"/>
    <n v="9"/>
    <n v="4712.3100000000004"/>
    <n v="9"/>
    <n v="4712.3100000000004"/>
    <n v="0"/>
    <n v="0"/>
    <n v="0"/>
    <n v="682147080224"/>
    <d v="2026-07-17T00:00:00"/>
    <n v="355"/>
  </r>
  <r>
    <s v="Plastene Polyfilms Limited"/>
    <d v="2026-07-17T00:00:00"/>
    <s v="PPL/26-27/SII00909"/>
    <s v="WIP00023"/>
    <s v="PP UL Fabric With UV"/>
    <s v="PPL/RAW/26-27/333"/>
    <n v="1385"/>
    <n v="1385"/>
    <s v="Kgs"/>
    <n v="1385"/>
    <n v="0"/>
    <n v="1385"/>
    <s v="GJ12X1249"/>
    <s v="Plastene India ltd - Unit 1-Purchase"/>
    <s v="Plastene India ltd - Unit 1-Purchase"/>
    <s v="PIL1/D/1095"/>
    <d v="2026-07-17T00:00:00"/>
    <s v="RAW MATERIAL"/>
    <s v="INDIGENOUS"/>
    <s v="RM 336"/>
    <n v="146.49"/>
    <n v="146.490000882571"/>
    <s v="PIL1/D/1095"/>
    <d v="2026-07-1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29904.95"/>
    <s v="SF"/>
    <s v="PP/PE Fabric"/>
    <x v="0"/>
    <s v="RM"/>
    <s v="erp"/>
    <n v="0"/>
    <n v="202888.65"/>
    <n v="341"/>
    <d v="2026-07-17T00:00:00"/>
    <s v="24AAACO3087C1ZT"/>
    <s v="storeppl"/>
    <s v="storeppl"/>
    <n v="9"/>
    <n v="18259.98"/>
    <n v="9"/>
    <n v="18259.98"/>
    <n v="0"/>
    <n v="0"/>
    <n v="0"/>
    <n v="682147080224"/>
    <d v="2026-07-17T00:00:00"/>
    <n v="1385"/>
  </r>
  <r>
    <s v="Plastene Polyfilms Limited"/>
    <d v="2026-07-17T00:00:00"/>
    <s v="PPL/26-27/SII00909"/>
    <s v="WIP00023"/>
    <s v="PP UL Fabric With UV"/>
    <s v="PPL/RAW/26-27/333"/>
    <n v="1113"/>
    <n v="1113"/>
    <s v="Kgs"/>
    <n v="1113"/>
    <n v="0"/>
    <n v="1113"/>
    <s v="GJ12X1249"/>
    <s v="Plastene India ltd - Unit 1-Purchase"/>
    <s v="Plastene India ltd - Unit 1-Purchase"/>
    <s v="PIL1/D/1095"/>
    <d v="2026-07-17T00:00:00"/>
    <s v="RAW MATERIAL"/>
    <s v="INDIGENOUS"/>
    <s v="RM 336"/>
    <n v="149.49"/>
    <n v="149.49000090064499"/>
    <s v="PIL1/D/1095"/>
    <d v="2026-07-1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29904.95"/>
    <s v="SF"/>
    <s v="PP/PE Fabric"/>
    <x v="0"/>
    <s v="RM"/>
    <s v="erp"/>
    <n v="0"/>
    <n v="166382.37"/>
    <n v="341"/>
    <d v="2026-07-17T00:00:00"/>
    <s v="24AAACO3087C1ZT"/>
    <s v="storeppl"/>
    <s v="storeppl"/>
    <n v="9"/>
    <n v="14974.41"/>
    <n v="9"/>
    <n v="14974.41"/>
    <n v="0"/>
    <n v="0"/>
    <n v="0"/>
    <n v="682147080224"/>
    <d v="2026-07-17T00:00:00"/>
    <n v="1113"/>
  </r>
  <r>
    <s v="Plastene Polyfilms Limited"/>
    <d v="2026-07-17T00:00:00"/>
    <s v="PPL/26-27/SII00909"/>
    <s v="WIP00032"/>
    <s v="Webbing"/>
    <s v="PPL/RAW/26-27/333"/>
    <n v="459.3"/>
    <n v="459.3"/>
    <s v="Kgs"/>
    <n v="459.3"/>
    <n v="0"/>
    <n v="459.3"/>
    <s v="GJ12X1249"/>
    <s v="Plastene India ltd - Unit 1-Purchase"/>
    <s v="Plastene India ltd - Unit 1-Purchase"/>
    <s v="PIL1/D/1095"/>
    <d v="2026-07-17T00:00:00"/>
    <s v="RAW MATERIAL"/>
    <s v="INDIGENOUS"/>
    <s v="RM 336"/>
    <n v="149.49"/>
    <n v="149.49000090064499"/>
    <s v="PIL1/D/1095"/>
    <d v="2026-07-1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29904.95"/>
    <s v="SF"/>
    <s v="Webbing"/>
    <x v="3"/>
    <s v="RM"/>
    <s v="erp"/>
    <n v="0"/>
    <n v="68660.759999999995"/>
    <n v="341"/>
    <d v="2026-07-17T00:00:00"/>
    <s v="24AAACO3087C1ZT"/>
    <s v="storeppl"/>
    <s v="storeppl"/>
    <n v="9"/>
    <n v="6179.47"/>
    <n v="9"/>
    <n v="6179.47"/>
    <n v="0"/>
    <n v="0"/>
    <n v="0"/>
    <n v="682147080224"/>
    <d v="2026-07-17T00:00:00"/>
    <n v="459.3"/>
  </r>
  <r>
    <s v="Plastene Polyfilms Limited"/>
    <d v="2026-07-17T00:00:00"/>
    <s v="PPL/26-27/SII00909"/>
    <s v="WIP00032"/>
    <s v="Webbing"/>
    <s v="PPL/RAW/26-27/333"/>
    <n v="190.2"/>
    <n v="190.2"/>
    <s v="Kgs"/>
    <n v="190.2"/>
    <n v="0"/>
    <n v="190.2"/>
    <s v="GJ12X1249"/>
    <s v="Plastene India ltd - Unit 1-Purchase"/>
    <s v="Plastene India ltd - Unit 1-Purchase"/>
    <s v="PIL1/D/1095"/>
    <d v="2026-07-17T00:00:00"/>
    <s v="RAW MATERIAL"/>
    <s v="INDIGENOUS"/>
    <s v="RM 336"/>
    <n v="146.49"/>
    <n v="146.490000882571"/>
    <s v="PIL1/D/1095"/>
    <d v="2026-07-1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29904.95"/>
    <s v="SF"/>
    <s v="Webbing"/>
    <x v="3"/>
    <s v="RM"/>
    <s v="erp"/>
    <n v="0"/>
    <n v="27862.400000000001"/>
    <n v="341"/>
    <d v="2026-07-17T00:00:00"/>
    <s v="24AAACO3087C1ZT"/>
    <s v="storeppl"/>
    <s v="storeppl"/>
    <n v="9"/>
    <n v="2507.62"/>
    <n v="9"/>
    <n v="2507.62"/>
    <n v="0"/>
    <n v="0"/>
    <n v="0"/>
    <n v="682147080224"/>
    <d v="2026-07-17T00:00:00"/>
    <n v="190.2"/>
  </r>
  <r>
    <s v="Plastene Polyfilms Limited"/>
    <d v="2026-07-18T00:00:00"/>
    <s v="PPL/26-27/SII00910"/>
    <s v="WIP00032"/>
    <s v="Webbing"/>
    <s v="PPL/RAW/26-27/334"/>
    <n v="553.4"/>
    <n v="553.4"/>
    <s v="Kgs"/>
    <n v="553.4"/>
    <n v="0"/>
    <n v="553.4"/>
    <s v="GJ12BY0479"/>
    <s v="Plastene India ltd - Unit 1-Purchase"/>
    <s v="Plastene India ltd - Unit 1-Purchase"/>
    <s v="PIL1/D/1097"/>
    <d v="2026-07-18T00:00:00"/>
    <s v="RAW MATERIAL"/>
    <s v="INDIGENOUS"/>
    <s v="RM 337"/>
    <n v="146.49"/>
    <n v="146.490001571645"/>
    <s v="PIL1/D/1097"/>
    <d v="2026-07-1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72832.25"/>
    <s v="SF"/>
    <s v="Webbing"/>
    <x v="3"/>
    <s v="RM"/>
    <s v="erp"/>
    <n v="0"/>
    <n v="81067.570000000007"/>
    <n v="342"/>
    <d v="2026-07-18T00:00:00"/>
    <s v="24AAACO3087C1ZT"/>
    <s v="storeppl"/>
    <s v="storeppl"/>
    <n v="9"/>
    <n v="7296.08"/>
    <n v="9"/>
    <n v="7296.08"/>
    <n v="0"/>
    <n v="0"/>
    <n v="372832.25"/>
    <n v="652147255625"/>
    <d v="2026-07-18T00:00:00"/>
    <n v="553.4"/>
  </r>
  <r>
    <s v="Plastene Polyfilms Limited"/>
    <d v="2026-07-18T00:00:00"/>
    <s v="PPL/26-27/SII00910"/>
    <s v="WIP00023"/>
    <s v="PP UL Fabric With UV"/>
    <s v="PPL/RAW/26-27/334"/>
    <n v="1626"/>
    <n v="1626"/>
    <s v="Kgs"/>
    <n v="1626"/>
    <n v="0"/>
    <n v="1626"/>
    <s v="GJ12BY0479"/>
    <s v="Plastene India ltd - Unit 1-Purchase"/>
    <s v="Plastene India ltd - Unit 1-Purchase"/>
    <s v="PIL1/D/1097"/>
    <d v="2026-07-18T00:00:00"/>
    <s v="RAW MATERIAL"/>
    <s v="INDIGENOUS"/>
    <s v="RM 337"/>
    <n v="144.46"/>
    <n v="144.46000154986601"/>
    <s v="PIL1/D/1097"/>
    <d v="2026-07-1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72832.25"/>
    <s v="SF"/>
    <s v="PP/PE Fabric"/>
    <x v="0"/>
    <s v="RM"/>
    <s v="erp"/>
    <n v="0"/>
    <n v="234891.96"/>
    <n v="342"/>
    <d v="2026-07-18T00:00:00"/>
    <s v="24AAACO3087C1ZT"/>
    <s v="storeppl"/>
    <s v="storeppl"/>
    <n v="9"/>
    <n v="21140.28"/>
    <n v="9"/>
    <n v="21140.28"/>
    <n v="0"/>
    <n v="0"/>
    <n v="0"/>
    <n v="652147255625"/>
    <d v="2026-07-18T00:00:00"/>
    <n v="1626"/>
  </r>
  <r>
    <s v="Plastene Polyfilms Limited"/>
    <d v="2026-07-18T00:00:00"/>
    <s v="PPL/26-27/SII00911"/>
    <s v="WIP00004"/>
    <s v="FIBC Bags With UV Without Liner"/>
    <s v="PPL/RAW/26-27/335"/>
    <n v="4973"/>
    <n v="4973"/>
    <s v="Kgs"/>
    <n v="4973"/>
    <n v="0"/>
    <n v="4973"/>
    <s v="GJ12BV4739"/>
    <s v="Plastene India ltd - Unit 1-Purchase"/>
    <s v="Plastene India ltd - Unit 1-Purchase"/>
    <s v="PIL1/D/1099"/>
    <d v="2026-07-18T00:00:00"/>
    <s v="RAW MATERIAL"/>
    <s v="INDIGENOUS"/>
    <s v="RM 338"/>
    <n v="219.46"/>
    <n v="219.46"/>
    <s v="PIL1/D/1099"/>
    <d v="2026-07-1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287822"/>
    <s v="FG"/>
    <s v="FIBC Bags"/>
    <x v="8"/>
    <s v="RM"/>
    <s v="erp"/>
    <n v="0"/>
    <n v="1091374.58"/>
    <n v="344"/>
    <d v="2026-07-18T00:00:00"/>
    <s v="24AAACO3087C1ZT"/>
    <s v="storeppl"/>
    <s v="storeppl"/>
    <n v="9"/>
    <n v="98223.71"/>
    <n v="9"/>
    <n v="98223.71"/>
    <n v="0"/>
    <n v="0"/>
    <n v="1287822"/>
    <n v="682147464613"/>
    <d v="2026-07-18T00:00:00"/>
    <n v="4973"/>
  </r>
  <r>
    <s v="Plastene Polyfilms Limited"/>
    <d v="2026-07-18T00:00:00"/>
    <s v="PPL/26-27/SII00915"/>
    <s v="WIP00004"/>
    <s v="FIBC Bags With UV Without Liner"/>
    <s v="PPL/RAW/26-27/336"/>
    <n v="10402.5"/>
    <n v="10402.5"/>
    <s v="Kgs"/>
    <n v="10402.5"/>
    <n v="0"/>
    <n v="10402.5"/>
    <s v="GJ12BY5178"/>
    <s v="K.P. Woven Pvt Ltd-Purchase"/>
    <s v="K.P. Woven Pvt Ltd-Purchase"/>
    <s v="KPV/D/482"/>
    <d v="2026-07-17T00:00:00"/>
    <s v="RAW MATERIAL"/>
    <s v="INDIGENOUS"/>
    <s v="RM 339"/>
    <n v="276.68"/>
    <n v="276.68"/>
    <s v="KPV/D/482"/>
    <d v="2026-07-17T00:00:00"/>
    <m/>
    <n v="0"/>
    <m/>
    <s v="SHREENA  ROADWAYS"/>
    <n v="2438"/>
    <n v="0"/>
    <n v="0"/>
    <n v="0"/>
    <n v="0"/>
    <n v="0"/>
    <s v="VAT"/>
    <n v="0"/>
    <n v="0"/>
    <n v="0"/>
    <n v="0"/>
    <n v="0"/>
    <m/>
    <n v="0"/>
    <n v="0"/>
    <n v="3396233.16"/>
    <s v="FG"/>
    <s v="FIBC Bags"/>
    <x v="8"/>
    <s v="RM"/>
    <s v="erp"/>
    <n v="0"/>
    <n v="2878163.7"/>
    <n v="343"/>
    <d v="2026-07-18T00:00:00"/>
    <s v="24AAECK6307M1ZF"/>
    <s v="storeppl"/>
    <s v="storeppl"/>
    <n v="9"/>
    <n v="259034.73"/>
    <n v="9"/>
    <n v="259034.73"/>
    <n v="0"/>
    <n v="0"/>
    <n v="3396233.16"/>
    <n v="602147005702"/>
    <d v="2026-07-17T00:00:00"/>
    <n v="10402.5"/>
  </r>
  <r>
    <s v="Plastene Polyfilms Limited"/>
    <d v="2026-07-18T00:00:00"/>
    <s v="PPL/26-27/SII00918"/>
    <s v="WIP00013"/>
    <s v="LDPE/LLDPE Bags/Liner"/>
    <s v="PPL/RAW/26-27/337"/>
    <n v="416"/>
    <n v="416"/>
    <s v="Kgs"/>
    <n v="416"/>
    <n v="0"/>
    <n v="416"/>
    <s v="GJ12X1249"/>
    <s v="Plastene India ltd - Unit 1-Purchase"/>
    <s v="Plastene India ltd - Unit 1-Purchase"/>
    <s v="PIL1/D/1109"/>
    <d v="2026-07-18T00:00:00"/>
    <s v="RAW MATERIAL"/>
    <s v="INDIGENOUS"/>
    <s v="RM 340"/>
    <n v="186.78"/>
    <n v="186.78000086112701"/>
    <s v="PIL1/D/1109"/>
    <d v="2026-07-1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84508.8500000001"/>
    <s v="SF"/>
    <s v="Liners"/>
    <x v="1"/>
    <s v="RM"/>
    <s v="erp"/>
    <n v="0"/>
    <n v="77700.479999999996"/>
    <n v="345"/>
    <d v="2026-07-18T00:00:00"/>
    <s v="24AAACO3087C1ZT"/>
    <s v="storeppl"/>
    <s v="storeppl"/>
    <n v="9"/>
    <n v="6993.04"/>
    <n v="9"/>
    <n v="6993.04"/>
    <n v="0"/>
    <n v="0"/>
    <n v="1084508.8500000001"/>
    <n v="622147780090"/>
    <d v="2026-07-18T00:00:00"/>
    <n v="416"/>
  </r>
  <r>
    <s v="Plastene Polyfilms Limited"/>
    <d v="2026-07-18T00:00:00"/>
    <s v="PPL/26-27/SII00918"/>
    <s v="WIP00025"/>
    <s v="PP Lam Fabric With UV"/>
    <s v="PPL/RAW/26-27/337"/>
    <n v="4058.7"/>
    <n v="4058.7"/>
    <s v="Kgs"/>
    <n v="4058.7"/>
    <n v="0"/>
    <n v="4058.7"/>
    <s v="GJ12X1249"/>
    <s v="Plastene India ltd - Unit 1-Purchase"/>
    <s v="Plastene India ltd - Unit 1-Purchase"/>
    <s v="PIL1/D/1109"/>
    <d v="2026-07-18T00:00:00"/>
    <s v="RAW MATERIAL"/>
    <s v="INDIGENOUS"/>
    <s v="RM 340"/>
    <n v="161.74"/>
    <n v="161.74000074568301"/>
    <s v="PIL1/D/1109"/>
    <d v="2026-07-1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84508.8500000001"/>
    <s v="SF"/>
    <s v="PP/PE Fabric"/>
    <x v="2"/>
    <s v="RM"/>
    <s v="erp"/>
    <n v="0"/>
    <n v="656454.14"/>
    <n v="345"/>
    <d v="2026-07-18T00:00:00"/>
    <s v="24AAACO3087C1ZT"/>
    <s v="storeppl"/>
    <s v="storeppl"/>
    <n v="9"/>
    <n v="59080.87"/>
    <n v="9"/>
    <n v="59080.87"/>
    <n v="0"/>
    <n v="0"/>
    <n v="0"/>
    <n v="622147780090"/>
    <d v="2026-07-18T00:00:00"/>
    <n v="4058.7"/>
  </r>
  <r>
    <s v="Plastene Polyfilms Limited"/>
    <d v="2026-07-18T00:00:00"/>
    <s v="PPL/26-27/SII00918"/>
    <s v="WIP00032"/>
    <s v="Webbing"/>
    <s v="PPL/RAW/26-27/337"/>
    <n v="783.4"/>
    <n v="783.4"/>
    <s v="Kgs"/>
    <n v="783.4"/>
    <n v="0"/>
    <n v="783.4"/>
    <s v="GJ12X1249"/>
    <s v="Plastene India ltd - Unit 1-Purchase"/>
    <s v="Plastene India ltd - Unit 1-Purchase"/>
    <s v="PIL1/D/1109"/>
    <d v="2026-07-18T00:00:00"/>
    <s v="RAW MATERIAL"/>
    <s v="INDIGENOUS"/>
    <s v="RM 340"/>
    <n v="149.49"/>
    <n v="149.490000689206"/>
    <s v="PIL1/D/1109"/>
    <d v="2026-07-1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84508.8500000001"/>
    <s v="SF"/>
    <s v="Webbing"/>
    <x v="3"/>
    <s v="RM"/>
    <s v="erp"/>
    <n v="0"/>
    <n v="117110.47"/>
    <n v="345"/>
    <d v="2026-07-18T00:00:00"/>
    <s v="24AAACO3087C1ZT"/>
    <s v="storeppl"/>
    <s v="storeppl"/>
    <n v="9"/>
    <n v="10539.94"/>
    <n v="9"/>
    <n v="10539.94"/>
    <n v="0"/>
    <n v="0"/>
    <n v="0"/>
    <n v="622147780090"/>
    <d v="2026-07-18T00:00:00"/>
    <n v="783.4"/>
  </r>
  <r>
    <s v="Plastene Polyfilms Limited"/>
    <d v="2026-07-18T00:00:00"/>
    <s v="PPL/26-27/SII00918"/>
    <s v="WIP00032"/>
    <s v="Webbing"/>
    <s v="PPL/RAW/26-27/337"/>
    <n v="462.9"/>
    <n v="462.9"/>
    <s v="Kgs"/>
    <n v="462.9"/>
    <n v="0"/>
    <n v="462.9"/>
    <s v="GJ12X1249"/>
    <s v="Plastene India ltd - Unit 1-Purchase"/>
    <s v="Plastene India ltd - Unit 1-Purchase"/>
    <s v="PIL1/D/1109"/>
    <d v="2026-07-18T00:00:00"/>
    <s v="RAW MATERIAL"/>
    <s v="INDIGENOUS"/>
    <s v="RM 340"/>
    <n v="146.49"/>
    <n v="146.490000675375"/>
    <s v="PIL1/D/1109"/>
    <d v="2026-07-1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84508.8500000001"/>
    <s v="SF"/>
    <s v="Webbing"/>
    <x v="3"/>
    <s v="RM"/>
    <s v="erp"/>
    <n v="0"/>
    <n v="67810.22"/>
    <n v="345"/>
    <d v="2026-07-18T00:00:00"/>
    <s v="24AAACO3087C1ZT"/>
    <s v="storeppl"/>
    <s v="storeppl"/>
    <n v="9"/>
    <n v="6102.92"/>
    <n v="9"/>
    <n v="6102.92"/>
    <n v="0"/>
    <n v="0"/>
    <n v="0"/>
    <n v="622147780090"/>
    <d v="2026-07-18T00:00:00"/>
    <n v="462.9"/>
  </r>
  <r>
    <s v="Plastene Polyfilms Limited"/>
    <d v="2026-07-19T00:00:00"/>
    <s v="PPL/26-27/SII00919"/>
    <s v="WIP00032"/>
    <s v="Webbing"/>
    <s v="PPL/RAW/26-27/339"/>
    <n v="1632.7"/>
    <n v="1632.7"/>
    <s v="Kgs"/>
    <n v="1632.7"/>
    <n v="0"/>
    <n v="1632.7"/>
    <s v="GJ24X8795"/>
    <s v="Plastene India ltd - Unit 2-Purchase"/>
    <s v="Plastene India ltd - Unit 2-Purchase"/>
    <s v="PIL2/D/391"/>
    <d v="2026-07-18T00:00:00"/>
    <s v="RAW MATERIAL"/>
    <s v="INDIGENOUS"/>
    <s v="RM 341"/>
    <n v="111.6"/>
    <n v="111.6"/>
    <s v="PIL2/D/391"/>
    <d v="2026-07-18T00:00:00"/>
    <s v="."/>
    <s v="."/>
    <m/>
    <s v="SHREENA ROADWAYS"/>
    <n v="2552"/>
    <n v="0"/>
    <n v="0"/>
    <n v="0"/>
    <n v="0"/>
    <n v="0"/>
    <s v="VAT"/>
    <n v="0"/>
    <n v="0"/>
    <n v="0"/>
    <n v="0"/>
    <n v="0"/>
    <m/>
    <n v="0"/>
    <n v="0"/>
    <n v="343090.92"/>
    <s v="SF"/>
    <s v="Webbing"/>
    <x v="3"/>
    <s v="RM"/>
    <s v="erp"/>
    <n v="0"/>
    <n v="182209.32"/>
    <n v="346"/>
    <d v="2026-07-19T00:00:00"/>
    <s v="24AAACO3087C1ZT"/>
    <s v="storeppl"/>
    <s v="storeppl"/>
    <n v="9"/>
    <n v="16398.84"/>
    <n v="9"/>
    <n v="16398.84"/>
    <n v="0"/>
    <n v="0"/>
    <n v="343090.92"/>
    <n v="622147653705"/>
    <d v="2026-07-18T00:00:00"/>
    <n v="1632.7"/>
  </r>
  <r>
    <s v="Plastene Polyfilms Limited"/>
    <d v="2026-07-19T00:00:00"/>
    <s v="PPL/26-27/SII00919"/>
    <s v="WIP00032"/>
    <s v="Webbing"/>
    <s v="PPL/RAW/26-27/339"/>
    <n v="999.5"/>
    <n v="999.5"/>
    <s v="Kgs"/>
    <n v="999.5"/>
    <n v="0"/>
    <n v="999.5"/>
    <s v="GJ24X8795"/>
    <s v="Plastene India ltd - Unit 2-Purchase"/>
    <s v="Plastene India ltd - Unit 2-Purchase"/>
    <s v="PIL2/D/391"/>
    <d v="2026-07-18T00:00:00"/>
    <s v="RAW MATERIAL"/>
    <s v="INDIGENOUS"/>
    <s v="RM 341"/>
    <n v="108.6"/>
    <n v="108.6"/>
    <s v="PIL2/D/391"/>
    <d v="2026-07-18T00:00:00"/>
    <s v="."/>
    <s v="."/>
    <m/>
    <s v="SHREENA ROADWAYS"/>
    <n v="2552"/>
    <n v="0"/>
    <n v="0"/>
    <n v="0"/>
    <n v="0"/>
    <n v="0"/>
    <s v="VAT"/>
    <n v="0"/>
    <n v="0"/>
    <n v="0"/>
    <n v="0"/>
    <n v="0"/>
    <m/>
    <n v="0"/>
    <n v="0"/>
    <n v="343090.92"/>
    <s v="SF"/>
    <s v="Webbing"/>
    <x v="3"/>
    <s v="RM"/>
    <s v="erp"/>
    <n v="0"/>
    <n v="108545.7"/>
    <n v="346"/>
    <d v="2026-07-19T00:00:00"/>
    <s v="24AAACO3087C1ZT"/>
    <s v="storeppl"/>
    <s v="storeppl"/>
    <n v="9"/>
    <n v="9769.11"/>
    <n v="9"/>
    <n v="9769.11"/>
    <n v="0"/>
    <n v="0"/>
    <n v="0"/>
    <n v="622147653705"/>
    <d v="2026-07-18T00:00:00"/>
    <n v="999.5"/>
  </r>
  <r>
    <s v="Plastene Polyfilms Limited"/>
    <d v="2026-07-19T00:00:00"/>
    <s v="PPL/26-27/SII00920"/>
    <s v="WIP00003"/>
    <s v="FIBC Bags With UV With Liner"/>
    <s v="PPL/RAW/26-27/340"/>
    <n v="2856"/>
    <n v="2856"/>
    <s v="Kgs"/>
    <n v="2856"/>
    <n v="0"/>
    <n v="2856"/>
    <s v="GJ12BZ4679"/>
    <s v="K.P. Woven Pvt Ltd-Purchase"/>
    <s v="K.P. Woven Pvt Ltd-Purchase"/>
    <s v="KPV/D/487"/>
    <d v="2026-07-18T00:00:00"/>
    <s v="RAW MATERIAL"/>
    <s v="INDIGENOUS"/>
    <s v="RM 342"/>
    <n v="250.51"/>
    <n v="250.51"/>
    <s v="KPV/D/487"/>
    <d v="2026-07-18T00:00:00"/>
    <s v="."/>
    <s v="."/>
    <m/>
    <s v="G NAAM LOGISTICS"/>
    <n v="1926"/>
    <n v="0"/>
    <n v="0"/>
    <n v="0"/>
    <n v="0"/>
    <n v="0"/>
    <s v="VAT"/>
    <n v="0"/>
    <n v="0"/>
    <n v="0"/>
    <n v="0"/>
    <n v="0"/>
    <m/>
    <n v="0"/>
    <n v="0"/>
    <n v="2620310.0299999998"/>
    <s v="FG"/>
    <s v="FIBC Bags"/>
    <x v="8"/>
    <s v="RM"/>
    <s v="erp"/>
    <n v="0"/>
    <n v="715456.56"/>
    <n v="347"/>
    <d v="2026-07-19T00:00:00"/>
    <s v="24AAECK6307M1ZF"/>
    <s v="storeppl"/>
    <s v="storeppl"/>
    <n v="9"/>
    <n v="64391.09"/>
    <n v="9"/>
    <n v="64391.09"/>
    <n v="0"/>
    <n v="0"/>
    <n v="2620310.0299999998"/>
    <n v="692147727212"/>
    <d v="2026-07-18T00:00:00"/>
    <n v="2856"/>
  </r>
  <r>
    <s v="Plastene Polyfilms Limited"/>
    <d v="2026-07-19T00:00:00"/>
    <s v="PPL/26-27/SII00920"/>
    <s v="WIP00004"/>
    <s v="FIBC Bags With UV Without Liner"/>
    <s v="PPL/RAW/26-27/340"/>
    <n v="2588.5"/>
    <n v="2588.5"/>
    <s v="Kgs"/>
    <n v="2588.5"/>
    <n v="0"/>
    <n v="2588.5"/>
    <s v="GJ12BZ4679"/>
    <s v="K.P. Woven Pvt Ltd-Purchase"/>
    <s v="K.P. Woven Pvt Ltd-Purchase"/>
    <s v="KPV/D/487"/>
    <d v="2026-07-18T00:00:00"/>
    <s v="RAW MATERIAL"/>
    <s v="INDIGENOUS"/>
    <s v="RM 342"/>
    <n v="276.2"/>
    <n v="276.2"/>
    <s v="KPV/D/487"/>
    <d v="2026-07-18T00:00:00"/>
    <s v="."/>
    <s v="."/>
    <m/>
    <s v="G NAAM LOGISTICS"/>
    <n v="1926"/>
    <n v="0"/>
    <n v="0"/>
    <n v="0"/>
    <n v="0"/>
    <n v="0"/>
    <s v="VAT"/>
    <n v="0"/>
    <n v="0"/>
    <n v="0"/>
    <n v="0"/>
    <n v="0"/>
    <m/>
    <n v="0"/>
    <n v="0"/>
    <n v="2620310.0299999998"/>
    <s v="FG"/>
    <s v="FIBC Bags"/>
    <x v="8"/>
    <s v="RM"/>
    <s v="erp"/>
    <n v="0"/>
    <n v="714943.7"/>
    <n v="347"/>
    <d v="2026-07-19T00:00:00"/>
    <s v="24AAECK6307M1ZF"/>
    <s v="storeppl"/>
    <s v="storeppl"/>
    <n v="9"/>
    <n v="64344.93"/>
    <n v="9"/>
    <n v="64344.93"/>
    <n v="0"/>
    <n v="0"/>
    <n v="0"/>
    <n v="692147727212"/>
    <d v="2026-07-18T00:00:00"/>
    <n v="2588.5"/>
  </r>
  <r>
    <s v="Plastene Polyfilms Limited"/>
    <d v="2026-07-19T00:00:00"/>
    <s v="PPL/26-27/SII00920"/>
    <s v="WIP00003"/>
    <s v="FIBC Bags With UV With Liner"/>
    <s v="PPL/RAW/26-27/340"/>
    <n v="2883"/>
    <n v="2883"/>
    <s v="Kgs"/>
    <n v="2883"/>
    <n v="0"/>
    <n v="2883"/>
    <s v="GJ12BZ4679"/>
    <s v="K.P. Woven Pvt Ltd-Purchase"/>
    <s v="K.P. Woven Pvt Ltd-Purchase"/>
    <s v="KPV/D/487"/>
    <d v="2026-07-18T00:00:00"/>
    <s v="RAW MATERIAL"/>
    <s v="INDIGENOUS"/>
    <s v="RM 342"/>
    <n v="274.08999999999997"/>
    <n v="274.08999999999997"/>
    <s v="KPV/D/487"/>
    <d v="2026-07-18T00:00:00"/>
    <s v="."/>
    <s v="."/>
    <m/>
    <s v="G NAAM LOGISTICS"/>
    <n v="1926"/>
    <n v="0"/>
    <n v="0"/>
    <n v="0"/>
    <n v="0"/>
    <n v="0"/>
    <s v="VAT"/>
    <n v="0"/>
    <n v="0"/>
    <n v="0"/>
    <n v="0"/>
    <n v="0"/>
    <m/>
    <n v="0"/>
    <n v="0"/>
    <n v="2620310.0299999998"/>
    <s v="FG"/>
    <s v="FIBC Bags"/>
    <x v="8"/>
    <s v="RM"/>
    <s v="erp"/>
    <n v="0"/>
    <n v="790201.47"/>
    <n v="347"/>
    <d v="2026-07-19T00:00:00"/>
    <s v="24AAECK6307M1ZF"/>
    <s v="storeppl"/>
    <s v="storeppl"/>
    <n v="9"/>
    <n v="71118.13"/>
    <n v="9"/>
    <n v="71118.13"/>
    <n v="0"/>
    <n v="0"/>
    <n v="0"/>
    <n v="692147727212"/>
    <d v="2026-07-18T00:00:00"/>
    <n v="2883"/>
  </r>
  <r>
    <s v="Plastene Polyfilms Limited"/>
    <d v="2026-07-19T00:00:00"/>
    <s v="PPL/26-27/SII00922"/>
    <s v="WIP00151"/>
    <s v="PP MF Yarn Twisted 1000 UV NW"/>
    <s v="PPL/RAW/26-27/338"/>
    <n v="245"/>
    <n v="245"/>
    <s v="Kgs"/>
    <n v="245"/>
    <n v="0"/>
    <n v="245"/>
    <s v="GJ12X1249"/>
    <s v="Plastene India ltd - Unit 1-Purchase"/>
    <s v="Plastene India ltd - Unit 1-Purchase"/>
    <s v="PIL1/D/1106"/>
    <d v="2026-07-18T00:00:00"/>
    <s v="RAW MATERIAL"/>
    <s v="INDIGENOUS"/>
    <s v="RM 343"/>
    <n v="156.49"/>
    <n v="156.49"/>
    <s v="PIL1/D/1106"/>
    <d v="2026-07-1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0257.050000000003"/>
    <s v="SF"/>
    <s v="Yarn All"/>
    <x v="5"/>
    <s v="RM"/>
    <m/>
    <n v="0"/>
    <n v="38340.050000000003"/>
    <n v="349"/>
    <d v="2026-07-19T00:00:00"/>
    <s v="24AAACO3087C1ZT"/>
    <s v="storeppl"/>
    <s v="storeppl"/>
    <n v="2.5"/>
    <n v="958.5"/>
    <n v="2.5"/>
    <n v="958.5"/>
    <n v="0"/>
    <n v="0"/>
    <n v="40257.050000000003"/>
    <n v="682147765839"/>
    <d v="2026-07-18T00:00:00"/>
    <n v="245"/>
  </r>
  <r>
    <s v="Plastene Polyfilms Limited"/>
    <d v="2026-07-19T00:00:00"/>
    <s v="PPL/26-27/SII00923"/>
    <s v="WIP00151"/>
    <s v="PP MF Yarn Twisted 1000 UV NW"/>
    <s v="PPL/RAW/26-27/341"/>
    <n v="925.7"/>
    <n v="925.7"/>
    <s v="Kgs"/>
    <n v="925.7"/>
    <n v="0"/>
    <n v="925.7"/>
    <s v="GJ12X1249"/>
    <s v="Plastene India ltd - Unit 1-Purchase"/>
    <s v="Plastene India ltd - Unit 1-Purchase"/>
    <s v="PIL1/D/1115"/>
    <d v="2026-07-19T00:00:00"/>
    <s v="RAW MATERIAL"/>
    <s v="INDIGENOUS"/>
    <s v="RM 344"/>
    <n v="156.49"/>
    <n v="156.48999854836299"/>
    <s v="PIL1/D/1115"/>
    <d v="2026-07-1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09233.9"/>
    <s v="SF"/>
    <s v="Yarn All"/>
    <x v="5"/>
    <s v="RM"/>
    <m/>
    <n v="0"/>
    <n v="144862.79"/>
    <n v="348"/>
    <d v="2026-07-19T00:00:00"/>
    <s v="24AAACO3087C1ZT"/>
    <s v="storeppl"/>
    <s v="storeppl"/>
    <n v="2.5"/>
    <n v="3621.57"/>
    <n v="2.5"/>
    <n v="3621.57"/>
    <n v="0"/>
    <n v="0"/>
    <n v="1509233.9"/>
    <n v="632148032609"/>
    <d v="2026-07-19T00:00:00"/>
    <n v="925.7"/>
  </r>
  <r>
    <s v="Plastene Polyfilms Limited"/>
    <d v="2026-07-19T00:00:00"/>
    <s v="PPL/26-27/SII00923"/>
    <s v="WIP00032"/>
    <s v="Webbing"/>
    <s v="PPL/RAW/26-27/341"/>
    <n v="623.70000000000005"/>
    <n v="623.70000000000005"/>
    <s v="Kgs"/>
    <n v="623.70000000000005"/>
    <n v="0"/>
    <n v="623.70000000000005"/>
    <s v="GJ12X1249"/>
    <s v="Plastene India ltd - Unit 1-Purchase"/>
    <s v="Plastene India ltd - Unit 1-Purchase"/>
    <s v="PIL1/D/1115"/>
    <d v="2026-07-19T00:00:00"/>
    <s v="RAW MATERIAL"/>
    <s v="INDIGENOUS"/>
    <s v="RM 344"/>
    <n v="149.49"/>
    <n v="149.489998613296"/>
    <s v="PIL1/D/1115"/>
    <d v="2026-07-1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09233.9"/>
    <s v="SF"/>
    <s v="Webbing"/>
    <x v="3"/>
    <s v="RM"/>
    <s v="erp"/>
    <n v="0"/>
    <n v="93236.91"/>
    <n v="348"/>
    <d v="2026-07-19T00:00:00"/>
    <s v="24AAACO3087C1ZT"/>
    <s v="storeppl"/>
    <s v="storeppl"/>
    <n v="9"/>
    <n v="8391.32"/>
    <n v="9"/>
    <n v="8391.32"/>
    <n v="0"/>
    <n v="0"/>
    <n v="0"/>
    <n v="632148032609"/>
    <d v="2026-07-19T00:00:00"/>
    <n v="623.70000000000005"/>
  </r>
  <r>
    <s v="Plastene Polyfilms Limited"/>
    <d v="2026-07-19T00:00:00"/>
    <s v="PPL/26-27/SII00923"/>
    <s v="WIP00032"/>
    <s v="Webbing"/>
    <s v="PPL/RAW/26-27/341"/>
    <n v="471.6"/>
    <n v="471.6"/>
    <s v="Kgs"/>
    <n v="471.6"/>
    <n v="0"/>
    <n v="471.6"/>
    <s v="GJ12X1249"/>
    <s v="Plastene India ltd - Unit 1-Purchase"/>
    <s v="Plastene India ltd - Unit 1-Purchase"/>
    <s v="PIL1/D/1115"/>
    <d v="2026-07-19T00:00:00"/>
    <s v="RAW MATERIAL"/>
    <s v="INDIGENOUS"/>
    <s v="RM 344"/>
    <n v="146.49"/>
    <n v="146.489998641125"/>
    <s v="PIL1/D/1115"/>
    <d v="2026-07-1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09233.9"/>
    <s v="SF"/>
    <s v="Webbing"/>
    <x v="3"/>
    <s v="RM"/>
    <s v="erp"/>
    <n v="0"/>
    <n v="69084.679999999993"/>
    <n v="348"/>
    <d v="2026-07-19T00:00:00"/>
    <s v="24AAACO3087C1ZT"/>
    <s v="storeppl"/>
    <s v="storeppl"/>
    <n v="9"/>
    <n v="6217.62"/>
    <n v="9"/>
    <n v="6217.62"/>
    <n v="0"/>
    <n v="0"/>
    <n v="0"/>
    <n v="632148032609"/>
    <d v="2026-07-19T00:00:00"/>
    <n v="471.6"/>
  </r>
  <r>
    <s v="Plastene Polyfilms Limited"/>
    <d v="2026-07-19T00:00:00"/>
    <s v="PPL/26-27/SII00923"/>
    <s v="WIP00025"/>
    <s v="PP Lam Fabric With UV"/>
    <s v="PPL/RAW/26-27/341"/>
    <n v="2742"/>
    <n v="2742"/>
    <s v="Kgs"/>
    <n v="2742"/>
    <n v="0"/>
    <n v="2742"/>
    <s v="GJ12X1249"/>
    <s v="Plastene India ltd - Unit 1-Purchase"/>
    <s v="Plastene India ltd - Unit 1-Purchase"/>
    <s v="PIL1/D/1115"/>
    <d v="2026-07-19T00:00:00"/>
    <s v="RAW MATERIAL"/>
    <s v="INDIGENOUS"/>
    <s v="RM 344"/>
    <n v="151.49"/>
    <n v="151.48999859474401"/>
    <s v="PIL1/D/1115"/>
    <d v="2026-07-1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09233.9"/>
    <s v="SF"/>
    <s v="PP/PE Fabric"/>
    <x v="2"/>
    <s v="RM"/>
    <s v="erp"/>
    <n v="0"/>
    <n v="415385.58"/>
    <n v="348"/>
    <d v="2026-07-19T00:00:00"/>
    <s v="24AAACO3087C1ZT"/>
    <s v="storeppl"/>
    <s v="storeppl"/>
    <n v="9"/>
    <n v="37384.699999999997"/>
    <n v="9"/>
    <n v="37384.699999999997"/>
    <n v="0"/>
    <n v="0"/>
    <n v="0"/>
    <n v="632148032609"/>
    <d v="2026-07-19T00:00:00"/>
    <n v="2742"/>
  </r>
  <r>
    <s v="Plastene Polyfilms Limited"/>
    <d v="2026-07-19T00:00:00"/>
    <s v="PPL/26-27/SII00923"/>
    <s v="WIP00013"/>
    <s v="LDPE/LLDPE Bags/Liner"/>
    <s v="PPL/RAW/26-27/341"/>
    <n v="1174.3"/>
    <n v="1174.3"/>
    <s v="Kgs"/>
    <n v="1174.3"/>
    <n v="0"/>
    <n v="1174.3"/>
    <s v="GJ12X1249"/>
    <s v="Plastene India ltd - Unit 1-Purchase"/>
    <s v="Plastene India ltd - Unit 1-Purchase"/>
    <s v="PIL1/D/1115"/>
    <d v="2026-07-19T00:00:00"/>
    <s v="RAW MATERIAL"/>
    <s v="INDIGENOUS"/>
    <s v="RM 344"/>
    <n v="182.78"/>
    <n v="182.77999830449099"/>
    <s v="PIL1/D/1115"/>
    <d v="2026-07-1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09233.9"/>
    <s v="SF"/>
    <s v="Liners"/>
    <x v="1"/>
    <s v="RM"/>
    <s v="erp"/>
    <n v="0"/>
    <n v="214638.55"/>
    <n v="348"/>
    <d v="2026-07-19T00:00:00"/>
    <s v="24AAACO3087C1ZT"/>
    <s v="storeppl"/>
    <s v="storeppl"/>
    <n v="9"/>
    <n v="19317.47"/>
    <n v="9"/>
    <n v="19317.47"/>
    <n v="0"/>
    <n v="0"/>
    <n v="0"/>
    <n v="632148032609"/>
    <d v="2026-07-19T00:00:00"/>
    <n v="1174.3"/>
  </r>
  <r>
    <s v="Plastene Polyfilms Limited"/>
    <d v="2026-07-19T00:00:00"/>
    <s v="PPL/26-27/SII00923"/>
    <s v="WIP00013"/>
    <s v="LDPE/LLDPE Bags/Liner"/>
    <s v="PPL/RAW/26-27/341"/>
    <n v="527"/>
    <n v="527"/>
    <s v="Kgs"/>
    <n v="527"/>
    <n v="0"/>
    <n v="527"/>
    <s v="GJ12X1249"/>
    <s v="Plastene India ltd - Unit 1-Purchase"/>
    <s v="Plastene India ltd - Unit 1-Purchase"/>
    <s v="PIL1/D/1115"/>
    <d v="2026-07-19T00:00:00"/>
    <s v="RAW MATERIAL"/>
    <s v="INDIGENOUS"/>
    <s v="RM 344"/>
    <n v="202.78"/>
    <n v="202.77999811896601"/>
    <s v="PIL1/D/1115"/>
    <d v="2026-07-1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09233.9"/>
    <s v="SF"/>
    <s v="Liners"/>
    <x v="1"/>
    <s v="RM"/>
    <s v="erp"/>
    <n v="0"/>
    <n v="106865.06"/>
    <n v="348"/>
    <d v="2026-07-19T00:00:00"/>
    <s v="24AAACO3087C1ZT"/>
    <s v="storeppl"/>
    <s v="storeppl"/>
    <n v="9"/>
    <n v="9617.86"/>
    <n v="9"/>
    <n v="9617.86"/>
    <n v="0"/>
    <n v="0"/>
    <n v="0"/>
    <n v="632148032609"/>
    <d v="2026-07-19T00:00:00"/>
    <n v="527"/>
  </r>
  <r>
    <s v="Plastene Polyfilms Limited"/>
    <d v="2026-07-19T00:00:00"/>
    <s v="PPL/26-27/SII00923"/>
    <s v="WIP00023"/>
    <s v="PP UL Fabric With UV"/>
    <s v="PPL/RAW/26-27/341"/>
    <n v="1336"/>
    <n v="1336"/>
    <s v="Kgs"/>
    <n v="1336"/>
    <n v="0"/>
    <n v="1336"/>
    <s v="GJ12X1249"/>
    <s v="Plastene India ltd - Unit 1-Purchase"/>
    <s v="Plastene India ltd - Unit 1-Purchase"/>
    <s v="PIL1/D/1115"/>
    <d v="2026-07-19T00:00:00"/>
    <s v="RAW MATERIAL"/>
    <s v="INDIGENOUS"/>
    <s v="RM 344"/>
    <n v="149.49"/>
    <n v="149.489998613296"/>
    <s v="PIL1/D/1115"/>
    <d v="2026-07-1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09233.9"/>
    <s v="SF"/>
    <s v="PP/PE Fabric"/>
    <x v="0"/>
    <s v="RM"/>
    <s v="erp"/>
    <n v="0"/>
    <n v="199718.64"/>
    <n v="348"/>
    <d v="2026-07-19T00:00:00"/>
    <s v="24AAACO3087C1ZT"/>
    <s v="storeppl"/>
    <s v="storeppl"/>
    <n v="9"/>
    <n v="17974.68"/>
    <n v="9"/>
    <n v="17974.68"/>
    <n v="0"/>
    <n v="0"/>
    <n v="0"/>
    <n v="632148032609"/>
    <d v="2026-07-19T00:00:00"/>
    <n v="1336"/>
  </r>
  <r>
    <s v="Plastene Polyfilms Limited"/>
    <d v="2026-07-19T00:00:00"/>
    <s v="PPL/26-27/SII00923"/>
    <s v="WIP00023"/>
    <s v="PP UL Fabric With UV"/>
    <s v="PPL/RAW/26-27/341"/>
    <n v="347"/>
    <n v="347"/>
    <s v="Kgs"/>
    <n v="347"/>
    <n v="0"/>
    <n v="347"/>
    <s v="GJ12X1249"/>
    <s v="Plastene India ltd - Unit 1-Purchase"/>
    <s v="Plastene India ltd - Unit 1-Purchase"/>
    <s v="PIL1/D/1115"/>
    <d v="2026-07-19T00:00:00"/>
    <s v="RAW MATERIAL"/>
    <s v="INDIGENOUS"/>
    <s v="RM 344"/>
    <n v="147.49"/>
    <n v="147.48999863184901"/>
    <s v="PIL1/D/1115"/>
    <d v="2026-07-1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09233.9"/>
    <s v="SF"/>
    <s v="PP/PE Fabric"/>
    <x v="0"/>
    <s v="RM"/>
    <s v="erp"/>
    <n v="0"/>
    <n v="51179.03"/>
    <n v="348"/>
    <d v="2026-07-19T00:00:00"/>
    <s v="24AAACO3087C1ZT"/>
    <s v="storeppl"/>
    <s v="storeppl"/>
    <n v="9"/>
    <n v="4606.1099999999997"/>
    <n v="9"/>
    <n v="4606.1099999999997"/>
    <n v="0"/>
    <n v="0"/>
    <n v="0"/>
    <n v="632148032609"/>
    <d v="2026-07-19T00:00:00"/>
    <n v="347"/>
  </r>
  <r>
    <s v="Plastene Polyfilms Limited"/>
    <d v="2026-07-20T00:00:00"/>
    <s v="PPL/26-27/SII00931"/>
    <s v="WIP00002"/>
    <s v="RP Granules"/>
    <s v="PPL/RAW/26-27/342"/>
    <n v="5075"/>
    <n v="5075"/>
    <s v="Kgs"/>
    <n v="5075"/>
    <n v="0"/>
    <n v="5075"/>
    <s v="GJ12X1249"/>
    <s v="Plastene India ltd - Unit 1-Purchase"/>
    <s v="Plastene India ltd - Unit 1-Purchase"/>
    <s v="PIL1/D/1120"/>
    <d v="2026-07-20T00:00:00"/>
    <s v="RAW MATERIAL"/>
    <s v="INDIGENOUS"/>
    <s v="RM 345"/>
    <n v="105"/>
    <n v="105"/>
    <s v="PIL1/D/1120"/>
    <d v="2026-07-20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28792.5"/>
    <s v="SF"/>
    <s v="RP Granules"/>
    <x v="12"/>
    <s v="SF"/>
    <s v="erp"/>
    <n v="0"/>
    <n v="532875"/>
    <n v="353"/>
    <d v="2026-07-20T00:00:00"/>
    <s v="24AAACO3087C1ZT"/>
    <s v="storeppl"/>
    <s v="storeppl"/>
    <n v="9"/>
    <n v="47958.75"/>
    <n v="9"/>
    <n v="47958.75"/>
    <n v="0"/>
    <n v="0"/>
    <n v="628792.5"/>
    <n v="692148346537"/>
    <d v="2026-07-20T00:00:00"/>
    <n v="5075"/>
  </r>
  <r>
    <s v="Plastene Polyfilms Limited"/>
    <d v="2026-07-20T00:00:00"/>
    <s v="PPL/26-27/SII00932"/>
    <s v="RAW05764"/>
    <s v="Thinner Vyankatesh Thinner"/>
    <s v="PPL/RAW/26-27/343"/>
    <n v="170"/>
    <n v="170"/>
    <s v="Kgs"/>
    <n v="170"/>
    <n v="0"/>
    <n v="170"/>
    <s v="GJ12BT2409"/>
    <s v="Hcp Plastene Bulkpack Ltd (Unit-Iv) - Purchase"/>
    <s v="Hcp Plastene Bulkpack Ltd (Unit-Iv) - Purchase"/>
    <s v="HPBL4/D/173"/>
    <d v="2026-07-20T00:00:00"/>
    <s v="RAW MATERIAL"/>
    <s v="INDIGENOUS"/>
    <s v="RM 346"/>
    <n v="282"/>
    <n v="282"/>
    <s v="HPBL4/D/173"/>
    <d v="2026-07-20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6569.2"/>
    <s v="RM Consumables"/>
    <s v="Ink"/>
    <x v="15"/>
    <s v="RM Consumables"/>
    <s v="erp"/>
    <n v="0"/>
    <n v="47940"/>
    <n v="350"/>
    <d v="2026-07-20T00:00:00"/>
    <s v="24AABCG1282C2Z6"/>
    <s v="storeppl"/>
    <s v="storeppl"/>
    <n v="9"/>
    <n v="4314.6000000000004"/>
    <n v="9"/>
    <n v="4314.6000000000004"/>
    <n v="0"/>
    <n v="0"/>
    <n v="56569.2"/>
    <n v="662148472846"/>
    <d v="2026-07-20T00:00:00"/>
    <n v="170"/>
  </r>
  <r>
    <s v="Plastene Polyfilms Limited"/>
    <d v="2026-07-20T00:00:00"/>
    <s v="PPL/26-27/SII00933"/>
    <s v="WIP00025"/>
    <s v="PP Lam Fabric With UV"/>
    <s v="PPL/RAW/26-27/344"/>
    <n v="292"/>
    <n v="292"/>
    <s v="Kgs"/>
    <n v="292"/>
    <n v="0"/>
    <n v="292"/>
    <s v="GJ12X1249"/>
    <s v="Plastene India ltd - Unit 1-Purchase"/>
    <s v="Plastene India ltd - Unit 1-Purchase"/>
    <s v="PIL1/D/1126"/>
    <d v="2026-07-20T00:00:00"/>
    <s v="RAW MATERIAL"/>
    <s v="INDIGENOUS"/>
    <s v="RM 347"/>
    <n v="151.49"/>
    <n v="151.49"/>
    <s v="PIL1/D/1126"/>
    <d v="2026-07-20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2197.4"/>
    <s v="SF"/>
    <s v="PP/PE Fabric"/>
    <x v="2"/>
    <s v="RM"/>
    <s v="erp"/>
    <n v="0"/>
    <n v="44235.08"/>
    <n v="352"/>
    <d v="2026-07-20T00:00:00"/>
    <s v="24AAACO3087C1ZT"/>
    <s v="storeppl"/>
    <s v="storeppl"/>
    <n v="9"/>
    <n v="3981.16"/>
    <n v="9"/>
    <n v="3981.16"/>
    <n v="0"/>
    <n v="0"/>
    <n v="52197.4"/>
    <n v="682148498918"/>
    <d v="2026-07-20T00:00:00"/>
    <n v="292"/>
  </r>
  <r>
    <s v="Plastene Polyfilms Limited"/>
    <d v="2026-07-20T00:00:00"/>
    <s v="PPL/26-27/SII00934"/>
    <s v="WIP00025"/>
    <s v="PP Lam Fabric With UV"/>
    <s v="PPL/RAW/26-27/346"/>
    <n v="507"/>
    <n v="507"/>
    <s v="Kgs"/>
    <n v="507"/>
    <n v="0"/>
    <n v="507"/>
    <s v="GJ12X1249"/>
    <s v="Plastene India ltd - Unit 1-Purchase"/>
    <s v="Plastene India ltd - Unit 1-Purchase"/>
    <s v="PIL1/D/1123"/>
    <d v="2026-07-20T00:00:00"/>
    <s v="RAW MATERIAL"/>
    <s v="INDIGENOUS"/>
    <s v="RM 348"/>
    <n v="148.49"/>
    <n v="148.49000727276101"/>
    <s v="PIL1/D/1123"/>
    <d v="2026-07-20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28762.91"/>
    <s v="SF"/>
    <s v="PP/PE Fabric"/>
    <x v="2"/>
    <s v="RM"/>
    <s v="erp"/>
    <n v="0"/>
    <n v="75284.429999999993"/>
    <n v="351"/>
    <d v="2026-07-20T00:00:00"/>
    <s v="24AAACO3087C1ZT"/>
    <s v="storeppl"/>
    <s v="storeppl"/>
    <n v="9"/>
    <n v="6775.6"/>
    <n v="9"/>
    <n v="6775.6"/>
    <n v="0"/>
    <n v="0"/>
    <n v="428762.91"/>
    <n v="682148459382"/>
    <d v="2026-07-20T00:00:00"/>
    <n v="507"/>
  </r>
  <r>
    <s v="Plastene Polyfilms Limited"/>
    <d v="2026-07-20T00:00:00"/>
    <s v="PPL/26-27/SII00934"/>
    <s v="WIP00025"/>
    <s v="PP Lam Fabric With UV"/>
    <s v="PPL/RAW/26-27/346"/>
    <n v="375"/>
    <n v="375"/>
    <s v="Kgs"/>
    <n v="375"/>
    <n v="0"/>
    <n v="375"/>
    <s v="GJ12X1249"/>
    <s v="Plastene India ltd - Unit 1-Purchase"/>
    <s v="Plastene India ltd - Unit 1-Purchase"/>
    <s v="PIL1/D/1123"/>
    <d v="2026-07-20T00:00:00"/>
    <s v="RAW MATERIAL"/>
    <s v="INDIGENOUS"/>
    <s v="RM 348"/>
    <n v="151.49"/>
    <n v="151.49000741969499"/>
    <s v="PIL1/D/1123"/>
    <d v="2026-07-20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28762.91"/>
    <s v="SF"/>
    <s v="PP/PE Fabric"/>
    <x v="2"/>
    <s v="RM"/>
    <s v="erp"/>
    <n v="0"/>
    <n v="56808.75"/>
    <n v="351"/>
    <d v="2026-07-20T00:00:00"/>
    <s v="24AAACO3087C1ZT"/>
    <s v="storeppl"/>
    <s v="storeppl"/>
    <n v="9"/>
    <n v="5112.79"/>
    <n v="9"/>
    <n v="5112.79"/>
    <n v="0"/>
    <n v="0"/>
    <n v="0"/>
    <n v="682148459382"/>
    <d v="2026-07-20T00:00:00"/>
    <n v="375"/>
  </r>
  <r>
    <s v="Plastene Polyfilms Limited"/>
    <d v="2026-07-20T00:00:00"/>
    <s v="PPL/26-27/SII00934"/>
    <s v="WIP00032"/>
    <s v="Webbing"/>
    <s v="PPL/RAW/26-27/346"/>
    <n v="850.7"/>
    <n v="850.7"/>
    <s v="Kgs"/>
    <n v="850.7"/>
    <n v="0"/>
    <n v="850.7"/>
    <s v="GJ12X1249"/>
    <s v="Plastene India ltd - Unit 1-Purchase"/>
    <s v="Plastene India ltd - Unit 1-Purchase"/>
    <s v="PIL1/D/1123"/>
    <d v="2026-07-20T00:00:00"/>
    <s v="RAW MATERIAL"/>
    <s v="INDIGENOUS"/>
    <s v="RM 348"/>
    <n v="146.49"/>
    <n v="146.49000717480499"/>
    <s v="PIL1/D/1123"/>
    <d v="2026-07-20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28762.91"/>
    <s v="SF"/>
    <s v="Webbing"/>
    <x v="3"/>
    <s v="RM"/>
    <s v="erp"/>
    <n v="0"/>
    <n v="124619.05"/>
    <n v="351"/>
    <d v="2026-07-20T00:00:00"/>
    <s v="24AAACO3087C1ZT"/>
    <s v="storeppl"/>
    <s v="storeppl"/>
    <n v="9"/>
    <n v="11215.71"/>
    <n v="9"/>
    <n v="11215.71"/>
    <n v="0"/>
    <n v="0"/>
    <n v="0"/>
    <n v="682148459382"/>
    <d v="2026-07-20T00:00:00"/>
    <n v="850.7"/>
  </r>
  <r>
    <s v="Plastene Polyfilms Limited"/>
    <d v="2026-07-20T00:00:00"/>
    <s v="PPL/26-27/SII00934"/>
    <s v="WIP00032"/>
    <s v="Webbing"/>
    <s v="PPL/RAW/26-27/346"/>
    <n v="713.4"/>
    <n v="713.4"/>
    <s v="Kgs"/>
    <n v="713.4"/>
    <n v="0"/>
    <n v="713.4"/>
    <s v="GJ12X1249"/>
    <s v="Plastene India ltd - Unit 1-Purchase"/>
    <s v="Plastene India ltd - Unit 1-Purchase"/>
    <s v="PIL1/D/1123"/>
    <d v="2026-07-20T00:00:00"/>
    <s v="RAW MATERIAL"/>
    <s v="INDIGENOUS"/>
    <s v="RM 348"/>
    <n v="149.49"/>
    <n v="149.490007321739"/>
    <s v="PIL1/D/1123"/>
    <d v="2026-07-20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28762.91"/>
    <s v="SF"/>
    <s v="Webbing"/>
    <x v="3"/>
    <s v="RM"/>
    <s v="erp"/>
    <n v="0"/>
    <n v="106646.17"/>
    <n v="351"/>
    <d v="2026-07-20T00:00:00"/>
    <s v="24AAACO3087C1ZT"/>
    <s v="storeppl"/>
    <s v="storeppl"/>
    <n v="9"/>
    <n v="9598.15"/>
    <n v="9"/>
    <n v="9598.15"/>
    <n v="0"/>
    <n v="0"/>
    <n v="0"/>
    <n v="682148459382"/>
    <d v="2026-07-20T00:00:00"/>
    <n v="713.4"/>
  </r>
  <r>
    <s v="Plastene Polyfilms Limited"/>
    <d v="2026-07-20T00:00:00"/>
    <s v="PPL/26-27/SII00935"/>
    <s v="WIP00003"/>
    <s v="FIBC Bags With UV With Liner"/>
    <s v="PPL/RAW/26-27/345"/>
    <n v="1262"/>
    <n v="1262"/>
    <s v="Kgs"/>
    <n v="1262"/>
    <n v="0"/>
    <n v="1262"/>
    <s v="GJ16Z8614"/>
    <s v="K.P. Woven Pvt Ltd-Purchase"/>
    <s v="K.P. Woven Pvt Ltd-Purchase"/>
    <s v="KPV/D/491"/>
    <d v="2026-07-19T00:00:00"/>
    <s v="RAW MATERIAL"/>
    <s v="INDIGENOUS"/>
    <s v="RM 349"/>
    <n v="250.51"/>
    <n v="250.51"/>
    <s v="KPV/D/491"/>
    <d v="2026-07-19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73049.48"/>
    <s v="FG"/>
    <s v="FIBC Bags"/>
    <x v="8"/>
    <s v="RM"/>
    <s v="erp"/>
    <n v="0"/>
    <n v="316143.62"/>
    <n v="354"/>
    <d v="2026-07-20T00:00:00"/>
    <s v="24AAECK6307M1ZF"/>
    <s v="storeppl"/>
    <s v="storeppl"/>
    <n v="9"/>
    <n v="28452.93"/>
    <n v="9"/>
    <n v="28452.93"/>
    <n v="0"/>
    <n v="0"/>
    <n v="373049.48"/>
    <n v="672148039293"/>
    <d v="2026-07-19T00:00:00"/>
    <n v="1262"/>
  </r>
  <r>
    <s v="Plastene Polyfilms Limited"/>
    <d v="2026-07-21T00:00:00"/>
    <s v="PPL/26-27/SII00943"/>
    <s v="WIP00023"/>
    <s v="PP UL Fabric With UV"/>
    <s v="PPL/RAW/26-27/347"/>
    <n v="3690"/>
    <n v="3690"/>
    <s v="Kgs"/>
    <n v="3690"/>
    <n v="0"/>
    <n v="3690"/>
    <s v="GJ01LT7680"/>
    <s v="HCP Plastene Bulkpack Limited - Purchase"/>
    <s v="HCP Plastene Bulkpack Limited - Purchase"/>
    <s v="HPBL/D/401"/>
    <d v="2026-07-20T00:00:00"/>
    <s v="RAW MATERIAL"/>
    <s v="INDIGENOUS"/>
    <s v="RM 350"/>
    <n v="156.49"/>
    <n v="156.49"/>
    <s v="HPBL/D/401"/>
    <d v="2026-07-20T00:00:00"/>
    <s v="."/>
    <s v="."/>
    <m/>
    <s v="SHREENA ROADWAYS"/>
    <n v="2514"/>
    <n v="0"/>
    <n v="0"/>
    <n v="0"/>
    <n v="0"/>
    <n v="0"/>
    <s v="VAT"/>
    <n v="0"/>
    <n v="0"/>
    <n v="0"/>
    <n v="0"/>
    <n v="0"/>
    <m/>
    <n v="0"/>
    <n v="0"/>
    <n v="681388.76"/>
    <s v="SF"/>
    <s v="PP/PE Fabric"/>
    <x v="0"/>
    <s v="RM"/>
    <s v="erp"/>
    <n v="0"/>
    <n v="577448.1"/>
    <n v="355"/>
    <d v="2026-07-21T00:00:00"/>
    <s v="24AABCG1282C2Z6"/>
    <s v="storeppl"/>
    <s v="storeppl"/>
    <n v="9"/>
    <n v="51970.33"/>
    <n v="9"/>
    <n v="51970.33"/>
    <n v="0"/>
    <n v="0"/>
    <n v="681388.76"/>
    <n v="642148573680"/>
    <d v="2026-07-20T00:00:00"/>
    <n v="3690"/>
  </r>
  <r>
    <s v="Plastene Polyfilms Limited"/>
    <d v="2026-07-21T00:00:00"/>
    <s v="PPL/26-27/SII00945"/>
    <s v="WIP00023"/>
    <s v="PP UL Fabric With UV"/>
    <s v="PPL/RAW/26-27/349"/>
    <n v="3239"/>
    <n v="3239"/>
    <s v="Kgs"/>
    <n v="3239"/>
    <n v="0"/>
    <n v="3239"/>
    <s v="GJ12AZ1107"/>
    <s v="Plastene India ltd - Unit 2-Purchase"/>
    <s v="Plastene India ltd - Unit 2-Purchase"/>
    <s v="PIL2/D/396"/>
    <d v="2026-07-20T00:00:00"/>
    <s v="RAW MATERIAL"/>
    <s v="INDIGENOUS"/>
    <s v="RM 351"/>
    <n v="122"/>
    <n v="122"/>
    <s v="PIL2/D/396"/>
    <d v="2026-07-20T00:00:00"/>
    <s v="."/>
    <s v="."/>
    <m/>
    <s v="KUTCH RATANAM ROADWAYS"/>
    <n v="462"/>
    <n v="0"/>
    <n v="0"/>
    <n v="0"/>
    <n v="0"/>
    <n v="0"/>
    <s v="VAT"/>
    <n v="0"/>
    <n v="0"/>
    <n v="0"/>
    <n v="0"/>
    <n v="0"/>
    <m/>
    <n v="0"/>
    <n v="0"/>
    <n v="653835.5"/>
    <s v="SF"/>
    <s v="PP/PE Fabric"/>
    <x v="0"/>
    <s v="RM"/>
    <s v="erp"/>
    <n v="0"/>
    <n v="395158"/>
    <n v="3556"/>
    <d v="2026-07-21T00:00:00"/>
    <s v="24AAACO3087C1ZT"/>
    <s v="storeppl"/>
    <s v="storeppl"/>
    <n v="9"/>
    <n v="35564.22"/>
    <n v="9"/>
    <n v="35564.22"/>
    <n v="0"/>
    <n v="0"/>
    <n v="653835.5"/>
    <n v="692148605511"/>
    <d v="2026-07-20T00:00:00"/>
    <n v="3239"/>
  </r>
  <r>
    <s v="Plastene Polyfilms Limited"/>
    <d v="2026-07-21T00:00:00"/>
    <s v="PPL/26-27/SII00945"/>
    <s v="WIP00032"/>
    <s v="Webbing"/>
    <s v="PPL/RAW/26-27/349"/>
    <n v="388.6"/>
    <n v="388.6"/>
    <s v="Kgs"/>
    <n v="388.6"/>
    <n v="0"/>
    <n v="388.6"/>
    <s v="GJ12AZ1107"/>
    <s v="Plastene India ltd - Unit 2-Purchase"/>
    <s v="Plastene India ltd - Unit 2-Purchase"/>
    <s v="PIL2/D/396"/>
    <d v="2026-07-20T00:00:00"/>
    <s v="RAW MATERIAL"/>
    <s v="INDIGENOUS"/>
    <s v="RM 351"/>
    <n v="111.6"/>
    <n v="111.6"/>
    <s v="PIL2/D/396"/>
    <d v="2026-07-20T00:00:00"/>
    <s v="."/>
    <s v="."/>
    <m/>
    <s v="KUTCH RATANAM ROADWAYS"/>
    <n v="462"/>
    <n v="0"/>
    <n v="0"/>
    <n v="0"/>
    <n v="0"/>
    <n v="0"/>
    <s v="VAT"/>
    <n v="0"/>
    <n v="0"/>
    <n v="0"/>
    <n v="0"/>
    <n v="0"/>
    <m/>
    <n v="0"/>
    <n v="0"/>
    <n v="653835.5"/>
    <s v="SF"/>
    <s v="Webbing"/>
    <x v="3"/>
    <s v="RM"/>
    <s v="erp"/>
    <n v="0"/>
    <n v="43367.76"/>
    <n v="3556"/>
    <d v="2026-07-21T00:00:00"/>
    <s v="24AAACO3087C1ZT"/>
    <s v="storeppl"/>
    <s v="storeppl"/>
    <n v="9"/>
    <n v="3903.1"/>
    <n v="9"/>
    <n v="3903.1"/>
    <n v="0"/>
    <n v="0"/>
    <n v="0"/>
    <n v="692148605511"/>
    <d v="2026-07-20T00:00:00"/>
    <n v="388.6"/>
  </r>
  <r>
    <s v="Plastene Polyfilms Limited"/>
    <d v="2026-07-21T00:00:00"/>
    <s v="PPL/26-27/SII00945"/>
    <s v="WIP00032"/>
    <s v="Webbing"/>
    <s v="PPL/RAW/26-27/349"/>
    <n v="1064.2"/>
    <n v="1064.2"/>
    <s v="Kgs"/>
    <n v="1064.2"/>
    <n v="0"/>
    <n v="1064.2"/>
    <s v="GJ12AZ1107"/>
    <s v="Plastene India ltd - Unit 2-Purchase"/>
    <s v="Plastene India ltd - Unit 2-Purchase"/>
    <s v="PIL2/D/396"/>
    <d v="2026-07-20T00:00:00"/>
    <s v="RAW MATERIAL"/>
    <s v="INDIGENOUS"/>
    <s v="RM 351"/>
    <n v="108.6"/>
    <n v="108.6"/>
    <s v="PIL2/D/396"/>
    <d v="2026-07-20T00:00:00"/>
    <s v="."/>
    <s v="."/>
    <m/>
    <s v="KUTCH RATANAM ROADWAYS"/>
    <n v="462"/>
    <n v="0"/>
    <n v="0"/>
    <n v="0"/>
    <n v="0"/>
    <n v="0"/>
    <s v="VAT"/>
    <n v="0"/>
    <n v="0"/>
    <n v="0"/>
    <n v="0"/>
    <n v="0"/>
    <m/>
    <n v="0"/>
    <n v="0"/>
    <n v="653835.5"/>
    <s v="SF"/>
    <s v="Webbing"/>
    <x v="3"/>
    <s v="RM"/>
    <s v="erp"/>
    <n v="0"/>
    <n v="115572.12"/>
    <n v="3556"/>
    <d v="2026-07-21T00:00:00"/>
    <s v="24AAACO3087C1ZT"/>
    <s v="storeppl"/>
    <s v="storeppl"/>
    <n v="9"/>
    <n v="10401.49"/>
    <n v="9"/>
    <n v="10401.49"/>
    <n v="0"/>
    <n v="0"/>
    <n v="0"/>
    <n v="692148605511"/>
    <d v="2026-07-20T00:00:00"/>
    <n v="1064.2"/>
  </r>
  <r>
    <s v="Plastene Polyfilms Limited"/>
    <d v="2026-07-21T00:00:00"/>
    <s v="PPL/26-27/SII00946"/>
    <s v="WIP00032"/>
    <s v="Webbing"/>
    <s v="PPL/RAW/26-27/350"/>
    <n v="519.5"/>
    <n v="519.5"/>
    <s v="Kgs"/>
    <n v="519.5"/>
    <n v="0"/>
    <n v="519.5"/>
    <s v="GJ09Z0572"/>
    <s v="Plastene India ltd - Unit 1-Purchase"/>
    <s v="Plastene India ltd - Unit 1-Purchase"/>
    <s v="PIL1/D/1132"/>
    <d v="2026-07-21T00:00:00"/>
    <s v="RAW MATERIAL"/>
    <s v="INDIGENOUS"/>
    <s v="RM 352"/>
    <n v="146.49"/>
    <n v="146.49000256981699"/>
    <s v="PIL1/D/1132"/>
    <d v="2026-07-2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85020.27"/>
    <s v="SF"/>
    <s v="Webbing"/>
    <x v="3"/>
    <s v="RM"/>
    <s v="erp"/>
    <n v="0"/>
    <n v="76101.56"/>
    <n v="357"/>
    <d v="2026-07-21T00:00:00"/>
    <s v="24AAACO3087C1ZT"/>
    <s v="storeppl"/>
    <s v="storeppl"/>
    <n v="9"/>
    <n v="6849.14"/>
    <n v="9"/>
    <n v="6849.14"/>
    <n v="0"/>
    <n v="0"/>
    <n v="285020.27"/>
    <n v="642148860243"/>
    <d v="2026-07-21T00:00:00"/>
    <n v="519.5"/>
  </r>
  <r>
    <s v="Plastene Polyfilms Limited"/>
    <d v="2026-07-21T00:00:00"/>
    <s v="PPL/26-27/SII00946"/>
    <s v="WIP00023"/>
    <s v="PP UL Fabric With UV"/>
    <s v="PPL/RAW/26-27/350"/>
    <n v="1145"/>
    <n v="1145"/>
    <s v="Kgs"/>
    <n v="1145"/>
    <n v="0"/>
    <n v="1145"/>
    <s v="GJ09Z0572"/>
    <s v="Plastene India ltd - Unit 1-Purchase"/>
    <s v="Plastene India ltd - Unit 1-Purchase"/>
    <s v="PIL1/D/1132"/>
    <d v="2026-07-21T00:00:00"/>
    <s v="RAW MATERIAL"/>
    <s v="INDIGENOUS"/>
    <s v="RM 352"/>
    <n v="144.49"/>
    <n v="144.49000253473201"/>
    <s v="PIL1/D/1132"/>
    <d v="2026-07-2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85020.27"/>
    <s v="SF"/>
    <s v="PP/PE Fabric"/>
    <x v="0"/>
    <s v="RM"/>
    <s v="erp"/>
    <n v="0"/>
    <n v="165441.04999999999"/>
    <n v="357"/>
    <d v="2026-07-21T00:00:00"/>
    <s v="24AAACO3087C1ZT"/>
    <s v="storeppl"/>
    <s v="storeppl"/>
    <n v="9"/>
    <n v="14889.69"/>
    <n v="9"/>
    <n v="14889.69"/>
    <n v="0"/>
    <n v="0"/>
    <n v="0"/>
    <n v="642148860243"/>
    <d v="2026-07-21T00:00:00"/>
    <n v="1145"/>
  </r>
  <r>
    <s v="Plastene Polyfilms Limited"/>
    <d v="2026-07-21T00:00:00"/>
    <s v="PPL/26-27/SII00947"/>
    <s v="RAW06013"/>
    <s v="Filler Soltex PTUFF23"/>
    <s v="PPL/RAW/26-27/348"/>
    <n v="6000"/>
    <n v="6000"/>
    <s v="Kgs"/>
    <n v="6000"/>
    <n v="0"/>
    <n v="6000"/>
    <s v="GJ12X1249"/>
    <s v="Plastene India ltd - Unit 1-Purchase"/>
    <s v="Plastene India ltd - Unit 1-Purchase"/>
    <s v="PIL1/D/1135"/>
    <d v="2026-07-21T00:00:00"/>
    <s v="RAW MATERIAL"/>
    <s v="INDIGENOUS"/>
    <s v="RM 353"/>
    <n v="39"/>
    <n v="39"/>
    <s v="PIL1/D/1135"/>
    <d v="2026-07-2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76120"/>
    <s v="RM"/>
    <s v="Granules"/>
    <x v="14"/>
    <s v="SF"/>
    <s v="anil"/>
    <n v="0"/>
    <n v="234000"/>
    <n v="359"/>
    <d v="2026-07-21T00:00:00"/>
    <s v="24AAACO3087C1ZT"/>
    <s v="storeppl"/>
    <s v="storeppl"/>
    <n v="9"/>
    <n v="21060"/>
    <n v="9"/>
    <n v="21060"/>
    <n v="0"/>
    <n v="0"/>
    <n v="276120"/>
    <n v="642149068482"/>
    <d v="2026-07-21T00:00:00"/>
    <n v="6000"/>
  </r>
  <r>
    <s v="Plastene Polyfilms Limited"/>
    <d v="2026-07-21T00:00:00"/>
    <s v="PPL/26-27/SII00948"/>
    <s v="RAW05951"/>
    <s v="PP Tapes"/>
    <s v="PPL/RAW/26-27/351"/>
    <n v="91"/>
    <n v="91"/>
    <s v="Kgs"/>
    <n v="91"/>
    <n v="0"/>
    <n v="91"/>
    <s v="GJ12X1249"/>
    <s v="Plastene India ltd - Unit 1-Purchase"/>
    <s v="Plastene India ltd - Unit 1-Purchase"/>
    <s v="PIL1/D/1140"/>
    <d v="2026-07-21T00:00:00"/>
    <s v="RAW MATERIAL"/>
    <s v="INDIGENOUS"/>
    <s v="RM 354"/>
    <n v="137.49"/>
    <n v="137.490000568418"/>
    <s v="PIL1/D/1140"/>
    <d v="2026-07-2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209410.05"/>
    <s v="SF"/>
    <s v="Tape Stock"/>
    <x v="16"/>
    <s v="RM"/>
    <s v="erp"/>
    <n v="0"/>
    <n v="12511.59"/>
    <n v="358"/>
    <d v="2026-07-21T00:00:00"/>
    <s v="24AAACO3087C1ZT"/>
    <s v="storeppl"/>
    <s v="storeppl"/>
    <n v="9"/>
    <n v="1126.04"/>
    <n v="9"/>
    <n v="1126.04"/>
    <n v="0"/>
    <n v="0"/>
    <n v="1209410.05"/>
    <n v="692149226999"/>
    <d v="2026-07-21T00:00:00"/>
    <n v="91"/>
  </r>
  <r>
    <s v="Plastene Polyfilms Limited"/>
    <d v="2026-07-21T00:00:00"/>
    <s v="PPL/26-27/SII00948"/>
    <s v="WIP00023"/>
    <s v="PP UL Fabric With UV"/>
    <s v="PPL/RAW/26-27/351"/>
    <n v="5478"/>
    <n v="5478"/>
    <s v="Kgs"/>
    <n v="5478"/>
    <n v="0"/>
    <n v="5478"/>
    <s v="GJ12X1249"/>
    <s v="Plastene India ltd - Unit 1-Purchase"/>
    <s v="Plastene India ltd - Unit 1-Purchase"/>
    <s v="PIL1/D/1140"/>
    <d v="2026-07-21T00:00:00"/>
    <s v="RAW MATERIAL"/>
    <s v="INDIGENOUS"/>
    <s v="RM 354"/>
    <n v="149.49"/>
    <n v="149.490000618029"/>
    <s v="PIL1/D/1140"/>
    <d v="2026-07-2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209410.05"/>
    <s v="SF"/>
    <s v="PP/PE Fabric"/>
    <x v="0"/>
    <s v="RM"/>
    <s v="erp"/>
    <n v="0"/>
    <n v="818906.22"/>
    <n v="358"/>
    <d v="2026-07-21T00:00:00"/>
    <s v="24AAACO3087C1ZT"/>
    <s v="storeppl"/>
    <s v="storeppl"/>
    <n v="9"/>
    <n v="73701.56"/>
    <n v="9"/>
    <n v="73701.56"/>
    <n v="0"/>
    <n v="0"/>
    <n v="0"/>
    <n v="692149226999"/>
    <d v="2026-07-21T00:00:00"/>
    <n v="5478"/>
  </r>
  <r>
    <s v="Plastene Polyfilms Limited"/>
    <d v="2026-07-21T00:00:00"/>
    <s v="PPL/26-27/SII00948"/>
    <s v="WIP00032"/>
    <s v="Webbing"/>
    <s v="PPL/RAW/26-27/351"/>
    <n v="559.1"/>
    <n v="559.1"/>
    <s v="Kgs"/>
    <n v="559.1"/>
    <n v="0"/>
    <n v="559.1"/>
    <s v="GJ12X1249"/>
    <s v="Plastene India ltd - Unit 1-Purchase"/>
    <s v="Plastene India ltd - Unit 1-Purchase"/>
    <s v="PIL1/D/1140"/>
    <d v="2026-07-21T00:00:00"/>
    <s v="RAW MATERIAL"/>
    <s v="INDIGENOUS"/>
    <s v="RM 354"/>
    <n v="149.49"/>
    <n v="149.490000618029"/>
    <s v="PIL1/D/1140"/>
    <d v="2026-07-2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209410.05"/>
    <s v="SF"/>
    <s v="Webbing"/>
    <x v="3"/>
    <s v="RM"/>
    <s v="erp"/>
    <n v="0"/>
    <n v="83579.86"/>
    <n v="358"/>
    <d v="2026-07-21T00:00:00"/>
    <s v="24AAACO3087C1ZT"/>
    <s v="storeppl"/>
    <s v="storeppl"/>
    <n v="9"/>
    <n v="7522.19"/>
    <n v="9"/>
    <n v="7522.19"/>
    <n v="0"/>
    <n v="0"/>
    <n v="0"/>
    <n v="692149226999"/>
    <d v="2026-07-21T00:00:00"/>
    <n v="559.1"/>
  </r>
  <r>
    <s v="Plastene Polyfilms Limited"/>
    <d v="2026-07-21T00:00:00"/>
    <s v="PPL/26-27/SII00948"/>
    <s v="WIP00032"/>
    <s v="Webbing"/>
    <s v="PPL/RAW/26-27/351"/>
    <n v="750.4"/>
    <n v="750.4"/>
    <s v="Kgs"/>
    <n v="750.4"/>
    <n v="0"/>
    <n v="750.4"/>
    <s v="GJ12X1249"/>
    <s v="Plastene India ltd - Unit 1-Purchase"/>
    <s v="Plastene India ltd - Unit 1-Purchase"/>
    <s v="PIL1/D/1140"/>
    <d v="2026-07-21T00:00:00"/>
    <s v="RAW MATERIAL"/>
    <s v="INDIGENOUS"/>
    <s v="RM 354"/>
    <n v="146.49"/>
    <n v="146.49000060562599"/>
    <s v="PIL1/D/1140"/>
    <d v="2026-07-2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209410.05"/>
    <s v="SF"/>
    <s v="Webbing"/>
    <x v="3"/>
    <s v="RM"/>
    <s v="erp"/>
    <n v="0"/>
    <n v="109926.1"/>
    <n v="358"/>
    <d v="2026-07-21T00:00:00"/>
    <s v="24AAACO3087C1ZT"/>
    <s v="storeppl"/>
    <s v="storeppl"/>
    <n v="9"/>
    <n v="9893.35"/>
    <n v="9"/>
    <n v="9893.35"/>
    <n v="0"/>
    <n v="0"/>
    <n v="0"/>
    <n v="692149226999"/>
    <d v="2026-07-21T00:00:00"/>
    <n v="750.4"/>
  </r>
  <r>
    <s v="Plastene Polyfilms Limited"/>
    <d v="2026-07-22T00:00:00"/>
    <s v="PPL/26-27/SII00954"/>
    <s v="WIP00032"/>
    <s v="Webbing"/>
    <s v="PPL/RAW/26-27/352"/>
    <n v="1253.5999999999999"/>
    <n v="1253.5999999999999"/>
    <s v="Kgs"/>
    <n v="1253.5999999999999"/>
    <n v="0"/>
    <n v="1253.5999999999999"/>
    <s v="GJ12X1249"/>
    <s v="Plastene India ltd - Unit 1-Purchase"/>
    <s v="Plastene India ltd - Unit 1-Purchase"/>
    <s v="PIL1/D/1151"/>
    <d v="2026-07-22T00:00:00"/>
    <s v="RAW MATERIAL"/>
    <s v="INDIGENOUS"/>
    <s v="RM 355"/>
    <n v="149.49"/>
    <n v="149.489999777425"/>
    <s v="PIL1/D/1151"/>
    <d v="2026-07-22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71638.7"/>
    <s v="SF"/>
    <s v="Webbing"/>
    <x v="3"/>
    <s v="RM"/>
    <s v="erp"/>
    <n v="0"/>
    <n v="187400.66"/>
    <n v="360"/>
    <d v="2026-07-22T00:00:00"/>
    <s v="24AAACO3087C1ZT"/>
    <s v="storeppl"/>
    <s v="storeppl"/>
    <n v="9"/>
    <n v="16866.060000000001"/>
    <n v="9"/>
    <n v="16866.060000000001"/>
    <n v="0"/>
    <n v="0"/>
    <n v="671638.7"/>
    <n v="692149766002"/>
    <d v="2026-07-22T00:00:00"/>
    <n v="1253.5999999999999"/>
  </r>
  <r>
    <s v="Plastene Polyfilms Limited"/>
    <d v="2026-07-22T00:00:00"/>
    <s v="PPL/26-27/SII00954"/>
    <s v="WIP00032"/>
    <s v="Webbing"/>
    <s v="PPL/RAW/26-27/352"/>
    <n v="1165.3"/>
    <n v="1165.3"/>
    <s v="Kgs"/>
    <n v="1165.3"/>
    <n v="0"/>
    <n v="1165.3"/>
    <s v="GJ12X1249"/>
    <s v="Plastene India ltd - Unit 1-Purchase"/>
    <s v="Plastene India ltd - Unit 1-Purchase"/>
    <s v="PIL1/D/1151"/>
    <d v="2026-07-22T00:00:00"/>
    <s v="RAW MATERIAL"/>
    <s v="INDIGENOUS"/>
    <s v="RM 355"/>
    <n v="146.49"/>
    <n v="146.48999978189201"/>
    <s v="PIL1/D/1151"/>
    <d v="2026-07-22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71638.7"/>
    <s v="SF"/>
    <s v="Webbing"/>
    <x v="3"/>
    <s v="RM"/>
    <s v="erp"/>
    <n v="0"/>
    <n v="170704.8"/>
    <n v="360"/>
    <d v="2026-07-22T00:00:00"/>
    <s v="24AAACO3087C1ZT"/>
    <s v="storeppl"/>
    <s v="storeppl"/>
    <n v="9"/>
    <n v="15363.43"/>
    <n v="9"/>
    <n v="15363.43"/>
    <n v="0"/>
    <n v="0"/>
    <n v="0"/>
    <n v="692149766002"/>
    <d v="2026-07-22T00:00:00"/>
    <n v="1165.3"/>
  </r>
  <r>
    <s v="Plastene Polyfilms Limited"/>
    <d v="2026-07-22T00:00:00"/>
    <s v="PPL/26-27/SII00954"/>
    <s v="WIP00023"/>
    <s v="PP UL Fabric With UV"/>
    <s v="PPL/RAW/26-27/352"/>
    <n v="1412"/>
    <n v="1412"/>
    <s v="Kgs"/>
    <n v="1412"/>
    <n v="0"/>
    <n v="1412"/>
    <s v="GJ12X1249"/>
    <s v="Plastene India ltd - Unit 1-Purchase"/>
    <s v="Plastene India ltd - Unit 1-Purchase"/>
    <s v="PIL1/D/1151"/>
    <d v="2026-07-22T00:00:00"/>
    <s v="RAW MATERIAL"/>
    <s v="INDIGENOUS"/>
    <s v="RM 355"/>
    <n v="149.49"/>
    <n v="149.489999777425"/>
    <s v="PIL1/D/1151"/>
    <d v="2026-07-22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71638.7"/>
    <s v="SF"/>
    <s v="PP/PE Fabric"/>
    <x v="0"/>
    <s v="RM"/>
    <s v="erp"/>
    <n v="0"/>
    <n v="211079.88"/>
    <n v="360"/>
    <d v="2026-07-22T00:00:00"/>
    <s v="24AAACO3087C1ZT"/>
    <s v="storeppl"/>
    <s v="storeppl"/>
    <n v="9"/>
    <n v="18997.189999999999"/>
    <n v="9"/>
    <n v="18997.189999999999"/>
    <n v="0"/>
    <n v="0"/>
    <n v="0"/>
    <n v="692149766002"/>
    <d v="2026-07-22T00:00:00"/>
    <n v="1412"/>
  </r>
  <r>
    <s v="Plastene Polyfilms Limited"/>
    <d v="2026-07-22T00:00:00"/>
    <s v="PPL/26-27/SII00955"/>
    <s v="RAW06279"/>
    <s v="MB Colman Shiny Black ( RD Black-01 )"/>
    <s v="PPL/RAW/26-27/353"/>
    <n v="100"/>
    <n v="100"/>
    <s v="Kgs"/>
    <n v="100"/>
    <n v="0"/>
    <n v="100"/>
    <s v="GJ39T1656"/>
    <s v="Plastene India ltd - Unit 1-Purchase"/>
    <s v="Plastene India ltd - Unit 1-Purchase"/>
    <s v="PIL1/D/1153"/>
    <d v="2026-07-22T00:00:00"/>
    <s v="RAW MATERIAL"/>
    <s v="INDIGENOUS"/>
    <s v="RM 356"/>
    <n v="155"/>
    <n v="155"/>
    <s v="PIL1/D/1153"/>
    <d v="2026-07-22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8290"/>
    <s v="RM"/>
    <s v="Granules"/>
    <x v="9"/>
    <s v="RM"/>
    <m/>
    <n v="0"/>
    <n v="15500"/>
    <n v="361"/>
    <d v="2026-07-22T00:00:00"/>
    <s v="24AAACO3087C1ZT"/>
    <s v="storeppl"/>
    <s v="storeppl"/>
    <n v="9"/>
    <n v="1395"/>
    <n v="9"/>
    <n v="1395"/>
    <n v="0"/>
    <n v="0"/>
    <n v="18290"/>
    <n v="622149812755"/>
    <d v="2026-07-22T00:00:00"/>
    <n v="100"/>
  </r>
  <r>
    <s v="Plastene Polyfilms Limited"/>
    <d v="2026-07-23T00:00:00"/>
    <s v="PPL/26-27/SII00957"/>
    <s v="WIP00023"/>
    <s v="PP UL Fabric With UV"/>
    <s v="PPL/RAW/26-27/354"/>
    <n v="1026"/>
    <n v="1026"/>
    <s v="Kgs"/>
    <n v="1026"/>
    <n v="0"/>
    <n v="1026"/>
    <s v="GJ12BY1595"/>
    <s v="Plastene India ltd - Unit 1-Purchase"/>
    <s v="Plastene India ltd - Unit 1-Purchase"/>
    <s v="PIL1/D/1154"/>
    <d v="2026-07-22T00:00:00"/>
    <s v="RAW MATERIAL"/>
    <s v="INDIGENOUS"/>
    <s v="RM 357"/>
    <n v="144.49"/>
    <n v="144.49"/>
    <s v="PIL1/D/1154"/>
    <d v="2026-07-22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60323.12"/>
    <s v="SF"/>
    <s v="PP/PE Fabric"/>
    <x v="0"/>
    <s v="RM"/>
    <s v="erp"/>
    <n v="0"/>
    <n v="148246.74"/>
    <n v="362"/>
    <d v="2026-07-23T00:00:00"/>
    <s v="24AAACO3087C1ZT"/>
    <s v="storeppl"/>
    <s v="storeppl"/>
    <n v="9"/>
    <n v="13342.21"/>
    <n v="9"/>
    <n v="13342.21"/>
    <n v="0"/>
    <n v="0"/>
    <n v="260323.12"/>
    <n v="612149914748"/>
    <d v="2026-07-22T00:00:00"/>
    <n v="1026"/>
  </r>
  <r>
    <s v="Plastene Polyfilms Limited"/>
    <d v="2026-07-23T00:00:00"/>
    <s v="PPL/26-27/SII00957"/>
    <s v="WIP00032"/>
    <s v="Webbing"/>
    <s v="PPL/RAW/26-27/354"/>
    <n v="494"/>
    <n v="494"/>
    <s v="Kgs"/>
    <n v="494"/>
    <n v="0"/>
    <n v="494"/>
    <s v="GJ12BY1595"/>
    <s v="Plastene India ltd - Unit 1-Purchase"/>
    <s v="Plastene India ltd - Unit 1-Purchase"/>
    <s v="PIL1/D/1154"/>
    <d v="2026-07-22T00:00:00"/>
    <s v="RAW MATERIAL"/>
    <s v="INDIGENOUS"/>
    <s v="RM 357"/>
    <n v="146.49"/>
    <n v="146.49"/>
    <s v="PIL1/D/1154"/>
    <d v="2026-07-22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60323.12"/>
    <s v="SF"/>
    <s v="Webbing"/>
    <x v="3"/>
    <s v="RM"/>
    <s v="erp"/>
    <n v="0"/>
    <n v="72366.06"/>
    <n v="362"/>
    <d v="2026-07-23T00:00:00"/>
    <s v="24AAACO3087C1ZT"/>
    <s v="storeppl"/>
    <s v="storeppl"/>
    <n v="9"/>
    <n v="6512.95"/>
    <n v="9"/>
    <n v="6512.95"/>
    <n v="0"/>
    <n v="0"/>
    <n v="0"/>
    <n v="612149914748"/>
    <d v="2026-07-22T00:00:00"/>
    <n v="494"/>
  </r>
  <r>
    <s v="Plastene Polyfilms Limited"/>
    <d v="2026-07-23T00:00:00"/>
    <s v="PPL/26-27/SII00960"/>
    <s v="WIP00023"/>
    <s v="PP UL Fabric With UV"/>
    <s v="PPL/RAW/26-27/355"/>
    <n v="651"/>
    <n v="651"/>
    <s v="Kgs"/>
    <n v="651"/>
    <n v="0"/>
    <n v="651"/>
    <s v="GJ17XX0310"/>
    <s v="HCP Plastene Bulkpack Limited - Purchase"/>
    <s v="HCP Plastene Bulkpack Limited - Purchase"/>
    <s v="HPBL/D/408"/>
    <d v="2026-07-22T00:00:00"/>
    <s v="RAW MATERIAL"/>
    <s v="INDIGENOUS"/>
    <s v="RM 358"/>
    <n v="159.49"/>
    <n v="159.49"/>
    <s v="HPBL/D/408"/>
    <d v="2026-07-22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44915.07999999996"/>
    <s v="SF"/>
    <s v="PP/PE Fabric"/>
    <x v="0"/>
    <s v="RM"/>
    <s v="erp"/>
    <n v="0"/>
    <n v="103827.99"/>
    <n v="363"/>
    <d v="2026-07-23T00:00:00"/>
    <s v="24AABCG1282C2Z6"/>
    <s v="storeppl"/>
    <s v="storeppl"/>
    <n v="9"/>
    <n v="9344.52"/>
    <n v="9"/>
    <n v="9344.52"/>
    <n v="0"/>
    <n v="0"/>
    <n v="644915.07999999996"/>
    <n v="642149892753"/>
    <d v="2026-07-22T00:00:00"/>
    <n v="651"/>
  </r>
  <r>
    <s v="Plastene Polyfilms Limited"/>
    <d v="2026-07-23T00:00:00"/>
    <s v="PPL/26-27/SII00960"/>
    <s v="WIP00023"/>
    <s v="PP UL Fabric With UV"/>
    <s v="PPL/RAW/26-27/355"/>
    <n v="2829"/>
    <n v="2829"/>
    <s v="Kgs"/>
    <n v="2829"/>
    <n v="0"/>
    <n v="2829"/>
    <s v="GJ17XX0310"/>
    <s v="HCP Plastene Bulkpack Limited - Purchase"/>
    <s v="HCP Plastene Bulkpack Limited - Purchase"/>
    <s v="HPBL/D/408"/>
    <d v="2026-07-22T00:00:00"/>
    <s v="RAW MATERIAL"/>
    <s v="INDIGENOUS"/>
    <s v="RM 358"/>
    <n v="156.49"/>
    <n v="156.49"/>
    <s v="HPBL/D/408"/>
    <d v="2026-07-22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44915.07999999996"/>
    <s v="SF"/>
    <s v="PP/PE Fabric"/>
    <x v="0"/>
    <s v="RM"/>
    <s v="erp"/>
    <n v="0"/>
    <n v="442710.21"/>
    <n v="363"/>
    <d v="2026-07-23T00:00:00"/>
    <s v="24AABCG1282C2Z6"/>
    <s v="storeppl"/>
    <s v="storeppl"/>
    <n v="9"/>
    <n v="39843.919999999998"/>
    <n v="9"/>
    <n v="39843.919999999998"/>
    <n v="0"/>
    <n v="0"/>
    <n v="0"/>
    <n v="642149892753"/>
    <d v="2026-07-22T00:00:00"/>
    <n v="2829"/>
  </r>
  <r>
    <s v="Plastene Polyfilms Limited"/>
    <d v="2026-07-23T00:00:00"/>
    <s v="PPL/26-27/SII00964"/>
    <s v="WIP00032"/>
    <s v="Webbing"/>
    <s v="PPL/RAW/26-27/356"/>
    <n v="1207.3"/>
    <n v="1207.3"/>
    <s v="Kgs"/>
    <n v="1207.3"/>
    <n v="0"/>
    <n v="1207.3"/>
    <s v="GJ12X1249"/>
    <s v="Plastene India ltd - Unit 1-Purchase"/>
    <s v="Plastene India ltd - Unit 1-Purchase"/>
    <s v="PIL1/D/1163"/>
    <d v="2026-07-23T00:00:00"/>
    <s v="RAW MATERIAL"/>
    <s v="INDIGENOUS"/>
    <s v="RM 359"/>
    <n v="149.49"/>
    <n v="149.490005850599"/>
    <s v="PIL1/D/1163"/>
    <d v="2026-07-2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34370.96"/>
    <s v="SF"/>
    <s v="Webbing"/>
    <x v="3"/>
    <s v="RM"/>
    <s v="erp"/>
    <n v="0"/>
    <n v="180479.28"/>
    <n v="365"/>
    <d v="2026-07-23T00:00:00"/>
    <s v="24AAACO3087C1ZT"/>
    <s v="storeppl"/>
    <s v="storeppl"/>
    <n v="9"/>
    <n v="16243.13"/>
    <n v="9"/>
    <n v="16243.13"/>
    <n v="0"/>
    <n v="0"/>
    <n v="434370.96"/>
    <n v="692150304143"/>
    <d v="2026-07-23T00:00:00"/>
    <n v="1207.3"/>
  </r>
  <r>
    <s v="Plastene Polyfilms Limited"/>
    <d v="2026-07-23T00:00:00"/>
    <s v="PPL/26-27/SII00964"/>
    <s v="WIP00032"/>
    <s v="Webbing"/>
    <s v="PPL/RAW/26-27/356"/>
    <n v="1123.7"/>
    <n v="1123.7"/>
    <s v="Kgs"/>
    <n v="1123.7"/>
    <n v="0"/>
    <n v="1123.7"/>
    <s v="GJ12X1249"/>
    <s v="Plastene India ltd - Unit 1-Purchase"/>
    <s v="Plastene India ltd - Unit 1-Purchase"/>
    <s v="PIL1/D/1163"/>
    <d v="2026-07-23T00:00:00"/>
    <s v="RAW MATERIAL"/>
    <s v="INDIGENOUS"/>
    <s v="RM 359"/>
    <n v="146.49"/>
    <n v="146.49000573318699"/>
    <s v="PIL1/D/1163"/>
    <d v="2026-07-2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34370.96"/>
    <s v="SF"/>
    <s v="Webbing"/>
    <x v="3"/>
    <s v="RM"/>
    <s v="erp"/>
    <n v="0"/>
    <n v="164610.82"/>
    <n v="365"/>
    <d v="2026-07-23T00:00:00"/>
    <s v="24AAACO3087C1ZT"/>
    <s v="storeppl"/>
    <s v="storeppl"/>
    <n v="9"/>
    <n v="14814.97"/>
    <n v="9"/>
    <n v="14814.97"/>
    <n v="0"/>
    <n v="0"/>
    <n v="0"/>
    <n v="692150304143"/>
    <d v="2026-07-23T00:00:00"/>
    <n v="1123.7"/>
  </r>
  <r>
    <s v="Plastene Polyfilms Limited"/>
    <d v="2026-07-23T00:00:00"/>
    <s v="PPL/26-27/SII00964"/>
    <s v="WIP00236"/>
    <s v="PP Braided Rope MW 6 to 8 GPM"/>
    <s v="PPL/RAW/26-27/356"/>
    <n v="160.69999999999999"/>
    <n v="160.69999999999999"/>
    <s v="Kgs"/>
    <n v="160.69999999999999"/>
    <n v="0"/>
    <n v="160.69999999999999"/>
    <s v="GJ12X1249"/>
    <s v="Plastene India ltd - Unit 1-Purchase"/>
    <s v="Plastene India ltd - Unit 1-Purchase"/>
    <s v="PIL1/D/1163"/>
    <d v="2026-07-23T00:00:00"/>
    <s v="RAW MATERIAL"/>
    <s v="INDIGENOUS"/>
    <s v="RM 359"/>
    <n v="160.99"/>
    <n v="160.99000630067499"/>
    <s v="PIL1/D/1163"/>
    <d v="2026-07-23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34370.96"/>
    <s v="SF"/>
    <s v="Yarn All"/>
    <x v="5"/>
    <s v="RM"/>
    <s v="erp"/>
    <n v="0"/>
    <n v="25871.09"/>
    <n v="365"/>
    <d v="2026-07-23T00:00:00"/>
    <s v="24AAACO3087C1ZT"/>
    <s v="storeppl"/>
    <s v="storeppl"/>
    <n v="2.5"/>
    <n v="646.78"/>
    <n v="2.5"/>
    <n v="646.78"/>
    <n v="0"/>
    <n v="0"/>
    <n v="0"/>
    <n v="692150304143"/>
    <d v="2026-07-23T00:00:00"/>
    <n v="160.69999999999999"/>
  </r>
  <r>
    <s v="Plastene Polyfilms Limited"/>
    <d v="2026-07-23T00:00:00"/>
    <s v="PPL/26-27/SII00965"/>
    <s v="WIP00004"/>
    <s v="FIBC Bags With UV Without Liner"/>
    <s v="PPL/RAW/26-27/357"/>
    <n v="853.8"/>
    <n v="853.8"/>
    <s v="Kgs"/>
    <n v="853.8"/>
    <n v="0"/>
    <n v="853.8"/>
    <s v="GJ09Z0572"/>
    <s v="K.P. Woven Pvt Ltd-Purchase"/>
    <s v="K.P. Woven Pvt Ltd-Purchase"/>
    <s v="KPV/D/508"/>
    <d v="2026-07-22T00:00:00"/>
    <s v="RAW MATERIAL"/>
    <s v="INDIGENOUS"/>
    <s v="RM 360"/>
    <n v="257.88"/>
    <n v="257.879998696141"/>
    <s v="KPV/D/508"/>
    <d v="2026-07-22T00:00:00"/>
    <s v="."/>
    <s v="."/>
    <m/>
    <s v="LAXMAN B BAKUTRA "/>
    <n v="4"/>
    <n v="0"/>
    <n v="0"/>
    <n v="0"/>
    <n v="0"/>
    <n v="0"/>
    <s v="VAT"/>
    <n v="0"/>
    <n v="0"/>
    <n v="0"/>
    <n v="0"/>
    <n v="0"/>
    <m/>
    <n v="0"/>
    <n v="0"/>
    <n v="988910.35"/>
    <s v="FG"/>
    <s v="FIBC Bags"/>
    <x v="8"/>
    <s v="RM"/>
    <s v="erp"/>
    <n v="0"/>
    <n v="220177.94"/>
    <n v="364"/>
    <d v="2026-07-23T00:00:00"/>
    <s v="24AAECK6307M1ZF"/>
    <s v="storeppl"/>
    <s v="storeppl"/>
    <n v="9"/>
    <n v="19816.009999999998"/>
    <n v="9"/>
    <n v="19816.009999999998"/>
    <n v="0"/>
    <n v="0"/>
    <n v="988910.35"/>
    <n v="672149916739"/>
    <d v="2026-07-22T00:00:00"/>
    <n v="853.8"/>
  </r>
  <r>
    <s v="Plastene Polyfilms Limited"/>
    <d v="2026-07-23T00:00:00"/>
    <s v="PPL/26-27/SII00965"/>
    <s v="WIP00004"/>
    <s v="FIBC Bags With UV Without Liner"/>
    <s v="PPL/RAW/26-27/357"/>
    <n v="2407.3000000000002"/>
    <n v="2407.3000000000002"/>
    <s v="Kgs"/>
    <n v="2407.3000000000002"/>
    <n v="0"/>
    <n v="2407.3000000000002"/>
    <s v="GJ09Z0572"/>
    <s v="K.P. Woven Pvt Ltd-Purchase"/>
    <s v="K.P. Woven Pvt Ltd-Purchase"/>
    <s v="KPV/D/508"/>
    <d v="2026-07-22T00:00:00"/>
    <s v="RAW MATERIAL"/>
    <s v="INDIGENOUS"/>
    <s v="RM 360"/>
    <n v="256.67"/>
    <n v="256.66999870225902"/>
    <s v="KPV/D/508"/>
    <d v="2026-07-22T00:00:00"/>
    <s v="."/>
    <s v="."/>
    <m/>
    <s v="LAXMAN B BAKUTRA "/>
    <n v="4"/>
    <n v="0"/>
    <n v="0"/>
    <n v="0"/>
    <n v="0"/>
    <n v="0"/>
    <s v="VAT"/>
    <n v="0"/>
    <n v="0"/>
    <n v="0"/>
    <n v="0"/>
    <n v="0"/>
    <m/>
    <n v="0"/>
    <n v="0"/>
    <n v="988910.35"/>
    <s v="FG"/>
    <s v="FIBC Bags"/>
    <x v="8"/>
    <s v="RM"/>
    <s v="erp"/>
    <n v="0"/>
    <n v="617881.68999999994"/>
    <n v="364"/>
    <d v="2026-07-23T00:00:00"/>
    <s v="24AAECK6307M1ZF"/>
    <s v="storeppl"/>
    <s v="storeppl"/>
    <n v="9"/>
    <n v="55609.35"/>
    <n v="9"/>
    <n v="55609.35"/>
    <n v="0"/>
    <n v="0"/>
    <n v="0"/>
    <n v="672149916739"/>
    <d v="2026-07-22T00:00:00"/>
    <n v="2407.3000000000002"/>
  </r>
  <r>
    <s v="Plastene Polyfilms Limited"/>
    <d v="2026-07-24T00:00:00"/>
    <s v="PPL/26-27/SII00968"/>
    <s v="RMC00125"/>
    <s v="Ink Vyankatesh Black VLX 579 Tape Tested"/>
    <s v="PPL/RAW/26-27/297"/>
    <n v="50"/>
    <n v="50"/>
    <s v="Kgs"/>
    <n v="50"/>
    <n v="0"/>
    <n v="50"/>
    <s v="GJ39TB7350"/>
    <s v="Vyankatesh Udyog (I) Pvt Ltd - Purchase"/>
    <s v="Vyankatesh Udyog (I) Pvt Ltd - Purchase"/>
    <s v="1156/26-27"/>
    <d v="2026-07-16T00:00:00"/>
    <s v="RAW MATERIAL"/>
    <s v="INDIGENOUS"/>
    <s v="RM 361"/>
    <n v="217"/>
    <n v="238.22605518837301"/>
    <s v="1156/26-27"/>
    <d v="2026-07-16T00:00:00"/>
    <m/>
    <n v="0"/>
    <m/>
    <s v="V-Trans ( India ) Ltd."/>
    <n v="4102516008"/>
    <n v="0"/>
    <n v="0"/>
    <n v="0"/>
    <n v="0"/>
    <n v="0"/>
    <s v="VAT"/>
    <n v="0"/>
    <n v="0"/>
    <n v="0"/>
    <n v="0"/>
    <n v="0"/>
    <m/>
    <n v="0"/>
    <n v="0"/>
    <n v="277058"/>
    <s v="RM Consumables"/>
    <s v="Ink"/>
    <x v="17"/>
    <s v="RM Consumables"/>
    <m/>
    <n v="0"/>
    <n v="11911.3"/>
    <n v="367"/>
    <d v="2026-07-24T00:00:00"/>
    <s v="27AAECV8365Q1ZC"/>
    <s v="storeppl"/>
    <s v="storegrp"/>
    <n v="0"/>
    <n v="0"/>
    <n v="0"/>
    <n v="0"/>
    <n v="18"/>
    <n v="1953"/>
    <n v="277058"/>
    <n v="252244921045"/>
    <d v="2026-07-16T00:00:00"/>
    <n v="50"/>
  </r>
  <r>
    <s v="Plastene Polyfilms Limited"/>
    <d v="2026-07-24T00:00:00"/>
    <s v="PPL/26-27/SII00968"/>
    <s v="RMC00124"/>
    <s v="Ink Vyankatesh White VLX 624 Tape Tested"/>
    <s v="PPL/RAW/26-27/297"/>
    <n v="50"/>
    <n v="50"/>
    <s v="Kgs"/>
    <n v="50"/>
    <n v="0"/>
    <n v="50"/>
    <s v="GJ39TB7350"/>
    <s v="Vyankatesh Udyog (I) Pvt Ltd - Purchase"/>
    <s v="Vyankatesh Udyog (I) Pvt Ltd - Purchase"/>
    <s v="1156/26-27"/>
    <d v="2026-07-16T00:00:00"/>
    <s v="RAW MATERIAL"/>
    <s v="INDIGENOUS"/>
    <s v="RM 361"/>
    <n v="277"/>
    <n v="298.34960658083003"/>
    <s v="1156/26-27"/>
    <d v="2026-07-16T00:00:00"/>
    <m/>
    <n v="0"/>
    <m/>
    <s v="V-Trans ( India ) Ltd."/>
    <n v="4102516008"/>
    <n v="0"/>
    <n v="0"/>
    <n v="0"/>
    <n v="0"/>
    <n v="0"/>
    <s v="VAT"/>
    <n v="0"/>
    <n v="0"/>
    <n v="0"/>
    <n v="0"/>
    <n v="0"/>
    <m/>
    <n v="0"/>
    <n v="0"/>
    <n v="277058"/>
    <s v="RM Consumables"/>
    <s v="Ink"/>
    <x v="17"/>
    <s v="RM Consumables"/>
    <m/>
    <n v="0"/>
    <n v="14917.48"/>
    <n v="367"/>
    <d v="2026-07-24T00:00:00"/>
    <s v="27AAECV8365Q1ZC"/>
    <s v="storeppl"/>
    <s v="storegrp"/>
    <n v="0"/>
    <n v="0"/>
    <n v="0"/>
    <n v="0"/>
    <n v="18"/>
    <n v="2493"/>
    <n v="0"/>
    <n v="252244921045"/>
    <d v="2026-07-16T00:00:00"/>
    <n v="50"/>
  </r>
  <r>
    <s v="Plastene Polyfilms Limited"/>
    <d v="2026-07-24T00:00:00"/>
    <s v="PPL/26-27/SII00968"/>
    <s v="RAW05727"/>
    <s v="Ink Vyankatesh Poly Process Blue VLX 643"/>
    <s v="PPL/RAW/26-27/297"/>
    <n v="50"/>
    <n v="50"/>
    <s v="Kgs"/>
    <n v="50"/>
    <n v="0"/>
    <n v="50"/>
    <s v="GJ39TB7350"/>
    <s v="Vyankatesh Udyog (I) Pvt Ltd - Purchase"/>
    <s v="Vyankatesh Udyog (I) Pvt Ltd - Purchase"/>
    <s v="1156/26-27"/>
    <d v="2026-07-16T00:00:00"/>
    <s v="RAW MATERIAL"/>
    <s v="INDIGENOUS"/>
    <s v="RM 361"/>
    <n v="311"/>
    <n v="331.421838098975"/>
    <s v="1156/26-27"/>
    <d v="2026-07-16T00:00:00"/>
    <m/>
    <n v="0"/>
    <m/>
    <s v="V-Trans ( India ) Ltd."/>
    <n v="4102516008"/>
    <n v="0"/>
    <n v="0"/>
    <n v="0"/>
    <n v="0"/>
    <n v="0"/>
    <s v="VAT"/>
    <n v="0"/>
    <n v="0"/>
    <n v="0"/>
    <n v="0"/>
    <n v="0"/>
    <m/>
    <n v="0"/>
    <n v="0"/>
    <n v="277058"/>
    <s v="RM Consumables"/>
    <s v="Ink"/>
    <x v="17"/>
    <s v="RM Consumables"/>
    <s v="erp"/>
    <n v="0"/>
    <n v="16571.09"/>
    <n v="367"/>
    <d v="2026-07-24T00:00:00"/>
    <s v="27AAECV8365Q1ZC"/>
    <s v="storeppl"/>
    <s v="storegrp"/>
    <n v="0"/>
    <n v="0"/>
    <n v="0"/>
    <n v="0"/>
    <n v="18"/>
    <n v="2799"/>
    <n v="0"/>
    <n v="252244921045"/>
    <d v="2026-07-16T00:00:00"/>
    <n v="50"/>
  </r>
  <r>
    <s v="Plastene Polyfilms Limited"/>
    <d v="2026-07-24T00:00:00"/>
    <s v="PPL/26-27/SII00968"/>
    <s v="RAW05728"/>
    <s v="Ink Vyankatesh Poly Process Yellow VLX 671"/>
    <s v="PPL/RAW/26-27/297"/>
    <n v="50"/>
    <n v="50"/>
    <s v="Kgs"/>
    <n v="50"/>
    <n v="0"/>
    <n v="50"/>
    <s v="GJ39TB7350"/>
    <s v="Vyankatesh Udyog (I) Pvt Ltd - Purchase"/>
    <s v="Vyankatesh Udyog (I) Pvt Ltd - Purchase"/>
    <s v="1156/26-27"/>
    <d v="2026-07-16T00:00:00"/>
    <s v="RAW MATERIAL"/>
    <s v="INDIGENOUS"/>
    <s v="RM 361"/>
    <n v="282"/>
    <n v="303.25751347826599"/>
    <s v="1156/26-27"/>
    <d v="2026-07-16T00:00:00"/>
    <m/>
    <n v="0"/>
    <m/>
    <s v="V-Trans ( India ) Ltd."/>
    <n v="4102516008"/>
    <n v="0"/>
    <n v="0"/>
    <n v="0"/>
    <n v="0"/>
    <n v="0"/>
    <s v="VAT"/>
    <n v="0"/>
    <n v="0"/>
    <n v="0"/>
    <n v="0"/>
    <n v="0"/>
    <m/>
    <n v="0"/>
    <n v="0"/>
    <n v="277058"/>
    <s v="RM Consumables"/>
    <s v="Ink"/>
    <x v="17"/>
    <s v="RM Consumables"/>
    <s v="erp"/>
    <n v="0"/>
    <n v="15162.88"/>
    <n v="367"/>
    <d v="2026-07-24T00:00:00"/>
    <s v="27AAECV8365Q1ZC"/>
    <s v="storeppl"/>
    <s v="storegrp"/>
    <n v="0"/>
    <n v="0"/>
    <n v="0"/>
    <n v="0"/>
    <n v="18"/>
    <n v="2538"/>
    <n v="0"/>
    <n v="252244921045"/>
    <d v="2026-07-16T00:00:00"/>
    <n v="50"/>
  </r>
  <r>
    <s v="Plastene Polyfilms Limited"/>
    <d v="2026-07-24T00:00:00"/>
    <s v="PPL/26-27/SII00968"/>
    <s v="RAW05730"/>
    <s v="Ink Vyankatesh Poly Reflex Blue VLX 573"/>
    <s v="PPL/RAW/26-27/297"/>
    <n v="50"/>
    <n v="50"/>
    <s v="Kgs"/>
    <n v="50"/>
    <n v="0"/>
    <n v="50"/>
    <s v="GJ39TB7350"/>
    <s v="Vyankatesh Udyog (I) Pvt Ltd - Purchase"/>
    <s v="Vyankatesh Udyog (I) Pvt Ltd - Purchase"/>
    <s v="1156/26-27"/>
    <d v="2026-07-16T00:00:00"/>
    <s v="RAW MATERIAL"/>
    <s v="INDIGENOUS"/>
    <s v="RM 361"/>
    <n v="330"/>
    <n v="349.6"/>
    <s v="1156/26-27"/>
    <d v="2026-07-16T00:00:00"/>
    <m/>
    <n v="0"/>
    <m/>
    <s v="V-Trans ( India ) Ltd."/>
    <n v="4102516008"/>
    <n v="0"/>
    <n v="0"/>
    <n v="0"/>
    <n v="0"/>
    <n v="0"/>
    <s v="VAT"/>
    <n v="0"/>
    <n v="0"/>
    <n v="0"/>
    <n v="0"/>
    <n v="0"/>
    <m/>
    <n v="0"/>
    <n v="0"/>
    <n v="277058"/>
    <s v="RM Consumables"/>
    <s v="Ink"/>
    <x v="17"/>
    <s v="RM Consumables"/>
    <s v="erp"/>
    <n v="0"/>
    <n v="17480"/>
    <n v="367"/>
    <d v="2026-07-24T00:00:00"/>
    <s v="27AAECV8365Q1ZC"/>
    <s v="storeppl"/>
    <s v="storegrp"/>
    <n v="0"/>
    <n v="0"/>
    <n v="0"/>
    <n v="0"/>
    <n v="18"/>
    <n v="2970"/>
    <n v="0"/>
    <n v="252244921045"/>
    <d v="2026-07-16T00:00:00"/>
    <n v="50"/>
  </r>
  <r>
    <s v="Plastene Polyfilms Limited"/>
    <d v="2026-07-24T00:00:00"/>
    <s v="PPL/26-27/SII00968"/>
    <s v="RAW05731"/>
    <s v="Ink Vyankatesh Poly Robbin Red VLX 876"/>
    <s v="PPL/RAW/26-27/297"/>
    <n v="25"/>
    <n v="25"/>
    <s v="Kgs"/>
    <n v="25"/>
    <n v="0"/>
    <n v="25"/>
    <s v="GJ39TB7350"/>
    <s v="Vyankatesh Udyog (I) Pvt Ltd - Purchase"/>
    <s v="Vyankatesh Udyog (I) Pvt Ltd - Purchase"/>
    <s v="1156/26-27"/>
    <d v="2026-07-16T00:00:00"/>
    <s v="RAW MATERIAL"/>
    <s v="INDIGENOUS"/>
    <s v="RM 361"/>
    <n v="277"/>
    <n v="311.95469354324098"/>
    <s v="1156/26-27"/>
    <d v="2026-07-16T00:00:00"/>
    <m/>
    <n v="0"/>
    <m/>
    <s v="V-Trans ( India ) Ltd."/>
    <n v="4102516008"/>
    <n v="0"/>
    <n v="0"/>
    <n v="0"/>
    <n v="0"/>
    <n v="0"/>
    <s v="VAT"/>
    <n v="0"/>
    <n v="0"/>
    <n v="0"/>
    <n v="0"/>
    <n v="0"/>
    <m/>
    <n v="0"/>
    <n v="0"/>
    <n v="277058"/>
    <s v="RM Consumables"/>
    <s v="Ink"/>
    <x v="17"/>
    <s v="RM Consumables"/>
    <s v="erp"/>
    <n v="0"/>
    <n v="7798.87"/>
    <n v="367"/>
    <d v="2026-07-24T00:00:00"/>
    <s v="27AAECV8365Q1ZC"/>
    <s v="storeppl"/>
    <s v="storegrp"/>
    <n v="0"/>
    <n v="0"/>
    <n v="0"/>
    <n v="0"/>
    <n v="18"/>
    <n v="1246.5"/>
    <n v="0"/>
    <n v="252244921045"/>
    <d v="2026-07-16T00:00:00"/>
    <n v="25"/>
  </r>
  <r>
    <s v="Plastene Polyfilms Limited"/>
    <d v="2026-07-24T00:00:00"/>
    <s v="PPL/26-27/SII00968"/>
    <s v="RAW05734"/>
    <s v="Ink Vyankatesh Poly Warm Red C VLX 607"/>
    <s v="PPL/RAW/26-27/297"/>
    <n v="50"/>
    <n v="50"/>
    <s v="Kgs"/>
    <n v="50"/>
    <n v="0"/>
    <n v="50"/>
    <s v="GJ39TB7350"/>
    <s v="Vyankatesh Udyog (I) Pvt Ltd - Purchase"/>
    <s v="Vyankatesh Udyog (I) Pvt Ltd - Purchase"/>
    <s v="1156/26-27"/>
    <d v="2026-07-16T00:00:00"/>
    <s v="RAW MATERIAL"/>
    <s v="INDIGENOUS"/>
    <s v="RM 361"/>
    <n v="285"/>
    <n v="306.19485807352299"/>
    <s v="1156/26-27"/>
    <d v="2026-07-16T00:00:00"/>
    <m/>
    <n v="0"/>
    <m/>
    <s v="V-Trans ( India ) Ltd."/>
    <n v="4102516008"/>
    <n v="0"/>
    <n v="0"/>
    <n v="0"/>
    <n v="0"/>
    <n v="0"/>
    <s v="VAT"/>
    <n v="0"/>
    <n v="0"/>
    <n v="0"/>
    <n v="0"/>
    <n v="0"/>
    <m/>
    <n v="0"/>
    <n v="0"/>
    <n v="277058"/>
    <s v="RM Consumables"/>
    <s v="Ink"/>
    <x v="17"/>
    <s v="RM Consumables"/>
    <s v="erp"/>
    <n v="0"/>
    <n v="15309.74"/>
    <n v="367"/>
    <d v="2026-07-24T00:00:00"/>
    <s v="27AAECV8365Q1ZC"/>
    <s v="storeppl"/>
    <s v="storegrp"/>
    <n v="0"/>
    <n v="0"/>
    <n v="0"/>
    <n v="0"/>
    <n v="18"/>
    <n v="2565"/>
    <n v="0"/>
    <n v="252244921045"/>
    <d v="2026-07-16T00:00:00"/>
    <n v="50"/>
  </r>
  <r>
    <s v="Plastene Polyfilms Limited"/>
    <d v="2026-07-24T00:00:00"/>
    <s v="PPL/26-27/SII00968"/>
    <s v="RAW05741"/>
    <s v="Ink Vyankatesh Poly Orange 021 C VLX 528"/>
    <s v="PPL/RAW/26-27/297"/>
    <n v="50"/>
    <n v="50"/>
    <s v="Kgs"/>
    <n v="50"/>
    <n v="0"/>
    <n v="50"/>
    <s v="GJ39TB7350"/>
    <s v="Vyankatesh Udyog (I) Pvt Ltd - Purchase"/>
    <s v="Vyankatesh Udyog (I) Pvt Ltd - Purchase"/>
    <s v="1156/26-27"/>
    <d v="2026-07-16T00:00:00"/>
    <s v="RAW MATERIAL"/>
    <s v="INDIGENOUS"/>
    <s v="RM 361"/>
    <n v="285"/>
    <n v="306.19485807352299"/>
    <s v="1156/26-27"/>
    <d v="2026-07-16T00:00:00"/>
    <m/>
    <n v="0"/>
    <m/>
    <s v="V-Trans ( India ) Ltd."/>
    <n v="4102516008"/>
    <n v="0"/>
    <n v="0"/>
    <n v="0"/>
    <n v="0"/>
    <n v="0"/>
    <s v="VAT"/>
    <n v="0"/>
    <n v="0"/>
    <n v="0"/>
    <n v="0"/>
    <n v="0"/>
    <m/>
    <n v="0"/>
    <n v="0"/>
    <n v="277058"/>
    <s v="RM Consumables"/>
    <s v="Ink"/>
    <x v="17"/>
    <s v="RM Consumables"/>
    <s v="erp"/>
    <n v="0"/>
    <n v="15309.74"/>
    <n v="367"/>
    <d v="2026-07-24T00:00:00"/>
    <s v="27AAECV8365Q1ZC"/>
    <s v="storeppl"/>
    <s v="storegrp"/>
    <n v="0"/>
    <n v="0"/>
    <n v="0"/>
    <n v="0"/>
    <n v="18"/>
    <n v="2565"/>
    <n v="0"/>
    <n v="252244921045"/>
    <d v="2026-07-16T00:00:00"/>
    <n v="50"/>
  </r>
  <r>
    <s v="Plastene Polyfilms Limited"/>
    <d v="2026-07-24T00:00:00"/>
    <s v="PPL/26-27/SII00968"/>
    <s v="RAW05764"/>
    <s v="Thinner Vyankatesh Thinner"/>
    <s v="PPL/RAW/26-27/297"/>
    <n v="1190"/>
    <n v="1190"/>
    <s v="Kgs"/>
    <n v="1190"/>
    <n v="0"/>
    <n v="1190"/>
    <s v="GJ39TB7350"/>
    <s v="Vyankatesh Udyog (I) Pvt Ltd - Purchase"/>
    <s v="Vyankatesh Udyog (I) Pvt Ltd - Purchase"/>
    <s v="1156/26-27"/>
    <d v="2026-07-16T00:00:00"/>
    <s v="RAW MATERIAL"/>
    <s v="INDIGENOUS"/>
    <s v="RM 361"/>
    <n v="108"/>
    <n v="67.545010422183097"/>
    <s v="1156/26-27"/>
    <d v="2026-07-16T00:00:00"/>
    <m/>
    <n v="0"/>
    <m/>
    <s v="V-Trans ( India ) Ltd."/>
    <n v="4102516008"/>
    <n v="0"/>
    <n v="0"/>
    <n v="0"/>
    <n v="0"/>
    <n v="0"/>
    <s v="VAT"/>
    <n v="0"/>
    <n v="0"/>
    <n v="0"/>
    <n v="0"/>
    <n v="0"/>
    <m/>
    <n v="0"/>
    <n v="0"/>
    <n v="277058"/>
    <s v="RM Consumables"/>
    <s v="Ink"/>
    <x v="15"/>
    <s v="RM Consumables"/>
    <s v="erp"/>
    <n v="0"/>
    <n v="80378.559999999998"/>
    <n v="367"/>
    <d v="2026-07-24T00:00:00"/>
    <s v="27AAECV8365Q1ZC"/>
    <s v="storeppl"/>
    <s v="storegrp"/>
    <n v="0"/>
    <n v="0"/>
    <n v="0"/>
    <n v="0"/>
    <n v="18"/>
    <n v="23133.599999999999"/>
    <n v="0"/>
    <n v="252244921045"/>
    <d v="2026-07-16T00:00:00"/>
    <n v="1190"/>
  </r>
  <r>
    <s v="Plastene Polyfilms Limited"/>
    <d v="2026-07-24T00:00:00"/>
    <s v="PPL/26-27/SII00969"/>
    <s v="WIP00023"/>
    <s v="PP UL Fabric With UV"/>
    <s v="PPL/RAW/26-27/358"/>
    <n v="892"/>
    <n v="892"/>
    <s v="Kgs"/>
    <n v="892"/>
    <n v="0"/>
    <n v="892"/>
    <s v="GJ07Y1324"/>
    <s v="Plastene India ltd - Unit 1-Purchase"/>
    <s v="Plastene India ltd - Unit 1-Purchase"/>
    <s v="PIL1/D/1166"/>
    <d v="2026-07-24T00:00:00"/>
    <s v="RAW MATERIAL"/>
    <s v="INDIGENOUS"/>
    <s v="RM 362"/>
    <n v="149.49"/>
    <n v="149.49"/>
    <s v="PIL1/D/1166"/>
    <d v="2026-07-24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57347.20000000001"/>
    <s v="SF"/>
    <s v="PP/PE Fabric"/>
    <x v="0"/>
    <s v="RM"/>
    <s v="erp"/>
    <n v="0"/>
    <n v="133345.07999999999"/>
    <n v="366"/>
    <d v="2026-07-24T00:00:00"/>
    <s v="24AAACO3087C1ZT"/>
    <s v="storeppl"/>
    <s v="storeppl"/>
    <n v="9"/>
    <n v="12001.06"/>
    <n v="9"/>
    <n v="12001.06"/>
    <n v="0"/>
    <n v="0"/>
    <n v="157347.20000000001"/>
    <n v="612150400249"/>
    <d v="2026-07-24T00:00:00"/>
    <n v="892"/>
  </r>
  <r>
    <s v="Plastene Polyfilms Limited"/>
    <d v="2026-07-24T00:00:00"/>
    <s v="PPL/26-27/SII00971"/>
    <s v="RAW06390"/>
    <s v="LLDPE KUNLUN DFDA9047"/>
    <s v="PPL/RAW/26-27/359"/>
    <n v="5000"/>
    <n v="5000"/>
    <s v="Kgs"/>
    <n v="5000"/>
    <n v="0"/>
    <n v="5000"/>
    <s v="GJ12X1249"/>
    <s v="Plastene India ltd - Unit 1-Purchase"/>
    <s v="Plastene India ltd - Unit 1-Purchase"/>
    <s v="PIL1/D/1170"/>
    <d v="2026-07-24T00:00:00"/>
    <s v="RAW MATERIAL"/>
    <s v="INDIGENOUS"/>
    <s v="RM 363"/>
    <n v="124.4"/>
    <n v="124.4"/>
    <s v="PIL1/D/1170"/>
    <d v="2026-07-24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33960"/>
    <s v="RM"/>
    <s v="Granules"/>
    <x v="6"/>
    <s v="RM"/>
    <m/>
    <n v="0"/>
    <n v="622000"/>
    <n v="368"/>
    <d v="2026-07-24T00:00:00"/>
    <s v="24AAACO3087C1ZT"/>
    <s v="storeppl"/>
    <s v="storeppl"/>
    <n v="9"/>
    <n v="55980"/>
    <n v="9"/>
    <n v="55980"/>
    <n v="0"/>
    <n v="0"/>
    <n v="733960"/>
    <n v="652150632589"/>
    <d v="2026-07-24T00:00:00"/>
    <n v="5000"/>
  </r>
  <r>
    <s v="Plastene Polyfilms Limited"/>
    <d v="2026-07-25T00:00:00"/>
    <s v="PPL/26-27/SII00979"/>
    <s v="WIP00013"/>
    <s v="LDPE/LLDPE Bags/Liner"/>
    <s v="PPL/RAW/26-27/360"/>
    <n v="1386"/>
    <n v="1386"/>
    <s v="Kgs"/>
    <n v="1386"/>
    <n v="0"/>
    <n v="1386"/>
    <s v="GJ12X1249"/>
    <s v="Plastene India ltd - Unit 1-Purchase"/>
    <s v="Plastene India ltd - Unit 1-Purchase"/>
    <s v="PIL1/D/1179"/>
    <d v="2026-07-25T00:00:00"/>
    <s v="RAW MATERIAL"/>
    <s v="INDIGENOUS"/>
    <s v="RM 364"/>
    <n v="182.78"/>
    <n v="182.779998453345"/>
    <s v="PIL1/D/1179"/>
    <d v="2026-07-2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63598.71"/>
    <s v="SF"/>
    <s v="Liners"/>
    <x v="1"/>
    <s v="RM"/>
    <s v="erp"/>
    <n v="0"/>
    <n v="253333.08"/>
    <n v="369"/>
    <d v="2026-07-25T00:00:00"/>
    <s v="24AAACO3087C1ZT"/>
    <s v="storeppl"/>
    <s v="storeppl"/>
    <n v="9"/>
    <n v="22799.98"/>
    <n v="9"/>
    <n v="22799.98"/>
    <n v="0"/>
    <n v="0"/>
    <n v="1063598.71"/>
    <n v="682151328107"/>
    <d v="2026-07-25T00:00:00"/>
    <n v="1386"/>
  </r>
  <r>
    <s v="Plastene Polyfilms Limited"/>
    <d v="2026-07-25T00:00:00"/>
    <s v="PPL/26-27/SII00979"/>
    <s v="WIP00151"/>
    <s v="PP MF Yarn Twisted 1000 UV NW"/>
    <s v="PPL/RAW/26-27/360"/>
    <n v="948.6"/>
    <n v="948.6"/>
    <s v="Kgs"/>
    <n v="948.6"/>
    <n v="0"/>
    <n v="948.6"/>
    <s v="GJ12X1249"/>
    <s v="Plastene India ltd - Unit 1-Purchase"/>
    <s v="Plastene India ltd - Unit 1-Purchase"/>
    <s v="PIL1/D/1179"/>
    <d v="2026-07-25T00:00:00"/>
    <s v="RAW MATERIAL"/>
    <s v="INDIGENOUS"/>
    <s v="RM 364"/>
    <n v="156.49"/>
    <n v="156.48999867580699"/>
    <s v="PIL1/D/1179"/>
    <d v="2026-07-2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63598.71"/>
    <s v="SF"/>
    <s v="Yarn All"/>
    <x v="5"/>
    <s v="RM"/>
    <m/>
    <n v="0"/>
    <n v="148446.41"/>
    <n v="369"/>
    <d v="2026-07-25T00:00:00"/>
    <s v="24AAACO3087C1ZT"/>
    <s v="storeppl"/>
    <s v="storeppl"/>
    <n v="2.5"/>
    <n v="3711.16"/>
    <n v="2.5"/>
    <n v="3711.16"/>
    <n v="0"/>
    <n v="0"/>
    <n v="0"/>
    <n v="682151328107"/>
    <d v="2026-07-25T00:00:00"/>
    <n v="948.6"/>
  </r>
  <r>
    <s v="Plastene Polyfilms Limited"/>
    <d v="2026-07-25T00:00:00"/>
    <s v="PPL/26-27/SII00979"/>
    <s v="WIP00236"/>
    <s v="PP Braided Rope MW 6 to 8 GPM"/>
    <s v="PPL/RAW/26-27/360"/>
    <n v="54"/>
    <n v="54"/>
    <s v="Kgs"/>
    <n v="54"/>
    <n v="0"/>
    <n v="54"/>
    <s v="GJ12X1249"/>
    <s v="Plastene India ltd - Unit 1-Purchase"/>
    <s v="Plastene India ltd - Unit 1-Purchase"/>
    <s v="PIL1/D/1179"/>
    <d v="2026-07-25T00:00:00"/>
    <s v="RAW MATERIAL"/>
    <s v="INDIGENOUS"/>
    <s v="RM 364"/>
    <n v="160.99"/>
    <n v="160.989998637729"/>
    <s v="PIL1/D/1179"/>
    <d v="2026-07-2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63598.71"/>
    <s v="SF"/>
    <s v="Yarn All"/>
    <x v="5"/>
    <s v="RM"/>
    <s v="erp"/>
    <n v="0"/>
    <n v="8693.4599999999991"/>
    <n v="369"/>
    <d v="2026-07-25T00:00:00"/>
    <s v="24AAACO3087C1ZT"/>
    <s v="storeppl"/>
    <s v="storeppl"/>
    <n v="2.5"/>
    <n v="217.34"/>
    <n v="2.5"/>
    <n v="217.34"/>
    <n v="0"/>
    <n v="0"/>
    <n v="0"/>
    <n v="682151328107"/>
    <d v="2026-07-25T00:00:00"/>
    <n v="54"/>
  </r>
  <r>
    <s v="Plastene Polyfilms Limited"/>
    <d v="2026-07-25T00:00:00"/>
    <s v="PPL/26-27/SII00979"/>
    <s v="WIP00032"/>
    <s v="Webbing"/>
    <s v="PPL/RAW/26-27/360"/>
    <n v="1007.9"/>
    <n v="1007.9"/>
    <s v="Kgs"/>
    <n v="1007.9"/>
    <n v="0"/>
    <n v="1007.9"/>
    <s v="GJ12X1249"/>
    <s v="Plastene India ltd - Unit 1-Purchase"/>
    <s v="Plastene India ltd - Unit 1-Purchase"/>
    <s v="PIL1/D/1179"/>
    <d v="2026-07-25T00:00:00"/>
    <s v="RAW MATERIAL"/>
    <s v="INDIGENOUS"/>
    <s v="RM 364"/>
    <n v="149.49"/>
    <n v="149.48999873503999"/>
    <s v="PIL1/D/1179"/>
    <d v="2026-07-2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63598.71"/>
    <s v="SF"/>
    <s v="Webbing"/>
    <x v="3"/>
    <s v="RM"/>
    <s v="erp"/>
    <n v="0"/>
    <n v="150670.97"/>
    <n v="369"/>
    <d v="2026-07-25T00:00:00"/>
    <s v="24AAACO3087C1ZT"/>
    <s v="storeppl"/>
    <s v="storeppl"/>
    <n v="9"/>
    <n v="13560.39"/>
    <n v="9"/>
    <n v="13560.39"/>
    <n v="0"/>
    <n v="0"/>
    <n v="0"/>
    <n v="682151328107"/>
    <d v="2026-07-25T00:00:00"/>
    <n v="1007.9"/>
  </r>
  <r>
    <s v="Plastene Polyfilms Limited"/>
    <d v="2026-07-25T00:00:00"/>
    <s v="PPL/26-27/SII00979"/>
    <s v="WIP00032"/>
    <s v="Webbing"/>
    <s v="PPL/RAW/26-27/360"/>
    <n v="1107.5999999999999"/>
    <n v="1107.5999999999999"/>
    <s v="Kgs"/>
    <n v="1107.5999999999999"/>
    <n v="0"/>
    <n v="1107.5999999999999"/>
    <s v="GJ12X1249"/>
    <s v="Plastene India ltd - Unit 1-Purchase"/>
    <s v="Plastene India ltd - Unit 1-Purchase"/>
    <s v="PIL1/D/1179"/>
    <d v="2026-07-25T00:00:00"/>
    <s v="RAW MATERIAL"/>
    <s v="INDIGENOUS"/>
    <s v="RM 364"/>
    <n v="146.49"/>
    <n v="146.48999876042501"/>
    <s v="PIL1/D/1179"/>
    <d v="2026-07-2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63598.71"/>
    <s v="SF"/>
    <s v="Webbing"/>
    <x v="3"/>
    <s v="RM"/>
    <s v="erp"/>
    <n v="0"/>
    <n v="162252.32"/>
    <n v="369"/>
    <d v="2026-07-25T00:00:00"/>
    <s v="24AAACO3087C1ZT"/>
    <s v="storeppl"/>
    <s v="storeppl"/>
    <n v="9"/>
    <n v="14602.71"/>
    <n v="9"/>
    <n v="14602.71"/>
    <n v="0"/>
    <n v="0"/>
    <n v="0"/>
    <n v="682151328107"/>
    <d v="2026-07-25T00:00:00"/>
    <n v="1107.5999999999999"/>
  </r>
  <r>
    <s v="Plastene Polyfilms Limited"/>
    <d v="2026-07-25T00:00:00"/>
    <s v="PPL/26-27/SII00979"/>
    <s v="WIP00025"/>
    <s v="PP Lam Fabric With UV"/>
    <s v="PPL/RAW/26-27/360"/>
    <n v="1289"/>
    <n v="1289"/>
    <s v="Kgs"/>
    <n v="1289"/>
    <n v="0"/>
    <n v="1289"/>
    <s v="GJ12X1249"/>
    <s v="Plastene India ltd - Unit 1-Purchase"/>
    <s v="Plastene India ltd - Unit 1-Purchase"/>
    <s v="PIL1/D/1179"/>
    <d v="2026-07-25T00:00:00"/>
    <s v="RAW MATERIAL"/>
    <s v="INDIGENOUS"/>
    <s v="RM 364"/>
    <n v="151.49"/>
    <n v="151.489998718116"/>
    <s v="PIL1/D/1179"/>
    <d v="2026-07-25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63598.71"/>
    <s v="SF"/>
    <s v="PP/PE Fabric"/>
    <x v="2"/>
    <s v="RM"/>
    <s v="erp"/>
    <n v="0"/>
    <n v="195270.61"/>
    <n v="369"/>
    <d v="2026-07-25T00:00:00"/>
    <s v="24AAACO3087C1ZT"/>
    <s v="storeppl"/>
    <s v="storeppl"/>
    <n v="9"/>
    <n v="17574.349999999999"/>
    <n v="9"/>
    <n v="17574.349999999999"/>
    <n v="0"/>
    <n v="0"/>
    <n v="0"/>
    <n v="682151328107"/>
    <d v="2026-07-25T00:00:00"/>
    <n v="1289"/>
  </r>
  <r>
    <s v="Plastene Polyfilms Limited"/>
    <d v="2026-07-26T00:00:00"/>
    <s v="PPL/26-27/SII00980"/>
    <s v="WIP00023"/>
    <s v="PP UL Fabric With UV"/>
    <s v="PPL/RAW/26-27/361"/>
    <n v="412"/>
    <n v="412"/>
    <s v="Kgs"/>
    <n v="412"/>
    <n v="0"/>
    <n v="412"/>
    <s v="GJ12BY1595"/>
    <s v="Plastene India ltd - Unit 1-Purchase"/>
    <s v="Plastene India ltd - Unit 1-Purchase"/>
    <s v="PIL1/D/1181"/>
    <d v="2026-07-26T00:00:00"/>
    <s v="RAW MATERIAL"/>
    <s v="INDIGENOUS"/>
    <s v="RM 365"/>
    <n v="144.49"/>
    <n v="144.49"/>
    <s v="PIL1/D/1181"/>
    <d v="2026-07-2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70245.259999999995"/>
    <s v="SF"/>
    <s v="PP/PE Fabric"/>
    <x v="0"/>
    <s v="RM"/>
    <s v="erp"/>
    <n v="0"/>
    <n v="59529.88"/>
    <n v="370"/>
    <d v="2026-07-26T00:00:00"/>
    <s v="24AAACO3087C1ZT"/>
    <s v="storeppl"/>
    <s v="storeppl"/>
    <n v="9"/>
    <n v="5357.69"/>
    <n v="9"/>
    <n v="5357.69"/>
    <n v="0"/>
    <n v="0"/>
    <n v="70245.259999999995"/>
    <n v="682151459027"/>
    <d v="2026-07-26T00:00:00"/>
    <n v="412"/>
  </r>
  <r>
    <s v="Plastene Polyfilms Limited"/>
    <d v="2026-07-26T00:00:00"/>
    <s v="PPL/26-27/SII00982"/>
    <s v="WIP00023"/>
    <s v="PP UL Fabric With UV"/>
    <s v="PPL/RAW/26-27/362"/>
    <n v="1266"/>
    <n v="1266"/>
    <s v="Kgs"/>
    <n v="1266"/>
    <n v="0"/>
    <n v="1266"/>
    <s v="GJ12X1249"/>
    <s v="Plastene India ltd - Unit 1-Purchase"/>
    <s v="Plastene India ltd - Unit 1-Purchase"/>
    <s v="PIL1/D/1185"/>
    <d v="2026-07-26T00:00:00"/>
    <s v="RAW MATERIAL"/>
    <s v="INDIGENOUS"/>
    <s v="RM 366"/>
    <n v="146.49"/>
    <n v="146.490000784269"/>
    <s v="PIL1/D/1185"/>
    <d v="2026-07-2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60356.22"/>
    <s v="SF"/>
    <s v="PP/PE Fabric"/>
    <x v="0"/>
    <s v="RM"/>
    <s v="erp"/>
    <n v="0"/>
    <n v="185456.34"/>
    <n v="371"/>
    <d v="2026-07-26T00:00:00"/>
    <s v="24AAACO3087C1ZT"/>
    <s v="storeppl"/>
    <s v="storeppl"/>
    <n v="9"/>
    <n v="16691.07"/>
    <n v="9"/>
    <n v="16691.07"/>
    <n v="0"/>
    <n v="0"/>
    <n v="560356.22"/>
    <n v="642151544420"/>
    <d v="2026-07-26T00:00:00"/>
    <n v="1266"/>
  </r>
  <r>
    <s v="Plastene Polyfilms Limited"/>
    <d v="2026-07-26T00:00:00"/>
    <s v="PPL/26-27/SII00982"/>
    <s v="WIP00025"/>
    <s v="PP Lam Fabric With UV"/>
    <s v="PPL/RAW/26-27/362"/>
    <n v="1368"/>
    <n v="1368"/>
    <s v="Kgs"/>
    <n v="1368"/>
    <n v="0"/>
    <n v="1368"/>
    <s v="GJ12X1249"/>
    <s v="Plastene India ltd - Unit 1-Purchase"/>
    <s v="Plastene India ltd - Unit 1-Purchase"/>
    <s v="PIL1/D/1185"/>
    <d v="2026-07-26T00:00:00"/>
    <s v="RAW MATERIAL"/>
    <s v="INDIGENOUS"/>
    <s v="RM 366"/>
    <n v="151.49"/>
    <n v="151.49000081103799"/>
    <s v="PIL1/D/1185"/>
    <d v="2026-07-2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60356.22"/>
    <s v="SF"/>
    <s v="PP/PE Fabric"/>
    <x v="2"/>
    <s v="RM"/>
    <s v="erp"/>
    <n v="0"/>
    <n v="207238.32"/>
    <n v="371"/>
    <d v="2026-07-26T00:00:00"/>
    <s v="24AAACO3087C1ZT"/>
    <s v="storeppl"/>
    <s v="storeppl"/>
    <n v="9"/>
    <n v="18651.45"/>
    <n v="9"/>
    <n v="18651.45"/>
    <n v="0"/>
    <n v="0"/>
    <n v="0"/>
    <n v="642151544420"/>
    <d v="2026-07-26T00:00:00"/>
    <n v="1368"/>
  </r>
  <r>
    <s v="Plastene Polyfilms Limited"/>
    <d v="2026-07-26T00:00:00"/>
    <s v="PPL/26-27/SII00982"/>
    <s v="WIP00032"/>
    <s v="Webbing"/>
    <s v="PPL/RAW/26-27/362"/>
    <n v="276.10000000000002"/>
    <n v="276.10000000000002"/>
    <s v="Kgs"/>
    <n v="276.10000000000002"/>
    <n v="0"/>
    <n v="276.10000000000002"/>
    <s v="GJ12X1249"/>
    <s v="Plastene India ltd - Unit 1-Purchase"/>
    <s v="Plastene India ltd - Unit 1-Purchase"/>
    <s v="PIL1/D/1185"/>
    <d v="2026-07-26T00:00:00"/>
    <s v="RAW MATERIAL"/>
    <s v="INDIGENOUS"/>
    <s v="RM 366"/>
    <n v="146.49"/>
    <n v="146.490000784269"/>
    <s v="PIL1/D/1185"/>
    <d v="2026-07-2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60356.22"/>
    <s v="SF"/>
    <s v="Webbing"/>
    <x v="3"/>
    <s v="RM"/>
    <s v="erp"/>
    <n v="0"/>
    <n v="40445.89"/>
    <n v="371"/>
    <d v="2026-07-26T00:00:00"/>
    <s v="24AAACO3087C1ZT"/>
    <s v="storeppl"/>
    <s v="storeppl"/>
    <n v="9"/>
    <n v="3640.13"/>
    <n v="9"/>
    <n v="3640.13"/>
    <n v="0"/>
    <n v="0"/>
    <n v="0"/>
    <n v="642151544420"/>
    <d v="2026-07-26T00:00:00"/>
    <n v="276.10000000000002"/>
  </r>
  <r>
    <s v="Plastene Polyfilms Limited"/>
    <d v="2026-07-26T00:00:00"/>
    <s v="PPL/26-27/SII00982"/>
    <s v="WIP00032"/>
    <s v="Webbing"/>
    <s v="PPL/RAW/26-27/362"/>
    <n v="279.2"/>
    <n v="279.2"/>
    <s v="Kgs"/>
    <n v="279.2"/>
    <n v="0"/>
    <n v="279.2"/>
    <s v="GJ12X1249"/>
    <s v="Plastene India ltd - Unit 1-Purchase"/>
    <s v="Plastene India ltd - Unit 1-Purchase"/>
    <s v="PIL1/D/1185"/>
    <d v="2026-07-26T00:00:00"/>
    <s v="RAW MATERIAL"/>
    <s v="INDIGENOUS"/>
    <s v="RM 366"/>
    <n v="149.49"/>
    <n v="149.49000080032999"/>
    <s v="PIL1/D/1185"/>
    <d v="2026-07-26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60356.22"/>
    <s v="SF"/>
    <s v="Webbing"/>
    <x v="3"/>
    <s v="RM"/>
    <s v="erp"/>
    <n v="0"/>
    <n v="41737.61"/>
    <n v="371"/>
    <d v="2026-07-26T00:00:00"/>
    <s v="24AAACO3087C1ZT"/>
    <s v="storeppl"/>
    <s v="storeppl"/>
    <n v="9"/>
    <n v="3756.38"/>
    <n v="9"/>
    <n v="3756.38"/>
    <n v="0"/>
    <n v="0"/>
    <n v="0"/>
    <n v="642151544420"/>
    <d v="2026-07-26T00:00:00"/>
    <n v="279.2"/>
  </r>
  <r>
    <s v="Plastene Polyfilms Limited"/>
    <d v="2026-07-27T00:00:00"/>
    <s v="PPL/26-27/SII00983"/>
    <s v="WIP00004"/>
    <s v="FIBC Bags With UV Without Liner"/>
    <s v="PPL/RAW/26-27/363"/>
    <n v="19608"/>
    <n v="19608"/>
    <s v="Kgs"/>
    <n v="19608"/>
    <n v="0"/>
    <n v="19608"/>
    <s v="GJ12CT7030"/>
    <s v="Plastene India ltd - Unit 2-Purchase"/>
    <s v="Plastene India ltd - Unit 2-Purchase"/>
    <s v="PIL2/D/409"/>
    <d v="2026-07-26T00:00:00"/>
    <s v="RAW MATERIAL"/>
    <s v="INDIGENOUS"/>
    <s v="RM 367"/>
    <n v="226.12"/>
    <n v="226.12"/>
    <s v="PIL2/D/409"/>
    <d v="2026-07-26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231837.9400000004"/>
    <s v="FG"/>
    <s v="FIBC Bags"/>
    <x v="8"/>
    <s v="RM"/>
    <s v="erp"/>
    <n v="0"/>
    <n v="4433760.96"/>
    <n v="373"/>
    <d v="2026-07-27T00:00:00"/>
    <s v="24AAACO3087C1ZT"/>
    <s v="storeppl"/>
    <s v="storeppl"/>
    <n v="9"/>
    <n v="399038.49"/>
    <n v="9"/>
    <n v="399038.49"/>
    <n v="0"/>
    <n v="0"/>
    <n v="5231837.9400000004"/>
    <n v="662151561115"/>
    <d v="2026-07-26T00:00:00"/>
    <n v="19608"/>
  </r>
  <r>
    <s v="Plastene Polyfilms Limited"/>
    <d v="2026-07-27T00:00:00"/>
    <s v="PPL/26-27/SII00984"/>
    <s v="WIP00023"/>
    <s v="PP UL Fabric With UV"/>
    <s v="PPL/RAW/26-27/364"/>
    <n v="188"/>
    <n v="188"/>
    <s v="Kgs"/>
    <n v="188"/>
    <n v="0"/>
    <n v="188"/>
    <s v="GJ01LT7680"/>
    <s v="HCP Plastene Bulkpack Limited - Purchase"/>
    <s v="HCP Plastene Bulkpack Limited - Purchase"/>
    <s v="HPBL/D/419"/>
    <d v="2026-07-25T00:00:00"/>
    <s v="RAW MATERIAL"/>
    <s v="INDIGENOUS"/>
    <s v="RM 368"/>
    <n v="159.49"/>
    <n v="159.49"/>
    <s v="HPBL/D/419"/>
    <d v="2026-07-25T00:00:00"/>
    <m/>
    <n v="0"/>
    <m/>
    <s v="SHREENA  ROADWAYS"/>
    <n v="2524"/>
    <n v="0"/>
    <n v="0"/>
    <n v="0"/>
    <n v="0"/>
    <n v="0"/>
    <s v="VAT"/>
    <n v="0"/>
    <n v="0"/>
    <n v="0"/>
    <n v="0"/>
    <n v="0"/>
    <m/>
    <n v="0"/>
    <n v="0"/>
    <n v="1202429.18"/>
    <s v="SF"/>
    <s v="PP/PE Fabric"/>
    <x v="0"/>
    <s v="RM"/>
    <s v="erp"/>
    <n v="0"/>
    <n v="29984.12"/>
    <n v="372"/>
    <d v="2026-07-27T00:00:00"/>
    <s v="24AABCG1282C2Z6"/>
    <s v="storeppl"/>
    <s v="storeppl"/>
    <n v="9"/>
    <n v="2698.57"/>
    <n v="9"/>
    <n v="2698.57"/>
    <n v="0"/>
    <n v="0"/>
    <n v="1202429.18"/>
    <n v="662151460432"/>
    <d v="2026-07-26T00:00:00"/>
    <n v="188"/>
  </r>
  <r>
    <s v="Plastene Polyfilms Limited"/>
    <d v="2026-07-27T00:00:00"/>
    <s v="PPL/26-27/SII00984"/>
    <s v="WIP00023"/>
    <s v="PP UL Fabric With UV"/>
    <s v="PPL/RAW/26-27/364"/>
    <n v="5908"/>
    <n v="5908"/>
    <s v="Kgs"/>
    <n v="5908"/>
    <n v="0"/>
    <n v="5908"/>
    <s v="GJ01LT7680"/>
    <s v="HCP Plastene Bulkpack Limited - Purchase"/>
    <s v="HCP Plastene Bulkpack Limited - Purchase"/>
    <s v="HPBL/D/419"/>
    <d v="2026-07-25T00:00:00"/>
    <s v="RAW MATERIAL"/>
    <s v="INDIGENOUS"/>
    <s v="RM 368"/>
    <n v="156.49"/>
    <n v="156.49"/>
    <s v="HPBL/D/419"/>
    <d v="2026-07-25T00:00:00"/>
    <m/>
    <n v="0"/>
    <m/>
    <s v="SHREENA  ROADWAYS"/>
    <n v="2524"/>
    <n v="0"/>
    <n v="0"/>
    <n v="0"/>
    <n v="0"/>
    <n v="0"/>
    <s v="VAT"/>
    <n v="0"/>
    <n v="0"/>
    <n v="0"/>
    <n v="0"/>
    <n v="0"/>
    <m/>
    <n v="0"/>
    <n v="0"/>
    <n v="1202429.18"/>
    <s v="SF"/>
    <s v="PP/PE Fabric"/>
    <x v="0"/>
    <s v="RM"/>
    <s v="erp"/>
    <n v="0"/>
    <n v="924542.92"/>
    <n v="372"/>
    <d v="2026-07-27T00:00:00"/>
    <s v="24AABCG1282C2Z6"/>
    <s v="storeppl"/>
    <s v="storeppl"/>
    <n v="9"/>
    <n v="83208.86"/>
    <n v="9"/>
    <n v="83208.86"/>
    <n v="0"/>
    <n v="0"/>
    <n v="0"/>
    <n v="662151460432"/>
    <d v="2026-07-26T00:00:00"/>
    <n v="5908"/>
  </r>
  <r>
    <s v="Plastene Polyfilms Limited"/>
    <d v="2026-07-27T00:00:00"/>
    <s v="PPL/26-27/SII00984"/>
    <s v="WIP00013"/>
    <s v="LDPE/LLDPE Bags/Liner"/>
    <s v="PPL/RAW/26-27/364"/>
    <n v="397"/>
    <n v="397"/>
    <s v="Kgs"/>
    <n v="397"/>
    <n v="0"/>
    <n v="397"/>
    <s v="GJ01LT7680"/>
    <s v="HCP Plastene Bulkpack Limited - Purchase"/>
    <s v="HCP Plastene Bulkpack Limited - Purchase"/>
    <s v="HPBL/D/419"/>
    <d v="2026-07-25T00:00:00"/>
    <s v="RAW MATERIAL"/>
    <s v="INDIGENOUS"/>
    <s v="RM 368"/>
    <n v="162.41999999999999"/>
    <n v="162.41999999999999"/>
    <s v="HPBL/D/419"/>
    <d v="2026-07-25T00:00:00"/>
    <m/>
    <n v="0"/>
    <m/>
    <s v="SHREENA  ROADWAYS"/>
    <n v="2524"/>
    <n v="0"/>
    <n v="0"/>
    <n v="0"/>
    <n v="0"/>
    <n v="0"/>
    <s v="VAT"/>
    <n v="0"/>
    <n v="0"/>
    <n v="0"/>
    <n v="0"/>
    <n v="0"/>
    <m/>
    <n v="0"/>
    <n v="0"/>
    <n v="1202429.18"/>
    <s v="SF"/>
    <s v="Liners"/>
    <x v="1"/>
    <s v="RM"/>
    <s v="erp"/>
    <n v="0"/>
    <n v="64480.74"/>
    <n v="372"/>
    <d v="2026-07-27T00:00:00"/>
    <s v="24AABCG1282C2Z6"/>
    <s v="storeppl"/>
    <s v="storeppl"/>
    <n v="9"/>
    <n v="5803.27"/>
    <n v="9"/>
    <n v="5803.27"/>
    <n v="0"/>
    <n v="0"/>
    <n v="0"/>
    <n v="662151460432"/>
    <d v="2026-07-26T00:00:00"/>
    <n v="397"/>
  </r>
  <r>
    <s v="Plastene Polyfilms Limited"/>
    <d v="2026-07-27T00:00:00"/>
    <s v="PPL/26-27/SII00987"/>
    <s v="WIP00017"/>
    <s v="Polyester Yarn Twisted"/>
    <s v="PPL/RAW/26-27/365"/>
    <n v="879.61"/>
    <n v="879.61"/>
    <s v="Kgs"/>
    <n v="879.61"/>
    <n v="0"/>
    <n v="879.61"/>
    <s v="GJ12CT6319"/>
    <s v="Plastene India ltd - Unit 2-Purchase"/>
    <s v="Plastene India ltd - Unit 2-Purchase"/>
    <s v="PIL2/D/412"/>
    <d v="2026-07-27T00:00:00"/>
    <s v="RAW MATERIAL"/>
    <s v="INDIGENOUS"/>
    <s v="RM 369"/>
    <n v="132"/>
    <n v="132.00000026154899"/>
    <s v="PIL2/D/412"/>
    <d v="2026-07-2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09372.81"/>
    <s v="SF"/>
    <s v="Yarn All"/>
    <x v="5"/>
    <s v="RM"/>
    <s v="erp"/>
    <n v="0"/>
    <n v="116108.52"/>
    <n v="374"/>
    <d v="2026-07-27T00:00:00"/>
    <s v="24AAACO3087C1ZT"/>
    <s v="storeppl"/>
    <s v="storeppl"/>
    <n v="2.5"/>
    <n v="2902.71"/>
    <n v="2.5"/>
    <n v="2902.71"/>
    <n v="0"/>
    <n v="0"/>
    <n v="1009372.81"/>
    <n v="0"/>
    <d v="2026-07-27T00:00:00"/>
    <n v="879.61"/>
  </r>
  <r>
    <s v="Plastene Polyfilms Limited"/>
    <d v="2026-07-27T00:00:00"/>
    <s v="PPL/26-27/SII00987"/>
    <s v="WIP00022"/>
    <s v="Filler Cord"/>
    <s v="PPL/RAW/26-27/365"/>
    <n v="6199.2"/>
    <n v="6199.2"/>
    <s v="Kgs"/>
    <n v="6199.2"/>
    <n v="0"/>
    <n v="6199.2"/>
    <s v="GJ12CT6319"/>
    <s v="Plastene India ltd - Unit 2-Purchase"/>
    <s v="Plastene India ltd - Unit 2-Purchase"/>
    <s v="PIL2/D/412"/>
    <d v="2026-07-27T00:00:00"/>
    <s v="RAW MATERIAL"/>
    <s v="INDIGENOUS"/>
    <s v="RM 369"/>
    <n v="136.34"/>
    <n v="136.34000027014801"/>
    <s v="PIL2/D/412"/>
    <d v="2026-07-27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09372.81"/>
    <s v="SF"/>
    <s v="Yarn All"/>
    <x v="5"/>
    <s v="RM"/>
    <s v="erp"/>
    <n v="0"/>
    <n v="845198.93"/>
    <n v="374"/>
    <d v="2026-07-27T00:00:00"/>
    <s v="24AAACO3087C1ZT"/>
    <s v="storeppl"/>
    <s v="storeppl"/>
    <n v="2.5"/>
    <n v="21129.97"/>
    <n v="2.5"/>
    <n v="21129.97"/>
    <n v="0"/>
    <n v="0"/>
    <n v="0"/>
    <n v="0"/>
    <d v="2026-07-27T00:00:00"/>
    <n v="6199.2"/>
  </r>
  <r>
    <s v="Plastene Polyfilms Limited"/>
    <d v="2026-07-27T00:00:00"/>
    <s v="PPL/26-27/SII00988"/>
    <s v="WIP00023"/>
    <s v="PP UL Fabric With UV"/>
    <s v="PPL/RAW/26-27/366"/>
    <n v="2048"/>
    <n v="2048"/>
    <s v="Kgs"/>
    <n v="2048"/>
    <n v="0"/>
    <n v="2048"/>
    <s v="GJ12X1249"/>
    <s v="Plastene India ltd - Unit 1-Purchase"/>
    <s v="Plastene India ltd - Unit 1-Purchase"/>
    <s v="PIL1/D/1194"/>
    <d v="2026-07-27T00:00:00"/>
    <s v="RAW MATERIAL"/>
    <s v="INDIGENOUS"/>
    <s v="RM 370"/>
    <n v="149.49"/>
    <n v="149.490000941912"/>
    <s v="PIL1/D/1194"/>
    <d v="2026-07-2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87091.58"/>
    <s v="SF"/>
    <s v="PP/PE Fabric"/>
    <x v="0"/>
    <s v="RM"/>
    <s v="erp"/>
    <n v="0"/>
    <n v="306155.52000000002"/>
    <n v="375"/>
    <d v="2026-07-27T00:00:00"/>
    <s v="24AAACO3087C1ZT"/>
    <s v="storeppl"/>
    <s v="storeppl"/>
    <n v="9"/>
    <n v="27554"/>
    <n v="9"/>
    <n v="27554"/>
    <n v="0"/>
    <n v="0"/>
    <n v="1587091.58"/>
    <n v="672152103708"/>
    <d v="2026-07-27T00:00:00"/>
    <n v="2048"/>
  </r>
  <r>
    <s v="Plastene Polyfilms Limited"/>
    <d v="2026-07-27T00:00:00"/>
    <s v="PPL/26-27/SII00988"/>
    <s v="WIP00032"/>
    <s v="Webbing"/>
    <s v="PPL/RAW/26-27/366"/>
    <n v="243.5"/>
    <n v="243.5"/>
    <s v="Kgs"/>
    <n v="243.5"/>
    <n v="0"/>
    <n v="243.5"/>
    <s v="GJ12X1249"/>
    <s v="Plastene India ltd - Unit 1-Purchase"/>
    <s v="Plastene India ltd - Unit 1-Purchase"/>
    <s v="PIL1/D/1194"/>
    <d v="2026-07-27T00:00:00"/>
    <s v="RAW MATERIAL"/>
    <s v="INDIGENOUS"/>
    <s v="RM 370"/>
    <n v="146.49"/>
    <n v="146.49000092300901"/>
    <s v="PIL1/D/1194"/>
    <d v="2026-07-2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87091.58"/>
    <s v="SF"/>
    <s v="Webbing"/>
    <x v="3"/>
    <s v="RM"/>
    <s v="erp"/>
    <n v="0"/>
    <n v="35670.32"/>
    <n v="375"/>
    <d v="2026-07-27T00:00:00"/>
    <s v="24AAACO3087C1ZT"/>
    <s v="storeppl"/>
    <s v="storeppl"/>
    <n v="9"/>
    <n v="3210.33"/>
    <n v="9"/>
    <n v="3210.33"/>
    <n v="0"/>
    <n v="0"/>
    <n v="0"/>
    <n v="672152103708"/>
    <d v="2026-07-27T00:00:00"/>
    <n v="243.5"/>
  </r>
  <r>
    <s v="Plastene Polyfilms Limited"/>
    <d v="2026-07-27T00:00:00"/>
    <s v="PPL/26-27/SII00988"/>
    <s v="WIP00032"/>
    <s v="Webbing"/>
    <s v="PPL/RAW/26-27/366"/>
    <n v="113.5"/>
    <n v="113.5"/>
    <s v="Kgs"/>
    <n v="113.5"/>
    <n v="0"/>
    <n v="113.5"/>
    <s v="GJ12X1249"/>
    <s v="Plastene India ltd - Unit 1-Purchase"/>
    <s v="Plastene India ltd - Unit 1-Purchase"/>
    <s v="PIL1/D/1194"/>
    <d v="2026-07-27T00:00:00"/>
    <s v="RAW MATERIAL"/>
    <s v="INDIGENOUS"/>
    <s v="RM 370"/>
    <n v="149.49"/>
    <n v="149.490000941912"/>
    <s v="PIL1/D/1194"/>
    <d v="2026-07-2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87091.58"/>
    <s v="SF"/>
    <s v="Webbing"/>
    <x v="3"/>
    <s v="RM"/>
    <s v="erp"/>
    <n v="0"/>
    <n v="16967.12"/>
    <n v="375"/>
    <d v="2026-07-27T00:00:00"/>
    <s v="24AAACO3087C1ZT"/>
    <s v="storeppl"/>
    <s v="storeppl"/>
    <n v="9"/>
    <n v="1527.04"/>
    <n v="9"/>
    <n v="1527.04"/>
    <n v="0"/>
    <n v="0"/>
    <n v="0"/>
    <n v="672152103708"/>
    <d v="2026-07-27T00:00:00"/>
    <n v="113.5"/>
  </r>
  <r>
    <s v="Plastene Polyfilms Limited"/>
    <d v="2026-07-27T00:00:00"/>
    <s v="PPL/26-27/SII00988"/>
    <s v="WIP00025"/>
    <s v="PP Lam Fabric With UV"/>
    <s v="PPL/RAW/26-27/366"/>
    <n v="6510"/>
    <n v="6510"/>
    <s v="Kgs"/>
    <n v="6510"/>
    <n v="0"/>
    <n v="6510"/>
    <s v="GJ12X1249"/>
    <s v="Plastene India ltd - Unit 1-Purchase"/>
    <s v="Plastene India ltd - Unit 1-Purchase"/>
    <s v="PIL1/D/1194"/>
    <d v="2026-07-27T00:00:00"/>
    <s v="RAW MATERIAL"/>
    <s v="INDIGENOUS"/>
    <s v="RM 370"/>
    <n v="151.49"/>
    <n v="151.49000095451299"/>
    <s v="PIL1/D/1194"/>
    <d v="2026-07-27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87091.58"/>
    <s v="SF"/>
    <s v="PP/PE Fabric"/>
    <x v="2"/>
    <s v="RM"/>
    <s v="erp"/>
    <n v="0"/>
    <n v="986199.91"/>
    <n v="375"/>
    <d v="2026-07-27T00:00:00"/>
    <s v="24AAACO3087C1ZT"/>
    <s v="storeppl"/>
    <s v="storeppl"/>
    <n v="9"/>
    <n v="88757.99"/>
    <n v="9"/>
    <n v="88757.99"/>
    <n v="0"/>
    <n v="0"/>
    <n v="0"/>
    <n v="672152103708"/>
    <d v="2026-07-27T00:00:00"/>
    <n v="6510"/>
  </r>
  <r>
    <s v="Plastene Polyfilms Limited"/>
    <d v="2026-07-28T00:00:00"/>
    <s v="PPL/26-27/SII00992"/>
    <s v="WIP00023"/>
    <s v="PP UL Fabric With UV"/>
    <s v="PPL/RAW/26-27/367"/>
    <n v="961"/>
    <n v="961"/>
    <s v="Kgs"/>
    <n v="961"/>
    <n v="0"/>
    <n v="961"/>
    <s v="GJ12BY1595"/>
    <s v="Plastene India ltd - Unit 1-Purchase"/>
    <s v="Plastene India ltd - Unit 1-Purchase"/>
    <s v="PIL1/D/1199"/>
    <d v="2026-07-28T00:00:00"/>
    <s v="RAW MATERIAL"/>
    <s v="INDIGENOUS"/>
    <s v="RM 371"/>
    <n v="144.6"/>
    <n v="144.6"/>
    <s v="PIL1/D/1199"/>
    <d v="2026-07-2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3973.5"/>
    <s v="SF"/>
    <s v="PP/PE Fabric"/>
    <x v="0"/>
    <s v="RM"/>
    <s v="erp"/>
    <n v="0"/>
    <n v="138960.6"/>
    <n v="376"/>
    <d v="2026-07-28T00:00:00"/>
    <s v="24AAACO3087C1ZT"/>
    <s v="storeppl"/>
    <s v="storeppl"/>
    <n v="9"/>
    <n v="12506.45"/>
    <n v="9"/>
    <n v="12506.45"/>
    <n v="0"/>
    <n v="0"/>
    <n v="163973.5"/>
    <n v="632152435188"/>
    <d v="2026-07-28T00:00:00"/>
    <n v="961"/>
  </r>
  <r>
    <s v="Plastene Polyfilms Limited"/>
    <d v="2026-07-29T00:00:00"/>
    <s v="PPL/26-27/SII01005"/>
    <s v="WIP00013"/>
    <s v="LDPE/LLDPE Bags/Liner"/>
    <s v="PPL/RAW/26-27/368"/>
    <n v="1096.5"/>
    <n v="1096.5"/>
    <s v="Kgs"/>
    <n v="1096.5"/>
    <n v="0"/>
    <n v="1096.5"/>
    <s v="GJ12X1249"/>
    <s v="Plastene India ltd - Unit 1-Purchase"/>
    <s v="Plastene India ltd - Unit 1-Purchase"/>
    <s v="PIL1/D/1211"/>
    <d v="2026-07-29T00:00:00"/>
    <s v="RAW MATERIAL"/>
    <s v="INDIGENOUS"/>
    <s v="RM 372"/>
    <n v="186.78"/>
    <n v="186.78000316361101"/>
    <s v="PIL1/D/1211"/>
    <d v="2026-07-2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31361.22"/>
    <s v="SF"/>
    <s v="Liners"/>
    <x v="1"/>
    <s v="RM"/>
    <s v="erp"/>
    <n v="0"/>
    <n v="204804.27"/>
    <n v="377"/>
    <d v="2026-07-29T00:00:00"/>
    <s v="24AAACO3087C1ZT"/>
    <s v="storeppl"/>
    <s v="storeppl"/>
    <n v="9"/>
    <n v="18432.38"/>
    <n v="9"/>
    <n v="18432.38"/>
    <n v="0"/>
    <n v="0"/>
    <n v="531361.22"/>
    <n v="682153399060"/>
    <d v="2026-07-29T00:00:00"/>
    <n v="1096.5"/>
  </r>
  <r>
    <s v="Plastene Polyfilms Limited"/>
    <d v="2026-07-29T00:00:00"/>
    <s v="PPL/26-27/SII01005"/>
    <s v="WIP00023"/>
    <s v="PP UL Fabric With UV"/>
    <s v="PPL/RAW/26-27/368"/>
    <n v="299"/>
    <n v="299"/>
    <s v="Kgs"/>
    <n v="299"/>
    <n v="0"/>
    <n v="299"/>
    <s v="GJ12X1249"/>
    <s v="Plastene India ltd - Unit 1-Purchase"/>
    <s v="Plastene India ltd - Unit 1-Purchase"/>
    <s v="PIL1/D/1211"/>
    <d v="2026-07-29T00:00:00"/>
    <s v="RAW MATERIAL"/>
    <s v="INDIGENOUS"/>
    <s v="RM 372"/>
    <n v="146.49"/>
    <n v="146.49000248119401"/>
    <s v="PIL1/D/1211"/>
    <d v="2026-07-2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31361.22"/>
    <s v="SF"/>
    <s v="PP/PE Fabric"/>
    <x v="0"/>
    <s v="RM"/>
    <s v="erp"/>
    <n v="0"/>
    <n v="43800.51"/>
    <n v="377"/>
    <d v="2026-07-29T00:00:00"/>
    <s v="24AAACO3087C1ZT"/>
    <s v="storeppl"/>
    <s v="storeppl"/>
    <n v="9"/>
    <n v="3942.05"/>
    <n v="9"/>
    <n v="3942.05"/>
    <n v="0"/>
    <n v="0"/>
    <n v="0"/>
    <n v="682153399060"/>
    <d v="2026-07-29T00:00:00"/>
    <n v="299"/>
  </r>
  <r>
    <s v="Plastene Polyfilms Limited"/>
    <d v="2026-07-29T00:00:00"/>
    <s v="PPL/26-27/SII01005"/>
    <s v="WIP00032"/>
    <s v="Webbing"/>
    <s v="PPL/RAW/26-27/368"/>
    <n v="1039.5"/>
    <n v="1039.5"/>
    <s v="Kgs"/>
    <n v="1039.5"/>
    <n v="0"/>
    <n v="1039.5"/>
    <s v="GJ12X1249"/>
    <s v="Plastene India ltd - Unit 1-Purchase"/>
    <s v="Plastene India ltd - Unit 1-Purchase"/>
    <s v="PIL1/D/1211"/>
    <d v="2026-07-29T00:00:00"/>
    <s v="RAW MATERIAL"/>
    <s v="INDIGENOUS"/>
    <s v="RM 372"/>
    <n v="146.49"/>
    <n v="146.49000248119401"/>
    <s v="PIL1/D/1211"/>
    <d v="2026-07-2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31361.22"/>
    <s v="SF"/>
    <s v="Webbing"/>
    <x v="3"/>
    <s v="RM"/>
    <s v="erp"/>
    <n v="0"/>
    <n v="152276.35999999999"/>
    <n v="377"/>
    <d v="2026-07-29T00:00:00"/>
    <s v="24AAACO3087C1ZT"/>
    <s v="storeppl"/>
    <s v="storeppl"/>
    <n v="9"/>
    <n v="13704.87"/>
    <n v="9"/>
    <n v="13704.87"/>
    <n v="0"/>
    <n v="0"/>
    <n v="0"/>
    <n v="682153399060"/>
    <d v="2026-07-29T00:00:00"/>
    <n v="1039.5"/>
  </r>
  <r>
    <s v="Plastene Polyfilms Limited"/>
    <d v="2026-07-29T00:00:00"/>
    <s v="PPL/26-27/SII01005"/>
    <s v="WIP00032"/>
    <s v="Webbing"/>
    <s v="PPL/RAW/26-27/368"/>
    <n v="152"/>
    <n v="152"/>
    <s v="Kgs"/>
    <n v="152"/>
    <n v="0"/>
    <n v="152"/>
    <s v="GJ12X1249"/>
    <s v="Plastene India ltd - Unit 1-Purchase"/>
    <s v="Plastene India ltd - Unit 1-Purchase"/>
    <s v="PIL1/D/1211"/>
    <d v="2026-07-29T00:00:00"/>
    <s v="RAW MATERIAL"/>
    <s v="INDIGENOUS"/>
    <s v="RM 372"/>
    <n v="149.49"/>
    <n v="149.490002532006"/>
    <s v="PIL1/D/1211"/>
    <d v="2026-07-2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31361.22"/>
    <s v="SF"/>
    <s v="Webbing"/>
    <x v="3"/>
    <s v="RM"/>
    <s v="erp"/>
    <n v="0"/>
    <n v="22722.48"/>
    <n v="377"/>
    <d v="2026-07-29T00:00:00"/>
    <s v="24AAACO3087C1ZT"/>
    <s v="storeppl"/>
    <s v="storeppl"/>
    <n v="9"/>
    <n v="2045.02"/>
    <n v="9"/>
    <n v="2045.02"/>
    <n v="0"/>
    <n v="0"/>
    <n v="0"/>
    <n v="682153399060"/>
    <d v="2026-07-29T00:00:00"/>
    <n v="152"/>
  </r>
  <r>
    <s v="Plastene Polyfilms Limited"/>
    <d v="2026-07-29T00:00:00"/>
    <s v="PPL/26-27/SII01005"/>
    <s v="WIP00236"/>
    <s v="PP Braided Rope MW 6 to 8 GPM"/>
    <s v="PPL/RAW/26-27/368"/>
    <n v="186.4"/>
    <n v="186.4"/>
    <s v="Kgs"/>
    <n v="186.4"/>
    <n v="0"/>
    <n v="186.4"/>
    <s v="GJ12X1249"/>
    <s v="Plastene India ltd - Unit 1-Purchase"/>
    <s v="Plastene India ltd - Unit 1-Purchase"/>
    <s v="PIL1/D/1211"/>
    <d v="2026-07-29T00:00:00"/>
    <s v="RAW MATERIAL"/>
    <s v="INDIGENOUS"/>
    <s v="RM 372"/>
    <n v="160.99"/>
    <n v="160.99000272678899"/>
    <s v="PIL1/D/1211"/>
    <d v="2026-07-2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31361.22"/>
    <s v="SF"/>
    <s v="Yarn All"/>
    <x v="5"/>
    <s v="RM"/>
    <s v="erp"/>
    <n v="0"/>
    <n v="30008.54"/>
    <n v="377"/>
    <d v="2026-07-29T00:00:00"/>
    <s v="24AAACO3087C1ZT"/>
    <s v="storeppl"/>
    <s v="storeppl"/>
    <n v="2.5"/>
    <n v="750.21"/>
    <n v="2.5"/>
    <n v="750.21"/>
    <n v="0"/>
    <n v="0"/>
    <n v="0"/>
    <n v="682153399060"/>
    <d v="2026-07-29T00:00:00"/>
    <n v="186.4"/>
  </r>
  <r>
    <s v="Plastene Polyfilms Limited"/>
    <d v="2026-07-29T00:00:00"/>
    <s v="PPL/26-27/SII01006"/>
    <s v="WIP00191"/>
    <s v="PP MF Yarn Twisted 3000 Denier UV NW"/>
    <s v="PPL/RAW/26-27/368"/>
    <n v="464.3"/>
    <n v="464.3"/>
    <s v="Kgs"/>
    <n v="464.3"/>
    <n v="0"/>
    <n v="464.3"/>
    <s v="GJ12X1249"/>
    <s v="Plastene India ltd - Unit 1-Purchase"/>
    <s v="Plastene India ltd - Unit 1-Purchase"/>
    <s v="PIL1/D/1214"/>
    <d v="2026-07-29T00:00:00"/>
    <s v="RAW MATERIAL"/>
    <s v="INDIGENOUS"/>
    <s v="RM 373"/>
    <n v="156.49"/>
    <n v="156.49000265768399"/>
    <s v="PIL1/D/1214"/>
    <d v="2026-07-2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35528.41"/>
    <s v="SF"/>
    <s v="Yarn All"/>
    <x v="5"/>
    <s v="RM"/>
    <m/>
    <n v="0"/>
    <n v="72658.31"/>
    <n v="378"/>
    <d v="2026-07-29T00:00:00"/>
    <s v="24AAACO3087C1ZT"/>
    <s v="storeppl"/>
    <s v="storeppl"/>
    <n v="2.5"/>
    <n v="1816.46"/>
    <n v="2.5"/>
    <n v="1816.46"/>
    <n v="0"/>
    <n v="0"/>
    <n v="235528.41"/>
    <n v="632153455437"/>
    <d v="2026-07-29T00:00:00"/>
    <n v="464.3"/>
  </r>
  <r>
    <s v="Plastene Polyfilms Limited"/>
    <d v="2026-07-29T00:00:00"/>
    <s v="PPL/26-27/SII01006"/>
    <s v="WIP00151"/>
    <s v="PP MF Yarn Twisted 1000 UV NW"/>
    <s v="PPL/RAW/26-27/368"/>
    <n v="969.1"/>
    <n v="969.1"/>
    <s v="Kgs"/>
    <n v="969.1"/>
    <n v="0"/>
    <n v="969.1"/>
    <s v="GJ12X1249"/>
    <s v="Plastene India ltd - Unit 1-Purchase"/>
    <s v="Plastene India ltd - Unit 1-Purchase"/>
    <s v="PIL1/D/1214"/>
    <d v="2026-07-29T00:00:00"/>
    <s v="RAW MATERIAL"/>
    <s v="INDIGENOUS"/>
    <s v="RM 373"/>
    <n v="156.49"/>
    <n v="156.49000265768399"/>
    <s v="PIL1/D/1214"/>
    <d v="2026-07-29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35528.41"/>
    <s v="SF"/>
    <s v="Yarn All"/>
    <x v="5"/>
    <s v="RM"/>
    <m/>
    <n v="0"/>
    <n v="151654.46"/>
    <n v="378"/>
    <d v="2026-07-29T00:00:00"/>
    <s v="24AAACO3087C1ZT"/>
    <s v="storeppl"/>
    <s v="storeppl"/>
    <n v="2.5"/>
    <n v="3791.36"/>
    <n v="2.5"/>
    <n v="3791.36"/>
    <n v="0"/>
    <n v="0"/>
    <n v="0"/>
    <n v="632153455437"/>
    <d v="2026-07-29T00:00:00"/>
    <n v="969.1"/>
  </r>
  <r>
    <s v="Plastene Polyfilms Limited"/>
    <d v="2026-07-30T00:00:00"/>
    <s v="PPL/26-27/SII01008"/>
    <s v="WIP00023"/>
    <s v="PP UL Fabric With UV"/>
    <s v="PPL/RAW/26-27/369"/>
    <n v="512"/>
    <n v="512"/>
    <s v="Kgs"/>
    <n v="512"/>
    <n v="0"/>
    <n v="512"/>
    <s v="GJ24X5687"/>
    <s v="HCP Plastene Bulkpack Limited - Purchase"/>
    <s v="HCP Plastene Bulkpack Limited - Purchase"/>
    <s v="HPBL/D/431"/>
    <d v="2026-07-29T00:00:00"/>
    <s v="RAW MATERIAL"/>
    <s v="INDIGENOUS"/>
    <s v="RM 374"/>
    <n v="159.49"/>
    <n v="159.49"/>
    <s v="HPBL/D/431"/>
    <d v="2026-07-29T00:00:00"/>
    <s v="."/>
    <s v="."/>
    <m/>
    <s v="SHREENA ROADWAYS"/>
    <n v="2531"/>
    <n v="0"/>
    <n v="0"/>
    <n v="0"/>
    <n v="0"/>
    <n v="0"/>
    <s v="VAT"/>
    <n v="0"/>
    <n v="0"/>
    <n v="0"/>
    <n v="0"/>
    <n v="0"/>
    <m/>
    <n v="0"/>
    <n v="0"/>
    <n v="1436052.73"/>
    <s v="SF"/>
    <s v="PP/PE Fabric"/>
    <x v="0"/>
    <s v="RM"/>
    <s v="erp"/>
    <n v="0"/>
    <n v="81658.880000000005"/>
    <n v="379"/>
    <d v="2026-07-30T00:00:00"/>
    <s v="24AABCG1282C2Z6"/>
    <s v="storeppl"/>
    <s v="storeppl"/>
    <n v="9"/>
    <n v="7349.3"/>
    <n v="9"/>
    <n v="7349.3"/>
    <n v="0"/>
    <n v="0"/>
    <n v="1436052.73"/>
    <n v="652153316705"/>
    <d v="2026-07-29T00:00:00"/>
    <n v="512"/>
  </r>
  <r>
    <s v="Plastene Polyfilms Limited"/>
    <d v="2026-07-30T00:00:00"/>
    <s v="PPL/26-27/SII01008"/>
    <s v="WIP00023"/>
    <s v="PP UL Fabric With UV"/>
    <s v="PPL/RAW/26-27/369"/>
    <n v="7255"/>
    <n v="7255"/>
    <s v="Kgs"/>
    <n v="7255"/>
    <n v="0"/>
    <n v="7255"/>
    <s v="GJ24X5687"/>
    <s v="HCP Plastene Bulkpack Limited - Purchase"/>
    <s v="HCP Plastene Bulkpack Limited - Purchase"/>
    <s v="HPBL/D/431"/>
    <d v="2026-07-29T00:00:00"/>
    <s v="RAW MATERIAL"/>
    <s v="INDIGENOUS"/>
    <s v="RM 374"/>
    <n v="156.49"/>
    <n v="156.49"/>
    <s v="HPBL/D/431"/>
    <d v="2026-07-29T00:00:00"/>
    <s v="."/>
    <s v="."/>
    <m/>
    <s v="SHREENA ROADWAYS"/>
    <n v="2531"/>
    <n v="0"/>
    <n v="0"/>
    <n v="0"/>
    <n v="0"/>
    <n v="0"/>
    <s v="VAT"/>
    <n v="0"/>
    <n v="0"/>
    <n v="0"/>
    <n v="0"/>
    <n v="0"/>
    <m/>
    <n v="0"/>
    <n v="0"/>
    <n v="1436052.73"/>
    <s v="SF"/>
    <s v="PP/PE Fabric"/>
    <x v="0"/>
    <s v="RM"/>
    <s v="erp"/>
    <n v="0"/>
    <n v="1135334.95"/>
    <n v="379"/>
    <d v="2026-07-30T00:00:00"/>
    <s v="24AABCG1282C2Z6"/>
    <s v="storeppl"/>
    <s v="storeppl"/>
    <n v="9"/>
    <n v="102180.15"/>
    <n v="9"/>
    <n v="102180.15"/>
    <n v="0"/>
    <n v="0"/>
    <n v="0"/>
    <n v="652153316705"/>
    <d v="2026-07-29T00:00:00"/>
    <n v="7255"/>
  </r>
  <r>
    <s v="Plastene Polyfilms Limited"/>
    <d v="2026-07-30T00:00:00"/>
    <s v="PPL/26-27/SII01009"/>
    <s v="WIP00023"/>
    <s v="PP UL Fabric With UV"/>
    <s v="PPL/RAW/26-27/370"/>
    <n v="2090"/>
    <n v="2090"/>
    <s v="Kgs"/>
    <n v="2090"/>
    <n v="0"/>
    <n v="2090"/>
    <s v="GJ09Z0572"/>
    <s v="Plastene India ltd - Unit 1-Purchase"/>
    <s v="Plastene India ltd - Unit 1-Purchase"/>
    <s v="PIL1/D/1218"/>
    <d v="2026-07-30T00:00:00"/>
    <s v="RAW MATERIAL"/>
    <s v="INDIGENOUS"/>
    <s v="RM 375"/>
    <n v="171.49"/>
    <n v="171.49"/>
    <s v="PIL1/D/1218"/>
    <d v="2026-07-3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15662.83"/>
    <s v="SF"/>
    <s v="PP/PE Fabric"/>
    <x v="0"/>
    <s v="RM"/>
    <s v="erp"/>
    <n v="0"/>
    <n v="358414.1"/>
    <n v="382"/>
    <d v="2026-07-30T00:00:00"/>
    <s v="24AAACO3087C1ZT"/>
    <s v="storeppl"/>
    <s v="storeppl"/>
    <n v="9"/>
    <n v="32257.27"/>
    <n v="9"/>
    <n v="32257.27"/>
    <n v="0"/>
    <n v="0"/>
    <n v="1115662.83"/>
    <n v="692153828679"/>
    <d v="2026-07-30T00:00:00"/>
    <n v="2090"/>
  </r>
  <r>
    <s v="Plastene Polyfilms Limited"/>
    <d v="2026-07-30T00:00:00"/>
    <s v="PPL/26-27/SII01009"/>
    <s v="WIP00023"/>
    <s v="PP UL Fabric With UV"/>
    <s v="PPL/RAW/26-27/370"/>
    <n v="4063"/>
    <n v="4063"/>
    <s v="Kgs"/>
    <n v="4063"/>
    <n v="0"/>
    <n v="4063"/>
    <s v="GJ09Z0572"/>
    <s v="Plastene India ltd - Unit 1-Purchase"/>
    <s v="Plastene India ltd - Unit 1-Purchase"/>
    <s v="PIL1/D/1218"/>
    <d v="2026-07-30T00:00:00"/>
    <s v="RAW MATERIAL"/>
    <s v="INDIGENOUS"/>
    <s v="RM 375"/>
    <n v="144.49"/>
    <n v="144.49"/>
    <s v="PIL1/D/1218"/>
    <d v="2026-07-3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15662.83"/>
    <s v="SF"/>
    <s v="PP/PE Fabric"/>
    <x v="0"/>
    <s v="RM"/>
    <s v="erp"/>
    <n v="0"/>
    <n v="587062.87"/>
    <n v="382"/>
    <d v="2026-07-30T00:00:00"/>
    <s v="24AAACO3087C1ZT"/>
    <s v="storeppl"/>
    <s v="storeppl"/>
    <n v="9"/>
    <n v="52835.66"/>
    <n v="9"/>
    <n v="52835.66"/>
    <n v="0"/>
    <n v="0"/>
    <n v="0"/>
    <n v="692153828679"/>
    <d v="2026-07-30T00:00:00"/>
    <n v="4063"/>
  </r>
  <r>
    <s v="Plastene Polyfilms Limited"/>
    <d v="2026-07-30T00:00:00"/>
    <s v="PPL/26-27/SII01010"/>
    <s v="WIP00004"/>
    <s v="FIBC Bags With UV Without Liner"/>
    <s v="PPL/RAW/26-27/371"/>
    <n v="428.3"/>
    <n v="428.3"/>
    <s v="Kgs"/>
    <n v="428.3"/>
    <n v="0"/>
    <n v="428.3"/>
    <s v="GJ24X8795"/>
    <s v="K.P. Woven Pvt Ltd-Purchase"/>
    <s v="K.P. Woven Pvt Ltd-Purchase"/>
    <s v="KPV/D/521"/>
    <d v="2026-07-29T00:00:00"/>
    <s v="RAW MATERIAL"/>
    <s v="INDIGENOUS"/>
    <s v="RM 376"/>
    <n v="257.04000000000002"/>
    <n v="257.03999604269097"/>
    <s v="KPV/D/521"/>
    <d v="2026-07-29T00:00:00"/>
    <s v="."/>
    <s v="."/>
    <m/>
    <s v="SHREENA ROADWAYS"/>
    <n v="2448"/>
    <n v="0"/>
    <n v="0"/>
    <n v="0"/>
    <n v="0"/>
    <n v="0"/>
    <s v="VAT"/>
    <n v="0"/>
    <n v="0"/>
    <n v="0"/>
    <n v="0"/>
    <n v="0"/>
    <m/>
    <n v="0"/>
    <n v="0"/>
    <n v="129906.47"/>
    <s v="FG"/>
    <s v="FIBC Bags"/>
    <x v="8"/>
    <s v="RM"/>
    <s v="erp"/>
    <n v="0"/>
    <n v="110090.23"/>
    <n v="381"/>
    <d v="2026-07-30T00:00:00"/>
    <s v="24AAECK6307M1ZF"/>
    <s v="storeppl"/>
    <s v="storeppl"/>
    <n v="9"/>
    <n v="9908.1200000000008"/>
    <n v="9"/>
    <n v="9908.1200000000008"/>
    <n v="0"/>
    <n v="0"/>
    <n v="129906.47"/>
    <n v="652153601078"/>
    <d v="2026-07-29T00:00:00"/>
    <n v="428.3"/>
  </r>
  <r>
    <s v="Plastene Polyfilms Limited"/>
    <d v="2026-07-30T00:00:00"/>
    <s v="PPL/26-27/SII01011"/>
    <s v="SMF00052"/>
    <s v="PP Fibrillated Tape Twisted 3200 Blue"/>
    <s v="PPL/RAW/26-27/372"/>
    <n v="1949.9"/>
    <n v="1949.9"/>
    <s v="Kgs"/>
    <n v="1949.9"/>
    <n v="0"/>
    <n v="1949.9"/>
    <s v="GJ24X8795"/>
    <s v="K.P. Woven Pvt Ltd-Purchase"/>
    <s v="K.P. Woven Pvt Ltd-Purchase"/>
    <s v="KPV/D/520"/>
    <d v="2026-07-29T00:00:00"/>
    <s v="RAW MATERIAL"/>
    <s v="INDIGENOUS"/>
    <s v="RM 377"/>
    <n v="154.15"/>
    <n v="154.15"/>
    <s v="KPV/D/520"/>
    <d v="2026-07-29T00:00:00"/>
    <s v="."/>
    <s v="."/>
    <m/>
    <s v="SHREENA ROADWAYS"/>
    <n v="2448"/>
    <n v="0"/>
    <n v="0"/>
    <n v="0"/>
    <n v="0"/>
    <n v="0"/>
    <s v="VAT"/>
    <n v="0"/>
    <n v="0"/>
    <n v="0"/>
    <n v="0"/>
    <n v="0"/>
    <m/>
    <n v="0"/>
    <n v="0"/>
    <n v="514482.31"/>
    <s v="SF"/>
    <s v="Yarn All"/>
    <x v="5"/>
    <s v="RM"/>
    <s v="erp"/>
    <n v="0"/>
    <n v="300577.09000000003"/>
    <n v="380"/>
    <d v="2026-07-30T00:00:00"/>
    <s v="24AAECK6307M1ZF"/>
    <s v="storeppl"/>
    <s v="storeppl"/>
    <n v="2.5"/>
    <n v="7514.43"/>
    <n v="2.5"/>
    <n v="7514.43"/>
    <n v="0"/>
    <n v="0"/>
    <n v="514482.31"/>
    <n v="692153597104"/>
    <d v="2026-07-29T00:00:00"/>
    <n v="1949.9"/>
  </r>
  <r>
    <s v="Plastene Polyfilms Limited"/>
    <d v="2026-07-30T00:00:00"/>
    <s v="PPL/26-27/SII01011"/>
    <s v="SMF00054"/>
    <s v="PP Fibrillated Tape Twisted 3200 MW"/>
    <s v="PPL/RAW/26-27/372"/>
    <n v="1253.0999999999999"/>
    <n v="1253.0999999999999"/>
    <s v="Kgs"/>
    <n v="1253.0999999999999"/>
    <n v="0"/>
    <n v="1253.0999999999999"/>
    <s v="GJ24X8795"/>
    <s v="K.P. Woven Pvt Ltd-Purchase"/>
    <s v="K.P. Woven Pvt Ltd-Purchase"/>
    <s v="KPV/D/520"/>
    <d v="2026-07-29T00:00:00"/>
    <s v="RAW MATERIAL"/>
    <s v="INDIGENOUS"/>
    <s v="RM 377"/>
    <n v="151.15"/>
    <n v="151.15"/>
    <s v="KPV/D/520"/>
    <d v="2026-07-29T00:00:00"/>
    <s v="."/>
    <s v="."/>
    <m/>
    <s v="SHREENA ROADWAYS"/>
    <n v="2448"/>
    <n v="0"/>
    <n v="0"/>
    <n v="0"/>
    <n v="0"/>
    <n v="0"/>
    <s v="VAT"/>
    <n v="0"/>
    <n v="0"/>
    <n v="0"/>
    <n v="0"/>
    <n v="0"/>
    <m/>
    <n v="0"/>
    <n v="0"/>
    <n v="514482.31"/>
    <s v="SF"/>
    <s v="Yarn All"/>
    <x v="5"/>
    <s v="RM"/>
    <s v="erp"/>
    <n v="0"/>
    <n v="189406.07"/>
    <n v="380"/>
    <d v="2026-07-30T00:00:00"/>
    <s v="24AAECK6307M1ZF"/>
    <s v="storeppl"/>
    <s v="storeppl"/>
    <n v="2.5"/>
    <n v="4735.1499999999996"/>
    <n v="2.5"/>
    <n v="4735.1499999999996"/>
    <n v="0"/>
    <n v="0"/>
    <n v="0"/>
    <n v="692153597104"/>
    <d v="2026-07-29T00:00:00"/>
    <n v="1253.0999999999999"/>
  </r>
  <r>
    <s v="Plastene Polyfilms Limited"/>
    <d v="2026-07-30T00:00:00"/>
    <s v="PPL/26-27/SII01017"/>
    <s v="WIP00236"/>
    <s v="PP Braided Rope MW 6 to 8 GPM"/>
    <s v="PPL/RAW/26-27/373"/>
    <n v="149.30000000000001"/>
    <n v="149.30000000000001"/>
    <s v="Kgs"/>
    <n v="149.30000000000001"/>
    <n v="0"/>
    <n v="149.30000000000001"/>
    <s v="GJ12X1249"/>
    <s v="Plastene India ltd - Unit 1-Purchase"/>
    <s v="Plastene India ltd - Unit 1-Purchase"/>
    <s v="PIL1/D/1224"/>
    <d v="2026-07-30T00:00:00"/>
    <s v="RAW MATERIAL"/>
    <s v="INDIGENOUS"/>
    <s v="RM 378"/>
    <n v="160.99"/>
    <n v="160.99000239322501"/>
    <s v="PIL1/D/1224"/>
    <d v="2026-07-3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36345.34"/>
    <s v="SF"/>
    <s v="Yarn All"/>
    <x v="5"/>
    <s v="RM"/>
    <s v="erp"/>
    <n v="0"/>
    <n v="24035.81"/>
    <n v="383"/>
    <d v="2026-07-30T00:00:00"/>
    <s v="24AAACO3087C1ZT"/>
    <s v="storeppl"/>
    <s v="storeppl"/>
    <n v="2.5"/>
    <n v="600.9"/>
    <n v="2.5"/>
    <n v="600.9"/>
    <n v="0"/>
    <n v="0"/>
    <n v="336345.34"/>
    <n v="642154284284"/>
    <d v="2026-07-30T00:00:00"/>
    <n v="149.30000000000001"/>
  </r>
  <r>
    <s v="Plastene Polyfilms Limited"/>
    <d v="2026-07-30T00:00:00"/>
    <s v="PPL/26-27/SII01017"/>
    <s v="WIP00032"/>
    <s v="Webbing"/>
    <s v="PPL/RAW/26-27/373"/>
    <n v="237.5"/>
    <n v="237.5"/>
    <s v="Kgs"/>
    <n v="237.5"/>
    <n v="0"/>
    <n v="237.5"/>
    <s v="GJ12X1249"/>
    <s v="Plastene India ltd - Unit 1-Purchase"/>
    <s v="Plastene India ltd - Unit 1-Purchase"/>
    <s v="PIL1/D/1224"/>
    <d v="2026-07-30T00:00:00"/>
    <s v="RAW MATERIAL"/>
    <s v="INDIGENOUS"/>
    <s v="RM 378"/>
    <n v="149.49"/>
    <n v="149.49000222226999"/>
    <s v="PIL1/D/1224"/>
    <d v="2026-07-3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36345.34"/>
    <s v="SF"/>
    <s v="Webbing"/>
    <x v="3"/>
    <s v="RM"/>
    <s v="erp"/>
    <n v="0"/>
    <n v="35503.879999999997"/>
    <n v="383"/>
    <d v="2026-07-30T00:00:00"/>
    <s v="24AAACO3087C1ZT"/>
    <s v="storeppl"/>
    <s v="storeppl"/>
    <n v="9"/>
    <n v="3195.35"/>
    <n v="9"/>
    <n v="3195.35"/>
    <n v="0"/>
    <n v="0"/>
    <n v="0"/>
    <n v="642154284284"/>
    <d v="2026-07-30T00:00:00"/>
    <n v="237.5"/>
  </r>
  <r>
    <s v="Plastene Polyfilms Limited"/>
    <d v="2026-07-30T00:00:00"/>
    <s v="PPL/26-27/SII01017"/>
    <s v="WIP00032"/>
    <s v="Webbing"/>
    <s v="PPL/RAW/26-27/373"/>
    <n v="275.7"/>
    <n v="275.7"/>
    <s v="Kgs"/>
    <n v="275.7"/>
    <n v="0"/>
    <n v="275.7"/>
    <s v="GJ12X1249"/>
    <s v="Plastene India ltd - Unit 1-Purchase"/>
    <s v="Plastene India ltd - Unit 1-Purchase"/>
    <s v="PIL1/D/1224"/>
    <d v="2026-07-30T00:00:00"/>
    <s v="RAW MATERIAL"/>
    <s v="INDIGENOUS"/>
    <s v="RM 378"/>
    <n v="146.49"/>
    <n v="146.49000217767301"/>
    <s v="PIL1/D/1224"/>
    <d v="2026-07-3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36345.34"/>
    <s v="SF"/>
    <s v="Webbing"/>
    <x v="3"/>
    <s v="RM"/>
    <s v="erp"/>
    <n v="0"/>
    <n v="40387.29"/>
    <n v="383"/>
    <d v="2026-07-30T00:00:00"/>
    <s v="24AAACO3087C1ZT"/>
    <s v="storeppl"/>
    <s v="storeppl"/>
    <n v="9"/>
    <n v="3634.86"/>
    <n v="9"/>
    <n v="3634.86"/>
    <n v="0"/>
    <n v="0"/>
    <n v="0"/>
    <n v="642154284284"/>
    <d v="2026-07-30T00:00:00"/>
    <n v="275.7"/>
  </r>
  <r>
    <s v="Plastene Polyfilms Limited"/>
    <d v="2026-07-30T00:00:00"/>
    <s v="PPL/26-27/SII01017"/>
    <s v="WIP00023"/>
    <s v="PP UL Fabric With UV"/>
    <s v="PPL/RAW/26-27/373"/>
    <n v="1256"/>
    <n v="1256"/>
    <s v="Kgs"/>
    <n v="1256"/>
    <n v="0"/>
    <n v="1256"/>
    <s v="GJ12X1249"/>
    <s v="Plastene India ltd - Unit 1-Purchase"/>
    <s v="Plastene India ltd - Unit 1-Purchase"/>
    <s v="PIL1/D/1224"/>
    <d v="2026-07-30T00:00:00"/>
    <s v="RAW MATERIAL"/>
    <s v="INDIGENOUS"/>
    <s v="RM 378"/>
    <n v="149.49"/>
    <n v="149.49000222226999"/>
    <s v="PIL1/D/1224"/>
    <d v="2026-07-3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36345.34"/>
    <s v="SF"/>
    <s v="PP/PE Fabric"/>
    <x v="0"/>
    <s v="RM"/>
    <s v="erp"/>
    <n v="0"/>
    <n v="187759.44"/>
    <n v="383"/>
    <d v="2026-07-30T00:00:00"/>
    <s v="24AAACO3087C1ZT"/>
    <s v="storeppl"/>
    <s v="storeppl"/>
    <n v="9"/>
    <n v="16898.349999999999"/>
    <n v="9"/>
    <n v="16898.349999999999"/>
    <n v="0"/>
    <n v="0"/>
    <n v="0"/>
    <n v="642154284284"/>
    <d v="2026-07-30T00:00:00"/>
    <n v="1256"/>
  </r>
  <r>
    <s v="Plastene Polyfilms Limited"/>
    <d v="2026-07-30T00:00:00"/>
    <s v="PPL/26-27/SII01018"/>
    <s v="RAW06371"/>
    <s v="Filler Terramag Calcium 20%"/>
    <s v="PPL/RAW/26-27/374"/>
    <n v="4500"/>
    <n v="4500"/>
    <s v="Kgs"/>
    <n v="4500"/>
    <n v="0"/>
    <n v="4500"/>
    <s v="GJ12X1249"/>
    <s v="Plastene India ltd - Unit 1-Purchase"/>
    <s v="Plastene India ltd - Unit 1-Purchase"/>
    <s v="PIL1/D/1225"/>
    <d v="2026-07-30T00:00:00"/>
    <s v="RAW MATERIAL"/>
    <s v="INDIGENOUS"/>
    <s v="RM 379"/>
    <n v="37.5"/>
    <n v="37.5"/>
    <s v="PIL1/D/1225"/>
    <d v="2026-07-30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99125"/>
    <s v="RM"/>
    <s v="Granules"/>
    <x v="14"/>
    <s v="RM"/>
    <m/>
    <n v="0"/>
    <n v="168750"/>
    <n v="384"/>
    <d v="2026-07-30T00:00:00"/>
    <s v="24AAACO3087C1ZT"/>
    <s v="storeppl"/>
    <s v="storeppl"/>
    <n v="9"/>
    <n v="15187.5"/>
    <n v="9"/>
    <n v="15187.5"/>
    <n v="0"/>
    <n v="0"/>
    <n v="199125"/>
    <n v="672154285062"/>
    <d v="2026-07-30T00:00:00"/>
    <n v="4500"/>
  </r>
  <r>
    <s v="Plastene Polyfilms Limited"/>
    <d v="2026-07-31T00:00:00"/>
    <s v="PPL/26-27/SII01028"/>
    <s v="WIP00013"/>
    <s v="LDPE/LLDPE Bags/Liner"/>
    <s v="PPL/RAW/26-27/375"/>
    <n v="108"/>
    <n v="108"/>
    <s v="Kgs"/>
    <n v="108"/>
    <n v="0"/>
    <n v="108"/>
    <s v="GJ12X1249"/>
    <s v="Plastene India ltd - Unit 1-Purchase"/>
    <s v="Plastene India ltd - Unit 1-Purchase"/>
    <s v="PIL1/D/1236"/>
    <d v="2026-07-31T00:00:00"/>
    <s v="RAW MATERIAL"/>
    <s v="INDIGENOUS"/>
    <s v="RM 380"/>
    <n v="182.78"/>
    <n v="182.78000053490001"/>
    <s v="PIL1/D/1236"/>
    <d v="2026-07-3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25127.02"/>
    <s v="SF"/>
    <s v="Liners"/>
    <x v="1"/>
    <s v="RM"/>
    <s v="erp"/>
    <n v="0"/>
    <n v="19740.240000000002"/>
    <n v="385"/>
    <d v="2026-07-31T00:00:00"/>
    <s v="24AAACO3087C1ZT"/>
    <s v="storeppl"/>
    <s v="storeppl"/>
    <n v="9"/>
    <n v="1776.62"/>
    <n v="9"/>
    <n v="1776.62"/>
    <n v="0"/>
    <n v="0"/>
    <n v="1025127.02"/>
    <n v="672154937668"/>
    <d v="2026-07-31T00:00:00"/>
    <n v="108"/>
  </r>
  <r>
    <s v="Plastene Polyfilms Limited"/>
    <d v="2026-07-31T00:00:00"/>
    <s v="PPL/26-27/SII01028"/>
    <s v="WIP00025"/>
    <s v="PP Lam Fabric With UV"/>
    <s v="PPL/RAW/26-27/375"/>
    <n v="3211"/>
    <n v="3211"/>
    <s v="Kgs"/>
    <n v="3211"/>
    <n v="0"/>
    <n v="3211"/>
    <s v="GJ12X1249"/>
    <s v="Plastene India ltd - Unit 1-Purchase"/>
    <s v="Plastene India ltd - Unit 1-Purchase"/>
    <s v="PIL1/D/1236"/>
    <d v="2026-07-31T00:00:00"/>
    <s v="RAW MATERIAL"/>
    <s v="INDIGENOUS"/>
    <s v="RM 380"/>
    <n v="151.49"/>
    <n v="151.49000044332999"/>
    <s v="PIL1/D/1236"/>
    <d v="2026-07-3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25127.02"/>
    <s v="SF"/>
    <s v="PP/PE Fabric"/>
    <x v="2"/>
    <s v="RM"/>
    <s v="erp"/>
    <n v="0"/>
    <n v="486434.39"/>
    <n v="385"/>
    <d v="2026-07-31T00:00:00"/>
    <s v="24AAACO3087C1ZT"/>
    <s v="storeppl"/>
    <s v="storeppl"/>
    <n v="9"/>
    <n v="43779.1"/>
    <n v="9"/>
    <n v="43779.1"/>
    <n v="0"/>
    <n v="0"/>
    <n v="0"/>
    <n v="672154937668"/>
    <d v="2026-07-31T00:00:00"/>
    <n v="3211"/>
  </r>
  <r>
    <s v="Plastene Polyfilms Limited"/>
    <d v="2026-07-31T00:00:00"/>
    <s v="PPL/26-27/SII01028"/>
    <s v="WIP00023"/>
    <s v="PP UL Fabric With UV"/>
    <s v="PPL/RAW/26-27/375"/>
    <n v="1949"/>
    <n v="1949"/>
    <s v="Kgs"/>
    <n v="1949"/>
    <n v="0"/>
    <n v="1949"/>
    <s v="GJ12X1249"/>
    <s v="Plastene India ltd - Unit 1-Purchase"/>
    <s v="Plastene India ltd - Unit 1-Purchase"/>
    <s v="PIL1/D/1236"/>
    <d v="2026-07-31T00:00:00"/>
    <s v="RAW MATERIAL"/>
    <s v="INDIGENOUS"/>
    <s v="RM 380"/>
    <n v="149.49"/>
    <n v="149.49000043747799"/>
    <s v="PIL1/D/1236"/>
    <d v="2026-07-3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25127.02"/>
    <s v="SF"/>
    <s v="PP/PE Fabric"/>
    <x v="0"/>
    <s v="RM"/>
    <s v="erp"/>
    <n v="0"/>
    <n v="291356.01"/>
    <n v="385"/>
    <d v="2026-07-31T00:00:00"/>
    <s v="24AAACO3087C1ZT"/>
    <s v="storeppl"/>
    <s v="storeppl"/>
    <n v="9"/>
    <n v="26222.04"/>
    <n v="9"/>
    <n v="26222.04"/>
    <n v="0"/>
    <n v="0"/>
    <n v="0"/>
    <n v="672154937668"/>
    <d v="2026-07-31T00:00:00"/>
    <n v="1949"/>
  </r>
  <r>
    <s v="Plastene Polyfilms Limited"/>
    <d v="2026-07-31T00:00:00"/>
    <s v="PPL/26-27/SII01028"/>
    <s v="WIP00032"/>
    <s v="Webbing"/>
    <s v="PPL/RAW/26-27/375"/>
    <n v="433.4"/>
    <n v="433.4"/>
    <s v="Kgs"/>
    <n v="433.4"/>
    <n v="0"/>
    <n v="433.4"/>
    <s v="GJ12X1249"/>
    <s v="Plastene India ltd - Unit 1-Purchase"/>
    <s v="Plastene India ltd - Unit 1-Purchase"/>
    <s v="PIL1/D/1236"/>
    <d v="2026-07-31T00:00:00"/>
    <s v="RAW MATERIAL"/>
    <s v="INDIGENOUS"/>
    <s v="RM 380"/>
    <n v="149.49"/>
    <n v="149.49000043747799"/>
    <s v="PIL1/D/1236"/>
    <d v="2026-07-3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25127.02"/>
    <s v="SF"/>
    <s v="Webbing"/>
    <x v="3"/>
    <s v="RM"/>
    <s v="erp"/>
    <n v="0"/>
    <n v="64788.97"/>
    <n v="385"/>
    <d v="2026-07-31T00:00:00"/>
    <s v="24AAACO3087C1ZT"/>
    <s v="storeppl"/>
    <s v="storeppl"/>
    <n v="9"/>
    <n v="5831.01"/>
    <n v="9"/>
    <n v="5831.01"/>
    <n v="0"/>
    <n v="0"/>
    <n v="0"/>
    <n v="672154937668"/>
    <d v="2026-07-31T00:00:00"/>
    <n v="433.4"/>
  </r>
  <r>
    <s v="Plastene Polyfilms Limited"/>
    <d v="2026-07-31T00:00:00"/>
    <s v="PPL/26-27/SII01028"/>
    <s v="WIP00236"/>
    <s v="PP Braided Rope MW 6 to 8 GPM"/>
    <s v="PPL/RAW/26-27/375"/>
    <n v="44.9"/>
    <n v="44.9"/>
    <s v="Kgs"/>
    <n v="44.9"/>
    <n v="0"/>
    <n v="44.9"/>
    <s v="GJ12X1249"/>
    <s v="Plastene India ltd - Unit 1-Purchase"/>
    <s v="Plastene India ltd - Unit 1-Purchase"/>
    <s v="PIL1/D/1236"/>
    <d v="2026-07-31T00:00:00"/>
    <s v="RAW MATERIAL"/>
    <s v="INDIGENOUS"/>
    <s v="RM 380"/>
    <n v="160.99"/>
    <n v="160.99000047113199"/>
    <s v="PIL1/D/1236"/>
    <d v="2026-07-31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025127.02"/>
    <s v="SF"/>
    <s v="Yarn All"/>
    <x v="5"/>
    <s v="RM"/>
    <s v="erp"/>
    <n v="0"/>
    <n v="7228.45"/>
    <n v="385"/>
    <d v="2026-07-31T00:00:00"/>
    <s v="24AAACO3087C1ZT"/>
    <s v="storeppl"/>
    <s v="storeppl"/>
    <n v="2.5"/>
    <n v="180.71"/>
    <n v="2.5"/>
    <n v="180.71"/>
    <n v="0"/>
    <n v="0"/>
    <n v="0"/>
    <n v="672154937668"/>
    <d v="2026-07-31T00:00:00"/>
    <n v="44.9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9">
  <r>
    <s v="Plastene Polyfilms Limited"/>
    <n v="300"/>
    <d v="2026-07-01T00:00:00"/>
    <s v="HCP Plastene Bulkpack Limited - Sales"/>
    <s v="GJ14Z3205"/>
    <s v="Flexible Intermediate Bulk Containers (Attachement Bag)"/>
    <s v="2026000968/5477"/>
    <n v="196.76"/>
    <n v="829"/>
    <s v="Kgs"/>
    <n v="163114.04"/>
    <n v="829"/>
    <n v="829"/>
    <n v="4632674.29"/>
    <s v="FIBC"/>
    <s v="FIBC"/>
    <m/>
    <m/>
    <s v="Rs"/>
    <n v="1"/>
    <m/>
    <n v="9"/>
    <n v="14680.26"/>
    <n v="9"/>
    <n v="14680.26"/>
    <n v="0"/>
    <n v="0"/>
    <n v="39232990"/>
    <s v="."/>
    <d v="2026-07-0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00"/>
    <d v="2026-07-01T00:00:00"/>
    <s v="HCP Plastene Bulkpack Limited - Sales"/>
    <s v="GJ14Z3205"/>
    <s v="Flexible Intermediate Bulk Containers (Attachement Bag)"/>
    <s v="2026001011/2026001193"/>
    <n v="223.86"/>
    <n v="3506"/>
    <s v="Kgs"/>
    <n v="784853.16"/>
    <n v="3506"/>
    <n v="3506"/>
    <n v="0"/>
    <s v="FIBC"/>
    <s v="FIBC"/>
    <m/>
    <m/>
    <s v="Rs"/>
    <n v="1"/>
    <m/>
    <n v="9"/>
    <n v="70636.78"/>
    <n v="9"/>
    <n v="70636.78"/>
    <n v="0"/>
    <n v="0"/>
    <n v="39232990"/>
    <s v="."/>
    <d v="2026-07-0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00"/>
    <d v="2026-07-01T00:00:00"/>
    <s v="HCP Plastene Bulkpack Limited - Sales"/>
    <s v="GJ14Z3205"/>
    <s v="Flexible Intermediate Bulk Containers (Attachement Bag)"/>
    <s v="2026001055/6572"/>
    <n v="205.6"/>
    <n v="3905"/>
    <s v="Kgs"/>
    <n v="802868"/>
    <n v="3905"/>
    <n v="3905"/>
    <n v="0"/>
    <s v="FIBC"/>
    <s v="FIBC"/>
    <m/>
    <m/>
    <s v="Rs"/>
    <n v="1"/>
    <m/>
    <n v="9"/>
    <n v="72258.12"/>
    <n v="9"/>
    <n v="72258.12"/>
    <n v="0"/>
    <n v="0"/>
    <n v="39232990"/>
    <s v="."/>
    <d v="2026-07-0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00"/>
    <d v="2026-07-01T00:00:00"/>
    <s v="HCP Plastene Bulkpack Limited - Sales"/>
    <s v="GJ14Z3205"/>
    <s v="Flexible Intermediate Bulk Containers (Attachement Bag)"/>
    <s v="2026001056/6573"/>
    <n v="195.93"/>
    <n v="8186"/>
    <s v="Kgs"/>
    <n v="1603882.98"/>
    <n v="8186"/>
    <n v="8186"/>
    <n v="0"/>
    <s v="FIBC"/>
    <s v="FIBC"/>
    <m/>
    <m/>
    <s v="Rs"/>
    <n v="1"/>
    <m/>
    <n v="9"/>
    <n v="144349.47"/>
    <n v="9"/>
    <n v="144349.47"/>
    <n v="0"/>
    <n v="0"/>
    <n v="39232990"/>
    <s v="."/>
    <d v="2026-07-0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00"/>
    <d v="2026-07-01T00:00:00"/>
    <s v="HCP Plastene Bulkpack Limited - Sales"/>
    <s v="GJ14Z3205"/>
    <s v="Flexible Intermediate Bulk Containers (Attachement Bag)"/>
    <s v="2026001057/10907"/>
    <n v="200.19"/>
    <n v="1291"/>
    <s v="Kgs"/>
    <n v="258445.29"/>
    <n v="1291"/>
    <n v="1291"/>
    <n v="0"/>
    <s v="FIBC"/>
    <s v="FIBC"/>
    <m/>
    <m/>
    <s v="Rs"/>
    <n v="1"/>
    <m/>
    <n v="9"/>
    <n v="23260.080000000002"/>
    <n v="9"/>
    <n v="23260.080000000002"/>
    <n v="0"/>
    <n v="0"/>
    <n v="39232990"/>
    <s v="."/>
    <d v="2026-07-0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00"/>
    <d v="2026-07-01T00:00:00"/>
    <s v="HCP Plastene Bulkpack Limited - Sales"/>
    <s v="GJ14Z3205"/>
    <s v="Flexible Intermediate Bulk Containers (Attachement Bag)"/>
    <s v="2026001112/2023002479"/>
    <n v="208.36"/>
    <n v="1501.4"/>
    <s v="Kgs"/>
    <n v="312831.7"/>
    <n v="1501.4"/>
    <n v="1501.4"/>
    <n v="0"/>
    <s v="FIBC"/>
    <s v="FIBC"/>
    <m/>
    <m/>
    <s v="Rs"/>
    <n v="1"/>
    <m/>
    <n v="9"/>
    <n v="28154.85"/>
    <n v="9"/>
    <n v="28154.85"/>
    <n v="0"/>
    <n v="0"/>
    <n v="39232990"/>
    <s v="."/>
    <d v="2026-07-0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01"/>
    <d v="2026-07-01T00:00:00"/>
    <s v="Plastene India ltd - Unit 1-Sales"/>
    <s v="GJ12FB2542"/>
    <s v="PP Yarn"/>
    <s v="PP MF Yarn Twisted 3000 Denier UV Deep Blue"/>
    <n v="201.21"/>
    <n v="86.6"/>
    <s v="Kgs"/>
    <n v="17424.79"/>
    <n v="86.6"/>
    <n v="86.6"/>
    <n v="18296.03"/>
    <s v="PP YARN"/>
    <s v="Granules"/>
    <m/>
    <m/>
    <s v="Rs"/>
    <n v="1"/>
    <m/>
    <n v="2.5"/>
    <n v="435.62"/>
    <n v="2.5"/>
    <n v="435.62"/>
    <n v="0"/>
    <n v="0"/>
    <n v="54026300"/>
    <s v="."/>
    <d v="2026-07-01T00:00:00"/>
    <n v="0"/>
    <n v="0"/>
    <m/>
    <n v="0"/>
    <m/>
    <m/>
    <m/>
    <n v="0"/>
    <n v="0"/>
    <n v="0"/>
    <n v="0"/>
    <n v="0"/>
    <n v="0"/>
    <n v="0"/>
    <n v="0"/>
    <m/>
    <s v="KUTCH"/>
    <s v="India"/>
    <s v="WIP00193"/>
    <s v="PP MF Yarn Twisted 3000 Denier UV Deep Blue"/>
    <s v="SF"/>
    <s v="Yarn All"/>
    <x v="1"/>
  </r>
  <r>
    <s v="Plastene Polyfilms Limited"/>
    <n v="302"/>
    <d v="2026-07-01T00:00:00"/>
    <s v="Plastene India ltd - Unit 1-Sales"/>
    <s v="GJ12FB2542"/>
    <s v="LD/LLDPE  FILM"/>
    <s v="LDPE/LLDPE Film"/>
    <n v="260"/>
    <n v="13.5"/>
    <s v="Kgs"/>
    <n v="3510"/>
    <n v="13.5"/>
    <n v="13.5"/>
    <n v="4141.8"/>
    <s v="Others"/>
    <s v="Others"/>
    <m/>
    <m/>
    <s v="Rs"/>
    <n v="1"/>
    <m/>
    <n v="9"/>
    <n v="315.89999999999998"/>
    <n v="9"/>
    <n v="315.89999999999998"/>
    <n v="0"/>
    <n v="0"/>
    <n v="39201019"/>
    <s v="."/>
    <d v="2026-07-01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03"/>
    <d v="2026-07-02T00:00:00"/>
    <s v="Hcp Plastene Bulkpack Ltd (Unit Iv) - Sales"/>
    <s v="GJ12DE3213"/>
    <s v="LD/LLDPE BAGS"/>
    <s v="LDPE/LLDPE Bags/Liner"/>
    <n v="193"/>
    <n v="60"/>
    <s v="Kgs"/>
    <n v="11580"/>
    <n v="60"/>
    <n v="60"/>
    <n v="13664.4"/>
    <s v="Others"/>
    <s v="Multilayer"/>
    <m/>
    <m/>
    <s v="Rs"/>
    <n v="1"/>
    <m/>
    <n v="9"/>
    <n v="1042.2"/>
    <n v="9"/>
    <n v="1042.2"/>
    <n v="0"/>
    <n v="0"/>
    <n v="392310"/>
    <s v="."/>
    <d v="2026-07-02T00:00:00"/>
    <n v="0"/>
    <n v="0"/>
    <m/>
    <n v="0"/>
    <m/>
    <m/>
    <m/>
    <n v="0"/>
    <n v="0"/>
    <n v="0"/>
    <n v="0"/>
    <n v="0"/>
    <n v="0"/>
    <n v="0"/>
    <n v="0"/>
    <m/>
    <s v="KACHCHH"/>
    <s v="India"/>
    <s v="WIP00013"/>
    <s v="LDPE/LLDPE Bags/Liner"/>
    <s v="SF"/>
    <s v="Liners"/>
    <x v="3"/>
  </r>
  <r>
    <s v="Plastene Polyfilms Limited"/>
    <s v="PPL/E/46/26-27"/>
    <d v="2026-07-02T00:00:00"/>
    <s v="K.P. Woven Pvt Ltd - Unit 3 -Sales"/>
    <s v="GJ09Z0572"/>
    <s v="Flexible Intermediate Bulk Containers (Attachement Bag)."/>
    <s v="PP WOVEN BIG BAGS"/>
    <n v="2"/>
    <n v="2309"/>
    <s v="Kgs"/>
    <n v="432244.8"/>
    <n v="2309"/>
    <n v="2309"/>
    <n v="432244.8"/>
    <s v="FIBC"/>
    <s v="FIBC"/>
    <m/>
    <m/>
    <s v="USD"/>
    <n v="93.6"/>
    <s v="LUT Bond No"/>
    <m/>
    <m/>
    <m/>
    <m/>
    <n v="18"/>
    <n v="831.24"/>
    <n v="63053200"/>
    <n v="20"/>
    <d v="2026-07-02T00:00:00"/>
    <n v="4618"/>
    <n v="432244.8"/>
    <s v="FOB"/>
    <n v="4618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4"/>
  </r>
  <r>
    <s v="Plastene Polyfilms Limited"/>
    <s v="PPL/E/47/26-27"/>
    <d v="2026-07-02T00:00:00"/>
    <s v="K.P. Woven Pvt Ltd - Unit 3 -Sales"/>
    <s v="GJ09Z0572"/>
    <s v="POLYSTER YARN"/>
    <s v="Polyester Yarn Twisted"/>
    <n v="132"/>
    <n v="2651.1"/>
    <s v="Kgs"/>
    <n v="349945.2"/>
    <n v="2651.1"/>
    <n v="2651.1"/>
    <n v="349945"/>
    <s v="Mfyarn"/>
    <s v="Mfyarn"/>
    <m/>
    <m/>
    <s v="Rs"/>
    <n v="1"/>
    <s v="LUT Bond No"/>
    <n v="0"/>
    <n v="0"/>
    <n v="0"/>
    <n v="0"/>
    <n v="5"/>
    <n v="17497.259999999998"/>
    <n v="540239"/>
    <s v="."/>
    <d v="2026-07-02T00:00:00"/>
    <n v="0"/>
    <n v="0"/>
    <m/>
    <n v="0"/>
    <m/>
    <m/>
    <m/>
    <n v="0"/>
    <n v="0"/>
    <n v="0"/>
    <n v="0"/>
    <n v="0"/>
    <n v="0"/>
    <n v="0"/>
    <n v="0"/>
    <m/>
    <s v="KASEZ"/>
    <s v="India"/>
    <s v="WIP00017"/>
    <s v="Polyester Yarn Twisted"/>
    <s v="SF"/>
    <s v="Yarn All"/>
    <x v="5"/>
  </r>
  <r>
    <s v="Plastene Polyfilms Limited"/>
    <n v="304"/>
    <d v="2026-07-03T00:00:00"/>
    <s v="Hcp Plastene Bulkpack Ltd (Unit Iv) - Sales"/>
    <s v="GJ12DE3213"/>
    <s v="LD/LLDPE  FILM"/>
    <s v="LDPE/LLDPE Film"/>
    <n v="248"/>
    <n v="44.5"/>
    <s v="Kgs"/>
    <n v="11036"/>
    <n v="44.5"/>
    <n v="44.5"/>
    <n v="13022.48"/>
    <s v="Others"/>
    <s v="Others"/>
    <m/>
    <m/>
    <s v="Rs"/>
    <n v="1"/>
    <m/>
    <n v="9"/>
    <n v="993.24"/>
    <n v="9"/>
    <n v="993.24"/>
    <n v="0"/>
    <n v="0"/>
    <n v="39201019"/>
    <s v="."/>
    <d v="2026-07-03T00:00:00"/>
    <n v="0"/>
    <n v="0"/>
    <m/>
    <n v="0"/>
    <m/>
    <m/>
    <m/>
    <n v="0"/>
    <n v="0"/>
    <n v="0"/>
    <n v="0"/>
    <n v="0"/>
    <n v="0"/>
    <n v="0"/>
    <n v="0"/>
    <m/>
    <s v="KACHCHH"/>
    <s v="India"/>
    <s v="RAW05124"/>
    <s v="LDPE/LLDPE Film"/>
    <s v="SF"/>
    <s v="Films All (SF)"/>
    <x v="2"/>
  </r>
  <r>
    <s v="Plastene Polyfilms Limited"/>
    <n v="307"/>
    <d v="2026-07-03T00:00:00"/>
    <s v="Plastene India ltd - Unit 1-Sales"/>
    <s v="GJ12X-1249"/>
    <s v="PP Woven Big Bags"/>
    <s v="REJUCTED BAGS"/>
    <n v="129.41"/>
    <n v="1175"/>
    <s v="Kgs"/>
    <n v="152056.75"/>
    <n v="1175"/>
    <n v="1175"/>
    <n v="420796.4"/>
    <s v="Woven - Fabric"/>
    <s v="FIBC"/>
    <m/>
    <m/>
    <s v="Rs"/>
    <n v="1"/>
    <m/>
    <n v="9"/>
    <n v="13685.11"/>
    <n v="9"/>
    <n v="13685.11"/>
    <n v="0"/>
    <n v="0"/>
    <n v="39232990"/>
    <s v="-"/>
    <d v="2026-07-03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307"/>
    <d v="2026-07-03T00:00:00"/>
    <s v="Plastene India ltd - Unit 1-Sales"/>
    <s v="GJ12X-1249"/>
    <s v="PP MULTIFILAMENT YARN"/>
    <s v="YARN"/>
    <n v="201.21"/>
    <n v="75.7"/>
    <s v="Kgs"/>
    <n v="15231.6"/>
    <n v="75.7"/>
    <n v="75.7"/>
    <n v="0"/>
    <s v="Woven - Fabric"/>
    <s v="Mfyarn"/>
    <m/>
    <m/>
    <s v="Rs"/>
    <n v="1"/>
    <m/>
    <n v="2.5"/>
    <n v="380.79"/>
    <n v="2.5"/>
    <n v="380.79"/>
    <n v="0"/>
    <n v="0"/>
    <n v="54026930"/>
    <s v="-"/>
    <d v="2026-07-03T00:00:00"/>
    <n v="0"/>
    <n v="0"/>
    <m/>
    <n v="0"/>
    <m/>
    <m/>
    <m/>
    <n v="0"/>
    <n v="0"/>
    <n v="0"/>
    <n v="0"/>
    <n v="0"/>
    <n v="0"/>
    <n v="0"/>
    <n v="0"/>
    <m/>
    <s v="KUTCH"/>
    <s v="India"/>
    <s v="WIP00193"/>
    <s v="PP MF Yarn Twisted 3000 Denier UV Deep Blue"/>
    <s v="SF"/>
    <s v="Yarn All"/>
    <x v="1"/>
  </r>
  <r>
    <s v="Plastene Polyfilms Limited"/>
    <n v="307"/>
    <d v="2026-07-03T00:00:00"/>
    <s v="Plastene India ltd - Unit 1-Sales"/>
    <s v="GJ12X-1249"/>
    <s v="PP Laminated Fabrics"/>
    <s v="MORE THEN 100 GSM"/>
    <n v="151.41"/>
    <n v="855"/>
    <s v="Kgs"/>
    <n v="129455.55"/>
    <n v="855"/>
    <n v="855"/>
    <n v="0"/>
    <s v="Woven - Fabric"/>
    <s v="Woven - Fabric"/>
    <m/>
    <m/>
    <s v="Rs"/>
    <n v="1"/>
    <m/>
    <n v="9"/>
    <n v="11651"/>
    <n v="9"/>
    <n v="11651"/>
    <n v="0"/>
    <n v="0"/>
    <n v="39269080"/>
    <s v="-"/>
    <d v="2026-07-03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7"/>
  </r>
  <r>
    <s v="Plastene Polyfilms Limited"/>
    <n v="307"/>
    <d v="2026-07-03T00:00:00"/>
    <s v="Plastene India ltd - Unit 1-Sales"/>
    <s v="GJ12X-1249"/>
    <s v="PP WEBBING"/>
    <s v="COLOUR"/>
    <n v="151.41"/>
    <n v="305.60000000000002"/>
    <s v="Kgs"/>
    <n v="46270.9"/>
    <n v="305.60000000000002"/>
    <n v="305.60000000000002"/>
    <n v="0"/>
    <s v="Woven - Fabric"/>
    <s v="Webbing"/>
    <m/>
    <m/>
    <s v="Rs"/>
    <n v="1"/>
    <m/>
    <n v="9"/>
    <n v="4164.38"/>
    <n v="9"/>
    <n v="4164.38"/>
    <n v="0"/>
    <n v="0"/>
    <n v="39269080"/>
    <s v="-"/>
    <d v="2026-07-03T00:00:00"/>
    <n v="0"/>
    <n v="0"/>
    <m/>
    <n v="0"/>
    <m/>
    <m/>
    <m/>
    <n v="0"/>
    <n v="0"/>
    <n v="0"/>
    <n v="0"/>
    <n v="0"/>
    <n v="0"/>
    <n v="0"/>
    <n v="0"/>
    <m/>
    <s v="KUTCH"/>
    <s v="India"/>
    <s v="WIP00032"/>
    <s v="Webbing"/>
    <s v="SF"/>
    <s v="Webbing"/>
    <x v="8"/>
  </r>
  <r>
    <s v="Plastene Polyfilms Limited"/>
    <n v="307"/>
    <d v="2026-07-03T00:00:00"/>
    <s v="Plastene India ltd - Unit 1-Sales"/>
    <s v="GJ12X-1249"/>
    <s v="PP Woven Fabrics Laminated/ Coated"/>
    <s v="CUT PICES"/>
    <n v="129.41"/>
    <n v="118"/>
    <s v="Kgs"/>
    <n v="15270.38"/>
    <n v="118"/>
    <n v="118"/>
    <n v="0"/>
    <s v="Woven - Fabric"/>
    <s v="Woven - Fabric"/>
    <m/>
    <m/>
    <s v="Rs"/>
    <n v="1"/>
    <m/>
    <n v="9"/>
    <n v="1374.33"/>
    <n v="9"/>
    <n v="1374.33"/>
    <n v="0"/>
    <n v="0"/>
    <n v="39269080"/>
    <s v="-"/>
    <d v="2026-07-03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308"/>
    <d v="2026-07-04T00:00:00"/>
    <s v="Plastene India ltd - Unit 1-Sales"/>
    <s v="GJ12FB2542"/>
    <s v="INK"/>
    <s v="Ink Vyankatesh Poly Process Yellow VLX 671"/>
    <n v="282"/>
    <n v="25"/>
    <s v="Kgs"/>
    <n v="7050"/>
    <n v="25"/>
    <n v="25"/>
    <n v="8319"/>
    <s v="Others"/>
    <s v="Ink / Pigment"/>
    <m/>
    <m/>
    <s v="Rs"/>
    <n v="1"/>
    <m/>
    <n v="9"/>
    <n v="634.5"/>
    <n v="9"/>
    <n v="634.5"/>
    <n v="0"/>
    <n v="0"/>
    <n v="32151990"/>
    <s v="."/>
    <d v="2026-07-04T00:00:00"/>
    <n v="0"/>
    <n v="0"/>
    <m/>
    <n v="0"/>
    <m/>
    <m/>
    <m/>
    <n v="0"/>
    <n v="0"/>
    <n v="0"/>
    <n v="0"/>
    <n v="0"/>
    <n v="0"/>
    <n v="0"/>
    <n v="0"/>
    <m/>
    <s v="KUTCH"/>
    <s v="India"/>
    <s v="RAW05728"/>
    <s v="Ink Vyankatesh Poly Process Yellow VLX 671"/>
    <s v="RM Consumables"/>
    <s v="Ink"/>
    <x v="9"/>
  </r>
  <r>
    <s v="Plastene Polyfilms Limited"/>
    <n v="309"/>
    <d v="2026-07-04T00:00:00"/>
    <s v="Hcp Plastene Bulkpack Ltd (Unit Iv) - Sales"/>
    <s v="GJ12BU0544"/>
    <s v="PP Woven Fabrics"/>
    <s v="UL CUT PCS"/>
    <n v="149.41"/>
    <n v="560"/>
    <s v="Kgs"/>
    <n v="83669.600000000006"/>
    <n v="560"/>
    <n v="560"/>
    <n v="98730.12"/>
    <s v="FIBC"/>
    <s v="Woven - Fabric"/>
    <m/>
    <m/>
    <s v="Rs"/>
    <n v="1"/>
    <m/>
    <n v="9"/>
    <n v="7530.26"/>
    <n v="9"/>
    <n v="7530.26"/>
    <n v="0"/>
    <n v="0"/>
    <n v="39269080"/>
    <s v="."/>
    <d v="2026-07-04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310"/>
    <d v="2026-07-04T00:00:00"/>
    <s v="Plastene India ltd - Unit 1-Sales"/>
    <s v="GJ12X1249"/>
    <s v="LD/LLDPE BAGS"/>
    <s v="zip lock 30x30x80"/>
    <n v="181.15"/>
    <n v="334"/>
    <s v="Kgs"/>
    <n v="60504.1"/>
    <n v="334"/>
    <n v="334"/>
    <n v="71394.84"/>
    <s v="Others"/>
    <s v="Multilayer"/>
    <m/>
    <m/>
    <s v="Rs"/>
    <n v="1"/>
    <m/>
    <n v="9"/>
    <n v="5445.37"/>
    <n v="9"/>
    <n v="5445.37"/>
    <n v="0"/>
    <n v="0"/>
    <n v="392310"/>
    <s v="."/>
    <d v="2026-07-04T00:00:00"/>
    <n v="0"/>
    <n v="0"/>
    <m/>
    <n v="0"/>
    <m/>
    <m/>
    <m/>
    <n v="0"/>
    <n v="0"/>
    <n v="0"/>
    <n v="0"/>
    <n v="0"/>
    <n v="0"/>
    <n v="0"/>
    <n v="0"/>
    <m/>
    <s v="KUTCH"/>
    <s v="India"/>
    <s v="WIP00013"/>
    <s v="LDPE/LLDPE Bags/Liner"/>
    <s v="SF"/>
    <s v="Liners"/>
    <x v="3"/>
  </r>
  <r>
    <s v="Plastene Polyfilms Limited"/>
    <n v="311"/>
    <d v="2026-07-06T00:00:00"/>
    <s v="Plastene India ltd - Unit 1-Sales"/>
    <s v="GJ12X1249"/>
    <s v="PP MULTIFILAMENT YARN"/>
    <s v="PP MF Yarn Twisted 3000 Denier UV Deep Blue"/>
    <n v="201.21"/>
    <n v="164.6"/>
    <s v="Kgs"/>
    <n v="33119.17"/>
    <n v="164.6"/>
    <n v="164.6"/>
    <n v="34775.129999999997"/>
    <s v="PP YARN"/>
    <s v="PP YARN"/>
    <m/>
    <m/>
    <s v="Rs"/>
    <n v="1"/>
    <m/>
    <n v="2.5"/>
    <n v="827.98"/>
    <n v="2.5"/>
    <n v="827.98"/>
    <n v="0"/>
    <n v="0"/>
    <n v="54026930"/>
    <s v="."/>
    <d v="2026-07-06T00:00:00"/>
    <n v="0"/>
    <n v="0"/>
    <m/>
    <n v="0"/>
    <m/>
    <m/>
    <m/>
    <n v="0"/>
    <n v="0"/>
    <n v="0"/>
    <n v="0"/>
    <n v="0"/>
    <n v="0"/>
    <n v="0"/>
    <n v="0"/>
    <m/>
    <s v="KUTCH"/>
    <s v="India"/>
    <s v="WIP00193"/>
    <s v="PP MF Yarn Twisted 3000 Denier UV Deep Blue"/>
    <s v="SF"/>
    <s v="Yarn All"/>
    <x v="1"/>
  </r>
  <r>
    <s v="Plastene Polyfilms Limited"/>
    <n v="314"/>
    <d v="2026-07-06T00:00:00"/>
    <s v="Hcp Plastene Bulkpack Ltd (Unit Iv) - Sales"/>
    <s v="GJ-35 T 2925"/>
    <s v="PP Woven Fabrics"/>
    <s v="UL CUTPLCS - 100 GSM"/>
    <n v="154.74"/>
    <n v="411"/>
    <s v="Kgs"/>
    <n v="63598.14"/>
    <n v="411"/>
    <n v="411"/>
    <n v="117042.24000000001"/>
    <s v="Woven - Fabric"/>
    <s v="Woven - Fabric"/>
    <m/>
    <m/>
    <s v="Rs"/>
    <n v="1"/>
    <m/>
    <n v="9"/>
    <n v="5723.83"/>
    <n v="9"/>
    <n v="5723.83"/>
    <n v="0"/>
    <n v="0"/>
    <n v="39269080"/>
    <s v="."/>
    <d v="2026-07-06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314"/>
    <d v="2026-07-06T00:00:00"/>
    <s v="Hcp Plastene Bulkpack Ltd (Unit Iv) - Sales"/>
    <s v="GJ-35 T 2925"/>
    <s v="PP Woven Fabrics"/>
    <s v="PP UL Fabric With UV"/>
    <n v="154.74"/>
    <n v="230"/>
    <s v="Kgs"/>
    <n v="35590.199999999997"/>
    <n v="230"/>
    <n v="242"/>
    <n v="0"/>
    <s v="Woven - Fabric"/>
    <s v="Woven - Fabric"/>
    <m/>
    <m/>
    <s v="Rs"/>
    <n v="1"/>
    <m/>
    <n v="9"/>
    <n v="3203.12"/>
    <n v="9"/>
    <n v="3203.12"/>
    <n v="0"/>
    <n v="0"/>
    <n v="39269080"/>
    <s v="."/>
    <d v="2026-07-06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0"/>
  </r>
  <r>
    <s v="Plastene Polyfilms Limited"/>
    <n v="315"/>
    <d v="2026-07-06T00:00:00"/>
    <s v="Plastene India ltd - Unit 1-Sales"/>
    <s v="GJ12X1249"/>
    <s v="PP Woven Big Bags"/>
    <s v="FIBC BAGS"/>
    <n v="150"/>
    <n v="128"/>
    <s v="Kgs"/>
    <n v="19200"/>
    <n v="128"/>
    <n v="128"/>
    <n v="22656"/>
    <s v="FIBC"/>
    <s v="FIBC"/>
    <m/>
    <m/>
    <s v="Rs"/>
    <n v="1"/>
    <m/>
    <n v="9"/>
    <n v="1728"/>
    <n v="9"/>
    <n v="1728"/>
    <n v="0"/>
    <n v="0"/>
    <n v="39232990"/>
    <s v="."/>
    <d v="2026-07-06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317"/>
    <d v="2026-07-07T00:00:00"/>
    <s v="Plastene India ltd - Unit 1-Sales"/>
    <s v="GJ12FB2542"/>
    <s v="LD/LLDPE  FILM"/>
    <s v="LDPE/LLDPE Film"/>
    <n v="254"/>
    <n v="8.1999999999999993"/>
    <s v="Kgs"/>
    <n v="2082.8000000000002"/>
    <n v="8.1999999999999993"/>
    <n v="8.1999999999999993"/>
    <n v="2457.6999999999998"/>
    <s v="Others"/>
    <s v="Others"/>
    <m/>
    <m/>
    <s v="Rs"/>
    <n v="1"/>
    <m/>
    <n v="9"/>
    <n v="187.45"/>
    <n v="9"/>
    <n v="187.45"/>
    <n v="0"/>
    <n v="0"/>
    <n v="39201019"/>
    <s v="."/>
    <d v="2026-07-07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20"/>
    <d v="2026-07-07T00:00:00"/>
    <s v="Hcp Plastene Bulkpack Ltd (Unit Iv) - Sales"/>
    <s v="GJ35T2925"/>
    <s v="PP Woven Fabrics"/>
    <s v="UL CUT PCS"/>
    <n v="154.74"/>
    <n v="281"/>
    <s v="Kgs"/>
    <n v="43481.94"/>
    <n v="281"/>
    <n v="281"/>
    <n v="190444.7"/>
    <s v="Woven - Fabric"/>
    <s v="Woven - Fabric"/>
    <m/>
    <m/>
    <s v="Rs"/>
    <n v="1"/>
    <m/>
    <n v="9"/>
    <n v="3913.37"/>
    <n v="9"/>
    <n v="3913.37"/>
    <n v="0"/>
    <n v="0"/>
    <n v="39269080"/>
    <s v="."/>
    <d v="2026-07-07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320"/>
    <d v="2026-07-07T00:00:00"/>
    <s v="Hcp Plastene Bulkpack Ltd (Unit Iv) - Sales"/>
    <s v="GJ35T2925"/>
    <s v="PP Woven Fabrics"/>
    <s v="PP UL Fabric With UV"/>
    <n v="154.74"/>
    <n v="762"/>
    <s v="Kgs"/>
    <n v="117911.88"/>
    <n v="762"/>
    <n v="762"/>
    <n v="0"/>
    <s v="Woven - Fabric"/>
    <s v="Woven - Fabric"/>
    <m/>
    <m/>
    <s v="Rs"/>
    <n v="1"/>
    <m/>
    <n v="9"/>
    <n v="10612.07"/>
    <n v="9"/>
    <n v="10612.07"/>
    <n v="0"/>
    <n v="0"/>
    <n v="39269080"/>
    <s v="."/>
    <d v="2026-07-07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0"/>
  </r>
  <r>
    <s v="Plastene Polyfilms Limited"/>
    <n v="321"/>
    <d v="2026-07-07T00:00:00"/>
    <s v="Plastene India ltd - Unit 1-Sales"/>
    <s v="GJ12FB2542"/>
    <s v="LD/LLDPE  FILM"/>
    <s v="LDPE/LLDPE Film"/>
    <n v="254"/>
    <n v="4.3"/>
    <s v="Kgs"/>
    <n v="1092.2"/>
    <n v="4.3"/>
    <n v="4.3"/>
    <n v="1288.8"/>
    <s v="Others"/>
    <s v="Others"/>
    <m/>
    <m/>
    <s v="Rs"/>
    <n v="1"/>
    <m/>
    <n v="9"/>
    <n v="98.3"/>
    <n v="9"/>
    <n v="98.3"/>
    <n v="0"/>
    <n v="0"/>
    <n v="39201019"/>
    <s v="."/>
    <d v="2026-07-07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s v="PPL/E/48/26-27"/>
    <d v="2026-07-07T00:00:00"/>
    <s v="White Bag Company, Inc."/>
    <s v="GJ05BV2093"/>
    <s v="Flexible Intermediate Bulk Containers (Attachement Bag)."/>
    <s v="PP WOVEN BIG BAGS"/>
    <n v="7.8"/>
    <n v="6090"/>
    <s v="Pcs"/>
    <n v="4441437"/>
    <n v="19278.400000000001"/>
    <n v="19950.400000000001"/>
    <n v="4441437"/>
    <s v="FIBC"/>
    <s v="FIBC"/>
    <m/>
    <m/>
    <s v="USD"/>
    <n v="93.5"/>
    <s v="Claim for Rebate"/>
    <m/>
    <m/>
    <m/>
    <m/>
    <n v="18"/>
    <n v="8550.36"/>
    <n v="63053200"/>
    <m/>
    <d v="2026-07-07T00:00:00"/>
    <n v="47502"/>
    <n v="4441437"/>
    <s v="FOB"/>
    <n v="47502"/>
    <m/>
    <m/>
    <n v="6220250"/>
    <n v="0"/>
    <n v="0"/>
    <n v="0"/>
    <n v="0"/>
    <n v="0"/>
    <n v="0"/>
    <n v="0"/>
    <n v="0"/>
    <s v="SEKU6335751"/>
    <s v="U.S.A."/>
    <s v="USA"/>
    <s v="WIP00004"/>
    <s v="FIBC Bags With UV Without Liner"/>
    <s v="FG"/>
    <s v="FIBC Bags"/>
    <x v="4"/>
  </r>
  <r>
    <s v="Plastene Polyfilms Limited"/>
    <n v="322"/>
    <d v="2026-07-08T00:00:00"/>
    <s v="Plastene India ltd - Unit 1-Sales"/>
    <s v="GJ12CT5847"/>
    <s v="Flexible Intermediate Bulk Containers (Attachement Bag)"/>
    <s v="PO6011/MANO-309"/>
    <n v="239.46"/>
    <n v="20982"/>
    <s v="Kgs"/>
    <n v="5024349.72"/>
    <n v="20982"/>
    <n v="20982"/>
    <n v="5928732.6600000001"/>
    <s v="FIBC"/>
    <s v="FIBC"/>
    <m/>
    <m/>
    <s v="Rs"/>
    <n v="1"/>
    <m/>
    <n v="9"/>
    <n v="452191.47"/>
    <n v="9"/>
    <n v="452191.47"/>
    <n v="0"/>
    <n v="0"/>
    <n v="39232990"/>
    <s v="."/>
    <d v="2026-07-08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23"/>
    <d v="2026-07-08T00:00:00"/>
    <s v="Plastene India ltd - Unit 1-Sales"/>
    <s v="GJ12X-1249"/>
    <s v="PP/HD/LD WASTE"/>
    <s v="LD INDOTHENE"/>
    <n v="25"/>
    <n v="1420"/>
    <s v="Kgs"/>
    <n v="35500"/>
    <n v="1420"/>
    <n v="1420"/>
    <n v="42727.8"/>
    <s v="Wastage"/>
    <s v="Wastage"/>
    <m/>
    <m/>
    <s v="Rs"/>
    <n v="1"/>
    <m/>
    <n v="9"/>
    <n v="3195"/>
    <n v="9"/>
    <n v="3195"/>
    <n v="0"/>
    <n v="0"/>
    <n v="39159029"/>
    <s v="-"/>
    <d v="2026-07-08T00:00:00"/>
    <n v="0"/>
    <n v="0"/>
    <m/>
    <n v="0"/>
    <m/>
    <m/>
    <m/>
    <n v="0"/>
    <n v="0"/>
    <n v="0"/>
    <n v="0"/>
    <n v="0"/>
    <n v="0"/>
    <n v="0"/>
    <n v="0"/>
    <m/>
    <s v="KUTCH"/>
    <s v="India"/>
    <s v="WIP00031"/>
    <s v="PP/HD Wastage/Scrap"/>
    <s v="SF"/>
    <s v="Wastage/Scrap"/>
    <x v="11"/>
  </r>
  <r>
    <s v="Plastene Polyfilms Limited"/>
    <n v="325"/>
    <d v="2026-07-08T00:00:00"/>
    <s v="Hcp Plastene Bulkpack Ltd (Unit Iv) - Sales"/>
    <s v="GJ-35 T 2925"/>
    <s v="PP Woven Fabrics"/>
    <s v="PP UL Fabric With UV"/>
    <n v="154.74"/>
    <n v="341"/>
    <s v="Kgs"/>
    <n v="52766.34"/>
    <n v="341"/>
    <n v="365"/>
    <n v="156401.62"/>
    <s v="Woven - Fabric"/>
    <s v="Woven - Fabric"/>
    <m/>
    <m/>
    <s v="Rs"/>
    <n v="1"/>
    <m/>
    <n v="9"/>
    <n v="4748.97"/>
    <n v="9"/>
    <n v="4748.97"/>
    <n v="0"/>
    <n v="0"/>
    <n v="39269080"/>
    <s v="."/>
    <d v="2026-07-08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0"/>
  </r>
  <r>
    <s v="Plastene Polyfilms Limited"/>
    <n v="325"/>
    <d v="2026-07-08T00:00:00"/>
    <s v="Hcp Plastene Bulkpack Ltd (Unit Iv) - Sales"/>
    <s v="GJ-35 T 2925"/>
    <s v="PP Laminated Fabrics"/>
    <s v="PP Lam Fabric With UV-Spout"/>
    <n v="158.74"/>
    <n v="215"/>
    <s v="Kgs"/>
    <n v="34129.1"/>
    <n v="215"/>
    <n v="220"/>
    <n v="0"/>
    <s v="Woven - Fabric"/>
    <s v="Woven - Fabric"/>
    <m/>
    <m/>
    <s v="Rs"/>
    <n v="1"/>
    <m/>
    <n v="9"/>
    <n v="3071.62"/>
    <n v="9"/>
    <n v="3071.62"/>
    <n v="0"/>
    <n v="0"/>
    <n v="39269080"/>
    <s v="."/>
    <d v="2026-07-08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7"/>
  </r>
  <r>
    <s v="Plastene Polyfilms Limited"/>
    <n v="325"/>
    <d v="2026-07-08T00:00:00"/>
    <s v="Hcp Plastene Bulkpack Ltd (Unit Iv) - Sales"/>
    <s v="GJ-35 T 2925"/>
    <s v="PP Woven Fabrics"/>
    <s v="UL CUTPCS"/>
    <n v="154.74"/>
    <n v="295"/>
    <s v="Kgs"/>
    <n v="45648.3"/>
    <n v="295"/>
    <n v="295"/>
    <n v="0"/>
    <s v="Woven - Fabric"/>
    <s v="Woven - Fabric"/>
    <m/>
    <m/>
    <s v="Rs"/>
    <n v="1"/>
    <m/>
    <n v="9"/>
    <n v="4108.3500000000004"/>
    <n v="9"/>
    <n v="4108.3500000000004"/>
    <n v="0"/>
    <n v="0"/>
    <n v="39269080"/>
    <s v="."/>
    <d v="2026-07-08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326"/>
    <d v="2026-07-08T00:00:00"/>
    <s v="Plastene India ltd - Unit 1-Sales"/>
    <s v="GJ12FB2542"/>
    <s v="LD/LLDPE  FILM"/>
    <s v="LDPE/LLDPE Film"/>
    <n v="257"/>
    <n v="7.5"/>
    <s v="Kgs"/>
    <n v="1927.5"/>
    <n v="7.5"/>
    <n v="7.5"/>
    <n v="2274.46"/>
    <s v="Others"/>
    <s v="Others"/>
    <m/>
    <m/>
    <s v="Rs"/>
    <n v="1"/>
    <m/>
    <n v="9"/>
    <n v="173.48"/>
    <n v="9"/>
    <n v="173.48"/>
    <n v="0"/>
    <n v="0"/>
    <n v="39201019"/>
    <s v="."/>
    <d v="2026-07-08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27"/>
    <d v="2026-07-09T00:00:00"/>
    <s v="Hcp Plastene Bulkpack Ltd (Unit Iv) - Sales"/>
    <s v="GJ-35 T 2925"/>
    <s v="PP Woven Fabrics"/>
    <s v="UL CUTPCS"/>
    <n v="154.74"/>
    <n v="604"/>
    <s v="Kgs"/>
    <n v="93462.96"/>
    <n v="604"/>
    <n v="604"/>
    <n v="168935.23"/>
    <s v="Woven - Fabric"/>
    <s v="Woven - Fabric"/>
    <m/>
    <m/>
    <s v="Rs"/>
    <n v="1"/>
    <m/>
    <n v="9"/>
    <n v="8411.67"/>
    <n v="9"/>
    <n v="8411.67"/>
    <n v="0"/>
    <n v="0"/>
    <n v="39269080"/>
    <s v="."/>
    <d v="2026-07-09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327"/>
    <d v="2026-07-09T00:00:00"/>
    <s v="Hcp Plastene Bulkpack Ltd (Unit Iv) - Sales"/>
    <s v="GJ-35 T 2925"/>
    <s v="PP Woven Fabrics"/>
    <s v="PP UL Fabric With UV"/>
    <n v="154.74"/>
    <n v="321.2"/>
    <s v="Kgs"/>
    <n v="49702.49"/>
    <n v="321.2"/>
    <n v="346.2"/>
    <n v="0"/>
    <s v="Woven - Fabric"/>
    <s v="Woven - Fabric"/>
    <m/>
    <m/>
    <s v="Rs"/>
    <n v="1"/>
    <m/>
    <n v="9"/>
    <n v="4473.22"/>
    <n v="9"/>
    <n v="4473.22"/>
    <n v="0"/>
    <n v="0"/>
    <n v="39269080"/>
    <s v="."/>
    <d v="2026-07-09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0"/>
  </r>
  <r>
    <s v="Plastene Polyfilms Limited"/>
    <n v="329"/>
    <d v="2026-07-09T00:00:00"/>
    <s v="Narayandas Murlidhar"/>
    <s v="GJ-09 AW 0619"/>
    <s v="PP WOVEN FABRIC LAMINATED/COATED"/>
    <s v="BLACK GRADE - D"/>
    <n v="60"/>
    <n v="7630"/>
    <s v="Kgs"/>
    <n v="457800"/>
    <n v="7630"/>
    <n v="7670"/>
    <n v="540204"/>
    <s v="Woven - Fabric"/>
    <s v="Woven - Fabric"/>
    <m/>
    <m/>
    <s v="Rs"/>
    <n v="1"/>
    <m/>
    <n v="0"/>
    <n v="0"/>
    <n v="0"/>
    <n v="0"/>
    <n v="18"/>
    <n v="82404"/>
    <n v="39269080"/>
    <n v="327"/>
    <d v="2026-07-09T00:00:00"/>
    <n v="0"/>
    <n v="0"/>
    <m/>
    <n v="0"/>
    <m/>
    <m/>
    <m/>
    <n v="0"/>
    <n v="0"/>
    <n v="0"/>
    <n v="0"/>
    <n v="0"/>
    <n v="0"/>
    <n v="0"/>
    <n v="0"/>
    <m/>
    <s v="PALI"/>
    <s v="India"/>
    <s v="WIP00025"/>
    <s v="PP Lam Fabric With UV"/>
    <s v="SF"/>
    <s v="PP/PE Fabric"/>
    <x v="7"/>
  </r>
  <r>
    <s v="Plastene Polyfilms Limited"/>
    <n v="330"/>
    <d v="2026-07-10T00:00:00"/>
    <s v="Plastene India ltd - Unit 1-Sales"/>
    <s v="GJ12FB2542"/>
    <s v="LD/LLDPE  FILM"/>
    <s v="LDPE/LLDPE Film"/>
    <n v="260"/>
    <n v="14.1"/>
    <s v="Kgs"/>
    <n v="3666"/>
    <n v="14.1"/>
    <n v="14.1"/>
    <n v="4325.88"/>
    <s v="Others"/>
    <s v="Others"/>
    <m/>
    <m/>
    <s v="Rs"/>
    <n v="1"/>
    <m/>
    <n v="9"/>
    <n v="329.94"/>
    <n v="9"/>
    <n v="329.94"/>
    <n v="0"/>
    <n v="0"/>
    <n v="39201019"/>
    <s v="."/>
    <d v="2026-07-10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32"/>
    <d v="2026-07-10T00:00:00"/>
    <s v="HCP Plastene Bulkpack Limited - Sales"/>
    <s v="GJ21W4683"/>
    <s v="Polypropylene Granuals"/>
    <s v="PP Advanced H312"/>
    <n v="120"/>
    <n v="30000"/>
    <s v="Kgs"/>
    <n v="3600000"/>
    <n v="30000"/>
    <n v="30000"/>
    <n v="4248000"/>
    <s v="Granules"/>
    <s v="Granules"/>
    <m/>
    <m/>
    <s v="Rs"/>
    <n v="1"/>
    <m/>
    <n v="9"/>
    <n v="324000"/>
    <n v="9"/>
    <n v="324000"/>
    <n v="0"/>
    <n v="0"/>
    <n v="39021000"/>
    <s v="."/>
    <d v="2026-07-10T00:00:00"/>
    <n v="0"/>
    <n v="0"/>
    <m/>
    <n v="0"/>
    <m/>
    <m/>
    <m/>
    <n v="0"/>
    <n v="0"/>
    <n v="0"/>
    <n v="0"/>
    <n v="0"/>
    <n v="0"/>
    <n v="0"/>
    <n v="0"/>
    <m/>
    <s v="GANDHINAGAR"/>
    <s v="India"/>
    <s v="RAW06340"/>
    <s v="PP Advanced H312"/>
    <s v="RM"/>
    <s v="Granules"/>
    <x v="12"/>
  </r>
  <r>
    <s v="Plastene Polyfilms Limited"/>
    <n v="333"/>
    <d v="2026-07-10T00:00:00"/>
    <s v="Plastene India ltd - Unit 1-Sales"/>
    <s v="GJ12X1249"/>
    <s v="PP WEBBING"/>
    <s v="Webbing"/>
    <n v="156.74"/>
    <n v="237.2"/>
    <s v="Kgs"/>
    <n v="37178.730000000003"/>
    <n v="237.2"/>
    <n v="237.2"/>
    <n v="324932.93"/>
    <s v="Others"/>
    <s v="Webbing"/>
    <m/>
    <m/>
    <s v="Rs"/>
    <n v="1"/>
    <m/>
    <n v="9"/>
    <n v="3346.09"/>
    <n v="9"/>
    <n v="3346.09"/>
    <n v="0"/>
    <n v="0"/>
    <n v="39269080"/>
    <s v="."/>
    <d v="2026-07-10T00:00:00"/>
    <n v="0"/>
    <n v="0"/>
    <m/>
    <n v="0"/>
    <m/>
    <m/>
    <m/>
    <n v="0"/>
    <n v="0"/>
    <n v="0"/>
    <n v="0"/>
    <n v="0"/>
    <n v="0"/>
    <n v="0"/>
    <n v="0"/>
    <m/>
    <s v="KUTCH"/>
    <s v="India"/>
    <s v="WIP00032"/>
    <s v="Webbing"/>
    <s v="SF"/>
    <s v="Webbing"/>
    <x v="8"/>
  </r>
  <r>
    <s v="Plastene Polyfilms Limited"/>
    <n v="333"/>
    <d v="2026-07-10T00:00:00"/>
    <s v="Plastene India ltd - Unit 1-Sales"/>
    <s v="GJ12X1249"/>
    <s v="PP Laminated Fabrics"/>
    <s v="LAMI CUT PCS"/>
    <n v="134.74"/>
    <n v="231"/>
    <s v="Kgs"/>
    <n v="31124.94"/>
    <n v="231"/>
    <n v="231"/>
    <n v="0"/>
    <s v="Others"/>
    <s v="Woven - Fabric"/>
    <m/>
    <m/>
    <s v="Rs"/>
    <n v="1"/>
    <m/>
    <n v="9"/>
    <n v="2801.24"/>
    <n v="9"/>
    <n v="2801.24"/>
    <n v="0"/>
    <n v="0"/>
    <n v="39269080"/>
    <s v="."/>
    <d v="2026-07-10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333"/>
    <d v="2026-07-10T00:00:00"/>
    <s v="Plastene India ltd - Unit 1-Sales"/>
    <s v="GJ12X1249"/>
    <s v="PP MULTIFILAMENT YARN"/>
    <s v="PP MF Yarn Twisted 3000 Denier UV Deep Blue"/>
    <n v="201.21"/>
    <n v="87.1"/>
    <s v="Kgs"/>
    <n v="17525.39"/>
    <n v="87.1"/>
    <n v="87.1"/>
    <n v="0"/>
    <s v="Others"/>
    <s v="Mfyarn"/>
    <m/>
    <m/>
    <s v="Rs"/>
    <n v="1"/>
    <m/>
    <n v="2.5"/>
    <n v="438.13"/>
    <n v="2.5"/>
    <n v="438.13"/>
    <n v="0"/>
    <n v="0"/>
    <n v="54026930"/>
    <s v="."/>
    <d v="2026-07-10T00:00:00"/>
    <n v="0"/>
    <n v="0"/>
    <m/>
    <n v="0"/>
    <m/>
    <m/>
    <m/>
    <n v="0"/>
    <n v="0"/>
    <n v="0"/>
    <n v="0"/>
    <n v="0"/>
    <n v="0"/>
    <n v="0"/>
    <n v="0"/>
    <m/>
    <s v="KUTCH"/>
    <s v="India"/>
    <s v="WIP00193"/>
    <s v="PP MF Yarn Twisted 3000 Denier UV Deep Blue"/>
    <s v="SF"/>
    <s v="Yarn All"/>
    <x v="1"/>
  </r>
  <r>
    <s v="Plastene Polyfilms Limited"/>
    <n v="333"/>
    <d v="2026-07-10T00:00:00"/>
    <s v="Plastene India ltd - Unit 1-Sales"/>
    <s v="GJ12X1249"/>
    <s v="PP Laminated Fabrics"/>
    <s v="- PP Lam Fabric With UV (Spout )"/>
    <n v="158.74"/>
    <n v="420"/>
    <s v="Kgs"/>
    <n v="66670.8"/>
    <n v="420"/>
    <n v="420"/>
    <n v="0"/>
    <s v="Others"/>
    <s v="Woven - Fabric"/>
    <m/>
    <m/>
    <s v="Rs"/>
    <n v="1"/>
    <m/>
    <n v="9"/>
    <n v="6000.37"/>
    <n v="9"/>
    <n v="6000.37"/>
    <n v="0"/>
    <n v="0"/>
    <n v="39269080"/>
    <s v="."/>
    <d v="2026-07-10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7"/>
  </r>
  <r>
    <s v="Plastene Polyfilms Limited"/>
    <n v="333"/>
    <d v="2026-07-10T00:00:00"/>
    <s v="Plastene India ltd - Unit 1-Sales"/>
    <s v="GJ12X1249"/>
    <s v="PP Woven Fabrics"/>
    <s v="PP UL Fabric With UV"/>
    <n v="154.74"/>
    <n v="806.5"/>
    <s v="Kgs"/>
    <n v="124797.81"/>
    <n v="806.5"/>
    <n v="806.5"/>
    <n v="0"/>
    <s v="Others"/>
    <s v="Woven - Fabric"/>
    <m/>
    <m/>
    <s v="Rs"/>
    <n v="1"/>
    <m/>
    <n v="9"/>
    <n v="11231.8"/>
    <n v="9"/>
    <n v="11231.8"/>
    <n v="0"/>
    <n v="0"/>
    <n v="39269080"/>
    <s v="."/>
    <d v="2026-07-10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337"/>
    <d v="2026-07-10T00:00:00"/>
    <s v="Plastene India ltd - Unit 2-Sales"/>
    <s v="GJ-02 AT 1733"/>
    <s v="PP Laminated Fabrics"/>
    <s v="PP Lam Fabric With UV"/>
    <n v="156.74"/>
    <n v="921"/>
    <s v="Kgs"/>
    <n v="144357.54"/>
    <n v="921"/>
    <n v="961"/>
    <n v="970623.91"/>
    <s v="Woven - Fabric"/>
    <s v="Woven - Fabric"/>
    <m/>
    <m/>
    <s v="Rs"/>
    <n v="1"/>
    <m/>
    <n v="9"/>
    <n v="12992.18"/>
    <n v="9"/>
    <n v="12992.18"/>
    <n v="0"/>
    <n v="0"/>
    <n v="39269080"/>
    <n v="3924"/>
    <d v="2026-07-10T00:00:00"/>
    <n v="0"/>
    <n v="0"/>
    <m/>
    <n v="0"/>
    <m/>
    <m/>
    <m/>
    <n v="0"/>
    <n v="0"/>
    <n v="0"/>
    <n v="0"/>
    <n v="0"/>
    <n v="0"/>
    <n v="0"/>
    <n v="0"/>
    <m/>
    <s v="MEHSANA"/>
    <s v="India"/>
    <s v="WIP00025"/>
    <s v="PP Lam Fabric With UV"/>
    <s v="SF"/>
    <s v="PP/PE Fabric"/>
    <x v="7"/>
  </r>
  <r>
    <s v="Plastene Polyfilms Limited"/>
    <n v="337"/>
    <d v="2026-07-10T00:00:00"/>
    <s v="Plastene India ltd - Unit 2-Sales"/>
    <s v="GJ-02 AT 1733"/>
    <s v="PP Laminated Fabrics"/>
    <s v="PP Lam Fabric With UV-SPOUT"/>
    <n v="158.74"/>
    <n v="477"/>
    <s v="Kgs"/>
    <n v="75718.98"/>
    <n v="477"/>
    <n v="501"/>
    <n v="0"/>
    <s v="Woven - Fabric"/>
    <s v="Woven - Fabric"/>
    <m/>
    <m/>
    <s v="Rs"/>
    <n v="1"/>
    <m/>
    <n v="9"/>
    <n v="6814.71"/>
    <n v="9"/>
    <n v="6814.71"/>
    <n v="0"/>
    <n v="0"/>
    <n v="39269080"/>
    <n v="3924"/>
    <d v="2026-07-10T00:00:00"/>
    <n v="0"/>
    <n v="0"/>
    <m/>
    <n v="0"/>
    <m/>
    <m/>
    <m/>
    <n v="0"/>
    <n v="0"/>
    <n v="0"/>
    <n v="0"/>
    <n v="0"/>
    <n v="0"/>
    <n v="0"/>
    <n v="0"/>
    <m/>
    <s v="MEHSANA"/>
    <s v="India"/>
    <s v="WIP00025"/>
    <s v="PP Lam Fabric With UV"/>
    <s v="SF"/>
    <s v="PP/PE Fabric"/>
    <x v="7"/>
  </r>
  <r>
    <s v="Plastene Polyfilms Limited"/>
    <n v="337"/>
    <d v="2026-07-10T00:00:00"/>
    <s v="Plastene India ltd - Unit 2-Sales"/>
    <s v="GJ-02 AT 1733"/>
    <s v="PP Woven Fabrics"/>
    <s v="PP UL Fabric With UV"/>
    <n v="154.74"/>
    <n v="1805.9"/>
    <s v="Kgs"/>
    <n v="279444.96999999997"/>
    <n v="1805.9"/>
    <n v="1863.9"/>
    <n v="0"/>
    <s v="Woven - Fabric"/>
    <s v="Woven - Fabric"/>
    <m/>
    <m/>
    <s v="Rs"/>
    <n v="1"/>
    <m/>
    <n v="9"/>
    <n v="25150.05"/>
    <n v="9"/>
    <n v="25150.05"/>
    <n v="0"/>
    <n v="0"/>
    <n v="39269080"/>
    <n v="3924"/>
    <d v="2026-07-10T00:00:00"/>
    <n v="0"/>
    <n v="0"/>
    <m/>
    <n v="0"/>
    <m/>
    <m/>
    <m/>
    <n v="0"/>
    <n v="0"/>
    <n v="0"/>
    <n v="0"/>
    <n v="0"/>
    <n v="0"/>
    <n v="0"/>
    <n v="0"/>
    <m/>
    <s v="MEHSANA"/>
    <s v="India"/>
    <s v="WIP00023"/>
    <s v="PP UL Fabric With UV"/>
    <s v="SF"/>
    <s v="PP/PE Fabric"/>
    <x v="10"/>
  </r>
  <r>
    <s v="Plastene Polyfilms Limited"/>
    <n v="337"/>
    <d v="2026-07-10T00:00:00"/>
    <s v="Plastene India ltd - Unit 2-Sales"/>
    <s v="GJ-02 AT 1733"/>
    <s v="PP Woven Fabrics"/>
    <s v="PP UL Fabric With UV-SPOUT"/>
    <n v="156.74"/>
    <n v="812"/>
    <s v="Kgs"/>
    <n v="127272.88"/>
    <n v="812"/>
    <n v="840"/>
    <n v="0"/>
    <s v="Woven - Fabric"/>
    <s v="Woven - Fabric"/>
    <m/>
    <m/>
    <s v="Rs"/>
    <n v="1"/>
    <m/>
    <n v="9"/>
    <n v="11454.56"/>
    <n v="9"/>
    <n v="11454.56"/>
    <n v="0"/>
    <n v="0"/>
    <n v="39269080"/>
    <n v="3924"/>
    <d v="2026-07-10T00:00:00"/>
    <n v="0"/>
    <n v="0"/>
    <m/>
    <n v="0"/>
    <m/>
    <m/>
    <m/>
    <n v="0"/>
    <n v="0"/>
    <n v="0"/>
    <n v="0"/>
    <n v="0"/>
    <n v="0"/>
    <n v="0"/>
    <n v="0"/>
    <m/>
    <s v="MEHSANA"/>
    <s v="India"/>
    <s v="WIP00023"/>
    <s v="PP UL Fabric With UV"/>
    <s v="SF"/>
    <s v="PP/PE Fabric"/>
    <x v="10"/>
  </r>
  <r>
    <s v="Plastene Polyfilms Limited"/>
    <n v="337"/>
    <d v="2026-07-10T00:00:00"/>
    <s v="Plastene India ltd - Unit 2-Sales"/>
    <s v="GJ-02 AT 1733"/>
    <s v="PP WEBBING"/>
    <s v="Webbing-MW"/>
    <n v="156.74"/>
    <n v="726"/>
    <s v="Kgs"/>
    <n v="113793.24"/>
    <n v="726"/>
    <n v="726"/>
    <n v="0"/>
    <s v="Woven - Fabric"/>
    <s v="Webbing"/>
    <m/>
    <m/>
    <s v="Rs"/>
    <n v="1"/>
    <m/>
    <n v="9"/>
    <n v="10241.39"/>
    <n v="9"/>
    <n v="10241.39"/>
    <n v="0"/>
    <n v="0"/>
    <n v="39269080"/>
    <n v="3924"/>
    <d v="2026-07-10T00:00:00"/>
    <n v="0"/>
    <n v="0"/>
    <m/>
    <n v="0"/>
    <m/>
    <m/>
    <m/>
    <n v="0"/>
    <n v="0"/>
    <n v="0"/>
    <n v="0"/>
    <n v="0"/>
    <n v="0"/>
    <n v="0"/>
    <n v="0"/>
    <m/>
    <s v="MEHSANA"/>
    <s v="India"/>
    <s v="WIP00032"/>
    <s v="Webbing"/>
    <s v="SF"/>
    <s v="Webbing"/>
    <x v="8"/>
  </r>
  <r>
    <s v="Plastene Polyfilms Limited"/>
    <n v="337"/>
    <d v="2026-07-10T00:00:00"/>
    <s v="Plastene India ltd - Unit 2-Sales"/>
    <s v="GJ-02 AT 1733"/>
    <s v="PP Laminated Fabrics"/>
    <s v="LAM CUTPCS"/>
    <n v="156.74"/>
    <n v="523"/>
    <s v="Kgs"/>
    <n v="81975.02"/>
    <n v="523"/>
    <n v="523"/>
    <n v="0"/>
    <s v="Woven - Fabric"/>
    <s v="Woven - Fabric"/>
    <m/>
    <m/>
    <s v="Rs"/>
    <n v="1"/>
    <m/>
    <n v="9"/>
    <n v="7377.75"/>
    <n v="9"/>
    <n v="7377.75"/>
    <n v="0"/>
    <n v="0"/>
    <n v="39269080"/>
    <n v="3924"/>
    <d v="2026-07-10T00:00:00"/>
    <n v="0"/>
    <n v="0"/>
    <m/>
    <n v="0"/>
    <m/>
    <m/>
    <m/>
    <n v="0"/>
    <n v="0"/>
    <n v="0"/>
    <n v="0"/>
    <n v="0"/>
    <n v="0"/>
    <n v="0"/>
    <n v="0"/>
    <m/>
    <s v="MEHSANA"/>
    <s v="India"/>
    <s v="FIG00001"/>
    <s v="FIBC WIP"/>
    <s v="FG"/>
    <s v="FIBC WIP"/>
    <x v="6"/>
  </r>
  <r>
    <s v="Plastene Polyfilms Limited"/>
    <n v="338"/>
    <d v="2026-07-11T00:00:00"/>
    <s v="Plastene India ltd - Unit 1-Sales"/>
    <s v="GJ12BX8562"/>
    <s v="Flexible Intermediate Bulk Containers (Attachement Bag)"/>
    <s v="PST-26004/SN21U40P-01"/>
    <n v="188.92"/>
    <n v="8405"/>
    <s v="Kgs"/>
    <n v="1587872.6"/>
    <n v="8405"/>
    <n v="8405"/>
    <n v="4715388.3"/>
    <s v="FIBC"/>
    <s v="FIBC"/>
    <m/>
    <m/>
    <s v="Rs"/>
    <n v="1"/>
    <m/>
    <n v="9"/>
    <n v="142908.53"/>
    <n v="9"/>
    <n v="142908.53"/>
    <n v="0"/>
    <n v="0"/>
    <n v="39232999"/>
    <s v="."/>
    <d v="2026-07-1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38"/>
    <d v="2026-07-11T00:00:00"/>
    <s v="Plastene India ltd - Unit 1-Sales"/>
    <s v="GJ12BX8562"/>
    <s v="Flexible Intermediate Bulk Containers (Attachement Bag)"/>
    <s v="PST-26004/SN24U40P-02"/>
    <n v="192.71"/>
    <n v="4138"/>
    <s v="Kgs"/>
    <n v="797433.98"/>
    <n v="4138"/>
    <n v="4138"/>
    <n v="0"/>
    <s v="FIBC"/>
    <s v="FIBC"/>
    <m/>
    <m/>
    <s v="Rs"/>
    <n v="1"/>
    <m/>
    <n v="9"/>
    <n v="71769.06"/>
    <n v="9"/>
    <n v="71769.06"/>
    <n v="0"/>
    <n v="0"/>
    <n v="39232999"/>
    <s v="."/>
    <d v="2026-07-1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38"/>
    <d v="2026-07-11T00:00:00"/>
    <s v="Plastene India ltd - Unit 1-Sales"/>
    <s v="GJ12BX8562"/>
    <s v="Flexible Intermediate Bulk Containers (Attachement Bag)"/>
    <s v="PST-26004/SN24U40P-03"/>
    <n v="193.56"/>
    <n v="5194"/>
    <s v="Kgs"/>
    <n v="1005350.64"/>
    <n v="5194"/>
    <n v="5194"/>
    <n v="0"/>
    <s v="FIBC"/>
    <s v="FIBC"/>
    <m/>
    <m/>
    <s v="Rs"/>
    <n v="1"/>
    <m/>
    <n v="9"/>
    <n v="90481.56"/>
    <n v="9"/>
    <n v="90481.56"/>
    <n v="0"/>
    <n v="0"/>
    <n v="39232999"/>
    <s v="."/>
    <d v="2026-07-1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38"/>
    <d v="2026-07-11T00:00:00"/>
    <s v="Plastene India ltd - Unit 1-Sales"/>
    <s v="GJ12BX8562"/>
    <s v="Flexible Intermediate Bulk Containers (Attachement Bag)"/>
    <s v="PST-26004/SN21U40P-04"/>
    <n v="184.64"/>
    <n v="3279"/>
    <s v="Kgs"/>
    <n v="605434.56000000006"/>
    <n v="3279"/>
    <n v="3279"/>
    <n v="0"/>
    <s v="FIBC"/>
    <s v="FIBC"/>
    <m/>
    <m/>
    <s v="Rs"/>
    <n v="1"/>
    <m/>
    <n v="9"/>
    <n v="54489.11"/>
    <n v="9"/>
    <n v="54489.11"/>
    <n v="0"/>
    <n v="0"/>
    <n v="39232999"/>
    <s v="."/>
    <d v="2026-07-1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39"/>
    <d v="2026-07-11T00:00:00"/>
    <s v="Hcp Plastene Bulkpack Ltd Vadodara-Sales"/>
    <s v="GJ 12BY 9286"/>
    <s v="PP Laminated Fabrics"/>
    <s v="PP Laminated Fabrics"/>
    <n v="206.49"/>
    <n v="813"/>
    <s v="Kgs"/>
    <n v="167876.37"/>
    <n v="813"/>
    <n v="831"/>
    <n v="198094.11"/>
    <s v="Woven - Fabric"/>
    <s v="Woven - Fabric"/>
    <m/>
    <m/>
    <s v="Rs"/>
    <n v="1"/>
    <m/>
    <n v="9"/>
    <n v="15108.87"/>
    <n v="9"/>
    <n v="15108.87"/>
    <n v="0"/>
    <n v="0"/>
    <n v="39269080"/>
    <s v="-"/>
    <d v="2026-07-11T00:00:00"/>
    <n v="0"/>
    <n v="0"/>
    <m/>
    <n v="0"/>
    <m/>
    <m/>
    <m/>
    <n v="0"/>
    <n v="0"/>
    <n v="0"/>
    <n v="0"/>
    <n v="0"/>
    <n v="0"/>
    <n v="0"/>
    <n v="0"/>
    <m/>
    <s v="VADODARA"/>
    <s v="India"/>
    <s v="WIP00025"/>
    <s v="PP Lam Fabric With UV"/>
    <s v="SF"/>
    <s v="PP/PE Fabric"/>
    <x v="7"/>
  </r>
  <r>
    <s v="Plastene Polyfilms Limited"/>
    <n v="340"/>
    <d v="2026-07-11T00:00:00"/>
    <s v="Hcp Plastene Bulkpack Ltd Vadodara-Sales"/>
    <s v="GJ-12 BY -9286"/>
    <s v="PP Laminated Fabrics"/>
    <s v="90 GSM"/>
    <n v="206.49"/>
    <n v="366"/>
    <s v="Kgs"/>
    <n v="75575.34"/>
    <n v="366"/>
    <n v="366"/>
    <n v="89178.9"/>
    <s v="Woven - Fabric"/>
    <s v="Woven - Fabric"/>
    <m/>
    <m/>
    <s v="Rs"/>
    <n v="1"/>
    <m/>
    <n v="9"/>
    <n v="6801.78"/>
    <n v="9"/>
    <n v="6801.78"/>
    <n v="0"/>
    <n v="0"/>
    <n v="39269080"/>
    <s v="-"/>
    <d v="2026-07-11T00:00:00"/>
    <n v="0"/>
    <n v="0"/>
    <m/>
    <n v="0"/>
    <m/>
    <m/>
    <m/>
    <n v="0"/>
    <n v="0"/>
    <n v="0"/>
    <n v="0"/>
    <n v="0"/>
    <n v="0"/>
    <n v="0"/>
    <n v="0"/>
    <m/>
    <s v="VADODARA"/>
    <s v="India"/>
    <s v="WIP00025"/>
    <s v="PP Lam Fabric With UV"/>
    <s v="SF"/>
    <s v="PP/PE Fabric"/>
    <x v="7"/>
  </r>
  <r>
    <s v="Plastene Polyfilms Limited"/>
    <s v="PPL/E/49/26-27"/>
    <d v="2026-07-11T00:00:00"/>
    <s v="K.P. Woven Pvt Ltd - Unit 3 -Sales"/>
    <s v="GJ09Z0572"/>
    <s v="Flexible Intermediate Bulk Containers (Attachement Bag)."/>
    <s v="PP WOVEN BIG BAGS"/>
    <n v="2"/>
    <n v="9140"/>
    <s v="Kgs"/>
    <n v="1711008"/>
    <n v="9140"/>
    <n v="9140"/>
    <n v="1711008"/>
    <s v="FIBC"/>
    <s v="FIBC"/>
    <m/>
    <m/>
    <s v="USD"/>
    <n v="93.6"/>
    <s v="LUT Bond No"/>
    <m/>
    <m/>
    <m/>
    <m/>
    <n v="18"/>
    <n v="3290.4"/>
    <n v="63053200"/>
    <n v="21"/>
    <d v="2026-07-11T00:00:00"/>
    <n v="18280"/>
    <n v="1711008"/>
    <s v="FOB"/>
    <n v="18280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4"/>
  </r>
  <r>
    <s v="Plastene Polyfilms Limited"/>
    <s v="PPL/E/50/26-27"/>
    <d v="2026-07-11T00:00:00"/>
    <s v="K.P. Woven Pvt Ltd - Unit 3 -Sales"/>
    <s v="GJ12BY1595"/>
    <s v="Flexible Intermediate Bulk Containers (Attachement Bag)."/>
    <s v="PP WOVEN BIG BAGS"/>
    <n v="2"/>
    <n v="5925"/>
    <s v="Kgs"/>
    <n v="1109160"/>
    <n v="5925"/>
    <n v="9525"/>
    <n v="1109160"/>
    <s v="FIBC"/>
    <s v="FIBC"/>
    <m/>
    <m/>
    <s v="USD"/>
    <n v="93.6"/>
    <s v="LUT Bond No"/>
    <m/>
    <m/>
    <m/>
    <m/>
    <n v="18"/>
    <n v="2133"/>
    <n v="63053200"/>
    <n v="22"/>
    <d v="2026-07-11T00:00:00"/>
    <n v="11850"/>
    <n v="1109160"/>
    <s v="FOB"/>
    <n v="11850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4"/>
  </r>
  <r>
    <s v="Plastene Polyfilms Limited"/>
    <s v="PPL/E/51/26-27"/>
    <d v="2026-07-11T00:00:00"/>
    <s v="K.P. Woven Pvt Ltd - Unit 3 -Sales"/>
    <s v="GJ12BY1595"/>
    <s v="Polypropylene Woven Fabrics"/>
    <s v="PP UL Fabric With UV"/>
    <n v="1.1499999999999999"/>
    <n v="178"/>
    <s v="Kgs"/>
    <n v="18351.355"/>
    <n v="178"/>
    <n v="204"/>
    <n v="18351.355"/>
    <s v="Woven - Fabric"/>
    <s v="Woven - Fabric"/>
    <m/>
    <m/>
    <s v="USD"/>
    <n v="89.65"/>
    <s v="LUT Bond No"/>
    <m/>
    <m/>
    <m/>
    <m/>
    <n v="18"/>
    <n v="36.85"/>
    <n v="39269080"/>
    <m/>
    <d v="2026-07-11T00:00:00"/>
    <n v="204.7"/>
    <n v="18351.355"/>
    <s v="FOB"/>
    <n v="204.7"/>
    <m/>
    <m/>
    <n v="6220250"/>
    <n v="0"/>
    <n v="0"/>
    <n v="0"/>
    <n v="0"/>
    <n v="0"/>
    <n v="0"/>
    <n v="0"/>
    <n v="0"/>
    <m/>
    <s v="KASEZ"/>
    <s v="India"/>
    <s v="WIP00023"/>
    <s v="PP UL Fabric With UV"/>
    <s v="SF"/>
    <s v="PP/PE Fabric"/>
    <x v="13"/>
  </r>
  <r>
    <s v="Plastene Polyfilms Limited"/>
    <s v="PPL/E/52/26-27"/>
    <d v="2026-07-11T00:00:00"/>
    <s v="K.P. Woven Pvt Ltd - Unit 3 -Sales"/>
    <s v="GJ12BY1595"/>
    <s v="PP Woven Fabrics Laminated/ Coated"/>
    <s v="PP Lam Fabric With UV"/>
    <n v="148.47"/>
    <n v="285"/>
    <s v="Kgs"/>
    <n v="42313.95"/>
    <n v="285"/>
    <n v="295"/>
    <n v="61242"/>
    <s v="Woven - Fabric"/>
    <s v="Woven - Fabric"/>
    <m/>
    <m/>
    <s v="Rs"/>
    <n v="1"/>
    <s v="LUT Bond No"/>
    <n v="0"/>
    <n v="0"/>
    <n v="0"/>
    <n v="0"/>
    <n v="18"/>
    <n v="7616.51"/>
    <n v="39269080"/>
    <s v="."/>
    <d v="2026-07-11T00:00:00"/>
    <n v="0"/>
    <n v="0"/>
    <m/>
    <n v="0"/>
    <m/>
    <m/>
    <m/>
    <n v="0"/>
    <n v="0"/>
    <n v="0"/>
    <n v="0"/>
    <n v="0"/>
    <n v="0"/>
    <n v="0"/>
    <n v="0"/>
    <m/>
    <s v="KASEZ"/>
    <s v="India"/>
    <s v="WIP00025"/>
    <s v="PP Lam Fabric With UV"/>
    <s v="SF"/>
    <s v="PP/PE Fabric"/>
    <x v="14"/>
  </r>
  <r>
    <s v="Plastene Polyfilms Limited"/>
    <s v="PPL/E/52/26-27"/>
    <d v="2026-07-11T00:00:00"/>
    <s v="K.P. Woven Pvt Ltd - Unit 3 -Sales"/>
    <s v="GJ12BY1595"/>
    <s v="PP Yarn"/>
    <s v="PP Braided Rope"/>
    <n v="160"/>
    <n v="118.3"/>
    <s v="Kgs"/>
    <n v="18928"/>
    <n v="118.3"/>
    <n v="118.3"/>
    <n v="0"/>
    <s v="Woven - Fabric"/>
    <s v="Others"/>
    <m/>
    <m/>
    <s v="Rs"/>
    <n v="1"/>
    <s v="LUT Bond No"/>
    <n v="0"/>
    <n v="0"/>
    <n v="0"/>
    <n v="0"/>
    <n v="5"/>
    <n v="946.4"/>
    <n v="54026300"/>
    <s v="."/>
    <d v="2026-07-11T00:00:00"/>
    <n v="0"/>
    <n v="0"/>
    <m/>
    <n v="0"/>
    <m/>
    <m/>
    <m/>
    <n v="0"/>
    <n v="0"/>
    <n v="0"/>
    <n v="0"/>
    <n v="0"/>
    <n v="0"/>
    <n v="0"/>
    <n v="0"/>
    <m/>
    <s v="KASEZ"/>
    <s v="India"/>
    <s v="FIG00001"/>
    <s v="FIBC WIP"/>
    <s v="FG"/>
    <s v="FIBC WIP"/>
    <x v="5"/>
  </r>
  <r>
    <s v="Plastene Polyfilms Limited"/>
    <s v="PPL/E/53/26-27"/>
    <d v="2026-07-11T00:00:00"/>
    <s v="Commercial Bag Company"/>
    <s v="GJ12AU8624"/>
    <s v="Flexible Intermediate Bulk Containers (Attachement Bag)."/>
    <s v="PP WOVEN BIG BAGS"/>
    <n v="6.92"/>
    <n v="2600"/>
    <s v="Pcs"/>
    <n v="1682252"/>
    <n v="7549"/>
    <n v="7829"/>
    <n v="1682252"/>
    <s v="FIBC"/>
    <s v="FIBC"/>
    <m/>
    <m/>
    <s v="USD"/>
    <n v="93.5"/>
    <s v="Claim for Rebate"/>
    <m/>
    <m/>
    <m/>
    <m/>
    <n v="18"/>
    <n v="3238.56"/>
    <n v="63053200"/>
    <m/>
    <d v="2026-07-11T00:00:00"/>
    <n v="17992"/>
    <n v="1682252"/>
    <s v="FOB"/>
    <n v="17992"/>
    <m/>
    <m/>
    <n v="6220250"/>
    <n v="0"/>
    <n v="0"/>
    <n v="0"/>
    <n v="0"/>
    <n v="0"/>
    <n v="0"/>
    <n v="0"/>
    <n v="0"/>
    <s v="TRHU1104380"/>
    <s v="U S A"/>
    <s v="USA"/>
    <s v="WIP00004"/>
    <s v="FIBC Bags With UV Without Liner"/>
    <s v="FG"/>
    <s v="FIBC Bags"/>
    <x v="4"/>
  </r>
  <r>
    <s v="Plastene Polyfilms Limited"/>
    <n v="342"/>
    <d v="2026-07-12T00:00:00"/>
    <s v="Hcp Plastene Bulkpack Ltd (Unit Iv) - Sales"/>
    <s v="GJ39TB3534"/>
    <s v="PP Woven Fabrics"/>
    <s v="PP UL Fabric With UV"/>
    <n v="154.74"/>
    <n v="556"/>
    <s v="Kgs"/>
    <n v="86035.44"/>
    <n v="556"/>
    <n v="580"/>
    <n v="193826.93"/>
    <s v="Woven - Fabric"/>
    <s v="Woven - Fabric"/>
    <m/>
    <m/>
    <s v="Rs"/>
    <n v="1"/>
    <m/>
    <n v="9"/>
    <n v="7743.19"/>
    <n v="9"/>
    <n v="7743.19"/>
    <n v="0"/>
    <n v="0"/>
    <n v="39269080"/>
    <s v="."/>
    <d v="2026-07-12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0"/>
  </r>
  <r>
    <s v="Plastene Polyfilms Limited"/>
    <n v="342"/>
    <d v="2026-07-12T00:00:00"/>
    <s v="Hcp Plastene Bulkpack Ltd (Unit Iv) - Sales"/>
    <s v="GJ39TB3534"/>
    <s v="PP WEBBING"/>
    <s v="COLOUR WEBBING"/>
    <n v="149.49"/>
    <n v="73"/>
    <s v="Kgs"/>
    <n v="10912.77"/>
    <n v="73"/>
    <n v="73"/>
    <n v="0"/>
    <s v="Woven - Fabric"/>
    <s v="Webbing"/>
    <m/>
    <m/>
    <s v="Rs"/>
    <n v="1"/>
    <m/>
    <n v="9"/>
    <n v="982.15"/>
    <n v="9"/>
    <n v="982.15"/>
    <n v="0"/>
    <n v="0"/>
    <n v="39269080"/>
    <s v="."/>
    <d v="2026-07-12T00:00:00"/>
    <n v="0"/>
    <n v="0"/>
    <m/>
    <n v="0"/>
    <m/>
    <m/>
    <m/>
    <n v="0"/>
    <n v="0"/>
    <n v="0"/>
    <n v="0"/>
    <n v="0"/>
    <n v="0"/>
    <n v="0"/>
    <n v="0"/>
    <m/>
    <s v="KACHCHH"/>
    <s v="India"/>
    <s v="WIP00032"/>
    <s v="Webbing"/>
    <s v="SF"/>
    <s v="Webbing"/>
    <x v="8"/>
  </r>
  <r>
    <s v="Plastene Polyfilms Limited"/>
    <n v="342"/>
    <d v="2026-07-12T00:00:00"/>
    <s v="Hcp Plastene Bulkpack Ltd (Unit Iv) - Sales"/>
    <s v="GJ39TB3534"/>
    <s v="PP Woven Fabrics"/>
    <s v="CUT PCS 77X77 CM"/>
    <n v="154.74"/>
    <n v="435"/>
    <s v="Kgs"/>
    <n v="67311.899999999994"/>
    <n v="435"/>
    <n v="435"/>
    <n v="0"/>
    <s v="Woven - Fabric"/>
    <s v="Woven - Fabric"/>
    <m/>
    <m/>
    <s v="Rs"/>
    <n v="1"/>
    <m/>
    <n v="9"/>
    <n v="6058.07"/>
    <n v="9"/>
    <n v="6058.07"/>
    <n v="0"/>
    <n v="0"/>
    <n v="39269080"/>
    <s v="."/>
    <d v="2026-07-12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344"/>
    <d v="2026-07-12T00:00:00"/>
    <s v="Plastene India ltd - Unit 1-Sales"/>
    <s v="GJ12X-1249"/>
    <s v="PP Woven Fabrics"/>
    <s v="100 GSM"/>
    <n v="154.74"/>
    <n v="66.400000000000006"/>
    <s v="Kgs"/>
    <n v="10274.74"/>
    <n v="66.400000000000006"/>
    <n v="66.400000000000006"/>
    <n v="12124.2"/>
    <s v="Woven - Fabric"/>
    <s v="Woven - Fabric"/>
    <m/>
    <m/>
    <s v="Rs"/>
    <n v="1"/>
    <m/>
    <n v="9"/>
    <n v="924.73"/>
    <n v="9"/>
    <n v="924.73"/>
    <n v="0"/>
    <n v="0"/>
    <n v="39269080"/>
    <s v="-"/>
    <d v="2026-07-12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346"/>
    <d v="2026-07-13T00:00:00"/>
    <s v="Plastene India ltd - Unit 1-Sales"/>
    <s v="GJ12X1249"/>
    <s v="PP Woven Big Bags"/>
    <s v="FIBC BAGS"/>
    <n v="150"/>
    <n v="79"/>
    <s v="Kgs"/>
    <n v="11850"/>
    <n v="79"/>
    <n v="79"/>
    <n v="27258"/>
    <s v="FIBC"/>
    <s v="FIBC"/>
    <m/>
    <m/>
    <s v="Rs"/>
    <n v="1"/>
    <m/>
    <n v="9"/>
    <n v="1066.5"/>
    <n v="9"/>
    <n v="1066.5"/>
    <n v="0"/>
    <n v="0"/>
    <n v="39232999"/>
    <s v="."/>
    <d v="2026-07-13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346"/>
    <d v="2026-07-13T00:00:00"/>
    <s v="Plastene India ltd - Unit 1-Sales"/>
    <s v="GJ12X1249"/>
    <s v="PP Woven Big Bags"/>
    <s v="FIBC BAGS"/>
    <n v="150"/>
    <n v="75"/>
    <s v="Kgs"/>
    <n v="11250"/>
    <n v="75"/>
    <n v="75"/>
    <n v="0"/>
    <s v="FIBC"/>
    <s v="FIBC"/>
    <m/>
    <m/>
    <s v="Rs"/>
    <n v="1"/>
    <m/>
    <n v="9"/>
    <n v="1012.5"/>
    <n v="9"/>
    <n v="1012.5"/>
    <n v="0"/>
    <n v="0"/>
    <n v="39232999"/>
    <s v="."/>
    <d v="2026-07-13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347"/>
    <d v="2026-07-13T00:00:00"/>
    <s v="Hcp Plastene Bulkpack Ltd (Unit Iv) - Sales"/>
    <s v="GJ12BU0544"/>
    <s v="Thinner"/>
    <s v="Thinner Vyankatesh Thinner"/>
    <n v="282"/>
    <n v="170"/>
    <s v="Kgs"/>
    <n v="47940"/>
    <n v="170"/>
    <n v="170"/>
    <n v="56569.2"/>
    <s v="Others"/>
    <s v="Thinner"/>
    <m/>
    <m/>
    <s v="Rs"/>
    <n v="1"/>
    <m/>
    <n v="9"/>
    <n v="4314.6000000000004"/>
    <n v="9"/>
    <n v="4314.6000000000004"/>
    <n v="0"/>
    <n v="0"/>
    <n v="38140011"/>
    <s v="."/>
    <d v="2026-07-13T00:00:00"/>
    <n v="0"/>
    <n v="0"/>
    <m/>
    <n v="0"/>
    <m/>
    <m/>
    <m/>
    <n v="0"/>
    <n v="0"/>
    <n v="0"/>
    <n v="0"/>
    <n v="0"/>
    <n v="0"/>
    <n v="0"/>
    <n v="0"/>
    <m/>
    <s v="KACHCHH"/>
    <s v="India"/>
    <s v="RAW05764"/>
    <s v="Thinner Vyankatesh Thinner"/>
    <s v="RM Consumables"/>
    <s v="Ink"/>
    <x v="15"/>
  </r>
  <r>
    <s v="Plastene Polyfilms Limited"/>
    <n v="348"/>
    <d v="2026-07-13T00:00:00"/>
    <s v="Plastene India ltd - Unit 1-Sales"/>
    <s v="GJ12X1249"/>
    <s v="PP Woven Big Bags"/>
    <s v="REJECTED BAGS"/>
    <n v="134.74"/>
    <n v="193"/>
    <s v="Kgs"/>
    <n v="26004.82"/>
    <n v="193"/>
    <n v="193"/>
    <n v="30685.68"/>
    <s v="FIBC"/>
    <s v="FIBC"/>
    <m/>
    <m/>
    <s v="Rs"/>
    <n v="1"/>
    <m/>
    <n v="9"/>
    <n v="2340.4299999999998"/>
    <n v="9"/>
    <n v="2340.4299999999998"/>
    <n v="0"/>
    <n v="0"/>
    <n v="39232999"/>
    <s v="."/>
    <d v="2026-07-13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349"/>
    <d v="2026-07-13T00:00:00"/>
    <s v="Plastene India ltd - Unit 1-Sales"/>
    <s v="GJ12X1249"/>
    <s v="INK"/>
    <s v="Ink Vyankatesh Poly Process Yellow VLX 671"/>
    <n v="285"/>
    <n v="25"/>
    <s v="Kgs"/>
    <n v="7125"/>
    <n v="25"/>
    <n v="25"/>
    <n v="16667.5"/>
    <s v="Ink / Pigment"/>
    <s v="Ink / Pigment"/>
    <m/>
    <m/>
    <s v="Rs"/>
    <n v="1"/>
    <m/>
    <n v="9"/>
    <n v="641.25"/>
    <n v="9"/>
    <n v="641.25"/>
    <n v="0"/>
    <n v="0"/>
    <n v="32151990"/>
    <s v="."/>
    <d v="2026-07-13T00:00:00"/>
    <n v="0"/>
    <n v="0"/>
    <m/>
    <n v="0"/>
    <m/>
    <m/>
    <m/>
    <n v="0"/>
    <n v="0"/>
    <n v="0"/>
    <n v="0"/>
    <n v="0"/>
    <n v="0"/>
    <n v="0"/>
    <n v="0"/>
    <m/>
    <s v="KUTCH"/>
    <s v="India"/>
    <s v="RAW05728"/>
    <s v="Ink Vyankatesh Poly Process Yellow VLX 671"/>
    <s v="RM Consumables"/>
    <s v="Ink"/>
    <x v="9"/>
  </r>
  <r>
    <s v="Plastene Polyfilms Limited"/>
    <n v="349"/>
    <d v="2026-07-13T00:00:00"/>
    <s v="Plastene India ltd - Unit 1-Sales"/>
    <s v="GJ12X1249"/>
    <s v="INK"/>
    <s v="Ink Vyankatesh White VLX 624 Tape Tested"/>
    <n v="280"/>
    <n v="25"/>
    <s v="Kgs"/>
    <n v="7000"/>
    <n v="25"/>
    <n v="25"/>
    <n v="0"/>
    <s v="Ink / Pigment"/>
    <s v="Ink / Pigment"/>
    <m/>
    <m/>
    <s v="Rs"/>
    <n v="1"/>
    <m/>
    <n v="9"/>
    <n v="630"/>
    <n v="9"/>
    <n v="630"/>
    <n v="0"/>
    <n v="0"/>
    <n v="32151990"/>
    <s v="."/>
    <d v="2026-07-13T00:00:00"/>
    <n v="0"/>
    <n v="0"/>
    <m/>
    <n v="0"/>
    <m/>
    <m/>
    <m/>
    <n v="0"/>
    <n v="0"/>
    <n v="0"/>
    <n v="0"/>
    <n v="0"/>
    <n v="0"/>
    <n v="0"/>
    <n v="0"/>
    <m/>
    <s v="KUTCH"/>
    <s v="India"/>
    <s v="RMC00124"/>
    <s v="Ink Vyankatesh White VLX 624 Tape Tested"/>
    <s v="RM Consumables"/>
    <s v="Ink"/>
    <x v="9"/>
  </r>
  <r>
    <s v="Plastene Polyfilms Limited"/>
    <n v="351"/>
    <d v="2026-07-13T00:00:00"/>
    <s v="HCP Plastene Bulkpack Limited - Sales"/>
    <s v="GJ39T7823"/>
    <s v="Flexible Intermediate Bulk Containers (Attachement Bag)"/>
    <s v="23112/CMC 3-RC"/>
    <n v="212.73"/>
    <n v="1946"/>
    <s v="Kgs"/>
    <n v="413972.58"/>
    <n v="1946"/>
    <n v="1946"/>
    <n v="488487.64"/>
    <s v="FIBC"/>
    <s v="FIBC"/>
    <m/>
    <m/>
    <s v="Rs"/>
    <n v="1"/>
    <m/>
    <n v="9"/>
    <n v="37257.53"/>
    <n v="9"/>
    <n v="37257.53"/>
    <n v="0"/>
    <n v="0"/>
    <n v="39232999"/>
    <s v="."/>
    <d v="2026-07-13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52"/>
    <d v="2026-07-13T00:00:00"/>
    <s v="Plastene India ltd - Unit 1-Sales"/>
    <s v="GJ12FB2542"/>
    <s v="LD/LLDPE  FILM"/>
    <s v="LD/LLDPE  FILM"/>
    <n v="282"/>
    <n v="3.8"/>
    <s v="Kgs"/>
    <n v="1071.5999999999999"/>
    <n v="3.8"/>
    <n v="3.8"/>
    <n v="1264.48"/>
    <s v="Others"/>
    <s v="Others"/>
    <m/>
    <m/>
    <s v="Rs"/>
    <n v="1"/>
    <m/>
    <n v="9"/>
    <n v="96.44"/>
    <n v="9"/>
    <n v="96.44"/>
    <n v="0"/>
    <n v="0"/>
    <n v="39201019"/>
    <s v="."/>
    <d v="2026-07-13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53"/>
    <d v="2026-07-14T00:00:00"/>
    <s v="Hcp Plastene Bulkpack Ltd (Unit Iv) - Sales"/>
    <s v="GJ-39 TB -3534"/>
    <s v="PP Woven Fabrics"/>
    <s v="PP UL Fabric With UV"/>
    <n v="154.74"/>
    <n v="1071.5"/>
    <s v="Kgs"/>
    <n v="165803.91"/>
    <n v="1071.5"/>
    <n v="1145.5"/>
    <n v="207082.81"/>
    <s v="Woven - Fabric"/>
    <s v="Woven - Fabric"/>
    <m/>
    <m/>
    <s v="Rs"/>
    <n v="1"/>
    <m/>
    <n v="9"/>
    <n v="14922.35"/>
    <n v="9"/>
    <n v="14922.35"/>
    <n v="0"/>
    <n v="0"/>
    <n v="39269080"/>
    <s v="."/>
    <d v="2026-07-14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0"/>
  </r>
  <r>
    <s v="Plastene Polyfilms Limited"/>
    <n v="353"/>
    <d v="2026-07-14T00:00:00"/>
    <s v="Hcp Plastene Bulkpack Ltd (Unit Iv) - Sales"/>
    <s v="GJ-39 TB -3534"/>
    <s v="LD/LLDPE  FILM"/>
    <s v="LDPE/LLDPE Film"/>
    <n v="255"/>
    <n v="38"/>
    <s v="Kgs"/>
    <n v="9690"/>
    <n v="38"/>
    <n v="38"/>
    <n v="0"/>
    <s v="Woven - Fabric"/>
    <s v="Others"/>
    <m/>
    <m/>
    <s v="Rs"/>
    <n v="1"/>
    <m/>
    <n v="9"/>
    <n v="872.1"/>
    <n v="9"/>
    <n v="872.1"/>
    <n v="0"/>
    <n v="0"/>
    <n v="39201019"/>
    <s v="."/>
    <d v="2026-07-14T00:00:00"/>
    <n v="0"/>
    <n v="0"/>
    <m/>
    <n v="0"/>
    <m/>
    <m/>
    <m/>
    <n v="0"/>
    <n v="0"/>
    <n v="0"/>
    <n v="0"/>
    <n v="0"/>
    <n v="0"/>
    <n v="0"/>
    <n v="0"/>
    <m/>
    <s v="KACHCHH"/>
    <s v="India"/>
    <s v="RAW05124"/>
    <s v="LDPE/LLDPE Film"/>
    <s v="SF"/>
    <s v="Films All (SF)"/>
    <x v="2"/>
  </r>
  <r>
    <s v="Plastene Polyfilms Limited"/>
    <n v="355"/>
    <d v="2026-07-14T00:00:00"/>
    <s v="HCP Plastene Bulkpack Limited - Sales"/>
    <s v="GJ39TA5218"/>
    <s v="Flexible Intermediate Bulk Containers (Attachement Bag)"/>
    <s v="22752/JEWSON TERRALIS FIBC-RC"/>
    <n v="158.55000000000001"/>
    <n v="9143.9"/>
    <s v="Kgs"/>
    <n v="1449765.34"/>
    <n v="9143.9"/>
    <n v="9143.9"/>
    <n v="3336918.06"/>
    <s v="FIBC"/>
    <s v="FIBC"/>
    <m/>
    <m/>
    <s v="Rs"/>
    <n v="1"/>
    <m/>
    <n v="9"/>
    <n v="130478.88"/>
    <n v="9"/>
    <n v="130478.88"/>
    <n v="0"/>
    <n v="0"/>
    <n v="39232999"/>
    <s v="."/>
    <d v="2026-07-1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55"/>
    <d v="2026-07-14T00:00:00"/>
    <s v="HCP Plastene Bulkpack Limited - Sales"/>
    <s v="GJ39TA5218"/>
    <s v="Flexible Intermediate Bulk Containers (Attachement Bag)"/>
    <s v="22752/RO-BEDS &amp; BORDERS"/>
    <n v="155.31"/>
    <n v="845.2"/>
    <s v="Kgs"/>
    <n v="131268.01"/>
    <n v="845.2"/>
    <n v="845.2"/>
    <n v="0"/>
    <s v="FIBC"/>
    <s v="FIBC"/>
    <m/>
    <m/>
    <s v="Rs"/>
    <n v="1"/>
    <m/>
    <n v="9"/>
    <n v="11814.12"/>
    <n v="9"/>
    <n v="11814.12"/>
    <n v="0"/>
    <n v="0"/>
    <n v="39232999"/>
    <s v="."/>
    <d v="2026-07-1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55"/>
    <d v="2026-07-14T00:00:00"/>
    <s v="HCP Plastene Bulkpack Limited - Sales"/>
    <s v="GJ39TA5218"/>
    <s v="Flexible Intermediate Bulk Containers (Attachement Bag)"/>
    <s v="22752/RO-HALLSTONE-RC"/>
    <n v="154.66"/>
    <n v="5936.6"/>
    <s v="Kgs"/>
    <n v="918154.56"/>
    <n v="5936.6"/>
    <n v="5936.6"/>
    <n v="0"/>
    <s v="FIBC"/>
    <s v="FIBC"/>
    <m/>
    <m/>
    <s v="Rs"/>
    <n v="1"/>
    <m/>
    <n v="9"/>
    <n v="82633.91"/>
    <n v="9"/>
    <n v="82633.91"/>
    <n v="0"/>
    <n v="0"/>
    <n v="39232999"/>
    <s v="."/>
    <d v="2026-07-1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55"/>
    <d v="2026-07-14T00:00:00"/>
    <s v="HCP Plastene Bulkpack Limited - Sales"/>
    <s v="GJ39TA5218"/>
    <s v="Flexible Intermediate Bulk Containers (Attachement Bag)"/>
    <s v="22752/RO-LANDSCAPE BARK-RC"/>
    <n v="158.33000000000001"/>
    <n v="832.2"/>
    <s v="Kgs"/>
    <n v="131762.23000000001"/>
    <n v="832.2"/>
    <n v="832.2"/>
    <n v="0"/>
    <s v="FIBC"/>
    <s v="FIBC"/>
    <m/>
    <m/>
    <s v="Rs"/>
    <n v="1"/>
    <m/>
    <n v="9"/>
    <n v="11858.6"/>
    <n v="9"/>
    <n v="11858.6"/>
    <n v="0"/>
    <n v="0"/>
    <n v="39232999"/>
    <s v="."/>
    <d v="2026-07-1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55"/>
    <d v="2026-07-14T00:00:00"/>
    <s v="HCP Plastene Bulkpack Limited - Sales"/>
    <s v="GJ39TA5218"/>
    <s v="Flexible Intermediate Bulk Containers (Attachement Bag)"/>
    <s v="22752/TOPSOIL.CO.UK-RC"/>
    <n v="155.47999999999999"/>
    <n v="1266.7"/>
    <s v="Kgs"/>
    <n v="196946.52"/>
    <n v="1266.7"/>
    <n v="1266.7"/>
    <n v="0"/>
    <s v="FIBC"/>
    <s v="FIBC"/>
    <m/>
    <m/>
    <s v="Rs"/>
    <n v="1"/>
    <m/>
    <n v="9"/>
    <n v="17725.189999999999"/>
    <n v="9"/>
    <n v="17725.189999999999"/>
    <n v="0"/>
    <n v="0"/>
    <n v="39232999"/>
    <s v="."/>
    <d v="2026-07-1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56"/>
    <d v="2026-07-14T00:00:00"/>
    <s v="HCP Plastene Bulkpack Limited - Sales"/>
    <s v="GJ12BX8562"/>
    <s v="Flexible Intermediate Bulk Containers (Attachement Bag)"/>
    <s v="2026001243/2026001529"/>
    <n v="200.67"/>
    <n v="19349"/>
    <s v="Kgs"/>
    <n v="3882763.83"/>
    <n v="19349"/>
    <n v="19973"/>
    <n v="4581661.3099999996"/>
    <s v="FIBC"/>
    <s v="FIBC"/>
    <m/>
    <m/>
    <s v="Rs"/>
    <n v="1"/>
    <m/>
    <n v="9"/>
    <n v="349448.74"/>
    <n v="9"/>
    <n v="349448.74"/>
    <n v="0"/>
    <n v="0"/>
    <n v="39232999"/>
    <s v="."/>
    <d v="2026-07-1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3"/>
    <s v="FIBC Bags With UV With Liner"/>
    <s v="FG"/>
    <s v="FIBC Bags"/>
    <x v="0"/>
  </r>
  <r>
    <s v="Plastene Polyfilms Limited"/>
    <n v="357"/>
    <d v="2026-07-14T00:00:00"/>
    <s v="Plastene India ltd - Unit 1-Sales"/>
    <s v="GJ12X1249"/>
    <s v="PP Woven Fabrics"/>
    <s v="PP UL Fabric With UV-SPOUT"/>
    <n v="156.74"/>
    <n v="412"/>
    <s v="Kgs"/>
    <n v="64576.88"/>
    <n v="412"/>
    <n v="418"/>
    <n v="845064.48"/>
    <s v="Woven - Fabric"/>
    <s v="Woven - Fabric"/>
    <m/>
    <m/>
    <s v="Rs"/>
    <n v="1"/>
    <m/>
    <n v="9"/>
    <n v="5811.92"/>
    <n v="9"/>
    <n v="5811.92"/>
    <n v="0"/>
    <n v="0"/>
    <n v="39269080"/>
    <s v="."/>
    <d v="2026-07-14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357"/>
    <d v="2026-07-14T00:00:00"/>
    <s v="Plastene India ltd - Unit 1-Sales"/>
    <s v="GJ12X1249"/>
    <s v="PP Woven Fabrics"/>
    <s v="PP UL Fabric With UV-SPOUT-COLOUR"/>
    <n v="159.74"/>
    <n v="4079"/>
    <s v="Kgs"/>
    <n v="651579.46"/>
    <n v="4079"/>
    <n v="4207"/>
    <n v="0"/>
    <s v="Woven - Fabric"/>
    <s v="Woven - Fabric"/>
    <m/>
    <m/>
    <s v="Rs"/>
    <n v="1"/>
    <m/>
    <n v="9"/>
    <n v="58642.15"/>
    <n v="9"/>
    <n v="58642.15"/>
    <n v="0"/>
    <n v="0"/>
    <n v="39269080"/>
    <s v="."/>
    <d v="2026-07-14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359"/>
    <d v="2026-07-15T00:00:00"/>
    <s v="Plastene India ltd - Unit 1-Sales"/>
    <s v="GJ12X1249"/>
    <s v="FILLER"/>
    <s v="Filler Soltex PTUFF23"/>
    <n v="38"/>
    <n v="2000"/>
    <s v="Kgs"/>
    <n v="76000"/>
    <n v="2000"/>
    <n v="2000"/>
    <n v="89680"/>
    <s v="Others"/>
    <s v="Antifab Filler"/>
    <m/>
    <m/>
    <s v="Rs"/>
    <n v="1"/>
    <m/>
    <n v="9"/>
    <n v="6840"/>
    <n v="9"/>
    <n v="6840"/>
    <n v="0"/>
    <n v="0"/>
    <n v="32041990"/>
    <s v="."/>
    <d v="2026-07-15T00:00:00"/>
    <n v="0"/>
    <n v="0"/>
    <m/>
    <n v="0"/>
    <m/>
    <m/>
    <m/>
    <n v="0"/>
    <n v="0"/>
    <n v="0"/>
    <n v="0"/>
    <n v="0"/>
    <n v="0"/>
    <n v="0"/>
    <n v="0"/>
    <m/>
    <s v="KUTCH"/>
    <s v="India"/>
    <s v="RAW06013"/>
    <s v="Filler Soltex PTUFF23"/>
    <s v="RM"/>
    <s v="Granules"/>
    <x v="16"/>
  </r>
  <r>
    <s v="Plastene Polyfilms Limited"/>
    <n v="360"/>
    <d v="2026-07-15T00:00:00"/>
    <s v="Plastene India ltd - Unit 1-Sales"/>
    <s v="GJ12FB2542"/>
    <s v="LD/LLDPE  FILM"/>
    <s v="LDPE/LLDPE Film"/>
    <n v="270"/>
    <n v="12.3"/>
    <s v="Kgs"/>
    <n v="3321"/>
    <n v="12.3"/>
    <n v="12.3"/>
    <n v="3918.78"/>
    <s v="Others"/>
    <s v="Others"/>
    <m/>
    <m/>
    <s v="Rs"/>
    <n v="1"/>
    <m/>
    <n v="9"/>
    <n v="298.89"/>
    <n v="9"/>
    <n v="298.89"/>
    <n v="0"/>
    <n v="0"/>
    <n v="39201019"/>
    <s v="."/>
    <d v="2026-07-15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61"/>
    <d v="2026-07-15T00:00:00"/>
    <s v="K.P. Woven Pvt Ltd-Sales"/>
    <s v="GJ-38 TB 2114"/>
    <s v="PP Woven Fabrics"/>
    <s v="PP UL Fabric With UV"/>
    <n v="154.74"/>
    <n v="733.5"/>
    <s v="Kgs"/>
    <n v="113501.79"/>
    <n v="733.5"/>
    <n v="758.5"/>
    <n v="133932.10999999999"/>
    <s v="Woven - Fabric"/>
    <s v="Woven - Fabric"/>
    <m/>
    <m/>
    <s v="Rs"/>
    <n v="1"/>
    <m/>
    <n v="9"/>
    <n v="10215.16"/>
    <n v="9"/>
    <n v="10215.16"/>
    <n v="0"/>
    <n v="0"/>
    <n v="39269080"/>
    <n v="3937"/>
    <d v="2026-07-15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23"/>
    <s v="PP UL Fabric With UV"/>
    <s v="SF"/>
    <s v="PP/PE Fabric"/>
    <x v="10"/>
  </r>
  <r>
    <s v="Plastene Polyfilms Limited"/>
    <s v="PPL/E/54/26-27"/>
    <d v="2026-07-15T00:00:00"/>
    <s v="K.P. Woven Pvt Ltd - Unit 3 -Sales"/>
    <s v="GJ09Z0572"/>
    <s v="FILLER CORD"/>
    <s v="Filler Cord"/>
    <n v="177"/>
    <n v="1963"/>
    <s v="Kgs"/>
    <n v="347451"/>
    <n v="1963"/>
    <n v="1963"/>
    <n v="347451"/>
    <s v="Others"/>
    <s v="Others"/>
    <m/>
    <m/>
    <s v="Rs"/>
    <n v="1"/>
    <s v="LUT Bond No"/>
    <n v="0"/>
    <n v="0"/>
    <n v="0"/>
    <n v="0"/>
    <n v="5"/>
    <n v="17372.55"/>
    <n v="540263"/>
    <s v="."/>
    <d v="2026-07-15T00:00:00"/>
    <n v="0"/>
    <n v="0"/>
    <m/>
    <n v="0"/>
    <m/>
    <m/>
    <m/>
    <n v="0"/>
    <n v="0"/>
    <n v="0"/>
    <n v="0"/>
    <n v="0"/>
    <n v="0"/>
    <n v="0"/>
    <n v="0"/>
    <m/>
    <s v="KASEZ"/>
    <s v="India"/>
    <s v="WIP00022"/>
    <s v="Filler Cord"/>
    <s v="SF"/>
    <s v="Yarn All"/>
    <x v="5"/>
  </r>
  <r>
    <s v="Plastene Polyfilms Limited"/>
    <s v="PPL/E/55/26-27"/>
    <d v="2026-07-15T00:00:00"/>
    <s v="K.P. Woven Pvt Ltd - Unit 3 -Sales"/>
    <s v="GJ09Z0572"/>
    <s v="Flexible Intermediate Bulk Containers (Attachement Bag)."/>
    <s v="PP WOVEN BIG BAGS"/>
    <n v="2"/>
    <n v="1985"/>
    <s v="Kgs"/>
    <n v="371592"/>
    <n v="1985"/>
    <n v="1985"/>
    <n v="371592"/>
    <s v="FIBC"/>
    <s v="FIBC"/>
    <m/>
    <m/>
    <s v="USD"/>
    <n v="93.6"/>
    <s v="LUT Bond No"/>
    <m/>
    <m/>
    <m/>
    <m/>
    <n v="18"/>
    <n v="714.6"/>
    <n v="63053200"/>
    <n v="23"/>
    <d v="2026-07-15T00:00:00"/>
    <n v="3970"/>
    <n v="371592"/>
    <s v="FOB"/>
    <n v="3970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4"/>
  </r>
  <r>
    <s v="Plastene Polyfilms Limited"/>
    <n v="364"/>
    <d v="2026-07-16T00:00:00"/>
    <s v="K.P. Woven Pvt Ltd-Sales"/>
    <s v="GJ12CT0058"/>
    <s v="Flexible Intermediate Bulk Containers (Attachement Bag)"/>
    <s v="BC-62900/04-11883"/>
    <n v="214.8"/>
    <n v="2441.1"/>
    <s v="Kgs"/>
    <n v="524348.28"/>
    <n v="2441.1"/>
    <n v="2441.1"/>
    <n v="6153546.9400000004"/>
    <s v="FIBC"/>
    <s v="FIBC"/>
    <m/>
    <m/>
    <s v="Rs"/>
    <n v="1"/>
    <m/>
    <n v="9"/>
    <n v="47191.35"/>
    <n v="9"/>
    <n v="47191.35"/>
    <n v="0"/>
    <n v="0"/>
    <n v="39232999"/>
    <s v="."/>
    <d v="2026-07-16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364"/>
    <d v="2026-07-16T00:00:00"/>
    <s v="K.P. Woven Pvt Ltd-Sales"/>
    <s v="GJ12CT0058"/>
    <s v="Flexible Intermediate Bulk Containers (Attachement Bag)"/>
    <s v="BC-63573/04-11287"/>
    <n v="262.68"/>
    <n v="8430"/>
    <s v="Kgs"/>
    <n v="2214392.4"/>
    <n v="8430"/>
    <n v="8430"/>
    <n v="0"/>
    <s v="FIBC"/>
    <s v="FIBC"/>
    <m/>
    <m/>
    <s v="Rs"/>
    <n v="1"/>
    <m/>
    <n v="9"/>
    <n v="199295.32"/>
    <n v="9"/>
    <n v="199295.32"/>
    <n v="0"/>
    <n v="0"/>
    <n v="39232999"/>
    <s v="."/>
    <d v="2026-07-16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364"/>
    <d v="2026-07-16T00:00:00"/>
    <s v="K.P. Woven Pvt Ltd-Sales"/>
    <s v="GJ12CT0058"/>
    <s v="Flexible Intermediate Bulk Containers (Attachement Bag)"/>
    <s v="BC-63764/04-12508"/>
    <n v="252.67"/>
    <n v="1022"/>
    <s v="Kgs"/>
    <n v="258228.74"/>
    <n v="1022"/>
    <n v="1022"/>
    <n v="0"/>
    <s v="FIBC"/>
    <s v="FIBC"/>
    <m/>
    <m/>
    <s v="Rs"/>
    <n v="1"/>
    <m/>
    <n v="9"/>
    <n v="23240.59"/>
    <n v="9"/>
    <n v="23240.59"/>
    <n v="0"/>
    <n v="0"/>
    <n v="39232999"/>
    <s v="."/>
    <d v="2026-07-16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364"/>
    <d v="2026-07-16T00:00:00"/>
    <s v="K.P. Woven Pvt Ltd-Sales"/>
    <s v="GJ12CT0058"/>
    <s v="Flexible Intermediate Bulk Containers (Attachement Bag)"/>
    <s v="BC-63801/04-11452"/>
    <n v="251.88"/>
    <n v="801"/>
    <s v="Kgs"/>
    <n v="201755.88"/>
    <n v="801"/>
    <n v="801"/>
    <n v="0"/>
    <s v="FIBC"/>
    <s v="FIBC"/>
    <m/>
    <m/>
    <s v="Rs"/>
    <n v="1"/>
    <m/>
    <n v="9"/>
    <n v="18158.03"/>
    <n v="9"/>
    <n v="18158.03"/>
    <n v="0"/>
    <n v="0"/>
    <n v="39232999"/>
    <s v="."/>
    <d v="2026-07-16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364"/>
    <d v="2026-07-16T00:00:00"/>
    <s v="K.P. Woven Pvt Ltd-Sales"/>
    <s v="GJ12CT0058"/>
    <s v="Flexible Intermediate Bulk Containers (Attachement Bag)"/>
    <s v="BC-63840/04-10415"/>
    <n v="302.18"/>
    <n v="6672"/>
    <s v="Kgs"/>
    <n v="2016144.96"/>
    <n v="6672"/>
    <n v="6672"/>
    <n v="0"/>
    <s v="FIBC"/>
    <s v="FIBC"/>
    <m/>
    <m/>
    <s v="Rs"/>
    <n v="1"/>
    <m/>
    <n v="9"/>
    <n v="181453.05"/>
    <n v="9"/>
    <n v="181453.05"/>
    <n v="0"/>
    <n v="0"/>
    <n v="39232999"/>
    <s v="."/>
    <d v="2026-07-16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365"/>
    <d v="2026-07-16T00:00:00"/>
    <s v="Hcp Plastene Bulkpack Ltd (Unit Iv) - Sales"/>
    <s v="GJ-35 T-2925"/>
    <s v="PP Woven Fabrics"/>
    <s v="PP UL Fabric With UV"/>
    <n v="154.74"/>
    <n v="554.1"/>
    <s v="Kgs"/>
    <n v="85741.43"/>
    <n v="554.1"/>
    <n v="580.1"/>
    <n v="186576.33"/>
    <s v="Woven - Fabric"/>
    <s v="Woven - Fabric"/>
    <m/>
    <m/>
    <s v="Rs"/>
    <n v="1"/>
    <m/>
    <n v="9"/>
    <n v="7716.73"/>
    <n v="9"/>
    <n v="7716.73"/>
    <n v="0"/>
    <n v="0"/>
    <n v="39269080"/>
    <s v="."/>
    <d v="2026-07-16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0"/>
  </r>
  <r>
    <s v="Plastene Polyfilms Limited"/>
    <n v="365"/>
    <d v="2026-07-16T00:00:00"/>
    <s v="Hcp Plastene Bulkpack Ltd (Unit Iv) - Sales"/>
    <s v="GJ-35 T-2925"/>
    <s v="PP Laminated Fabrics"/>
    <s v="PP Lam Fabric With UV"/>
    <n v="158.74"/>
    <n v="105"/>
    <s v="Kgs"/>
    <n v="16667.7"/>
    <n v="105"/>
    <n v="110"/>
    <n v="0"/>
    <s v="Woven - Fabric"/>
    <s v="Woven - Fabric"/>
    <m/>
    <m/>
    <s v="Rs"/>
    <n v="1"/>
    <m/>
    <n v="9"/>
    <n v="1500.09"/>
    <n v="9"/>
    <n v="1500.09"/>
    <n v="0"/>
    <n v="0"/>
    <n v="39269080"/>
    <s v="."/>
    <d v="2026-07-16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7"/>
  </r>
  <r>
    <s v="Plastene Polyfilms Limited"/>
    <n v="365"/>
    <d v="2026-07-16T00:00:00"/>
    <s v="Hcp Plastene Bulkpack Ltd (Unit Iv) - Sales"/>
    <s v="GJ-35 T-2925"/>
    <s v="PP Woven Fabrics"/>
    <s v="UL CUTPCS"/>
    <n v="154.74"/>
    <n v="360"/>
    <s v="Kgs"/>
    <n v="55706.400000000001"/>
    <n v="360"/>
    <n v="360"/>
    <n v="0"/>
    <s v="Woven - Fabric"/>
    <s v="Woven - Fabric"/>
    <m/>
    <m/>
    <s v="Rs"/>
    <n v="1"/>
    <m/>
    <n v="9"/>
    <n v="5013.58"/>
    <n v="9"/>
    <n v="5013.58"/>
    <n v="0"/>
    <n v="0"/>
    <n v="39269080"/>
    <s v="."/>
    <d v="2026-07-16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s v="PPL/E/56/26-27"/>
    <d v="2026-07-16T00:00:00"/>
    <s v="Commercial Bag Company"/>
    <s v=" GJ 18 X 9932"/>
    <s v="Flexible Intermediate Bulk Containers (Attachement Bag)."/>
    <s v="PP WOVEN BIG BAGS"/>
    <n v="6.7"/>
    <n v="1960"/>
    <s v="Pcs"/>
    <n v="1227842"/>
    <n v="5437"/>
    <n v="5633"/>
    <n v="1227842"/>
    <s v="FIBC"/>
    <s v="FIBC"/>
    <m/>
    <m/>
    <s v="USD"/>
    <n v="93.5"/>
    <s v="Claim for Rebate"/>
    <m/>
    <m/>
    <m/>
    <m/>
    <n v="18"/>
    <n v="2363.7600000000002"/>
    <n v="63053200"/>
    <m/>
    <d v="2026-07-16T00:00:00"/>
    <n v="13132"/>
    <n v="1227842"/>
    <s v="FOB"/>
    <n v="13132"/>
    <m/>
    <m/>
    <n v="6220250"/>
    <n v="0"/>
    <n v="0"/>
    <n v="0"/>
    <n v="0"/>
    <n v="0"/>
    <n v="0"/>
    <n v="0"/>
    <n v="0"/>
    <m/>
    <s v="U.S.A."/>
    <s v="USA"/>
    <s v="WIP00004"/>
    <s v="FIBC Bags With UV Without Liner"/>
    <s v="FG"/>
    <s v="FIBC Bags"/>
    <x v="4"/>
  </r>
  <r>
    <s v="Plastene Polyfilms Limited"/>
    <n v="367"/>
    <d v="2026-07-17T00:00:00"/>
    <s v="Plastene India ltd - Unit 1-Sales"/>
    <s v="GJ12X1249"/>
    <s v="PP Laminated Fabrics"/>
    <s v="LAM CUTPCS"/>
    <n v="134.74"/>
    <n v="177"/>
    <s v="Kgs"/>
    <n v="23848.98"/>
    <n v="177"/>
    <n v="177"/>
    <n v="28141.8"/>
    <s v="Woven - Fabric"/>
    <s v="Woven - Fabric"/>
    <m/>
    <m/>
    <s v="Rs"/>
    <n v="1"/>
    <m/>
    <n v="9"/>
    <n v="2146.41"/>
    <n v="9"/>
    <n v="2146.41"/>
    <n v="0"/>
    <n v="0"/>
    <n v="39269080"/>
    <s v="."/>
    <d v="2026-07-17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368"/>
    <d v="2026-07-17T00:00:00"/>
    <s v="HCP Plastene Bulkpack Limited - Sales"/>
    <s v="GJ12BV1104"/>
    <s v="Flexible Intermediate Bulk Containers (Attachement Bag)"/>
    <s v="KRZY-83/KK0019 SUGAR KSC"/>
    <n v="147.80000000000001"/>
    <n v="19488"/>
    <s v="Kgs"/>
    <n v="2880326.4"/>
    <n v="19488"/>
    <n v="19488"/>
    <n v="3398785.16"/>
    <s v="FIBC"/>
    <s v="FIBC"/>
    <m/>
    <m/>
    <s v="Rs"/>
    <n v="1"/>
    <m/>
    <n v="9"/>
    <n v="259229.38"/>
    <n v="9"/>
    <n v="259229.38"/>
    <n v="0"/>
    <n v="0"/>
    <n v="39232999"/>
    <s v="."/>
    <d v="2026-07-17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69"/>
    <d v="2026-07-17T00:00:00"/>
    <s v="Plastene India ltd - Unit 1-Sales"/>
    <s v="GJ12FB2542"/>
    <s v="LD/LLDPE  FILM"/>
    <s v="LDPE/LLDPE Film"/>
    <n v="277"/>
    <n v="10"/>
    <s v="Kgs"/>
    <n v="2770"/>
    <n v="10"/>
    <n v="10"/>
    <n v="3268.6"/>
    <s v="Others"/>
    <s v="Others"/>
    <m/>
    <m/>
    <s v="Rs"/>
    <n v="1"/>
    <m/>
    <n v="9"/>
    <n v="249.3"/>
    <n v="9"/>
    <n v="249.3"/>
    <n v="0"/>
    <n v="0"/>
    <n v="39201019"/>
    <s v="."/>
    <d v="2026-07-17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70"/>
    <d v="2026-07-18T00:00:00"/>
    <s v="Plastene India ltd - Unit 1-Sales"/>
    <s v="GJ12FB2542"/>
    <s v="LD/LLDPE  FILM"/>
    <s v="LDPE/LLDPE Film"/>
    <n v="260"/>
    <n v="12"/>
    <s v="Kgs"/>
    <n v="3120"/>
    <n v="12"/>
    <n v="12"/>
    <n v="3681.6"/>
    <s v="Others"/>
    <s v="Others"/>
    <m/>
    <m/>
    <s v="Rs"/>
    <n v="1"/>
    <m/>
    <n v="9"/>
    <n v="280.8"/>
    <n v="9"/>
    <n v="280.8"/>
    <n v="0"/>
    <n v="0"/>
    <n v="39201019"/>
    <s v="."/>
    <d v="2026-07-18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72"/>
    <d v="2026-07-18T00:00:00"/>
    <s v="Plastene India ltd - Unit 1-Sales"/>
    <s v="GJ12X1249"/>
    <s v="FILLER CORD"/>
    <s v="Filler Cord"/>
    <n v="177"/>
    <n v="121.3"/>
    <s v="Kgs"/>
    <n v="21470.1"/>
    <n v="121.3"/>
    <n v="121.3"/>
    <n v="520675.53"/>
    <s v="Others"/>
    <s v="PP Tapes"/>
    <m/>
    <m/>
    <s v="Rs"/>
    <n v="1"/>
    <m/>
    <n v="2.5"/>
    <n v="536.75"/>
    <n v="2.5"/>
    <n v="536.75"/>
    <n v="0"/>
    <n v="0"/>
    <n v="54026930"/>
    <s v="."/>
    <d v="2026-07-18T00:00:00"/>
    <n v="0"/>
    <n v="0"/>
    <m/>
    <n v="0"/>
    <m/>
    <m/>
    <m/>
    <n v="0"/>
    <n v="0"/>
    <n v="0"/>
    <n v="0"/>
    <n v="0"/>
    <n v="0"/>
    <n v="0"/>
    <n v="0"/>
    <m/>
    <s v="KUTCH"/>
    <s v="India"/>
    <s v="WIP00022"/>
    <s v="Filler Cord"/>
    <s v="SF"/>
    <s v="Yarn All"/>
    <x v="1"/>
  </r>
  <r>
    <s v="Plastene Polyfilms Limited"/>
    <n v="372"/>
    <d v="2026-07-18T00:00:00"/>
    <s v="Plastene India ltd - Unit 1-Sales"/>
    <s v="GJ12X1249"/>
    <s v="PP TAPE"/>
    <s v="PP Tapes"/>
    <n v="451"/>
    <n v="108"/>
    <s v="Kgs"/>
    <n v="48708"/>
    <n v="108"/>
    <n v="108"/>
    <n v="0"/>
    <s v="Others"/>
    <s v="Woven - Other"/>
    <m/>
    <m/>
    <s v="Rs"/>
    <n v="1"/>
    <m/>
    <n v="9"/>
    <n v="4383.72"/>
    <n v="9"/>
    <n v="4383.72"/>
    <n v="0"/>
    <n v="0"/>
    <n v="39199090"/>
    <s v="."/>
    <d v="2026-07-18T00:00:00"/>
    <n v="0"/>
    <n v="0"/>
    <m/>
    <n v="0"/>
    <m/>
    <m/>
    <m/>
    <n v="0"/>
    <n v="0"/>
    <n v="0"/>
    <n v="0"/>
    <n v="0"/>
    <n v="0"/>
    <n v="0"/>
    <n v="0"/>
    <m/>
    <s v="KUTCH"/>
    <s v="India"/>
    <s v="RAW05951"/>
    <s v="PP Tapes"/>
    <s v="SF"/>
    <s v="Tape Stock"/>
    <x v="17"/>
  </r>
  <r>
    <s v="Plastene Polyfilms Limited"/>
    <n v="372"/>
    <d v="2026-07-18T00:00:00"/>
    <s v="Plastene India ltd - Unit 1-Sales"/>
    <s v="GJ12X1249"/>
    <s v="LD/LLDPE BAGS"/>
    <s v="LDPE/LLDPE Bags/Liner"/>
    <n v="181.15"/>
    <n v="1461"/>
    <s v="Kgs"/>
    <n v="264660.15000000002"/>
    <n v="1461"/>
    <n v="1461"/>
    <n v="0"/>
    <s v="Others"/>
    <s v="Multilayer"/>
    <m/>
    <m/>
    <s v="Rs"/>
    <n v="1"/>
    <m/>
    <n v="9"/>
    <n v="23819.41"/>
    <n v="9"/>
    <n v="23819.41"/>
    <n v="0"/>
    <n v="0"/>
    <n v="392310"/>
    <s v="."/>
    <d v="2026-07-18T00:00:00"/>
    <n v="0"/>
    <n v="0"/>
    <m/>
    <n v="0"/>
    <m/>
    <m/>
    <m/>
    <n v="0"/>
    <n v="0"/>
    <n v="0"/>
    <n v="0"/>
    <n v="0"/>
    <n v="0"/>
    <n v="0"/>
    <n v="0"/>
    <m/>
    <s v="KUTCH"/>
    <s v="India"/>
    <s v="WIP00013"/>
    <s v="LDPE/LLDPE Bags/Liner"/>
    <s v="SF"/>
    <s v="Liners"/>
    <x v="3"/>
  </r>
  <r>
    <s v="Plastene Polyfilms Limited"/>
    <n v="372"/>
    <d v="2026-07-18T00:00:00"/>
    <s v="Plastene India ltd - Unit 1-Sales"/>
    <s v="GJ12X1249"/>
    <s v="PP Woven Fabrics Laminated/ Coated"/>
    <s v="PP Lam Fabric With UV"/>
    <n v="156.74"/>
    <n v="694"/>
    <s v="Kgs"/>
    <n v="108777.56"/>
    <n v="694"/>
    <n v="694"/>
    <n v="0"/>
    <s v="Others"/>
    <s v="Woven - Fabric"/>
    <m/>
    <m/>
    <s v="Rs"/>
    <n v="1"/>
    <m/>
    <n v="9"/>
    <n v="9789.98"/>
    <n v="9"/>
    <n v="9789.98"/>
    <n v="0"/>
    <n v="0"/>
    <n v="39269080"/>
    <s v="."/>
    <d v="2026-07-18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7"/>
  </r>
  <r>
    <s v="Plastene Polyfilms Limited"/>
    <n v="375"/>
    <d v="2026-07-18T00:00:00"/>
    <s v="HCP Plastene Bulkpack Limited - Sales"/>
    <s v="GJ12BV4739"/>
    <s v="Flexible Intermediate Bulk Containers (Attachement Bag)"/>
    <s v="PO-064321/CA2W"/>
    <n v="246.4"/>
    <n v="849"/>
    <s v="Kgs"/>
    <n v="209193.60000000001"/>
    <n v="849"/>
    <n v="849"/>
    <n v="5263822.9000000004"/>
    <s v="FIBC"/>
    <s v="FIBC"/>
    <m/>
    <m/>
    <s v="Rs"/>
    <n v="1"/>
    <m/>
    <n v="9"/>
    <n v="18827.419999999998"/>
    <n v="9"/>
    <n v="18827.419999999998"/>
    <n v="0"/>
    <n v="0"/>
    <n v="39232999"/>
    <s v="."/>
    <d v="2026-07-18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3"/>
    <s v="FIBC Bags With UV With Liner"/>
    <s v="FG"/>
    <s v="FIBC Bags"/>
    <x v="0"/>
  </r>
  <r>
    <s v="Plastene Polyfilms Limited"/>
    <n v="375"/>
    <d v="2026-07-18T00:00:00"/>
    <s v="HCP Plastene Bulkpack Limited - Sales"/>
    <s v="GJ12BV4739"/>
    <s v="Flexible Intermediate Bulk Containers (Attachement Bag)"/>
    <s v="PO-064321/CA10"/>
    <n v="242.67"/>
    <n v="3262"/>
    <s v="Kgs"/>
    <n v="791589.54"/>
    <n v="3262"/>
    <n v="3262"/>
    <n v="0"/>
    <s v="FIBC"/>
    <s v="FIBC"/>
    <m/>
    <m/>
    <s v="Rs"/>
    <n v="1"/>
    <m/>
    <n v="9"/>
    <n v="71243.06"/>
    <n v="9"/>
    <n v="71243.06"/>
    <n v="0"/>
    <n v="0"/>
    <n v="39232999"/>
    <s v="."/>
    <d v="2026-07-18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5"/>
    <d v="2026-07-18T00:00:00"/>
    <s v="HCP Plastene Bulkpack Limited - Sales"/>
    <s v="GJ12BV4739"/>
    <s v="Flexible Intermediate Bulk Containers (Attachement Bag)"/>
    <s v="PO-064321/CA20"/>
    <n v="227.75"/>
    <n v="2825"/>
    <s v="Kgs"/>
    <n v="643393.75"/>
    <n v="2825"/>
    <n v="2825"/>
    <n v="0"/>
    <s v="FIBC"/>
    <s v="FIBC"/>
    <m/>
    <m/>
    <s v="Rs"/>
    <n v="1"/>
    <m/>
    <n v="9"/>
    <n v="57905.440000000002"/>
    <n v="9"/>
    <n v="57905.440000000002"/>
    <n v="0"/>
    <n v="0"/>
    <n v="39232999"/>
    <s v="."/>
    <d v="2026-07-18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5"/>
    <d v="2026-07-18T00:00:00"/>
    <s v="HCP Plastene Bulkpack Limited - Sales"/>
    <s v="GJ12BV4739"/>
    <s v="Flexible Intermediate Bulk Containers (Attachement Bag)"/>
    <s v="PO-064321/CA20P"/>
    <n v="229.74"/>
    <n v="4438"/>
    <s v="Kgs"/>
    <n v="1019586.12"/>
    <n v="4438"/>
    <n v="4438"/>
    <n v="0"/>
    <s v="FIBC"/>
    <s v="FIBC"/>
    <m/>
    <m/>
    <s v="Rs"/>
    <n v="1"/>
    <m/>
    <n v="9"/>
    <n v="91762.75"/>
    <n v="9"/>
    <n v="91762.75"/>
    <n v="0"/>
    <n v="0"/>
    <n v="39232999"/>
    <s v="."/>
    <d v="2026-07-18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5"/>
    <d v="2026-07-18T00:00:00"/>
    <s v="HCP Plastene Bulkpack Limited - Sales"/>
    <s v="GJ12BV4739"/>
    <s v="Flexible Intermediate Bulk Containers (Attachement Bag)"/>
    <s v="PO-064321/CA22"/>
    <n v="228.94"/>
    <n v="2424"/>
    <s v="Kgs"/>
    <n v="554950.56000000006"/>
    <n v="2424"/>
    <n v="2424"/>
    <n v="0"/>
    <s v="FIBC"/>
    <s v="FIBC"/>
    <m/>
    <m/>
    <s v="Rs"/>
    <n v="1"/>
    <m/>
    <n v="9"/>
    <n v="49945.55"/>
    <n v="9"/>
    <n v="49945.55"/>
    <n v="0"/>
    <n v="0"/>
    <n v="39232999"/>
    <s v="."/>
    <d v="2026-07-18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5"/>
    <d v="2026-07-18T00:00:00"/>
    <s v="HCP Plastene Bulkpack Limited - Sales"/>
    <s v="GJ12BV4739"/>
    <s v="Flexible Intermediate Bulk Containers (Attachement Bag)"/>
    <s v="PO-065408/AV SC 1812 N"/>
    <n v="213.46"/>
    <n v="840"/>
    <s v="Kgs"/>
    <n v="179306.4"/>
    <n v="840"/>
    <n v="840"/>
    <n v="0"/>
    <s v="FIBC"/>
    <s v="FIBC"/>
    <m/>
    <m/>
    <s v="Rs"/>
    <n v="1"/>
    <m/>
    <n v="9"/>
    <n v="16137.58"/>
    <n v="9"/>
    <n v="16137.58"/>
    <n v="0"/>
    <n v="0"/>
    <n v="39232999"/>
    <s v="."/>
    <d v="2026-07-18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5"/>
    <d v="2026-07-18T00:00:00"/>
    <s v="HCP Plastene Bulkpack Limited - Sales"/>
    <s v="GJ12BV4739"/>
    <s v="Flexible Intermediate Bulk Containers (Attachement Bag)"/>
    <s v="PO-068423/IBR 1299 D"/>
    <n v="194.46"/>
    <n v="4973"/>
    <s v="Kgs"/>
    <n v="967049.58"/>
    <n v="4973"/>
    <n v="4973"/>
    <n v="0"/>
    <s v="FIBC"/>
    <s v="FIBC"/>
    <m/>
    <m/>
    <s v="Rs"/>
    <n v="1"/>
    <m/>
    <n v="9"/>
    <n v="87034.46"/>
    <n v="9"/>
    <n v="87034.46"/>
    <n v="0"/>
    <n v="0"/>
    <n v="39232999"/>
    <s v="."/>
    <d v="2026-07-18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5"/>
    <d v="2026-07-18T00:00:00"/>
    <s v="HCP Plastene Bulkpack Limited - Sales"/>
    <s v="GJ12BV4739"/>
    <s v="PP Woven Sacks With U.V.Stabilization (2% By Weight)"/>
    <s v="PP UL Bags With UV"/>
    <n v="229.84"/>
    <n v="416.8"/>
    <s v="Kgs"/>
    <n v="95797.31"/>
    <n v="416.8"/>
    <n v="416.8"/>
    <n v="0"/>
    <s v="FIBC"/>
    <s v="FIBC"/>
    <m/>
    <m/>
    <s v="Rs"/>
    <n v="1"/>
    <m/>
    <n v="9"/>
    <n v="8621.76"/>
    <n v="9"/>
    <n v="8621.76"/>
    <n v="0"/>
    <n v="0"/>
    <n v="39232999"/>
    <s v="."/>
    <d v="2026-07-18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37"/>
    <s v="PP UL Bags With UV"/>
    <s v="FG"/>
    <s v="Small Bags"/>
    <x v="18"/>
  </r>
  <r>
    <s v="Plastene Polyfilms Limited"/>
    <s v="PPL/E/57/26-27"/>
    <d v="2026-07-18T00:00:00"/>
    <s v="K.P. Woven Pvt Ltd - Unit 3 -Sales"/>
    <s v="GJ12BY0479"/>
    <s v="LD/LLDPE  FILM"/>
    <s v="LDPE/LLDPE Film"/>
    <n v="350"/>
    <n v="10.7"/>
    <s v="Kgs"/>
    <n v="3745"/>
    <n v="10.7"/>
    <n v="10.7"/>
    <n v="3745"/>
    <s v="Others"/>
    <s v="Others"/>
    <m/>
    <m/>
    <s v="Rs"/>
    <n v="1"/>
    <s v="LUT Bond No"/>
    <n v="0"/>
    <n v="0"/>
    <n v="0"/>
    <n v="0"/>
    <n v="18"/>
    <n v="674.1"/>
    <n v="39201019"/>
    <s v="."/>
    <d v="2026-07-18T00:00:00"/>
    <n v="0"/>
    <n v="0"/>
    <m/>
    <n v="0"/>
    <m/>
    <m/>
    <m/>
    <n v="0"/>
    <n v="0"/>
    <n v="0"/>
    <n v="0"/>
    <n v="0"/>
    <n v="0"/>
    <n v="0"/>
    <n v="0"/>
    <m/>
    <s v="KASEZ"/>
    <s v="India"/>
    <s v="RAW05124"/>
    <s v="LDPE/LLDPE Film"/>
    <s v="SF"/>
    <s v="Films All (SF)"/>
    <x v="2"/>
  </r>
  <r>
    <s v="Plastene Polyfilms Limited"/>
    <n v="376"/>
    <d v="2026-07-19T00:00:00"/>
    <s v="Plastene India ltd - Unit 1-Sales"/>
    <s v="GJ12FB2542"/>
    <s v="LD/LLDPE  FILM"/>
    <s v="LABLE"/>
    <n v="225"/>
    <n v="2.1"/>
    <s v="Kgs"/>
    <n v="472.5"/>
    <n v="2.1"/>
    <n v="2.1"/>
    <n v="557.54"/>
    <s v="Others"/>
    <s v="Others"/>
    <m/>
    <m/>
    <s v="Rs"/>
    <n v="1"/>
    <m/>
    <n v="9"/>
    <n v="42.52"/>
    <n v="9"/>
    <n v="42.52"/>
    <n v="0"/>
    <n v="0"/>
    <n v="39201019"/>
    <s v="-"/>
    <d v="2026-07-19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77"/>
    <d v="2026-07-19T00:00:00"/>
    <s v="Plastene India ltd - Unit 1-Sales"/>
    <s v="GJ12X-1249"/>
    <s v="PP Woven Fabrics"/>
    <s v="MORE THEN 100 GSM"/>
    <n v="154.74"/>
    <n v="1951.5"/>
    <s v="Kgs"/>
    <n v="301975.11"/>
    <n v="1951.5"/>
    <n v="1951.5"/>
    <n v="356330.63"/>
    <s v="Woven - Fabric"/>
    <s v="Woven - Fabric"/>
    <m/>
    <m/>
    <s v="Rs"/>
    <n v="1"/>
    <m/>
    <n v="9"/>
    <n v="27177.759999999998"/>
    <n v="9"/>
    <n v="27177.759999999998"/>
    <n v="0"/>
    <n v="0"/>
    <n v="39269080"/>
    <s v="-"/>
    <d v="2026-07-19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379"/>
    <d v="2026-07-20T00:00:00"/>
    <s v="HCP Plastene Bulkpack Limited - Sales"/>
    <s v="GJ39TA8822"/>
    <s v="Flexible Intermediate Bulk Containers (Attachement Bag)"/>
    <s v="PO-067306/CA 1F"/>
    <n v="250.84"/>
    <n v="2883"/>
    <s v="Kgs"/>
    <n v="723171.72"/>
    <n v="2883"/>
    <n v="2883"/>
    <n v="5127953.67"/>
    <s v="FIBC"/>
    <s v="FIBC"/>
    <m/>
    <m/>
    <s v="Rs"/>
    <n v="1"/>
    <m/>
    <n v="9"/>
    <n v="65085.45"/>
    <n v="9"/>
    <n v="65085.45"/>
    <n v="0"/>
    <n v="0"/>
    <n v="39232999"/>
    <s v="."/>
    <d v="2026-07-2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3"/>
    <s v="FIBC Bags With UV With Liner"/>
    <s v="FG"/>
    <s v="FIBC Bags"/>
    <x v="0"/>
  </r>
  <r>
    <s v="Plastene Polyfilms Limited"/>
    <n v="379"/>
    <d v="2026-07-20T00:00:00"/>
    <s v="HCP Plastene Bulkpack Limited - Sales"/>
    <s v="GJ39TA8822"/>
    <s v="Flexible Intermediate Bulk Containers (Attachement Bag)"/>
    <s v="PO-067306/BB DC 60"/>
    <n v="198.08"/>
    <n v="1775"/>
    <s v="Kgs"/>
    <n v="351592"/>
    <n v="1775"/>
    <n v="1775"/>
    <n v="0"/>
    <s v="FIBC"/>
    <s v="FIBC"/>
    <m/>
    <m/>
    <s v="Rs"/>
    <n v="1"/>
    <m/>
    <n v="9"/>
    <n v="31643.279999999999"/>
    <n v="9"/>
    <n v="31643.279999999999"/>
    <n v="0"/>
    <n v="0"/>
    <n v="39232999"/>
    <s v="."/>
    <d v="2026-07-2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9"/>
    <d v="2026-07-20T00:00:00"/>
    <s v="HCP Plastene Bulkpack Limited - Sales"/>
    <s v="GJ39TA8822"/>
    <s v="Flexible Intermediate Bulk Containers (Attachement Bag)"/>
    <s v="PO-067306/CA10W"/>
    <n v="235.52"/>
    <n v="2018"/>
    <s v="Kgs"/>
    <n v="475279.35999999999"/>
    <n v="2018"/>
    <n v="2018"/>
    <n v="0"/>
    <s v="FIBC"/>
    <s v="FIBC"/>
    <m/>
    <m/>
    <s v="Rs"/>
    <n v="1"/>
    <m/>
    <n v="9"/>
    <n v="42775.14"/>
    <n v="9"/>
    <n v="42775.14"/>
    <n v="0"/>
    <n v="0"/>
    <n v="39232999"/>
    <s v="."/>
    <d v="2026-07-2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9"/>
    <d v="2026-07-20T00:00:00"/>
    <s v="HCP Plastene Bulkpack Limited - Sales"/>
    <s v="GJ39TA8822"/>
    <s v="Flexible Intermediate Bulk Containers (Attachement Bag)"/>
    <s v="PO-067306/CA20P"/>
    <n v="218.4"/>
    <n v="7277"/>
    <s v="Kgs"/>
    <n v="1589296.8"/>
    <n v="7277"/>
    <n v="7277"/>
    <n v="0"/>
    <s v="FIBC"/>
    <s v="FIBC"/>
    <m/>
    <m/>
    <s v="Rs"/>
    <n v="1"/>
    <m/>
    <n v="9"/>
    <n v="143036.71"/>
    <n v="9"/>
    <n v="143036.71"/>
    <n v="0"/>
    <n v="0"/>
    <n v="39232999"/>
    <s v="."/>
    <d v="2026-07-2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9"/>
    <d v="2026-07-20T00:00:00"/>
    <s v="HCP Plastene Bulkpack Limited - Sales"/>
    <s v="GJ39TA8822"/>
    <s v="Flexible Intermediate Bulk Containers (Attachement Bag)"/>
    <s v="PO-067306/CA22"/>
    <n v="219.31"/>
    <n v="1607"/>
    <s v="Kgs"/>
    <n v="352431.17"/>
    <n v="1607"/>
    <n v="1607"/>
    <n v="0"/>
    <s v="FIBC"/>
    <s v="FIBC"/>
    <m/>
    <m/>
    <s v="Rs"/>
    <n v="1"/>
    <m/>
    <n v="9"/>
    <n v="31718.81"/>
    <n v="9"/>
    <n v="31718.81"/>
    <n v="0"/>
    <n v="0"/>
    <n v="39232999"/>
    <s v="."/>
    <d v="2026-07-2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79"/>
    <d v="2026-07-20T00:00:00"/>
    <s v="HCP Plastene Bulkpack Limited - Sales"/>
    <s v="GJ39TA8822"/>
    <s v="Flexible Intermediate Bulk Containers (Attachement Bag)"/>
    <s v="PO-067306/DC 1299 S"/>
    <n v="197.4"/>
    <n v="4326"/>
    <s v="Kgs"/>
    <n v="853952.4"/>
    <n v="4326"/>
    <n v="4326"/>
    <n v="0"/>
    <s v="FIBC"/>
    <s v="FIBC"/>
    <m/>
    <m/>
    <s v="Rs"/>
    <n v="1"/>
    <m/>
    <n v="9"/>
    <n v="76855.72"/>
    <n v="9"/>
    <n v="76855.72"/>
    <n v="0"/>
    <n v="0"/>
    <n v="39232999"/>
    <s v="."/>
    <d v="2026-07-2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381"/>
    <d v="2026-07-20T00:00:00"/>
    <s v="Plastene India ltd - Unit 1-Sales"/>
    <s v="GJ12FB2542"/>
    <s v="LD/LLDPE  FILM"/>
    <s v="LDPE/LLDPE Film"/>
    <n v="292"/>
    <n v="9.6999999999999993"/>
    <s v="Kgs"/>
    <n v="2832.4"/>
    <n v="9.6999999999999993"/>
    <n v="9.6999999999999993"/>
    <n v="3342.24"/>
    <s v="Others"/>
    <s v="Others"/>
    <m/>
    <m/>
    <s v="Rs"/>
    <n v="1"/>
    <m/>
    <n v="9"/>
    <n v="254.92"/>
    <n v="9"/>
    <n v="254.92"/>
    <n v="0"/>
    <n v="0"/>
    <n v="39201019"/>
    <s v="."/>
    <d v="2026-07-20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82"/>
    <d v="2026-07-21T00:00:00"/>
    <s v="Plastene India ltd - Unit 1-Sales"/>
    <s v="GJ12FB2542"/>
    <s v="INK"/>
    <s v="Ink Vyankatesh Poly Process Blue VLX 643"/>
    <n v="320"/>
    <n v="25"/>
    <s v="Kgs"/>
    <n v="8000"/>
    <n v="25"/>
    <n v="25"/>
    <n v="9440"/>
    <s v="Ink / Pigment"/>
    <s v="Ink / Pigment"/>
    <m/>
    <m/>
    <s v="Rs"/>
    <n v="1"/>
    <m/>
    <n v="9"/>
    <n v="720"/>
    <n v="9"/>
    <n v="720"/>
    <n v="0"/>
    <n v="0"/>
    <n v="32151990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RAW05727"/>
    <s v="Ink Vyankatesh Poly Process Blue VLX 643"/>
    <s v="RM Consumables"/>
    <s v="Ink"/>
    <x v="9"/>
  </r>
  <r>
    <s v="Plastene Polyfilms Limited"/>
    <n v="383"/>
    <d v="2026-07-21T00:00:00"/>
    <s v="Plastene India ltd - Unit 1-Sales"/>
    <s v="GJ12FB2542"/>
    <s v="LD/LLDPE  FILM"/>
    <s v="LDPE/LLDPE Film"/>
    <n v="300"/>
    <n v="1.1499999999999999"/>
    <s v="Kgs"/>
    <n v="345"/>
    <n v="1.1499999999999999"/>
    <n v="1.1499999999999999"/>
    <n v="407.1"/>
    <s v="Others"/>
    <s v="Others"/>
    <m/>
    <m/>
    <s v="Rs"/>
    <n v="1"/>
    <m/>
    <n v="9"/>
    <n v="31.05"/>
    <n v="9"/>
    <n v="31.05"/>
    <n v="0"/>
    <n v="0"/>
    <n v="3920101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84"/>
    <d v="2026-07-21T00:00:00"/>
    <s v="Hcp Plastene Bulkpack Ltd (Unit Iv) - Sales"/>
    <s v="GJ12BU0544"/>
    <s v="PP Woven Fabrics"/>
    <s v="UL CUTPCS"/>
    <n v="154.74"/>
    <n v="243"/>
    <s v="Kgs"/>
    <n v="37601.82"/>
    <n v="243"/>
    <n v="243"/>
    <n v="53931.08"/>
    <s v="FIBC"/>
    <s v="Woven - Fabric"/>
    <m/>
    <m/>
    <s v="Rs"/>
    <n v="1"/>
    <m/>
    <n v="9"/>
    <n v="3384.16"/>
    <n v="9"/>
    <n v="3384.16"/>
    <n v="0"/>
    <n v="0"/>
    <n v="39269080"/>
    <s v="."/>
    <d v="2026-07-21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384"/>
    <d v="2026-07-21T00:00:00"/>
    <s v="Hcp Plastene Bulkpack Ltd (Unit Iv) - Sales"/>
    <s v="GJ12BU0544"/>
    <s v="LD/LLDPE BAGS"/>
    <s v="20X25X80 OPEN DOC"/>
    <n v="175"/>
    <n v="46.3"/>
    <s v="Kgs"/>
    <n v="8102.5"/>
    <n v="46.3"/>
    <n v="46.3"/>
    <n v="0"/>
    <s v="FIBC"/>
    <s v="Multilayer"/>
    <m/>
    <m/>
    <s v="Rs"/>
    <n v="1"/>
    <m/>
    <n v="9"/>
    <n v="729.22"/>
    <n v="9"/>
    <n v="729.22"/>
    <n v="0"/>
    <n v="0"/>
    <n v="392310"/>
    <s v="."/>
    <d v="2026-07-21T00:00:00"/>
    <n v="0"/>
    <n v="0"/>
    <m/>
    <n v="0"/>
    <m/>
    <m/>
    <m/>
    <n v="0"/>
    <n v="0"/>
    <n v="0"/>
    <n v="0"/>
    <n v="0"/>
    <n v="0"/>
    <n v="0"/>
    <n v="0"/>
    <m/>
    <s v="KACHCHH"/>
    <s v="India"/>
    <s v="WIP00013"/>
    <s v="LDPE/LLDPE Bags/Liner"/>
    <s v="SF"/>
    <s v="Liners"/>
    <x v="3"/>
  </r>
  <r>
    <s v="Plastene Polyfilms Limited"/>
    <n v="385"/>
    <d v="2026-07-21T00:00:00"/>
    <s v="Plastene India ltd - Unit 1-Sales"/>
    <s v="GJ12CT7818"/>
    <s v="Flexible Intermediate Bulk Containers (Attachement Bag)"/>
    <s v="4500199098/IQE-4"/>
    <n v="294.24"/>
    <n v="1963"/>
    <s v="Kgs"/>
    <n v="577593.12"/>
    <n v="1963"/>
    <n v="1963"/>
    <n v="5994748.21"/>
    <s v="FIBC"/>
    <s v="FIBC"/>
    <m/>
    <m/>
    <s v="Rs"/>
    <n v="1"/>
    <m/>
    <n v="9"/>
    <n v="51983.38"/>
    <n v="9"/>
    <n v="51983.38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199098/IQE-5"/>
    <n v="286.48"/>
    <n v="793"/>
    <s v="Kgs"/>
    <n v="227178.64"/>
    <n v="793"/>
    <n v="793"/>
    <n v="0"/>
    <s v="FIBC"/>
    <s v="FIBC"/>
    <m/>
    <m/>
    <s v="Rs"/>
    <n v="1"/>
    <m/>
    <n v="9"/>
    <n v="20446.080000000002"/>
    <n v="9"/>
    <n v="20446.080000000002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202488/SGS-5"/>
    <n v="249.54"/>
    <n v="4118"/>
    <s v="Kgs"/>
    <n v="1027605.72"/>
    <n v="4118"/>
    <n v="4118"/>
    <n v="0"/>
    <s v="FIBC"/>
    <s v="FIBC"/>
    <m/>
    <m/>
    <s v="Rs"/>
    <n v="1"/>
    <m/>
    <n v="9"/>
    <n v="92484.51"/>
    <n v="9"/>
    <n v="92484.51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199046/NAL-14"/>
    <n v="263.87"/>
    <n v="420"/>
    <s v="Kgs"/>
    <n v="110825.4"/>
    <n v="420"/>
    <n v="420"/>
    <n v="0"/>
    <s v="FIBC"/>
    <s v="FIBC"/>
    <m/>
    <m/>
    <s v="Rs"/>
    <n v="1"/>
    <m/>
    <n v="9"/>
    <n v="9974.2900000000009"/>
    <n v="9"/>
    <n v="9974.2900000000009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199054/MIM-1"/>
    <n v="249.98"/>
    <n v="386"/>
    <s v="Kgs"/>
    <n v="96492.28"/>
    <n v="386"/>
    <n v="386"/>
    <n v="0"/>
    <s v="FIBC"/>
    <s v="FIBC"/>
    <m/>
    <m/>
    <s v="Rs"/>
    <n v="1"/>
    <m/>
    <n v="9"/>
    <n v="8684.31"/>
    <n v="9"/>
    <n v="8684.31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199098/IQE-6"/>
    <n v="292.5"/>
    <n v="1970"/>
    <s v="Kgs"/>
    <n v="576225"/>
    <n v="1970"/>
    <n v="1970"/>
    <n v="0"/>
    <s v="FIBC"/>
    <s v="FIBC"/>
    <m/>
    <m/>
    <s v="Rs"/>
    <n v="1"/>
    <m/>
    <n v="9"/>
    <n v="51860.25"/>
    <n v="9"/>
    <n v="51860.25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200362/ILA-2"/>
    <n v="281.97000000000003"/>
    <n v="401"/>
    <s v="Kgs"/>
    <n v="113069.97"/>
    <n v="401"/>
    <n v="401"/>
    <n v="0"/>
    <s v="FIBC"/>
    <s v="FIBC"/>
    <m/>
    <m/>
    <s v="Rs"/>
    <n v="1"/>
    <m/>
    <n v="9"/>
    <n v="10176.299999999999"/>
    <n v="9"/>
    <n v="10176.299999999999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202507/SAS-4 (BLUE"/>
    <n v="241.79"/>
    <n v="846"/>
    <s v="Kgs"/>
    <n v="204554.34"/>
    <n v="846"/>
    <n v="846"/>
    <n v="0"/>
    <s v="FIBC"/>
    <s v="FIBC"/>
    <m/>
    <m/>
    <s v="Rs"/>
    <n v="1"/>
    <m/>
    <n v="9"/>
    <n v="18409.89"/>
    <n v="9"/>
    <n v="18409.89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202507/SAS-4 (GREEN"/>
    <n v="240.96"/>
    <n v="5094"/>
    <s v="Kgs"/>
    <n v="1227450.24"/>
    <n v="5094"/>
    <n v="5094"/>
    <n v="0"/>
    <s v="FIBC"/>
    <s v="FIBC"/>
    <m/>
    <m/>
    <s v="Rs"/>
    <n v="1"/>
    <m/>
    <n v="9"/>
    <n v="110470.52"/>
    <n v="9"/>
    <n v="110470.52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202507/SAS-4 (GREY"/>
    <n v="242.21"/>
    <n v="3378"/>
    <s v="Kgs"/>
    <n v="818185.38"/>
    <n v="3378"/>
    <n v="3378"/>
    <n v="0"/>
    <s v="FIBC"/>
    <s v="FIBC"/>
    <m/>
    <m/>
    <s v="Rs"/>
    <n v="1"/>
    <m/>
    <n v="9"/>
    <n v="73636.679999999993"/>
    <n v="9"/>
    <n v="73636.679999999993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85"/>
    <d v="2026-07-21T00:00:00"/>
    <s v="Plastene India ltd - Unit 1-Sales"/>
    <s v="GJ12CT7818"/>
    <s v="Flexible Intermediate Bulk Containers (Attachement Bag)"/>
    <s v="4500202507/SAS-4 (UNPRINTING)"/>
    <n v="236.25"/>
    <n v="428"/>
    <s v="Kgs"/>
    <n v="101115"/>
    <n v="428"/>
    <n v="428"/>
    <n v="0"/>
    <s v="FIBC"/>
    <s v="FIBC"/>
    <m/>
    <m/>
    <s v="Rs"/>
    <n v="1"/>
    <m/>
    <n v="9"/>
    <n v="9100.35"/>
    <n v="9"/>
    <n v="9100.35"/>
    <n v="0"/>
    <n v="0"/>
    <n v="39232999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386"/>
    <d v="2026-07-21T00:00:00"/>
    <s v="Plastene India ltd - Unit 1-Sales"/>
    <s v="GJ-12 X 1249"/>
    <s v="PP Woven Fabrics"/>
    <s v="PP UL Fabric With UV"/>
    <n v="154.74"/>
    <n v="1325.6"/>
    <s v="Kgs"/>
    <n v="205123.34"/>
    <n v="1325.6"/>
    <n v="1389.6"/>
    <n v="242045.54"/>
    <s v="Woven - Fabric"/>
    <s v="Woven - Fabric"/>
    <m/>
    <m/>
    <s v="Rs"/>
    <n v="1"/>
    <m/>
    <n v="9"/>
    <n v="18461.099999999999"/>
    <n v="9"/>
    <n v="18461.099999999999"/>
    <n v="0"/>
    <n v="0"/>
    <n v="39269080"/>
    <s v="."/>
    <d v="2026-07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389"/>
    <d v="2026-07-22T00:00:00"/>
    <s v="Plastene India ltd - Unit 1-Sales"/>
    <s v="GJ12FB2542"/>
    <s v="LD/LLDPE  FILM"/>
    <s v="LDPE/LLDPE Film"/>
    <n v="335"/>
    <n v="2.65"/>
    <s v="Kgs"/>
    <n v="887.75"/>
    <n v="2.65"/>
    <n v="2.65"/>
    <n v="1047.55"/>
    <s v="Others"/>
    <s v="Others"/>
    <m/>
    <m/>
    <s v="Rs"/>
    <n v="1"/>
    <m/>
    <n v="9"/>
    <n v="79.900000000000006"/>
    <n v="9"/>
    <n v="79.900000000000006"/>
    <n v="0"/>
    <n v="0"/>
    <n v="39201019"/>
    <s v="."/>
    <d v="2026-07-22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92"/>
    <d v="2026-07-22T00:00:00"/>
    <s v="Oswal Extrusion Ltd - Unit 6-Sales"/>
    <s v="GJ39TA4529"/>
    <s v="PP WEBBING"/>
    <s v="Webbing blue"/>
    <n v="159.74"/>
    <n v="63.2"/>
    <s v="Kgs"/>
    <n v="10095.57"/>
    <n v="63.2"/>
    <n v="63.2"/>
    <n v="41394.31"/>
    <s v="Webbing"/>
    <s v="Webbing"/>
    <m/>
    <m/>
    <s v="Rs"/>
    <n v="1"/>
    <m/>
    <n v="9"/>
    <n v="908.6"/>
    <n v="9"/>
    <n v="908.6"/>
    <n v="0"/>
    <n v="0"/>
    <n v="39269080"/>
    <s v="."/>
    <d v="2026-07-22T00:00:00"/>
    <n v="0"/>
    <n v="0"/>
    <m/>
    <n v="0"/>
    <m/>
    <m/>
    <m/>
    <n v="0"/>
    <n v="0"/>
    <n v="0"/>
    <n v="0"/>
    <n v="0"/>
    <n v="0"/>
    <n v="0"/>
    <n v="0"/>
    <m/>
    <s v="VARSANA-KUTCH"/>
    <s v="India"/>
    <s v="WIP00032"/>
    <s v="Webbing"/>
    <s v="SF"/>
    <s v="Webbing"/>
    <x v="8"/>
  </r>
  <r>
    <s v="Plastene Polyfilms Limited"/>
    <n v="392"/>
    <d v="2026-07-22T00:00:00"/>
    <s v="Oswal Extrusion Ltd - Unit 6-Sales"/>
    <s v="GJ39TA4529"/>
    <s v="PP WEBBING"/>
    <s v="Webbing mw"/>
    <n v="156.74"/>
    <n v="159.4"/>
    <s v="Kgs"/>
    <n v="24984.36"/>
    <n v="159.4"/>
    <n v="159.4"/>
    <n v="0"/>
    <s v="Webbing"/>
    <s v="Webbing"/>
    <m/>
    <m/>
    <s v="Rs"/>
    <n v="1"/>
    <m/>
    <n v="9"/>
    <n v="2248.59"/>
    <n v="9"/>
    <n v="2248.59"/>
    <n v="0"/>
    <n v="0"/>
    <n v="39269080"/>
    <s v="."/>
    <d v="2026-07-22T00:00:00"/>
    <n v="0"/>
    <n v="0"/>
    <m/>
    <n v="0"/>
    <m/>
    <m/>
    <m/>
    <n v="0"/>
    <n v="0"/>
    <n v="0"/>
    <n v="0"/>
    <n v="0"/>
    <n v="0"/>
    <n v="0"/>
    <n v="0"/>
    <m/>
    <s v="VARSANA-KUTCH"/>
    <s v="India"/>
    <s v="WIP00032"/>
    <s v="Webbing"/>
    <s v="SF"/>
    <s v="Webbing"/>
    <x v="8"/>
  </r>
  <r>
    <s v="Plastene Polyfilms Limited"/>
    <s v="PPL/E/58/26-27"/>
    <d v="2026-07-22T00:00:00"/>
    <s v="Co.Ri.Sac.S.R.L"/>
    <s v="GJ39TA5586"/>
    <s v="Flexible Intermediate Bulk Containers (Attachement Bag)."/>
    <s v="PP WOVEN BIG BAGS"/>
    <n v="3.2532102272727301"/>
    <n v="10680"/>
    <s v="Pcs"/>
    <n v="3324990.9959999998"/>
    <n v="13323"/>
    <n v="20473"/>
    <n v="4974444.72"/>
    <s v="FIBC"/>
    <s v="FIBC"/>
    <m/>
    <m/>
    <s v="EURO"/>
    <n v="108.6"/>
    <s v="Claim for Rebate"/>
    <m/>
    <m/>
    <m/>
    <m/>
    <n v="18"/>
    <n v="6253.97"/>
    <n v="63053200"/>
    <m/>
    <d v="2026-07-22T00:00:00"/>
    <n v="41677.769999999997"/>
    <n v="4526205.8219999997"/>
    <s v="CIF"/>
    <n v="45805.2"/>
    <m/>
    <m/>
    <n v="6220250"/>
    <n v="4104.53"/>
    <n v="22.9"/>
    <n v="0"/>
    <n v="0"/>
    <n v="0"/>
    <n v="0"/>
    <n v="0"/>
    <n v="0"/>
    <s v="MEDU8833282"/>
    <s v="ITALY"/>
    <s v="Italy"/>
    <s v="WIP00004"/>
    <s v="FIBC Bags With UV Without Liner"/>
    <s v="FG"/>
    <s v="FIBC Bags"/>
    <x v="4"/>
  </r>
  <r>
    <s v="Plastene Polyfilms Limited"/>
    <s v="PPL/E/58/26-27"/>
    <d v="2026-07-22T00:00:00"/>
    <s v="Co.Ri.Sac.S.R.L"/>
    <s v="GJ39TA5586"/>
    <s v="Flexible Intermediate Bulk Containers (Attachement Bag)."/>
    <s v="PP WOVEN BIG BAGS"/>
    <n v="3.2532102272727301"/>
    <n v="3400"/>
    <s v="Pcs"/>
    <n v="1201214.8259999999"/>
    <n v="6478"/>
    <n v="20473"/>
    <n v="0"/>
    <s v="FIBC"/>
    <s v="FIBC"/>
    <m/>
    <m/>
    <s v="EURO"/>
    <n v="108.6"/>
    <s v="Claim for Rebate"/>
    <m/>
    <m/>
    <m/>
    <m/>
    <n v="18"/>
    <n v="1990.96"/>
    <n v="63053200"/>
    <m/>
    <d v="2026-07-22T00:00:00"/>
    <n v="0"/>
    <n v="0"/>
    <s v="CIF"/>
    <n v="45805.2"/>
    <m/>
    <m/>
    <n v="6220250"/>
    <n v="0"/>
    <n v="0"/>
    <n v="0"/>
    <n v="0"/>
    <n v="0"/>
    <n v="0"/>
    <n v="0"/>
    <n v="0"/>
    <m/>
    <s v="ITALY"/>
    <s v="Italy"/>
    <s v="WIP00003"/>
    <s v="FIBC Bags With UV With Liner"/>
    <s v="FG"/>
    <s v="FIBC Bags"/>
    <x v="4"/>
  </r>
  <r>
    <s v="Plastene Polyfilms Limited"/>
    <n v="393"/>
    <d v="2026-07-23T00:00:00"/>
    <s v="Shri Bajrangbali Ashok Construction Private Limited"/>
    <s v="GJ12CV2685"/>
    <s v="Flexible Intermediate Bulk Containers (Attachment Bag)"/>
    <s v="JUMBO BAGS"/>
    <n v="692"/>
    <n v="500"/>
    <s v="Pcs"/>
    <n v="346000"/>
    <n v="1390"/>
    <n v="1390"/>
    <n v="408280"/>
    <s v="FIBC"/>
    <s v="FIBC"/>
    <m/>
    <m/>
    <s v="Rs"/>
    <n v="1"/>
    <m/>
    <n v="0"/>
    <n v="0"/>
    <n v="0"/>
    <n v="0"/>
    <n v="18"/>
    <n v="62280"/>
    <n v="39232999"/>
    <s v="."/>
    <d v="2026-07-23T00:00:00"/>
    <n v="0"/>
    <n v="0"/>
    <m/>
    <n v="0"/>
    <m/>
    <m/>
    <m/>
    <n v="0"/>
    <n v="0"/>
    <n v="0"/>
    <n v="0"/>
    <n v="0"/>
    <n v="0"/>
    <n v="0"/>
    <n v="0"/>
    <m/>
    <s v="KASHIDA, EAST SINGHBHUM,"/>
    <s v="India"/>
    <s v="WIP00003"/>
    <s v="FIBC Bags With UV With Liner"/>
    <s v="FG"/>
    <s v="FIBC Bags"/>
    <x v="0"/>
  </r>
  <r>
    <s v="Plastene Polyfilms Limited"/>
    <n v="394"/>
    <d v="2026-07-23T00:00:00"/>
    <s v="Plastene India ltd - Unit 1-Sales"/>
    <s v="GJ12X1249"/>
    <s v="PP Woven Fabrics"/>
    <s v="PP UL Fabric With UV"/>
    <n v="154.74"/>
    <n v="888.5"/>
    <s v="Kgs"/>
    <n v="137486.49"/>
    <n v="888.5"/>
    <n v="938.5"/>
    <n v="162234.04999999999"/>
    <s v="Woven - Fabric"/>
    <s v="Woven - Fabric"/>
    <m/>
    <m/>
    <s v="Rs"/>
    <n v="1"/>
    <m/>
    <n v="9"/>
    <n v="12373.78"/>
    <n v="9"/>
    <n v="12373.78"/>
    <n v="0"/>
    <n v="0"/>
    <n v="39269080"/>
    <s v="."/>
    <d v="2026-07-23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396"/>
    <d v="2026-07-23T00:00:00"/>
    <s v="Plastene India ltd - Unit 1-Sales"/>
    <s v="GJ12FB2542"/>
    <s v="LD/LLDPE  FILM"/>
    <s v="LDPE/LLDPE Film"/>
    <n v="285"/>
    <n v="17.5"/>
    <s v="Kgs"/>
    <n v="4987.5"/>
    <n v="17.5"/>
    <n v="17.5"/>
    <n v="5885.26"/>
    <s v="Others"/>
    <s v="Others"/>
    <m/>
    <m/>
    <s v="Rs"/>
    <n v="1"/>
    <m/>
    <n v="9"/>
    <n v="448.88"/>
    <n v="9"/>
    <n v="448.88"/>
    <n v="0"/>
    <n v="0"/>
    <n v="39201019"/>
    <s v="."/>
    <d v="2026-07-23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398"/>
    <d v="2026-07-23T00:00:00"/>
    <s v="Hcp Plastene Bulkpack Ltd (Unit Iv) - Sales"/>
    <s v="GJ12U0544"/>
    <s v="LD/LLDPE  FILM"/>
    <s v="LDPE/LLDPE Film"/>
    <n v="265"/>
    <n v="37.700000000000003"/>
    <s v="Kgs"/>
    <n v="9990.5"/>
    <n v="37.700000000000003"/>
    <n v="37.700000000000003"/>
    <n v="11788.78"/>
    <s v="Others"/>
    <s v="Others"/>
    <m/>
    <m/>
    <s v="Rs"/>
    <n v="1"/>
    <m/>
    <n v="9"/>
    <n v="899.14"/>
    <n v="9"/>
    <n v="899.14"/>
    <n v="0"/>
    <n v="0"/>
    <n v="39201019"/>
    <s v="."/>
    <d v="2026-07-23T00:00:00"/>
    <n v="0"/>
    <n v="0"/>
    <m/>
    <n v="0"/>
    <m/>
    <m/>
    <m/>
    <n v="0"/>
    <n v="0"/>
    <n v="0"/>
    <n v="0"/>
    <n v="0"/>
    <n v="0"/>
    <n v="0"/>
    <n v="0"/>
    <m/>
    <s v="KACHCHH"/>
    <s v="India"/>
    <s v="RAW05124"/>
    <s v="LDPE/LLDPE Film"/>
    <s v="SF"/>
    <s v="Films All (SF)"/>
    <x v="2"/>
  </r>
  <r>
    <s v="Plastene Polyfilms Limited"/>
    <n v="399"/>
    <d v="2026-07-23T00:00:00"/>
    <s v="Hcp Plastene Bulkpack Ltd (Unit Iv) - Sales"/>
    <s v="GJ-12 BU -0544"/>
    <s v="PP Woven Fabrics"/>
    <s v="UL CUTPCS"/>
    <n v="154.74"/>
    <n v="132"/>
    <s v="Kgs"/>
    <n v="20425.68"/>
    <n v="132"/>
    <n v="132"/>
    <n v="84288.47"/>
    <s v="Woven - Fabric"/>
    <s v="Woven - Fabric"/>
    <m/>
    <m/>
    <s v="Rs"/>
    <n v="1"/>
    <m/>
    <n v="9"/>
    <n v="1838.31"/>
    <n v="9"/>
    <n v="1838.31"/>
    <n v="0"/>
    <n v="0"/>
    <n v="39269080"/>
    <s v="."/>
    <d v="2026-07-23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399"/>
    <d v="2026-07-23T00:00:00"/>
    <s v="Hcp Plastene Bulkpack Ltd (Unit Iv) - Sales"/>
    <s v="GJ-12 BU -0544"/>
    <s v="PP Woven Fabrics Laminated/ Coated"/>
    <s v="PP Lam Fabric With UV-SPOUT"/>
    <n v="158.74"/>
    <n v="78"/>
    <s v="Kgs"/>
    <n v="12381.72"/>
    <n v="78"/>
    <n v="88"/>
    <n v="0"/>
    <s v="Woven - Fabric"/>
    <s v="Woven - Fabric"/>
    <m/>
    <m/>
    <s v="Rs"/>
    <n v="1"/>
    <m/>
    <n v="9"/>
    <n v="1114.3499999999999"/>
    <n v="9"/>
    <n v="1114.3499999999999"/>
    <n v="0"/>
    <n v="0"/>
    <n v="39269080"/>
    <s v="."/>
    <d v="2026-07-23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7"/>
  </r>
  <r>
    <s v="Plastene Polyfilms Limited"/>
    <n v="399"/>
    <d v="2026-07-23T00:00:00"/>
    <s v="Hcp Plastene Bulkpack Ltd (Unit Iv) - Sales"/>
    <s v="GJ-12 BU -0544"/>
    <s v="PP Woven Fabrics Laminated/ Coated"/>
    <s v="PP Lam Fabric With UV-SPOUT BLACK"/>
    <n v="161.74"/>
    <n v="238.8"/>
    <s v="Kgs"/>
    <n v="38623.51"/>
    <n v="238.8"/>
    <n v="240.8"/>
    <n v="0"/>
    <s v="Woven - Fabric"/>
    <s v="Woven - Fabric"/>
    <m/>
    <m/>
    <s v="Rs"/>
    <n v="1"/>
    <m/>
    <n v="9"/>
    <n v="3476.12"/>
    <n v="9"/>
    <n v="3476.12"/>
    <n v="0"/>
    <n v="0"/>
    <n v="39269080"/>
    <s v="."/>
    <d v="2026-07-23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7"/>
  </r>
  <r>
    <s v="Plastene Polyfilms Limited"/>
    <n v="401"/>
    <d v="2026-07-24T00:00:00"/>
    <s v="Plastene India ltd - Unit 1-Sales"/>
    <s v="GJ12CT6130"/>
    <s v="Flexible Intermediate Bulk Containers (Attachement Bag)"/>
    <s v="HPCPO003830-9393145-3"/>
    <n v="275.95999999999998"/>
    <n v="1653"/>
    <s v="Kgs"/>
    <n v="456161.88"/>
    <n v="1653"/>
    <n v="1653"/>
    <n v="6767535.3099999996"/>
    <s v="FIBC"/>
    <s v="FIBC"/>
    <m/>
    <m/>
    <s v="Rs"/>
    <n v="1"/>
    <m/>
    <n v="9"/>
    <n v="41054.57"/>
    <n v="9"/>
    <n v="41054.57"/>
    <n v="0"/>
    <n v="0"/>
    <n v="39232999"/>
    <s v="."/>
    <d v="2026-07-24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401"/>
    <d v="2026-07-24T00:00:00"/>
    <s v="Plastene India ltd - Unit 1-Sales"/>
    <s v="GJ12CT6130"/>
    <s v="Flexible Intermediate Bulk Containers (Attachement Bag)"/>
    <s v="HPC-PO003830-9393145-2"/>
    <n v="291.70999999999998"/>
    <n v="12853"/>
    <s v="Kgs"/>
    <n v="3749348.63"/>
    <n v="12853"/>
    <n v="12853"/>
    <n v="0"/>
    <s v="FIBC"/>
    <s v="FIBC"/>
    <m/>
    <m/>
    <s v="Rs"/>
    <n v="1"/>
    <m/>
    <n v="9"/>
    <n v="337441.38"/>
    <n v="9"/>
    <n v="337441.38"/>
    <n v="0"/>
    <n v="0"/>
    <n v="39232999"/>
    <s v="."/>
    <d v="2026-07-24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01"/>
    <d v="2026-07-24T00:00:00"/>
    <s v="Plastene India ltd - Unit 1-Sales"/>
    <s v="GJ12CT6130"/>
    <s v="Flexible Intermediate Bulk Containers (Attachement Bag)"/>
    <s v="HPC-PO003830-939385-1"/>
    <n v="293.10000000000002"/>
    <n v="5219"/>
    <s v="Kgs"/>
    <n v="1529688.9"/>
    <n v="5219"/>
    <n v="5219"/>
    <n v="0"/>
    <s v="FIBC"/>
    <s v="FIBC"/>
    <m/>
    <m/>
    <s v="Rs"/>
    <n v="1"/>
    <m/>
    <n v="9"/>
    <n v="137672"/>
    <n v="9"/>
    <n v="137672"/>
    <n v="0"/>
    <n v="0"/>
    <n v="39232999"/>
    <s v="."/>
    <d v="2026-07-24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03"/>
    <d v="2026-07-24T00:00:00"/>
    <s v="Plastene India ltd - Unit 1-Sales"/>
    <s v="GJ12CT6598"/>
    <s v="Flexible Intermediate Bulk Containers (Attachement Bag)"/>
    <s v="PO6026/MANO-288.2"/>
    <n v="241.08"/>
    <n v="20711"/>
    <s v="Kgs"/>
    <n v="4993007.88"/>
    <n v="20711"/>
    <n v="20711"/>
    <n v="5891749.2999999998"/>
    <s v="FIBC"/>
    <s v="FIBC"/>
    <m/>
    <m/>
    <s v="Rs"/>
    <n v="1"/>
    <m/>
    <n v="9"/>
    <n v="449370.71"/>
    <n v="9"/>
    <n v="449370.71"/>
    <n v="0"/>
    <n v="0"/>
    <n v="39232999"/>
    <s v="."/>
    <d v="2026-07-24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04"/>
    <d v="2026-07-24T00:00:00"/>
    <s v="K.P. Woven Pvt Ltd-Sales"/>
    <s v="GJ12CT5914"/>
    <s v="Flexible Intermediate Bulk Containers (Attachement Bag)"/>
    <s v="E-IO26-00515/006086-00011-00"/>
    <n v="229.9"/>
    <n v="11190"/>
    <s v="Kgs"/>
    <n v="2572581"/>
    <n v="11190"/>
    <n v="11190"/>
    <n v="5220454.4000000004"/>
    <s v="FIBC"/>
    <s v="FIBC"/>
    <m/>
    <m/>
    <s v="Rs"/>
    <n v="1"/>
    <m/>
    <n v="9"/>
    <n v="231532.29"/>
    <n v="9"/>
    <n v="231532.29"/>
    <n v="0"/>
    <n v="0"/>
    <n v="39232999"/>
    <s v="."/>
    <d v="2026-07-24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04"/>
    <d v="2026-07-24T00:00:00"/>
    <s v="K.P. Woven Pvt Ltd-Sales"/>
    <s v="GJ12CT5914"/>
    <s v="Flexible Intermediate Bulk Containers (Attachement Bag)"/>
    <s v="E-IO26-00515/006087-00011-00"/>
    <n v="226.1"/>
    <n v="8189"/>
    <s v="Kgs"/>
    <n v="1851532.9"/>
    <n v="8189"/>
    <n v="8189"/>
    <n v="0"/>
    <s v="FIBC"/>
    <s v="FIBC"/>
    <m/>
    <m/>
    <s v="Rs"/>
    <n v="1"/>
    <m/>
    <n v="9"/>
    <n v="166637.96"/>
    <n v="9"/>
    <n v="166637.96"/>
    <n v="0"/>
    <n v="0"/>
    <n v="39232999"/>
    <s v="."/>
    <d v="2026-07-24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05"/>
    <d v="2026-07-24T00:00:00"/>
    <s v="Plastene India ltd - Unit 1-Sales"/>
    <s v="GJ12BY8439"/>
    <s v="Flexible Intermediate Bulk Containers (Attachement Bag)"/>
    <s v="20BB-2026-PL-013/DSLO160L"/>
    <n v="226.88"/>
    <n v="18467"/>
    <s v="Kgs"/>
    <n v="4189792.96"/>
    <n v="18467"/>
    <n v="18467"/>
    <n v="4943955.7"/>
    <s v="FIBC"/>
    <s v="FIBC"/>
    <m/>
    <m/>
    <s v="Rs"/>
    <n v="1"/>
    <m/>
    <n v="9"/>
    <n v="377081.37"/>
    <n v="9"/>
    <n v="377081.37"/>
    <n v="0"/>
    <n v="0"/>
    <n v="39232999"/>
    <s v="."/>
    <d v="2026-07-24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406"/>
    <d v="2026-07-24T00:00:00"/>
    <s v="Hcp Plastene Bulkpack Ltd (Unit Iv) - Sales"/>
    <s v="GJ-39 TB 3534"/>
    <s v="PP Woven Fabrics"/>
    <s v="UL CUTPCS"/>
    <n v="154.74"/>
    <n v="86"/>
    <s v="Kgs"/>
    <n v="13307.64"/>
    <n v="86"/>
    <n v="86"/>
    <n v="79086.3"/>
    <s v="Woven - Fabric"/>
    <s v="Woven - Fabric"/>
    <m/>
    <m/>
    <s v="Rs"/>
    <n v="1"/>
    <m/>
    <n v="9"/>
    <n v="1197.69"/>
    <n v="9"/>
    <n v="1197.69"/>
    <n v="0"/>
    <n v="0"/>
    <n v="39269080"/>
    <s v="."/>
    <d v="2026-07-24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406"/>
    <d v="2026-07-24T00:00:00"/>
    <s v="Hcp Plastene Bulkpack Ltd (Unit Iv) - Sales"/>
    <s v="GJ-39 TB 3534"/>
    <s v="PP Laminated Fabrics"/>
    <s v="PP Lam Fabric With UV-SPOUT"/>
    <n v="158.74"/>
    <n v="210"/>
    <s v="Kgs"/>
    <n v="33335.4"/>
    <n v="210"/>
    <n v="220"/>
    <n v="0"/>
    <s v="Woven - Fabric"/>
    <s v="Woven - Fabric"/>
    <m/>
    <m/>
    <s v="Rs"/>
    <n v="1"/>
    <m/>
    <n v="9"/>
    <n v="3000.19"/>
    <n v="9"/>
    <n v="3000.19"/>
    <n v="0"/>
    <n v="0"/>
    <n v="39269080"/>
    <s v="."/>
    <d v="2026-07-24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7"/>
  </r>
  <r>
    <s v="Plastene Polyfilms Limited"/>
    <n v="406"/>
    <d v="2026-07-24T00:00:00"/>
    <s v="Hcp Plastene Bulkpack Ltd (Unit Iv) - Sales"/>
    <s v="GJ-39 TB 3534"/>
    <s v="PP Laminated Fabrics"/>
    <s v="PP Lam Fabric With UV-SPOUT - COLOUR"/>
    <n v="161.74"/>
    <n v="126"/>
    <s v="Kgs"/>
    <n v="20379.240000000002"/>
    <n v="126"/>
    <n v="133"/>
    <n v="0"/>
    <s v="Woven - Fabric"/>
    <s v="Woven - Fabric"/>
    <m/>
    <m/>
    <s v="Rs"/>
    <n v="1"/>
    <m/>
    <n v="9"/>
    <n v="1834.13"/>
    <n v="9"/>
    <n v="1834.13"/>
    <n v="0"/>
    <n v="0"/>
    <n v="39269080"/>
    <s v="."/>
    <d v="2026-07-24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7"/>
  </r>
  <r>
    <s v="Plastene Polyfilms Limited"/>
    <n v="408"/>
    <d v="2026-07-25T00:00:00"/>
    <s v="Plastene India ltd - Unit 1-Sales"/>
    <s v="GJ12X1249"/>
    <s v="PP Laminated Fabrics"/>
    <s v="LAMI CUT PCS BLACK FABRIC"/>
    <n v="159.74"/>
    <n v="83"/>
    <s v="Kgs"/>
    <n v="13258.42"/>
    <n v="83"/>
    <n v="83"/>
    <n v="53407.73"/>
    <s v="FIBC"/>
    <s v="Woven - Fabric"/>
    <m/>
    <m/>
    <s v="Rs"/>
    <n v="1"/>
    <m/>
    <n v="9"/>
    <n v="1193.26"/>
    <n v="9"/>
    <n v="1193.26"/>
    <n v="0"/>
    <n v="0"/>
    <n v="39269080"/>
    <s v="."/>
    <d v="2026-07-25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408"/>
    <d v="2026-07-25T00:00:00"/>
    <s v="Plastene India ltd - Unit 1-Sales"/>
    <s v="GJ12X1249"/>
    <s v="PP Laminated Fabrics"/>
    <s v="LAMI CUT PCS M/W FABRIC"/>
    <n v="134.74"/>
    <n v="85"/>
    <s v="Kgs"/>
    <n v="11452.9"/>
    <n v="85"/>
    <n v="85"/>
    <n v="0"/>
    <s v="FIBC"/>
    <s v="Woven - Fabric"/>
    <m/>
    <m/>
    <s v="Rs"/>
    <n v="1"/>
    <m/>
    <n v="9"/>
    <n v="1030.76"/>
    <n v="9"/>
    <n v="1030.76"/>
    <n v="0"/>
    <n v="0"/>
    <n v="39269080"/>
    <s v="."/>
    <d v="2026-07-25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408"/>
    <d v="2026-07-25T00:00:00"/>
    <s v="Plastene India ltd - Unit 1-Sales"/>
    <s v="GJ12X1249"/>
    <s v="PP Woven Fabrics"/>
    <s v="PP UL Fabric With UV"/>
    <n v="154.74"/>
    <n v="132.80000000000001"/>
    <s v="Kgs"/>
    <n v="20549.47"/>
    <n v="132.80000000000001"/>
    <n v="138.80000000000001"/>
    <n v="0"/>
    <s v="FIBC"/>
    <s v="Woven - Fabric"/>
    <m/>
    <m/>
    <s v="Rs"/>
    <n v="1"/>
    <m/>
    <n v="9"/>
    <n v="1849.45"/>
    <n v="9"/>
    <n v="1849.45"/>
    <n v="0"/>
    <n v="0"/>
    <n v="39269080"/>
    <s v="."/>
    <d v="2026-07-25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409"/>
    <d v="2026-07-25T00:00:00"/>
    <s v="Plastene India ltd - Unit 1-Sales"/>
    <s v="GJ12BV1104"/>
    <s v="Flexible Intermediate Bulk Containers (Attachement Bag)"/>
    <s v="20BB-2026-PL-013/DSLO160L"/>
    <n v="226.7"/>
    <n v="18482"/>
    <s v="Kgs"/>
    <n v="4189869.4"/>
    <n v="18482"/>
    <n v="18482"/>
    <n v="4944045.9000000004"/>
    <s v="FIBC"/>
    <s v="FIBC"/>
    <m/>
    <m/>
    <s v="Rs"/>
    <n v="1"/>
    <m/>
    <n v="9"/>
    <n v="377088.25"/>
    <n v="9"/>
    <n v="377088.25"/>
    <n v="0"/>
    <n v="0"/>
    <n v="39232999"/>
    <s v="."/>
    <d v="2026-07-25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410"/>
    <d v="2026-07-25T00:00:00"/>
    <s v="Oswal Lumber Pvt Ltd - Sales"/>
    <s v="GJ01DY8320"/>
    <s v="PP Woven Big Bags"/>
    <s v="FIBC BAGS"/>
    <n v="385"/>
    <n v="45"/>
    <s v="Pcs"/>
    <n v="17325"/>
    <n v="65"/>
    <n v="65"/>
    <n v="20443.5"/>
    <s v="FIBC"/>
    <s v="FIBC"/>
    <m/>
    <m/>
    <s v="Rs"/>
    <n v="1"/>
    <m/>
    <n v="9"/>
    <n v="1559.25"/>
    <n v="9"/>
    <n v="1559.25"/>
    <n v="0"/>
    <n v="0"/>
    <n v="39232999"/>
    <s v="."/>
    <d v="2026-07-25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411"/>
    <d v="2026-07-25T00:00:00"/>
    <s v="Parekh Ventures LLP - Sales"/>
    <s v="GJ12BZ1529"/>
    <s v="INK"/>
    <s v="Ink Vyankatesh Black VLX 579 Tape Tested"/>
    <n v="225"/>
    <n v="25"/>
    <s v="Kgs"/>
    <n v="5625"/>
    <n v="25"/>
    <n v="25"/>
    <n v="29765.5"/>
    <s v="Ink / Pigment"/>
    <s v="Ink / Pigment"/>
    <m/>
    <m/>
    <s v="Rs"/>
    <n v="1"/>
    <m/>
    <n v="9"/>
    <n v="506.25"/>
    <n v="9"/>
    <n v="506.25"/>
    <n v="0"/>
    <n v="0"/>
    <n v="32151990"/>
    <s v="."/>
    <d v="2026-07-25T00:00:00"/>
    <n v="0"/>
    <n v="0"/>
    <m/>
    <n v="0"/>
    <m/>
    <m/>
    <m/>
    <n v="0"/>
    <n v="0"/>
    <n v="0"/>
    <n v="0"/>
    <n v="0"/>
    <n v="0"/>
    <n v="0"/>
    <n v="0"/>
    <m/>
    <s v="KUTCH"/>
    <s v="India"/>
    <s v="RMC00125"/>
    <s v="Ink Vyankatesh Black VLX 579 Tape Tested"/>
    <s v="RM Consumables"/>
    <s v="Ink"/>
    <x v="9"/>
  </r>
  <r>
    <s v="Plastene Polyfilms Limited"/>
    <n v="411"/>
    <d v="2026-07-25T00:00:00"/>
    <s v="Parekh Ventures LLP - Sales"/>
    <s v="GJ12BZ1529"/>
    <s v="Thinner"/>
    <s v="Thinner Vyankatesh Thinner"/>
    <n v="112"/>
    <n v="175"/>
    <s v="Kgs"/>
    <n v="19600"/>
    <n v="175"/>
    <n v="175"/>
    <n v="0"/>
    <s v="Ink / Pigment"/>
    <s v="Thinner"/>
    <m/>
    <m/>
    <s v="Rs"/>
    <n v="1"/>
    <m/>
    <n v="9"/>
    <n v="1764"/>
    <n v="9"/>
    <n v="1764"/>
    <n v="0"/>
    <n v="0"/>
    <n v="38140011"/>
    <s v="."/>
    <d v="2026-07-25T00:00:00"/>
    <n v="0"/>
    <n v="0"/>
    <m/>
    <n v="0"/>
    <m/>
    <m/>
    <m/>
    <n v="0"/>
    <n v="0"/>
    <n v="0"/>
    <n v="0"/>
    <n v="0"/>
    <n v="0"/>
    <n v="0"/>
    <n v="0"/>
    <m/>
    <s v="KUTCH"/>
    <s v="India"/>
    <s v="RAW05764"/>
    <s v="Thinner Vyankatesh Thinner"/>
    <s v="RM Consumables"/>
    <s v="Ink"/>
    <x v="15"/>
  </r>
  <r>
    <s v="Plastene Polyfilms Limited"/>
    <n v="412"/>
    <d v="2026-07-25T00:00:00"/>
    <s v="Plastene India ltd - Unit 1-Sales"/>
    <s v="GJ12FB2542"/>
    <s v="LD/LLDPE  FILM"/>
    <s v="LDPE/LLDPE Film"/>
    <n v="275"/>
    <n v="12.8"/>
    <s v="Kgs"/>
    <n v="3520"/>
    <n v="12.8"/>
    <n v="12.8"/>
    <n v="4153.6000000000004"/>
    <s v="Others"/>
    <s v="Others"/>
    <m/>
    <m/>
    <s v="Rs"/>
    <n v="1"/>
    <m/>
    <n v="9"/>
    <n v="316.8"/>
    <n v="9"/>
    <n v="316.8"/>
    <n v="0"/>
    <n v="0"/>
    <n v="39201019"/>
    <s v="."/>
    <d v="2026-07-25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413"/>
    <d v="2026-07-25T00:00:00"/>
    <s v="Plastene India ltd - Unit 1-Sales"/>
    <s v="GJ-12 X 1249"/>
    <s v="PP Woven Fabrics"/>
    <s v="PP UL Fabric With UV"/>
    <n v="154.74"/>
    <n v="379"/>
    <s v="Kgs"/>
    <n v="58646.46"/>
    <n v="379"/>
    <n v="405"/>
    <n v="69202.820000000007"/>
    <s v="Woven - Fabric"/>
    <s v="Woven - Fabric"/>
    <m/>
    <m/>
    <s v="Rs"/>
    <n v="1"/>
    <m/>
    <n v="9"/>
    <n v="5278.18"/>
    <n v="9"/>
    <n v="5278.18"/>
    <n v="0"/>
    <n v="0"/>
    <n v="39269080"/>
    <s v="."/>
    <d v="2026-07-25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415"/>
    <d v="2026-07-25T00:00:00"/>
    <s v="Hcp Plastene Bulkpack Ltd Vadodara-Sales"/>
    <s v="GJ-06 ZZ 8766"/>
    <s v="PP Woven Fabrics"/>
    <s v="PP UL Fabric With UV"/>
    <n v="154.74"/>
    <n v="1849.7"/>
    <s v="Kgs"/>
    <n v="286222.58"/>
    <n v="1849.7"/>
    <n v="1946.7"/>
    <n v="337742.64"/>
    <s v="Woven - Fabric"/>
    <s v="Woven - Fabric"/>
    <m/>
    <m/>
    <s v="Rs"/>
    <n v="1"/>
    <m/>
    <n v="9"/>
    <n v="25760.03"/>
    <n v="9"/>
    <n v="25760.03"/>
    <n v="0"/>
    <n v="0"/>
    <n v="39269080"/>
    <n v="2554"/>
    <d v="2026-07-25T00:00:00"/>
    <n v="0"/>
    <n v="0"/>
    <m/>
    <n v="0"/>
    <m/>
    <m/>
    <m/>
    <n v="0"/>
    <n v="0"/>
    <n v="0"/>
    <n v="0"/>
    <n v="0"/>
    <n v="0"/>
    <n v="0"/>
    <n v="0"/>
    <m/>
    <s v="VADODARA"/>
    <s v="India"/>
    <s v="WIP00023"/>
    <s v="PP UL Fabric With UV"/>
    <s v="SF"/>
    <s v="PP/PE Fabric"/>
    <x v="10"/>
  </r>
  <r>
    <s v="Plastene Polyfilms Limited"/>
    <s v="PPL/E/60/26-27"/>
    <d v="2026-07-25T00:00:00"/>
    <s v="OSWAL EXTRUSION LTD- KASEZ-SALES"/>
    <s v="GJ09Z0572"/>
    <s v="LD/LLDPE BAGS"/>
    <s v="PE Labels (Kgs)"/>
    <n v="271"/>
    <n v="136"/>
    <s v="Kgs"/>
    <n v="36856"/>
    <n v="136"/>
    <n v="136"/>
    <n v="36856"/>
    <s v="Others"/>
    <s v="Others"/>
    <m/>
    <m/>
    <s v="Rs"/>
    <n v="1"/>
    <s v="LUT Bond No"/>
    <n v="0"/>
    <n v="0"/>
    <n v="0"/>
    <n v="0"/>
    <n v="18"/>
    <n v="6634.08"/>
    <n v="392310"/>
    <s v="."/>
    <d v="2026-07-25T00:00:00"/>
    <n v="0"/>
    <n v="0"/>
    <m/>
    <n v="0"/>
    <m/>
    <m/>
    <m/>
    <n v="0"/>
    <n v="0"/>
    <n v="0"/>
    <n v="0"/>
    <n v="0"/>
    <n v="0"/>
    <n v="0"/>
    <n v="0"/>
    <m/>
    <s v="KASEZ"/>
    <s v="India"/>
    <s v="SMF00147"/>
    <s v="PE Labels (Kgs)"/>
    <s v="SF"/>
    <s v="Liners"/>
    <x v="3"/>
  </r>
  <r>
    <s v="Plastene Polyfilms Limited"/>
    <s v="PPL/E/61/26-27"/>
    <d v="2026-07-25T00:00:00"/>
    <s v="K.P. Woven Pvt Ltd - Unit 3 -Sales"/>
    <s v="GJ09Z0572"/>
    <s v="Flexible Intermediate Bulk Containers (Attachement Bag)."/>
    <s v="PP WOVEN BIG BAGS"/>
    <n v="2"/>
    <n v="1018"/>
    <s v="Kgs"/>
    <n v="188330"/>
    <n v="1018"/>
    <n v="1018"/>
    <n v="188330"/>
    <s v="FIBC"/>
    <s v="FIBC"/>
    <m/>
    <m/>
    <s v="USD"/>
    <n v="92.5"/>
    <s v="LUT Bond No"/>
    <m/>
    <m/>
    <m/>
    <m/>
    <n v="18"/>
    <n v="366.48"/>
    <n v="63053200"/>
    <n v="25"/>
    <d v="2026-07-25T00:00:00"/>
    <n v="2036"/>
    <n v="188330"/>
    <s v="FOB"/>
    <n v="2036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4"/>
  </r>
  <r>
    <s v="Plastene Polyfilms Limited"/>
    <s v="PPL/E/62/26-27"/>
    <d v="2026-07-25T00:00:00"/>
    <s v="K.P. Woven Pvt Ltd - Unit 3 -Sales"/>
    <s v="GJ09Z0572"/>
    <s v="Polypropylene Woven Fabrics"/>
    <s v="PP UL Fabric With UV"/>
    <n v="1.1499999999999999"/>
    <n v="268"/>
    <s v="Kgs"/>
    <n v="27614.719999999899"/>
    <n v="268"/>
    <n v="275"/>
    <n v="27614.719999999899"/>
    <s v="Woven - Fabric"/>
    <s v="Woven - Fabric"/>
    <m/>
    <m/>
    <s v="USD"/>
    <n v="89.6"/>
    <s v="LUT Bond No"/>
    <m/>
    <m/>
    <m/>
    <m/>
    <n v="18"/>
    <n v="55.48"/>
    <n v="39269080"/>
    <s v="."/>
    <d v="2026-07-25T00:00:00"/>
    <n v="308.2"/>
    <n v="27614.719999999899"/>
    <s v="FOB"/>
    <n v="308.2"/>
    <m/>
    <m/>
    <n v="6220250"/>
    <n v="0"/>
    <n v="0"/>
    <n v="0"/>
    <n v="0"/>
    <n v="0"/>
    <n v="0"/>
    <n v="0"/>
    <n v="0"/>
    <m/>
    <s v="KASEZ"/>
    <s v="India"/>
    <s v="WIP00023"/>
    <s v="PP UL Fabric With UV"/>
    <s v="SF"/>
    <s v="PP/PE Fabric"/>
    <x v="13"/>
  </r>
  <r>
    <s v="Plastene Polyfilms Limited"/>
    <s v="PPL/E/63/26-27"/>
    <d v="2026-07-25T00:00:00"/>
    <s v="K.P. Woven Pvt Ltd - Unit 3 -Sales"/>
    <s v="GJ09Z0572"/>
    <s v="PP Woven Fabrics Laminated/ Coated"/>
    <s v="PP Lam Fabric With UV"/>
    <n v="148.47"/>
    <n v="410.8"/>
    <s v="Kgs"/>
    <n v="60991.476000000002"/>
    <n v="410.8"/>
    <n v="414.8"/>
    <n v="60991"/>
    <s v="Woven - Fabric"/>
    <s v="Woven - Fabric"/>
    <m/>
    <m/>
    <s v="Rs"/>
    <n v="1"/>
    <s v="LUT Bond No"/>
    <n v="0"/>
    <n v="0"/>
    <n v="0"/>
    <n v="0"/>
    <n v="18"/>
    <n v="10978.47"/>
    <n v="39269080"/>
    <s v="."/>
    <d v="2026-07-25T00:00:00"/>
    <n v="0"/>
    <n v="0"/>
    <m/>
    <n v="0"/>
    <m/>
    <m/>
    <m/>
    <n v="0"/>
    <n v="0"/>
    <n v="0"/>
    <n v="0"/>
    <n v="0"/>
    <n v="0"/>
    <n v="0"/>
    <n v="0"/>
    <m/>
    <s v="KASEZ"/>
    <s v="India"/>
    <s v="WIP00025"/>
    <s v="PP Lam Fabric With UV"/>
    <s v="SF"/>
    <s v="PP/PE Fabric"/>
    <x v="14"/>
  </r>
  <r>
    <s v="Plastene Polyfilms Limited"/>
    <n v="417"/>
    <d v="2026-07-26T00:00:00"/>
    <s v="Plastene India ltd - Unit 1-Sales"/>
    <s v="GJ12X1249"/>
    <s v="PP Woven Fabrics"/>
    <s v="PP UL Fabric With UV"/>
    <n v="154.74"/>
    <n v="760.4"/>
    <s v="Kgs"/>
    <n v="117664.3"/>
    <n v="760.4"/>
    <n v="760.4"/>
    <n v="193913.96"/>
    <s v="FIBC"/>
    <s v="Woven - Fabric"/>
    <m/>
    <m/>
    <s v="Rs"/>
    <n v="1"/>
    <m/>
    <n v="9"/>
    <n v="10589.79"/>
    <n v="9"/>
    <n v="10589.79"/>
    <n v="0"/>
    <n v="0"/>
    <n v="39269080"/>
    <s v="."/>
    <d v="2026-07-26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417"/>
    <d v="2026-07-26T00:00:00"/>
    <s v="Plastene India ltd - Unit 1-Sales"/>
    <s v="GJ12X1249"/>
    <s v="PP Woven Fabrics Laminated/ Coated"/>
    <s v="PP Lam Fabric With UV"/>
    <n v="158.74"/>
    <n v="294"/>
    <s v="Kgs"/>
    <n v="46669.56"/>
    <n v="294"/>
    <n v="294"/>
    <n v="0"/>
    <s v="FIBC"/>
    <s v="Woven - Fabric"/>
    <m/>
    <m/>
    <s v="Rs"/>
    <n v="1"/>
    <m/>
    <n v="9"/>
    <n v="4200.26"/>
    <n v="9"/>
    <n v="4200.26"/>
    <n v="0"/>
    <n v="0"/>
    <n v="39269080"/>
    <s v="."/>
    <d v="2026-07-26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7"/>
  </r>
  <r>
    <s v="Plastene Polyfilms Limited"/>
    <n v="419"/>
    <d v="2026-07-27T00:00:00"/>
    <s v="Plastene India ltd - Unit 1-Sales"/>
    <s v="GJ12FB-2542"/>
    <s v="LD/LLDPE  FILM"/>
    <s v="lable"/>
    <n v="270"/>
    <n v="14.7"/>
    <s v="Kgs"/>
    <n v="3969"/>
    <n v="14.7"/>
    <n v="14.7"/>
    <n v="4683.42"/>
    <s v="Others"/>
    <s v="Others"/>
    <m/>
    <m/>
    <s v="Rs"/>
    <n v="1"/>
    <m/>
    <n v="9"/>
    <n v="357.21"/>
    <n v="9"/>
    <n v="357.21"/>
    <n v="0"/>
    <n v="0"/>
    <n v="39201019"/>
    <s v="-"/>
    <d v="2026-07-27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s v="PPL/E/64/26-27"/>
    <d v="2026-07-27T00:00:00"/>
    <s v="Pt Sheel Oil Indonesia"/>
    <s v="GJ12CT7030"/>
    <s v="Flexible Intermediate Bulk Containers (Attachement Bag)."/>
    <s v="PP WOVEN BIG BAGS"/>
    <n v="2.3133414000000001"/>
    <n v="19608"/>
    <s v="Kgs"/>
    <n v="4302152.9440000001"/>
    <n v="19608"/>
    <n v="20280"/>
    <n v="4329612"/>
    <s v="FIBC"/>
    <s v="FIBC"/>
    <m/>
    <m/>
    <s v="USD"/>
    <n v="95.45"/>
    <s v="Claim for Rebate"/>
    <m/>
    <m/>
    <m/>
    <m/>
    <n v="18"/>
    <n v="8164.8"/>
    <n v="63053200"/>
    <m/>
    <d v="2026-07-27T00:00:00"/>
    <n v="45072.32"/>
    <n v="4302152.9440000001"/>
    <s v="CIF"/>
    <n v="45360"/>
    <m/>
    <m/>
    <n v="6220250"/>
    <n v="265"/>
    <n v="22.68"/>
    <n v="0"/>
    <n v="0"/>
    <n v="0"/>
    <n v="0"/>
    <n v="0"/>
    <n v="0"/>
    <s v="OOCU7306230"/>
    <s v="MALAYSIA"/>
    <s v="Indonesia"/>
    <s v="WIP00004"/>
    <s v="FIBC Bags With UV Without Liner"/>
    <s v="FG"/>
    <s v="FIBC Bags"/>
    <x v="4"/>
  </r>
  <r>
    <s v="Plastene Polyfilms Limited"/>
    <n v="420"/>
    <d v="2026-07-28T00:00:00"/>
    <s v="Plastene India ltd - Unit 1-Sales"/>
    <s v="GJ12X1249"/>
    <s v="PP Woven Fabrics Laminated/ Coated"/>
    <s v="LAMI CUT PCS BUFFLE PUNCHING"/>
    <n v="134.74"/>
    <n v="69"/>
    <s v="Kgs"/>
    <n v="9297.06"/>
    <n v="69"/>
    <n v="69"/>
    <n v="10970.54"/>
    <s v="FIBC"/>
    <s v="Woven - Fabric"/>
    <m/>
    <m/>
    <s v="Rs"/>
    <n v="1"/>
    <m/>
    <n v="9"/>
    <n v="836.74"/>
    <n v="9"/>
    <n v="836.74"/>
    <n v="0"/>
    <n v="0"/>
    <n v="39269080"/>
    <s v="."/>
    <d v="2026-07-28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421"/>
    <d v="2026-07-28T00:00:00"/>
    <s v="Hcp Plastene Bulkpack Ltd (Unit Iv) - Sales"/>
    <s v="GJ12BY1595"/>
    <s v="Flexible Intermediate Bulk Containers (Attachement Bag)"/>
    <s v="29934/516R1"/>
    <n v="206.78"/>
    <n v="1752"/>
    <s v="Kgs"/>
    <n v="362278.56"/>
    <n v="1752"/>
    <n v="1752"/>
    <n v="2321384.71"/>
    <s v="FIBC"/>
    <s v="FIBC"/>
    <m/>
    <m/>
    <s v="Rs"/>
    <n v="1"/>
    <m/>
    <n v="9"/>
    <n v="32605.07"/>
    <n v="9"/>
    <n v="32605.07"/>
    <n v="0"/>
    <n v="0"/>
    <n v="39232999"/>
    <s v="."/>
    <d v="2026-07-28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421"/>
    <d v="2026-07-28T00:00:00"/>
    <s v="Hcp Plastene Bulkpack Ltd (Unit Iv) - Sales"/>
    <s v="GJ12BY1595"/>
    <s v="Flexible Intermediate Bulk Containers (Attachement Bag)"/>
    <s v="29934/AG825"/>
    <n v="196.25"/>
    <n v="1685"/>
    <s v="CMS"/>
    <n v="330681.25"/>
    <n v="1685"/>
    <n v="1685"/>
    <n v="0"/>
    <s v="FIBC"/>
    <s v="FIBC"/>
    <m/>
    <m/>
    <s v="Rs"/>
    <n v="1"/>
    <m/>
    <n v="9"/>
    <n v="29761.31"/>
    <n v="9"/>
    <n v="29761.31"/>
    <n v="0"/>
    <n v="0"/>
    <n v="39232999"/>
    <s v="."/>
    <d v="2026-07-28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421"/>
    <d v="2026-07-28T00:00:00"/>
    <s v="Hcp Plastene Bulkpack Ltd (Unit Iv) - Sales"/>
    <s v="GJ12BY1595"/>
    <s v="Flexible Intermediate Bulk Containers (Attachement Bag)"/>
    <s v="OEL432/542"/>
    <n v="233.23"/>
    <n v="3232"/>
    <s v="Kgs"/>
    <n v="753799.36"/>
    <n v="3232"/>
    <n v="3232"/>
    <n v="0"/>
    <s v="FIBC"/>
    <s v="FIBC"/>
    <m/>
    <m/>
    <s v="Rs"/>
    <n v="1"/>
    <m/>
    <n v="9"/>
    <n v="67841.94"/>
    <n v="9"/>
    <n v="67841.94"/>
    <n v="0"/>
    <n v="0"/>
    <n v="39232999"/>
    <s v="."/>
    <d v="2026-07-28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421"/>
    <d v="2026-07-28T00:00:00"/>
    <s v="Hcp Plastene Bulkpack Ltd (Unit Iv) - Sales"/>
    <s v="GJ12BY1595"/>
    <s v="Flexible Intermediate Bulk Containers (Attachement Bag)"/>
    <s v="29969/386R1"/>
    <n v="213.94"/>
    <n v="2433"/>
    <s v="Kgs"/>
    <n v="520516.02"/>
    <n v="2433"/>
    <n v="2433"/>
    <n v="0"/>
    <s v="FIBC"/>
    <s v="FIBC"/>
    <m/>
    <m/>
    <s v="Rs"/>
    <n v="1"/>
    <m/>
    <n v="9"/>
    <n v="46846.44"/>
    <n v="9"/>
    <n v="46846.44"/>
    <n v="0"/>
    <n v="0"/>
    <n v="39232999"/>
    <s v="."/>
    <d v="2026-07-28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422"/>
    <d v="2026-07-28T00:00:00"/>
    <s v="Hcp Plastene Bulkpack Ltd (Unit Iv) - Sales"/>
    <s v="GJ12BY1595"/>
    <s v="PP Woven Fabrics"/>
    <s v="UL CUTPCS FABRIC"/>
    <n v="154.74"/>
    <n v="273"/>
    <s v="Kgs"/>
    <n v="42244.02"/>
    <n v="273"/>
    <n v="273"/>
    <n v="49847.94"/>
    <s v="FIBC"/>
    <s v="Woven - Fabric"/>
    <m/>
    <m/>
    <s v="Rs"/>
    <n v="1"/>
    <m/>
    <n v="9"/>
    <n v="3801.96"/>
    <n v="9"/>
    <n v="3801.96"/>
    <n v="0"/>
    <n v="0"/>
    <n v="39269080"/>
    <s v="."/>
    <d v="2026-07-28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423"/>
    <d v="2026-07-28T00:00:00"/>
    <s v="Plastene India ltd - Unit 1-Sales"/>
    <s v="GJ12X1249"/>
    <s v="ARTICLES MADE OF LLDPE (LLDPE BAGS)"/>
    <s v="LDPE/LLDPE Bags/Liner--195 x 355 x 72 / GZT X 270 CM X 65 MIC / 207x260x750"/>
    <n v="187"/>
    <n v="250"/>
    <s v="Kgs"/>
    <n v="46750"/>
    <n v="250"/>
    <n v="250"/>
    <n v="55165"/>
    <s v="Multilayer"/>
    <s v="Small Bag"/>
    <m/>
    <m/>
    <s v="Rs"/>
    <n v="1"/>
    <m/>
    <n v="9"/>
    <n v="4207.5"/>
    <n v="9"/>
    <n v="4207.5"/>
    <n v="0"/>
    <n v="0"/>
    <n v="39232100"/>
    <s v="."/>
    <d v="2026-07-28T00:00:00"/>
    <n v="0"/>
    <n v="0"/>
    <m/>
    <n v="0"/>
    <m/>
    <m/>
    <m/>
    <n v="0"/>
    <n v="0"/>
    <n v="0"/>
    <n v="0"/>
    <n v="0"/>
    <n v="0"/>
    <n v="0"/>
    <n v="0"/>
    <m/>
    <s v="KUTCH"/>
    <s v="India"/>
    <s v="WIP00013"/>
    <s v="LDPE/LLDPE Bags/Liner"/>
    <s v="SF"/>
    <s v="Liners"/>
    <x v="3"/>
  </r>
  <r>
    <s v="Plastene Polyfilms Limited"/>
    <s v="PPL/E/65/26-27"/>
    <d v="2026-07-28T00:00:00"/>
    <s v="K.P. Woven Pvt Ltd - Unit 3 -Sales"/>
    <s v="GJ09Z0572"/>
    <s v="FILLER CORD"/>
    <s v="Filler Cord"/>
    <n v="137"/>
    <n v="2019.7"/>
    <s v="Kgs"/>
    <n v="276698.90000000002"/>
    <n v="2019.7"/>
    <n v="2019.7"/>
    <n v="276698.90000000002"/>
    <s v="Others"/>
    <s v="Others"/>
    <m/>
    <m/>
    <s v="Rs"/>
    <n v="1"/>
    <s v="LUT Bond No"/>
    <n v="0"/>
    <n v="0"/>
    <n v="0"/>
    <n v="0"/>
    <n v="5"/>
    <n v="13834.94"/>
    <n v="540263"/>
    <s v="."/>
    <d v="2026-07-28T00:00:00"/>
    <n v="0"/>
    <n v="0"/>
    <m/>
    <n v="0"/>
    <m/>
    <m/>
    <m/>
    <n v="0"/>
    <n v="0"/>
    <n v="0"/>
    <n v="0"/>
    <n v="0"/>
    <n v="0"/>
    <n v="0"/>
    <n v="0"/>
    <m/>
    <s v="KASEZ"/>
    <s v="India"/>
    <s v="WIP00022"/>
    <s v="Filler Cord"/>
    <s v="SF"/>
    <s v="Yarn All"/>
    <x v="5"/>
  </r>
  <r>
    <s v="Plastene Polyfilms Limited"/>
    <s v="PPL/E/66/26-27"/>
    <d v="2026-07-28T00:00:00"/>
    <s v="K.P. Woven Pvt Ltd - Unit 3 -Sales"/>
    <s v="GJ09Z0572"/>
    <s v="Flexible Intermediate Bulk Containers (Attachment Bag)"/>
    <s v="PP WOVEN BIG BAGS"/>
    <n v="2"/>
    <n v="5588"/>
    <s v="Kgs"/>
    <n v="1046073.6"/>
    <n v="5588"/>
    <n v="5588"/>
    <n v="1046073.6"/>
    <s v="FIBC"/>
    <s v="FIBC"/>
    <m/>
    <m/>
    <s v="USD"/>
    <n v="93.6"/>
    <s v="LUT Bond No"/>
    <m/>
    <m/>
    <m/>
    <m/>
    <n v="18"/>
    <n v="2011.68"/>
    <n v="39232999"/>
    <n v="26"/>
    <d v="2026-07-28T00:00:00"/>
    <n v="11176"/>
    <n v="1046073.6"/>
    <s v="FOB"/>
    <n v="11176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4"/>
  </r>
  <r>
    <s v="Plastene Polyfilms Limited"/>
    <n v="424"/>
    <d v="2026-07-29T00:00:00"/>
    <s v="Plastene India ltd - Unit 1-Sales"/>
    <s v="GJ12X1249"/>
    <s v="PP Woven Fabrics Laminated/ Coated"/>
    <s v="LAMI CUT PCS BAFFLE PUNCHING"/>
    <n v="134.74"/>
    <n v="35"/>
    <s v="Kgs"/>
    <n v="4715.8999999999996"/>
    <n v="35"/>
    <n v="35"/>
    <n v="5564.76"/>
    <s v="FIBC"/>
    <s v="Woven - Fabric"/>
    <m/>
    <m/>
    <s v="Rs"/>
    <n v="1"/>
    <m/>
    <n v="9"/>
    <n v="424.43"/>
    <n v="9"/>
    <n v="424.43"/>
    <n v="0"/>
    <n v="0"/>
    <n v="39269080"/>
    <s v="."/>
    <d v="2026-07-29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425"/>
    <d v="2026-07-30T00:00:00"/>
    <s v="Plastene India ltd - Unit 1-Sales"/>
    <s v="GJ12X1249"/>
    <s v="PP Woven Fabrics"/>
    <s v="PP UL Fabric With UV"/>
    <n v="154.74"/>
    <n v="133"/>
    <s v="Kgs"/>
    <n v="20580.419999999998"/>
    <n v="133"/>
    <n v="139"/>
    <n v="190332.64"/>
    <s v="FIBC"/>
    <s v="Woven - Fabric"/>
    <m/>
    <m/>
    <s v="Rs"/>
    <n v="1"/>
    <m/>
    <n v="9"/>
    <n v="1852.24"/>
    <n v="9"/>
    <n v="1852.24"/>
    <n v="0"/>
    <n v="0"/>
    <n v="39269080"/>
    <s v="."/>
    <d v="2026-07-30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0"/>
  </r>
  <r>
    <s v="Plastene Polyfilms Limited"/>
    <n v="425"/>
    <d v="2026-07-30T00:00:00"/>
    <s v="Plastene India ltd - Unit 1-Sales"/>
    <s v="GJ12X1249"/>
    <s v="PP Woven Fabrics Laminated/ Coated"/>
    <s v="PP Lam Fabric With UV-Spout"/>
    <n v="158.74"/>
    <n v="244"/>
    <s v="Kgs"/>
    <n v="38732.559999999998"/>
    <n v="244"/>
    <n v="246"/>
    <n v="0"/>
    <s v="FIBC"/>
    <s v="Woven - Fabric"/>
    <m/>
    <m/>
    <s v="Rs"/>
    <n v="1"/>
    <m/>
    <n v="9"/>
    <n v="3485.93"/>
    <n v="9"/>
    <n v="3485.93"/>
    <n v="0"/>
    <n v="0"/>
    <n v="39269080"/>
    <s v="."/>
    <d v="2026-07-30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7"/>
  </r>
  <r>
    <s v="Plastene Polyfilms Limited"/>
    <n v="425"/>
    <d v="2026-07-30T00:00:00"/>
    <s v="Plastene India ltd - Unit 1-Sales"/>
    <s v="GJ12X1249"/>
    <s v="PP Woven Big Bags"/>
    <s v="REJECTED BAGS"/>
    <n v="134.74"/>
    <n v="689"/>
    <s v="Kgs"/>
    <n v="92835.86"/>
    <n v="689"/>
    <n v="689"/>
    <n v="0"/>
    <s v="FIBC"/>
    <s v="FIBC"/>
    <m/>
    <m/>
    <s v="Rs"/>
    <n v="1"/>
    <m/>
    <n v="9"/>
    <n v="8355.23"/>
    <n v="9"/>
    <n v="8355.23"/>
    <n v="0"/>
    <n v="0"/>
    <n v="39232999"/>
    <s v="."/>
    <d v="2026-07-30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425"/>
    <d v="2026-07-30T00:00:00"/>
    <s v="Plastene India ltd - Unit 1-Sales"/>
    <s v="GJ12X1249"/>
    <s v="PP Woven Fabrics"/>
    <s v="UL CUTPCS"/>
    <n v="150"/>
    <n v="61"/>
    <s v="Kgs"/>
    <n v="9150"/>
    <n v="61"/>
    <n v="61"/>
    <n v="0"/>
    <s v="FIBC"/>
    <s v="FIBC"/>
    <m/>
    <m/>
    <s v="Rs"/>
    <n v="1"/>
    <m/>
    <n v="9"/>
    <n v="823.5"/>
    <n v="9"/>
    <n v="823.5"/>
    <n v="0"/>
    <n v="0"/>
    <n v="39269080"/>
    <s v="."/>
    <d v="2026-07-30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s v="Plastene Polyfilms Limited"/>
    <n v="427"/>
    <d v="2026-07-30T00:00:00"/>
    <s v="Plastene India ltd - Unit 1-Sales"/>
    <s v="GJ12X1249"/>
    <s v="POLYESTER YARN"/>
    <s v="Polyster Yarn (1000x2 MW)"/>
    <n v="132"/>
    <n v="341.9"/>
    <s v="Kgs"/>
    <n v="45130.8"/>
    <n v="341.9"/>
    <n v="341.9"/>
    <n v="47387.34"/>
    <s v="PP YARN"/>
    <s v="Others"/>
    <m/>
    <m/>
    <s v="Rs"/>
    <n v="1"/>
    <m/>
    <n v="2.5"/>
    <n v="1128.27"/>
    <n v="2.5"/>
    <n v="1128.27"/>
    <n v="0"/>
    <n v="0"/>
    <n v="54026930"/>
    <s v="."/>
    <d v="2026-07-30T00:00:00"/>
    <n v="0"/>
    <n v="0"/>
    <m/>
    <n v="0"/>
    <m/>
    <m/>
    <m/>
    <n v="0"/>
    <n v="0"/>
    <n v="0"/>
    <n v="0"/>
    <n v="0"/>
    <n v="0"/>
    <n v="0"/>
    <n v="0"/>
    <m/>
    <s v="KUTCH"/>
    <s v="India"/>
    <s v="WIP00017"/>
    <s v="Polyester Yarn Twisted"/>
    <s v="SF"/>
    <s v="Yarn All"/>
    <x v="1"/>
  </r>
  <r>
    <s v="Plastene Polyfilms Limited"/>
    <n v="428"/>
    <d v="2026-07-30T00:00:00"/>
    <s v="Hcp Plastene Bulkpack Ltd (Unit Iv) - Sales"/>
    <s v="GJ39TB3534"/>
    <s v="PP Woven Fabrics"/>
    <s v="PP UL Fabric With UV"/>
    <n v="154.74"/>
    <n v="370.5"/>
    <s v="Kgs"/>
    <n v="57331.17"/>
    <n v="370.5"/>
    <n v="370.5"/>
    <n v="219611.37"/>
    <s v="Woven - Fabric"/>
    <s v="Woven - Fabric"/>
    <m/>
    <m/>
    <s v="Rs"/>
    <n v="1"/>
    <m/>
    <n v="9"/>
    <n v="5159.8100000000004"/>
    <n v="9"/>
    <n v="5159.8100000000004"/>
    <n v="0"/>
    <n v="0"/>
    <n v="39269080"/>
    <s v="."/>
    <d v="2026-07-30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0"/>
  </r>
  <r>
    <s v="Plastene Polyfilms Limited"/>
    <n v="428"/>
    <d v="2026-07-30T00:00:00"/>
    <s v="Hcp Plastene Bulkpack Ltd (Unit Iv) - Sales"/>
    <s v="GJ39TB3534"/>
    <s v="PP Woven Fabrics Laminated/ Coated"/>
    <s v="PP Lam Fabric With UV - Spout"/>
    <n v="158.74"/>
    <n v="307"/>
    <s v="Kgs"/>
    <n v="48733.18"/>
    <n v="307"/>
    <n v="307"/>
    <n v="0"/>
    <s v="Woven - Fabric"/>
    <s v="Woven - Fabric"/>
    <m/>
    <m/>
    <s v="Rs"/>
    <n v="1"/>
    <m/>
    <n v="9"/>
    <n v="4385.99"/>
    <n v="9"/>
    <n v="4385.99"/>
    <n v="0"/>
    <n v="0"/>
    <n v="39269080"/>
    <s v="."/>
    <d v="2026-07-30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7"/>
  </r>
  <r>
    <s v="Plastene Polyfilms Limited"/>
    <n v="428"/>
    <d v="2026-07-30T00:00:00"/>
    <s v="Hcp Plastene Bulkpack Ltd (Unit Iv) - Sales"/>
    <s v="GJ39TB3534"/>
    <s v="PP Woven Fabrics Laminated/ Coated"/>
    <s v="PP Lam Fabric With UV  - Blue Spout"/>
    <n v="161.74"/>
    <n v="294"/>
    <s v="Kgs"/>
    <n v="47551.56"/>
    <n v="294"/>
    <n v="294"/>
    <n v="0"/>
    <s v="Woven - Fabric"/>
    <s v="Woven - Fabric"/>
    <m/>
    <m/>
    <s v="Rs"/>
    <n v="1"/>
    <m/>
    <n v="9"/>
    <n v="4279.6400000000003"/>
    <n v="9"/>
    <n v="4279.6400000000003"/>
    <n v="0"/>
    <n v="0"/>
    <n v="39269080"/>
    <s v="."/>
    <d v="2026-07-30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7"/>
  </r>
  <r>
    <s v="Plastene Polyfilms Limited"/>
    <n v="428"/>
    <d v="2026-07-30T00:00:00"/>
    <s v="Hcp Plastene Bulkpack Ltd (Unit Iv) - Sales"/>
    <s v="GJ39TB3534"/>
    <s v="PP Woven Fabrics"/>
    <s v="UL CUTPCS"/>
    <n v="154.74"/>
    <n v="210"/>
    <s v="Kgs"/>
    <n v="32495.4"/>
    <n v="210"/>
    <n v="210"/>
    <n v="0"/>
    <s v="Woven - Fabric"/>
    <s v="Woven - Fabric"/>
    <m/>
    <m/>
    <s v="Rs"/>
    <n v="1"/>
    <m/>
    <n v="9"/>
    <n v="2924.59"/>
    <n v="9"/>
    <n v="2924.59"/>
    <n v="0"/>
    <n v="0"/>
    <n v="39269080"/>
    <s v="."/>
    <d v="2026-07-30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6"/>
  </r>
  <r>
    <s v="Plastene Polyfilms Limited"/>
    <n v="430"/>
    <d v="2026-07-30T00:00:00"/>
    <s v="Plastene India ltd - Unit 1-Sales"/>
    <s v="GJ12FB2542"/>
    <s v="LD/LLDPE  FILM"/>
    <s v="LDPE/LLDPE Film"/>
    <n v="278"/>
    <n v="21.3"/>
    <s v="Kgs"/>
    <n v="5921.4"/>
    <n v="21.3"/>
    <n v="21.3"/>
    <n v="6987.26"/>
    <s v="Others"/>
    <s v="Others"/>
    <m/>
    <m/>
    <s v="Rs"/>
    <n v="1"/>
    <m/>
    <n v="9"/>
    <n v="532.92999999999995"/>
    <n v="9"/>
    <n v="532.92999999999995"/>
    <n v="0"/>
    <n v="0"/>
    <n v="39201019"/>
    <s v="."/>
    <d v="2026-07-30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2"/>
  </r>
  <r>
    <s v="Plastene Polyfilms Limited"/>
    <n v="431"/>
    <d v="2026-07-30T00:00:00"/>
    <s v="Snf Flopam India Pvt Ltd"/>
    <s v="GJ09Z0572"/>
    <s v="Flexible Intermediate Bulk Containers (Attachment Bag)"/>
    <s v="PO00012244"/>
    <n v="509"/>
    <n v="3600"/>
    <s v="Pcs"/>
    <n v="1832400"/>
    <n v="8692"/>
    <n v="8692"/>
    <n v="2162232"/>
    <s v="FIBC"/>
    <s v="FIBC"/>
    <m/>
    <m/>
    <s v="Rs"/>
    <n v="1"/>
    <m/>
    <n v="9"/>
    <n v="164916"/>
    <n v="9"/>
    <n v="164916"/>
    <n v="0"/>
    <n v="0"/>
    <n v="39232999"/>
    <s v="."/>
    <d v="2026-07-30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s v="PPL/E/67/26-27"/>
    <d v="2026-07-30T00:00:00"/>
    <s v="K.P. Woven Pvt Ltd - Unit 3 -Sales"/>
    <s v="GJ39T9710"/>
    <s v="Polypropylene Woven Fabrics"/>
    <s v="PP UL Fabric With UV"/>
    <n v="1.1499999999999999"/>
    <n v="966"/>
    <s v="Kgs"/>
    <n v="99536.639999999999"/>
    <n v="966"/>
    <n v="1006"/>
    <n v="99536.639999999999"/>
    <s v="Woven - Fabric"/>
    <s v="Woven - Fabric"/>
    <m/>
    <m/>
    <s v="USD"/>
    <n v="89.6"/>
    <s v="LUT Bond No"/>
    <m/>
    <m/>
    <m/>
    <m/>
    <n v="18"/>
    <n v="199.96"/>
    <n v="39269080"/>
    <m/>
    <d v="2026-07-30T00:00:00"/>
    <n v="1110.9000000000001"/>
    <n v="99536.639999999999"/>
    <s v="FOB"/>
    <n v="1110.9000000000001"/>
    <m/>
    <m/>
    <n v="6220250"/>
    <n v="0"/>
    <n v="0"/>
    <n v="0"/>
    <n v="0"/>
    <n v="0"/>
    <n v="0"/>
    <n v="0"/>
    <n v="0"/>
    <m/>
    <s v="KASEZ"/>
    <s v="India"/>
    <s v="WIP00023"/>
    <s v="PP UL Fabric With UV"/>
    <s v="SF"/>
    <s v="PP/PE Fabric"/>
    <x v="13"/>
  </r>
  <r>
    <s v="Plastene Polyfilms Limited"/>
    <n v="432"/>
    <d v="2026-07-31T00:00:00"/>
    <s v="HCP Plastene Bulkpack Limited - Sales"/>
    <s v="GJ39TA9436"/>
    <s v="Flexible Intermediate Bulk Containers (Attachment Bag)"/>
    <s v="KRZY-93/KK0019 SUGAR KSC"/>
    <n v="197.17"/>
    <n v="19663"/>
    <s v="Kgs"/>
    <n v="3876953.71"/>
    <n v="19663"/>
    <n v="19663"/>
    <n v="4574805.37"/>
    <s v="FIBC"/>
    <s v="FIBC"/>
    <m/>
    <m/>
    <s v="Rs"/>
    <n v="1"/>
    <m/>
    <n v="9"/>
    <n v="348925.83"/>
    <n v="9"/>
    <n v="348925.83"/>
    <n v="0"/>
    <n v="0"/>
    <n v="39232999"/>
    <s v="."/>
    <d v="2026-07-3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33"/>
    <d v="2026-07-31T00:00:00"/>
    <s v="Plastene India ltd - Unit 1-Sales"/>
    <s v="GJ12FB2542"/>
    <s v="PP Woven Fabrics"/>
    <s v="UL CUTPCS"/>
    <n v="150"/>
    <n v="80"/>
    <s v="Kgs"/>
    <n v="12000"/>
    <n v="80"/>
    <n v="80"/>
    <n v="14160"/>
    <s v="FIBC"/>
    <s v="Woven - Fabric"/>
    <m/>
    <m/>
    <s v="Rs"/>
    <n v="1"/>
    <m/>
    <n v="9"/>
    <n v="1080"/>
    <n v="9"/>
    <n v="1080"/>
    <n v="0"/>
    <n v="0"/>
    <n v="39269080"/>
    <s v="."/>
    <d v="2026-07-31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9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9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9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4">
  <r>
    <d v="2026-01-07T00:00:00"/>
    <s v="HCP Plastene Bulkpack Limited - Sales"/>
    <s v="Sales"/>
    <n v="300"/>
    <s v="Sales - Within State  Manufactured Goods"/>
    <s v="PPL/D/300"/>
    <d v="2026-01-07T00:00:00"/>
    <s v="FG"/>
    <s v="FIBC Bags"/>
    <x v="0"/>
    <s v="FIBC"/>
    <s v="FIBC Bags With UV Without Liner"/>
    <n v="8186"/>
    <n v="1603882.98"/>
    <s v="2026001056/6573"/>
    <n v="4628748.29"/>
    <n v="9"/>
    <n v="144349.47"/>
    <n v="9"/>
    <n v="144349.47"/>
    <n v="0"/>
    <n v="0"/>
    <n v="0"/>
    <n v="288698.94"/>
    <n v="0"/>
    <s v="24AABCG1282C2Z6"/>
    <s v="KGS"/>
    <n v="39232990"/>
    <s v="Rs."/>
    <n v="1"/>
    <n v="8186"/>
    <s v="India"/>
  </r>
  <r>
    <d v="2026-01-07T00:00:00"/>
    <s v="HCP Plastene Bulkpack Limited - Sales"/>
    <s v="Sales"/>
    <n v="300"/>
    <s v="Sales - Within State  Manufactured Goods"/>
    <s v="PPL/D/300"/>
    <d v="2026-01-07T00:00:00"/>
    <s v="FG"/>
    <s v="FIBC Bags"/>
    <x v="0"/>
    <s v="FIBC"/>
    <s v="FIBC Bags With UV Without Liner"/>
    <n v="829"/>
    <n v="163114.04"/>
    <s v="2026000968/5477"/>
    <n v="0"/>
    <n v="9"/>
    <n v="14680.26"/>
    <n v="9"/>
    <n v="14680.26"/>
    <n v="0"/>
    <n v="0"/>
    <n v="0"/>
    <n v="29360.52"/>
    <n v="0"/>
    <s v="24AABCG1282C2Z6"/>
    <s v="KGS"/>
    <n v="39232990"/>
    <s v="Rs."/>
    <n v="1"/>
    <n v="829"/>
    <s v="India"/>
  </r>
  <r>
    <d v="2026-01-07T00:00:00"/>
    <s v="HCP Plastene Bulkpack Limited - Sales"/>
    <s v="Sales"/>
    <n v="300"/>
    <s v="Sales - Within State  Manufactured Goods"/>
    <s v="PPL/D/300"/>
    <d v="2026-01-07T00:00:00"/>
    <s v="FG"/>
    <s v="FIBC Bags"/>
    <x v="0"/>
    <s v="FIBC"/>
    <s v="FIBC Bags With UV Without Liner"/>
    <n v="1291"/>
    <n v="258445.29"/>
    <s v="2026001057/10907"/>
    <n v="0"/>
    <n v="9"/>
    <n v="23260.080000000002"/>
    <n v="9"/>
    <n v="23260.080000000002"/>
    <n v="0"/>
    <n v="0"/>
    <n v="0"/>
    <n v="46520.160000000003"/>
    <n v="0"/>
    <s v="24AABCG1282C2Z6"/>
    <s v="KGS"/>
    <n v="39232990"/>
    <s v="Rs."/>
    <n v="1"/>
    <n v="1291"/>
    <s v="India"/>
  </r>
  <r>
    <d v="2026-01-07T00:00:00"/>
    <s v="HCP Plastene Bulkpack Limited - Sales"/>
    <s v="Sales"/>
    <n v="300"/>
    <s v="Sales - Within State  Manufactured Goods"/>
    <s v="PPL/D/300"/>
    <d v="2026-01-07T00:00:00"/>
    <s v="FG"/>
    <s v="FIBC Bags"/>
    <x v="0"/>
    <s v="FIBC"/>
    <s v="FIBC Bags With UV Without Liner"/>
    <n v="1501.4"/>
    <n v="312831.7"/>
    <s v="2026001112/2023002479"/>
    <n v="0"/>
    <n v="9"/>
    <n v="28154.85"/>
    <n v="9"/>
    <n v="28154.85"/>
    <n v="0"/>
    <n v="0"/>
    <n v="0"/>
    <n v="56309.7"/>
    <n v="0"/>
    <s v="24AABCG1282C2Z6"/>
    <s v="KGS"/>
    <n v="39232990"/>
    <s v="Rs."/>
    <n v="1"/>
    <n v="1501.4"/>
    <s v="India"/>
  </r>
  <r>
    <d v="2026-01-07T00:00:00"/>
    <s v="HCP Plastene Bulkpack Limited - Sales"/>
    <s v="Sales"/>
    <n v="300"/>
    <s v="Sales - Within State  Manufactured Goods"/>
    <s v="PPL/D/300"/>
    <d v="2026-01-07T00:00:00"/>
    <s v="FG"/>
    <s v="FIBC Bags"/>
    <x v="0"/>
    <s v="FIBC"/>
    <s v="FIBC Bags With UV Without Liner"/>
    <n v="3506"/>
    <n v="784853.16"/>
    <s v="2026001011/2026001193"/>
    <n v="0"/>
    <n v="9"/>
    <n v="70636.78"/>
    <n v="9"/>
    <n v="70636.78"/>
    <n v="0"/>
    <n v="0"/>
    <n v="0"/>
    <n v="141273.56"/>
    <n v="0"/>
    <s v="24AABCG1282C2Z6"/>
    <s v="KGS"/>
    <n v="39232990"/>
    <s v="Rs."/>
    <n v="1"/>
    <n v="3506"/>
    <s v="India"/>
  </r>
  <r>
    <d v="2026-01-07T00:00:00"/>
    <s v="HCP Plastene Bulkpack Limited - Sales"/>
    <s v="Sales"/>
    <n v="300"/>
    <s v="Sales - Within State  Manufactured Goods"/>
    <s v="PPL/D/300"/>
    <d v="2026-01-07T00:00:00"/>
    <s v="FG"/>
    <s v="FIBC Bags"/>
    <x v="0"/>
    <s v="FIBC"/>
    <s v="FIBC Bags With UV Without Liner"/>
    <n v="3905"/>
    <n v="802868"/>
    <s v="2026001055/6572"/>
    <n v="0"/>
    <n v="9"/>
    <n v="72258.12"/>
    <n v="9"/>
    <n v="72258.12"/>
    <n v="0"/>
    <n v="0"/>
    <n v="0"/>
    <n v="144516.24"/>
    <n v="0"/>
    <s v="24AABCG1282C2Z6"/>
    <s v="KGS"/>
    <n v="39232990"/>
    <s v="Rs."/>
    <n v="1"/>
    <n v="3905"/>
    <s v="India"/>
  </r>
  <r>
    <d v="2026-01-07T00:00:00"/>
    <s v="Plastene India ltd - Unit 1-Sales"/>
    <s v="Sales"/>
    <n v="301"/>
    <s v="Sales - Within State - Traded Goods"/>
    <s v="PPL/D/301"/>
    <d v="2026-01-07T00:00:00"/>
    <s v="SF"/>
    <s v="Yarn All"/>
    <x v="1"/>
    <s v="Yarn"/>
    <s v="PP MF Yarn Twisted 3000 Denier UV Deep Blue"/>
    <n v="86.6"/>
    <n v="17424.79"/>
    <s v="PP MF Yarn Twisted 3000 Denier UV Deep Blue"/>
    <n v="18278.61"/>
    <n v="2.5"/>
    <n v="435.62"/>
    <n v="2.5"/>
    <n v="435.62"/>
    <n v="0"/>
    <n v="0"/>
    <n v="0"/>
    <n v="871.24"/>
    <n v="0"/>
    <s v="24AAACO3087C1ZT"/>
    <s v="KGS"/>
    <n v="54026300"/>
    <s v="Rs."/>
    <n v="1"/>
    <n v="86.6"/>
    <s v="India"/>
  </r>
  <r>
    <d v="2026-01-07T00:00:00"/>
    <s v="Plastene India ltd - Unit 1-Sales"/>
    <s v="Sales"/>
    <n v="302"/>
    <s v="Sales - Within State - Traded Goods"/>
    <s v="PPL/D/302"/>
    <d v="2026-01-07T00:00:00"/>
    <s v="SF"/>
    <s v="Films All (SF)"/>
    <x v="2"/>
    <s v="LLDPE FILM"/>
    <s v="LDPE/LLDPE Film"/>
    <n v="13.5"/>
    <n v="3510"/>
    <s v="LDPE/LLDPE Film"/>
    <n v="4138.29"/>
    <n v="9"/>
    <n v="315.89999999999998"/>
    <n v="9"/>
    <n v="315.89999999999998"/>
    <n v="0"/>
    <n v="0"/>
    <n v="0"/>
    <n v="631.79999999999995"/>
    <n v="0"/>
    <s v="24AAACO3087C1ZT"/>
    <s v="KGS"/>
    <n v="39201019"/>
    <s v="Rs."/>
    <n v="1"/>
    <n v="13.5"/>
    <s v="India"/>
  </r>
  <r>
    <d v="2026-02-07T00:00:00"/>
    <s v="Hcp Plastene Bulkpack Ltd (Unit Iv) - Sales"/>
    <s v="Sales"/>
    <n v="303"/>
    <s v="Sales - Within State - Traded Goods"/>
    <s v="PPL/D/303"/>
    <d v="2026-02-07T00:00:00"/>
    <s v="SF"/>
    <s v="Liners"/>
    <x v="3"/>
    <s v="LDPE/LLDPE Bags"/>
    <s v="LDPE/LLDPE Bags/Liner"/>
    <n v="60"/>
    <n v="11580"/>
    <s v="LDPE/LLDPE Bags/Liner"/>
    <n v="13652.82"/>
    <n v="9"/>
    <n v="1042.2"/>
    <n v="9"/>
    <n v="1042.2"/>
    <n v="0"/>
    <n v="0"/>
    <n v="0"/>
    <n v="2084.4"/>
    <n v="0"/>
    <s v="24AABCG1282C2Z6"/>
    <s v="KGS"/>
    <n v="392310"/>
    <s v="Rs."/>
    <n v="1"/>
    <n v="60"/>
    <s v="India"/>
  </r>
  <r>
    <d v="2026-02-07T00:00:00"/>
    <s v="K.P. Woven Pvt Ltd - Unit 3 -Sales"/>
    <s v="Export Sales"/>
    <s v="PPL/E/46/26-27"/>
    <s v="Sales - Kasez - Mfg - U/B"/>
    <s v="PPL/E/46/26-27"/>
    <d v="2026-02-07T00:00:00"/>
    <s v="FG"/>
    <s v="FIBC Bags"/>
    <x v="4"/>
    <s v="FIBC"/>
    <s v="FIBC Bags With UV Without Liner"/>
    <n v="2309"/>
    <n v="432244.8"/>
    <s v="PP WOVEN BIG BAGS"/>
    <n v="431812.56"/>
    <n v="0"/>
    <n v="0"/>
    <n v="0"/>
    <n v="0"/>
    <n v="0"/>
    <n v="0"/>
    <n v="0"/>
    <n v="0"/>
    <n v="0"/>
    <s v="24AAECK6307M2ZE"/>
    <s v="KGS"/>
    <n v="63053200"/>
    <s v="$"/>
    <n v="93.6"/>
    <n v="2309"/>
    <s v="India"/>
  </r>
  <r>
    <d v="2026-02-07T00:00:00"/>
    <s v="K.P. Woven Pvt Ltd - Unit 3 -Sales"/>
    <s v="SALES (FOREX)"/>
    <s v="PPL/E/47/26-27"/>
    <s v="Sales - Kasez - Mfg - U/B"/>
    <s v="PPL/E/47/26-27"/>
    <d v="2026-02-07T00:00:00"/>
    <s v="SF"/>
    <s v="Yarn All"/>
    <x v="5"/>
    <s v="Yarn"/>
    <s v="Polyester Yarn Twisted"/>
    <n v="2651.1"/>
    <n v="349945.2"/>
    <s v="Polyester Yarn Twisted"/>
    <n v="349595.25"/>
    <m/>
    <n v="0"/>
    <m/>
    <n v="0"/>
    <m/>
    <n v="0"/>
    <n v="0"/>
    <n v="0"/>
    <n v="0"/>
    <s v="24AAECK6307M2ZE"/>
    <s v="KGS"/>
    <n v="540239"/>
    <s v="Rs."/>
    <n v="1"/>
    <n v="2651.1"/>
    <s v="India"/>
  </r>
  <r>
    <d v="2026-03-07T00:00:00"/>
    <s v="Commercial Bag Company"/>
    <s v="Export Sales"/>
    <s v="PPL/TP/017"/>
    <s v="Sales - Export - Third Party"/>
    <s v="PPL/TP/017"/>
    <d v="2026-03-07T00:00:00"/>
    <s v="FG"/>
    <s v="FIBC Bags"/>
    <x v="6"/>
    <s v="FIBC"/>
    <s v="FIBC Bags With UV Without Liner"/>
    <n v="19758"/>
    <n v="5168157.13"/>
    <s v="PP WOVEN BIG BAGS (FIBC)"/>
    <n v="5168157.13"/>
    <n v="0"/>
    <n v="0"/>
    <n v="0"/>
    <n v="0"/>
    <n v="0"/>
    <n v="0"/>
    <n v="0"/>
    <n v="0"/>
    <n v="0"/>
    <s v="N.A."/>
    <s v="KGS"/>
    <n v="63053200"/>
    <s v="$"/>
    <n v="93.5"/>
    <n v="19758"/>
    <s v="USA"/>
  </r>
  <r>
    <d v="2026-03-07T00:00:00"/>
    <s v="Hcp Plastene Bulkpack Ltd (Unit Iv) - Sales"/>
    <s v="Sales"/>
    <n v="304"/>
    <s v="Sales - Within State - Traded Goods"/>
    <s v="PPL/D/304"/>
    <d v="2026-03-07T00:00:00"/>
    <s v="SF"/>
    <s v="Films All (SF)"/>
    <x v="2"/>
    <s v="LLDPE FILM"/>
    <s v="LDPE/LLDPE Film"/>
    <n v="44.5"/>
    <n v="11036"/>
    <s v="LDPE/LLDPE Film"/>
    <n v="13011.44"/>
    <n v="9"/>
    <n v="993.24"/>
    <n v="9"/>
    <n v="993.24"/>
    <n v="0"/>
    <n v="0"/>
    <n v="0"/>
    <n v="1986.48"/>
    <n v="0"/>
    <s v="24AABCG1282C2Z6"/>
    <s v="KGS"/>
    <n v="39201019"/>
    <s v="Rs."/>
    <n v="1"/>
    <n v="44.5"/>
    <s v="India"/>
  </r>
  <r>
    <d v="2026-03-07T00:00:00"/>
    <s v="Plastene India ltd - Unit 1-Sales"/>
    <s v="Sales"/>
    <n v="307"/>
    <s v="Sales - Within State  Manufactured Goods"/>
    <s v="PPL/D/307"/>
    <d v="2026-03-07T00:00:00"/>
    <s v="SF"/>
    <s v="Yarn All"/>
    <x v="1"/>
    <s v="Yarn"/>
    <s v="PP MF Yarn Twisted 3000 Denier UV Deep Blue"/>
    <n v="75.7"/>
    <n v="15231.6"/>
    <s v="YARN"/>
    <n v="420438.11"/>
    <n v="2.5"/>
    <n v="380.79"/>
    <n v="2.5"/>
    <n v="380.79"/>
    <n v="0"/>
    <n v="0"/>
    <n v="0"/>
    <n v="761.58"/>
    <n v="0"/>
    <s v="24AAACO3087C1ZT"/>
    <s v="KGS"/>
    <n v="54026930"/>
    <s v="Rs."/>
    <n v="1"/>
    <n v="75.7"/>
    <s v="India"/>
  </r>
  <r>
    <d v="2026-03-07T00:00:00"/>
    <s v="Plastene India ltd - Unit 1-Sales"/>
    <s v="Sales"/>
    <n v="307"/>
    <s v="Sales - Within State  Manufactured Goods"/>
    <s v="PPL/D/307"/>
    <d v="2026-03-07T00:00:00"/>
    <s v="SF"/>
    <s v="PP/PE Fabric"/>
    <x v="7"/>
    <s v="PP Laminated Fabric"/>
    <s v="PP Lam Fabric With UV"/>
    <n v="855"/>
    <n v="129455.55"/>
    <s v="MORE THEN 100 GSM"/>
    <n v="0"/>
    <n v="9"/>
    <n v="11651"/>
    <n v="9"/>
    <n v="11651"/>
    <n v="0"/>
    <n v="0"/>
    <n v="0"/>
    <n v="23302"/>
    <n v="0"/>
    <s v="24AAACO3087C1ZT"/>
    <s v="KGS"/>
    <n v="39269080"/>
    <s v="Rs."/>
    <n v="1"/>
    <n v="855"/>
    <s v="India"/>
  </r>
  <r>
    <d v="2026-03-07T00:00:00"/>
    <s v="Plastene India ltd - Unit 1-Sales"/>
    <s v="Sales"/>
    <n v="307"/>
    <s v="Sales - Within State  Manufactured Goods"/>
    <s v="PPL/D/307"/>
    <d v="2026-03-07T00:00:00"/>
    <s v="SF"/>
    <s v="Webbing"/>
    <x v="8"/>
    <s v="PP Webbing"/>
    <s v="Webbing"/>
    <n v="305.60000000000002"/>
    <n v="46270.9"/>
    <s v="COLOUR"/>
    <n v="0"/>
    <n v="9"/>
    <n v="4164.38"/>
    <n v="9"/>
    <n v="4164.38"/>
    <n v="0"/>
    <n v="0"/>
    <n v="0"/>
    <n v="8328.76"/>
    <n v="0"/>
    <s v="24AAACO3087C1ZT"/>
    <s v="KGS"/>
    <n v="39269080"/>
    <s v="Rs."/>
    <n v="1"/>
    <n v="305.60000000000002"/>
    <s v="India"/>
  </r>
  <r>
    <d v="2026-03-07T00:00:00"/>
    <s v="Plastene India ltd - Unit 1-Sales"/>
    <s v="Sales"/>
    <n v="307"/>
    <s v="Sales - Within State  Manufactured Goods"/>
    <s v="PPL/D/307"/>
    <d v="2026-03-07T00:00:00"/>
    <s v="FG"/>
    <s v="FIBC WIP"/>
    <x v="9"/>
    <s v="PP Laminated Fabric"/>
    <s v="FIBC WIP"/>
    <n v="118"/>
    <n v="15270.38"/>
    <s v="CUT PICES"/>
    <n v="0"/>
    <n v="9"/>
    <n v="1374.33"/>
    <n v="9"/>
    <n v="1374.33"/>
    <n v="0"/>
    <n v="0"/>
    <n v="0"/>
    <n v="2748.66"/>
    <n v="0"/>
    <s v="24AAACO3087C1ZT"/>
    <s v="KGS"/>
    <n v="39269080"/>
    <s v="Rs."/>
    <n v="1"/>
    <n v="118"/>
    <s v="India"/>
  </r>
  <r>
    <d v="2026-03-07T00:00:00"/>
    <s v="Plastene India ltd - Unit 1-Sales"/>
    <s v="Sales"/>
    <n v="307"/>
    <s v="Sales - Within State  Manufactured Goods"/>
    <s v="PPL/D/307"/>
    <d v="2026-03-07T00:00:00"/>
    <s v="FG"/>
    <s v="FIBC WIP"/>
    <x v="9"/>
    <s v="FIBC"/>
    <s v="FIBC WIP"/>
    <n v="1175"/>
    <n v="152056.75"/>
    <s v="REJUCTED BAGS"/>
    <n v="0"/>
    <n v="9"/>
    <n v="13685.11"/>
    <n v="9"/>
    <n v="13685.11"/>
    <n v="0"/>
    <n v="0"/>
    <n v="0"/>
    <n v="27370.22"/>
    <n v="0"/>
    <s v="24AAACO3087C1ZT"/>
    <s v="KGS"/>
    <n v="39232990"/>
    <s v="Rs."/>
    <n v="1"/>
    <n v="1175"/>
    <s v="India"/>
  </r>
  <r>
    <d v="2026-04-07T00:00:00"/>
    <s v="Hcp Plastene Bulkpack Ltd (Unit Iv) - Sales"/>
    <s v="Sales"/>
    <n v="309"/>
    <s v="Sales - Within State  Manufactured Goods"/>
    <s v="PPL/D/309"/>
    <d v="2026-04-07T00:00:00"/>
    <s v="FG"/>
    <s v="FIBC WIP"/>
    <x v="9"/>
    <s v="PP WOVEN FABRIC"/>
    <s v="FIBC WIP"/>
    <n v="560"/>
    <n v="83669.600000000006"/>
    <s v="UL CUT PCS"/>
    <n v="98646.45"/>
    <n v="9"/>
    <n v="7530.26"/>
    <n v="9"/>
    <n v="7530.26"/>
    <n v="0"/>
    <n v="0"/>
    <n v="0"/>
    <n v="15060.52"/>
    <n v="0"/>
    <s v="24AABCG1282C2Z6"/>
    <s v="KGS"/>
    <n v="39269080"/>
    <s v="Rs."/>
    <n v="1"/>
    <n v="560"/>
    <s v="India"/>
  </r>
  <r>
    <d v="2026-04-07T00:00:00"/>
    <s v="Plastene India ltd - Unit 1-Sales"/>
    <s v="Sales"/>
    <n v="308"/>
    <s v="Sales - Within State - Traded Goods"/>
    <s v="PPL/D/308"/>
    <d v="2026-04-07T00:00:00"/>
    <s v="RM Consumables"/>
    <s v="Ink"/>
    <x v="10"/>
    <s v="INK"/>
    <s v="Ink Vyankatesh Poly Process Yellow VLX 671"/>
    <n v="25"/>
    <n v="7050"/>
    <s v="Ink Vyankatesh Poly Process Yellow VLX 671"/>
    <n v="8311.9500000000007"/>
    <n v="9"/>
    <n v="634.5"/>
    <n v="9"/>
    <n v="634.5"/>
    <n v="0"/>
    <n v="0"/>
    <n v="0"/>
    <n v="1269"/>
    <n v="0"/>
    <s v="24AAACO3087C1ZT"/>
    <s v="KGS"/>
    <n v="32151990"/>
    <s v="Rs."/>
    <n v="1"/>
    <n v="25"/>
    <s v="India"/>
  </r>
  <r>
    <d v="2026-04-07T00:00:00"/>
    <s v="Plastene India ltd - Unit 1-Sales"/>
    <s v="Sales"/>
    <n v="310"/>
    <s v="Sales - Within State - Traded Goods"/>
    <s v="PPL/D/310"/>
    <d v="2026-04-07T00:00:00"/>
    <s v="SF"/>
    <s v="Liners"/>
    <x v="3"/>
    <s v="LDPE/LLDPE Bags"/>
    <s v="LDPE/LLDPE Bags/Liner"/>
    <n v="334"/>
    <n v="60504.1"/>
    <s v="zip lock 30x30x80"/>
    <n v="71334.34"/>
    <n v="9"/>
    <n v="5445.37"/>
    <n v="9"/>
    <n v="5445.37"/>
    <n v="0"/>
    <n v="0"/>
    <n v="0"/>
    <n v="10890.74"/>
    <n v="0"/>
    <s v="24AAACO3087C1ZT"/>
    <s v="KGS"/>
    <n v="392310"/>
    <s v="Rs."/>
    <n v="1"/>
    <n v="334"/>
    <s v="India"/>
  </r>
  <r>
    <d v="2026-06-07T00:00:00"/>
    <s v="Hcp Plastene Bulkpack Ltd (Unit Iv) - Sales"/>
    <s v="Sales"/>
    <n v="314"/>
    <s v="Sales - Within State  Manufactured Goods"/>
    <s v="PPL/D/314"/>
    <d v="2026-06-07T00:00:00"/>
    <s v="FG"/>
    <s v="FIBC WIP"/>
    <x v="9"/>
    <s v="PP WOVEN FABRIC"/>
    <s v="FIBC WIP"/>
    <n v="411"/>
    <n v="63598.14"/>
    <s v="UL CUTPLCS - 100 GSM"/>
    <n v="116943.05"/>
    <n v="9"/>
    <n v="5723.83"/>
    <n v="9"/>
    <n v="5723.83"/>
    <n v="0"/>
    <n v="0"/>
    <n v="0"/>
    <n v="11447.66"/>
    <n v="0"/>
    <s v="24AABCG1282C2Z6"/>
    <s v="KGS"/>
    <n v="39269080"/>
    <s v="Rs."/>
    <n v="1"/>
    <n v="411"/>
    <s v="India"/>
  </r>
  <r>
    <d v="2026-06-07T00:00:00"/>
    <s v="Hcp Plastene Bulkpack Ltd (Unit Iv) - Sales"/>
    <s v="Sales"/>
    <n v="314"/>
    <s v="Sales - Within State  Manufactured Goods"/>
    <s v="PPL/D/314"/>
    <d v="2026-06-07T00:00:00"/>
    <s v="SF"/>
    <s v="PP/PE Fabric"/>
    <x v="11"/>
    <s v="PP WOVEN FABRIC"/>
    <s v="PP UL Fabric With UV"/>
    <n v="230"/>
    <n v="35590.199999999997"/>
    <s v="PP UL Fabric With UV"/>
    <n v="0"/>
    <n v="9"/>
    <n v="3203.12"/>
    <n v="9"/>
    <n v="3203.12"/>
    <n v="0"/>
    <n v="0"/>
    <n v="0"/>
    <n v="6406.24"/>
    <n v="0"/>
    <s v="24AABCG1282C2Z6"/>
    <s v="KGS"/>
    <n v="39269080"/>
    <s v="Rs."/>
    <n v="1"/>
    <n v="230"/>
    <s v="India"/>
  </r>
  <r>
    <d v="2026-06-07T00:00:00"/>
    <s v="Plastene India ltd - Unit 1-Sales"/>
    <s v="Sales"/>
    <n v="311"/>
    <s v="Sales - Within State - Traded Goods"/>
    <s v="PPL/D/311"/>
    <d v="2026-06-07T00:00:00"/>
    <s v="SF"/>
    <s v="Yarn All"/>
    <x v="1"/>
    <s v="Yarn"/>
    <s v="PP MF Yarn Twisted 3000 Denier UV Deep Blue"/>
    <n v="164.6"/>
    <n v="33119.17"/>
    <s v="PP MF Yarn Twisted 3000 Denier UV Deep Blue"/>
    <n v="34742.01"/>
    <n v="2.5"/>
    <n v="827.98"/>
    <n v="2.5"/>
    <n v="827.98"/>
    <n v="0"/>
    <n v="0"/>
    <n v="0"/>
    <n v="1655.96"/>
    <n v="0"/>
    <s v="24AAACO3087C1ZT"/>
    <s v="KGS"/>
    <n v="54026930"/>
    <s v="Rs."/>
    <n v="1"/>
    <n v="164.6"/>
    <s v="India"/>
  </r>
  <r>
    <d v="2026-06-07T00:00:00"/>
    <s v="Plastene India ltd - Unit 1-Sales"/>
    <s v="Sales"/>
    <n v="315"/>
    <s v="Sales - Within State  Manufactured Goods"/>
    <s v="PPL/D/315"/>
    <d v="2026-06-07T00:00:00"/>
    <s v="FG"/>
    <s v="FIBC WIP"/>
    <x v="9"/>
    <s v="FIBC"/>
    <s v="FIBC WIP"/>
    <n v="128"/>
    <n v="19200"/>
    <s v="FIBC BAGS"/>
    <n v="22636.799999999999"/>
    <n v="9"/>
    <n v="1728"/>
    <n v="9"/>
    <n v="1728"/>
    <n v="0"/>
    <n v="0"/>
    <n v="0"/>
    <n v="3456"/>
    <n v="0"/>
    <s v="24AAACO3087C1ZT"/>
    <s v="KGS"/>
    <n v="39232990"/>
    <s v="Rs."/>
    <n v="1"/>
    <n v="128"/>
    <s v="India"/>
  </r>
  <r>
    <d v="2026-07-07T00:00:00"/>
    <s v="Hcp Plastene Bulkpack Ltd (Unit Iv) - Sales"/>
    <s v="Sales"/>
    <n v="320"/>
    <s v="Sales - Within State  Manufactured Goods"/>
    <s v="PPL/D/320"/>
    <d v="2026-07-07T00:00:00"/>
    <s v="FG"/>
    <s v="FIBC WIP"/>
    <x v="9"/>
    <s v="PP WOVEN FABRIC"/>
    <s v="FIBC WIP"/>
    <n v="281"/>
    <n v="43481.94"/>
    <s v="UL CUT PCS"/>
    <n v="190283.31"/>
    <n v="9"/>
    <n v="3913.37"/>
    <n v="9"/>
    <n v="3913.37"/>
    <n v="0"/>
    <n v="0"/>
    <n v="0"/>
    <n v="7826.74"/>
    <n v="0"/>
    <s v="24AABCG1282C2Z6"/>
    <s v="KGS"/>
    <n v="39269080"/>
    <s v="Rs."/>
    <n v="1"/>
    <n v="281"/>
    <s v="India"/>
  </r>
  <r>
    <d v="2026-07-07T00:00:00"/>
    <s v="Hcp Plastene Bulkpack Ltd (Unit Iv) - Sales"/>
    <s v="Sales"/>
    <n v="320"/>
    <s v="Sales - Within State  Manufactured Goods"/>
    <s v="PPL/D/320"/>
    <d v="2026-07-07T00:00:00"/>
    <s v="SF"/>
    <s v="PP/PE Fabric"/>
    <x v="11"/>
    <s v="PP WOVEN FABRIC"/>
    <s v="PP UL Fabric With UV"/>
    <n v="762"/>
    <n v="117911.88"/>
    <s v="PP UL Fabric With UV"/>
    <n v="0"/>
    <n v="9"/>
    <n v="10612.07"/>
    <n v="9"/>
    <n v="10612.07"/>
    <n v="0"/>
    <n v="0"/>
    <n v="0"/>
    <n v="21224.14"/>
    <n v="0"/>
    <s v="24AABCG1282C2Z6"/>
    <s v="KGS"/>
    <n v="39269080"/>
    <s v="Rs."/>
    <n v="1"/>
    <n v="762"/>
    <s v="India"/>
  </r>
  <r>
    <d v="2026-07-07T00:00:00"/>
    <s v="Plastene India ltd - Unit 1-Sales"/>
    <s v="Sales"/>
    <n v="317"/>
    <s v="Sales - Within State - Traded Goods"/>
    <s v="PPL/D/317"/>
    <d v="2026-07-07T00:00:00"/>
    <s v="SF"/>
    <s v="Films All (SF)"/>
    <x v="2"/>
    <s v="LLDPE FILM"/>
    <s v="LDPE/LLDPE Film"/>
    <n v="8.1999999999999993"/>
    <n v="2082.8000000000002"/>
    <s v="LDPE/LLDPE Film"/>
    <n v="2455.62"/>
    <n v="9"/>
    <n v="187.45"/>
    <n v="9"/>
    <n v="187.45"/>
    <n v="0"/>
    <n v="0"/>
    <n v="0"/>
    <n v="374.9"/>
    <n v="0"/>
    <s v="24AAACO3087C1ZT"/>
    <s v="KGS"/>
    <n v="39201019"/>
    <s v="Rs."/>
    <n v="1"/>
    <n v="8.1999999999999993"/>
    <s v="India"/>
  </r>
  <r>
    <d v="2026-07-07T00:00:00"/>
    <s v="Plastene India ltd - Unit 1-Sales"/>
    <s v="Sales"/>
    <n v="321"/>
    <s v="Sales - Within State - Traded Goods"/>
    <s v="PPL/D/321"/>
    <d v="2026-07-07T00:00:00"/>
    <s v="SF"/>
    <s v="Films All (SF)"/>
    <x v="2"/>
    <s v="LLDPE FILM"/>
    <s v="LDPE/LLDPE Film"/>
    <n v="4.3"/>
    <n v="1092.2"/>
    <s v="LDPE/LLDPE Film"/>
    <n v="1287.71"/>
    <n v="9"/>
    <n v="98.3"/>
    <n v="9"/>
    <n v="98.3"/>
    <n v="0"/>
    <n v="0"/>
    <n v="0"/>
    <n v="196.6"/>
    <n v="0"/>
    <s v="24AAACO3087C1ZT"/>
    <s v="KGS"/>
    <n v="39201019"/>
    <s v="Rs."/>
    <n v="1"/>
    <n v="4.3"/>
    <s v="India"/>
  </r>
  <r>
    <d v="2026-07-07T00:00:00"/>
    <s v="White Bag Company, Inc."/>
    <s v="Export Sales"/>
    <s v="PPL/E/48/26-27"/>
    <s v="Sales - Direct Export - Mfg - U/R"/>
    <s v="PPL/E/48/26-27"/>
    <d v="2026-07-07T00:00:00"/>
    <s v="FG"/>
    <s v="FIBC Bags"/>
    <x v="4"/>
    <s v="FIBC"/>
    <s v="FIBC Bags With UV Without Liner"/>
    <n v="19278.400000000001"/>
    <n v="4441437"/>
    <s v="PP WOVEN BIG BAGS"/>
    <n v="4441437"/>
    <n v="0"/>
    <n v="0"/>
    <n v="0"/>
    <n v="0"/>
    <n v="18"/>
    <n v="799458.66"/>
    <n v="0"/>
    <n v="799458.66"/>
    <n v="0"/>
    <s v="N.A."/>
    <s v="KGS"/>
    <n v="63053200"/>
    <s v="$"/>
    <n v="93.5"/>
    <n v="19278.400000000001"/>
    <s v="USA"/>
  </r>
  <r>
    <d v="2026-08-07T00:00:00"/>
    <s v="HCP Plastene Bulkpack Limited - Sales"/>
    <s v="Sales"/>
    <n v="325"/>
    <s v="Sales - Within State - Traded Goods"/>
    <s v="PPL/D/325"/>
    <d v="2026-08-07T00:00:00"/>
    <s v="FG"/>
    <s v="FIBC WIP"/>
    <x v="9"/>
    <s v="PP WOVEN FABRIC"/>
    <s v="FIBC WIP"/>
    <n v="295"/>
    <n v="45648.3"/>
    <s v="UL CUTPCS"/>
    <n v="156269.07999999999"/>
    <n v="9"/>
    <n v="4108.3500000000004"/>
    <n v="9"/>
    <n v="4108.3500000000004"/>
    <n v="0"/>
    <n v="0"/>
    <n v="0"/>
    <n v="8216.7000000000007"/>
    <n v="0"/>
    <s v="24AABCG1282C2Z6"/>
    <s v="KGS"/>
    <n v="39269080"/>
    <s v="Rs."/>
    <n v="1"/>
    <n v="295"/>
    <s v="India"/>
  </r>
  <r>
    <d v="2026-08-07T00:00:00"/>
    <s v="HCP Plastene Bulkpack Limited - Sales"/>
    <s v="Sales"/>
    <n v="325"/>
    <s v="Sales - Within State - Traded Goods"/>
    <s v="PPL/D/325"/>
    <d v="2026-08-07T00:00:00"/>
    <s v="SF"/>
    <s v="PP/PE Fabric"/>
    <x v="11"/>
    <s v="PP WOVEN FABRIC"/>
    <s v="PP UL Fabric With UV"/>
    <n v="341"/>
    <n v="52766.34"/>
    <s v="PP UL Fabric With UV"/>
    <n v="0"/>
    <n v="9"/>
    <n v="4748.97"/>
    <n v="9"/>
    <n v="4748.97"/>
    <n v="0"/>
    <n v="0"/>
    <n v="0"/>
    <n v="9497.94"/>
    <n v="0"/>
    <s v="24AABCG1282C2Z6"/>
    <s v="KGS"/>
    <n v="39269080"/>
    <s v="Rs."/>
    <n v="1"/>
    <n v="341"/>
    <s v="India"/>
  </r>
  <r>
    <d v="2026-08-07T00:00:00"/>
    <s v="HCP Plastene Bulkpack Limited - Sales"/>
    <s v="Sales"/>
    <n v="325"/>
    <s v="Sales - Within State - Traded Goods"/>
    <s v="PPL/D/325"/>
    <d v="2026-08-07T00:00:00"/>
    <s v="SF"/>
    <s v="PP/PE Fabric"/>
    <x v="7"/>
    <s v="PP Laminated Fabric"/>
    <s v="PP Lam Fabric With UV"/>
    <n v="215"/>
    <n v="34129.1"/>
    <s v="PP Lam Fabric With UV-Spout"/>
    <n v="0"/>
    <n v="9"/>
    <n v="3071.62"/>
    <n v="9"/>
    <n v="3071.62"/>
    <n v="0"/>
    <n v="0"/>
    <n v="0"/>
    <n v="6143.24"/>
    <n v="0"/>
    <s v="24AABCG1282C2Z6"/>
    <s v="KGS"/>
    <n v="39269080"/>
    <s v="Rs."/>
    <n v="1"/>
    <n v="215"/>
    <s v="India"/>
  </r>
  <r>
    <d v="2026-08-07T00:00:00"/>
    <s v="Plastene India ltd - Unit 1-Sales"/>
    <s v="Sales"/>
    <n v="322"/>
    <s v="Sales - Within State - Traded Goods"/>
    <s v="PPL/D/322"/>
    <d v="2026-08-07T00:00:00"/>
    <s v="FG"/>
    <s v="FIBC Bags"/>
    <x v="0"/>
    <s v="FIBC"/>
    <s v="FIBC Bags With UV Without Liner"/>
    <n v="20982"/>
    <n v="5024349.72"/>
    <s v="PO6011/MANO-309"/>
    <n v="5923708.3099999996"/>
    <n v="9"/>
    <n v="452191.47"/>
    <n v="9"/>
    <n v="452191.47"/>
    <n v="0"/>
    <n v="0"/>
    <n v="0"/>
    <n v="904382.94"/>
    <n v="0"/>
    <s v="24AAACO3087C1ZT"/>
    <s v="KGS"/>
    <n v="39232990"/>
    <s v="Rs."/>
    <n v="1"/>
    <n v="20982"/>
    <s v="India"/>
  </r>
  <r>
    <d v="2026-08-07T00:00:00"/>
    <s v="Plastene India ltd - Unit 1-Sales"/>
    <s v="Sales"/>
    <n v="323"/>
    <s v="Sales - Within State - Traded Goods"/>
    <s v="PPL/D/323"/>
    <d v="2026-08-07T00:00:00"/>
    <s v="SF"/>
    <s v="Wastage/Scrap"/>
    <x v="12"/>
    <s v="HD/PP WASTE"/>
    <s v="PP/HD Wastage/Scrap"/>
    <n v="1420"/>
    <n v="35500"/>
    <s v="LD INDOTHENE"/>
    <n v="42727.8"/>
    <n v="9"/>
    <n v="3195"/>
    <n v="9"/>
    <n v="3195"/>
    <n v="0"/>
    <n v="0"/>
    <n v="0"/>
    <n v="6390"/>
    <n v="837.8"/>
    <s v="24AAACO3087C1ZT"/>
    <s v="KGS"/>
    <n v="39159029"/>
    <s v="Rs."/>
    <n v="1"/>
    <n v="1420"/>
    <s v="India"/>
  </r>
  <r>
    <d v="2026-08-07T00:00:00"/>
    <s v="Plastene India ltd - Unit 1-Sales"/>
    <s v="Sales"/>
    <n v="326"/>
    <s v="Sales - Within State - Traded Goods"/>
    <s v="PPL/D/326"/>
    <d v="2026-08-07T00:00:00"/>
    <s v="SF"/>
    <s v="Films All (SF)"/>
    <x v="2"/>
    <s v="LLDPE FILM"/>
    <s v="LDPE/LLDPE Film"/>
    <n v="7.5"/>
    <n v="1927.5"/>
    <s v="LDPE/LLDPE Film"/>
    <n v="2272.5300000000002"/>
    <n v="9"/>
    <n v="173.48"/>
    <n v="9"/>
    <n v="173.48"/>
    <n v="0"/>
    <n v="0"/>
    <n v="0"/>
    <n v="346.96"/>
    <n v="0"/>
    <s v="24AAACO3087C1ZT"/>
    <s v="KGS"/>
    <n v="39201019"/>
    <s v="Rs."/>
    <n v="1"/>
    <n v="7.5"/>
    <s v="India"/>
  </r>
  <r>
    <d v="2026-09-07T00:00:00"/>
    <s v="Commercial Bag Company"/>
    <s v="Export Sales"/>
    <s v="PPL/TP/018"/>
    <s v="Sales - Export - Third Party"/>
    <s v="PPL/TP/018"/>
    <d v="2026-09-07T00:00:00"/>
    <s v="FG"/>
    <s v="FIBC Bags"/>
    <x v="6"/>
    <s v="FIBC"/>
    <s v="FIBC Bags With UV Without Liner"/>
    <n v="19674"/>
    <n v="5168157.33"/>
    <s v="PP WOVEN BIG BAGS (FIBC)"/>
    <n v="5168157.33"/>
    <n v="0"/>
    <n v="0"/>
    <n v="0"/>
    <n v="0"/>
    <n v="0"/>
    <n v="0"/>
    <n v="0"/>
    <n v="0"/>
    <n v="0"/>
    <s v="N.A."/>
    <s v="KGS"/>
    <n v="63053200"/>
    <s v="$"/>
    <n v="93.5"/>
    <n v="19674"/>
    <s v="USA"/>
  </r>
  <r>
    <d v="2026-09-07T00:00:00"/>
    <s v="Hcp Plastene Bulkpack Ltd (Unit Iv) - Sales"/>
    <s v="Sales"/>
    <n v="327"/>
    <s v="Sales - Within State  Manufactured Goods"/>
    <s v="PPL/D/327"/>
    <d v="2026-09-07T00:00:00"/>
    <s v="SF"/>
    <s v="PP/PE Fabric"/>
    <x v="11"/>
    <s v="PP WOVEN FABRIC"/>
    <s v="PP UL Fabric With UV"/>
    <n v="321.2"/>
    <n v="49702.49"/>
    <s v="PP UL Fabric With UV"/>
    <n v="168792.06"/>
    <n v="9"/>
    <n v="4473.22"/>
    <n v="9"/>
    <n v="4473.22"/>
    <n v="0"/>
    <n v="0"/>
    <n v="0"/>
    <n v="8946.44"/>
    <n v="0"/>
    <s v="24AABCG1282C2Z6"/>
    <s v="KGS"/>
    <n v="39269080"/>
    <s v="Rs."/>
    <n v="1"/>
    <n v="321.2"/>
    <s v="India"/>
  </r>
  <r>
    <d v="2026-09-07T00:00:00"/>
    <s v="Hcp Plastene Bulkpack Ltd (Unit Iv) - Sales"/>
    <s v="Sales"/>
    <n v="327"/>
    <s v="Sales - Within State  Manufactured Goods"/>
    <s v="PPL/D/327"/>
    <d v="2026-09-07T00:00:00"/>
    <s v="FG"/>
    <s v="FIBC WIP"/>
    <x v="9"/>
    <s v="PP WOVEN FABRIC"/>
    <s v="FIBC WIP"/>
    <n v="604"/>
    <n v="93462.96"/>
    <s v="UL CUTPCS"/>
    <n v="0"/>
    <n v="9"/>
    <n v="8411.67"/>
    <n v="9"/>
    <n v="8411.67"/>
    <n v="0"/>
    <n v="0"/>
    <n v="0"/>
    <n v="16823.34"/>
    <n v="0"/>
    <s v="24AABCG1282C2Z6"/>
    <s v="KGS"/>
    <n v="39269080"/>
    <s v="Rs."/>
    <n v="1"/>
    <n v="604"/>
    <s v="India"/>
  </r>
  <r>
    <d v="2026-09-07T00:00:00"/>
    <s v="Narayandas Murlidhar"/>
    <s v="Sales"/>
    <n v="329"/>
    <s v="Sales - Interstate - Manufactured Goods"/>
    <s v="PPL/D/329"/>
    <d v="2026-09-07T00:00:00"/>
    <s v="SF"/>
    <s v="PP/PE Fabric"/>
    <x v="7"/>
    <s v="PP WOVEN FABRIC"/>
    <s v="PP Lam Fabric With UV"/>
    <n v="7630"/>
    <n v="457800"/>
    <s v="BLACK GRADE - D"/>
    <n v="539746.19999999995"/>
    <n v="0"/>
    <n v="0"/>
    <n v="0"/>
    <n v="0"/>
    <n v="18"/>
    <n v="82404"/>
    <n v="0"/>
    <n v="82404"/>
    <n v="0"/>
    <s v="08AAJFN2559G1Z2"/>
    <s v="KGS"/>
    <n v="39269080"/>
    <s v="Rs."/>
    <n v="1"/>
    <n v="7630"/>
    <s v="India"/>
  </r>
  <r>
    <d v="2026-10-07T00:00:00"/>
    <s v="Commercial Bag Company"/>
    <s v="Export Sales"/>
    <s v="PPL/TP/019"/>
    <s v="Sales - Export - Third Party"/>
    <s v="PPL/TP/019"/>
    <d v="2026-10-07T00:00:00"/>
    <s v="FG"/>
    <s v="FIBC Bags"/>
    <x v="6"/>
    <s v="FIBC"/>
    <s v="FIBC Bags With UV Without Liner"/>
    <n v="19795"/>
    <n v="5168157.32"/>
    <s v="PP WOVEN BIG BAGS (FIBC)"/>
    <n v="5168157.33"/>
    <n v="0"/>
    <n v="0"/>
    <n v="0"/>
    <n v="0"/>
    <n v="0"/>
    <n v="0"/>
    <n v="0"/>
    <n v="0"/>
    <n v="0"/>
    <s v="N.A."/>
    <s v="KGS"/>
    <n v="63053200"/>
    <s v="$"/>
    <n v="93.5"/>
    <n v="19795"/>
    <s v="USA"/>
  </r>
  <r>
    <d v="2026-10-07T00:00:00"/>
    <s v="HCP Plastene Bulkpack Limited - Sales"/>
    <s v="Sales"/>
    <n v="332"/>
    <s v="Sales - Within State - Traded Goods"/>
    <s v="PPL/D/332"/>
    <d v="2026-10-07T00:00:00"/>
    <s v="RM"/>
    <s v="Granules"/>
    <x v="13"/>
    <s v="PP Granules"/>
    <s v="PP Advanced H312"/>
    <n v="30000"/>
    <n v="3600000"/>
    <s v="PP Advanced H312"/>
    <n v="4244400"/>
    <n v="9"/>
    <n v="324000"/>
    <n v="9"/>
    <n v="324000"/>
    <n v="0"/>
    <n v="0"/>
    <n v="0"/>
    <n v="648000"/>
    <n v="0"/>
    <s v="24AABCG1282C2Z6"/>
    <s v="KGS"/>
    <n v="39021000"/>
    <s v="Rs."/>
    <n v="1"/>
    <n v="30000"/>
    <s v="India"/>
  </r>
  <r>
    <d v="2026-10-07T00:00:00"/>
    <s v="Plastene India ltd - Unit 1-Sales"/>
    <s v="Sales"/>
    <n v="330"/>
    <s v="Sales - Within State - Traded Goods"/>
    <s v="PPL/D/330"/>
    <d v="2026-10-07T00:00:00"/>
    <s v="SF"/>
    <s v="Films All (SF)"/>
    <x v="2"/>
    <s v="LLDPE FILM"/>
    <s v="LDPE/LLDPE Film"/>
    <n v="14.1"/>
    <n v="3666"/>
    <s v="LDPE/LLDPE Film"/>
    <n v="4322.21"/>
    <n v="9"/>
    <n v="329.94"/>
    <n v="9"/>
    <n v="329.94"/>
    <n v="0"/>
    <n v="0"/>
    <n v="0"/>
    <n v="659.88"/>
    <n v="0"/>
    <s v="24AAACO3087C1ZT"/>
    <s v="KGS"/>
    <n v="39201019"/>
    <s v="Rs."/>
    <n v="1"/>
    <n v="14.1"/>
    <s v="India"/>
  </r>
  <r>
    <d v="2026-10-07T00:00:00"/>
    <s v="Plastene India ltd - Unit 1-Sales"/>
    <s v="Sales"/>
    <n v="333"/>
    <s v="Sales - Within State  Manufactured Goods"/>
    <s v="PPL/D/333"/>
    <d v="2026-10-07T00:00:00"/>
    <s v="SF"/>
    <s v="PP/PE Fabric"/>
    <x v="11"/>
    <s v="PP WOVEN FABRIC"/>
    <s v="PP UL Fabric With UV"/>
    <n v="806.5"/>
    <n v="124797.81"/>
    <s v="PP UL Fabric With UV"/>
    <n v="324655.63"/>
    <n v="9"/>
    <n v="11231.8"/>
    <n v="9"/>
    <n v="11231.8"/>
    <n v="0"/>
    <n v="0"/>
    <n v="0"/>
    <n v="22463.599999999999"/>
    <n v="0"/>
    <s v="24AAACO3087C1ZT"/>
    <s v="KGS"/>
    <n v="39269080"/>
    <s v="Rs."/>
    <n v="1"/>
    <n v="806.5"/>
    <s v="India"/>
  </r>
  <r>
    <d v="2026-10-07T00:00:00"/>
    <s v="Plastene India ltd - Unit 1-Sales"/>
    <s v="Sales"/>
    <n v="333"/>
    <s v="Sales - Within State  Manufactured Goods"/>
    <s v="PPL/D/333"/>
    <d v="2026-10-07T00:00:00"/>
    <s v="SF"/>
    <s v="PP/PE Fabric"/>
    <x v="7"/>
    <s v="PP Laminated Fabric"/>
    <s v="PP Lam Fabric With UV"/>
    <n v="420"/>
    <n v="66670.8"/>
    <s v="- PP Lam Fabric With UV (Spout )"/>
    <n v="0"/>
    <n v="9"/>
    <n v="6000.37"/>
    <n v="9"/>
    <n v="6000.37"/>
    <n v="0"/>
    <n v="0"/>
    <n v="0"/>
    <n v="12000.74"/>
    <n v="0"/>
    <s v="24AAACO3087C1ZT"/>
    <s v="KGS"/>
    <n v="39269080"/>
    <s v="Rs."/>
    <n v="1"/>
    <n v="420"/>
    <s v="India"/>
  </r>
  <r>
    <d v="2026-10-07T00:00:00"/>
    <s v="Plastene India ltd - Unit 1-Sales"/>
    <s v="Sales"/>
    <n v="333"/>
    <s v="Sales - Within State  Manufactured Goods"/>
    <s v="PPL/D/333"/>
    <d v="2026-10-07T00:00:00"/>
    <s v="SF"/>
    <s v="Webbing"/>
    <x v="8"/>
    <s v="PP Webbing"/>
    <s v="Webbing"/>
    <n v="237.2"/>
    <n v="37178.730000000003"/>
    <s v="Webbing"/>
    <n v="0"/>
    <n v="9"/>
    <n v="3346.09"/>
    <n v="9"/>
    <n v="3346.09"/>
    <n v="0"/>
    <n v="0"/>
    <n v="0"/>
    <n v="6692.18"/>
    <n v="0"/>
    <s v="24AAACO3087C1ZT"/>
    <s v="KGS"/>
    <n v="39269080"/>
    <s v="Rs."/>
    <n v="1"/>
    <n v="237.2"/>
    <s v="India"/>
  </r>
  <r>
    <d v="2026-10-07T00:00:00"/>
    <s v="Plastene India ltd - Unit 1-Sales"/>
    <s v="Sales"/>
    <n v="333"/>
    <s v="Sales - Within State  Manufactured Goods"/>
    <s v="PPL/D/333"/>
    <d v="2026-10-07T00:00:00"/>
    <s v="SF"/>
    <s v="Yarn All"/>
    <x v="1"/>
    <s v="Yarn"/>
    <s v="PP MF Yarn Twisted 3000 Denier UV Deep Blue"/>
    <n v="87.1"/>
    <n v="17525.39"/>
    <s v="PP MF Yarn Twisted 3000 Denier UV Deep Blue"/>
    <n v="0"/>
    <n v="2.5"/>
    <n v="438.13"/>
    <n v="2.5"/>
    <n v="438.13"/>
    <n v="0"/>
    <n v="0"/>
    <n v="0"/>
    <n v="876.26"/>
    <n v="0"/>
    <s v="24AAACO3087C1ZT"/>
    <s v="KGS"/>
    <n v="54026930"/>
    <s v="Rs."/>
    <n v="1"/>
    <n v="87.1"/>
    <s v="India"/>
  </r>
  <r>
    <d v="2026-10-07T00:00:00"/>
    <s v="Plastene India ltd - Unit 1-Sales"/>
    <s v="Sales"/>
    <n v="333"/>
    <s v="Sales - Within State  Manufactured Goods"/>
    <s v="PPL/D/333"/>
    <d v="2026-10-07T00:00:00"/>
    <s v="FG"/>
    <s v="FIBC WIP"/>
    <x v="9"/>
    <s v="PP Laminated Fabric"/>
    <s v="FIBC WIP"/>
    <n v="231"/>
    <n v="31124.94"/>
    <s v="LAMI CUT PCS"/>
    <n v="0"/>
    <n v="9"/>
    <n v="2801.24"/>
    <n v="9"/>
    <n v="2801.24"/>
    <n v="0"/>
    <n v="0"/>
    <n v="0"/>
    <n v="5602.48"/>
    <n v="0"/>
    <s v="24AAACO3087C1ZT"/>
    <s v="KGS"/>
    <n v="39269080"/>
    <s v="Rs."/>
    <n v="1"/>
    <n v="231"/>
    <s v="India"/>
  </r>
  <r>
    <d v="2026-10-07T00:00:00"/>
    <s v="Plastene India ltd - Unit 2-Sales"/>
    <s v="Sales"/>
    <n v="337"/>
    <s v="Sales - Within State  Manufactured Goods"/>
    <s v="PPL/D/337"/>
    <d v="2026-10-07T00:00:00"/>
    <s v="SF"/>
    <s v="PP/PE Fabric"/>
    <x v="7"/>
    <s v="PP Laminated Fabric"/>
    <s v="PP Lam Fabric With UV"/>
    <n v="921"/>
    <n v="144357.54"/>
    <s v="PP Lam Fabric With UV"/>
    <n v="969801.35"/>
    <n v="9"/>
    <n v="12992.18"/>
    <n v="9"/>
    <n v="12992.18"/>
    <n v="0"/>
    <n v="0"/>
    <n v="0"/>
    <n v="25984.36"/>
    <n v="0"/>
    <s v="24AAACO3087C1ZT"/>
    <s v="KGS"/>
    <n v="39269080"/>
    <s v="Rs."/>
    <n v="1"/>
    <n v="921"/>
    <s v="India"/>
  </r>
  <r>
    <d v="2026-10-07T00:00:00"/>
    <s v="Plastene India ltd - Unit 2-Sales"/>
    <s v="Sales"/>
    <n v="337"/>
    <s v="Sales - Within State  Manufactured Goods"/>
    <s v="PPL/D/337"/>
    <d v="2026-10-07T00:00:00"/>
    <s v="SF"/>
    <s v="PP/PE Fabric"/>
    <x v="7"/>
    <s v="PP Laminated Fabric"/>
    <s v="PP Lam Fabric With UV"/>
    <n v="477"/>
    <n v="75718.98"/>
    <s v="PP Lam Fabric With UV-SPOUT"/>
    <n v="0"/>
    <n v="9"/>
    <n v="6814.71"/>
    <n v="9"/>
    <n v="6814.71"/>
    <n v="0"/>
    <n v="0"/>
    <n v="0"/>
    <n v="13629.42"/>
    <n v="0"/>
    <s v="24AAACO3087C1ZT"/>
    <s v="KGS"/>
    <n v="39269080"/>
    <s v="Rs."/>
    <n v="1"/>
    <n v="477"/>
    <s v="India"/>
  </r>
  <r>
    <d v="2026-10-07T00:00:00"/>
    <s v="Plastene India ltd - Unit 2-Sales"/>
    <s v="Sales"/>
    <n v="337"/>
    <s v="Sales - Within State  Manufactured Goods"/>
    <s v="PPL/D/337"/>
    <d v="2026-10-07T00:00:00"/>
    <s v="SF"/>
    <s v="Webbing"/>
    <x v="8"/>
    <s v="PP Webbing"/>
    <s v="Webbing"/>
    <n v="726"/>
    <n v="113793.24"/>
    <s v="Webbing-MW"/>
    <n v="0"/>
    <n v="9"/>
    <n v="10241.39"/>
    <n v="9"/>
    <n v="10241.39"/>
    <n v="0"/>
    <n v="0"/>
    <n v="0"/>
    <n v="20482.78"/>
    <n v="0"/>
    <s v="24AAACO3087C1ZT"/>
    <s v="KGS"/>
    <n v="39269080"/>
    <s v="Rs."/>
    <n v="1"/>
    <n v="726"/>
    <s v="India"/>
  </r>
  <r>
    <d v="2026-10-07T00:00:00"/>
    <s v="Plastene India ltd - Unit 2-Sales"/>
    <s v="Sales"/>
    <n v="337"/>
    <s v="Sales - Within State  Manufactured Goods"/>
    <s v="PPL/D/337"/>
    <d v="2026-10-07T00:00:00"/>
    <s v="SF"/>
    <s v="PP/PE Fabric"/>
    <x v="11"/>
    <s v="PP WOVEN FABRIC"/>
    <s v="PP UL Fabric With UV"/>
    <n v="1805.9"/>
    <n v="279444.96999999997"/>
    <s v="PP UL Fabric With UV"/>
    <n v="0"/>
    <n v="9"/>
    <n v="25150.05"/>
    <n v="9"/>
    <n v="25150.05"/>
    <n v="0"/>
    <n v="0"/>
    <n v="0"/>
    <n v="50300.1"/>
    <n v="0"/>
    <s v="24AAACO3087C1ZT"/>
    <s v="KGS"/>
    <n v="39269080"/>
    <s v="Rs."/>
    <n v="1"/>
    <n v="1805.9"/>
    <s v="India"/>
  </r>
  <r>
    <d v="2026-10-07T00:00:00"/>
    <s v="Plastene India ltd - Unit 2-Sales"/>
    <s v="Sales"/>
    <n v="337"/>
    <s v="Sales - Within State  Manufactured Goods"/>
    <s v="PPL/D/337"/>
    <d v="2026-10-07T00:00:00"/>
    <s v="SF"/>
    <s v="PP/PE Fabric"/>
    <x v="11"/>
    <s v="PP WOVEN FABRIC"/>
    <s v="PP UL Fabric With UV"/>
    <n v="812"/>
    <n v="127272.88"/>
    <s v="PP UL Fabric With UV-SPOUT"/>
    <n v="0"/>
    <n v="9"/>
    <n v="11454.56"/>
    <n v="9"/>
    <n v="11454.56"/>
    <n v="0"/>
    <n v="0"/>
    <n v="0"/>
    <n v="22909.119999999999"/>
    <n v="0"/>
    <s v="24AAACO3087C1ZT"/>
    <s v="KGS"/>
    <n v="39269080"/>
    <s v="Rs."/>
    <n v="1"/>
    <n v="812"/>
    <s v="India"/>
  </r>
  <r>
    <d v="2026-10-07T00:00:00"/>
    <s v="Plastene India ltd - Unit 2-Sales"/>
    <s v="Sales"/>
    <n v="337"/>
    <s v="Sales - Within State  Manufactured Goods"/>
    <s v="PPL/D/337"/>
    <d v="2026-10-07T00:00:00"/>
    <s v="FG"/>
    <s v="FIBC WIP"/>
    <x v="9"/>
    <s v="PP Laminated Fabric"/>
    <s v="FIBC WIP"/>
    <n v="523"/>
    <n v="81975.02"/>
    <s v="LAM CUTPCS"/>
    <n v="0"/>
    <n v="9"/>
    <n v="7377.75"/>
    <n v="9"/>
    <n v="7377.75"/>
    <n v="0"/>
    <n v="0"/>
    <n v="0"/>
    <n v="14755.5"/>
    <n v="0"/>
    <s v="24AAACO3087C1ZT"/>
    <s v="KGS"/>
    <n v="39269080"/>
    <s v="Rs."/>
    <n v="1"/>
    <n v="523"/>
    <s v="India"/>
  </r>
  <r>
    <d v="2026-11-07T00:00:00"/>
    <s v="Commercial Bag Company"/>
    <s v="Export Sales"/>
    <s v="PPL/E/53/26-27"/>
    <s v="Sales - Direct Export - Mfg - U/R"/>
    <s v="PPL/E/53/26-27"/>
    <d v="2026-11-07T00:00:00"/>
    <s v="FG"/>
    <s v="FIBC Bags"/>
    <x v="4"/>
    <s v="FIBC"/>
    <s v="FIBC Bags With UV Without Liner"/>
    <n v="7549"/>
    <n v="1682252"/>
    <s v="PP WOVEN BIG BAGS"/>
    <n v="1682252"/>
    <n v="0"/>
    <n v="0"/>
    <n v="0"/>
    <n v="0"/>
    <n v="18"/>
    <n v="302805.36"/>
    <n v="0"/>
    <n v="302805.36"/>
    <n v="0"/>
    <s v="N.A."/>
    <s v="KGS"/>
    <n v="63053200"/>
    <s v="$"/>
    <n v="93.5"/>
    <n v="7549"/>
    <s v="USA"/>
  </r>
  <r>
    <d v="2026-11-07T00:00:00"/>
    <s v="Commercial Bag Company"/>
    <s v="Export Sales"/>
    <s v="PPL/TP/020"/>
    <s v="Sales - Export - Third Party"/>
    <s v="PPL/TP/020"/>
    <d v="2026-11-07T00:00:00"/>
    <s v="FG"/>
    <s v="FIBC Bags"/>
    <x v="6"/>
    <s v="FIBC"/>
    <s v="FIBC Bags With UV Without Liner"/>
    <n v="17778"/>
    <n v="4458335.25"/>
    <s v="PP WOVEN BIG BAGS (FIBC)"/>
    <n v="4458335.26"/>
    <n v="0"/>
    <n v="0"/>
    <n v="0"/>
    <n v="0"/>
    <n v="0"/>
    <n v="0"/>
    <n v="0"/>
    <n v="0"/>
    <n v="0"/>
    <s v="N.A."/>
    <s v="KGS"/>
    <n v="63053200"/>
    <s v="$"/>
    <n v="93.5"/>
    <n v="17778"/>
    <s v="USA"/>
  </r>
  <r>
    <d v="2026-11-07T00:00:00"/>
    <s v="Hcp Plastene Bulkpack Ltd Vadodara-Sales"/>
    <s v="Sales"/>
    <n v="339"/>
    <s v="Sales - Within State  Manufactured Goods"/>
    <s v="PPL/D/339"/>
    <d v="2026-11-07T00:00:00"/>
    <s v="SF"/>
    <s v="PP/PE Fabric"/>
    <x v="7"/>
    <s v="PP Laminated Fabric"/>
    <s v="PP Lam Fabric With UV"/>
    <n v="813"/>
    <n v="167876.37"/>
    <s v="PP Laminated Fabrics"/>
    <n v="197926.23"/>
    <n v="9"/>
    <n v="15108.87"/>
    <n v="9"/>
    <n v="15108.87"/>
    <n v="0"/>
    <n v="0"/>
    <n v="0"/>
    <n v="30217.74"/>
    <n v="0"/>
    <s v="24AABCG1282C2Z6"/>
    <s v="KGS"/>
    <n v="39269080"/>
    <s v="Rs."/>
    <n v="1"/>
    <n v="813"/>
    <s v="India"/>
  </r>
  <r>
    <d v="2026-11-07T00:00:00"/>
    <s v="Hcp Plastene Bulkpack Ltd Vadodara-Sales"/>
    <s v="Sales"/>
    <n v="340"/>
    <s v="Sales - Within State  Manufactured Goods"/>
    <s v="PPL/D/340"/>
    <d v="2026-11-07T00:00:00"/>
    <s v="SF"/>
    <s v="PP/PE Fabric"/>
    <x v="7"/>
    <s v="PP Laminated Fabric"/>
    <s v="PP Lam Fabric With UV"/>
    <n v="366"/>
    <n v="75575.34"/>
    <s v="90 GSM"/>
    <n v="89103.32"/>
    <n v="9"/>
    <n v="6801.78"/>
    <n v="9"/>
    <n v="6801.78"/>
    <n v="0"/>
    <n v="0"/>
    <n v="0"/>
    <n v="13603.56"/>
    <n v="0"/>
    <s v="24AABCG1282C2Z6"/>
    <s v="KGS"/>
    <n v="39269080"/>
    <s v="Rs."/>
    <n v="1"/>
    <n v="366"/>
    <s v="India"/>
  </r>
  <r>
    <d v="2026-11-07T00:00:00"/>
    <s v="K.P. Woven Pvt Ltd - Unit 3 -Sales"/>
    <s v="Export Sales"/>
    <s v="PPL/E/49/26-27"/>
    <s v="Sales - Kasez - Mfg - U/B"/>
    <s v="PPL/E/49/26-27"/>
    <d v="2026-11-07T00:00:00"/>
    <s v="FG"/>
    <s v="FIBC Bags"/>
    <x v="4"/>
    <s v="FIBC"/>
    <s v="FIBC Bags With UV Without Liner"/>
    <n v="9140"/>
    <n v="1711008"/>
    <s v="PP WOVEN BIG BAGS"/>
    <n v="1709296.99"/>
    <n v="0"/>
    <n v="0"/>
    <n v="0"/>
    <n v="0"/>
    <n v="0"/>
    <n v="0"/>
    <n v="0"/>
    <n v="0"/>
    <n v="0"/>
    <s v="24AAECK6307M2ZE"/>
    <s v="KGS"/>
    <n v="63053200"/>
    <s v="$"/>
    <n v="93.6"/>
    <n v="9140"/>
    <s v="India"/>
  </r>
  <r>
    <d v="2026-11-07T00:00:00"/>
    <s v="K.P. Woven Pvt Ltd - Unit 3 -Sales"/>
    <s v="Export Sales"/>
    <s v="PPL/E/50/26-27"/>
    <s v="Sales - Kasez - Mfg - U/B"/>
    <s v="PPL/E/50/26-27"/>
    <d v="2026-11-07T00:00:00"/>
    <s v="FG"/>
    <s v="FIBC Bags"/>
    <x v="4"/>
    <s v="FIBC"/>
    <s v="FIBC Bags With UV Without Liner"/>
    <n v="5925"/>
    <n v="1109160"/>
    <s v="PP WOVEN BIG BAGS"/>
    <n v="1108050.8400000001"/>
    <n v="0"/>
    <n v="0"/>
    <n v="0"/>
    <n v="0"/>
    <n v="0"/>
    <n v="0"/>
    <n v="0"/>
    <n v="0"/>
    <n v="0"/>
    <s v="24AAECK6307M2ZE"/>
    <s v="KGS"/>
    <n v="63053200"/>
    <s v="$"/>
    <n v="93.6"/>
    <n v="5925"/>
    <s v="India"/>
  </r>
  <r>
    <d v="2026-11-07T00:00:00"/>
    <s v="K.P. Woven Pvt Ltd - Unit 3 -Sales"/>
    <s v="Export Sales"/>
    <s v="PPL/E/51/26-27"/>
    <s v="Sales - Kasez - Mfg - U/B"/>
    <s v="PPL/E/51/26-27"/>
    <d v="2026-11-07T00:00:00"/>
    <s v="SF"/>
    <s v="PP/PE Fabric"/>
    <x v="14"/>
    <s v="PP WOVEN FABRIC"/>
    <s v="PP UL Fabric With UV"/>
    <n v="178"/>
    <n v="18351.36"/>
    <s v="PP UL Fabric With UV"/>
    <n v="18333.43"/>
    <n v="0"/>
    <n v="0"/>
    <n v="0"/>
    <n v="0"/>
    <n v="0"/>
    <n v="0"/>
    <n v="0"/>
    <n v="0"/>
    <n v="0"/>
    <s v="24AAECK6307M2ZE"/>
    <s v="KGS"/>
    <n v="39269080"/>
    <s v="$"/>
    <n v="89.65"/>
    <n v="178"/>
    <s v="India"/>
  </r>
  <r>
    <d v="2026-11-07T00:00:00"/>
    <s v="K.P. Woven Pvt Ltd - Unit 3 -Sales"/>
    <s v="SALES (FOREX)"/>
    <s v="PPL/E/52/26-27"/>
    <s v="Sales - Kasez - Mfg - U/B"/>
    <s v="PPL/E/52/26-27"/>
    <d v="2026-11-07T00:00:00"/>
    <s v="SF"/>
    <s v="PP/PE Fabric"/>
    <x v="15"/>
    <s v="PP Laminated Fabric"/>
    <s v="PP Lam Fabric With UV"/>
    <n v="285"/>
    <n v="42313.95"/>
    <s v="PP Lam Fabric With UV"/>
    <n v="61180.71"/>
    <m/>
    <n v="0"/>
    <m/>
    <n v="0"/>
    <m/>
    <n v="0"/>
    <n v="0"/>
    <n v="0"/>
    <n v="0"/>
    <s v="24AAECK6307M2ZE"/>
    <s v="KGS"/>
    <n v="39269080"/>
    <s v="Rs."/>
    <n v="1"/>
    <n v="285"/>
    <s v="India"/>
  </r>
  <r>
    <d v="2026-11-07T00:00:00"/>
    <s v="K.P. Woven Pvt Ltd - Unit 3 -Sales"/>
    <s v="SALES (FOREX)"/>
    <s v="PPL/E/52/26-27"/>
    <s v="Sales - Kasez - Mfg - U/B"/>
    <s v="PPL/E/52/26-27"/>
    <d v="2026-11-07T00:00:00"/>
    <s v="FG"/>
    <s v="FIBC WIP"/>
    <x v="5"/>
    <s v="Yarn"/>
    <s v="FIBC WIP"/>
    <n v="118.3"/>
    <n v="18928"/>
    <s v="PP Braided Rope"/>
    <n v="0"/>
    <m/>
    <n v="0"/>
    <m/>
    <n v="0"/>
    <m/>
    <n v="0"/>
    <n v="0"/>
    <n v="0"/>
    <n v="0"/>
    <s v="24AAECK6307M2ZE"/>
    <s v="KGS"/>
    <n v="54026300"/>
    <s v="Rs."/>
    <n v="1"/>
    <n v="118.3"/>
    <s v="India"/>
  </r>
  <r>
    <d v="2026-11-07T00:00:00"/>
    <s v="Plastene India ltd - Unit 1-Sales"/>
    <s v="Sales"/>
    <n v="338"/>
    <s v="Sales - Within State  Manufactured Goods"/>
    <s v="PPL/D/338"/>
    <d v="2026-11-07T00:00:00"/>
    <s v="FG"/>
    <s v="FIBC Bags"/>
    <x v="0"/>
    <s v="FIBC"/>
    <s v="FIBC Bags With UV Without Liner"/>
    <n v="8405"/>
    <n v="1587872.6"/>
    <s v="PST-26004/SN21U40P-01"/>
    <n v="4711392.21"/>
    <n v="9"/>
    <n v="142908.53"/>
    <n v="9"/>
    <n v="142908.53"/>
    <n v="0"/>
    <n v="0"/>
    <n v="0"/>
    <n v="285817.06"/>
    <n v="0"/>
    <s v="24AAACO3087C1ZT"/>
    <s v="KGS"/>
    <n v="39232999"/>
    <s v="Rs."/>
    <n v="1"/>
    <n v="8405"/>
    <s v="India"/>
  </r>
  <r>
    <d v="2026-11-07T00:00:00"/>
    <s v="Plastene India ltd - Unit 1-Sales"/>
    <s v="Sales"/>
    <n v="338"/>
    <s v="Sales - Within State  Manufactured Goods"/>
    <s v="PPL/D/338"/>
    <d v="2026-11-07T00:00:00"/>
    <s v="FG"/>
    <s v="FIBC Bags"/>
    <x v="0"/>
    <s v="FIBC"/>
    <s v="FIBC Bags With UV Without Liner"/>
    <n v="4138"/>
    <n v="797433.98"/>
    <s v="PST-26004/SN24U40P-02"/>
    <n v="0"/>
    <n v="9"/>
    <n v="71769.06"/>
    <n v="9"/>
    <n v="71769.06"/>
    <n v="0"/>
    <n v="0"/>
    <n v="0"/>
    <n v="143538.12"/>
    <n v="0"/>
    <s v="24AAACO3087C1ZT"/>
    <s v="KGS"/>
    <n v="39232999"/>
    <s v="Rs."/>
    <n v="1"/>
    <n v="4138"/>
    <s v="India"/>
  </r>
  <r>
    <d v="2026-11-07T00:00:00"/>
    <s v="Plastene India ltd - Unit 1-Sales"/>
    <s v="Sales"/>
    <n v="338"/>
    <s v="Sales - Within State  Manufactured Goods"/>
    <s v="PPL/D/338"/>
    <d v="2026-11-07T00:00:00"/>
    <s v="FG"/>
    <s v="FIBC Bags"/>
    <x v="0"/>
    <s v="FIBC"/>
    <s v="FIBC Bags With UV Without Liner"/>
    <n v="5194"/>
    <n v="1005350.64"/>
    <s v="PST-26004/SN24U40P-03"/>
    <n v="0"/>
    <n v="9"/>
    <n v="90481.56"/>
    <n v="9"/>
    <n v="90481.56"/>
    <n v="0"/>
    <n v="0"/>
    <n v="0"/>
    <n v="180963.12"/>
    <n v="0"/>
    <s v="24AAACO3087C1ZT"/>
    <s v="KGS"/>
    <n v="39232999"/>
    <s v="Rs."/>
    <n v="1"/>
    <n v="5194"/>
    <s v="India"/>
  </r>
  <r>
    <d v="2026-11-07T00:00:00"/>
    <s v="Plastene India ltd - Unit 1-Sales"/>
    <s v="Sales"/>
    <n v="338"/>
    <s v="Sales - Within State  Manufactured Goods"/>
    <s v="PPL/D/338"/>
    <d v="2026-11-07T00:00:00"/>
    <s v="FG"/>
    <s v="FIBC Bags"/>
    <x v="0"/>
    <s v="FIBC"/>
    <s v="FIBC Bags With UV Without Liner"/>
    <n v="3279"/>
    <n v="605434.56000000006"/>
    <s v="PST-26004/SN21U40P-04"/>
    <n v="0"/>
    <n v="9"/>
    <n v="54489.11"/>
    <n v="9"/>
    <n v="54489.11"/>
    <n v="0"/>
    <n v="0"/>
    <n v="0"/>
    <n v="108978.22"/>
    <n v="0"/>
    <s v="24AAACO3087C1ZT"/>
    <s v="KGS"/>
    <n v="39232999"/>
    <s v="Rs."/>
    <n v="1"/>
    <n v="3279"/>
    <s v="India"/>
  </r>
  <r>
    <d v="2026-12-07T00:00:00"/>
    <s v="Hcp Plastene Bulkpack Ltd (Unit Iv) - Sales"/>
    <s v="Sales"/>
    <n v="342"/>
    <s v="Sales - Within State  Manufactured Goods"/>
    <s v="PPL/D/342"/>
    <d v="2026-12-07T00:00:00"/>
    <s v="SF"/>
    <s v="PP/PE Fabric"/>
    <x v="11"/>
    <s v="PP WOVEN FABRIC"/>
    <s v="PP UL Fabric With UV"/>
    <n v="556"/>
    <n v="86035.44"/>
    <s v="PP UL Fabric With UV"/>
    <n v="193662.67"/>
    <n v="9"/>
    <n v="7743.19"/>
    <n v="9"/>
    <n v="7743.19"/>
    <n v="0"/>
    <n v="0"/>
    <n v="0"/>
    <n v="15486.38"/>
    <n v="0"/>
    <s v="24AABCG1282C2Z6"/>
    <s v="KGS"/>
    <n v="39269080"/>
    <s v="Rs."/>
    <n v="1"/>
    <n v="556"/>
    <s v="India"/>
  </r>
  <r>
    <d v="2026-12-07T00:00:00"/>
    <s v="Hcp Plastene Bulkpack Ltd (Unit Iv) - Sales"/>
    <s v="Sales"/>
    <n v="342"/>
    <s v="Sales - Within State  Manufactured Goods"/>
    <s v="PPL/D/342"/>
    <d v="2026-12-07T00:00:00"/>
    <s v="SF"/>
    <s v="Webbing"/>
    <x v="8"/>
    <s v="PP Webbing"/>
    <s v="Webbing"/>
    <n v="73"/>
    <n v="10912.77"/>
    <s v="COLOUR WEBBING"/>
    <n v="0"/>
    <n v="9"/>
    <n v="982.15"/>
    <n v="9"/>
    <n v="982.15"/>
    <n v="0"/>
    <n v="0"/>
    <n v="0"/>
    <n v="1964.3"/>
    <n v="0"/>
    <s v="24AABCG1282C2Z6"/>
    <s v="KGS"/>
    <n v="39269080"/>
    <s v="Rs."/>
    <n v="1"/>
    <n v="73"/>
    <s v="India"/>
  </r>
  <r>
    <d v="2026-12-07T00:00:00"/>
    <s v="Hcp Plastene Bulkpack Ltd (Unit Iv) - Sales"/>
    <s v="Sales"/>
    <n v="342"/>
    <s v="Sales - Within State  Manufactured Goods"/>
    <s v="PPL/D/342"/>
    <d v="2026-12-07T00:00:00"/>
    <s v="FG"/>
    <s v="FIBC WIP"/>
    <x v="9"/>
    <s v="PP WOVEN FABRIC"/>
    <s v="FIBC WIP"/>
    <n v="435"/>
    <n v="67311.899999999994"/>
    <s v="CUT PCS 77X77 CM"/>
    <n v="0"/>
    <n v="9"/>
    <n v="6058.07"/>
    <n v="9"/>
    <n v="6058.07"/>
    <n v="0"/>
    <n v="0"/>
    <n v="0"/>
    <n v="12116.14"/>
    <n v="0"/>
    <s v="24AABCG1282C2Z6"/>
    <s v="KGS"/>
    <n v="39269080"/>
    <s v="Rs."/>
    <n v="1"/>
    <n v="435"/>
    <s v="India"/>
  </r>
  <r>
    <d v="2026-12-07T00:00:00"/>
    <s v="Plastene India ltd - Unit 1-Sales"/>
    <s v="Sales"/>
    <n v="344"/>
    <s v="Sales - Within State  Manufactured Goods"/>
    <s v="PPL/D/344"/>
    <d v="2026-12-07T00:00:00"/>
    <s v="SF"/>
    <s v="PP/PE Fabric"/>
    <x v="11"/>
    <s v="PP WOVEN FABRIC"/>
    <s v="PP UL Fabric With UV"/>
    <n v="66.400000000000006"/>
    <n v="10274.74"/>
    <s v="100 GSM"/>
    <n v="12113.93"/>
    <n v="9"/>
    <n v="924.73"/>
    <n v="9"/>
    <n v="924.73"/>
    <n v="0"/>
    <n v="0"/>
    <n v="0"/>
    <n v="1849.46"/>
    <n v="0"/>
    <s v="24AAACO3087C1ZT"/>
    <s v="KGS"/>
    <n v="39269080"/>
    <s v="Rs."/>
    <n v="1"/>
    <n v="66.400000000000006"/>
    <s v="India"/>
  </r>
  <r>
    <s v="13-07-2026"/>
    <s v="HCP Plastene Bulkpack Limited - Sales"/>
    <s v="Sales"/>
    <n v="351"/>
    <s v="Sales - Within State  Manufactured Goods"/>
    <s v="PPL/D/351"/>
    <s v="13-07-2026"/>
    <s v="FG"/>
    <s v="FIBC Bags"/>
    <x v="0"/>
    <s v="FIBC"/>
    <s v="FIBC Bags With UV Without Liner"/>
    <n v="1946"/>
    <n v="413972.58"/>
    <s v="23112/CMC 3-RC"/>
    <n v="488073.67"/>
    <n v="9"/>
    <n v="37257.53"/>
    <n v="9"/>
    <n v="37257.53"/>
    <n v="0"/>
    <n v="0"/>
    <n v="0"/>
    <n v="74515.06"/>
    <n v="0"/>
    <s v="24AABCG1282C2Z6"/>
    <s v="KGS"/>
    <n v="39232999"/>
    <s v="Rs."/>
    <n v="1"/>
    <n v="1946"/>
    <s v="India"/>
  </r>
  <r>
    <s v="13-07-2026"/>
    <s v="Hcp Plastene Bulkpack Ltd (Unit Iv) - Sales"/>
    <s v="Sales"/>
    <n v="347"/>
    <s v="Sales - Within State - Traded Goods"/>
    <s v="PPL/D/347"/>
    <s v="13-07-2026"/>
    <s v="RM Consumables"/>
    <s v="Ink"/>
    <x v="16"/>
    <s v="Thinner"/>
    <s v="Thinner Vyankatesh Thinner"/>
    <n v="170"/>
    <n v="47940"/>
    <s v="Thinner Vyankatesh Thinner"/>
    <n v="56521.26"/>
    <n v="9"/>
    <n v="4314.6000000000004"/>
    <n v="9"/>
    <n v="4314.6000000000004"/>
    <n v="0"/>
    <n v="0"/>
    <n v="0"/>
    <n v="8629.2000000000007"/>
    <n v="0"/>
    <s v="24AABCG1282C2Z6"/>
    <s v="KGS"/>
    <n v="38140011"/>
    <s v="Rs."/>
    <n v="1"/>
    <n v="170"/>
    <s v="India"/>
  </r>
  <r>
    <s v="13-07-2026"/>
    <s v="Plastene India ltd - Unit 1-Sales"/>
    <s v="Sales"/>
    <n v="346"/>
    <s v="Sales - Within State  Manufactured Goods"/>
    <s v="PPL/D/346"/>
    <s v="13-07-2026"/>
    <s v="FG"/>
    <s v="FIBC WIP"/>
    <x v="9"/>
    <s v="FIBC"/>
    <s v="FIBC WIP"/>
    <n v="79"/>
    <n v="11850"/>
    <s v="FIBC BAGS"/>
    <n v="27234.9"/>
    <n v="9"/>
    <n v="1066.5"/>
    <n v="9"/>
    <n v="1066.5"/>
    <n v="0"/>
    <n v="0"/>
    <n v="0"/>
    <n v="2133"/>
    <n v="0"/>
    <s v="24AAACO3087C1ZT"/>
    <s v="KGS"/>
    <n v="39232999"/>
    <s v="Rs."/>
    <n v="1"/>
    <n v="79"/>
    <s v="India"/>
  </r>
  <r>
    <s v="13-07-2026"/>
    <s v="Plastene India ltd - Unit 1-Sales"/>
    <s v="Sales"/>
    <n v="346"/>
    <s v="Sales - Within State  Manufactured Goods"/>
    <s v="PPL/D/346"/>
    <s v="13-07-2026"/>
    <s v="FG"/>
    <s v="FIBC WIP"/>
    <x v="9"/>
    <s v="FIBC"/>
    <s v="FIBC WIP"/>
    <n v="75"/>
    <n v="11250"/>
    <s v="FIBC BAGS"/>
    <n v="0"/>
    <n v="9"/>
    <n v="1012.5"/>
    <n v="9"/>
    <n v="1012.5"/>
    <n v="0"/>
    <n v="0"/>
    <n v="0"/>
    <n v="2025"/>
    <n v="0"/>
    <s v="24AAACO3087C1ZT"/>
    <s v="KGS"/>
    <n v="39232999"/>
    <s v="Rs."/>
    <n v="1"/>
    <n v="75"/>
    <s v="India"/>
  </r>
  <r>
    <s v="13-07-2026"/>
    <s v="Plastene India ltd - Unit 1-Sales"/>
    <s v="Sales"/>
    <n v="348"/>
    <s v="Sales - Within State  Manufactured Goods"/>
    <s v="PPL/D/348"/>
    <s v="13-07-2026"/>
    <s v="FG"/>
    <s v="FIBC WIP"/>
    <x v="9"/>
    <s v="FIBC"/>
    <s v="FIBC WIP"/>
    <n v="193"/>
    <n v="26004.82"/>
    <s v="REJECTED BAGS"/>
    <n v="30659.68"/>
    <n v="9"/>
    <n v="2340.4299999999998"/>
    <n v="9"/>
    <n v="2340.4299999999998"/>
    <n v="0"/>
    <n v="0"/>
    <n v="0"/>
    <n v="4680.8599999999997"/>
    <n v="0"/>
    <s v="24AAACO3087C1ZT"/>
    <s v="KGS"/>
    <n v="39232999"/>
    <s v="Rs."/>
    <n v="1"/>
    <n v="193"/>
    <s v="India"/>
  </r>
  <r>
    <s v="13-07-2026"/>
    <s v="Plastene India ltd - Unit 1-Sales"/>
    <s v="Sales"/>
    <n v="349"/>
    <s v="Sales - Within State - Traded Goods"/>
    <s v="PPL/D/349"/>
    <s v="13-07-2026"/>
    <s v="RM Consumables"/>
    <s v="Ink"/>
    <x v="10"/>
    <s v="INK"/>
    <s v="Ink Vyankatesh Poly Process Yellow VLX 671"/>
    <n v="25"/>
    <n v="7125"/>
    <s v="Ink Vyankatesh Poly Process Yellow VLX 671"/>
    <n v="16653.38"/>
    <n v="9"/>
    <n v="641.25"/>
    <n v="9"/>
    <n v="641.25"/>
    <n v="0"/>
    <n v="0"/>
    <n v="0"/>
    <n v="1282.5"/>
    <n v="0"/>
    <s v="24AAACO3087C1ZT"/>
    <s v="KGS"/>
    <n v="32151990"/>
    <s v="Rs."/>
    <n v="1"/>
    <n v="25"/>
    <s v="India"/>
  </r>
  <r>
    <s v="13-07-2026"/>
    <s v="Plastene India ltd - Unit 1-Sales"/>
    <s v="Sales"/>
    <n v="349"/>
    <s v="Sales - Within State - Traded Goods"/>
    <s v="PPL/D/349"/>
    <s v="13-07-2026"/>
    <s v="RM Consumables"/>
    <s v="Ink"/>
    <x v="10"/>
    <s v="INK"/>
    <s v="Ink Vyankatesh White VLX 624 Tape Tested"/>
    <n v="25"/>
    <n v="7000"/>
    <s v="Ink Vyankatesh White VLX 624 Tape Tested"/>
    <n v="0"/>
    <n v="9"/>
    <n v="630"/>
    <n v="9"/>
    <n v="630"/>
    <n v="0"/>
    <n v="0"/>
    <n v="0"/>
    <n v="1260"/>
    <n v="0"/>
    <s v="24AAACO3087C1ZT"/>
    <s v="KGS"/>
    <n v="32151990"/>
    <s v="Rs."/>
    <n v="1"/>
    <n v="25"/>
    <s v="India"/>
  </r>
  <r>
    <s v="13-07-2026"/>
    <s v="Plastene India ltd - Unit 1-Sales"/>
    <s v="Sales"/>
    <n v="352"/>
    <s v="Sales - Within State - Traded Goods"/>
    <s v="PPL/D/352"/>
    <s v="13-07-2026"/>
    <s v="SF"/>
    <s v="Films All (SF)"/>
    <x v="2"/>
    <s v="LLDPE FILM"/>
    <s v="LDPE/LLDPE Film"/>
    <n v="3.8"/>
    <n v="1071.5999999999999"/>
    <s v="LD/LLDPE  FILM"/>
    <n v="1263.4100000000001"/>
    <n v="9"/>
    <n v="96.44"/>
    <n v="9"/>
    <n v="96.44"/>
    <n v="0"/>
    <n v="0"/>
    <n v="0"/>
    <n v="192.88"/>
    <n v="0"/>
    <s v="24AAACO3087C1ZT"/>
    <s v="KGS"/>
    <n v="39201019"/>
    <s v="Rs."/>
    <n v="1"/>
    <n v="3.8"/>
    <s v="India"/>
  </r>
  <r>
    <s v="14-07-2026"/>
    <s v="HCP Plastene Bulkpack Limited - Sales"/>
    <s v="Sales"/>
    <n v="355"/>
    <s v="Sales - Within State  Manufactured Goods"/>
    <s v="PPL/D/355"/>
    <s v="14-07-2026"/>
    <s v="FG"/>
    <s v="FIBC Bags"/>
    <x v="0"/>
    <s v="FIBC"/>
    <s v="FIBC Bags With UV Without Liner"/>
    <n v="9143.9"/>
    <n v="1449765.34"/>
    <s v="22752/JEWSON TERRALIS FIBC-RC"/>
    <n v="3334090.16"/>
    <n v="9"/>
    <n v="130478.88"/>
    <n v="9"/>
    <n v="130478.88"/>
    <n v="0"/>
    <n v="0"/>
    <n v="0"/>
    <n v="260957.76"/>
    <n v="0"/>
    <s v="24AABCG1282C2Z6"/>
    <s v="KGS"/>
    <n v="39232999"/>
    <s v="Rs."/>
    <n v="1"/>
    <n v="9143.9"/>
    <s v="India"/>
  </r>
  <r>
    <s v="14-07-2026"/>
    <s v="HCP Plastene Bulkpack Limited - Sales"/>
    <s v="Sales"/>
    <n v="355"/>
    <s v="Sales - Within State  Manufactured Goods"/>
    <s v="PPL/D/355"/>
    <s v="14-07-2026"/>
    <s v="FG"/>
    <s v="FIBC Bags"/>
    <x v="0"/>
    <s v="FIBC"/>
    <s v="FIBC Bags With UV Without Liner"/>
    <n v="845.2"/>
    <n v="131268.01"/>
    <s v="22752/RO-BEDS &amp; BORDERS"/>
    <n v="0"/>
    <n v="9"/>
    <n v="11814.12"/>
    <n v="9"/>
    <n v="11814.12"/>
    <n v="0"/>
    <n v="0"/>
    <n v="0"/>
    <n v="23628.240000000002"/>
    <n v="0"/>
    <s v="24AABCG1282C2Z6"/>
    <s v="KGS"/>
    <n v="39232999"/>
    <s v="Rs."/>
    <n v="1"/>
    <n v="845.2"/>
    <s v="India"/>
  </r>
  <r>
    <s v="14-07-2026"/>
    <s v="HCP Plastene Bulkpack Limited - Sales"/>
    <s v="Sales"/>
    <n v="355"/>
    <s v="Sales - Within State  Manufactured Goods"/>
    <s v="PPL/D/355"/>
    <s v="14-07-2026"/>
    <s v="FG"/>
    <s v="FIBC Bags"/>
    <x v="0"/>
    <s v="FIBC"/>
    <s v="FIBC Bags With UV Without Liner"/>
    <n v="5936.6"/>
    <n v="918154.56"/>
    <s v="22752/RO-HALLSTONE-RC"/>
    <n v="0"/>
    <n v="9"/>
    <n v="82633.91"/>
    <n v="9"/>
    <n v="82633.91"/>
    <n v="0"/>
    <n v="0"/>
    <n v="0"/>
    <n v="165267.82"/>
    <n v="0"/>
    <s v="24AABCG1282C2Z6"/>
    <s v="KGS"/>
    <n v="39232999"/>
    <s v="Rs."/>
    <n v="1"/>
    <n v="5936.6"/>
    <s v="India"/>
  </r>
  <r>
    <s v="14-07-2026"/>
    <s v="HCP Plastene Bulkpack Limited - Sales"/>
    <s v="Sales"/>
    <n v="355"/>
    <s v="Sales - Within State  Manufactured Goods"/>
    <s v="PPL/D/355"/>
    <s v="14-07-2026"/>
    <s v="FG"/>
    <s v="FIBC Bags"/>
    <x v="0"/>
    <s v="FIBC"/>
    <s v="FIBC Bags With UV Without Liner"/>
    <n v="832.2"/>
    <n v="131762.23000000001"/>
    <s v="22752/RO-LANDSCAPE BARK-RC"/>
    <n v="0"/>
    <n v="9"/>
    <n v="11858.6"/>
    <n v="9"/>
    <n v="11858.6"/>
    <n v="0"/>
    <n v="0"/>
    <n v="0"/>
    <n v="23717.200000000001"/>
    <n v="0"/>
    <s v="24AABCG1282C2Z6"/>
    <s v="KGS"/>
    <n v="39232999"/>
    <s v="Rs."/>
    <n v="1"/>
    <n v="832.2"/>
    <s v="India"/>
  </r>
  <r>
    <s v="14-07-2026"/>
    <s v="HCP Plastene Bulkpack Limited - Sales"/>
    <s v="Sales"/>
    <n v="355"/>
    <s v="Sales - Within State  Manufactured Goods"/>
    <s v="PPL/D/355"/>
    <s v="14-07-2026"/>
    <s v="FG"/>
    <s v="FIBC Bags"/>
    <x v="0"/>
    <s v="FIBC"/>
    <s v="FIBC Bags With UV Without Liner"/>
    <n v="1266.7"/>
    <n v="196946.52"/>
    <s v="22752/TOPSOIL.CO.UK-RC"/>
    <n v="0"/>
    <n v="9"/>
    <n v="17725.189999999999"/>
    <n v="9"/>
    <n v="17725.189999999999"/>
    <n v="0"/>
    <n v="0"/>
    <n v="0"/>
    <n v="35450.379999999997"/>
    <n v="0"/>
    <s v="24AABCG1282C2Z6"/>
    <s v="KGS"/>
    <n v="39232999"/>
    <s v="Rs."/>
    <n v="1"/>
    <n v="1266.7"/>
    <s v="India"/>
  </r>
  <r>
    <s v="14-07-2026"/>
    <s v="HCP Plastene Bulkpack Limited - Sales"/>
    <s v="Sales"/>
    <n v="356"/>
    <s v="Sales - Within State  Manufactured Goods"/>
    <s v="PPL/D/356"/>
    <s v="14-07-2026"/>
    <s v="FG"/>
    <s v="FIBC Bags"/>
    <x v="0"/>
    <s v="FIBC"/>
    <s v="FIBC Bags With UV With Liner"/>
    <n v="19349"/>
    <n v="3882763.83"/>
    <s v="2026001243/2026001529"/>
    <n v="4577778.55"/>
    <n v="9"/>
    <n v="349448.74"/>
    <n v="9"/>
    <n v="349448.74"/>
    <n v="0"/>
    <n v="0"/>
    <n v="0"/>
    <n v="698897.48"/>
    <n v="0"/>
    <s v="24AABCG1282C2Z6"/>
    <s v="KGS"/>
    <n v="39232999"/>
    <s v="Rs."/>
    <n v="1"/>
    <n v="19349"/>
    <s v="India"/>
  </r>
  <r>
    <s v="14-07-2026"/>
    <s v="Hcp Plastene Bulkpack Ltd (Unit Iv) - Sales"/>
    <s v="Sales"/>
    <n v="353"/>
    <s v="Sales - Within State  Manufactured Goods"/>
    <s v="PPL/D/353"/>
    <s v="14-07-2026"/>
    <s v="SF"/>
    <s v="PP/PE Fabric"/>
    <x v="11"/>
    <s v="PP WOVEN FABRIC"/>
    <s v="PP UL Fabric With UV"/>
    <n v="1071.5"/>
    <n v="165803.91"/>
    <s v="PP UL Fabric With UV"/>
    <n v="206907.32"/>
    <n v="9"/>
    <n v="14922.35"/>
    <n v="9"/>
    <n v="14922.35"/>
    <n v="0"/>
    <n v="0"/>
    <n v="0"/>
    <n v="29844.7"/>
    <n v="0"/>
    <s v="24AABCG1282C2Z6"/>
    <s v="KGS"/>
    <n v="39269080"/>
    <s v="Rs."/>
    <n v="1"/>
    <n v="1071.5"/>
    <s v="India"/>
  </r>
  <r>
    <s v="14-07-2026"/>
    <s v="Hcp Plastene Bulkpack Ltd (Unit Iv) - Sales"/>
    <s v="Sales"/>
    <n v="353"/>
    <s v="Sales - Within State  Manufactured Goods"/>
    <s v="PPL/D/353"/>
    <s v="14-07-2026"/>
    <s v="SF"/>
    <s v="Films All (SF)"/>
    <x v="2"/>
    <s v="LLDPE FILM"/>
    <s v="LDPE/LLDPE Film"/>
    <n v="38"/>
    <n v="9690"/>
    <s v="LDPE/LLDPE Film"/>
    <n v="0"/>
    <n v="9"/>
    <n v="872.1"/>
    <n v="9"/>
    <n v="872.1"/>
    <n v="0"/>
    <n v="0"/>
    <n v="0"/>
    <n v="1744.2"/>
    <n v="0"/>
    <s v="24AABCG1282C2Z6"/>
    <s v="KGS"/>
    <n v="39201019"/>
    <s v="Rs."/>
    <n v="1"/>
    <n v="38"/>
    <s v="India"/>
  </r>
  <r>
    <s v="14-07-2026"/>
    <s v="Plastene India ltd - Unit 1-Sales"/>
    <s v="Sales"/>
    <n v="357"/>
    <s v="Sales - Within State - Traded Goods"/>
    <s v="PPL/D/357"/>
    <s v="14-07-2026"/>
    <s v="SF"/>
    <s v="PP/PE Fabric"/>
    <x v="11"/>
    <s v="PP WOVEN FABRIC"/>
    <s v="PP UL Fabric With UV"/>
    <n v="412"/>
    <n v="64576.88"/>
    <s v="PP UL Fabric With UV-SPOUT"/>
    <n v="844348.32"/>
    <n v="9"/>
    <n v="5811.92"/>
    <n v="9"/>
    <n v="5811.92"/>
    <n v="0"/>
    <n v="0"/>
    <n v="0"/>
    <n v="11623.84"/>
    <n v="0"/>
    <s v="24AAACO3087C1ZT"/>
    <s v="KGS"/>
    <n v="39269080"/>
    <s v="Rs."/>
    <n v="1"/>
    <n v="412"/>
    <s v="India"/>
  </r>
  <r>
    <s v="14-07-2026"/>
    <s v="Plastene India ltd - Unit 1-Sales"/>
    <s v="Sales"/>
    <n v="357"/>
    <s v="Sales - Within State - Traded Goods"/>
    <s v="PPL/D/357"/>
    <s v="14-07-2026"/>
    <s v="SF"/>
    <s v="PP/PE Fabric"/>
    <x v="11"/>
    <s v="PP WOVEN FABRIC"/>
    <s v="PP UL Fabric With UV"/>
    <n v="4079"/>
    <n v="651579.46"/>
    <s v="PP UL Fabric With UV-SPOUT-COLOUR"/>
    <n v="0"/>
    <n v="9"/>
    <n v="58642.15"/>
    <n v="9"/>
    <n v="58642.15"/>
    <n v="0"/>
    <n v="0"/>
    <n v="0"/>
    <n v="117284.3"/>
    <n v="0"/>
    <s v="24AAACO3087C1ZT"/>
    <s v="KGS"/>
    <n v="39269080"/>
    <s v="Rs."/>
    <n v="1"/>
    <n v="4079"/>
    <s v="India"/>
  </r>
  <r>
    <s v="15-07-2026"/>
    <s v="K.P. Woven Pvt Ltd - Unit 3 -Sales"/>
    <s v="SALES (FOREX)"/>
    <s v="PPL/E/54/26-27"/>
    <s v="Sales - Kasez - Mfg - U/B"/>
    <s v="PPL/E/54/26-27"/>
    <s v="15-07-2026"/>
    <s v="SF"/>
    <s v="Yarn All"/>
    <x v="5"/>
    <s v="FILLER CORD"/>
    <s v="Filler Cord"/>
    <n v="1963"/>
    <n v="347451"/>
    <s v="Filler Cord"/>
    <n v="347103.55"/>
    <m/>
    <n v="0"/>
    <m/>
    <n v="0"/>
    <m/>
    <n v="0"/>
    <n v="0"/>
    <n v="0"/>
    <n v="0"/>
    <s v="24AAECK6307M2ZE"/>
    <s v="KGS"/>
    <n v="540263"/>
    <s v="Rs."/>
    <n v="1"/>
    <n v="1963"/>
    <s v="India"/>
  </r>
  <r>
    <s v="15-07-2026"/>
    <s v="K.P. Woven Pvt Ltd - Unit 3 -Sales"/>
    <s v="Export Sales"/>
    <s v="PPL/E/55/26-27"/>
    <s v="Sales - Kasez - Mfg - U/B"/>
    <s v="PPL/E/55/26-27"/>
    <s v="15-07-2026"/>
    <s v="FG"/>
    <s v="FIBC Bags"/>
    <x v="4"/>
    <s v="FIBC"/>
    <s v="FIBC Bags With UV Without Liner"/>
    <n v="1985"/>
    <n v="371592"/>
    <s v="PP WOVEN BIG BAGS"/>
    <n v="371220.41"/>
    <n v="0"/>
    <n v="0"/>
    <n v="0"/>
    <n v="0"/>
    <n v="0"/>
    <n v="0"/>
    <n v="0"/>
    <n v="0"/>
    <n v="0"/>
    <s v="24AAECK6307M2ZE"/>
    <s v="KGS"/>
    <n v="63053200"/>
    <s v="$"/>
    <n v="93.6"/>
    <n v="1985"/>
    <s v="India"/>
  </r>
  <r>
    <s v="15-07-2026"/>
    <s v="K.P. Woven Pvt Ltd-Sales"/>
    <s v="Sales"/>
    <n v="361"/>
    <s v="Sales - Within State  Manufactured Goods"/>
    <s v="PPL/D/361"/>
    <s v="15-07-2026"/>
    <s v="SF"/>
    <s v="PP/PE Fabric"/>
    <x v="11"/>
    <s v="PP WOVEN FABRIC"/>
    <s v="PP UL Fabric With UV"/>
    <n v="733.5"/>
    <n v="113501.79"/>
    <s v="PP UL Fabric With UV"/>
    <n v="133818.60999999999"/>
    <n v="9"/>
    <n v="10215.16"/>
    <n v="9"/>
    <n v="10215.16"/>
    <n v="0"/>
    <n v="0"/>
    <n v="0"/>
    <n v="20430.32"/>
    <n v="0"/>
    <s v="24AAECK6307M1ZF"/>
    <s v="KGS"/>
    <n v="39269080"/>
    <s v="Rs."/>
    <n v="1"/>
    <n v="733.5"/>
    <s v="India"/>
  </r>
  <r>
    <s v="15-07-2026"/>
    <s v="Plastene India ltd - Unit 1-Sales"/>
    <s v="Sales"/>
    <n v="359"/>
    <s v="Sales - Within State - Traded Goods"/>
    <s v="PPL/D/359"/>
    <s v="15-07-2026"/>
    <s v="RM"/>
    <s v="Granules"/>
    <x v="17"/>
    <s v="FILLER CACO3"/>
    <s v="Filler Soltex PTUFF23"/>
    <n v="2000"/>
    <n v="76000"/>
    <s v="Filler Soltex PTUFF23"/>
    <n v="89604"/>
    <n v="9"/>
    <n v="6840"/>
    <n v="9"/>
    <n v="6840"/>
    <n v="0"/>
    <n v="0"/>
    <n v="0"/>
    <n v="13680"/>
    <n v="0"/>
    <s v="24AAACO3087C1ZT"/>
    <s v="KGS"/>
    <n v="32041990"/>
    <s v="Rs."/>
    <n v="1"/>
    <n v="2000"/>
    <s v="India"/>
  </r>
  <r>
    <s v="15-07-2026"/>
    <s v="Plastene India ltd - Unit 1-Sales"/>
    <s v="Sales"/>
    <n v="360"/>
    <s v="Sales - Within State - Traded Goods"/>
    <s v="PPL/D/360"/>
    <s v="15-07-2026"/>
    <s v="SF"/>
    <s v="Films All (SF)"/>
    <x v="2"/>
    <s v="LLDPE FILM"/>
    <s v="LDPE/LLDPE Film"/>
    <n v="12.3"/>
    <n v="3321"/>
    <s v="LDPE/LLDPE Film"/>
    <n v="3915.46"/>
    <n v="9"/>
    <n v="298.89"/>
    <n v="9"/>
    <n v="298.89"/>
    <n v="0"/>
    <n v="0"/>
    <n v="0"/>
    <n v="597.78"/>
    <n v="0"/>
    <s v="24AAACO3087C1ZT"/>
    <s v="KGS"/>
    <n v="39201019"/>
    <s v="Rs."/>
    <n v="1"/>
    <n v="12.3"/>
    <s v="India"/>
  </r>
  <r>
    <s v="15-07-2026"/>
    <s v="Shyam Plastic Services"/>
    <s v="Sales High-seas"/>
    <s v="PPL/HSS/1/26-27"/>
    <s v="Sales - High Seas"/>
    <s v="PPL/HSS/1/26-27"/>
    <s v="15-07-2026"/>
    <s v="RM"/>
    <s v="Granules"/>
    <x v="18"/>
    <s v="PP Granules"/>
    <s v="PP Exxon Exceed PP3155E5"/>
    <n v="102000"/>
    <n v="9690000"/>
    <s v="PP Exxon Exceed PP3155E5"/>
    <n v="9680310"/>
    <n v="0"/>
    <n v="0"/>
    <n v="0"/>
    <n v="0"/>
    <n v="0"/>
    <n v="0"/>
    <n v="0"/>
    <n v="0"/>
    <n v="0"/>
    <s v="29ADEPR8799L2ZA"/>
    <s v="KGS"/>
    <n v="390210"/>
    <s v="Rs."/>
    <n v="1"/>
    <n v="102000"/>
    <s v="India"/>
  </r>
  <r>
    <s v="15-07-2026"/>
    <s v="Shyam Plastic Services"/>
    <s v="Sales High-seas"/>
    <s v="PPL/HSS/2/26-27"/>
    <s v="Sales - High Seas"/>
    <s v="PPL/HSS/2/26-27"/>
    <s v="15-07-2026"/>
    <s v="RM"/>
    <s v="Granules"/>
    <x v="19"/>
    <s v="LLDPE Granuels"/>
    <s v="LLDPE Exxon 6202 Vistamaxx"/>
    <n v="51000"/>
    <n v="9001500"/>
    <s v="LLDPE Exxon 6202 Vistamaxx"/>
    <n v="8992498.5"/>
    <n v="0"/>
    <n v="0"/>
    <n v="0"/>
    <n v="0"/>
    <n v="0"/>
    <n v="0"/>
    <n v="0"/>
    <n v="0"/>
    <n v="0"/>
    <s v="29ADEPR8799L2ZA"/>
    <s v="KGS"/>
    <n v="390110"/>
    <s v="Rs."/>
    <n v="1"/>
    <n v="51000"/>
    <s v="India"/>
  </r>
  <r>
    <s v="16-07-2026"/>
    <s v="Commercial Bag Company"/>
    <s v="Export Sales"/>
    <s v="PPL/E/56/26-27"/>
    <s v="Sales - Direct Export - Mfg - U/R"/>
    <s v="PPL/E/56/26-27"/>
    <s v="16-07-2026"/>
    <s v="FG"/>
    <s v="FIBC Bags"/>
    <x v="4"/>
    <s v="FIBC"/>
    <s v="FIBC Bags With UV Without Liner"/>
    <n v="5437"/>
    <n v="1227842"/>
    <s v="PP WOVEN BIG BAGS"/>
    <n v="1227842"/>
    <n v="0"/>
    <n v="0"/>
    <n v="0"/>
    <n v="0"/>
    <n v="18"/>
    <n v="221011.56"/>
    <n v="0"/>
    <n v="221011.56"/>
    <n v="0"/>
    <s v="N.A."/>
    <s v="KGS"/>
    <n v="63053200"/>
    <s v="$"/>
    <n v="93.5"/>
    <n v="5437"/>
    <s v="USA"/>
  </r>
  <r>
    <s v="16-07-2026"/>
    <s v="Hcp Plastene Bulkpack Ltd (Unit Iv) - Sales"/>
    <s v="Sales"/>
    <n v="365"/>
    <s v="Sales - Within State  Manufactured Goods"/>
    <s v="PPL/D/365"/>
    <s v="16-07-2026"/>
    <s v="FG"/>
    <s v="FIBC WIP"/>
    <x v="9"/>
    <s v="PP WOVEN FABRIC"/>
    <s v="FIBC WIP"/>
    <n v="360"/>
    <n v="55706.400000000001"/>
    <s v="UL CUTPCS"/>
    <n v="186418.21"/>
    <n v="9"/>
    <n v="5013.58"/>
    <n v="9"/>
    <n v="5013.58"/>
    <n v="0"/>
    <n v="0"/>
    <n v="0"/>
    <n v="10027.16"/>
    <n v="0"/>
    <s v="24AABCG1282C2Z6"/>
    <s v="KGS"/>
    <n v="39269080"/>
    <s v="Rs."/>
    <n v="1"/>
    <n v="360"/>
    <s v="India"/>
  </r>
  <r>
    <s v="16-07-2026"/>
    <s v="Hcp Plastene Bulkpack Ltd (Unit Iv) - Sales"/>
    <s v="Sales"/>
    <n v="365"/>
    <s v="Sales - Within State  Manufactured Goods"/>
    <s v="PPL/D/365"/>
    <s v="16-07-2026"/>
    <s v="SF"/>
    <s v="PP/PE Fabric"/>
    <x v="11"/>
    <s v="PP WOVEN FABRIC"/>
    <s v="PP UL Fabric With UV"/>
    <n v="554.1"/>
    <n v="85741.43"/>
    <s v="PP UL Fabric With UV"/>
    <n v="0"/>
    <n v="9"/>
    <n v="7716.73"/>
    <n v="9"/>
    <n v="7716.73"/>
    <n v="0"/>
    <n v="0"/>
    <n v="0"/>
    <n v="15433.46"/>
    <n v="0"/>
    <s v="24AABCG1282C2Z6"/>
    <s v="KGS"/>
    <n v="39269080"/>
    <s v="Rs."/>
    <n v="1"/>
    <n v="554.1"/>
    <s v="India"/>
  </r>
  <r>
    <s v="16-07-2026"/>
    <s v="Hcp Plastene Bulkpack Ltd (Unit Iv) - Sales"/>
    <s v="Sales"/>
    <n v="365"/>
    <s v="Sales - Within State  Manufactured Goods"/>
    <s v="PPL/D/365"/>
    <s v="16-07-2026"/>
    <s v="SF"/>
    <s v="PP/PE Fabric"/>
    <x v="7"/>
    <s v="PP Laminated Fabric"/>
    <s v="PP Lam Fabric With UV"/>
    <n v="105"/>
    <n v="16667.7"/>
    <s v="PP Lam Fabric With UV"/>
    <n v="0"/>
    <n v="9"/>
    <n v="1500.09"/>
    <n v="9"/>
    <n v="1500.09"/>
    <n v="0"/>
    <n v="0"/>
    <n v="0"/>
    <n v="3000.18"/>
    <n v="0"/>
    <s v="24AABCG1282C2Z6"/>
    <s v="KGS"/>
    <n v="39269080"/>
    <s v="Rs."/>
    <n v="1"/>
    <n v="105"/>
    <s v="India"/>
  </r>
  <r>
    <s v="16-07-2026"/>
    <s v="K.P. Woven Pvt Ltd-Sales"/>
    <s v="Sales"/>
    <n v="364"/>
    <s v="Sales - Within State - Traded Goods"/>
    <s v="PPL/D/364"/>
    <s v="16-07-2026"/>
    <s v="FG"/>
    <s v="FIBC Bags"/>
    <x v="0"/>
    <s v="FIBC"/>
    <s v="FIBC Bags With UV Without Liner"/>
    <n v="1022"/>
    <n v="258228.74"/>
    <s v="BC-63764/04-12508"/>
    <n v="6148332.0700000003"/>
    <n v="9"/>
    <n v="23240.59"/>
    <n v="9"/>
    <n v="23240.59"/>
    <n v="0"/>
    <n v="0"/>
    <n v="0"/>
    <n v="46481.18"/>
    <n v="0"/>
    <s v="24AAECK6307M1ZF"/>
    <s v="KGS"/>
    <n v="39232999"/>
    <s v="Rs."/>
    <n v="1"/>
    <n v="1022"/>
    <s v="India"/>
  </r>
  <r>
    <s v="16-07-2026"/>
    <s v="K.P. Woven Pvt Ltd-Sales"/>
    <s v="Sales"/>
    <n v="364"/>
    <s v="Sales - Within State - Traded Goods"/>
    <s v="PPL/D/364"/>
    <s v="16-07-2026"/>
    <s v="FG"/>
    <s v="FIBC Bags"/>
    <x v="0"/>
    <s v="FIBC"/>
    <s v="FIBC Bags With UV Without Liner"/>
    <n v="801"/>
    <n v="201755.88"/>
    <s v="BC-63801/04-11452"/>
    <n v="0"/>
    <n v="9"/>
    <n v="18158.03"/>
    <n v="9"/>
    <n v="18158.03"/>
    <n v="0"/>
    <n v="0"/>
    <n v="0"/>
    <n v="36316.06"/>
    <n v="0"/>
    <s v="24AAECK6307M1ZF"/>
    <s v="KGS"/>
    <n v="39232999"/>
    <s v="Rs."/>
    <n v="1"/>
    <n v="801"/>
    <s v="India"/>
  </r>
  <r>
    <s v="16-07-2026"/>
    <s v="K.P. Woven Pvt Ltd-Sales"/>
    <s v="Sales"/>
    <n v="364"/>
    <s v="Sales - Within State - Traded Goods"/>
    <s v="PPL/D/364"/>
    <s v="16-07-2026"/>
    <s v="FG"/>
    <s v="FIBC Bags"/>
    <x v="0"/>
    <s v="FIBC"/>
    <s v="FIBC Bags With UV Without Liner"/>
    <n v="6672"/>
    <n v="2016144.96"/>
    <s v="BC-63840/04-10415"/>
    <n v="0"/>
    <n v="9"/>
    <n v="181453.05"/>
    <n v="9"/>
    <n v="181453.05"/>
    <n v="0"/>
    <n v="0"/>
    <n v="0"/>
    <n v="362906.1"/>
    <n v="0"/>
    <s v="24AAECK6307M1ZF"/>
    <s v="KGS"/>
    <n v="39232999"/>
    <s v="Rs."/>
    <n v="1"/>
    <n v="6672"/>
    <s v="India"/>
  </r>
  <r>
    <s v="16-07-2026"/>
    <s v="K.P. Woven Pvt Ltd-Sales"/>
    <s v="Sales"/>
    <n v="364"/>
    <s v="Sales - Within State - Traded Goods"/>
    <s v="PPL/D/364"/>
    <s v="16-07-2026"/>
    <s v="FG"/>
    <s v="FIBC Bags"/>
    <x v="0"/>
    <s v="FIBC"/>
    <s v="FIBC Bags With UV Without Liner"/>
    <n v="2441.1"/>
    <n v="524348.28"/>
    <s v="BC-62900/04-11883"/>
    <n v="0"/>
    <n v="9"/>
    <n v="47191.35"/>
    <n v="9"/>
    <n v="47191.35"/>
    <n v="0"/>
    <n v="0"/>
    <n v="0"/>
    <n v="94382.7"/>
    <n v="0"/>
    <s v="24AAECK6307M1ZF"/>
    <s v="KGS"/>
    <n v="39232999"/>
    <s v="Rs."/>
    <n v="1"/>
    <n v="2441.1"/>
    <s v="India"/>
  </r>
  <r>
    <s v="16-07-2026"/>
    <s v="K.P. Woven Pvt Ltd-Sales"/>
    <s v="Sales"/>
    <n v="364"/>
    <s v="Sales - Within State - Traded Goods"/>
    <s v="PPL/D/364"/>
    <s v="16-07-2026"/>
    <s v="FG"/>
    <s v="FIBC Bags"/>
    <x v="0"/>
    <s v="FIBC"/>
    <s v="FIBC Bags With UV Without Liner"/>
    <n v="8430"/>
    <n v="2214392.4"/>
    <s v="BC-63573/04-11287"/>
    <n v="0"/>
    <n v="9"/>
    <n v="199295.32"/>
    <n v="9"/>
    <n v="199295.32"/>
    <n v="0"/>
    <n v="0"/>
    <n v="0"/>
    <n v="398590.64"/>
    <n v="0"/>
    <s v="24AAECK6307M1ZF"/>
    <s v="KGS"/>
    <n v="39232999"/>
    <s v="Rs."/>
    <n v="1"/>
    <n v="8430"/>
    <s v="India"/>
  </r>
  <r>
    <s v="17-07-2026"/>
    <s v="HCP Plastene Bulkpack Limited - Sales"/>
    <s v="Sales"/>
    <n v="368"/>
    <s v="Sales - Within State  Manufactured Goods"/>
    <s v="PPL/D/368"/>
    <s v="17-07-2026"/>
    <s v="FG"/>
    <s v="FIBC Bags"/>
    <x v="0"/>
    <s v="FIBC"/>
    <s v="FIBC Bags With UV Without Liner"/>
    <n v="19488"/>
    <n v="2880326.4"/>
    <s v="KRZY-83/KK0019 SUGAR KSC"/>
    <n v="3395904.83"/>
    <n v="9"/>
    <n v="259229.38"/>
    <n v="9"/>
    <n v="259229.38"/>
    <n v="0"/>
    <n v="0"/>
    <n v="0"/>
    <n v="518458.76"/>
    <n v="0"/>
    <s v="24AABCG1282C2Z6"/>
    <s v="KGS"/>
    <n v="39232999"/>
    <s v="Rs."/>
    <n v="1"/>
    <n v="19488"/>
    <s v="India"/>
  </r>
  <r>
    <s v="17-07-2026"/>
    <s v="Plastene India ltd - Unit 1-Sales"/>
    <s v="Sales"/>
    <n v="367"/>
    <s v="Sales - Within State  Manufactured Goods"/>
    <s v="PPL/D/367"/>
    <s v="17-07-2026"/>
    <s v="FG"/>
    <s v="FIBC WIP"/>
    <x v="9"/>
    <s v="PP Laminated Fabric"/>
    <s v="FIBC WIP"/>
    <n v="177"/>
    <n v="23848.98"/>
    <s v="LAM CUTPCS"/>
    <n v="28117.95"/>
    <n v="9"/>
    <n v="2146.41"/>
    <n v="9"/>
    <n v="2146.41"/>
    <n v="0"/>
    <n v="0"/>
    <n v="0"/>
    <n v="4292.82"/>
    <n v="0"/>
    <s v="24AAACO3087C1ZT"/>
    <s v="KGS"/>
    <n v="39269080"/>
    <s v="Rs."/>
    <n v="1"/>
    <n v="177"/>
    <s v="India"/>
  </r>
  <r>
    <s v="17-07-2026"/>
    <s v="Plastene India ltd - Unit 1-Sales"/>
    <s v="Sales"/>
    <n v="369"/>
    <s v="Sales - Within State - Traded Goods"/>
    <s v="PPL/D/369"/>
    <s v="17-07-2026"/>
    <s v="SF"/>
    <s v="Films All (SF)"/>
    <x v="2"/>
    <s v="LLDPE FILM"/>
    <s v="LDPE/LLDPE Film"/>
    <n v="10"/>
    <n v="2770"/>
    <s v="LDPE/LLDPE Film"/>
    <n v="3265.83"/>
    <n v="9"/>
    <n v="249.3"/>
    <n v="9"/>
    <n v="249.3"/>
    <n v="0"/>
    <n v="0"/>
    <n v="0"/>
    <n v="498.6"/>
    <n v="0"/>
    <s v="24AAACO3087C1ZT"/>
    <s v="KGS"/>
    <n v="39201019"/>
    <s v="Rs."/>
    <n v="1"/>
    <n v="10"/>
    <s v="India"/>
  </r>
  <r>
    <s v="18-07-2026"/>
    <s v="HCP Plastene Bulkpack Limited - Sales"/>
    <s v="Sales"/>
    <n v="375"/>
    <s v="Sales - Within State - Traded Goods"/>
    <s v="PPL/D/375"/>
    <s v="18-07-2026"/>
    <s v="FG"/>
    <s v="FIBC Bags"/>
    <x v="0"/>
    <s v="FIBC"/>
    <s v="FIBC Bags With UV Without Liner"/>
    <n v="2424"/>
    <n v="554950.56000000006"/>
    <s v="PO-064321/CA22"/>
    <n v="5259362.03"/>
    <n v="9"/>
    <n v="49945.55"/>
    <n v="9"/>
    <n v="49945.55"/>
    <n v="0"/>
    <n v="0"/>
    <n v="0"/>
    <n v="99891.1"/>
    <n v="0"/>
    <s v="24AABCG1282C2Z6"/>
    <s v="KGS"/>
    <n v="39232999"/>
    <s v="Rs."/>
    <n v="1"/>
    <n v="2424"/>
    <s v="India"/>
  </r>
  <r>
    <s v="18-07-2026"/>
    <s v="HCP Plastene Bulkpack Limited - Sales"/>
    <s v="Sales"/>
    <n v="375"/>
    <s v="Sales - Within State - Traded Goods"/>
    <s v="PPL/D/375"/>
    <s v="18-07-2026"/>
    <s v="FG"/>
    <s v="FIBC Bags"/>
    <x v="0"/>
    <s v="FIBC"/>
    <s v="FIBC Bags With UV Without Liner"/>
    <n v="840"/>
    <n v="179306.4"/>
    <s v="PO-065408/AV SC 1812 N"/>
    <n v="0"/>
    <n v="9"/>
    <n v="16137.58"/>
    <n v="9"/>
    <n v="16137.58"/>
    <n v="0"/>
    <n v="0"/>
    <n v="0"/>
    <n v="32275.16"/>
    <n v="0"/>
    <s v="24AABCG1282C2Z6"/>
    <s v="KGS"/>
    <n v="39232999"/>
    <s v="Rs."/>
    <n v="1"/>
    <n v="840"/>
    <s v="India"/>
  </r>
  <r>
    <s v="18-07-2026"/>
    <s v="HCP Plastene Bulkpack Limited - Sales"/>
    <s v="Sales"/>
    <n v="375"/>
    <s v="Sales - Within State - Traded Goods"/>
    <s v="PPL/D/375"/>
    <s v="18-07-2026"/>
    <s v="FG"/>
    <s v="FIBC Bags"/>
    <x v="0"/>
    <s v="FIBC"/>
    <s v="FIBC Bags With UV Without Liner"/>
    <n v="4973"/>
    <n v="967049.58"/>
    <s v="PO-068423/IBR 1299 D"/>
    <n v="0"/>
    <n v="9"/>
    <n v="87034.46"/>
    <n v="9"/>
    <n v="87034.46"/>
    <n v="0"/>
    <n v="0"/>
    <n v="0"/>
    <n v="174068.92"/>
    <n v="0"/>
    <s v="24AABCG1282C2Z6"/>
    <s v="KGS"/>
    <n v="39232999"/>
    <s v="Rs."/>
    <n v="1"/>
    <n v="4973"/>
    <s v="India"/>
  </r>
  <r>
    <s v="18-07-2026"/>
    <s v="HCP Plastene Bulkpack Limited - Sales"/>
    <s v="Sales"/>
    <n v="375"/>
    <s v="Sales - Within State - Traded Goods"/>
    <s v="PPL/D/375"/>
    <s v="18-07-2026"/>
    <s v="FG"/>
    <s v="Small Bags"/>
    <x v="20"/>
    <s v="FIBC"/>
    <s v="PP UL Bags With UV"/>
    <n v="416.8"/>
    <n v="95797.31"/>
    <s v="PP UL Bags With UV"/>
    <n v="0"/>
    <n v="9"/>
    <n v="8621.76"/>
    <n v="9"/>
    <n v="8621.76"/>
    <n v="0"/>
    <n v="0"/>
    <n v="0"/>
    <n v="17243.52"/>
    <n v="0"/>
    <s v="24AABCG1282C2Z6"/>
    <s v="KGS"/>
    <n v="39232999"/>
    <s v="Rs."/>
    <n v="1"/>
    <n v="416.8"/>
    <s v="India"/>
  </r>
  <r>
    <s v="18-07-2026"/>
    <s v="HCP Plastene Bulkpack Limited - Sales"/>
    <s v="Sales"/>
    <n v="375"/>
    <s v="Sales - Within State - Traded Goods"/>
    <s v="PPL/D/375"/>
    <s v="18-07-2026"/>
    <s v="FG"/>
    <s v="FIBC Bags"/>
    <x v="0"/>
    <s v="FIBC"/>
    <s v="FIBC Bags With UV With Liner"/>
    <n v="849"/>
    <n v="209193.60000000001"/>
    <s v="PO-064321/CA2W"/>
    <n v="0"/>
    <n v="9"/>
    <n v="18827.419999999998"/>
    <n v="9"/>
    <n v="18827.419999999998"/>
    <n v="0"/>
    <n v="0"/>
    <n v="0"/>
    <n v="37654.839999999997"/>
    <n v="0"/>
    <s v="24AABCG1282C2Z6"/>
    <s v="KGS"/>
    <n v="39232999"/>
    <s v="Rs."/>
    <n v="1"/>
    <n v="849"/>
    <s v="India"/>
  </r>
  <r>
    <s v="18-07-2026"/>
    <s v="HCP Plastene Bulkpack Limited - Sales"/>
    <s v="Sales"/>
    <n v="375"/>
    <s v="Sales - Within State - Traded Goods"/>
    <s v="PPL/D/375"/>
    <s v="18-07-2026"/>
    <s v="FG"/>
    <s v="FIBC Bags"/>
    <x v="0"/>
    <s v="FIBC"/>
    <s v="FIBC Bags With UV Without Liner"/>
    <n v="3262"/>
    <n v="791589.54"/>
    <s v="PO-064321/CA10"/>
    <n v="0"/>
    <n v="9"/>
    <n v="71243.06"/>
    <n v="9"/>
    <n v="71243.06"/>
    <n v="0"/>
    <n v="0"/>
    <n v="0"/>
    <n v="142486.12"/>
    <n v="0"/>
    <s v="24AABCG1282C2Z6"/>
    <s v="KGS"/>
    <n v="39232999"/>
    <s v="Rs."/>
    <n v="1"/>
    <n v="3262"/>
    <s v="India"/>
  </r>
  <r>
    <s v="18-07-2026"/>
    <s v="HCP Plastene Bulkpack Limited - Sales"/>
    <s v="Sales"/>
    <n v="375"/>
    <s v="Sales - Within State - Traded Goods"/>
    <s v="PPL/D/375"/>
    <s v="18-07-2026"/>
    <s v="FG"/>
    <s v="FIBC Bags"/>
    <x v="0"/>
    <s v="FIBC"/>
    <s v="FIBC Bags With UV Without Liner"/>
    <n v="2825"/>
    <n v="643393.75"/>
    <s v="PO-064321/CA20"/>
    <n v="0"/>
    <n v="9"/>
    <n v="57905.440000000002"/>
    <n v="9"/>
    <n v="57905.440000000002"/>
    <n v="0"/>
    <n v="0"/>
    <n v="0"/>
    <n v="115810.88"/>
    <n v="0"/>
    <s v="24AABCG1282C2Z6"/>
    <s v="KGS"/>
    <n v="39232999"/>
    <s v="Rs."/>
    <n v="1"/>
    <n v="2825"/>
    <s v="India"/>
  </r>
  <r>
    <s v="18-07-2026"/>
    <s v="HCP Plastene Bulkpack Limited - Sales"/>
    <s v="Sales"/>
    <n v="375"/>
    <s v="Sales - Within State - Traded Goods"/>
    <s v="PPL/D/375"/>
    <s v="18-07-2026"/>
    <s v="FG"/>
    <s v="FIBC Bags"/>
    <x v="0"/>
    <s v="FIBC"/>
    <s v="FIBC Bags With UV Without Liner"/>
    <n v="4438"/>
    <n v="1019586.12"/>
    <s v="PO-064321/CA20P"/>
    <n v="0"/>
    <n v="9"/>
    <n v="91762.75"/>
    <n v="9"/>
    <n v="91762.75"/>
    <n v="0"/>
    <n v="0"/>
    <n v="0"/>
    <n v="183525.5"/>
    <n v="0"/>
    <s v="24AABCG1282C2Z6"/>
    <s v="KGS"/>
    <n v="39232999"/>
    <s v="Rs."/>
    <n v="1"/>
    <n v="4438"/>
    <s v="India"/>
  </r>
  <r>
    <s v="18-07-2026"/>
    <s v="K.P. Woven Pvt Ltd - Unit 3 -Sales"/>
    <s v="SALES (FOREX)"/>
    <s v="PPL/E/57/26-27"/>
    <s v="Sales - Kasez - Mfg - U/B"/>
    <s v="PPL/E/57/26-27"/>
    <s v="18-07-2026"/>
    <s v="SF"/>
    <s v="Films All (SF)"/>
    <x v="2"/>
    <s v="LLDPE FILM"/>
    <s v="LDPE/LLDPE Film"/>
    <n v="10.7"/>
    <n v="3745"/>
    <s v="LDPE/LLDPE Film"/>
    <n v="3741.26"/>
    <m/>
    <n v="0"/>
    <m/>
    <n v="0"/>
    <m/>
    <n v="0"/>
    <n v="0"/>
    <n v="0"/>
    <n v="0"/>
    <s v="24AAECK6307M2ZE"/>
    <s v="KGS"/>
    <n v="39201019"/>
    <s v="Rs."/>
    <n v="1"/>
    <n v="10.7"/>
    <s v="India"/>
  </r>
  <r>
    <s v="18-07-2026"/>
    <s v="Plastene India ltd - Unit 1-Sales"/>
    <s v="Sales"/>
    <n v="370"/>
    <s v="Sales - Within State - Traded Goods"/>
    <s v="PPL/D/370"/>
    <s v="18-07-2026"/>
    <s v="SF"/>
    <s v="Films All (SF)"/>
    <x v="2"/>
    <s v="LLDPE FILM"/>
    <s v="LDPE/LLDPE Film"/>
    <n v="12"/>
    <n v="3120"/>
    <s v="LDPE/LLDPE Film"/>
    <n v="3678.48"/>
    <n v="9"/>
    <n v="280.8"/>
    <n v="9"/>
    <n v="280.8"/>
    <n v="0"/>
    <n v="0"/>
    <n v="0"/>
    <n v="561.6"/>
    <n v="0"/>
    <s v="24AAACO3087C1ZT"/>
    <s v="KGS"/>
    <n v="39201019"/>
    <s v="Rs."/>
    <n v="1"/>
    <n v="12"/>
    <s v="India"/>
  </r>
  <r>
    <s v="18-07-2026"/>
    <s v="Plastene India ltd - Unit 1-Sales"/>
    <s v="Sales"/>
    <n v="372"/>
    <s v="Sales - Within State  Manufactured Goods"/>
    <s v="PPL/D/372"/>
    <s v="18-07-2026"/>
    <s v="SF"/>
    <s v="PP/PE Fabric"/>
    <x v="7"/>
    <s v="PP Laminated Fabric"/>
    <s v="PP Lam Fabric With UV"/>
    <n v="694"/>
    <n v="108777.56"/>
    <s v="PP Lam Fabric With UV"/>
    <n v="520231.91"/>
    <n v="9"/>
    <n v="9789.98"/>
    <n v="9"/>
    <n v="9789.98"/>
    <n v="0"/>
    <n v="0"/>
    <n v="0"/>
    <n v="19579.96"/>
    <n v="0"/>
    <s v="24AAACO3087C1ZT"/>
    <s v="KGS"/>
    <n v="39269080"/>
    <s v="Rs."/>
    <n v="1"/>
    <n v="694"/>
    <s v="India"/>
  </r>
  <r>
    <s v="18-07-2026"/>
    <s v="Plastene India ltd - Unit 1-Sales"/>
    <s v="Sales"/>
    <n v="372"/>
    <s v="Sales - Within State  Manufactured Goods"/>
    <s v="PPL/D/372"/>
    <s v="18-07-2026"/>
    <s v="SF"/>
    <s v="Tape Stock"/>
    <x v="21"/>
    <s v="PP TAPE"/>
    <s v="PP Tapes"/>
    <n v="108"/>
    <n v="48708"/>
    <s v="PP Tapes"/>
    <n v="0"/>
    <n v="9"/>
    <n v="4383.72"/>
    <n v="9"/>
    <n v="4383.72"/>
    <n v="0"/>
    <n v="0"/>
    <n v="0"/>
    <n v="8767.44"/>
    <n v="0"/>
    <s v="24AAACO3087C1ZT"/>
    <s v="KGS"/>
    <n v="39199090"/>
    <s v="Rs."/>
    <n v="1"/>
    <n v="108"/>
    <s v="India"/>
  </r>
  <r>
    <s v="18-07-2026"/>
    <s v="Plastene India ltd - Unit 1-Sales"/>
    <s v="Sales"/>
    <n v="372"/>
    <s v="Sales - Within State  Manufactured Goods"/>
    <s v="PPL/D/372"/>
    <s v="18-07-2026"/>
    <s v="SF"/>
    <s v="Liners"/>
    <x v="3"/>
    <s v="LDPE/LLDPE Bags"/>
    <s v="LDPE/LLDPE Bags/Liner"/>
    <n v="1461"/>
    <n v="264660.15000000002"/>
    <s v="LDPE/LLDPE Bags/Liner"/>
    <n v="0"/>
    <n v="9"/>
    <n v="23819.41"/>
    <n v="9"/>
    <n v="23819.41"/>
    <n v="0"/>
    <n v="0"/>
    <n v="0"/>
    <n v="47638.82"/>
    <n v="0"/>
    <s v="24AAACO3087C1ZT"/>
    <s v="KGS"/>
    <n v="392310"/>
    <s v="Rs."/>
    <n v="1"/>
    <n v="1461"/>
    <s v="India"/>
  </r>
  <r>
    <s v="18-07-2026"/>
    <s v="Plastene India ltd - Unit 1-Sales"/>
    <s v="Sales"/>
    <n v="372"/>
    <s v="Sales - Within State  Manufactured Goods"/>
    <s v="PPL/D/372"/>
    <s v="18-07-2026"/>
    <s v="SF"/>
    <s v="Yarn All"/>
    <x v="1"/>
    <s v="FILLER CORD"/>
    <s v="Filler Cord"/>
    <n v="121.3"/>
    <n v="21470.1"/>
    <s v="Filler Cord"/>
    <n v="0"/>
    <n v="2.5"/>
    <n v="536.75"/>
    <n v="2.5"/>
    <n v="536.75"/>
    <n v="0"/>
    <n v="0"/>
    <n v="0"/>
    <n v="1073.5"/>
    <n v="0"/>
    <s v="24AAACO3087C1ZT"/>
    <s v="KGS"/>
    <n v="54026930"/>
    <s v="Rs."/>
    <n v="1"/>
    <n v="121.3"/>
    <s v="India"/>
  </r>
  <r>
    <s v="19-07-2026"/>
    <s v="Plastene India ltd - Unit 1-Sales"/>
    <s v="Sales"/>
    <n v="376"/>
    <s v="Sales - Within State - Traded Goods"/>
    <s v="PPL/D/376"/>
    <s v="19-07-2026"/>
    <s v="SF"/>
    <s v="Films All (SF)"/>
    <x v="2"/>
    <s v="LLDPE FILM"/>
    <s v="LDPE/LLDPE Film"/>
    <n v="2.1"/>
    <n v="472.5"/>
    <s v="LABLE"/>
    <n v="557.07000000000005"/>
    <n v="9"/>
    <n v="42.52"/>
    <n v="9"/>
    <n v="42.52"/>
    <n v="0"/>
    <n v="0"/>
    <n v="0"/>
    <n v="85.04"/>
    <n v="0"/>
    <s v="24AAACO3087C1ZT"/>
    <s v="KGS"/>
    <n v="39201019"/>
    <s v="Rs."/>
    <n v="1"/>
    <n v="2.1"/>
    <s v="India"/>
  </r>
  <r>
    <s v="19-07-2026"/>
    <s v="Plastene India ltd - Unit 1-Sales"/>
    <s v="Sales"/>
    <n v="377"/>
    <s v="Sales - Within State  Manufactured Goods"/>
    <s v="PPL/D/377"/>
    <s v="19-07-2026"/>
    <s v="SF"/>
    <s v="PP/PE Fabric"/>
    <x v="11"/>
    <s v="PP WOVEN FABRIC"/>
    <s v="PP UL Fabric With UV"/>
    <n v="1951.5"/>
    <n v="301975.11"/>
    <s v="MORE THEN 100 GSM"/>
    <n v="356028.65"/>
    <n v="9"/>
    <n v="27177.759999999998"/>
    <n v="9"/>
    <n v="27177.759999999998"/>
    <n v="0"/>
    <n v="0"/>
    <n v="0"/>
    <n v="54355.519999999997"/>
    <n v="0"/>
    <s v="24AAACO3087C1ZT"/>
    <s v="KGS"/>
    <n v="39269080"/>
    <s v="Rs."/>
    <n v="1"/>
    <n v="1951.5"/>
    <s v="India"/>
  </r>
  <r>
    <s v="20-07-2026"/>
    <s v="HCP Plastene Bulkpack Limited - Sales"/>
    <s v="Sales"/>
    <n v="379"/>
    <s v="Sales - Within State  Manufactured Goods"/>
    <s v="PPL/D/379"/>
    <s v="20-07-2026"/>
    <s v="FG"/>
    <s v="FIBC Bags"/>
    <x v="0"/>
    <s v="FIBC"/>
    <s v="FIBC Bags With UV With Liner"/>
    <n v="2883"/>
    <n v="723171.72"/>
    <s v="PO-067306/CA 1F"/>
    <n v="5123607.95"/>
    <n v="9"/>
    <n v="65085.45"/>
    <n v="9"/>
    <n v="65085.45"/>
    <n v="0"/>
    <n v="0"/>
    <n v="0"/>
    <n v="130170.9"/>
    <n v="0"/>
    <s v="24AABCG1282C2Z6"/>
    <s v="KGS"/>
    <n v="39232999"/>
    <s v="Rs."/>
    <n v="1"/>
    <n v="2883"/>
    <s v="India"/>
  </r>
  <r>
    <s v="20-07-2026"/>
    <s v="HCP Plastene Bulkpack Limited - Sales"/>
    <s v="Sales"/>
    <n v="379"/>
    <s v="Sales - Within State  Manufactured Goods"/>
    <s v="PPL/D/379"/>
    <s v="20-07-2026"/>
    <s v="FG"/>
    <s v="FIBC Bags"/>
    <x v="0"/>
    <s v="FIBC"/>
    <s v="FIBC Bags With UV Without Liner"/>
    <n v="1775"/>
    <n v="351592"/>
    <s v="PO-067306/BB DC 60"/>
    <n v="0"/>
    <n v="9"/>
    <n v="31643.279999999999"/>
    <n v="9"/>
    <n v="31643.279999999999"/>
    <n v="0"/>
    <n v="0"/>
    <n v="0"/>
    <n v="63286.559999999998"/>
    <n v="0"/>
    <s v="24AABCG1282C2Z6"/>
    <s v="KGS"/>
    <n v="39232999"/>
    <s v="Rs."/>
    <n v="1"/>
    <n v="1775"/>
    <s v="India"/>
  </r>
  <r>
    <s v="20-07-2026"/>
    <s v="HCP Plastene Bulkpack Limited - Sales"/>
    <s v="Sales"/>
    <n v="379"/>
    <s v="Sales - Within State  Manufactured Goods"/>
    <s v="PPL/D/379"/>
    <s v="20-07-2026"/>
    <s v="FG"/>
    <s v="FIBC Bags"/>
    <x v="0"/>
    <s v="FIBC"/>
    <s v="FIBC Bags With UV Without Liner"/>
    <n v="2018"/>
    <n v="475279.35999999999"/>
    <s v="PO-067306/CA10W"/>
    <n v="0"/>
    <n v="9"/>
    <n v="42775.14"/>
    <n v="9"/>
    <n v="42775.14"/>
    <n v="0"/>
    <n v="0"/>
    <n v="0"/>
    <n v="85550.28"/>
    <n v="0"/>
    <s v="24AABCG1282C2Z6"/>
    <s v="KGS"/>
    <n v="39232999"/>
    <s v="Rs."/>
    <n v="1"/>
    <n v="2018"/>
    <s v="India"/>
  </r>
  <r>
    <s v="20-07-2026"/>
    <s v="HCP Plastene Bulkpack Limited - Sales"/>
    <s v="Sales"/>
    <n v="379"/>
    <s v="Sales - Within State  Manufactured Goods"/>
    <s v="PPL/D/379"/>
    <s v="20-07-2026"/>
    <s v="FG"/>
    <s v="FIBC Bags"/>
    <x v="0"/>
    <s v="FIBC"/>
    <s v="FIBC Bags With UV Without Liner"/>
    <n v="7277"/>
    <n v="1589296.8"/>
    <s v="PO-067306/CA20P"/>
    <n v="0"/>
    <n v="9"/>
    <n v="143036.71"/>
    <n v="9"/>
    <n v="143036.71"/>
    <n v="0"/>
    <n v="0"/>
    <n v="0"/>
    <n v="286073.42"/>
    <n v="0"/>
    <s v="24AABCG1282C2Z6"/>
    <s v="KGS"/>
    <n v="39232999"/>
    <s v="Rs."/>
    <n v="1"/>
    <n v="7277"/>
    <s v="India"/>
  </r>
  <r>
    <s v="20-07-2026"/>
    <s v="HCP Plastene Bulkpack Limited - Sales"/>
    <s v="Sales"/>
    <n v="379"/>
    <s v="Sales - Within State  Manufactured Goods"/>
    <s v="PPL/D/379"/>
    <s v="20-07-2026"/>
    <s v="FG"/>
    <s v="FIBC Bags"/>
    <x v="0"/>
    <s v="FIBC"/>
    <s v="FIBC Bags With UV Without Liner"/>
    <n v="1607"/>
    <n v="352431.17"/>
    <s v="PO-067306/CA22"/>
    <n v="0"/>
    <n v="9"/>
    <n v="31718.81"/>
    <n v="9"/>
    <n v="31718.81"/>
    <n v="0"/>
    <n v="0"/>
    <n v="0"/>
    <n v="63437.62"/>
    <n v="0"/>
    <s v="24AABCG1282C2Z6"/>
    <s v="KGS"/>
    <n v="39232999"/>
    <s v="Rs."/>
    <n v="1"/>
    <n v="1607"/>
    <s v="India"/>
  </r>
  <r>
    <s v="20-07-2026"/>
    <s v="HCP Plastene Bulkpack Limited - Sales"/>
    <s v="Sales"/>
    <n v="379"/>
    <s v="Sales - Within State  Manufactured Goods"/>
    <s v="PPL/D/379"/>
    <s v="20-07-2026"/>
    <s v="FG"/>
    <s v="FIBC Bags"/>
    <x v="0"/>
    <s v="FIBC"/>
    <s v="FIBC Bags With UV Without Liner"/>
    <n v="4326"/>
    <n v="853952.4"/>
    <s v="PO-067306/DC 1299 S"/>
    <n v="0"/>
    <n v="9"/>
    <n v="76855.72"/>
    <n v="9"/>
    <n v="76855.72"/>
    <n v="0"/>
    <n v="0"/>
    <n v="0"/>
    <n v="153711.44"/>
    <n v="0"/>
    <s v="24AABCG1282C2Z6"/>
    <s v="KGS"/>
    <n v="39232999"/>
    <s v="Rs."/>
    <n v="1"/>
    <n v="4326"/>
    <s v="India"/>
  </r>
  <r>
    <s v="20-07-2026"/>
    <s v="Plastene India ltd - Unit 1-Sales"/>
    <s v="Sales"/>
    <n v="381"/>
    <s v="Sales - Within State  Manufactured Goods"/>
    <s v="PPL/D/381"/>
    <s v="20-07-2026"/>
    <s v="SF"/>
    <s v="Films All (SF)"/>
    <x v="2"/>
    <s v="LLDPE FILM"/>
    <s v="LDPE/LLDPE Film"/>
    <n v="9.6999999999999993"/>
    <n v="2832.4"/>
    <s v="LDPE/LLDPE Film"/>
    <n v="3339.41"/>
    <n v="9"/>
    <n v="254.92"/>
    <n v="9"/>
    <n v="254.92"/>
    <n v="0"/>
    <n v="0"/>
    <n v="0"/>
    <n v="509.84"/>
    <n v="0"/>
    <s v="24AAACO3087C1ZT"/>
    <s v="KGS"/>
    <n v="39201019"/>
    <s v="Rs."/>
    <n v="1"/>
    <n v="9.6999999999999993"/>
    <s v="India"/>
  </r>
  <r>
    <s v="21-07-2026"/>
    <s v="Hcp Plastene Bulkpack Ltd (Unit Iv) - Sales"/>
    <s v="Sales"/>
    <n v="384"/>
    <s v="Sales - Within State  Manufactured Goods"/>
    <s v="PPL/D/384"/>
    <s v="21-07-2026"/>
    <s v="SF"/>
    <s v="Liners"/>
    <x v="3"/>
    <s v="LDPE/LLDPE Bags"/>
    <s v="LDPE/LLDPE Bags/Liner"/>
    <n v="46.3"/>
    <n v="8102.5"/>
    <s v="20X25X80 OPEN DOC"/>
    <n v="53885.38"/>
    <n v="9"/>
    <n v="729.22"/>
    <n v="9"/>
    <n v="729.22"/>
    <n v="0"/>
    <n v="0"/>
    <n v="0"/>
    <n v="1458.44"/>
    <n v="0"/>
    <s v="24AABCG1282C2Z6"/>
    <s v="KGS"/>
    <n v="392310"/>
    <s v="Rs."/>
    <n v="1"/>
    <n v="46.3"/>
    <s v="India"/>
  </r>
  <r>
    <s v="21-07-2026"/>
    <s v="Hcp Plastene Bulkpack Ltd (Unit Iv) - Sales"/>
    <s v="Sales"/>
    <n v="384"/>
    <s v="Sales - Within State  Manufactured Goods"/>
    <s v="PPL/D/384"/>
    <s v="21-07-2026"/>
    <s v="FG"/>
    <s v="FIBC WIP"/>
    <x v="9"/>
    <s v="PP WOVEN FABRIC"/>
    <s v="FIBC WIP"/>
    <n v="243"/>
    <n v="37601.82"/>
    <s v="UL CUTPCS"/>
    <n v="0"/>
    <n v="9"/>
    <n v="3384.16"/>
    <n v="9"/>
    <n v="3384.16"/>
    <n v="0"/>
    <n v="0"/>
    <n v="0"/>
    <n v="6768.32"/>
    <n v="0"/>
    <s v="24AABCG1282C2Z6"/>
    <s v="KGS"/>
    <n v="39269080"/>
    <s v="Rs."/>
    <n v="1"/>
    <n v="243"/>
    <s v="India"/>
  </r>
  <r>
    <s v="21-07-2026"/>
    <s v="Plastene India ltd - Unit 1-Sales"/>
    <s v="Sales"/>
    <n v="382"/>
    <s v="Sales - Within State - Traded Goods"/>
    <s v="PPL/D/382"/>
    <s v="21-07-2026"/>
    <s v="RM Consumables"/>
    <s v="Ink"/>
    <x v="10"/>
    <s v="INK"/>
    <s v="Ink Vyankatesh Poly Process Blue VLX 643"/>
    <n v="25"/>
    <n v="8000"/>
    <s v="Ink Vyankatesh Poly Process Blue VLX 643"/>
    <n v="9432"/>
    <n v="9"/>
    <n v="720"/>
    <n v="9"/>
    <n v="720"/>
    <n v="0"/>
    <n v="0"/>
    <n v="0"/>
    <n v="1440"/>
    <n v="0"/>
    <s v="24AAACO3087C1ZT"/>
    <s v="KGS"/>
    <n v="32151990"/>
    <s v="Rs."/>
    <n v="1"/>
    <n v="25"/>
    <s v="India"/>
  </r>
  <r>
    <s v="21-07-2026"/>
    <s v="Plastene India ltd - Unit 1-Sales"/>
    <s v="Sales"/>
    <n v="383"/>
    <s v="Sales - Within State - Traded Goods"/>
    <s v="PPL/D/383"/>
    <s v="21-07-2026"/>
    <s v="SF"/>
    <s v="Films All (SF)"/>
    <x v="2"/>
    <s v="LLDPE FILM"/>
    <s v="LDPE/LLDPE Film"/>
    <n v="1.1499999999999999"/>
    <n v="345"/>
    <s v="LDPE/LLDPE Film"/>
    <n v="406.76"/>
    <n v="9"/>
    <n v="31.05"/>
    <n v="9"/>
    <n v="31.05"/>
    <n v="0"/>
    <n v="0"/>
    <n v="0"/>
    <n v="62.1"/>
    <n v="0"/>
    <s v="24AAACO3087C1ZT"/>
    <s v="KGS"/>
    <n v="39201019"/>
    <s v="Rs."/>
    <n v="1"/>
    <n v="1.1499999999999999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 Liner"/>
    <n v="1963"/>
    <n v="577593.12"/>
    <s v="4500199098/IQE-4"/>
    <n v="5989667.9100000001"/>
    <n v="9"/>
    <n v="51983.38"/>
    <n v="9"/>
    <n v="51983.38"/>
    <n v="0"/>
    <n v="0"/>
    <n v="0"/>
    <n v="103966.76"/>
    <n v="0"/>
    <s v="24AAACO3087C1ZT"/>
    <s v="KGS"/>
    <n v="39232999"/>
    <s v="Rs."/>
    <n v="1"/>
    <n v="1963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 Liner"/>
    <n v="793"/>
    <n v="227178.64"/>
    <s v="4500199098/IQE-5"/>
    <n v="0"/>
    <n v="9"/>
    <n v="20446.080000000002"/>
    <n v="9"/>
    <n v="20446.080000000002"/>
    <n v="0"/>
    <n v="0"/>
    <n v="0"/>
    <n v="40892.160000000003"/>
    <n v="0"/>
    <s v="24AAACO3087C1ZT"/>
    <s v="KGS"/>
    <n v="39232999"/>
    <s v="Rs."/>
    <n v="1"/>
    <n v="793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 Liner"/>
    <n v="4118"/>
    <n v="1027605.72"/>
    <s v="4500202488/SGS-5"/>
    <n v="0"/>
    <n v="9"/>
    <n v="92484.51"/>
    <n v="9"/>
    <n v="92484.51"/>
    <n v="0"/>
    <n v="0"/>
    <n v="0"/>
    <n v="184969.02"/>
    <n v="0"/>
    <s v="24AAACO3087C1ZT"/>
    <s v="KGS"/>
    <n v="39232999"/>
    <s v="Rs."/>
    <n v="1"/>
    <n v="4118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out Liner"/>
    <n v="420"/>
    <n v="110825.4"/>
    <s v="4500199046/NAL-14"/>
    <n v="0"/>
    <n v="9"/>
    <n v="9974.2900000000009"/>
    <n v="9"/>
    <n v="9974.2900000000009"/>
    <n v="0"/>
    <n v="0"/>
    <n v="0"/>
    <n v="19948.580000000002"/>
    <n v="0"/>
    <s v="24AAACO3087C1ZT"/>
    <s v="KGS"/>
    <n v="39232999"/>
    <s v="Rs."/>
    <n v="1"/>
    <n v="420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out Liner"/>
    <n v="386"/>
    <n v="96492.28"/>
    <s v="4500199054/MIM-1"/>
    <n v="0"/>
    <n v="9"/>
    <n v="8684.31"/>
    <n v="9"/>
    <n v="8684.31"/>
    <n v="0"/>
    <n v="0"/>
    <n v="0"/>
    <n v="17368.62"/>
    <n v="0"/>
    <s v="24AAACO3087C1ZT"/>
    <s v="KGS"/>
    <n v="39232999"/>
    <s v="Rs."/>
    <n v="1"/>
    <n v="386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out Liner"/>
    <n v="1970"/>
    <n v="576225"/>
    <s v="4500199098/IQE-6"/>
    <n v="0"/>
    <n v="9"/>
    <n v="51860.25"/>
    <n v="9"/>
    <n v="51860.25"/>
    <n v="0"/>
    <n v="0"/>
    <n v="0"/>
    <n v="103720.5"/>
    <n v="0"/>
    <s v="24AAACO3087C1ZT"/>
    <s v="KGS"/>
    <n v="39232999"/>
    <s v="Rs."/>
    <n v="1"/>
    <n v="1970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out Liner"/>
    <n v="401"/>
    <n v="113069.97"/>
    <s v="4500200362/ILA-2"/>
    <n v="0"/>
    <n v="9"/>
    <n v="10176.299999999999"/>
    <n v="9"/>
    <n v="10176.299999999999"/>
    <n v="0"/>
    <n v="0"/>
    <n v="0"/>
    <n v="20352.599999999999"/>
    <n v="0"/>
    <s v="24AAACO3087C1ZT"/>
    <s v="KGS"/>
    <n v="39232999"/>
    <s v="Rs."/>
    <n v="1"/>
    <n v="401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out Liner"/>
    <n v="846"/>
    <n v="204554.34"/>
    <s v="4500202507/SAS-4 (BLUE"/>
    <n v="0"/>
    <n v="9"/>
    <n v="18409.89"/>
    <n v="9"/>
    <n v="18409.89"/>
    <n v="0"/>
    <n v="0"/>
    <n v="0"/>
    <n v="36819.78"/>
    <n v="0"/>
    <s v="24AAACO3087C1ZT"/>
    <s v="KGS"/>
    <n v="39232999"/>
    <s v="Rs."/>
    <n v="1"/>
    <n v="846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out Liner"/>
    <n v="5094"/>
    <n v="1227450.24"/>
    <s v="4500202507/SAS-4 (GREEN"/>
    <n v="0"/>
    <n v="9"/>
    <n v="110470.52"/>
    <n v="9"/>
    <n v="110470.52"/>
    <n v="0"/>
    <n v="0"/>
    <n v="0"/>
    <n v="220941.04"/>
    <n v="0"/>
    <s v="24AAACO3087C1ZT"/>
    <s v="KGS"/>
    <n v="39232999"/>
    <s v="Rs."/>
    <n v="1"/>
    <n v="5094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out Liner"/>
    <n v="3378"/>
    <n v="818185.38"/>
    <s v="4500202507/SAS-4 (GREY"/>
    <n v="0"/>
    <n v="9"/>
    <n v="73636.679999999993"/>
    <n v="9"/>
    <n v="73636.679999999993"/>
    <n v="0"/>
    <n v="0"/>
    <n v="0"/>
    <n v="147273.35999999999"/>
    <n v="0"/>
    <s v="24AAACO3087C1ZT"/>
    <s v="KGS"/>
    <n v="39232999"/>
    <s v="Rs."/>
    <n v="1"/>
    <n v="3378"/>
    <s v="India"/>
  </r>
  <r>
    <s v="21-07-2026"/>
    <s v="Plastene India ltd - Unit 1-Sales"/>
    <s v="Sales"/>
    <n v="385"/>
    <s v="Sales - Within State  Manufactured Goods"/>
    <s v="PPL/D/385"/>
    <s v="21-07-2026"/>
    <s v="FG"/>
    <s v="FIBC Bags"/>
    <x v="0"/>
    <s v="FIBC"/>
    <s v="FIBC Bags With UV Without Liner"/>
    <n v="428"/>
    <n v="101115"/>
    <s v="4500202507/SAS-4 (UNPRINTING)"/>
    <n v="0"/>
    <n v="9"/>
    <n v="9100.35"/>
    <n v="9"/>
    <n v="9100.35"/>
    <n v="0"/>
    <n v="0"/>
    <n v="0"/>
    <n v="18200.7"/>
    <n v="0"/>
    <s v="24AAACO3087C1ZT"/>
    <s v="KGS"/>
    <n v="39232999"/>
    <s v="Rs."/>
    <n v="1"/>
    <n v="428"/>
    <s v="India"/>
  </r>
  <r>
    <s v="21-07-2026"/>
    <s v="Plastene India ltd - Unit 1-Sales"/>
    <s v="Sales"/>
    <n v="386"/>
    <s v="Sales - Within State  Manufactured Goods"/>
    <s v="PPL/D/386"/>
    <s v="21-07-2026"/>
    <s v="SF"/>
    <s v="PP/PE Fabric"/>
    <x v="11"/>
    <s v="PP WOVEN FABRIC"/>
    <s v="PP UL Fabric With UV"/>
    <n v="1325.6"/>
    <n v="205123.34"/>
    <s v="PP UL Fabric With UV"/>
    <n v="241840.42"/>
    <n v="9"/>
    <n v="18461.099999999999"/>
    <n v="9"/>
    <n v="18461.099999999999"/>
    <n v="0"/>
    <n v="0"/>
    <n v="0"/>
    <n v="36922.199999999997"/>
    <n v="0"/>
    <s v="24AAACO3087C1ZT"/>
    <s v="KGS"/>
    <n v="39269080"/>
    <s v="Rs."/>
    <n v="1"/>
    <n v="1325.6"/>
    <s v="India"/>
  </r>
  <r>
    <s v="22-07-2026"/>
    <s v="Co.Ri.Sac.S.R.L"/>
    <s v="Export Sales"/>
    <s v="PPL/E/58/26-27"/>
    <s v="Sales - Direct Export - Mfg - U/R"/>
    <s v="PPL/E/58/26-27"/>
    <s v="22-07-2026"/>
    <s v="FG"/>
    <s v="FIBC Bags"/>
    <x v="4"/>
    <s v="FIBC"/>
    <s v="FIBC Bags With UV With Liner"/>
    <n v="6478"/>
    <n v="1480771.74"/>
    <s v="PP WOVEN BIG BAGS"/>
    <n v="4974444.72"/>
    <n v="0"/>
    <n v="0"/>
    <n v="0"/>
    <n v="0"/>
    <n v="0"/>
    <n v="0"/>
    <n v="0"/>
    <n v="0"/>
    <n v="0"/>
    <s v="N.A."/>
    <s v="KGS"/>
    <n v="63053200"/>
    <m/>
    <n v="108.6"/>
    <n v="6478"/>
    <s v="Italy"/>
  </r>
  <r>
    <s v="22-07-2026"/>
    <s v="Co.Ri.Sac.S.R.L"/>
    <s v="Export Sales"/>
    <s v="PPL/E/58/26-27"/>
    <s v="Sales - Direct Export - Mfg - U/R"/>
    <s v="PPL/E/58/26-27"/>
    <s v="22-07-2026"/>
    <s v="FG"/>
    <s v="FIBC Bags"/>
    <x v="4"/>
    <s v="FIBC"/>
    <s v="FIBC Bags With UV Without Liner"/>
    <n v="13323"/>
    <n v="3045434.08"/>
    <s v="PP WOVEN BIG BAGS"/>
    <n v="0"/>
    <n v="0"/>
    <n v="0"/>
    <n v="0"/>
    <n v="0"/>
    <n v="0"/>
    <n v="0"/>
    <n v="0"/>
    <n v="0"/>
    <n v="0"/>
    <s v="N.A."/>
    <s v="KGS"/>
    <n v="63053200"/>
    <m/>
    <n v="108.6"/>
    <n v="13323"/>
    <s v="Italy"/>
  </r>
  <r>
    <s v="22-07-2026"/>
    <s v="Oswal Extrusion Ltd - Unit 6-Sales"/>
    <s v="Sales"/>
    <n v="392"/>
    <s v="Sales - Within State  Manufactured Goods"/>
    <s v="PPL/D/392"/>
    <s v="22-07-2026"/>
    <s v="SF"/>
    <s v="Webbing"/>
    <x v="8"/>
    <s v="PP Webbing"/>
    <s v="Webbing"/>
    <n v="63.2"/>
    <n v="10095.57"/>
    <s v="Webbing blue"/>
    <n v="41394.31"/>
    <n v="9"/>
    <n v="908.6"/>
    <n v="9"/>
    <n v="908.6"/>
    <n v="0"/>
    <n v="0"/>
    <n v="0"/>
    <n v="1817.2"/>
    <n v="0"/>
    <s v="24AAACO7290H2ZD"/>
    <s v="KGS"/>
    <n v="39269080"/>
    <s v="Rs."/>
    <n v="1"/>
    <n v="63.2"/>
    <s v="India"/>
  </r>
  <r>
    <s v="22-07-2026"/>
    <s v="Oswal Extrusion Ltd - Unit 6-Sales"/>
    <s v="Sales"/>
    <n v="392"/>
    <s v="Sales - Within State  Manufactured Goods"/>
    <s v="PPL/D/392"/>
    <s v="22-07-2026"/>
    <s v="SF"/>
    <s v="Webbing"/>
    <x v="8"/>
    <s v="PP Webbing"/>
    <s v="Webbing"/>
    <n v="159.4"/>
    <n v="24984.36"/>
    <s v="Webbing mw"/>
    <n v="0"/>
    <n v="9"/>
    <n v="2248.59"/>
    <n v="9"/>
    <n v="2248.59"/>
    <n v="0"/>
    <n v="0"/>
    <n v="0"/>
    <n v="4497.18"/>
    <n v="0"/>
    <s v="24AAACO7290H2ZD"/>
    <s v="KGS"/>
    <n v="39269080"/>
    <s v="Rs."/>
    <n v="1"/>
    <n v="159.4"/>
    <s v="India"/>
  </r>
  <r>
    <s v="22-07-2026"/>
    <s v="Plastene India ltd - Unit 1-Sales"/>
    <s v="Sales"/>
    <n v="389"/>
    <s v="Sales - Within State - Traded Goods"/>
    <s v="PPL/D/389"/>
    <s v="22-07-2026"/>
    <s v="SF"/>
    <s v="Films All (SF)"/>
    <x v="2"/>
    <s v="LLDPE FILM"/>
    <s v="LDPE/LLDPE Film"/>
    <n v="2.65"/>
    <n v="887.75"/>
    <s v="LDPE/LLDPE Film"/>
    <n v="1046.6600000000001"/>
    <n v="9"/>
    <n v="79.900000000000006"/>
    <n v="9"/>
    <n v="79.900000000000006"/>
    <n v="0"/>
    <n v="0"/>
    <n v="0"/>
    <n v="159.80000000000001"/>
    <n v="0"/>
    <s v="24AAACO3087C1ZT"/>
    <s v="KGS"/>
    <n v="39201019"/>
    <s v="Rs."/>
    <n v="1"/>
    <n v="2.65"/>
    <s v="India"/>
  </r>
  <r>
    <s v="23-07-2026"/>
    <s v="Hcp Plastene Bulkpack Ltd (Unit Iv) - Sales"/>
    <s v="Sales"/>
    <n v="398"/>
    <s v="Sales - Within State - Traded Goods"/>
    <s v="PPL/D/398"/>
    <s v="23-07-2026"/>
    <s v="SF"/>
    <s v="Films All (SF)"/>
    <x v="2"/>
    <s v="LLDPE FILM"/>
    <s v="LDPE/LLDPE Film"/>
    <n v="37.700000000000003"/>
    <n v="9990.5"/>
    <s v="LDPE/LLDPE Film"/>
    <n v="11778.79"/>
    <n v="9"/>
    <n v="899.14"/>
    <n v="9"/>
    <n v="899.14"/>
    <n v="0"/>
    <n v="0"/>
    <n v="0"/>
    <n v="1798.28"/>
    <n v="0"/>
    <s v="24AABCG1282C2Z6"/>
    <s v="KGS"/>
    <n v="39201019"/>
    <s v="Rs."/>
    <n v="1"/>
    <n v="37.700000000000003"/>
    <s v="India"/>
  </r>
  <r>
    <s v="23-07-2026"/>
    <s v="Hcp Plastene Bulkpack Ltd (Unit Iv) - Sales"/>
    <s v="Sales"/>
    <n v="399"/>
    <s v="Sales - Within State  Manufactured Goods"/>
    <s v="PPL/D/399"/>
    <s v="23-07-2026"/>
    <s v="SF"/>
    <s v="PP/PE Fabric"/>
    <x v="7"/>
    <s v="PP Laminated Fabric"/>
    <s v="PP Lam Fabric With UV"/>
    <n v="238.8"/>
    <n v="38623.51"/>
    <s v="PP Lam Fabric With UV-SPOUT BLACK"/>
    <n v="84217.04"/>
    <n v="9"/>
    <n v="3476.12"/>
    <n v="9"/>
    <n v="3476.12"/>
    <n v="0"/>
    <n v="0"/>
    <n v="0"/>
    <n v="6952.24"/>
    <n v="0"/>
    <s v="24AABCG1282C2Z6"/>
    <s v="KGS"/>
    <n v="39269080"/>
    <s v="Rs."/>
    <n v="1"/>
    <n v="238.8"/>
    <s v="India"/>
  </r>
  <r>
    <s v="23-07-2026"/>
    <s v="Hcp Plastene Bulkpack Ltd (Unit Iv) - Sales"/>
    <s v="Sales"/>
    <n v="399"/>
    <s v="Sales - Within State  Manufactured Goods"/>
    <s v="PPL/D/399"/>
    <s v="23-07-2026"/>
    <s v="SF"/>
    <s v="PP/PE Fabric"/>
    <x v="7"/>
    <s v="PP Laminated Fabric"/>
    <s v="PP Lam Fabric With UV"/>
    <n v="78"/>
    <n v="12381.72"/>
    <s v="PP Lam Fabric With UV-SPOUT"/>
    <n v="0"/>
    <n v="9"/>
    <n v="1114.3499999999999"/>
    <n v="9"/>
    <n v="1114.3499999999999"/>
    <n v="0"/>
    <n v="0"/>
    <n v="0"/>
    <n v="2228.6999999999998"/>
    <n v="0"/>
    <s v="24AABCG1282C2Z6"/>
    <s v="KGS"/>
    <n v="39269080"/>
    <s v="Rs."/>
    <n v="1"/>
    <n v="78"/>
    <s v="India"/>
  </r>
  <r>
    <s v="23-07-2026"/>
    <s v="Hcp Plastene Bulkpack Ltd (Unit Iv) - Sales"/>
    <s v="Sales"/>
    <n v="399"/>
    <s v="Sales - Within State  Manufactured Goods"/>
    <s v="PPL/D/399"/>
    <s v="23-07-2026"/>
    <s v="FG"/>
    <s v="FIBC WIP"/>
    <x v="9"/>
    <s v="PP WOVEN FABRIC"/>
    <s v="FIBC WIP"/>
    <n v="132"/>
    <n v="20425.68"/>
    <s v="UL CUTPCS"/>
    <n v="0"/>
    <n v="9"/>
    <n v="1838.31"/>
    <n v="9"/>
    <n v="1838.31"/>
    <n v="0"/>
    <n v="0"/>
    <n v="0"/>
    <n v="3676.62"/>
    <n v="0"/>
    <s v="24AABCG1282C2Z6"/>
    <s v="KGS"/>
    <n v="39269080"/>
    <s v="Rs."/>
    <n v="1"/>
    <n v="132"/>
    <s v="India"/>
  </r>
  <r>
    <s v="23-07-2026"/>
    <s v="Plastene India ltd - Unit 1-Sales"/>
    <s v="Sales"/>
    <n v="394"/>
    <s v="Sales - Within State  Manufactured Goods"/>
    <s v="PPL/D/394"/>
    <s v="23-07-2026"/>
    <s v="SF"/>
    <s v="PP/PE Fabric"/>
    <x v="11"/>
    <s v="PP WOVEN FABRIC"/>
    <s v="PP UL Fabric With UV"/>
    <n v="888.5"/>
    <n v="137486.49"/>
    <s v="PP UL Fabric With UV"/>
    <n v="162096.56"/>
    <n v="9"/>
    <n v="12373.78"/>
    <n v="9"/>
    <n v="12373.78"/>
    <n v="0"/>
    <n v="0"/>
    <n v="0"/>
    <n v="24747.56"/>
    <n v="0"/>
    <s v="24AAACO3087C1ZT"/>
    <s v="KGS"/>
    <n v="39269080"/>
    <s v="Rs."/>
    <n v="1"/>
    <n v="888.5"/>
    <s v="India"/>
  </r>
  <r>
    <s v="23-07-2026"/>
    <s v="Plastene India ltd - Unit 1-Sales"/>
    <s v="Sales"/>
    <n v="396"/>
    <s v="Sales - Within State - Traded Goods"/>
    <s v="PPL/D/396"/>
    <s v="23-07-2026"/>
    <s v="SF"/>
    <s v="Films All (SF)"/>
    <x v="2"/>
    <s v="LLDPE FILM"/>
    <s v="LDPE/LLDPE Film"/>
    <n v="17.5"/>
    <n v="4987.5"/>
    <s v="LDPE/LLDPE Film"/>
    <n v="5880.27"/>
    <n v="9"/>
    <n v="448.88"/>
    <n v="9"/>
    <n v="448.88"/>
    <n v="0"/>
    <n v="0"/>
    <n v="0"/>
    <n v="897.76"/>
    <n v="0"/>
    <s v="24AAACO3087C1ZT"/>
    <s v="KGS"/>
    <n v="39201019"/>
    <s v="Rs."/>
    <n v="1"/>
    <n v="17.5"/>
    <s v="India"/>
  </r>
  <r>
    <s v="23-07-2026"/>
    <s v="Shri Bajrangbali Ashok Construction Private Limited"/>
    <s v="Sales"/>
    <n v="393"/>
    <s v="Sales - Interstate - Manufactured Goods"/>
    <s v="PPL/D/393"/>
    <s v="23-07-2026"/>
    <s v="FG"/>
    <s v="FIBC Bags"/>
    <x v="0"/>
    <s v="FIBC"/>
    <s v="FIBC Bags With UV With Liner"/>
    <n v="1390"/>
    <n v="346000"/>
    <s v="JUMBO BAGS"/>
    <n v="408280"/>
    <n v="0"/>
    <n v="0"/>
    <n v="0"/>
    <n v="0"/>
    <n v="18"/>
    <n v="62280"/>
    <n v="0"/>
    <n v="62280"/>
    <n v="0"/>
    <s v="20AAMCS4446B1ZQ"/>
    <s v="KGS"/>
    <n v="39232999"/>
    <s v="Rs."/>
    <n v="1"/>
    <n v="1390"/>
    <s v="India"/>
  </r>
  <r>
    <s v="24-07-2026"/>
    <s v="Hcp Plastene Bulkpack Ltd (Unit Iv) - Sales"/>
    <s v="Sales"/>
    <n v="406"/>
    <s v="Sales - Within State  Manufactured Goods"/>
    <s v="PPL/D/406"/>
    <s v="24-07-2026"/>
    <s v="SF"/>
    <s v="PP/PE Fabric"/>
    <x v="7"/>
    <s v="PP Laminated Fabric"/>
    <s v="PP Lam Fabric With UV"/>
    <n v="210"/>
    <n v="33335.4"/>
    <s v="PP Lam Fabric With UV-SPOUT"/>
    <n v="79019.28"/>
    <n v="9"/>
    <n v="3000.19"/>
    <n v="9"/>
    <n v="3000.19"/>
    <n v="0"/>
    <n v="0"/>
    <n v="0"/>
    <n v="6000.38"/>
    <n v="0"/>
    <s v="24AABCG1282C2Z6"/>
    <s v="KGS"/>
    <n v="39269080"/>
    <s v="Rs."/>
    <n v="1"/>
    <n v="210"/>
    <s v="India"/>
  </r>
  <r>
    <s v="24-07-2026"/>
    <s v="Hcp Plastene Bulkpack Ltd (Unit Iv) - Sales"/>
    <s v="Sales"/>
    <n v="406"/>
    <s v="Sales - Within State  Manufactured Goods"/>
    <s v="PPL/D/406"/>
    <s v="24-07-2026"/>
    <s v="SF"/>
    <s v="PP/PE Fabric"/>
    <x v="7"/>
    <s v="PP Laminated Fabric"/>
    <s v="PP Lam Fabric With UV"/>
    <n v="126"/>
    <n v="20379.240000000002"/>
    <s v="PP Lam Fabric With UV-SPOUT - COLOUR"/>
    <n v="0"/>
    <n v="9"/>
    <n v="1834.13"/>
    <n v="9"/>
    <n v="1834.13"/>
    <n v="0"/>
    <n v="0"/>
    <n v="0"/>
    <n v="3668.26"/>
    <n v="0"/>
    <s v="24AABCG1282C2Z6"/>
    <s v="KGS"/>
    <n v="39269080"/>
    <s v="Rs."/>
    <n v="1"/>
    <n v="126"/>
    <s v="India"/>
  </r>
  <r>
    <s v="24-07-2026"/>
    <s v="Hcp Plastene Bulkpack Ltd (Unit Iv) - Sales"/>
    <s v="Sales"/>
    <n v="406"/>
    <s v="Sales - Within State  Manufactured Goods"/>
    <s v="PPL/D/406"/>
    <s v="24-07-2026"/>
    <s v="FG"/>
    <s v="FIBC WIP"/>
    <x v="9"/>
    <s v="PP WOVEN FABRIC"/>
    <s v="FIBC WIP"/>
    <n v="86"/>
    <n v="13307.64"/>
    <s v="UL CUTPCS"/>
    <n v="0"/>
    <n v="9"/>
    <n v="1197.69"/>
    <n v="9"/>
    <n v="1197.69"/>
    <n v="0"/>
    <n v="0"/>
    <n v="0"/>
    <n v="2395.38"/>
    <n v="0"/>
    <s v="24AABCG1282C2Z6"/>
    <s v="KGS"/>
    <n v="39269080"/>
    <s v="Rs."/>
    <n v="1"/>
    <n v="86"/>
    <s v="India"/>
  </r>
  <r>
    <s v="24-07-2026"/>
    <s v="K.P. Woven Pvt Ltd-Sales"/>
    <s v="Sales"/>
    <n v="404"/>
    <s v="Sales - Within State - Traded Goods"/>
    <s v="PPL/D/404"/>
    <s v="24-07-2026"/>
    <s v="FG"/>
    <s v="FIBC Bags"/>
    <x v="0"/>
    <s v="FIBC"/>
    <s v="FIBC Bags With UV Without Liner"/>
    <n v="11190"/>
    <n v="2572581"/>
    <s v="E-IO26-00515/006086-00011-00"/>
    <n v="5216030.29"/>
    <n v="9"/>
    <n v="231532.29"/>
    <n v="9"/>
    <n v="231532.29"/>
    <n v="0"/>
    <n v="0"/>
    <n v="0"/>
    <n v="463064.58"/>
    <n v="0"/>
    <s v="24AAECK6307M1ZF"/>
    <s v="KGS"/>
    <n v="39232999"/>
    <s v="Rs."/>
    <n v="1"/>
    <n v="11190"/>
    <s v="India"/>
  </r>
  <r>
    <s v="24-07-2026"/>
    <s v="K.P. Woven Pvt Ltd-Sales"/>
    <s v="Sales"/>
    <n v="404"/>
    <s v="Sales - Within State - Traded Goods"/>
    <s v="PPL/D/404"/>
    <s v="24-07-2026"/>
    <s v="FG"/>
    <s v="FIBC Bags"/>
    <x v="0"/>
    <s v="FIBC"/>
    <s v="FIBC Bags With UV Without Liner"/>
    <n v="8189"/>
    <n v="1851532.9"/>
    <s v="E-IO26-00515/006087-00011-00"/>
    <n v="0"/>
    <n v="9"/>
    <n v="166637.96"/>
    <n v="9"/>
    <n v="166637.96"/>
    <n v="0"/>
    <n v="0"/>
    <n v="0"/>
    <n v="333275.92"/>
    <n v="0"/>
    <s v="24AAECK6307M1ZF"/>
    <s v="KGS"/>
    <n v="39232999"/>
    <s v="Rs."/>
    <n v="1"/>
    <n v="8189"/>
    <s v="India"/>
  </r>
  <r>
    <s v="24-07-2026"/>
    <s v="Plastene India ltd - Unit 1-Sales"/>
    <s v="Sales"/>
    <n v="401"/>
    <s v="Sales - Within State  Manufactured Goods"/>
    <s v="PPL/D/401"/>
    <s v="24-07-2026"/>
    <s v="FG"/>
    <s v="FIBC Bags"/>
    <x v="0"/>
    <s v="FIBC"/>
    <s v="FIBC Bags With UV With Liner"/>
    <n v="1653"/>
    <n v="456161.88"/>
    <s v="HPCPO003830-9393145-3"/>
    <n v="6761800.1100000003"/>
    <n v="9"/>
    <n v="41054.57"/>
    <n v="9"/>
    <n v="41054.57"/>
    <n v="0"/>
    <n v="0"/>
    <n v="0"/>
    <n v="82109.14"/>
    <n v="0"/>
    <s v="24AAACO3087C1ZT"/>
    <s v="KGS"/>
    <n v="39232999"/>
    <s v="Rs."/>
    <n v="1"/>
    <n v="1653"/>
    <s v="India"/>
  </r>
  <r>
    <s v="24-07-2026"/>
    <s v="Plastene India ltd - Unit 1-Sales"/>
    <s v="Sales"/>
    <n v="401"/>
    <s v="Sales - Within State  Manufactured Goods"/>
    <s v="PPL/D/401"/>
    <s v="24-07-2026"/>
    <s v="FG"/>
    <s v="FIBC Bags"/>
    <x v="0"/>
    <s v="FIBC"/>
    <s v="FIBC Bags With UV Without Liner"/>
    <n v="12853"/>
    <n v="3749348.63"/>
    <s v="HPC-PO003830-9393145-2"/>
    <n v="0"/>
    <n v="9"/>
    <n v="337441.38"/>
    <n v="9"/>
    <n v="337441.38"/>
    <n v="0"/>
    <n v="0"/>
    <n v="0"/>
    <n v="674882.76"/>
    <n v="0"/>
    <s v="24AAACO3087C1ZT"/>
    <s v="KGS"/>
    <n v="39232999"/>
    <s v="Rs."/>
    <n v="1"/>
    <n v="12853"/>
    <s v="India"/>
  </r>
  <r>
    <s v="24-07-2026"/>
    <s v="Plastene India ltd - Unit 1-Sales"/>
    <s v="Sales"/>
    <n v="401"/>
    <s v="Sales - Within State  Manufactured Goods"/>
    <s v="PPL/D/401"/>
    <s v="24-07-2026"/>
    <s v="FG"/>
    <s v="FIBC Bags"/>
    <x v="0"/>
    <s v="FIBC"/>
    <s v="FIBC Bags With UV Without Liner"/>
    <n v="5219"/>
    <n v="1529688.9"/>
    <s v="HPC-PO003830-939385-1"/>
    <n v="0"/>
    <n v="9"/>
    <n v="137672"/>
    <n v="9"/>
    <n v="137672"/>
    <n v="0"/>
    <n v="0"/>
    <n v="0"/>
    <n v="275344"/>
    <n v="0"/>
    <s v="24AAACO3087C1ZT"/>
    <s v="KGS"/>
    <n v="39232999"/>
    <s v="Rs."/>
    <n v="1"/>
    <n v="5219"/>
    <s v="India"/>
  </r>
  <r>
    <s v="24-07-2026"/>
    <s v="Plastene India ltd - Unit 1-Sales"/>
    <s v="Sales"/>
    <n v="403"/>
    <s v="Sales - Within State  Manufactured Goods"/>
    <s v="PPL/D/403"/>
    <s v="24-07-2026"/>
    <s v="FG"/>
    <s v="FIBC Bags"/>
    <x v="0"/>
    <s v="FIBC"/>
    <s v="FIBC Bags With UV Without Liner"/>
    <n v="20711"/>
    <n v="4993007.88"/>
    <s v="PO6026/MANO-288.2"/>
    <n v="5886756.29"/>
    <n v="9"/>
    <n v="449370.71"/>
    <n v="9"/>
    <n v="449370.71"/>
    <n v="0"/>
    <n v="0"/>
    <n v="0"/>
    <n v="898741.42"/>
    <n v="0"/>
    <s v="24AAACO3087C1ZT"/>
    <s v="KGS"/>
    <n v="39232999"/>
    <s v="Rs."/>
    <n v="1"/>
    <n v="20711"/>
    <s v="India"/>
  </r>
  <r>
    <s v="24-07-2026"/>
    <s v="Plastene India ltd - Unit 1-Sales"/>
    <s v="Sales"/>
    <n v="405"/>
    <s v="Sales - Within State  Manufactured Goods"/>
    <s v="PPL/D/405"/>
    <s v="24-07-2026"/>
    <s v="FG"/>
    <s v="FIBC Bags"/>
    <x v="0"/>
    <s v="FIBC"/>
    <s v="FIBC Bags With UV With Liner"/>
    <n v="18467"/>
    <n v="4189792.96"/>
    <s v="20BB-2026-PL-013/DSLO160L"/>
    <n v="4939765.91"/>
    <n v="9"/>
    <n v="377081.37"/>
    <n v="9"/>
    <n v="377081.37"/>
    <n v="0"/>
    <n v="0"/>
    <n v="0"/>
    <n v="754162.74"/>
    <n v="0"/>
    <s v="24AAACO3087C1ZT"/>
    <s v="KGS"/>
    <n v="39232999"/>
    <s v="Rs."/>
    <n v="1"/>
    <n v="18467"/>
    <s v="India"/>
  </r>
  <r>
    <s v="25-07-2026"/>
    <s v="Hcp Plastene Bulkpack Ltd Vadodara-Sales"/>
    <s v="Sales"/>
    <n v="415"/>
    <s v="Sales - Within State  Manufactured Goods"/>
    <s v="PPL/D/415"/>
    <s v="25-07-2026"/>
    <s v="SF"/>
    <s v="PP/PE Fabric"/>
    <x v="11"/>
    <s v="PP WOVEN FABRIC"/>
    <s v="PP UL Fabric With UV"/>
    <n v="1849.7"/>
    <n v="286222.58"/>
    <s v="PP UL Fabric With UV"/>
    <n v="337456.42"/>
    <n v="9"/>
    <n v="25760.03"/>
    <n v="9"/>
    <n v="25760.03"/>
    <n v="0"/>
    <n v="0"/>
    <n v="0"/>
    <n v="51520.06"/>
    <n v="0"/>
    <s v="24AABCG1282C2Z6"/>
    <s v="KGS"/>
    <n v="39269080"/>
    <s v="Rs."/>
    <n v="1"/>
    <n v="1849.7"/>
    <s v="India"/>
  </r>
  <r>
    <s v="25-07-2026"/>
    <s v="K.P. Woven Pvt Ltd - Unit 3 -Sales"/>
    <s v="Export Sales"/>
    <s v="PPL/E/61/26-27"/>
    <s v="Sales - Kasez - Mfg - U/B"/>
    <s v="PPL/E/61/26-27"/>
    <s v="25-07-2026"/>
    <s v="FG"/>
    <s v="FIBC Bags"/>
    <x v="4"/>
    <s v="FIBC"/>
    <s v="FIBC Bags With UV Without Liner"/>
    <n v="1018"/>
    <n v="188330"/>
    <s v="PP WOVEN BIG BAGS"/>
    <n v="188141.67"/>
    <n v="0"/>
    <n v="0"/>
    <n v="0"/>
    <n v="0"/>
    <n v="0"/>
    <n v="0"/>
    <n v="0"/>
    <n v="0"/>
    <n v="0"/>
    <s v="24AAECK6307M2ZE"/>
    <s v="KGS"/>
    <n v="63053200"/>
    <s v="$"/>
    <n v="92.5"/>
    <n v="1018"/>
    <s v="India"/>
  </r>
  <r>
    <s v="25-07-2026"/>
    <s v="K.P. Woven Pvt Ltd - Unit 3 -Sales"/>
    <s v="Export Sales"/>
    <s v="PPL/E/62/26-27"/>
    <s v="Sales - Kasez - Mfg - U/B"/>
    <s v="PPL/E/62/26-27"/>
    <s v="25-07-2026"/>
    <s v="SF"/>
    <s v="PP/PE Fabric"/>
    <x v="14"/>
    <s v="PP WOVEN FABRIC"/>
    <s v="PP UL Fabric With UV"/>
    <n v="268"/>
    <n v="27614.720000000001"/>
    <s v="PP UL Fabric With UV"/>
    <n v="27586.94"/>
    <n v="0"/>
    <n v="0"/>
    <n v="0"/>
    <n v="0"/>
    <n v="0"/>
    <n v="0"/>
    <n v="0"/>
    <n v="0"/>
    <n v="0"/>
    <s v="24AAECK6307M2ZE"/>
    <s v="KGS"/>
    <n v="39269080"/>
    <s v="$"/>
    <n v="89.6"/>
    <n v="268"/>
    <s v="India"/>
  </r>
  <r>
    <s v="25-07-2026"/>
    <s v="K.P. Woven Pvt Ltd - Unit 3 -Sales"/>
    <s v="SALES (FOREX)"/>
    <s v="PPL/E/63/26-27"/>
    <s v="Sales - Kasez - Mfg - U/B"/>
    <s v="PPL/E/63/26-27"/>
    <s v="25-07-2026"/>
    <s v="SF"/>
    <s v="PP/PE Fabric"/>
    <x v="15"/>
    <s v="PP Laminated Fabric"/>
    <s v="PP Lam Fabric With UV"/>
    <n v="410.8"/>
    <n v="60991.48"/>
    <s v="PP Lam Fabric With UV"/>
    <n v="60930.49"/>
    <m/>
    <n v="0"/>
    <m/>
    <n v="0"/>
    <m/>
    <n v="0"/>
    <n v="0"/>
    <n v="0"/>
    <n v="0"/>
    <s v="24AAECK6307M2ZE"/>
    <s v="KGS"/>
    <n v="39269080"/>
    <s v="Rs."/>
    <n v="1"/>
    <n v="410.8"/>
    <s v="India"/>
  </r>
  <r>
    <s v="25-07-2026"/>
    <s v="Oswal Extrusion Ltd- KASEZ-Sales"/>
    <s v="SALES (FOREX)"/>
    <s v="PPL/E/60/26-27"/>
    <s v="Sales - Kasez - Mfg - U/B"/>
    <s v="PPL/E/60/26-27"/>
    <s v="25-07-2026"/>
    <s v="SF"/>
    <s v="Liners"/>
    <x v="3"/>
    <s v="LDPE/LLDPE Bags"/>
    <s v="PE Labels (Kgs)"/>
    <n v="136"/>
    <n v="36856"/>
    <s v="PE Labels (Kgs)"/>
    <n v="36819.14"/>
    <m/>
    <n v="0"/>
    <m/>
    <n v="0"/>
    <m/>
    <n v="0"/>
    <n v="0"/>
    <n v="0"/>
    <n v="0"/>
    <s v="24AAACO7290H4ZB"/>
    <s v="KGS"/>
    <n v="392310"/>
    <s v="Rs."/>
    <n v="1"/>
    <n v="136"/>
    <s v="India"/>
  </r>
  <r>
    <s v="25-07-2026"/>
    <s v="Oswal Lumber Pvt Ltd - Sales"/>
    <s v="Sales"/>
    <n v="410"/>
    <s v="Sales - Within State  Manufactured Goods"/>
    <s v="PPL/D/410"/>
    <s v="25-07-2026"/>
    <s v="FG"/>
    <s v="FIBC WIP"/>
    <x v="9"/>
    <s v="FIBC"/>
    <s v="FIBC WIP"/>
    <n v="65"/>
    <n v="17325"/>
    <s v="FIBC BAGS"/>
    <n v="20426.18"/>
    <n v="9"/>
    <n v="1559.25"/>
    <n v="9"/>
    <n v="1559.25"/>
    <n v="0"/>
    <n v="0"/>
    <n v="0"/>
    <n v="3118.5"/>
    <n v="0"/>
    <s v="24AAACO3558Q1Z0"/>
    <s v="KGS"/>
    <n v="39232999"/>
    <s v="Rs."/>
    <n v="1"/>
    <n v="65"/>
    <s v="India"/>
  </r>
  <r>
    <s v="25-07-2026"/>
    <s v="Parekh Ventures LLP - Sales"/>
    <s v="Sales"/>
    <n v="411"/>
    <s v="Sales - Within State - Traded Goods"/>
    <s v="PPL/D/411"/>
    <s v="25-07-2026"/>
    <s v="RM Consumables"/>
    <s v="Ink"/>
    <x v="16"/>
    <s v="Thinner"/>
    <s v="Thinner Vyankatesh Thinner"/>
    <n v="175"/>
    <n v="19600"/>
    <s v="Thinner Vyankatesh Thinner"/>
    <n v="29740.28"/>
    <n v="9"/>
    <n v="1764"/>
    <n v="9"/>
    <n v="1764"/>
    <n v="0"/>
    <n v="0"/>
    <n v="0"/>
    <n v="3528"/>
    <n v="0"/>
    <s v="24AAZFP6365L1ZB"/>
    <s v="KGS"/>
    <n v="38140011"/>
    <s v="Rs."/>
    <n v="1"/>
    <n v="175"/>
    <s v="India"/>
  </r>
  <r>
    <s v="25-07-2026"/>
    <s v="Parekh Ventures LLP - Sales"/>
    <s v="Sales"/>
    <n v="411"/>
    <s v="Sales - Within State - Traded Goods"/>
    <s v="PPL/D/411"/>
    <s v="25-07-2026"/>
    <s v="RM Consumables"/>
    <s v="Ink"/>
    <x v="10"/>
    <s v="INK"/>
    <s v="Ink Vyankatesh Black VLX 579 Tape Tested"/>
    <n v="25"/>
    <n v="5625"/>
    <s v="Ink Vyankatesh Black VLX 579 Tape Tested"/>
    <n v="0"/>
    <n v="9"/>
    <n v="506.25"/>
    <n v="9"/>
    <n v="506.25"/>
    <n v="0"/>
    <n v="0"/>
    <n v="0"/>
    <n v="1012.5"/>
    <n v="0"/>
    <s v="24AAZFP6365L1ZB"/>
    <s v="KGS"/>
    <n v="32151990"/>
    <s v="Rs."/>
    <n v="1"/>
    <n v="25"/>
    <s v="India"/>
  </r>
  <r>
    <s v="25-07-2026"/>
    <s v="Plastene India ltd - Unit 1-Sales"/>
    <s v="Sales"/>
    <n v="408"/>
    <s v="Sales - Within State  Manufactured Goods"/>
    <s v="PPL/D/408"/>
    <s v="25-07-2026"/>
    <s v="SF"/>
    <s v="PP/PE Fabric"/>
    <x v="11"/>
    <s v="PP WOVEN FABRIC"/>
    <s v="PP UL Fabric With UV"/>
    <n v="132.80000000000001"/>
    <n v="20549.47"/>
    <s v="PP UL Fabric With UV"/>
    <n v="53362.47"/>
    <n v="9"/>
    <n v="1849.45"/>
    <n v="9"/>
    <n v="1849.45"/>
    <n v="0"/>
    <n v="0"/>
    <n v="0"/>
    <n v="3698.9"/>
    <n v="0"/>
    <s v="24AAACO3087C1ZT"/>
    <s v="KGS"/>
    <n v="39269080"/>
    <s v="Rs."/>
    <n v="1"/>
    <n v="132.80000000000001"/>
    <s v="India"/>
  </r>
  <r>
    <s v="25-07-2026"/>
    <s v="Plastene India ltd - Unit 1-Sales"/>
    <s v="Sales"/>
    <n v="408"/>
    <s v="Sales - Within State  Manufactured Goods"/>
    <s v="PPL/D/408"/>
    <s v="25-07-2026"/>
    <s v="FG"/>
    <s v="FIBC WIP"/>
    <x v="9"/>
    <s v="PP Laminated Fabric"/>
    <s v="FIBC WIP"/>
    <n v="85"/>
    <n v="11452.9"/>
    <s v="LAMI CUT PCS M/W FABRIC"/>
    <n v="0"/>
    <n v="9"/>
    <n v="1030.76"/>
    <n v="9"/>
    <n v="1030.76"/>
    <n v="0"/>
    <n v="0"/>
    <n v="0"/>
    <n v="2061.52"/>
    <n v="0"/>
    <s v="24AAACO3087C1ZT"/>
    <s v="KGS"/>
    <n v="39269080"/>
    <s v="Rs."/>
    <n v="1"/>
    <n v="85"/>
    <s v="India"/>
  </r>
  <r>
    <s v="25-07-2026"/>
    <s v="Plastene India ltd - Unit 1-Sales"/>
    <s v="Sales"/>
    <n v="408"/>
    <s v="Sales - Within State  Manufactured Goods"/>
    <s v="PPL/D/408"/>
    <s v="25-07-2026"/>
    <s v="FG"/>
    <s v="FIBC WIP"/>
    <x v="9"/>
    <s v="PP Laminated Fabric"/>
    <s v="FIBC WIP"/>
    <n v="83"/>
    <n v="13258.42"/>
    <s v="LAMI CUT PCS BLACK FABRIC"/>
    <n v="0"/>
    <n v="9"/>
    <n v="1193.26"/>
    <n v="9"/>
    <n v="1193.26"/>
    <n v="0"/>
    <n v="0"/>
    <n v="0"/>
    <n v="2386.52"/>
    <n v="0"/>
    <s v="24AAACO3087C1ZT"/>
    <s v="KGS"/>
    <n v="39269080"/>
    <s v="Rs."/>
    <n v="1"/>
    <n v="83"/>
    <s v="India"/>
  </r>
  <r>
    <s v="25-07-2026"/>
    <s v="Plastene India ltd - Unit 1-Sales"/>
    <s v="Sales"/>
    <n v="409"/>
    <s v="Sales - Within State  Manufactured Goods"/>
    <s v="PPL/D/409"/>
    <s v="25-07-2026"/>
    <s v="FG"/>
    <s v="FIBC Bags"/>
    <x v="0"/>
    <s v="FIBC"/>
    <s v="FIBC Bags With UV With Liner"/>
    <n v="18482"/>
    <n v="4189869.4"/>
    <s v="20BB-2026-PL-013/DSLO160L"/>
    <n v="4939856.03"/>
    <n v="9"/>
    <n v="377088.25"/>
    <n v="9"/>
    <n v="377088.25"/>
    <n v="0"/>
    <n v="0"/>
    <n v="0"/>
    <n v="754176.5"/>
    <n v="0"/>
    <s v="24AAACO3087C1ZT"/>
    <s v="KGS"/>
    <n v="39232999"/>
    <s v="Rs."/>
    <n v="1"/>
    <n v="18482"/>
    <s v="India"/>
  </r>
  <r>
    <s v="25-07-2026"/>
    <s v="Plastene India ltd - Unit 1-Sales"/>
    <s v="Sales"/>
    <n v="412"/>
    <s v="Sales - Within State - Traded Goods"/>
    <s v="PPL/D/412"/>
    <s v="25-07-2026"/>
    <s v="SF"/>
    <s v="Films All (SF)"/>
    <x v="2"/>
    <s v="LLDPE FILM"/>
    <s v="LDPE/LLDPE Film"/>
    <n v="12.8"/>
    <n v="3520"/>
    <s v="LDPE/LLDPE Film"/>
    <n v="4150.08"/>
    <n v="9"/>
    <n v="316.8"/>
    <n v="9"/>
    <n v="316.8"/>
    <n v="0"/>
    <n v="0"/>
    <n v="0"/>
    <n v="633.6"/>
    <n v="0"/>
    <s v="24AAACO3087C1ZT"/>
    <s v="KGS"/>
    <n v="39201019"/>
    <s v="Rs."/>
    <n v="1"/>
    <n v="12.8"/>
    <s v="India"/>
  </r>
  <r>
    <s v="25-07-2026"/>
    <s v="Plastene India ltd - Unit 1-Sales"/>
    <s v="Sales"/>
    <n v="413"/>
    <s v="Sales - Within State  Manufactured Goods"/>
    <s v="PPL/D/413"/>
    <s v="25-07-2026"/>
    <s v="SF"/>
    <s v="PP/PE Fabric"/>
    <x v="11"/>
    <s v="PP WOVEN FABRIC"/>
    <s v="PP UL Fabric With UV"/>
    <n v="379"/>
    <n v="58646.46"/>
    <s v="PP UL Fabric With UV"/>
    <n v="69144.17"/>
    <n v="9"/>
    <n v="5278.18"/>
    <n v="9"/>
    <n v="5278.18"/>
    <n v="0"/>
    <n v="0"/>
    <n v="0"/>
    <n v="10556.36"/>
    <n v="0"/>
    <s v="24AAACO3087C1ZT"/>
    <s v="KGS"/>
    <n v="39269080"/>
    <s v="Rs."/>
    <n v="1"/>
    <n v="379"/>
    <s v="India"/>
  </r>
  <r>
    <s v="26-07-2026"/>
    <s v="Plastene India ltd - Unit 1-Sales"/>
    <s v="Sales"/>
    <n v="417"/>
    <s v="Sales - Within State  Manufactured Goods"/>
    <s v="PPL/D/417"/>
    <s v="26-07-2026"/>
    <s v="SF"/>
    <s v="PP/PE Fabric"/>
    <x v="7"/>
    <s v="PP Laminated Fabric"/>
    <s v="PP Lam Fabric With UV"/>
    <n v="294"/>
    <n v="46669.56"/>
    <s v="PP Lam Fabric With UV"/>
    <n v="193749.63"/>
    <n v="9"/>
    <n v="4200.26"/>
    <n v="9"/>
    <n v="4200.26"/>
    <n v="0"/>
    <n v="0"/>
    <n v="0"/>
    <n v="8400.52"/>
    <n v="0"/>
    <s v="24AAACO3087C1ZT"/>
    <s v="KGS"/>
    <n v="39269080"/>
    <s v="Rs."/>
    <n v="1"/>
    <n v="294"/>
    <s v="India"/>
  </r>
  <r>
    <s v="26-07-2026"/>
    <s v="Plastene India ltd - Unit 1-Sales"/>
    <s v="Sales"/>
    <n v="417"/>
    <s v="Sales - Within State  Manufactured Goods"/>
    <s v="PPL/D/417"/>
    <s v="26-07-2026"/>
    <s v="SF"/>
    <s v="PP/PE Fabric"/>
    <x v="11"/>
    <s v="PP WOVEN FABRIC"/>
    <s v="PP UL Fabric With UV"/>
    <n v="760.4"/>
    <n v="117664.3"/>
    <s v="PP UL Fabric With UV"/>
    <n v="0"/>
    <n v="9"/>
    <n v="10589.79"/>
    <n v="9"/>
    <n v="10589.79"/>
    <n v="0"/>
    <n v="0"/>
    <n v="0"/>
    <n v="21179.58"/>
    <n v="0"/>
    <s v="24AAACO3087C1ZT"/>
    <s v="KGS"/>
    <n v="39269080"/>
    <s v="Rs."/>
    <n v="1"/>
    <n v="760.4"/>
    <s v="India"/>
  </r>
  <r>
    <s v="27-07-2026"/>
    <s v="Commercial Bag Company"/>
    <s v="Export Sales"/>
    <s v="PPL/TP/021"/>
    <s v="Sales - Export - Third Party"/>
    <s v="PPL/TP/021"/>
    <s v="27-07-2026"/>
    <s v="FG"/>
    <s v="FIBC Bags"/>
    <x v="6"/>
    <s v="FIBC"/>
    <s v="FIBC Bags With UV Without Liner"/>
    <n v="2556"/>
    <n v="563937.68999999994"/>
    <s v="PP WOVEN BIG BAGS (FIBC)"/>
    <n v="563937.68999999994"/>
    <n v="0"/>
    <n v="0"/>
    <n v="0"/>
    <n v="0"/>
    <n v="0"/>
    <n v="0"/>
    <n v="0"/>
    <n v="0"/>
    <n v="0"/>
    <s v="N.A."/>
    <s v="KGS"/>
    <n v="63053200"/>
    <s v="$"/>
    <n v="95.45"/>
    <n v="2556"/>
    <s v="USA"/>
  </r>
  <r>
    <s v="27-07-2026"/>
    <s v="Plastene India ltd - Unit 1-Sales"/>
    <s v="Sales"/>
    <n v="419"/>
    <s v="Sales - Within State - Traded Goods"/>
    <s v="PPL/D/419"/>
    <s v="27-07-2026"/>
    <s v="SF"/>
    <s v="Films All (SF)"/>
    <x v="2"/>
    <s v="LLDPE FILM"/>
    <s v="LDPE/LLDPE Film"/>
    <n v="14.7"/>
    <n v="3969"/>
    <s v="lable"/>
    <n v="4679.45"/>
    <n v="9"/>
    <n v="357.21"/>
    <n v="9"/>
    <n v="357.21"/>
    <n v="0"/>
    <n v="0"/>
    <n v="0"/>
    <n v="714.42"/>
    <n v="0"/>
    <s v="24AAACO3087C1ZT"/>
    <s v="KGS"/>
    <n v="39201019"/>
    <s v="Rs."/>
    <n v="1"/>
    <n v="14.7"/>
    <s v="India"/>
  </r>
  <r>
    <s v="27-07-2026"/>
    <s v="Pt Sheel Oil Indonesia"/>
    <s v="Export Sales"/>
    <s v="PPL/E/64/26-27"/>
    <s v="Sales - Direct Export - Mfg - U/R"/>
    <s v="PPL/E/64/26-27"/>
    <s v="27-07-2026"/>
    <s v="FG"/>
    <s v="FIBC Bags"/>
    <x v="4"/>
    <s v="FIBC"/>
    <s v="FIBC Bags With UV Without Liner"/>
    <n v="19608"/>
    <n v="4302152.9400000004"/>
    <s v="PP WOVEN BIG BAGS"/>
    <n v="4329612"/>
    <n v="0"/>
    <n v="0"/>
    <n v="0"/>
    <n v="0"/>
    <n v="18"/>
    <n v="774387.56810000003"/>
    <n v="0"/>
    <n v="774387.56810000003"/>
    <n v="0"/>
    <s v="N.A."/>
    <s v="KGS"/>
    <n v="63053200"/>
    <s v="$"/>
    <n v="95.45"/>
    <n v="19608"/>
    <s v="Indonesia"/>
  </r>
  <r>
    <s v="28-07-2026"/>
    <s v="Hcp Plastene Bulkpack Ltd (Unit Iv) - Sales"/>
    <s v="Sales"/>
    <n v="422"/>
    <s v="Sales - Within State  Manufactured Goods"/>
    <s v="PPL/D/422"/>
    <s v="28-07-2026"/>
    <s v="FG"/>
    <s v="FIBC WIP"/>
    <x v="9"/>
    <s v="PP WOVEN FABRIC"/>
    <s v="FIBC WIP"/>
    <n v="273"/>
    <n v="42244.02"/>
    <s v="UL CUTPCS FABRIC"/>
    <n v="49805.7"/>
    <n v="9"/>
    <n v="3801.96"/>
    <n v="9"/>
    <n v="3801.96"/>
    <n v="0"/>
    <n v="0"/>
    <n v="0"/>
    <n v="7603.92"/>
    <n v="0"/>
    <s v="24AABCG1282C2Z6"/>
    <s v="KGS"/>
    <n v="39269080"/>
    <s v="Rs."/>
    <n v="1"/>
    <n v="273"/>
    <s v="India"/>
  </r>
  <r>
    <s v="28-07-2026"/>
    <s v="K.P. Woven Pvt Ltd - Unit 3 -Sales"/>
    <s v="SALES (FOREX)"/>
    <s v="PPL/E/65/26-27"/>
    <s v="Sales - Kasez - Mfg - U/B"/>
    <s v="PPL/E/65/26-27"/>
    <s v="28-07-2026"/>
    <s v="SF"/>
    <s v="Yarn All"/>
    <x v="5"/>
    <s v="FIBC"/>
    <s v="Filler Cord"/>
    <n v="2019.7"/>
    <n v="276698.90000000002"/>
    <s v="Filler Cord"/>
    <n v="276422.2"/>
    <m/>
    <n v="0"/>
    <m/>
    <n v="0"/>
    <m/>
    <n v="0"/>
    <n v="0"/>
    <n v="0"/>
    <n v="0"/>
    <s v="24AAECK6307M2ZE"/>
    <s v="KGS"/>
    <n v="540263"/>
    <s v="Rs."/>
    <n v="1"/>
    <n v="2019.7"/>
    <s v="India"/>
  </r>
  <r>
    <s v="28-07-2026"/>
    <s v="K.P. Woven Pvt Ltd - Unit 3 -Sales"/>
    <s v="Export Sales"/>
    <s v="PPL/E/66/26-27"/>
    <s v="Sales - Kasez - Mfg - U/B"/>
    <s v="PPL/E/66/26-27"/>
    <s v="28-07-2026"/>
    <s v="FG"/>
    <s v="FIBC Bags"/>
    <x v="4"/>
    <s v="FIBC"/>
    <s v="FIBC Bags With UV Without Liner"/>
    <n v="5588"/>
    <n v="1046073.6"/>
    <s v="PP WOVEN BIG BAGS"/>
    <n v="1045027.53"/>
    <n v="0"/>
    <n v="0"/>
    <n v="0"/>
    <n v="0"/>
    <n v="0"/>
    <n v="0"/>
    <n v="0"/>
    <n v="0"/>
    <n v="0"/>
    <s v="24AAECK6307M2ZE"/>
    <s v="KGS"/>
    <n v="39232999"/>
    <s v="$"/>
    <n v="93.6"/>
    <n v="5588"/>
    <s v="India"/>
  </r>
  <r>
    <s v="28-07-2026"/>
    <s v="Plastene India ltd - Unit 1-Sales"/>
    <s v="Sales"/>
    <n v="420"/>
    <s v="Sales - Within State  Manufactured Goods"/>
    <s v="PPL/D/420"/>
    <s v="28-07-2026"/>
    <s v="FG"/>
    <s v="FIBC WIP"/>
    <x v="9"/>
    <s v="PP Laminated Fabric"/>
    <s v="FIBC WIP"/>
    <n v="69"/>
    <n v="9297.06"/>
    <s v="LAMI CUT PCS BUFFLE PUNCHING"/>
    <n v="10961.24"/>
    <n v="9"/>
    <n v="836.74"/>
    <n v="9"/>
    <n v="836.74"/>
    <n v="0"/>
    <n v="0"/>
    <n v="0"/>
    <n v="1673.48"/>
    <n v="0"/>
    <s v="24AAACO3087C1ZT"/>
    <s v="KGS"/>
    <n v="39269080"/>
    <s v="Rs."/>
    <n v="1"/>
    <n v="69"/>
    <s v="India"/>
  </r>
  <r>
    <s v="28-07-2026"/>
    <s v="Plastene India ltd - Unit 1-Sales"/>
    <s v="Sales"/>
    <n v="423"/>
    <s v="Sales - Within State  Manufactured Goods"/>
    <s v="PPL/D/423"/>
    <s v="28-07-2026"/>
    <s v="SF"/>
    <s v="Liners"/>
    <x v="3"/>
    <s v="LDPE/LLDPE Bags"/>
    <s v="LDPE/LLDPE Bags/Liner"/>
    <n v="250"/>
    <n v="46750"/>
    <s v="LDPE/LLDPE Bags/Liner--195 x 355 x 72 / GZT X 270 CM X 65 MIC / 207x260x750"/>
    <n v="55118.25"/>
    <n v="9"/>
    <n v="4207.5"/>
    <n v="9"/>
    <n v="4207.5"/>
    <n v="0"/>
    <n v="0"/>
    <n v="0"/>
    <n v="8415"/>
    <n v="0"/>
    <s v="24AAACO3087C1ZT"/>
    <s v="KGS"/>
    <n v="39232100"/>
    <s v="Rs."/>
    <n v="1"/>
    <n v="250"/>
    <s v="India"/>
  </r>
  <r>
    <s v="29-07-2026"/>
    <s v="Commercial Bag Company"/>
    <s v="Export Sales"/>
    <s v="PPL/TP/022"/>
    <s v="Sales - Export - Third Party"/>
    <s v="PPL/TP/022"/>
    <s v="29-07-2026"/>
    <s v="FG"/>
    <s v="FIBC Bags"/>
    <x v="6"/>
    <s v="FIBC"/>
    <s v="FIBC Bags With UV Without Liner"/>
    <n v="19831"/>
    <n v="5275941.51"/>
    <s v="PP WOVEN BIG BAGS (FIBC)"/>
    <n v="5275941.5199999996"/>
    <n v="0"/>
    <n v="0"/>
    <n v="0"/>
    <n v="0"/>
    <n v="0"/>
    <n v="0"/>
    <n v="0"/>
    <n v="0"/>
    <n v="0"/>
    <s v="N.A."/>
    <s v="KGS"/>
    <n v="63053200"/>
    <s v="$"/>
    <n v="95.45"/>
    <n v="19831"/>
    <s v="USA"/>
  </r>
  <r>
    <s v="29-07-2026"/>
    <s v="Plastene India ltd - Unit 1-Sales"/>
    <s v="Sales"/>
    <n v="424"/>
    <s v="Sales - Within State  Manufactured Goods"/>
    <s v="PPL/D/424"/>
    <s v="29-07-2026"/>
    <s v="FG"/>
    <s v="FIBC WIP"/>
    <x v="9"/>
    <s v="PP Laminated Fabric"/>
    <s v="FIBC WIP"/>
    <n v="35"/>
    <n v="4715.8999999999996"/>
    <s v="LAMI CUT PCS BAFFLE PUNCHING"/>
    <n v="5560.04"/>
    <n v="9"/>
    <n v="424.43"/>
    <n v="9"/>
    <n v="424.43"/>
    <n v="0"/>
    <n v="0"/>
    <n v="0"/>
    <n v="848.86"/>
    <n v="0"/>
    <s v="24AAACO3087C1ZT"/>
    <s v="KGS"/>
    <n v="39269080"/>
    <s v="Rs."/>
    <n v="1"/>
    <n v="35"/>
    <s v="India"/>
  </r>
  <r>
    <s v="30-07-2026"/>
    <s v="Hcp Plastene Bulkpack Ltd (Unit Iv) - Sales"/>
    <s v="Sales"/>
    <n v="428"/>
    <s v="Sales - Within State  Manufactured Goods"/>
    <s v="PPL/D/428"/>
    <s v="30-07-2026"/>
    <s v="SF"/>
    <s v="PP/PE Fabric"/>
    <x v="11"/>
    <s v="PP WOVEN FABRIC"/>
    <s v="PP UL Fabric With UV"/>
    <n v="370.5"/>
    <n v="57331.17"/>
    <s v="PP UL Fabric With UV"/>
    <n v="219425.26"/>
    <n v="9"/>
    <n v="5159.8100000000004"/>
    <n v="9"/>
    <n v="5159.8100000000004"/>
    <n v="0"/>
    <n v="0"/>
    <n v="0"/>
    <n v="10319.620000000001"/>
    <n v="0"/>
    <s v="24AABCG1282C2Z6"/>
    <s v="KGS"/>
    <n v="39269080"/>
    <s v="Rs."/>
    <n v="1"/>
    <n v="370.5"/>
    <s v="India"/>
  </r>
  <r>
    <s v="30-07-2026"/>
    <s v="Hcp Plastene Bulkpack Ltd (Unit Iv) - Sales"/>
    <s v="Sales"/>
    <n v="428"/>
    <s v="Sales - Within State  Manufactured Goods"/>
    <s v="PPL/D/428"/>
    <s v="30-07-2026"/>
    <s v="SF"/>
    <s v="PP/PE Fabric"/>
    <x v="7"/>
    <s v="PP Laminated Fabric"/>
    <s v="PP Lam Fabric With UV"/>
    <n v="307"/>
    <n v="48733.18"/>
    <s v="PP Lam Fabric With UV - Spout"/>
    <n v="0"/>
    <n v="9"/>
    <n v="4385.99"/>
    <n v="9"/>
    <n v="4385.99"/>
    <n v="0"/>
    <n v="0"/>
    <n v="0"/>
    <n v="8771.98"/>
    <n v="0"/>
    <s v="24AABCG1282C2Z6"/>
    <s v="KGS"/>
    <n v="39269080"/>
    <s v="Rs."/>
    <n v="1"/>
    <n v="307"/>
    <s v="India"/>
  </r>
  <r>
    <s v="30-07-2026"/>
    <s v="Hcp Plastene Bulkpack Ltd (Unit Iv) - Sales"/>
    <s v="Sales"/>
    <n v="428"/>
    <s v="Sales - Within State  Manufactured Goods"/>
    <s v="PPL/D/428"/>
    <s v="30-07-2026"/>
    <s v="SF"/>
    <s v="PP/PE Fabric"/>
    <x v="7"/>
    <s v="PP Laminated Fabric"/>
    <s v="PP Lam Fabric With UV"/>
    <n v="294"/>
    <n v="47551.56"/>
    <s v="PP Lam Fabric With UV  - Blue Spout"/>
    <n v="0"/>
    <n v="9"/>
    <n v="4279.6400000000003"/>
    <n v="9"/>
    <n v="4279.6400000000003"/>
    <n v="0"/>
    <n v="0"/>
    <n v="0"/>
    <n v="8559.2800000000007"/>
    <n v="0"/>
    <s v="24AABCG1282C2Z6"/>
    <s v="KGS"/>
    <n v="39269080"/>
    <s v="Rs."/>
    <n v="1"/>
    <n v="294"/>
    <s v="India"/>
  </r>
  <r>
    <s v="30-07-2026"/>
    <s v="Hcp Plastene Bulkpack Ltd (Unit Iv) - Sales"/>
    <s v="Sales"/>
    <n v="428"/>
    <s v="Sales - Within State  Manufactured Goods"/>
    <s v="PPL/D/428"/>
    <s v="30-07-2026"/>
    <s v="FG"/>
    <s v="FIBC WIP"/>
    <x v="9"/>
    <s v="PP WOVEN FABRIC"/>
    <s v="FIBC WIP"/>
    <n v="210"/>
    <n v="32495.4"/>
    <s v="UL CUTPCS"/>
    <n v="0"/>
    <n v="9"/>
    <n v="2924.59"/>
    <n v="9"/>
    <n v="2924.59"/>
    <n v="0"/>
    <n v="0"/>
    <n v="0"/>
    <n v="5849.18"/>
    <n v="0"/>
    <s v="24AABCG1282C2Z6"/>
    <s v="KGS"/>
    <n v="39269080"/>
    <s v="Rs."/>
    <n v="1"/>
    <n v="210"/>
    <s v="India"/>
  </r>
  <r>
    <s v="30-07-2026"/>
    <s v="K.P. Woven Pvt Ltd - Unit 3 -Sales"/>
    <s v="Export Sales"/>
    <s v="PPL/E/67/26-27"/>
    <s v="Sales - Kasez - Mfg - U/B"/>
    <s v="PPL/E/67/26-27"/>
    <s v="30-07-2026"/>
    <s v="SF"/>
    <s v="PP/PE Fabric"/>
    <x v="14"/>
    <s v="PP WOVEN FABRIC"/>
    <s v="PP UL Fabric With UV"/>
    <n v="966"/>
    <n v="99536.639999999999"/>
    <s v="PP UL Fabric With UV"/>
    <n v="99437.1"/>
    <n v="0"/>
    <n v="0"/>
    <n v="0"/>
    <n v="0"/>
    <n v="0"/>
    <n v="0"/>
    <n v="0"/>
    <n v="0"/>
    <n v="0"/>
    <s v="24AAECK6307M2ZE"/>
    <s v="KGS"/>
    <n v="39269080"/>
    <s v="$"/>
    <n v="89.6"/>
    <n v="966"/>
    <s v="India"/>
  </r>
  <r>
    <s v="30-07-2026"/>
    <s v="Plastene India ltd - Unit 1-Sales"/>
    <s v="Sales"/>
    <n v="425"/>
    <s v="Sales - Within State  Manufactured Goods"/>
    <s v="PPL/D/425"/>
    <s v="30-07-2026"/>
    <s v="FG"/>
    <s v="FIBC WIP"/>
    <x v="9"/>
    <s v="FIBC"/>
    <s v="FIBC WIP"/>
    <n v="689"/>
    <n v="92835.86"/>
    <s v="REJECTED BAGS"/>
    <n v="190171.34"/>
    <n v="9"/>
    <n v="8355.23"/>
    <n v="9"/>
    <n v="8355.23"/>
    <n v="0"/>
    <n v="0"/>
    <n v="0"/>
    <n v="16710.46"/>
    <n v="0"/>
    <s v="24AAACO3087C1ZT"/>
    <s v="KGS"/>
    <n v="39232999"/>
    <s v="Rs."/>
    <n v="1"/>
    <n v="689"/>
    <s v="India"/>
  </r>
  <r>
    <s v="30-07-2026"/>
    <s v="Plastene India ltd - Unit 1-Sales"/>
    <s v="Sales"/>
    <n v="425"/>
    <s v="Sales - Within State  Manufactured Goods"/>
    <s v="PPL/D/425"/>
    <s v="30-07-2026"/>
    <s v="FG"/>
    <s v="FIBC WIP"/>
    <x v="9"/>
    <s v="PP WOVEN FABRIC"/>
    <s v="FIBC WIP"/>
    <n v="61"/>
    <n v="9150"/>
    <s v="UL CUTPCS"/>
    <n v="0"/>
    <n v="9"/>
    <n v="823.5"/>
    <n v="9"/>
    <n v="823.5"/>
    <n v="0"/>
    <n v="0"/>
    <n v="0"/>
    <n v="1647"/>
    <n v="0"/>
    <s v="24AAACO3087C1ZT"/>
    <s v="KGS"/>
    <n v="39269080"/>
    <s v="Rs."/>
    <n v="1"/>
    <n v="61"/>
    <s v="India"/>
  </r>
  <r>
    <s v="30-07-2026"/>
    <s v="Plastene India ltd - Unit 1-Sales"/>
    <s v="Sales"/>
    <n v="425"/>
    <s v="Sales - Within State  Manufactured Goods"/>
    <s v="PPL/D/425"/>
    <s v="30-07-2026"/>
    <s v="SF"/>
    <s v="PP/PE Fabric"/>
    <x v="11"/>
    <s v="PP WOVEN FABRIC"/>
    <s v="PP UL Fabric With UV"/>
    <n v="133"/>
    <n v="20580.419999999998"/>
    <s v="PP UL Fabric With UV"/>
    <n v="0"/>
    <n v="9"/>
    <n v="1852.24"/>
    <n v="9"/>
    <n v="1852.24"/>
    <n v="0"/>
    <n v="0"/>
    <n v="0"/>
    <n v="3704.48"/>
    <n v="0"/>
    <s v="24AAACO3087C1ZT"/>
    <s v="KGS"/>
    <n v="39269080"/>
    <s v="Rs."/>
    <n v="1"/>
    <n v="133"/>
    <s v="India"/>
  </r>
  <r>
    <s v="30-07-2026"/>
    <s v="Plastene India ltd - Unit 1-Sales"/>
    <s v="Sales"/>
    <n v="425"/>
    <s v="Sales - Within State  Manufactured Goods"/>
    <s v="PPL/D/425"/>
    <s v="30-07-2026"/>
    <s v="SF"/>
    <s v="PP/PE Fabric"/>
    <x v="7"/>
    <s v="PP Laminated Fabric"/>
    <s v="PP Lam Fabric With UV"/>
    <n v="244"/>
    <n v="38732.559999999998"/>
    <s v="PP Lam Fabric With UV-Spout"/>
    <n v="0"/>
    <n v="9"/>
    <n v="3485.93"/>
    <n v="9"/>
    <n v="3485.93"/>
    <n v="0"/>
    <n v="0"/>
    <n v="0"/>
    <n v="6971.86"/>
    <n v="0"/>
    <s v="24AAACO3087C1ZT"/>
    <s v="KGS"/>
    <n v="39269080"/>
    <s v="Rs."/>
    <n v="1"/>
    <n v="244"/>
    <s v="India"/>
  </r>
  <r>
    <s v="30-07-2026"/>
    <s v="Plastene India ltd - Unit 1-Sales"/>
    <s v="Sales"/>
    <n v="427"/>
    <s v="Sales - Within State - Traded Goods"/>
    <s v="PPL/D/427"/>
    <s v="30-07-2026"/>
    <s v="SF"/>
    <s v="Yarn All"/>
    <x v="1"/>
    <s v="Yarn"/>
    <s v="Polyester Yarn Twisted"/>
    <n v="341.9"/>
    <n v="45130.8"/>
    <s v="Polyster Yarn (1000x2 MW)"/>
    <n v="47342.21"/>
    <n v="2.5"/>
    <n v="1128.27"/>
    <n v="2.5"/>
    <n v="1128.27"/>
    <n v="0"/>
    <n v="0"/>
    <n v="0"/>
    <n v="2256.54"/>
    <n v="0"/>
    <s v="24AAACO3087C1ZT"/>
    <s v="KGS"/>
    <n v="54026930"/>
    <s v="Rs."/>
    <n v="1"/>
    <n v="341.9"/>
    <s v="India"/>
  </r>
  <r>
    <s v="30-07-2026"/>
    <s v="Plastene India ltd - Unit 1-Sales"/>
    <s v="Sales"/>
    <n v="430"/>
    <s v="Sales - Within State - Traded Goods"/>
    <s v="PPL/D/430"/>
    <s v="30-07-2026"/>
    <s v="SF"/>
    <s v="Films All (SF)"/>
    <x v="2"/>
    <s v="LLDPE FILM"/>
    <s v="LDPE/LLDPE Film"/>
    <n v="21.3"/>
    <n v="5921.4"/>
    <s v="LDPE/LLDPE Film"/>
    <n v="6981.34"/>
    <n v="9"/>
    <n v="532.92999999999995"/>
    <n v="9"/>
    <n v="532.92999999999995"/>
    <n v="0"/>
    <n v="0"/>
    <n v="0"/>
    <n v="1065.8599999999999"/>
    <n v="0"/>
    <s v="24AAACO3087C1ZT"/>
    <s v="KGS"/>
    <n v="39201019"/>
    <s v="Rs."/>
    <n v="1"/>
    <n v="21.3"/>
    <s v="India"/>
  </r>
  <r>
    <s v="30-07-2026"/>
    <s v="Snf Flopam India Pvt Ltd"/>
    <s v="Sales"/>
    <n v="431"/>
    <s v="Sales - Within State  Manufactured Goods"/>
    <s v="PPL/D/431"/>
    <s v="30-07-2026"/>
    <s v="FG"/>
    <s v="FIBC Bags"/>
    <x v="0"/>
    <s v="FIBC"/>
    <s v="FIBC Bags With UV With Liner"/>
    <n v="8692"/>
    <n v="1832400"/>
    <s v="PO00012244"/>
    <n v="2160399.6"/>
    <n v="9"/>
    <n v="164916"/>
    <n v="9"/>
    <n v="164916"/>
    <n v="0"/>
    <n v="0"/>
    <n v="0"/>
    <n v="329832"/>
    <n v="0"/>
    <s v="24AAXCS4186P1Z9"/>
    <s v="KGS"/>
    <n v="39232999"/>
    <s v="Rs."/>
    <n v="1"/>
    <n v="8692"/>
    <s v="India"/>
  </r>
  <r>
    <s v="31-07-2026"/>
    <s v="HCP Plastene Bulkpack Limited - Sales"/>
    <s v="Sales"/>
    <n v="432"/>
    <s v="Sales - Within State  Manufactured Goods"/>
    <s v="PPL/D/432"/>
    <s v="31-07-2026"/>
    <s v="FG"/>
    <s v="FIBC Bags"/>
    <x v="0"/>
    <s v="FIBC"/>
    <s v="FIBC Bags With UV Without Liner"/>
    <n v="19663"/>
    <n v="3876953.71"/>
    <s v="KRZY-93/KK0019 SUGAR KSC"/>
    <n v="4570928.42"/>
    <n v="9"/>
    <n v="348925.83"/>
    <n v="9"/>
    <n v="348925.83"/>
    <n v="0"/>
    <n v="0"/>
    <n v="0"/>
    <n v="697851.66"/>
    <n v="0"/>
    <s v="24AABCG1282C2Z6"/>
    <s v="KGS"/>
    <n v="39232999"/>
    <s v="Rs."/>
    <n v="1"/>
    <n v="19663"/>
    <s v="India"/>
  </r>
  <r>
    <s v="31-07-2026"/>
    <s v="Plastene India ltd - Unit 1-Sales"/>
    <s v="Sales"/>
    <n v="433"/>
    <s v="Sales - Within State  Manufactured Goods"/>
    <s v="PPL/D/433"/>
    <s v="31-07-2026"/>
    <s v="FG"/>
    <s v="FIBC WIP"/>
    <x v="9"/>
    <s v="PP WOVEN FABRIC"/>
    <s v="FIBC WIP"/>
    <n v="80"/>
    <n v="12000"/>
    <s v="UL CUTPCS"/>
    <n v="14148"/>
    <n v="9"/>
    <n v="1080"/>
    <n v="9"/>
    <n v="1080"/>
    <n v="0"/>
    <n v="0"/>
    <n v="0"/>
    <n v="2160"/>
    <n v="0"/>
    <s v="24AAACO3087C1ZT"/>
    <s v="KGS"/>
    <n v="39269080"/>
    <s v="Rs."/>
    <n v="1"/>
    <n v="80"/>
    <s v="India"/>
  </r>
  <r>
    <s v="28-07-2026"/>
    <s v="Hcp Plastene Bulkpack Ltd (Unit Iv) - Sales"/>
    <s v="Sales"/>
    <n v="421"/>
    <s v="Sales - Within State  Manufactured Goods"/>
    <s v="PPL/D/421"/>
    <s v="28-07-2026"/>
    <s v="FG"/>
    <s v="FIBC Bags"/>
    <x v="0"/>
    <s v="FIBC"/>
    <s v="FIBC Bags With UV Without Liner"/>
    <n v="1752"/>
    <n v="362278.56"/>
    <s v="29934/516R1"/>
    <n v="2319417.4300000002"/>
    <n v="9"/>
    <n v="32605.07"/>
    <n v="9"/>
    <n v="32605.07"/>
    <n v="0"/>
    <n v="0"/>
    <n v="0"/>
    <n v="65210.14"/>
    <n v="0"/>
    <s v="24AABCG1282C2Z6"/>
    <s v="KGS"/>
    <n v="39232999"/>
    <s v="Rs."/>
    <n v="1"/>
    <n v="1752"/>
    <s v="India"/>
  </r>
  <r>
    <s v="28-07-2026"/>
    <s v="Hcp Plastene Bulkpack Ltd (Unit Iv) - Sales"/>
    <s v="Sales"/>
    <n v="421"/>
    <s v="Sales - Within State  Manufactured Goods"/>
    <s v="PPL/D/421"/>
    <s v="28-07-2026"/>
    <s v="FG"/>
    <s v="FIBC Bags"/>
    <x v="0"/>
    <s v="FIBC"/>
    <s v="FIBC Bags With UV Without Liner"/>
    <n v="1685"/>
    <n v="330681.25"/>
    <s v="29934/AG825"/>
    <n v="0"/>
    <n v="9"/>
    <n v="29761.31"/>
    <n v="9"/>
    <n v="29761.31"/>
    <n v="0"/>
    <n v="0"/>
    <n v="0"/>
    <n v="59522.62"/>
    <n v="0"/>
    <s v="24AABCG1282C2Z6"/>
    <s v="KGS"/>
    <n v="39232999"/>
    <s v="Rs."/>
    <n v="1"/>
    <n v="1685"/>
    <s v="India"/>
  </r>
  <r>
    <s v="28-07-2026"/>
    <s v="Hcp Plastene Bulkpack Ltd (Unit Iv) - Sales"/>
    <s v="Sales"/>
    <n v="421"/>
    <s v="Sales - Within State  Manufactured Goods"/>
    <s v="PPL/D/421"/>
    <s v="28-07-2026"/>
    <s v="FG"/>
    <s v="FIBC Bags"/>
    <x v="0"/>
    <s v="FIBC"/>
    <s v="FIBC Bags With UV Without Liner"/>
    <n v="3232"/>
    <n v="753799.36"/>
    <s v="OEL432/542"/>
    <n v="0"/>
    <n v="9"/>
    <n v="67841.94"/>
    <n v="9"/>
    <n v="67841.94"/>
    <n v="0"/>
    <n v="0"/>
    <n v="0"/>
    <n v="135683.88"/>
    <n v="0"/>
    <s v="24AABCG1282C2Z6"/>
    <s v="KGS"/>
    <n v="39232999"/>
    <s v="Rs."/>
    <n v="1"/>
    <n v="3232"/>
    <s v="India"/>
  </r>
  <r>
    <s v="28-07-2026"/>
    <s v="Hcp Plastene Bulkpack Ltd (Unit Iv) - Sales"/>
    <s v="Sales"/>
    <n v="421"/>
    <s v="Sales - Within State  Manufactured Goods"/>
    <s v="PPL/D/421"/>
    <s v="28-07-2026"/>
    <s v="FG"/>
    <s v="FIBC Bags"/>
    <x v="0"/>
    <s v="FIBC"/>
    <s v="FIBC Bags With UV Without Liner"/>
    <n v="2433"/>
    <n v="520516.02"/>
    <s v="29969/386R1"/>
    <n v="0"/>
    <n v="9"/>
    <n v="46846.44"/>
    <n v="9"/>
    <n v="46846.44"/>
    <n v="0"/>
    <n v="0"/>
    <n v="0"/>
    <n v="93692.88"/>
    <n v="0"/>
    <s v="24AABCG1282C2Z6"/>
    <s v="KGS"/>
    <n v="39232999"/>
    <s v="Rs."/>
    <n v="1"/>
    <n v="2433"/>
    <s v="India"/>
  </r>
  <r>
    <m/>
    <m/>
    <m/>
    <m/>
    <m/>
    <m/>
    <m/>
    <m/>
    <m/>
    <x v="2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A3:C27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">
        <item x="0"/>
        <item x="4"/>
        <item x="20"/>
        <item x="9"/>
        <item x="11"/>
        <item x="14"/>
        <item x="7"/>
        <item x="15"/>
        <item x="8"/>
        <item x="2"/>
        <item x="3"/>
        <item x="1"/>
        <item x="5"/>
        <item x="21"/>
        <item x="13"/>
        <item m="1" x="26"/>
        <item m="1" x="24"/>
        <item x="17"/>
        <item m="1" x="23"/>
        <item x="12"/>
        <item x="10"/>
        <item m="1" x="25"/>
        <item x="16"/>
        <item x="18"/>
        <item x="19"/>
        <item x="6"/>
        <item x="2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9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7"/>
    </i>
    <i>
      <x v="19"/>
    </i>
    <i>
      <x v="20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Wt" fld="30" baseField="9" baseItem="0"/>
    <dataField name="Sum of Amount" fld="13" baseField="9" baseItem="0"/>
  </dataFields>
  <formats count="14">
    <format dxfId="28">
      <pivotArea collapsedLevelsAreSubtotals="1" fieldPosition="0">
        <references count="2">
          <reference field="4294967294" count="1" selected="0">
            <x v="0"/>
          </reference>
          <reference field="9" count="2">
            <x v="0"/>
            <x v="1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9" count="1">
            <x v="0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9" count="1">
            <x v="1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9" count="1">
            <x v="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9" count="1">
            <x v="3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9" count="1">
            <x v="4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9" count="1">
            <x v="6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9" count="1">
            <x v="8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9" count="1">
            <x v="9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9" count="1">
            <x v="10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9" count="1">
            <x v="11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9" count="1">
            <x v="13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9" count="1">
            <x v="17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9" count="1">
            <x v="2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G3:I24" firstHeaderRow="0" firstDataRow="1" firstDataCol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0"/>
        <item x="4"/>
        <item x="18"/>
        <item x="6"/>
        <item x="10"/>
        <item x="13"/>
        <item x="7"/>
        <item x="14"/>
        <item x="8"/>
        <item x="2"/>
        <item x="3"/>
        <item x="1"/>
        <item x="5"/>
        <item x="17"/>
        <item x="12"/>
        <item x="16"/>
        <item x="11"/>
        <item x="9"/>
        <item x="15"/>
        <item x="19"/>
        <item t="default"/>
      </items>
    </pivotField>
  </pivotFields>
  <rowFields count="1">
    <field x="5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wt" fld="11" baseField="52" baseItem="0"/>
    <dataField name="Sum of Amount" fld="10" baseField="52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G3:I23" firstHeaderRow="0" firstDataRow="1" firstDataCol="1"/>
  <pivotFields count="6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4"/>
        <item x="13"/>
        <item x="6"/>
        <item x="9"/>
        <item x="14"/>
        <item x="12"/>
        <item x="5"/>
        <item x="10"/>
        <item x="1"/>
        <item x="8"/>
        <item x="11"/>
        <item x="7"/>
        <item x="0"/>
        <item x="2"/>
        <item x="3"/>
        <item x="16"/>
        <item x="15"/>
        <item x="17"/>
        <item x="1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wt" fld="65" baseField="46" baseItem="0"/>
    <dataField name="Sum of Basic Amount" fld="50" baseField="46" baseItem="0"/>
  </dataFields>
  <formats count="15">
    <format dxfId="14">
      <pivotArea collapsedLevelsAreSubtotals="1" fieldPosition="0">
        <references count="2">
          <reference field="4294967294" count="1" selected="0">
            <x v="0"/>
          </reference>
          <reference field="46" count="1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46" count="1">
            <x v="2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46" count="1">
            <x v="3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46" count="1">
            <x v="4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46" count="1">
            <x v="5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46" count="1">
            <x v="6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46" count="1">
            <x v="7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46" count="1">
            <x v="8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46" count="1">
            <x v="1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46" count="1">
            <x v="12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46" count="1">
            <x v="13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46" count="1">
            <x v="14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46" count="1">
            <x v="15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46" count="1">
            <x v="16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46" count="1">
            <x v="17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A3:C26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5"/>
        <item x="16"/>
        <item x="7"/>
        <item x="10"/>
        <item x="17"/>
        <item x="13"/>
        <item x="6"/>
        <item x="11"/>
        <item x="1"/>
        <item x="9"/>
        <item x="12"/>
        <item x="8"/>
        <item x="0"/>
        <item x="2"/>
        <item x="3"/>
        <item x="19"/>
        <item x="18"/>
        <item x="20"/>
        <item x="14"/>
        <item x="15"/>
        <item x="4"/>
        <item x="2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Wt" fld="30" baseField="9" baseItem="0"/>
    <dataField name="Sum of Amount" fld="13" baseField="9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E10" sqref="E10"/>
    </sheetView>
  </sheetViews>
  <sheetFormatPr defaultRowHeight="15" x14ac:dyDescent="0.25"/>
  <cols>
    <col min="1" max="1" width="19.7109375" customWidth="1"/>
    <col min="2" max="2" width="14.140625" customWidth="1"/>
    <col min="3" max="3" width="14.85546875" customWidth="1"/>
    <col min="4" max="4" width="3.42578125" customWidth="1"/>
    <col min="5" max="5" width="12" bestFit="1" customWidth="1"/>
    <col min="7" max="7" width="19.7109375" customWidth="1"/>
    <col min="8" max="8" width="13.28515625" customWidth="1"/>
    <col min="9" max="9" width="14.85546875" customWidth="1"/>
  </cols>
  <sheetData>
    <row r="1" spans="1:10" x14ac:dyDescent="0.25">
      <c r="C1" s="14" t="s">
        <v>956</v>
      </c>
    </row>
    <row r="2" spans="1:10" x14ac:dyDescent="0.25">
      <c r="A2" s="7" t="s">
        <v>146</v>
      </c>
      <c r="G2" s="7" t="s">
        <v>148</v>
      </c>
    </row>
    <row r="3" spans="1:10" x14ac:dyDescent="0.25">
      <c r="A3" s="11" t="s">
        <v>141</v>
      </c>
      <c r="B3" t="s">
        <v>144</v>
      </c>
      <c r="C3" t="s">
        <v>145</v>
      </c>
      <c r="G3" s="11" t="s">
        <v>141</v>
      </c>
      <c r="H3" t="s">
        <v>147</v>
      </c>
      <c r="I3" t="s">
        <v>145</v>
      </c>
    </row>
    <row r="4" spans="1:10" x14ac:dyDescent="0.25">
      <c r="A4" s="12" t="s">
        <v>152</v>
      </c>
      <c r="B4" s="28">
        <v>334295.09999999998</v>
      </c>
      <c r="C4" s="13">
        <v>73511966.939999983</v>
      </c>
      <c r="E4">
        <f>+GETPIVOTDATA("Sum of Net Wt",$A$3,"Sub Grup","FIBC Bags")+GETPIVOTDATA("Sum of Net Wt",$A$3,"Sub Grup","FIBC Bags-Export")+GETPIVOTDATA("Sum of Net Wt",$A$3,"Sub Grup","PP Bags")</f>
        <v>432350.3</v>
      </c>
      <c r="G4" s="12" t="s">
        <v>152</v>
      </c>
      <c r="H4" s="13">
        <v>334295.09999999998</v>
      </c>
      <c r="I4" s="13">
        <v>73511966.939999998</v>
      </c>
      <c r="J4">
        <f>+GETPIVOTDATA("Sum of Net Wt",$A$3,"Sub Grup","FIBC Bags")-GETPIVOTDATA("Sum of Netwt",$G$3,"Subgroupname","FIBC Bags")</f>
        <v>0</v>
      </c>
    </row>
    <row r="5" spans="1:10" x14ac:dyDescent="0.25">
      <c r="A5" s="12" t="s">
        <v>162</v>
      </c>
      <c r="B5" s="28">
        <v>97638.399999999994</v>
      </c>
      <c r="C5" s="13">
        <v>21038298.160000004</v>
      </c>
      <c r="E5">
        <f>+GETPIVOTDATA("Sum of Amount",$A$3,"Sub Grup","FIBC Bags")+GETPIVOTDATA("Sum of Amount",$A$3,"Sub Grup","FIBC Bags-Export")+GETPIVOTDATA("Sum of Amount",$A$3,"Sub Grup","PP Bags")</f>
        <v>94646062.409999996</v>
      </c>
      <c r="G5" s="12" t="s">
        <v>162</v>
      </c>
      <c r="H5" s="13">
        <v>97638.399999999994</v>
      </c>
      <c r="I5" s="13">
        <v>21038298.166000001</v>
      </c>
      <c r="J5">
        <f>+GETPIVOTDATA("Sum of Net Wt",$A$3,"Sub Grup","FIBC Bags-Export")-GETPIVOTDATA("Sum of Netwt",$G$3,"Subgroupname","FIBC Bags-Export")</f>
        <v>0</v>
      </c>
    </row>
    <row r="6" spans="1:10" x14ac:dyDescent="0.25">
      <c r="A6" s="12" t="s">
        <v>444</v>
      </c>
      <c r="B6" s="28">
        <v>416.8</v>
      </c>
      <c r="C6" s="13">
        <v>95797.31</v>
      </c>
      <c r="E6">
        <f>+E5/E4</f>
        <v>218.91059728650586</v>
      </c>
      <c r="G6" s="12" t="s">
        <v>444</v>
      </c>
      <c r="H6" s="13">
        <v>416.8</v>
      </c>
      <c r="I6" s="13">
        <v>95797.31</v>
      </c>
      <c r="J6">
        <f>+GETPIVOTDATA("Sum of Net Wt",$A$3,"Sub Grup","PP Bags")-GETPIVOTDATA("Sum of Netwt",$G$3,"Subgroupname","PP Bags")</f>
        <v>0</v>
      </c>
    </row>
    <row r="7" spans="1:10" x14ac:dyDescent="0.25">
      <c r="A7" s="12" t="s">
        <v>153</v>
      </c>
      <c r="B7" s="28">
        <v>7756</v>
      </c>
      <c r="C7" s="13">
        <v>1141569.8300000003</v>
      </c>
      <c r="G7" s="12" t="s">
        <v>153</v>
      </c>
      <c r="H7" s="13">
        <v>7756</v>
      </c>
      <c r="I7" s="13">
        <v>1141569.83</v>
      </c>
      <c r="J7">
        <f>+GETPIVOTDATA("Sum of Net Wt",$A$3,"Sub Grup","FIBC WIP")-GETPIVOTDATA("Sum of Netwt",$G$3,"Subgroupname","FIBC WIP")</f>
        <v>0</v>
      </c>
    </row>
    <row r="8" spans="1:10" x14ac:dyDescent="0.25">
      <c r="A8" s="12" t="s">
        <v>155</v>
      </c>
      <c r="B8" s="28">
        <v>20342.100000000002</v>
      </c>
      <c r="C8" s="13">
        <v>3170579.5599999991</v>
      </c>
      <c r="G8" s="12" t="s">
        <v>155</v>
      </c>
      <c r="H8" s="13">
        <v>20342.100000000002</v>
      </c>
      <c r="I8" s="13">
        <v>3170579.5599999991</v>
      </c>
      <c r="J8">
        <f>+GETPIVOTDATA("Sum of Net Wt",$A$3,"Sub Grup","PP UL Fabric")-GETPIVOTDATA("Sum of Netwt",$G$3,"Subgroupname","PP UL Fabric")</f>
        <v>0</v>
      </c>
    </row>
    <row r="9" spans="1:10" x14ac:dyDescent="0.25">
      <c r="A9" s="12" t="s">
        <v>573</v>
      </c>
      <c r="B9" s="13">
        <v>1412</v>
      </c>
      <c r="C9" s="13">
        <v>145502.72</v>
      </c>
      <c r="G9" s="12" t="s">
        <v>573</v>
      </c>
      <c r="H9" s="13">
        <v>1412</v>
      </c>
      <c r="I9" s="13">
        <v>145502.71499999991</v>
      </c>
      <c r="J9">
        <f>+GETPIVOTDATA("Sum of Net Wt",$A$3,"Sub Grup","PP UL Fabric-Export")-GETPIVOTDATA("Sum of Netwt",$G$3,"Subgroupname","PP UL Fabric-Export")</f>
        <v>0</v>
      </c>
    </row>
    <row r="10" spans="1:10" x14ac:dyDescent="0.25">
      <c r="A10" s="12" t="s">
        <v>156</v>
      </c>
      <c r="B10" s="28">
        <v>14287.8</v>
      </c>
      <c r="C10" s="13">
        <v>1563435.6700000002</v>
      </c>
      <c r="G10" s="12" t="s">
        <v>156</v>
      </c>
      <c r="H10" s="13">
        <v>14287.8</v>
      </c>
      <c r="I10" s="13">
        <v>1563435.6700000002</v>
      </c>
      <c r="J10">
        <f>+GETPIVOTDATA("Sum of Net Wt",$A$3,"Sub Grup","PP Lam Fabric")-GETPIVOTDATA("Sum of Netwt",$G$3,"Subgroupname","PP Lam Fabric")</f>
        <v>0</v>
      </c>
    </row>
    <row r="11" spans="1:10" x14ac:dyDescent="0.25">
      <c r="A11" s="12" t="s">
        <v>574</v>
      </c>
      <c r="B11" s="13">
        <v>695.8</v>
      </c>
      <c r="C11" s="13">
        <v>103305.43</v>
      </c>
      <c r="G11" s="12" t="s">
        <v>574</v>
      </c>
      <c r="H11" s="13">
        <v>695.8</v>
      </c>
      <c r="I11" s="13">
        <v>103305.42600000001</v>
      </c>
      <c r="J11">
        <f>+GETPIVOTDATA("Sum of Net Wt",$A$3,"Sub Grup","PP Lam Fabric-Export")-GETPIVOTDATA("Sum of Netwt",$G$3,"Subgroupname","PP Lam Fabric-Export")</f>
        <v>0</v>
      </c>
    </row>
    <row r="12" spans="1:10" x14ac:dyDescent="0.25">
      <c r="A12" s="12" t="s">
        <v>154</v>
      </c>
      <c r="B12" s="28">
        <v>1564.4</v>
      </c>
      <c r="C12" s="13">
        <v>243235.57</v>
      </c>
      <c r="G12" s="12" t="s">
        <v>154</v>
      </c>
      <c r="H12" s="13">
        <v>1564.4</v>
      </c>
      <c r="I12" s="13">
        <v>243235.57</v>
      </c>
      <c r="J12">
        <f>+GETPIVOTDATA("Sum of Net Wt",$A$3,"Sub Grup","PP Webbing")-GETPIVOTDATA("Sum of Netwt",$G$3,"Subgroupname","PP Webbing")</f>
        <v>0</v>
      </c>
    </row>
    <row r="13" spans="1:10" x14ac:dyDescent="0.25">
      <c r="A13" s="12" t="s">
        <v>158</v>
      </c>
      <c r="B13" s="28">
        <v>298.5</v>
      </c>
      <c r="C13" s="13">
        <v>79958.149999999994</v>
      </c>
      <c r="G13" s="12" t="s">
        <v>158</v>
      </c>
      <c r="H13" s="13">
        <v>298.5</v>
      </c>
      <c r="I13" s="13">
        <v>79958.149999999994</v>
      </c>
      <c r="J13">
        <f>+GETPIVOTDATA("Sum of Net Wt",$A$3,"Sub Grup","PE Film")-GETPIVOTDATA("Sum of Netwt",$G$3,"Subgroupname","PE Film")</f>
        <v>0</v>
      </c>
    </row>
    <row r="14" spans="1:10" x14ac:dyDescent="0.25">
      <c r="A14" s="12" t="s">
        <v>159</v>
      </c>
      <c r="B14" s="28">
        <v>2287.3000000000002</v>
      </c>
      <c r="C14" s="13">
        <v>428452.75</v>
      </c>
      <c r="G14" s="12" t="s">
        <v>159</v>
      </c>
      <c r="H14" s="13">
        <v>2287.3000000000002</v>
      </c>
      <c r="I14" s="13">
        <v>428452.75</v>
      </c>
      <c r="J14">
        <f>+GETPIVOTDATA("Sum of Net Wt",$A$3,"Sub Grup","LDPE/LLDPE Bags")-GETPIVOTDATA("Sum of Netwt",$G$3,"Subgroupname","LDPE/LLDPE Bags")</f>
        <v>0</v>
      </c>
    </row>
    <row r="15" spans="1:10" x14ac:dyDescent="0.25">
      <c r="A15" s="12" t="s">
        <v>157</v>
      </c>
      <c r="B15" s="28">
        <v>877.19999999999993</v>
      </c>
      <c r="C15" s="13">
        <v>149901.84999999998</v>
      </c>
      <c r="G15" s="12" t="s">
        <v>157</v>
      </c>
      <c r="H15" s="13">
        <v>877.19999999999993</v>
      </c>
      <c r="I15" s="13">
        <v>149901.84999999998</v>
      </c>
      <c r="J15">
        <f>+GETPIVOTDATA("Sum of Net Wt",$A$3,"Sub Grup","PP Yarn")-GETPIVOTDATA("Sum of Netwt",$G$3,"Subgroupname","PP Yarn")</f>
        <v>0</v>
      </c>
    </row>
    <row r="16" spans="1:10" x14ac:dyDescent="0.25">
      <c r="A16" s="12" t="s">
        <v>572</v>
      </c>
      <c r="B16" s="13">
        <v>6752.0999999999995</v>
      </c>
      <c r="C16" s="13">
        <v>993023.1</v>
      </c>
      <c r="G16" s="12" t="s">
        <v>572</v>
      </c>
      <c r="H16" s="13">
        <v>6752.0999999999995</v>
      </c>
      <c r="I16" s="13">
        <v>993023.1</v>
      </c>
      <c r="J16">
        <f>+GETPIVOTDATA("Sum of Net Wt",$A$3,"Sub Grup","PP Yarn-Export")-GETPIVOTDATA("Sum of Netwt",$G$3,"Subgroupname","PP Yarn-Export")</f>
        <v>0</v>
      </c>
    </row>
    <row r="17" spans="1:10" x14ac:dyDescent="0.25">
      <c r="A17" s="12" t="s">
        <v>161</v>
      </c>
      <c r="B17" s="28">
        <v>108</v>
      </c>
      <c r="C17" s="13">
        <v>48708</v>
      </c>
      <c r="G17" s="12" t="s">
        <v>161</v>
      </c>
      <c r="H17" s="13">
        <v>108</v>
      </c>
      <c r="I17" s="13">
        <v>48708</v>
      </c>
      <c r="J17">
        <f>+GETPIVOTDATA("Sum of Net Wt",$A$3,"Sub Grup","PP Tapes")-GETPIVOTDATA("Sum of Netwt",$G$3,"Subgroupname","PP Tapes")</f>
        <v>0</v>
      </c>
    </row>
    <row r="18" spans="1:10" x14ac:dyDescent="0.25">
      <c r="A18" s="12" t="s">
        <v>166</v>
      </c>
      <c r="B18" s="13">
        <v>30000</v>
      </c>
      <c r="C18" s="13">
        <v>3600000</v>
      </c>
      <c r="G18" s="12" t="s">
        <v>166</v>
      </c>
      <c r="H18" s="13">
        <v>30000</v>
      </c>
      <c r="I18" s="13">
        <v>3600000</v>
      </c>
      <c r="J18">
        <f>+GETPIVOTDATA("Sum of Net Wt",$A$3,"Sub Grup","PP Granules")-GETPIVOTDATA("Sum of Netwt",$G$3,"Subgroupname","PP Granules")</f>
        <v>0</v>
      </c>
    </row>
    <row r="19" spans="1:10" x14ac:dyDescent="0.25">
      <c r="A19" s="12" t="s">
        <v>164</v>
      </c>
      <c r="B19" s="28">
        <v>2000</v>
      </c>
      <c r="C19" s="13">
        <v>76000</v>
      </c>
      <c r="G19" s="12" t="s">
        <v>164</v>
      </c>
      <c r="H19" s="13">
        <v>2000</v>
      </c>
      <c r="I19" s="13">
        <v>76000</v>
      </c>
      <c r="J19">
        <f>+GETPIVOTDATA("Sum of Net Wt",$A$3,"Sub Grup","Filler")-GETPIVOTDATA("Sum of Netwt",$G$3,"Subgroupname","Filler")</f>
        <v>0</v>
      </c>
    </row>
    <row r="20" spans="1:10" x14ac:dyDescent="0.25">
      <c r="A20" s="12" t="s">
        <v>348</v>
      </c>
      <c r="B20" s="13">
        <v>1420</v>
      </c>
      <c r="C20" s="13">
        <v>35500</v>
      </c>
      <c r="G20" s="12" t="s">
        <v>348</v>
      </c>
      <c r="H20" s="13">
        <v>1420</v>
      </c>
      <c r="I20" s="13">
        <v>35500</v>
      </c>
      <c r="J20">
        <f>+GETPIVOTDATA("Sum of Net Wt",$A$3,"Sub Grup","Wastage/Scrap")-GETPIVOTDATA("Sum of Netwt",$G$3,"Subgroupname","Wastage/Scrap")</f>
        <v>0</v>
      </c>
    </row>
    <row r="21" spans="1:10" x14ac:dyDescent="0.25">
      <c r="A21" s="12" t="s">
        <v>160</v>
      </c>
      <c r="B21" s="13">
        <v>125</v>
      </c>
      <c r="C21" s="13">
        <v>34800</v>
      </c>
      <c r="G21" s="12" t="s">
        <v>160</v>
      </c>
      <c r="H21" s="13">
        <v>125</v>
      </c>
      <c r="I21" s="13">
        <v>34800</v>
      </c>
      <c r="J21">
        <f>+GETPIVOTDATA("Sum of Net Wt",$A$3,"Sub Grup","Ink")-GETPIVOTDATA("Sum of Netwt",$G$3,"Subgroupname","Ink")</f>
        <v>0</v>
      </c>
    </row>
    <row r="22" spans="1:10" x14ac:dyDescent="0.25">
      <c r="A22" s="12" t="s">
        <v>165</v>
      </c>
      <c r="B22" s="28">
        <v>345</v>
      </c>
      <c r="C22" s="13">
        <v>67540</v>
      </c>
      <c r="G22" s="12" t="s">
        <v>165</v>
      </c>
      <c r="H22" s="13">
        <v>345</v>
      </c>
      <c r="I22" s="13">
        <v>67540</v>
      </c>
      <c r="J22">
        <f>+GETPIVOTDATA("Sum of Net Wt",$A$3,"Sub Grup","Thinner")-GETPIVOTDATA("Sum of Netwt",$G$3,"Subgroupname","Thinner")</f>
        <v>0</v>
      </c>
    </row>
    <row r="23" spans="1:10" x14ac:dyDescent="0.25">
      <c r="A23" s="12" t="s">
        <v>651</v>
      </c>
      <c r="B23" s="13">
        <v>102000</v>
      </c>
      <c r="C23" s="13">
        <v>9690000</v>
      </c>
      <c r="G23" s="12" t="s">
        <v>142</v>
      </c>
      <c r="H23" s="13"/>
      <c r="I23" s="13"/>
    </row>
    <row r="24" spans="1:10" x14ac:dyDescent="0.25">
      <c r="A24" s="12" t="s">
        <v>652</v>
      </c>
      <c r="B24" s="13">
        <v>51000</v>
      </c>
      <c r="C24" s="13">
        <v>9001500</v>
      </c>
      <c r="G24" s="12" t="s">
        <v>143</v>
      </c>
      <c r="H24" s="13">
        <v>522621.49999999994</v>
      </c>
      <c r="I24" s="13">
        <v>106527575.037</v>
      </c>
    </row>
    <row r="25" spans="1:10" x14ac:dyDescent="0.25">
      <c r="A25" s="12" t="s">
        <v>163</v>
      </c>
      <c r="B25" s="13">
        <v>99392</v>
      </c>
      <c r="C25" s="13">
        <v>25802686.230000004</v>
      </c>
    </row>
    <row r="26" spans="1:10" x14ac:dyDescent="0.25">
      <c r="A26" s="12" t="s">
        <v>142</v>
      </c>
      <c r="B26" s="13"/>
      <c r="C26" s="13"/>
    </row>
    <row r="27" spans="1:10" x14ac:dyDescent="0.25">
      <c r="A27" s="12" t="s">
        <v>143</v>
      </c>
      <c r="B27" s="13">
        <v>775013.5</v>
      </c>
      <c r="C27" s="13">
        <v>151021761.26999998</v>
      </c>
    </row>
  </sheetData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A10" workbookViewId="0">
      <selection activeCell="H25" sqref="H25"/>
    </sheetView>
  </sheetViews>
  <sheetFormatPr defaultRowHeight="15" x14ac:dyDescent="0.25"/>
  <cols>
    <col min="1" max="1" width="18.7109375" customWidth="1"/>
    <col min="2" max="2" width="14.140625" bestFit="1" customWidth="1"/>
    <col min="3" max="3" width="14.85546875" bestFit="1" customWidth="1"/>
    <col min="7" max="7" width="15.85546875" customWidth="1"/>
    <col min="8" max="8" width="12.85546875" customWidth="1"/>
    <col min="9" max="9" width="19.85546875" customWidth="1"/>
    <col min="10" max="10" width="12.7109375" bestFit="1" customWidth="1"/>
  </cols>
  <sheetData>
    <row r="1" spans="1:13" x14ac:dyDescent="0.25">
      <c r="C1" s="14" t="s">
        <v>956</v>
      </c>
    </row>
    <row r="2" spans="1:13" x14ac:dyDescent="0.25">
      <c r="A2" s="7" t="s">
        <v>146</v>
      </c>
      <c r="G2" s="7" t="s">
        <v>149</v>
      </c>
    </row>
    <row r="3" spans="1:13" x14ac:dyDescent="0.25">
      <c r="A3" s="11" t="s">
        <v>141</v>
      </c>
      <c r="B3" t="s">
        <v>144</v>
      </c>
      <c r="C3" t="s">
        <v>145</v>
      </c>
      <c r="G3" s="11" t="s">
        <v>141</v>
      </c>
      <c r="H3" t="s">
        <v>150</v>
      </c>
      <c r="I3" t="s">
        <v>151</v>
      </c>
    </row>
    <row r="4" spans="1:13" x14ac:dyDescent="0.25">
      <c r="A4" s="12" t="s">
        <v>166</v>
      </c>
      <c r="B4" s="13">
        <v>112625</v>
      </c>
      <c r="C4" s="13">
        <v>11817458.5</v>
      </c>
      <c r="D4" s="19">
        <f>+GETPIVOTDATA("Sum of Amount",$A$3,"Sub Grup","PP Granules")/GETPIVOTDATA("Sum of Net Wt",$A$3,"Sub Grup","PP Granules")</f>
        <v>104.92748945615982</v>
      </c>
      <c r="G4" s="12" t="s">
        <v>166</v>
      </c>
      <c r="H4" s="28">
        <v>112625</v>
      </c>
      <c r="I4" s="13">
        <v>11817458.5</v>
      </c>
      <c r="J4">
        <f>+GETPIVOTDATA("Sum of Net Wt",$A$3,"Sub Grup","PP Granules")-GETPIVOTDATA("Sum of netwt",$G$3,"SubGroupName","PP Granules")</f>
        <v>0</v>
      </c>
      <c r="K4" s="16"/>
      <c r="L4" s="16"/>
      <c r="M4" s="16"/>
    </row>
    <row r="5" spans="1:13" x14ac:dyDescent="0.25">
      <c r="A5" s="12" t="s">
        <v>814</v>
      </c>
      <c r="B5" s="13">
        <v>3200</v>
      </c>
      <c r="C5" s="13">
        <v>425456</v>
      </c>
      <c r="D5">
        <f>+GETPIVOTDATA("Sum of Amount",$A$3,"Sub Grup","LDPE Granules")/GETPIVOTDATA("Sum of Net Wt",$A$3,"Sub Grup","LDPE Granules")</f>
        <v>132.95500000000001</v>
      </c>
      <c r="G5" s="12" t="s">
        <v>814</v>
      </c>
      <c r="H5" s="13">
        <v>3200</v>
      </c>
      <c r="I5" s="13">
        <v>425456</v>
      </c>
      <c r="J5">
        <f>+GETPIVOTDATA("Sum of Net Wt",$A$3,"Sub Grup","LDPE Granules")-GETPIVOTDATA("Sum of netwt",$G$3,"SubGroupName","LDPE Granules")</f>
        <v>0</v>
      </c>
    </row>
    <row r="6" spans="1:13" x14ac:dyDescent="0.25">
      <c r="A6" s="12" t="s">
        <v>704</v>
      </c>
      <c r="B6" s="13">
        <v>10125</v>
      </c>
      <c r="C6" s="13">
        <v>1298456.25</v>
      </c>
      <c r="D6">
        <f>+GETPIVOTDATA("Sum of Amount",$A$3,"Sub Grup","LLDPE Granules")/GETPIVOTDATA("Sum of Net Wt",$A$3,"Sub Grup","LLDPE Granules")</f>
        <v>128.24259259259259</v>
      </c>
      <c r="G6" s="12" t="s">
        <v>704</v>
      </c>
      <c r="H6" s="28">
        <v>10125</v>
      </c>
      <c r="I6" s="13">
        <v>1298456.25</v>
      </c>
      <c r="J6">
        <f>+GETPIVOTDATA("Sum of Net Wt",$A$3,"Sub Grup","LLDPE Granules")-GETPIVOTDATA("Sum of netwt",$G$3,"SubGroupName","LLDPE Granules")</f>
        <v>0</v>
      </c>
    </row>
    <row r="7" spans="1:13" x14ac:dyDescent="0.25">
      <c r="A7" s="12" t="s">
        <v>733</v>
      </c>
      <c r="B7" s="13">
        <v>5700</v>
      </c>
      <c r="C7" s="13">
        <v>1021400</v>
      </c>
      <c r="D7">
        <f>+GETPIVOTDATA("Sum of Amount",$A$3,"Sub Grup","Masterbatch")/GETPIVOTDATA("Sum of Net Wt",$A$3,"Sub Grup","Masterbatch")</f>
        <v>179.19298245614036</v>
      </c>
      <c r="G7" s="12" t="s">
        <v>733</v>
      </c>
      <c r="H7" s="28">
        <v>5700</v>
      </c>
      <c r="I7" s="13">
        <v>1021400</v>
      </c>
      <c r="J7">
        <f>+GETPIVOTDATA("Sum of Net Wt",$A$3,"Sub Grup","Masterbatch")-GETPIVOTDATA("Sum of netwt",$G$3,"SubGroupName","Masterbatch")</f>
        <v>0</v>
      </c>
    </row>
    <row r="8" spans="1:13" x14ac:dyDescent="0.25">
      <c r="A8" s="12" t="s">
        <v>164</v>
      </c>
      <c r="B8" s="13">
        <v>17500</v>
      </c>
      <c r="C8" s="13">
        <v>671750</v>
      </c>
      <c r="D8">
        <f>+GETPIVOTDATA("Sum of Amount",$A$3,"Sub Grup","Filler")/GETPIVOTDATA("Sum of Net Wt",$A$3,"Sub Grup","Filler")</f>
        <v>38.385714285714286</v>
      </c>
      <c r="G8" s="12" t="s">
        <v>164</v>
      </c>
      <c r="H8" s="28">
        <v>17500</v>
      </c>
      <c r="I8" s="13">
        <v>671750</v>
      </c>
      <c r="J8">
        <f>+GETPIVOTDATA("Sum of Net Wt",$A$3,"Sub Grup","Filler")-GETPIVOTDATA("Sum of netwt",$G$3,"SubGroupName","Filler")</f>
        <v>0</v>
      </c>
    </row>
    <row r="9" spans="1:13" x14ac:dyDescent="0.25">
      <c r="A9" s="12" t="s">
        <v>779</v>
      </c>
      <c r="B9" s="13">
        <v>7075</v>
      </c>
      <c r="C9" s="13">
        <v>742875</v>
      </c>
      <c r="D9">
        <f>+GETPIVOTDATA("Sum of Amount",$A$3,"Sub Grup","RP Granules")/GETPIVOTDATA("Sum of Net Wt",$A$3,"Sub Grup","RP Granules")</f>
        <v>105</v>
      </c>
      <c r="G9" s="12" t="s">
        <v>779</v>
      </c>
      <c r="H9" s="28">
        <v>7075</v>
      </c>
      <c r="I9" s="13">
        <v>742875</v>
      </c>
      <c r="J9" s="15">
        <f>+GETPIVOTDATA("Sum of Net Wt",$A$3,"Sub Grup","RP Granules")-GETPIVOTDATA("Sum of netwt",$G$3,"SubGroupName","RP Granules")</f>
        <v>0</v>
      </c>
    </row>
    <row r="10" spans="1:13" x14ac:dyDescent="0.25">
      <c r="A10" s="12" t="s">
        <v>157</v>
      </c>
      <c r="B10" s="13">
        <v>35278.11</v>
      </c>
      <c r="C10" s="13">
        <v>5452550.2090000017</v>
      </c>
      <c r="G10" s="12" t="s">
        <v>157</v>
      </c>
      <c r="H10" s="28">
        <v>35278.11</v>
      </c>
      <c r="I10" s="13">
        <v>5452550.1599999992</v>
      </c>
      <c r="J10" s="15">
        <f>+GETPIVOTDATA("Sum of Net Wt",$A$3,"Sub Grup","PP Yarn")-GETPIVOTDATA("Sum of netwt",$G$3,"SubGroupName","PP Yarn")</f>
        <v>0</v>
      </c>
    </row>
    <row r="11" spans="1:13" x14ac:dyDescent="0.25">
      <c r="A11" s="12" t="s">
        <v>158</v>
      </c>
      <c r="B11" s="13">
        <v>854.09999999999991</v>
      </c>
      <c r="C11" s="13">
        <v>147571.39199999999</v>
      </c>
      <c r="G11" s="12" t="s">
        <v>158</v>
      </c>
      <c r="H11" s="28">
        <v>854.09999999999991</v>
      </c>
      <c r="I11" s="13">
        <v>147571.39000000001</v>
      </c>
      <c r="J11" s="15">
        <f>+GETPIVOTDATA("Sum of Net Wt",$A$3,"Sub Grup","PE Film")-GETPIVOTDATA("Sum of netwt",$G$3,"SubGroupName","PE Film")</f>
        <v>0</v>
      </c>
    </row>
    <row r="12" spans="1:13" x14ac:dyDescent="0.25">
      <c r="A12" s="12" t="s">
        <v>159</v>
      </c>
      <c r="B12" s="13">
        <v>21009.954000000005</v>
      </c>
      <c r="C12" s="13">
        <v>4062939.6180000007</v>
      </c>
      <c r="G12" s="12" t="s">
        <v>159</v>
      </c>
      <c r="H12" s="28">
        <v>20792.100000000002</v>
      </c>
      <c r="I12" s="13">
        <v>3960812.1400000006</v>
      </c>
      <c r="J12" s="15">
        <f>+GETPIVOTDATA("Sum of Net Wt",$A$3,"Sub Grup","LDPE/LLDPE Bags")-GETPIVOTDATA("Sum of netwt",$G$3,"SubGroupName","LDPE/LLDPE Bags")-'PE Labels'!M8</f>
        <v>2.9842794901924208E-12</v>
      </c>
    </row>
    <row r="13" spans="1:13" x14ac:dyDescent="0.25">
      <c r="A13" s="12" t="s">
        <v>152</v>
      </c>
      <c r="B13" s="13">
        <v>112199.5</v>
      </c>
      <c r="C13" s="13">
        <v>26268545.115000002</v>
      </c>
      <c r="G13" s="12" t="s">
        <v>152</v>
      </c>
      <c r="H13" s="13">
        <v>112199.5</v>
      </c>
      <c r="I13" s="13">
        <v>26268545.109999999</v>
      </c>
      <c r="J13">
        <f>+GETPIVOTDATA("Sum of Net Wt",$A$3,"Sub Grup","FIBC Bags")-GETPIVOTDATA("Sum of netwt",$G$3,"SubGroupName","FIBC Bags")</f>
        <v>0</v>
      </c>
    </row>
    <row r="14" spans="1:13" x14ac:dyDescent="0.25">
      <c r="A14" s="12" t="s">
        <v>444</v>
      </c>
      <c r="B14" s="13">
        <v>416.8</v>
      </c>
      <c r="C14" s="13">
        <v>95797.31</v>
      </c>
      <c r="G14" s="12" t="s">
        <v>444</v>
      </c>
      <c r="H14" s="13">
        <v>416.8</v>
      </c>
      <c r="I14" s="13">
        <v>95797.31</v>
      </c>
      <c r="J14">
        <f>+GETPIVOTDATA("Sum of Net Wt",$A$3,"Sub Grup","PP Bags")-GETPIVOTDATA("Sum of netwt",$G$3,"SubGroupName","PP Bags")</f>
        <v>0</v>
      </c>
    </row>
    <row r="15" spans="1:13" x14ac:dyDescent="0.25">
      <c r="A15" s="12" t="s">
        <v>153</v>
      </c>
      <c r="B15" s="13">
        <v>243</v>
      </c>
      <c r="C15" s="13">
        <v>35111.07</v>
      </c>
      <c r="G15" s="12" t="s">
        <v>153</v>
      </c>
      <c r="H15" s="28">
        <v>243</v>
      </c>
      <c r="I15" s="13">
        <v>35111.07</v>
      </c>
      <c r="J15">
        <f>+GETPIVOTDATA("Sum of Net Wt",$A$3,"Sub Grup","FIBC WIP")-GETPIVOTDATA("Sum of netwt",$G$3,"SubGroupName","FIBC WIP")</f>
        <v>0</v>
      </c>
    </row>
    <row r="16" spans="1:13" x14ac:dyDescent="0.25">
      <c r="A16" s="12" t="s">
        <v>155</v>
      </c>
      <c r="B16" s="13">
        <v>95916</v>
      </c>
      <c r="C16" s="13">
        <v>14335260.849999998</v>
      </c>
      <c r="G16" s="12" t="s">
        <v>155</v>
      </c>
      <c r="H16" s="28">
        <v>95916</v>
      </c>
      <c r="I16" s="13">
        <v>14335260.849999998</v>
      </c>
      <c r="J16" s="15">
        <f>+GETPIVOTDATA("Sum of Net Wt",$A$3,"Sub Grup","PP Webbing")-GETPIVOTDATA("Sum of netwt",$G$3,"SubGroupName","PP Webbing")</f>
        <v>0</v>
      </c>
    </row>
    <row r="17" spans="1:10" x14ac:dyDescent="0.25">
      <c r="A17" s="12" t="s">
        <v>156</v>
      </c>
      <c r="B17" s="13">
        <v>41626.699999999997</v>
      </c>
      <c r="C17" s="13">
        <v>6417746.2080000006</v>
      </c>
      <c r="G17" s="12" t="s">
        <v>156</v>
      </c>
      <c r="H17" s="28">
        <v>41626.699999999997</v>
      </c>
      <c r="I17" s="13">
        <v>6417746.2199999997</v>
      </c>
      <c r="J17">
        <f>+GETPIVOTDATA("Sum of Net Wt",$A$3,"Sub Grup","PP Tapes")-GETPIVOTDATA("Sum of netwt",$G$3,"SubGroupName","PP Tapes")</f>
        <v>0</v>
      </c>
    </row>
    <row r="18" spans="1:10" x14ac:dyDescent="0.25">
      <c r="A18" s="12" t="s">
        <v>154</v>
      </c>
      <c r="B18" s="13">
        <v>27560</v>
      </c>
      <c r="C18" s="13">
        <v>3927646.9519999996</v>
      </c>
      <c r="G18" s="12" t="s">
        <v>154</v>
      </c>
      <c r="H18" s="28">
        <v>27560.000000000004</v>
      </c>
      <c r="I18" s="13">
        <v>3927647.0099999993</v>
      </c>
      <c r="J18">
        <f>+GETPIVOTDATA("Sum of Net Wt",$A$3,"Sub Grup","Thinner")-GETPIVOTDATA("Sum of netwt",$G$3,"SubGroupName","Thinner")</f>
        <v>0</v>
      </c>
    </row>
    <row r="19" spans="1:10" x14ac:dyDescent="0.25">
      <c r="A19" s="12" t="s">
        <v>161</v>
      </c>
      <c r="B19" s="13">
        <v>91</v>
      </c>
      <c r="C19" s="13">
        <v>12511.59</v>
      </c>
      <c r="G19" s="12" t="s">
        <v>161</v>
      </c>
      <c r="H19" s="28">
        <v>91</v>
      </c>
      <c r="I19" s="13">
        <v>12511.59</v>
      </c>
      <c r="J19">
        <f>+GETPIVOTDATA("Sum of Net Wt",$A$3,"Sub Grup","Ink")-GETPIVOTDATA("Sum of netwt",$G$3,"SubGroupName","Ink")</f>
        <v>0</v>
      </c>
    </row>
    <row r="20" spans="1:10" x14ac:dyDescent="0.25">
      <c r="A20" s="12" t="s">
        <v>165</v>
      </c>
      <c r="B20" s="13">
        <v>1360</v>
      </c>
      <c r="C20" s="13">
        <v>176460</v>
      </c>
      <c r="G20" s="12" t="s">
        <v>165</v>
      </c>
      <c r="H20" s="28">
        <v>1360</v>
      </c>
      <c r="I20" s="13">
        <v>128318.56</v>
      </c>
      <c r="J20">
        <f>+GETPIVOTDATA("Sum of Net Wt",$A$3,"Sub Grup","Thinner")-GETPIVOTDATA("Sum of netwt",$G$3,"SubGroupName","Thinner")</f>
        <v>0</v>
      </c>
    </row>
    <row r="21" spans="1:10" x14ac:dyDescent="0.25">
      <c r="A21" s="12" t="s">
        <v>160</v>
      </c>
      <c r="B21" s="13">
        <v>375</v>
      </c>
      <c r="C21" s="13">
        <v>106275</v>
      </c>
      <c r="G21" s="12" t="s">
        <v>160</v>
      </c>
      <c r="H21" s="28">
        <v>375</v>
      </c>
      <c r="I21" s="13">
        <v>114461.1</v>
      </c>
      <c r="J21">
        <f>+GETPIVOTDATA("Sum of Net Wt",$A$3,"Sub Grup","Ink")-GETPIVOTDATA("Sum of netwt",$G$3,"SubGroupName","Ink")</f>
        <v>0</v>
      </c>
    </row>
    <row r="22" spans="1:10" x14ac:dyDescent="0.25">
      <c r="A22" s="12" t="s">
        <v>651</v>
      </c>
      <c r="B22" s="13">
        <v>102000</v>
      </c>
      <c r="C22" s="13">
        <v>9639000</v>
      </c>
      <c r="G22" s="12" t="s">
        <v>142</v>
      </c>
      <c r="H22" s="13"/>
      <c r="I22" s="13"/>
    </row>
    <row r="23" spans="1:10" x14ac:dyDescent="0.25">
      <c r="A23" s="12" t="s">
        <v>652</v>
      </c>
      <c r="B23" s="13">
        <v>51000</v>
      </c>
      <c r="C23" s="13">
        <v>8976000</v>
      </c>
      <c r="G23" s="12" t="s">
        <v>143</v>
      </c>
      <c r="H23" s="13">
        <v>492937.31</v>
      </c>
      <c r="I23" s="13">
        <v>76873728.260000005</v>
      </c>
    </row>
    <row r="24" spans="1:10" x14ac:dyDescent="0.25">
      <c r="A24" s="12" t="s">
        <v>163</v>
      </c>
      <c r="B24" s="13">
        <v>99392</v>
      </c>
      <c r="C24" s="13">
        <v>25547213.228499997</v>
      </c>
    </row>
    <row r="25" spans="1:10" x14ac:dyDescent="0.25">
      <c r="A25" s="12" t="s">
        <v>142</v>
      </c>
      <c r="B25" s="13"/>
      <c r="C25" s="13"/>
    </row>
    <row r="26" spans="1:10" x14ac:dyDescent="0.25">
      <c r="A26" s="12" t="s">
        <v>143</v>
      </c>
      <c r="B26" s="13">
        <v>745547.16399999999</v>
      </c>
      <c r="C26" s="13">
        <v>121178024.2925</v>
      </c>
    </row>
  </sheetData>
  <pageMargins left="0.7" right="0.7" top="0.75" bottom="0.75" header="0.3" footer="0.3"/>
  <pageSetup paperSize="9"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4"/>
  <sheetViews>
    <sheetView workbookViewId="0">
      <selection activeCell="D7" sqref="D7"/>
    </sheetView>
  </sheetViews>
  <sheetFormatPr defaultRowHeight="15" x14ac:dyDescent="0.25"/>
  <cols>
    <col min="1" max="1" width="9.28515625" style="6" customWidth="1"/>
    <col min="2" max="2" width="11.28515625" style="8" customWidth="1"/>
    <col min="3" max="3" width="34.42578125" style="8" customWidth="1"/>
    <col min="4" max="4" width="16.140625" style="8" customWidth="1"/>
    <col min="5" max="5" width="16" style="8" bestFit="1" customWidth="1"/>
    <col min="6" max="6" width="38.42578125" style="8" bestFit="1" customWidth="1"/>
    <col min="7" max="7" width="19.7109375" style="8" customWidth="1"/>
    <col min="8" max="8" width="12.28515625" style="8" customWidth="1"/>
    <col min="9" max="9" width="12.85546875" style="8" customWidth="1"/>
    <col min="10" max="10" width="19.140625" style="8" customWidth="1"/>
    <col min="11" max="11" width="20.140625" style="8" customWidth="1"/>
    <col min="12" max="12" width="22.42578125" style="8" bestFit="1" customWidth="1"/>
    <col min="13" max="13" width="35" style="8" customWidth="1"/>
    <col min="14" max="14" width="14.85546875" style="18" customWidth="1"/>
    <col min="15" max="15" width="15.7109375" style="2" customWidth="1"/>
    <col min="16" max="16" width="41.28515625" style="8" customWidth="1"/>
    <col min="17" max="17" width="16" style="8" bestFit="1" customWidth="1"/>
    <col min="18" max="26" width="9.140625" style="8"/>
    <col min="27" max="27" width="18.5703125" style="8" bestFit="1" customWidth="1"/>
    <col min="28" max="31" width="9.140625" style="8"/>
    <col min="32" max="32" width="12.42578125" style="8" customWidth="1"/>
    <col min="33" max="33" width="9.140625" style="8"/>
    <col min="34" max="16384" width="9.140625" style="6"/>
  </cols>
  <sheetData>
    <row r="1" spans="1:3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4" t="s">
        <v>30</v>
      </c>
      <c r="AG1" s="1" t="s">
        <v>31</v>
      </c>
    </row>
    <row r="2" spans="1:33" x14ac:dyDescent="0.25">
      <c r="A2" s="26"/>
      <c r="B2" s="29">
        <v>46029</v>
      </c>
      <c r="C2" s="26" t="s">
        <v>234</v>
      </c>
      <c r="D2" s="26" t="s">
        <v>206</v>
      </c>
      <c r="E2" s="26">
        <v>300</v>
      </c>
      <c r="F2" s="26" t="s">
        <v>272</v>
      </c>
      <c r="G2" s="26" t="s">
        <v>311</v>
      </c>
      <c r="H2" s="29">
        <v>46029</v>
      </c>
      <c r="I2" s="26" t="s">
        <v>192</v>
      </c>
      <c r="J2" s="26" t="s">
        <v>152</v>
      </c>
      <c r="K2" s="26" t="s">
        <v>152</v>
      </c>
      <c r="L2" s="26" t="s">
        <v>207</v>
      </c>
      <c r="M2" s="26" t="s">
        <v>191</v>
      </c>
      <c r="N2" s="30">
        <v>8186</v>
      </c>
      <c r="O2" s="20">
        <v>1603882.98</v>
      </c>
      <c r="P2" s="26" t="s">
        <v>312</v>
      </c>
      <c r="Q2" s="26">
        <v>4628748.29</v>
      </c>
      <c r="R2" s="26">
        <v>9</v>
      </c>
      <c r="S2" s="26">
        <v>144349.47</v>
      </c>
      <c r="T2" s="26">
        <v>9</v>
      </c>
      <c r="U2" s="26">
        <v>144349.47</v>
      </c>
      <c r="V2" s="26">
        <v>0</v>
      </c>
      <c r="W2" s="26">
        <v>0</v>
      </c>
      <c r="X2" s="26">
        <v>0</v>
      </c>
      <c r="Y2" s="26">
        <v>288698.94</v>
      </c>
      <c r="Z2" s="26">
        <v>0</v>
      </c>
      <c r="AA2" s="26" t="s">
        <v>189</v>
      </c>
      <c r="AB2" s="26" t="s">
        <v>188</v>
      </c>
      <c r="AC2" s="26">
        <v>39232990</v>
      </c>
      <c r="AD2" s="26" t="s">
        <v>208</v>
      </c>
      <c r="AE2" s="26">
        <v>1</v>
      </c>
      <c r="AF2" s="26">
        <v>8186</v>
      </c>
      <c r="AG2" s="26" t="s">
        <v>209</v>
      </c>
    </row>
    <row r="3" spans="1:33" x14ac:dyDescent="0.25">
      <c r="A3" s="26"/>
      <c r="B3" s="29">
        <v>46029</v>
      </c>
      <c r="C3" s="26" t="s">
        <v>234</v>
      </c>
      <c r="D3" s="26" t="s">
        <v>206</v>
      </c>
      <c r="E3" s="26">
        <v>300</v>
      </c>
      <c r="F3" s="26" t="s">
        <v>272</v>
      </c>
      <c r="G3" s="26" t="s">
        <v>311</v>
      </c>
      <c r="H3" s="29">
        <v>46029</v>
      </c>
      <c r="I3" s="26" t="s">
        <v>192</v>
      </c>
      <c r="J3" s="26" t="s">
        <v>152</v>
      </c>
      <c r="K3" s="26" t="s">
        <v>152</v>
      </c>
      <c r="L3" s="26" t="s">
        <v>207</v>
      </c>
      <c r="M3" s="26" t="s">
        <v>191</v>
      </c>
      <c r="N3" s="26">
        <v>829</v>
      </c>
      <c r="O3" s="20">
        <v>163114.04</v>
      </c>
      <c r="P3" s="26" t="s">
        <v>313</v>
      </c>
      <c r="Q3" s="26">
        <v>0</v>
      </c>
      <c r="R3" s="26">
        <v>9</v>
      </c>
      <c r="S3" s="26">
        <v>14680.26</v>
      </c>
      <c r="T3" s="26">
        <v>9</v>
      </c>
      <c r="U3" s="26">
        <v>14680.26</v>
      </c>
      <c r="V3" s="26">
        <v>0</v>
      </c>
      <c r="W3" s="26">
        <v>0</v>
      </c>
      <c r="X3" s="26">
        <v>0</v>
      </c>
      <c r="Y3" s="26">
        <v>29360.52</v>
      </c>
      <c r="Z3" s="26">
        <v>0</v>
      </c>
      <c r="AA3" s="26" t="s">
        <v>189</v>
      </c>
      <c r="AB3" s="26" t="s">
        <v>188</v>
      </c>
      <c r="AC3" s="26">
        <v>39232990</v>
      </c>
      <c r="AD3" s="26" t="s">
        <v>208</v>
      </c>
      <c r="AE3" s="26">
        <v>1</v>
      </c>
      <c r="AF3" s="26">
        <v>829</v>
      </c>
      <c r="AG3" s="26" t="s">
        <v>209</v>
      </c>
    </row>
    <row r="4" spans="1:33" x14ac:dyDescent="0.25">
      <c r="A4" s="26"/>
      <c r="B4" s="29">
        <v>46029</v>
      </c>
      <c r="C4" s="26" t="s">
        <v>234</v>
      </c>
      <c r="D4" s="26" t="s">
        <v>206</v>
      </c>
      <c r="E4" s="26">
        <v>300</v>
      </c>
      <c r="F4" s="26" t="s">
        <v>272</v>
      </c>
      <c r="G4" s="26" t="s">
        <v>311</v>
      </c>
      <c r="H4" s="29">
        <v>46029</v>
      </c>
      <c r="I4" s="26" t="s">
        <v>192</v>
      </c>
      <c r="J4" s="26" t="s">
        <v>152</v>
      </c>
      <c r="K4" s="26" t="s">
        <v>152</v>
      </c>
      <c r="L4" s="26" t="s">
        <v>207</v>
      </c>
      <c r="M4" s="26" t="s">
        <v>191</v>
      </c>
      <c r="N4" s="30">
        <v>1291</v>
      </c>
      <c r="O4" s="20">
        <v>258445.29</v>
      </c>
      <c r="P4" s="26" t="s">
        <v>314</v>
      </c>
      <c r="Q4" s="26">
        <v>0</v>
      </c>
      <c r="R4" s="26">
        <v>9</v>
      </c>
      <c r="S4" s="26">
        <v>23260.080000000002</v>
      </c>
      <c r="T4" s="26">
        <v>9</v>
      </c>
      <c r="U4" s="26">
        <v>23260.080000000002</v>
      </c>
      <c r="V4" s="26">
        <v>0</v>
      </c>
      <c r="W4" s="26">
        <v>0</v>
      </c>
      <c r="X4" s="26">
        <v>0</v>
      </c>
      <c r="Y4" s="26">
        <v>46520.160000000003</v>
      </c>
      <c r="Z4" s="26">
        <v>0</v>
      </c>
      <c r="AA4" s="26" t="s">
        <v>189</v>
      </c>
      <c r="AB4" s="26" t="s">
        <v>188</v>
      </c>
      <c r="AC4" s="26">
        <v>39232990</v>
      </c>
      <c r="AD4" s="26" t="s">
        <v>208</v>
      </c>
      <c r="AE4" s="26">
        <v>1</v>
      </c>
      <c r="AF4" s="26">
        <v>1291</v>
      </c>
      <c r="AG4" s="26" t="s">
        <v>209</v>
      </c>
    </row>
    <row r="5" spans="1:33" x14ac:dyDescent="0.25">
      <c r="A5" s="26"/>
      <c r="B5" s="29">
        <v>46029</v>
      </c>
      <c r="C5" s="26" t="s">
        <v>234</v>
      </c>
      <c r="D5" s="26" t="s">
        <v>206</v>
      </c>
      <c r="E5" s="26">
        <v>300</v>
      </c>
      <c r="F5" s="26" t="s">
        <v>272</v>
      </c>
      <c r="G5" s="26" t="s">
        <v>311</v>
      </c>
      <c r="H5" s="29">
        <v>46029</v>
      </c>
      <c r="I5" s="26" t="s">
        <v>192</v>
      </c>
      <c r="J5" s="26" t="s">
        <v>152</v>
      </c>
      <c r="K5" s="26" t="s">
        <v>152</v>
      </c>
      <c r="L5" s="26" t="s">
        <v>207</v>
      </c>
      <c r="M5" s="26" t="s">
        <v>191</v>
      </c>
      <c r="N5" s="30">
        <v>1501.4</v>
      </c>
      <c r="O5" s="20">
        <v>312831.7</v>
      </c>
      <c r="P5" s="26" t="s">
        <v>315</v>
      </c>
      <c r="Q5" s="26">
        <v>0</v>
      </c>
      <c r="R5" s="26">
        <v>9</v>
      </c>
      <c r="S5" s="26">
        <v>28154.85</v>
      </c>
      <c r="T5" s="26">
        <v>9</v>
      </c>
      <c r="U5" s="26">
        <v>28154.85</v>
      </c>
      <c r="V5" s="26">
        <v>0</v>
      </c>
      <c r="W5" s="26">
        <v>0</v>
      </c>
      <c r="X5" s="26">
        <v>0</v>
      </c>
      <c r="Y5" s="26">
        <v>56309.7</v>
      </c>
      <c r="Z5" s="26">
        <v>0</v>
      </c>
      <c r="AA5" s="26" t="s">
        <v>189</v>
      </c>
      <c r="AB5" s="26" t="s">
        <v>188</v>
      </c>
      <c r="AC5" s="26">
        <v>39232990</v>
      </c>
      <c r="AD5" s="26" t="s">
        <v>208</v>
      </c>
      <c r="AE5" s="26">
        <v>1</v>
      </c>
      <c r="AF5" s="26">
        <v>1501.4</v>
      </c>
      <c r="AG5" s="26" t="s">
        <v>209</v>
      </c>
    </row>
    <row r="6" spans="1:33" x14ac:dyDescent="0.25">
      <c r="A6" s="26"/>
      <c r="B6" s="29">
        <v>46029</v>
      </c>
      <c r="C6" s="26" t="s">
        <v>234</v>
      </c>
      <c r="D6" s="26" t="s">
        <v>206</v>
      </c>
      <c r="E6" s="26">
        <v>300</v>
      </c>
      <c r="F6" s="26" t="s">
        <v>272</v>
      </c>
      <c r="G6" s="26" t="s">
        <v>311</v>
      </c>
      <c r="H6" s="29">
        <v>46029</v>
      </c>
      <c r="I6" s="26" t="s">
        <v>192</v>
      </c>
      <c r="J6" s="26" t="s">
        <v>152</v>
      </c>
      <c r="K6" s="26" t="s">
        <v>152</v>
      </c>
      <c r="L6" s="26" t="s">
        <v>207</v>
      </c>
      <c r="M6" s="26" t="s">
        <v>191</v>
      </c>
      <c r="N6" s="30">
        <v>3506</v>
      </c>
      <c r="O6" s="20">
        <v>784853.16</v>
      </c>
      <c r="P6" s="26" t="s">
        <v>316</v>
      </c>
      <c r="Q6" s="26">
        <v>0</v>
      </c>
      <c r="R6" s="26">
        <v>9</v>
      </c>
      <c r="S6" s="26">
        <v>70636.78</v>
      </c>
      <c r="T6" s="26">
        <v>9</v>
      </c>
      <c r="U6" s="26">
        <v>70636.78</v>
      </c>
      <c r="V6" s="26">
        <v>0</v>
      </c>
      <c r="W6" s="26">
        <v>0</v>
      </c>
      <c r="X6" s="26">
        <v>0</v>
      </c>
      <c r="Y6" s="26">
        <v>141273.56</v>
      </c>
      <c r="Z6" s="26">
        <v>0</v>
      </c>
      <c r="AA6" s="26" t="s">
        <v>189</v>
      </c>
      <c r="AB6" s="26" t="s">
        <v>188</v>
      </c>
      <c r="AC6" s="26">
        <v>39232990</v>
      </c>
      <c r="AD6" s="26" t="s">
        <v>208</v>
      </c>
      <c r="AE6" s="26">
        <v>1</v>
      </c>
      <c r="AF6" s="26">
        <v>3506</v>
      </c>
      <c r="AG6" s="26" t="s">
        <v>209</v>
      </c>
    </row>
    <row r="7" spans="1:33" x14ac:dyDescent="0.25">
      <c r="A7" s="26"/>
      <c r="B7" s="29">
        <v>46029</v>
      </c>
      <c r="C7" s="26" t="s">
        <v>234</v>
      </c>
      <c r="D7" s="26" t="s">
        <v>206</v>
      </c>
      <c r="E7" s="26">
        <v>300</v>
      </c>
      <c r="F7" s="26" t="s">
        <v>272</v>
      </c>
      <c r="G7" s="26" t="s">
        <v>311</v>
      </c>
      <c r="H7" s="29">
        <v>46029</v>
      </c>
      <c r="I7" s="26" t="s">
        <v>192</v>
      </c>
      <c r="J7" s="26" t="s">
        <v>152</v>
      </c>
      <c r="K7" s="26" t="s">
        <v>152</v>
      </c>
      <c r="L7" s="26" t="s">
        <v>207</v>
      </c>
      <c r="M7" s="26" t="s">
        <v>191</v>
      </c>
      <c r="N7" s="30">
        <v>3905</v>
      </c>
      <c r="O7" s="20">
        <v>802868</v>
      </c>
      <c r="P7" s="26" t="s">
        <v>317</v>
      </c>
      <c r="Q7" s="26">
        <v>0</v>
      </c>
      <c r="R7" s="26">
        <v>9</v>
      </c>
      <c r="S7" s="26">
        <v>72258.12</v>
      </c>
      <c r="T7" s="26">
        <v>9</v>
      </c>
      <c r="U7" s="26">
        <v>72258.12</v>
      </c>
      <c r="V7" s="26">
        <v>0</v>
      </c>
      <c r="W7" s="26">
        <v>0</v>
      </c>
      <c r="X7" s="26">
        <v>0</v>
      </c>
      <c r="Y7" s="26">
        <v>144516.24</v>
      </c>
      <c r="Z7" s="26">
        <v>0</v>
      </c>
      <c r="AA7" s="26" t="s">
        <v>189</v>
      </c>
      <c r="AB7" s="26" t="s">
        <v>188</v>
      </c>
      <c r="AC7" s="26">
        <v>39232990</v>
      </c>
      <c r="AD7" s="26" t="s">
        <v>208</v>
      </c>
      <c r="AE7" s="26">
        <v>1</v>
      </c>
      <c r="AF7" s="26">
        <v>3905</v>
      </c>
      <c r="AG7" s="26" t="s">
        <v>209</v>
      </c>
    </row>
    <row r="8" spans="1:33" x14ac:dyDescent="0.25">
      <c r="A8" s="26"/>
      <c r="B8" s="29">
        <v>46029</v>
      </c>
      <c r="C8" s="26" t="s">
        <v>219</v>
      </c>
      <c r="D8" s="26" t="s">
        <v>206</v>
      </c>
      <c r="E8" s="26">
        <v>301</v>
      </c>
      <c r="F8" s="26" t="s">
        <v>230</v>
      </c>
      <c r="G8" s="26" t="s">
        <v>318</v>
      </c>
      <c r="H8" s="29">
        <v>46029</v>
      </c>
      <c r="I8" s="26" t="s">
        <v>169</v>
      </c>
      <c r="J8" s="26" t="s">
        <v>170</v>
      </c>
      <c r="K8" s="26" t="s">
        <v>157</v>
      </c>
      <c r="L8" s="26" t="s">
        <v>233</v>
      </c>
      <c r="M8" s="26" t="s">
        <v>291</v>
      </c>
      <c r="N8" s="34">
        <v>86.6</v>
      </c>
      <c r="O8" s="20">
        <v>17424.79</v>
      </c>
      <c r="P8" s="26" t="s">
        <v>291</v>
      </c>
      <c r="Q8" s="26">
        <v>18278.61</v>
      </c>
      <c r="R8" s="26">
        <v>2.5</v>
      </c>
      <c r="S8" s="26">
        <v>435.62</v>
      </c>
      <c r="T8" s="26">
        <v>2.5</v>
      </c>
      <c r="U8" s="26">
        <v>435.62</v>
      </c>
      <c r="V8" s="26">
        <v>0</v>
      </c>
      <c r="W8" s="26">
        <v>0</v>
      </c>
      <c r="X8" s="26">
        <v>0</v>
      </c>
      <c r="Y8" s="26">
        <v>871.24</v>
      </c>
      <c r="Z8" s="26">
        <v>0</v>
      </c>
      <c r="AA8" s="26" t="s">
        <v>177</v>
      </c>
      <c r="AB8" s="26" t="s">
        <v>188</v>
      </c>
      <c r="AC8" s="26">
        <v>54026300</v>
      </c>
      <c r="AD8" s="26" t="s">
        <v>208</v>
      </c>
      <c r="AE8" s="26">
        <v>1</v>
      </c>
      <c r="AF8" s="26">
        <v>86.6</v>
      </c>
      <c r="AG8" s="26" t="s">
        <v>209</v>
      </c>
    </row>
    <row r="9" spans="1:33" x14ac:dyDescent="0.25">
      <c r="A9" s="26"/>
      <c r="B9" s="29">
        <v>46029</v>
      </c>
      <c r="C9" s="26" t="s">
        <v>219</v>
      </c>
      <c r="D9" s="26" t="s">
        <v>206</v>
      </c>
      <c r="E9" s="26">
        <v>302</v>
      </c>
      <c r="F9" s="26" t="s">
        <v>230</v>
      </c>
      <c r="G9" s="26" t="s">
        <v>319</v>
      </c>
      <c r="H9" s="29">
        <v>46029</v>
      </c>
      <c r="I9" s="26" t="s">
        <v>169</v>
      </c>
      <c r="J9" s="26" t="s">
        <v>201</v>
      </c>
      <c r="K9" s="26" t="s">
        <v>158</v>
      </c>
      <c r="L9" s="26" t="s">
        <v>220</v>
      </c>
      <c r="M9" s="26" t="s">
        <v>200</v>
      </c>
      <c r="N9" s="26">
        <v>13.5</v>
      </c>
      <c r="O9" s="20">
        <v>3510</v>
      </c>
      <c r="P9" s="26" t="s">
        <v>200</v>
      </c>
      <c r="Q9" s="26">
        <v>4138.29</v>
      </c>
      <c r="R9" s="26">
        <v>9</v>
      </c>
      <c r="S9" s="26">
        <v>315.89999999999998</v>
      </c>
      <c r="T9" s="26">
        <v>9</v>
      </c>
      <c r="U9" s="26">
        <v>315.89999999999998</v>
      </c>
      <c r="V9" s="26">
        <v>0</v>
      </c>
      <c r="W9" s="26">
        <v>0</v>
      </c>
      <c r="X9" s="26">
        <v>0</v>
      </c>
      <c r="Y9" s="26">
        <v>631.79999999999995</v>
      </c>
      <c r="Z9" s="26">
        <v>0</v>
      </c>
      <c r="AA9" s="26" t="s">
        <v>177</v>
      </c>
      <c r="AB9" s="26" t="s">
        <v>188</v>
      </c>
      <c r="AC9" s="26">
        <v>39201019</v>
      </c>
      <c r="AD9" s="26" t="s">
        <v>208</v>
      </c>
      <c r="AE9" s="26">
        <v>1</v>
      </c>
      <c r="AF9" s="26">
        <v>13.5</v>
      </c>
      <c r="AG9" s="26" t="s">
        <v>209</v>
      </c>
    </row>
    <row r="10" spans="1:33" x14ac:dyDescent="0.25">
      <c r="A10" s="26"/>
      <c r="B10" s="29">
        <v>46060</v>
      </c>
      <c r="C10" s="26" t="s">
        <v>205</v>
      </c>
      <c r="D10" s="26" t="s">
        <v>206</v>
      </c>
      <c r="E10" s="26">
        <v>303</v>
      </c>
      <c r="F10" s="26" t="s">
        <v>230</v>
      </c>
      <c r="G10" s="26" t="s">
        <v>320</v>
      </c>
      <c r="H10" s="29">
        <v>46060</v>
      </c>
      <c r="I10" s="26" t="s">
        <v>169</v>
      </c>
      <c r="J10" s="26" t="s">
        <v>176</v>
      </c>
      <c r="K10" s="26" t="s">
        <v>159</v>
      </c>
      <c r="L10" s="26" t="s">
        <v>159</v>
      </c>
      <c r="M10" s="26" t="s">
        <v>174</v>
      </c>
      <c r="N10" s="26">
        <v>60</v>
      </c>
      <c r="O10" s="20">
        <v>11580</v>
      </c>
      <c r="P10" s="26" t="s">
        <v>174</v>
      </c>
      <c r="Q10" s="26">
        <v>13652.82</v>
      </c>
      <c r="R10" s="26">
        <v>9</v>
      </c>
      <c r="S10" s="26">
        <v>1042.2</v>
      </c>
      <c r="T10" s="26">
        <v>9</v>
      </c>
      <c r="U10" s="26">
        <v>1042.2</v>
      </c>
      <c r="V10" s="26">
        <v>0</v>
      </c>
      <c r="W10" s="26">
        <v>0</v>
      </c>
      <c r="X10" s="26">
        <v>0</v>
      </c>
      <c r="Y10" s="26">
        <v>2084.4</v>
      </c>
      <c r="Z10" s="26">
        <v>0</v>
      </c>
      <c r="AA10" s="26" t="s">
        <v>189</v>
      </c>
      <c r="AB10" s="26" t="s">
        <v>188</v>
      </c>
      <c r="AC10" s="26">
        <v>392310</v>
      </c>
      <c r="AD10" s="26" t="s">
        <v>208</v>
      </c>
      <c r="AE10" s="26">
        <v>1</v>
      </c>
      <c r="AF10" s="26">
        <v>60</v>
      </c>
      <c r="AG10" s="26" t="s">
        <v>209</v>
      </c>
    </row>
    <row r="11" spans="1:33" x14ac:dyDescent="0.25">
      <c r="A11" s="26"/>
      <c r="B11" s="29">
        <v>46060</v>
      </c>
      <c r="C11" s="26" t="s">
        <v>211</v>
      </c>
      <c r="D11" s="26" t="s">
        <v>212</v>
      </c>
      <c r="E11" s="26" t="s">
        <v>321</v>
      </c>
      <c r="F11" s="26" t="s">
        <v>213</v>
      </c>
      <c r="G11" s="26" t="s">
        <v>321</v>
      </c>
      <c r="H11" s="29">
        <v>46060</v>
      </c>
      <c r="I11" s="26" t="s">
        <v>192</v>
      </c>
      <c r="J11" s="26" t="s">
        <v>152</v>
      </c>
      <c r="K11" s="26" t="s">
        <v>162</v>
      </c>
      <c r="L11" s="26" t="s">
        <v>207</v>
      </c>
      <c r="M11" s="26" t="s">
        <v>191</v>
      </c>
      <c r="N11" s="30">
        <v>2309</v>
      </c>
      <c r="O11" s="20">
        <v>432244.8</v>
      </c>
      <c r="P11" s="26" t="s">
        <v>214</v>
      </c>
      <c r="Q11" s="26">
        <v>431812.56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 t="s">
        <v>215</v>
      </c>
      <c r="AB11" s="26" t="s">
        <v>188</v>
      </c>
      <c r="AC11" s="26">
        <v>63053200</v>
      </c>
      <c r="AD11" s="26" t="s">
        <v>216</v>
      </c>
      <c r="AE11" s="26">
        <v>93.6</v>
      </c>
      <c r="AF11" s="26">
        <v>2309</v>
      </c>
      <c r="AG11" s="26" t="s">
        <v>209</v>
      </c>
    </row>
    <row r="12" spans="1:33" x14ac:dyDescent="0.25">
      <c r="A12" s="26"/>
      <c r="B12" s="29">
        <v>46060</v>
      </c>
      <c r="C12" s="26" t="s">
        <v>211</v>
      </c>
      <c r="D12" s="26" t="s">
        <v>229</v>
      </c>
      <c r="E12" s="26" t="s">
        <v>322</v>
      </c>
      <c r="F12" s="26" t="s">
        <v>213</v>
      </c>
      <c r="G12" s="26" t="s">
        <v>322</v>
      </c>
      <c r="H12" s="29">
        <v>46060</v>
      </c>
      <c r="I12" s="26" t="s">
        <v>169</v>
      </c>
      <c r="J12" s="26" t="s">
        <v>170</v>
      </c>
      <c r="K12" s="26" t="s">
        <v>572</v>
      </c>
      <c r="L12" s="26" t="s">
        <v>233</v>
      </c>
      <c r="M12" s="26" t="s">
        <v>300</v>
      </c>
      <c r="N12" s="35">
        <v>2651.1</v>
      </c>
      <c r="O12" s="20">
        <v>349945.2</v>
      </c>
      <c r="P12" s="26" t="s">
        <v>300</v>
      </c>
      <c r="Q12" s="26">
        <v>349595.25</v>
      </c>
      <c r="R12" s="26"/>
      <c r="S12" s="26">
        <v>0</v>
      </c>
      <c r="T12" s="26"/>
      <c r="U12" s="26">
        <v>0</v>
      </c>
      <c r="V12" s="26"/>
      <c r="W12" s="26">
        <v>0</v>
      </c>
      <c r="X12" s="26">
        <v>0</v>
      </c>
      <c r="Y12" s="26">
        <v>0</v>
      </c>
      <c r="Z12" s="26">
        <v>0</v>
      </c>
      <c r="AA12" s="26" t="s">
        <v>215</v>
      </c>
      <c r="AB12" s="26" t="s">
        <v>188</v>
      </c>
      <c r="AC12" s="26">
        <v>540239</v>
      </c>
      <c r="AD12" s="26" t="s">
        <v>208</v>
      </c>
      <c r="AE12" s="26">
        <v>1</v>
      </c>
      <c r="AF12" s="26">
        <v>2651.1</v>
      </c>
      <c r="AG12" s="26" t="s">
        <v>209</v>
      </c>
    </row>
    <row r="13" spans="1:33" x14ac:dyDescent="0.25">
      <c r="A13" s="26"/>
      <c r="B13" s="29">
        <v>46088</v>
      </c>
      <c r="C13" s="26" t="s">
        <v>222</v>
      </c>
      <c r="D13" s="26" t="s">
        <v>212</v>
      </c>
      <c r="E13" s="26" t="s">
        <v>323</v>
      </c>
      <c r="F13" s="26" t="s">
        <v>223</v>
      </c>
      <c r="G13" s="26" t="s">
        <v>323</v>
      </c>
      <c r="H13" s="29">
        <v>46088</v>
      </c>
      <c r="I13" s="26" t="s">
        <v>192</v>
      </c>
      <c r="J13" s="26" t="s">
        <v>152</v>
      </c>
      <c r="K13" s="26" t="s">
        <v>163</v>
      </c>
      <c r="L13" s="26" t="s">
        <v>207</v>
      </c>
      <c r="M13" s="26" t="s">
        <v>191</v>
      </c>
      <c r="N13" s="30">
        <v>19758</v>
      </c>
      <c r="O13" s="20">
        <v>5168157.13</v>
      </c>
      <c r="P13" s="26" t="s">
        <v>224</v>
      </c>
      <c r="Q13" s="26">
        <v>5168157.13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 t="s">
        <v>221</v>
      </c>
      <c r="AB13" s="26" t="s">
        <v>188</v>
      </c>
      <c r="AC13" s="26">
        <v>63053200</v>
      </c>
      <c r="AD13" s="26" t="s">
        <v>216</v>
      </c>
      <c r="AE13" s="26">
        <v>93.5</v>
      </c>
      <c r="AF13" s="26">
        <v>19758</v>
      </c>
      <c r="AG13" s="26" t="s">
        <v>225</v>
      </c>
    </row>
    <row r="14" spans="1:33" x14ac:dyDescent="0.25">
      <c r="A14" s="26"/>
      <c r="B14" s="29">
        <v>46088</v>
      </c>
      <c r="C14" s="26" t="s">
        <v>205</v>
      </c>
      <c r="D14" s="26" t="s">
        <v>206</v>
      </c>
      <c r="E14" s="26">
        <v>304</v>
      </c>
      <c r="F14" s="26" t="s">
        <v>230</v>
      </c>
      <c r="G14" s="26" t="s">
        <v>324</v>
      </c>
      <c r="H14" s="29">
        <v>46088</v>
      </c>
      <c r="I14" s="26" t="s">
        <v>169</v>
      </c>
      <c r="J14" s="26" t="s">
        <v>201</v>
      </c>
      <c r="K14" s="26" t="s">
        <v>158</v>
      </c>
      <c r="L14" s="26" t="s">
        <v>220</v>
      </c>
      <c r="M14" s="26" t="s">
        <v>200</v>
      </c>
      <c r="N14" s="26">
        <v>44.5</v>
      </c>
      <c r="O14" s="20">
        <v>11036</v>
      </c>
      <c r="P14" s="26" t="s">
        <v>200</v>
      </c>
      <c r="Q14" s="26">
        <v>13011.44</v>
      </c>
      <c r="R14" s="26">
        <v>9</v>
      </c>
      <c r="S14" s="26">
        <v>993.24</v>
      </c>
      <c r="T14" s="26">
        <v>9</v>
      </c>
      <c r="U14" s="26">
        <v>993.24</v>
      </c>
      <c r="V14" s="26">
        <v>0</v>
      </c>
      <c r="W14" s="26">
        <v>0</v>
      </c>
      <c r="X14" s="26">
        <v>0</v>
      </c>
      <c r="Y14" s="26">
        <v>1986.48</v>
      </c>
      <c r="Z14" s="26">
        <v>0</v>
      </c>
      <c r="AA14" s="26" t="s">
        <v>189</v>
      </c>
      <c r="AB14" s="26" t="s">
        <v>188</v>
      </c>
      <c r="AC14" s="26">
        <v>39201019</v>
      </c>
      <c r="AD14" s="26" t="s">
        <v>208</v>
      </c>
      <c r="AE14" s="26">
        <v>1</v>
      </c>
      <c r="AF14" s="26">
        <v>44.5</v>
      </c>
      <c r="AG14" s="26" t="s">
        <v>209</v>
      </c>
    </row>
    <row r="15" spans="1:33" x14ac:dyDescent="0.25">
      <c r="A15" s="26"/>
      <c r="B15" s="29">
        <v>46088</v>
      </c>
      <c r="C15" s="26" t="s">
        <v>219</v>
      </c>
      <c r="D15" s="26" t="s">
        <v>206</v>
      </c>
      <c r="E15" s="26">
        <v>307</v>
      </c>
      <c r="F15" s="26" t="s">
        <v>272</v>
      </c>
      <c r="G15" s="26" t="s">
        <v>325</v>
      </c>
      <c r="H15" s="29">
        <v>46088</v>
      </c>
      <c r="I15" s="26" t="s">
        <v>169</v>
      </c>
      <c r="J15" s="26" t="s">
        <v>170</v>
      </c>
      <c r="K15" s="26" t="s">
        <v>157</v>
      </c>
      <c r="L15" s="26" t="s">
        <v>233</v>
      </c>
      <c r="M15" s="26" t="s">
        <v>291</v>
      </c>
      <c r="N15" s="34">
        <v>75.7</v>
      </c>
      <c r="O15" s="20">
        <v>15231.6</v>
      </c>
      <c r="P15" s="26" t="s">
        <v>326</v>
      </c>
      <c r="Q15" s="26">
        <v>420438.11</v>
      </c>
      <c r="R15" s="26">
        <v>2.5</v>
      </c>
      <c r="S15" s="26">
        <v>380.79</v>
      </c>
      <c r="T15" s="26">
        <v>2.5</v>
      </c>
      <c r="U15" s="26">
        <v>380.79</v>
      </c>
      <c r="V15" s="26">
        <v>0</v>
      </c>
      <c r="W15" s="26">
        <v>0</v>
      </c>
      <c r="X15" s="26">
        <v>0</v>
      </c>
      <c r="Y15" s="26">
        <v>761.58</v>
      </c>
      <c r="Z15" s="26">
        <v>0</v>
      </c>
      <c r="AA15" s="26" t="s">
        <v>177</v>
      </c>
      <c r="AB15" s="26" t="s">
        <v>188</v>
      </c>
      <c r="AC15" s="26">
        <v>54026930</v>
      </c>
      <c r="AD15" s="26" t="s">
        <v>208</v>
      </c>
      <c r="AE15" s="26">
        <v>1</v>
      </c>
      <c r="AF15" s="26">
        <v>75.7</v>
      </c>
      <c r="AG15" s="26" t="s">
        <v>209</v>
      </c>
    </row>
    <row r="16" spans="1:33" x14ac:dyDescent="0.25">
      <c r="A16" s="26"/>
      <c r="B16" s="29">
        <v>46088</v>
      </c>
      <c r="C16" s="26" t="s">
        <v>219</v>
      </c>
      <c r="D16" s="26" t="s">
        <v>206</v>
      </c>
      <c r="E16" s="26">
        <v>307</v>
      </c>
      <c r="F16" s="26" t="s">
        <v>272</v>
      </c>
      <c r="G16" s="26" t="s">
        <v>325</v>
      </c>
      <c r="H16" s="29">
        <v>46088</v>
      </c>
      <c r="I16" s="26" t="s">
        <v>169</v>
      </c>
      <c r="J16" s="26" t="s">
        <v>180</v>
      </c>
      <c r="K16" s="26" t="s">
        <v>156</v>
      </c>
      <c r="L16" s="26" t="s">
        <v>218</v>
      </c>
      <c r="M16" s="26" t="s">
        <v>179</v>
      </c>
      <c r="N16" s="26">
        <v>855</v>
      </c>
      <c r="O16" s="20">
        <v>129455.55</v>
      </c>
      <c r="P16" s="26" t="s">
        <v>286</v>
      </c>
      <c r="Q16" s="26">
        <v>0</v>
      </c>
      <c r="R16" s="26">
        <v>9</v>
      </c>
      <c r="S16" s="26">
        <v>11651</v>
      </c>
      <c r="T16" s="26">
        <v>9</v>
      </c>
      <c r="U16" s="26">
        <v>11651</v>
      </c>
      <c r="V16" s="26">
        <v>0</v>
      </c>
      <c r="W16" s="26">
        <v>0</v>
      </c>
      <c r="X16" s="26">
        <v>0</v>
      </c>
      <c r="Y16" s="26">
        <v>23302</v>
      </c>
      <c r="Z16" s="26">
        <v>0</v>
      </c>
      <c r="AA16" s="26" t="s">
        <v>177</v>
      </c>
      <c r="AB16" s="26" t="s">
        <v>188</v>
      </c>
      <c r="AC16" s="26">
        <v>39269080</v>
      </c>
      <c r="AD16" s="26" t="s">
        <v>208</v>
      </c>
      <c r="AE16" s="26">
        <v>1</v>
      </c>
      <c r="AF16" s="26">
        <v>855</v>
      </c>
      <c r="AG16" s="26" t="s">
        <v>209</v>
      </c>
    </row>
    <row r="17" spans="1:33" x14ac:dyDescent="0.25">
      <c r="A17" s="26"/>
      <c r="B17" s="29">
        <v>46088</v>
      </c>
      <c r="C17" s="26" t="s">
        <v>219</v>
      </c>
      <c r="D17" s="26" t="s">
        <v>206</v>
      </c>
      <c r="E17" s="26">
        <v>307</v>
      </c>
      <c r="F17" s="26" t="s">
        <v>272</v>
      </c>
      <c r="G17" s="26" t="s">
        <v>325</v>
      </c>
      <c r="H17" s="29">
        <v>46088</v>
      </c>
      <c r="I17" s="26" t="s">
        <v>169</v>
      </c>
      <c r="J17" s="26" t="s">
        <v>182</v>
      </c>
      <c r="K17" s="26" t="s">
        <v>154</v>
      </c>
      <c r="L17" s="26" t="s">
        <v>154</v>
      </c>
      <c r="M17" s="26" t="s">
        <v>182</v>
      </c>
      <c r="N17" s="26">
        <v>305.60000000000002</v>
      </c>
      <c r="O17" s="20">
        <v>46270.9</v>
      </c>
      <c r="P17" s="26" t="s">
        <v>327</v>
      </c>
      <c r="Q17" s="26">
        <v>0</v>
      </c>
      <c r="R17" s="26">
        <v>9</v>
      </c>
      <c r="S17" s="26">
        <v>4164.38</v>
      </c>
      <c r="T17" s="26">
        <v>9</v>
      </c>
      <c r="U17" s="26">
        <v>4164.38</v>
      </c>
      <c r="V17" s="26">
        <v>0</v>
      </c>
      <c r="W17" s="26">
        <v>0</v>
      </c>
      <c r="X17" s="26">
        <v>0</v>
      </c>
      <c r="Y17" s="26">
        <v>8328.76</v>
      </c>
      <c r="Z17" s="26">
        <v>0</v>
      </c>
      <c r="AA17" s="26" t="s">
        <v>177</v>
      </c>
      <c r="AB17" s="26" t="s">
        <v>188</v>
      </c>
      <c r="AC17" s="26">
        <v>39269080</v>
      </c>
      <c r="AD17" s="26" t="s">
        <v>208</v>
      </c>
      <c r="AE17" s="26">
        <v>1</v>
      </c>
      <c r="AF17" s="26">
        <v>305.60000000000002</v>
      </c>
      <c r="AG17" s="26" t="s">
        <v>209</v>
      </c>
    </row>
    <row r="18" spans="1:33" x14ac:dyDescent="0.25">
      <c r="A18" s="26"/>
      <c r="B18" s="29">
        <v>46088</v>
      </c>
      <c r="C18" s="26" t="s">
        <v>219</v>
      </c>
      <c r="D18" s="26" t="s">
        <v>206</v>
      </c>
      <c r="E18" s="26">
        <v>307</v>
      </c>
      <c r="F18" s="26" t="s">
        <v>272</v>
      </c>
      <c r="G18" s="26" t="s">
        <v>325</v>
      </c>
      <c r="H18" s="29">
        <v>46088</v>
      </c>
      <c r="I18" s="26" t="s">
        <v>192</v>
      </c>
      <c r="J18" s="26" t="s">
        <v>153</v>
      </c>
      <c r="K18" s="26" t="s">
        <v>153</v>
      </c>
      <c r="L18" s="26" t="s">
        <v>218</v>
      </c>
      <c r="M18" s="26" t="s">
        <v>153</v>
      </c>
      <c r="N18" s="34">
        <v>118</v>
      </c>
      <c r="O18" s="20">
        <v>15270.38</v>
      </c>
      <c r="P18" s="26" t="s">
        <v>285</v>
      </c>
      <c r="Q18" s="26">
        <v>0</v>
      </c>
      <c r="R18" s="26">
        <v>9</v>
      </c>
      <c r="S18" s="26">
        <v>1374.33</v>
      </c>
      <c r="T18" s="26">
        <v>9</v>
      </c>
      <c r="U18" s="26">
        <v>1374.33</v>
      </c>
      <c r="V18" s="26">
        <v>0</v>
      </c>
      <c r="W18" s="26">
        <v>0</v>
      </c>
      <c r="X18" s="26">
        <v>0</v>
      </c>
      <c r="Y18" s="26">
        <v>2748.66</v>
      </c>
      <c r="Z18" s="26">
        <v>0</v>
      </c>
      <c r="AA18" s="26" t="s">
        <v>177</v>
      </c>
      <c r="AB18" s="26" t="s">
        <v>188</v>
      </c>
      <c r="AC18" s="26">
        <v>39269080</v>
      </c>
      <c r="AD18" s="26" t="s">
        <v>208</v>
      </c>
      <c r="AE18" s="26">
        <v>1</v>
      </c>
      <c r="AF18" s="26">
        <v>118</v>
      </c>
      <c r="AG18" s="26" t="s">
        <v>209</v>
      </c>
    </row>
    <row r="19" spans="1:33" x14ac:dyDescent="0.25">
      <c r="A19" s="26"/>
      <c r="B19" s="29">
        <v>46088</v>
      </c>
      <c r="C19" s="26" t="s">
        <v>219</v>
      </c>
      <c r="D19" s="26" t="s">
        <v>206</v>
      </c>
      <c r="E19" s="26">
        <v>307</v>
      </c>
      <c r="F19" s="26" t="s">
        <v>272</v>
      </c>
      <c r="G19" s="26" t="s">
        <v>325</v>
      </c>
      <c r="H19" s="29">
        <v>46088</v>
      </c>
      <c r="I19" s="26" t="s">
        <v>192</v>
      </c>
      <c r="J19" s="26" t="s">
        <v>153</v>
      </c>
      <c r="K19" s="26" t="s">
        <v>153</v>
      </c>
      <c r="L19" s="26" t="s">
        <v>207</v>
      </c>
      <c r="M19" s="26" t="s">
        <v>153</v>
      </c>
      <c r="N19" s="35">
        <v>1175</v>
      </c>
      <c r="O19" s="20">
        <v>152056.75</v>
      </c>
      <c r="P19" s="26" t="s">
        <v>328</v>
      </c>
      <c r="Q19" s="26">
        <v>0</v>
      </c>
      <c r="R19" s="26">
        <v>9</v>
      </c>
      <c r="S19" s="26">
        <v>13685.11</v>
      </c>
      <c r="T19" s="26">
        <v>9</v>
      </c>
      <c r="U19" s="26">
        <v>13685.11</v>
      </c>
      <c r="V19" s="26">
        <v>0</v>
      </c>
      <c r="W19" s="26">
        <v>0</v>
      </c>
      <c r="X19" s="26">
        <v>0</v>
      </c>
      <c r="Y19" s="26">
        <v>27370.22</v>
      </c>
      <c r="Z19" s="26">
        <v>0</v>
      </c>
      <c r="AA19" s="26" t="s">
        <v>177</v>
      </c>
      <c r="AB19" s="26" t="s">
        <v>188</v>
      </c>
      <c r="AC19" s="26">
        <v>39232990</v>
      </c>
      <c r="AD19" s="26" t="s">
        <v>208</v>
      </c>
      <c r="AE19" s="26">
        <v>1</v>
      </c>
      <c r="AF19" s="26">
        <v>1175</v>
      </c>
      <c r="AG19" s="26" t="s">
        <v>209</v>
      </c>
    </row>
    <row r="20" spans="1:33" x14ac:dyDescent="0.25">
      <c r="A20" s="26"/>
      <c r="B20" s="29">
        <v>46119</v>
      </c>
      <c r="C20" s="26" t="s">
        <v>205</v>
      </c>
      <c r="D20" s="26" t="s">
        <v>206</v>
      </c>
      <c r="E20" s="26">
        <v>309</v>
      </c>
      <c r="F20" s="26" t="s">
        <v>272</v>
      </c>
      <c r="G20" s="26" t="s">
        <v>329</v>
      </c>
      <c r="H20" s="29">
        <v>46119</v>
      </c>
      <c r="I20" s="26" t="s">
        <v>192</v>
      </c>
      <c r="J20" s="26" t="s">
        <v>153</v>
      </c>
      <c r="K20" s="26" t="s">
        <v>153</v>
      </c>
      <c r="L20" s="26" t="s">
        <v>210</v>
      </c>
      <c r="M20" s="26" t="s">
        <v>153</v>
      </c>
      <c r="N20" s="34">
        <v>560</v>
      </c>
      <c r="O20" s="20">
        <v>83669.600000000006</v>
      </c>
      <c r="P20" s="26" t="s">
        <v>289</v>
      </c>
      <c r="Q20" s="26">
        <v>98646.45</v>
      </c>
      <c r="R20" s="26">
        <v>9</v>
      </c>
      <c r="S20" s="26">
        <v>7530.26</v>
      </c>
      <c r="T20" s="26">
        <v>9</v>
      </c>
      <c r="U20" s="26">
        <v>7530.26</v>
      </c>
      <c r="V20" s="26">
        <v>0</v>
      </c>
      <c r="W20" s="26">
        <v>0</v>
      </c>
      <c r="X20" s="26">
        <v>0</v>
      </c>
      <c r="Y20" s="26">
        <v>15060.52</v>
      </c>
      <c r="Z20" s="26">
        <v>0</v>
      </c>
      <c r="AA20" s="26" t="s">
        <v>189</v>
      </c>
      <c r="AB20" s="26" t="s">
        <v>188</v>
      </c>
      <c r="AC20" s="26">
        <v>39269080</v>
      </c>
      <c r="AD20" s="26" t="s">
        <v>208</v>
      </c>
      <c r="AE20" s="26">
        <v>1</v>
      </c>
      <c r="AF20" s="26">
        <v>560</v>
      </c>
      <c r="AG20" s="26" t="s">
        <v>209</v>
      </c>
    </row>
    <row r="21" spans="1:33" x14ac:dyDescent="0.25">
      <c r="A21" s="26"/>
      <c r="B21" s="29">
        <v>46119</v>
      </c>
      <c r="C21" s="26" t="s">
        <v>219</v>
      </c>
      <c r="D21" s="26" t="s">
        <v>206</v>
      </c>
      <c r="E21" s="26">
        <v>308</v>
      </c>
      <c r="F21" s="26" t="s">
        <v>230</v>
      </c>
      <c r="G21" s="26" t="s">
        <v>330</v>
      </c>
      <c r="H21" s="29">
        <v>46119</v>
      </c>
      <c r="I21" s="26" t="s">
        <v>204</v>
      </c>
      <c r="J21" s="26" t="s">
        <v>160</v>
      </c>
      <c r="K21" s="26" t="s">
        <v>160</v>
      </c>
      <c r="L21" s="26" t="s">
        <v>309</v>
      </c>
      <c r="M21" s="26" t="s">
        <v>331</v>
      </c>
      <c r="N21" s="26">
        <v>25</v>
      </c>
      <c r="O21" s="20">
        <v>7050</v>
      </c>
      <c r="P21" s="26" t="s">
        <v>331</v>
      </c>
      <c r="Q21" s="26">
        <v>8311.9500000000007</v>
      </c>
      <c r="R21" s="26">
        <v>9</v>
      </c>
      <c r="S21" s="26">
        <v>634.5</v>
      </c>
      <c r="T21" s="26">
        <v>9</v>
      </c>
      <c r="U21" s="26">
        <v>634.5</v>
      </c>
      <c r="V21" s="26">
        <v>0</v>
      </c>
      <c r="W21" s="26">
        <v>0</v>
      </c>
      <c r="X21" s="26">
        <v>0</v>
      </c>
      <c r="Y21" s="26">
        <v>1269</v>
      </c>
      <c r="Z21" s="26">
        <v>0</v>
      </c>
      <c r="AA21" s="26" t="s">
        <v>177</v>
      </c>
      <c r="AB21" s="26" t="s">
        <v>188</v>
      </c>
      <c r="AC21" s="26">
        <v>32151990</v>
      </c>
      <c r="AD21" s="26" t="s">
        <v>208</v>
      </c>
      <c r="AE21" s="26">
        <v>1</v>
      </c>
      <c r="AF21" s="26">
        <v>25</v>
      </c>
      <c r="AG21" s="26" t="s">
        <v>209</v>
      </c>
    </row>
    <row r="22" spans="1:33" x14ac:dyDescent="0.25">
      <c r="A22" s="26"/>
      <c r="B22" s="29">
        <v>46119</v>
      </c>
      <c r="C22" s="26" t="s">
        <v>219</v>
      </c>
      <c r="D22" s="26" t="s">
        <v>206</v>
      </c>
      <c r="E22" s="26">
        <v>310</v>
      </c>
      <c r="F22" s="26" t="s">
        <v>230</v>
      </c>
      <c r="G22" s="26" t="s">
        <v>332</v>
      </c>
      <c r="H22" s="29">
        <v>46119</v>
      </c>
      <c r="I22" s="26" t="s">
        <v>169</v>
      </c>
      <c r="J22" s="26" t="s">
        <v>176</v>
      </c>
      <c r="K22" s="26" t="s">
        <v>159</v>
      </c>
      <c r="L22" s="26" t="s">
        <v>159</v>
      </c>
      <c r="M22" s="26" t="s">
        <v>174</v>
      </c>
      <c r="N22" s="26">
        <v>334</v>
      </c>
      <c r="O22" s="20">
        <v>60504.1</v>
      </c>
      <c r="P22" s="26" t="s">
        <v>333</v>
      </c>
      <c r="Q22" s="26">
        <v>71334.34</v>
      </c>
      <c r="R22" s="26">
        <v>9</v>
      </c>
      <c r="S22" s="26">
        <v>5445.37</v>
      </c>
      <c r="T22" s="26">
        <v>9</v>
      </c>
      <c r="U22" s="26">
        <v>5445.37</v>
      </c>
      <c r="V22" s="26">
        <v>0</v>
      </c>
      <c r="W22" s="26">
        <v>0</v>
      </c>
      <c r="X22" s="26">
        <v>0</v>
      </c>
      <c r="Y22" s="26">
        <v>10890.74</v>
      </c>
      <c r="Z22" s="26">
        <v>0</v>
      </c>
      <c r="AA22" s="26" t="s">
        <v>177</v>
      </c>
      <c r="AB22" s="26" t="s">
        <v>188</v>
      </c>
      <c r="AC22" s="26">
        <v>392310</v>
      </c>
      <c r="AD22" s="26" t="s">
        <v>208</v>
      </c>
      <c r="AE22" s="26">
        <v>1</v>
      </c>
      <c r="AF22" s="26">
        <v>334</v>
      </c>
      <c r="AG22" s="26" t="s">
        <v>209</v>
      </c>
    </row>
    <row r="23" spans="1:33" x14ac:dyDescent="0.25">
      <c r="A23" s="26"/>
      <c r="B23" s="29">
        <v>46180</v>
      </c>
      <c r="C23" s="26" t="s">
        <v>205</v>
      </c>
      <c r="D23" s="26" t="s">
        <v>206</v>
      </c>
      <c r="E23" s="26">
        <v>314</v>
      </c>
      <c r="F23" s="26" t="s">
        <v>272</v>
      </c>
      <c r="G23" s="26" t="s">
        <v>334</v>
      </c>
      <c r="H23" s="29">
        <v>46180</v>
      </c>
      <c r="I23" s="26" t="s">
        <v>192</v>
      </c>
      <c r="J23" s="26" t="s">
        <v>153</v>
      </c>
      <c r="K23" s="26" t="s">
        <v>153</v>
      </c>
      <c r="L23" s="26" t="s">
        <v>210</v>
      </c>
      <c r="M23" s="26" t="s">
        <v>153</v>
      </c>
      <c r="N23" s="34">
        <v>411</v>
      </c>
      <c r="O23" s="20">
        <v>63598.14</v>
      </c>
      <c r="P23" s="26" t="s">
        <v>335</v>
      </c>
      <c r="Q23" s="26">
        <v>116943.05</v>
      </c>
      <c r="R23" s="26">
        <v>9</v>
      </c>
      <c r="S23" s="26">
        <v>5723.83</v>
      </c>
      <c r="T23" s="26">
        <v>9</v>
      </c>
      <c r="U23" s="26">
        <v>5723.83</v>
      </c>
      <c r="V23" s="26">
        <v>0</v>
      </c>
      <c r="W23" s="26">
        <v>0</v>
      </c>
      <c r="X23" s="26">
        <v>0</v>
      </c>
      <c r="Y23" s="26">
        <v>11447.66</v>
      </c>
      <c r="Z23" s="26">
        <v>0</v>
      </c>
      <c r="AA23" s="26" t="s">
        <v>189</v>
      </c>
      <c r="AB23" s="26" t="s">
        <v>188</v>
      </c>
      <c r="AC23" s="26">
        <v>39269080</v>
      </c>
      <c r="AD23" s="26" t="s">
        <v>208</v>
      </c>
      <c r="AE23" s="26">
        <v>1</v>
      </c>
      <c r="AF23" s="26">
        <v>411</v>
      </c>
      <c r="AG23" s="26" t="s">
        <v>209</v>
      </c>
    </row>
    <row r="24" spans="1:33" x14ac:dyDescent="0.25">
      <c r="A24" s="26"/>
      <c r="B24" s="29">
        <v>46180</v>
      </c>
      <c r="C24" s="26" t="s">
        <v>205</v>
      </c>
      <c r="D24" s="26" t="s">
        <v>206</v>
      </c>
      <c r="E24" s="26">
        <v>314</v>
      </c>
      <c r="F24" s="26" t="s">
        <v>272</v>
      </c>
      <c r="G24" s="26" t="s">
        <v>334</v>
      </c>
      <c r="H24" s="29">
        <v>46180</v>
      </c>
      <c r="I24" s="26" t="s">
        <v>169</v>
      </c>
      <c r="J24" s="26" t="s">
        <v>180</v>
      </c>
      <c r="K24" s="26" t="s">
        <v>155</v>
      </c>
      <c r="L24" s="26" t="s">
        <v>210</v>
      </c>
      <c r="M24" s="26" t="s">
        <v>187</v>
      </c>
      <c r="N24" s="26">
        <v>230</v>
      </c>
      <c r="O24" s="20">
        <v>35590.199999999997</v>
      </c>
      <c r="P24" s="26" t="s">
        <v>187</v>
      </c>
      <c r="Q24" s="26">
        <v>0</v>
      </c>
      <c r="R24" s="26">
        <v>9</v>
      </c>
      <c r="S24" s="26">
        <v>3203.12</v>
      </c>
      <c r="T24" s="26">
        <v>9</v>
      </c>
      <c r="U24" s="26">
        <v>3203.12</v>
      </c>
      <c r="V24" s="26">
        <v>0</v>
      </c>
      <c r="W24" s="26">
        <v>0</v>
      </c>
      <c r="X24" s="26">
        <v>0</v>
      </c>
      <c r="Y24" s="26">
        <v>6406.24</v>
      </c>
      <c r="Z24" s="26">
        <v>0</v>
      </c>
      <c r="AA24" s="26" t="s">
        <v>189</v>
      </c>
      <c r="AB24" s="26" t="s">
        <v>188</v>
      </c>
      <c r="AC24" s="26">
        <v>39269080</v>
      </c>
      <c r="AD24" s="26" t="s">
        <v>208</v>
      </c>
      <c r="AE24" s="26">
        <v>1</v>
      </c>
      <c r="AF24" s="26">
        <v>230</v>
      </c>
      <c r="AG24" s="26" t="s">
        <v>209</v>
      </c>
    </row>
    <row r="25" spans="1:33" x14ac:dyDescent="0.25">
      <c r="A25" s="26"/>
      <c r="B25" s="29">
        <v>46180</v>
      </c>
      <c r="C25" s="26" t="s">
        <v>219</v>
      </c>
      <c r="D25" s="26" t="s">
        <v>206</v>
      </c>
      <c r="E25" s="26">
        <v>311</v>
      </c>
      <c r="F25" s="26" t="s">
        <v>230</v>
      </c>
      <c r="G25" s="26" t="s">
        <v>336</v>
      </c>
      <c r="H25" s="29">
        <v>46180</v>
      </c>
      <c r="I25" s="26" t="s">
        <v>169</v>
      </c>
      <c r="J25" s="26" t="s">
        <v>170</v>
      </c>
      <c r="K25" s="26" t="s">
        <v>157</v>
      </c>
      <c r="L25" s="26" t="s">
        <v>233</v>
      </c>
      <c r="M25" s="26" t="s">
        <v>291</v>
      </c>
      <c r="N25" s="34">
        <v>164.6</v>
      </c>
      <c r="O25" s="20">
        <v>33119.17</v>
      </c>
      <c r="P25" s="26" t="s">
        <v>291</v>
      </c>
      <c r="Q25" s="26">
        <v>34742.01</v>
      </c>
      <c r="R25" s="26">
        <v>2.5</v>
      </c>
      <c r="S25" s="26">
        <v>827.98</v>
      </c>
      <c r="T25" s="26">
        <v>2.5</v>
      </c>
      <c r="U25" s="26">
        <v>827.98</v>
      </c>
      <c r="V25" s="26">
        <v>0</v>
      </c>
      <c r="W25" s="26">
        <v>0</v>
      </c>
      <c r="X25" s="26">
        <v>0</v>
      </c>
      <c r="Y25" s="26">
        <v>1655.96</v>
      </c>
      <c r="Z25" s="26">
        <v>0</v>
      </c>
      <c r="AA25" s="26" t="s">
        <v>177</v>
      </c>
      <c r="AB25" s="26" t="s">
        <v>188</v>
      </c>
      <c r="AC25" s="26">
        <v>54026930</v>
      </c>
      <c r="AD25" s="26" t="s">
        <v>208</v>
      </c>
      <c r="AE25" s="26">
        <v>1</v>
      </c>
      <c r="AF25" s="26">
        <v>164.6</v>
      </c>
      <c r="AG25" s="26" t="s">
        <v>209</v>
      </c>
    </row>
    <row r="26" spans="1:33" x14ac:dyDescent="0.25">
      <c r="A26" s="26"/>
      <c r="B26" s="29">
        <v>46180</v>
      </c>
      <c r="C26" s="26" t="s">
        <v>219</v>
      </c>
      <c r="D26" s="26" t="s">
        <v>206</v>
      </c>
      <c r="E26" s="26">
        <v>315</v>
      </c>
      <c r="F26" s="26" t="s">
        <v>272</v>
      </c>
      <c r="G26" s="26" t="s">
        <v>337</v>
      </c>
      <c r="H26" s="29">
        <v>46180</v>
      </c>
      <c r="I26" s="26" t="s">
        <v>192</v>
      </c>
      <c r="J26" s="26" t="s">
        <v>153</v>
      </c>
      <c r="K26" s="26" t="s">
        <v>153</v>
      </c>
      <c r="L26" s="26" t="s">
        <v>207</v>
      </c>
      <c r="M26" s="26" t="s">
        <v>153</v>
      </c>
      <c r="N26" s="34">
        <v>128</v>
      </c>
      <c r="O26" s="20">
        <v>19200</v>
      </c>
      <c r="P26" s="26" t="s">
        <v>338</v>
      </c>
      <c r="Q26" s="26">
        <v>22636.799999999999</v>
      </c>
      <c r="R26" s="26">
        <v>9</v>
      </c>
      <c r="S26" s="26">
        <v>1728</v>
      </c>
      <c r="T26" s="26">
        <v>9</v>
      </c>
      <c r="U26" s="26">
        <v>1728</v>
      </c>
      <c r="V26" s="26">
        <v>0</v>
      </c>
      <c r="W26" s="26">
        <v>0</v>
      </c>
      <c r="X26" s="26">
        <v>0</v>
      </c>
      <c r="Y26" s="26">
        <v>3456</v>
      </c>
      <c r="Z26" s="26">
        <v>0</v>
      </c>
      <c r="AA26" s="26" t="s">
        <v>177</v>
      </c>
      <c r="AB26" s="26" t="s">
        <v>188</v>
      </c>
      <c r="AC26" s="26">
        <v>39232990</v>
      </c>
      <c r="AD26" s="26" t="s">
        <v>208</v>
      </c>
      <c r="AE26" s="26">
        <v>1</v>
      </c>
      <c r="AF26" s="26">
        <v>128</v>
      </c>
      <c r="AG26" s="26" t="s">
        <v>209</v>
      </c>
    </row>
    <row r="27" spans="1:33" x14ac:dyDescent="0.25">
      <c r="A27" s="26"/>
      <c r="B27" s="29">
        <v>46210</v>
      </c>
      <c r="C27" s="26" t="s">
        <v>205</v>
      </c>
      <c r="D27" s="26" t="s">
        <v>206</v>
      </c>
      <c r="E27" s="26">
        <v>320</v>
      </c>
      <c r="F27" s="26" t="s">
        <v>272</v>
      </c>
      <c r="G27" s="26" t="s">
        <v>339</v>
      </c>
      <c r="H27" s="29">
        <v>46210</v>
      </c>
      <c r="I27" s="26" t="s">
        <v>192</v>
      </c>
      <c r="J27" s="26" t="s">
        <v>153</v>
      </c>
      <c r="K27" s="26" t="s">
        <v>153</v>
      </c>
      <c r="L27" s="26" t="s">
        <v>210</v>
      </c>
      <c r="M27" s="26" t="s">
        <v>153</v>
      </c>
      <c r="N27" s="34">
        <v>281</v>
      </c>
      <c r="O27" s="20">
        <v>43481.94</v>
      </c>
      <c r="P27" s="26" t="s">
        <v>289</v>
      </c>
      <c r="Q27" s="26">
        <v>190283.31</v>
      </c>
      <c r="R27" s="26">
        <v>9</v>
      </c>
      <c r="S27" s="26">
        <v>3913.37</v>
      </c>
      <c r="T27" s="26">
        <v>9</v>
      </c>
      <c r="U27" s="26">
        <v>3913.37</v>
      </c>
      <c r="V27" s="26">
        <v>0</v>
      </c>
      <c r="W27" s="26">
        <v>0</v>
      </c>
      <c r="X27" s="26">
        <v>0</v>
      </c>
      <c r="Y27" s="26">
        <v>7826.74</v>
      </c>
      <c r="Z27" s="26">
        <v>0</v>
      </c>
      <c r="AA27" s="26" t="s">
        <v>189</v>
      </c>
      <c r="AB27" s="26" t="s">
        <v>188</v>
      </c>
      <c r="AC27" s="26">
        <v>39269080</v>
      </c>
      <c r="AD27" s="26" t="s">
        <v>208</v>
      </c>
      <c r="AE27" s="26">
        <v>1</v>
      </c>
      <c r="AF27" s="26">
        <v>281</v>
      </c>
      <c r="AG27" s="26" t="s">
        <v>209</v>
      </c>
    </row>
    <row r="28" spans="1:33" x14ac:dyDescent="0.25">
      <c r="A28" s="26"/>
      <c r="B28" s="29">
        <v>46210</v>
      </c>
      <c r="C28" s="26" t="s">
        <v>205</v>
      </c>
      <c r="D28" s="26" t="s">
        <v>206</v>
      </c>
      <c r="E28" s="26">
        <v>320</v>
      </c>
      <c r="F28" s="26" t="s">
        <v>272</v>
      </c>
      <c r="G28" s="26" t="s">
        <v>339</v>
      </c>
      <c r="H28" s="29">
        <v>46210</v>
      </c>
      <c r="I28" s="26" t="s">
        <v>169</v>
      </c>
      <c r="J28" s="26" t="s">
        <v>180</v>
      </c>
      <c r="K28" s="26" t="s">
        <v>155</v>
      </c>
      <c r="L28" s="26" t="s">
        <v>210</v>
      </c>
      <c r="M28" s="26" t="s">
        <v>187</v>
      </c>
      <c r="N28" s="26">
        <v>762</v>
      </c>
      <c r="O28" s="20">
        <v>117911.88</v>
      </c>
      <c r="P28" s="26" t="s">
        <v>187</v>
      </c>
      <c r="Q28" s="26">
        <v>0</v>
      </c>
      <c r="R28" s="26">
        <v>9</v>
      </c>
      <c r="S28" s="26">
        <v>10612.07</v>
      </c>
      <c r="T28" s="26">
        <v>9</v>
      </c>
      <c r="U28" s="26">
        <v>10612.07</v>
      </c>
      <c r="V28" s="26">
        <v>0</v>
      </c>
      <c r="W28" s="26">
        <v>0</v>
      </c>
      <c r="X28" s="26">
        <v>0</v>
      </c>
      <c r="Y28" s="26">
        <v>21224.14</v>
      </c>
      <c r="Z28" s="26">
        <v>0</v>
      </c>
      <c r="AA28" s="26" t="s">
        <v>189</v>
      </c>
      <c r="AB28" s="26" t="s">
        <v>188</v>
      </c>
      <c r="AC28" s="26">
        <v>39269080</v>
      </c>
      <c r="AD28" s="26" t="s">
        <v>208</v>
      </c>
      <c r="AE28" s="26">
        <v>1</v>
      </c>
      <c r="AF28" s="26">
        <v>762</v>
      </c>
      <c r="AG28" s="26" t="s">
        <v>209</v>
      </c>
    </row>
    <row r="29" spans="1:33" x14ac:dyDescent="0.25">
      <c r="A29" s="26"/>
      <c r="B29" s="29">
        <v>46210</v>
      </c>
      <c r="C29" s="26" t="s">
        <v>219</v>
      </c>
      <c r="D29" s="26" t="s">
        <v>206</v>
      </c>
      <c r="E29" s="26">
        <v>317</v>
      </c>
      <c r="F29" s="26" t="s">
        <v>230</v>
      </c>
      <c r="G29" s="26" t="s">
        <v>340</v>
      </c>
      <c r="H29" s="29">
        <v>46210</v>
      </c>
      <c r="I29" s="26" t="s">
        <v>169</v>
      </c>
      <c r="J29" s="26" t="s">
        <v>201</v>
      </c>
      <c r="K29" s="26" t="s">
        <v>158</v>
      </c>
      <c r="L29" s="26" t="s">
        <v>220</v>
      </c>
      <c r="M29" s="26" t="s">
        <v>200</v>
      </c>
      <c r="N29" s="26">
        <v>8.1999999999999993</v>
      </c>
      <c r="O29" s="20">
        <v>2082.8000000000002</v>
      </c>
      <c r="P29" s="26" t="s">
        <v>200</v>
      </c>
      <c r="Q29" s="26">
        <v>2455.62</v>
      </c>
      <c r="R29" s="26">
        <v>9</v>
      </c>
      <c r="S29" s="26">
        <v>187.45</v>
      </c>
      <c r="T29" s="26">
        <v>9</v>
      </c>
      <c r="U29" s="26">
        <v>187.45</v>
      </c>
      <c r="V29" s="26">
        <v>0</v>
      </c>
      <c r="W29" s="26">
        <v>0</v>
      </c>
      <c r="X29" s="26">
        <v>0</v>
      </c>
      <c r="Y29" s="26">
        <v>374.9</v>
      </c>
      <c r="Z29" s="26">
        <v>0</v>
      </c>
      <c r="AA29" s="26" t="s">
        <v>177</v>
      </c>
      <c r="AB29" s="26" t="s">
        <v>188</v>
      </c>
      <c r="AC29" s="26">
        <v>39201019</v>
      </c>
      <c r="AD29" s="26" t="s">
        <v>208</v>
      </c>
      <c r="AE29" s="26">
        <v>1</v>
      </c>
      <c r="AF29" s="26">
        <v>8.1999999999999993</v>
      </c>
      <c r="AG29" s="26" t="s">
        <v>209</v>
      </c>
    </row>
    <row r="30" spans="1:33" x14ac:dyDescent="0.25">
      <c r="A30" s="26"/>
      <c r="B30" s="29">
        <v>46210</v>
      </c>
      <c r="C30" s="26" t="s">
        <v>219</v>
      </c>
      <c r="D30" s="26" t="s">
        <v>206</v>
      </c>
      <c r="E30" s="26">
        <v>321</v>
      </c>
      <c r="F30" s="26" t="s">
        <v>230</v>
      </c>
      <c r="G30" s="26" t="s">
        <v>341</v>
      </c>
      <c r="H30" s="29">
        <v>46210</v>
      </c>
      <c r="I30" s="26" t="s">
        <v>169</v>
      </c>
      <c r="J30" s="26" t="s">
        <v>201</v>
      </c>
      <c r="K30" s="26" t="s">
        <v>158</v>
      </c>
      <c r="L30" s="26" t="s">
        <v>220</v>
      </c>
      <c r="M30" s="26" t="s">
        <v>200</v>
      </c>
      <c r="N30" s="26">
        <v>4.3</v>
      </c>
      <c r="O30" s="20">
        <v>1092.2</v>
      </c>
      <c r="P30" s="26" t="s">
        <v>200</v>
      </c>
      <c r="Q30" s="26">
        <v>1287.71</v>
      </c>
      <c r="R30" s="26">
        <v>9</v>
      </c>
      <c r="S30" s="26">
        <v>98.3</v>
      </c>
      <c r="T30" s="26">
        <v>9</v>
      </c>
      <c r="U30" s="26">
        <v>98.3</v>
      </c>
      <c r="V30" s="26">
        <v>0</v>
      </c>
      <c r="W30" s="26">
        <v>0</v>
      </c>
      <c r="X30" s="26">
        <v>0</v>
      </c>
      <c r="Y30" s="26">
        <v>196.6</v>
      </c>
      <c r="Z30" s="26">
        <v>0</v>
      </c>
      <c r="AA30" s="26" t="s">
        <v>177</v>
      </c>
      <c r="AB30" s="26" t="s">
        <v>188</v>
      </c>
      <c r="AC30" s="26">
        <v>39201019</v>
      </c>
      <c r="AD30" s="26" t="s">
        <v>208</v>
      </c>
      <c r="AE30" s="26">
        <v>1</v>
      </c>
      <c r="AF30" s="26">
        <v>4.3</v>
      </c>
      <c r="AG30" s="26" t="s">
        <v>209</v>
      </c>
    </row>
    <row r="31" spans="1:33" x14ac:dyDescent="0.25">
      <c r="A31" s="26"/>
      <c r="B31" s="29">
        <v>46210</v>
      </c>
      <c r="C31" s="26" t="s">
        <v>342</v>
      </c>
      <c r="D31" s="26" t="s">
        <v>212</v>
      </c>
      <c r="E31" s="26" t="s">
        <v>343</v>
      </c>
      <c r="F31" s="26" t="s">
        <v>231</v>
      </c>
      <c r="G31" s="26" t="s">
        <v>343</v>
      </c>
      <c r="H31" s="29">
        <v>46210</v>
      </c>
      <c r="I31" s="26" t="s">
        <v>192</v>
      </c>
      <c r="J31" s="26" t="s">
        <v>152</v>
      </c>
      <c r="K31" s="26" t="s">
        <v>162</v>
      </c>
      <c r="L31" s="26" t="s">
        <v>207</v>
      </c>
      <c r="M31" s="26" t="s">
        <v>191</v>
      </c>
      <c r="N31" s="30">
        <v>19278.400000000001</v>
      </c>
      <c r="O31" s="20">
        <v>4441437</v>
      </c>
      <c r="P31" s="26" t="s">
        <v>214</v>
      </c>
      <c r="Q31" s="26">
        <v>4441437</v>
      </c>
      <c r="R31" s="26">
        <v>0</v>
      </c>
      <c r="S31" s="26">
        <v>0</v>
      </c>
      <c r="T31" s="26">
        <v>0</v>
      </c>
      <c r="U31" s="26">
        <v>0</v>
      </c>
      <c r="V31" s="26">
        <v>18</v>
      </c>
      <c r="W31" s="26">
        <v>799458.66</v>
      </c>
      <c r="X31" s="26">
        <v>0</v>
      </c>
      <c r="Y31" s="26">
        <v>799458.66</v>
      </c>
      <c r="Z31" s="26">
        <v>0</v>
      </c>
      <c r="AA31" s="26" t="s">
        <v>221</v>
      </c>
      <c r="AB31" s="26" t="s">
        <v>188</v>
      </c>
      <c r="AC31" s="26">
        <v>63053200</v>
      </c>
      <c r="AD31" s="26" t="s">
        <v>216</v>
      </c>
      <c r="AE31" s="26">
        <v>93.5</v>
      </c>
      <c r="AF31" s="26">
        <v>19278.400000000001</v>
      </c>
      <c r="AG31" s="26" t="s">
        <v>225</v>
      </c>
    </row>
    <row r="32" spans="1:33" x14ac:dyDescent="0.25">
      <c r="A32" s="26"/>
      <c r="B32" s="29">
        <v>46241</v>
      </c>
      <c r="C32" s="26" t="s">
        <v>234</v>
      </c>
      <c r="D32" s="26" t="s">
        <v>206</v>
      </c>
      <c r="E32" s="26">
        <v>325</v>
      </c>
      <c r="F32" s="26" t="s">
        <v>230</v>
      </c>
      <c r="G32" s="26" t="s">
        <v>344</v>
      </c>
      <c r="H32" s="29">
        <v>46241</v>
      </c>
      <c r="I32" s="26" t="s">
        <v>192</v>
      </c>
      <c r="J32" s="26" t="s">
        <v>153</v>
      </c>
      <c r="K32" s="26" t="s">
        <v>153</v>
      </c>
      <c r="L32" s="26" t="s">
        <v>210</v>
      </c>
      <c r="M32" s="26" t="s">
        <v>153</v>
      </c>
      <c r="N32" s="34">
        <v>295</v>
      </c>
      <c r="O32" s="20">
        <v>45648.3</v>
      </c>
      <c r="P32" s="26" t="s">
        <v>273</v>
      </c>
      <c r="Q32" s="26">
        <v>156269.07999999999</v>
      </c>
      <c r="R32" s="26">
        <v>9</v>
      </c>
      <c r="S32" s="26">
        <v>4108.3500000000004</v>
      </c>
      <c r="T32" s="26">
        <v>9</v>
      </c>
      <c r="U32" s="26">
        <v>4108.3500000000004</v>
      </c>
      <c r="V32" s="26">
        <v>0</v>
      </c>
      <c r="W32" s="26">
        <v>0</v>
      </c>
      <c r="X32" s="26">
        <v>0</v>
      </c>
      <c r="Y32" s="26">
        <v>8216.7000000000007</v>
      </c>
      <c r="Z32" s="26">
        <v>0</v>
      </c>
      <c r="AA32" s="26" t="s">
        <v>189</v>
      </c>
      <c r="AB32" s="26" t="s">
        <v>188</v>
      </c>
      <c r="AC32" s="26">
        <v>39269080</v>
      </c>
      <c r="AD32" s="26" t="s">
        <v>208</v>
      </c>
      <c r="AE32" s="26">
        <v>1</v>
      </c>
      <c r="AF32" s="26">
        <v>295</v>
      </c>
      <c r="AG32" s="26" t="s">
        <v>209</v>
      </c>
    </row>
    <row r="33" spans="1:33" x14ac:dyDescent="0.25">
      <c r="A33" s="26"/>
      <c r="B33" s="29">
        <v>46241</v>
      </c>
      <c r="C33" s="26" t="s">
        <v>234</v>
      </c>
      <c r="D33" s="26" t="s">
        <v>206</v>
      </c>
      <c r="E33" s="26">
        <v>325</v>
      </c>
      <c r="F33" s="26" t="s">
        <v>230</v>
      </c>
      <c r="G33" s="26" t="s">
        <v>344</v>
      </c>
      <c r="H33" s="29">
        <v>46241</v>
      </c>
      <c r="I33" s="26" t="s">
        <v>169</v>
      </c>
      <c r="J33" s="26" t="s">
        <v>180</v>
      </c>
      <c r="K33" s="26" t="s">
        <v>155</v>
      </c>
      <c r="L33" s="26" t="s">
        <v>210</v>
      </c>
      <c r="M33" s="26" t="s">
        <v>187</v>
      </c>
      <c r="N33" s="26">
        <v>341</v>
      </c>
      <c r="O33" s="20">
        <v>52766.34</v>
      </c>
      <c r="P33" s="26" t="s">
        <v>187</v>
      </c>
      <c r="Q33" s="26">
        <v>0</v>
      </c>
      <c r="R33" s="26">
        <v>9</v>
      </c>
      <c r="S33" s="26">
        <v>4748.97</v>
      </c>
      <c r="T33" s="26">
        <v>9</v>
      </c>
      <c r="U33" s="26">
        <v>4748.97</v>
      </c>
      <c r="V33" s="26">
        <v>0</v>
      </c>
      <c r="W33" s="26">
        <v>0</v>
      </c>
      <c r="X33" s="26">
        <v>0</v>
      </c>
      <c r="Y33" s="26">
        <v>9497.94</v>
      </c>
      <c r="Z33" s="26">
        <v>0</v>
      </c>
      <c r="AA33" s="26" t="s">
        <v>189</v>
      </c>
      <c r="AB33" s="26" t="s">
        <v>188</v>
      </c>
      <c r="AC33" s="26">
        <v>39269080</v>
      </c>
      <c r="AD33" s="26" t="s">
        <v>208</v>
      </c>
      <c r="AE33" s="26">
        <v>1</v>
      </c>
      <c r="AF33" s="26">
        <v>341</v>
      </c>
      <c r="AG33" s="26" t="s">
        <v>209</v>
      </c>
    </row>
    <row r="34" spans="1:33" x14ac:dyDescent="0.25">
      <c r="A34" s="26"/>
      <c r="B34" s="29">
        <v>46241</v>
      </c>
      <c r="C34" s="26" t="s">
        <v>234</v>
      </c>
      <c r="D34" s="26" t="s">
        <v>206</v>
      </c>
      <c r="E34" s="26">
        <v>325</v>
      </c>
      <c r="F34" s="26" t="s">
        <v>230</v>
      </c>
      <c r="G34" s="26" t="s">
        <v>344</v>
      </c>
      <c r="H34" s="29">
        <v>46241</v>
      </c>
      <c r="I34" s="26" t="s">
        <v>169</v>
      </c>
      <c r="J34" s="26" t="s">
        <v>180</v>
      </c>
      <c r="K34" s="26" t="s">
        <v>156</v>
      </c>
      <c r="L34" s="26" t="s">
        <v>218</v>
      </c>
      <c r="M34" s="26" t="s">
        <v>179</v>
      </c>
      <c r="N34" s="26">
        <v>215</v>
      </c>
      <c r="O34" s="20">
        <v>34129.1</v>
      </c>
      <c r="P34" s="26" t="s">
        <v>236</v>
      </c>
      <c r="Q34" s="26">
        <v>0</v>
      </c>
      <c r="R34" s="26">
        <v>9</v>
      </c>
      <c r="S34" s="26">
        <v>3071.62</v>
      </c>
      <c r="T34" s="26">
        <v>9</v>
      </c>
      <c r="U34" s="26">
        <v>3071.62</v>
      </c>
      <c r="V34" s="26">
        <v>0</v>
      </c>
      <c r="W34" s="26">
        <v>0</v>
      </c>
      <c r="X34" s="26">
        <v>0</v>
      </c>
      <c r="Y34" s="26">
        <v>6143.24</v>
      </c>
      <c r="Z34" s="26">
        <v>0</v>
      </c>
      <c r="AA34" s="26" t="s">
        <v>189</v>
      </c>
      <c r="AB34" s="26" t="s">
        <v>188</v>
      </c>
      <c r="AC34" s="26">
        <v>39269080</v>
      </c>
      <c r="AD34" s="26" t="s">
        <v>208</v>
      </c>
      <c r="AE34" s="26">
        <v>1</v>
      </c>
      <c r="AF34" s="26">
        <v>215</v>
      </c>
      <c r="AG34" s="26" t="s">
        <v>209</v>
      </c>
    </row>
    <row r="35" spans="1:33" x14ac:dyDescent="0.25">
      <c r="A35" s="26"/>
      <c r="B35" s="29">
        <v>46241</v>
      </c>
      <c r="C35" s="26" t="s">
        <v>219</v>
      </c>
      <c r="D35" s="26" t="s">
        <v>206</v>
      </c>
      <c r="E35" s="26">
        <v>322</v>
      </c>
      <c r="F35" s="26" t="s">
        <v>230</v>
      </c>
      <c r="G35" s="26" t="s">
        <v>345</v>
      </c>
      <c r="H35" s="29">
        <v>46241</v>
      </c>
      <c r="I35" s="26" t="s">
        <v>192</v>
      </c>
      <c r="J35" s="26" t="s">
        <v>152</v>
      </c>
      <c r="K35" s="26" t="s">
        <v>152</v>
      </c>
      <c r="L35" s="26" t="s">
        <v>207</v>
      </c>
      <c r="M35" s="26" t="s">
        <v>191</v>
      </c>
      <c r="N35" s="30">
        <v>20982</v>
      </c>
      <c r="O35" s="20">
        <v>5024349.72</v>
      </c>
      <c r="P35" s="26" t="s">
        <v>346</v>
      </c>
      <c r="Q35" s="26">
        <v>5923708.3099999996</v>
      </c>
      <c r="R35" s="26">
        <v>9</v>
      </c>
      <c r="S35" s="26">
        <v>452191.47</v>
      </c>
      <c r="T35" s="26">
        <v>9</v>
      </c>
      <c r="U35" s="26">
        <v>452191.47</v>
      </c>
      <c r="V35" s="26">
        <v>0</v>
      </c>
      <c r="W35" s="26">
        <v>0</v>
      </c>
      <c r="X35" s="26">
        <v>0</v>
      </c>
      <c r="Y35" s="26">
        <v>904382.94</v>
      </c>
      <c r="Z35" s="26">
        <v>0</v>
      </c>
      <c r="AA35" s="26" t="s">
        <v>177</v>
      </c>
      <c r="AB35" s="26" t="s">
        <v>188</v>
      </c>
      <c r="AC35" s="26">
        <v>39232990</v>
      </c>
      <c r="AD35" s="26" t="s">
        <v>208</v>
      </c>
      <c r="AE35" s="26">
        <v>1</v>
      </c>
      <c r="AF35" s="26">
        <v>20982</v>
      </c>
      <c r="AG35" s="26" t="s">
        <v>209</v>
      </c>
    </row>
    <row r="36" spans="1:33" x14ac:dyDescent="0.25">
      <c r="A36" s="26"/>
      <c r="B36" s="29">
        <v>46241</v>
      </c>
      <c r="C36" s="26" t="s">
        <v>219</v>
      </c>
      <c r="D36" s="26" t="s">
        <v>206</v>
      </c>
      <c r="E36" s="26">
        <v>323</v>
      </c>
      <c r="F36" s="26" t="s">
        <v>230</v>
      </c>
      <c r="G36" s="26" t="s">
        <v>347</v>
      </c>
      <c r="H36" s="29">
        <v>46241</v>
      </c>
      <c r="I36" s="26" t="s">
        <v>169</v>
      </c>
      <c r="J36" s="26" t="s">
        <v>348</v>
      </c>
      <c r="K36" s="26" t="s">
        <v>348</v>
      </c>
      <c r="L36" s="26" t="s">
        <v>349</v>
      </c>
      <c r="M36" s="26" t="s">
        <v>350</v>
      </c>
      <c r="N36" s="30">
        <v>1420</v>
      </c>
      <c r="O36" s="20">
        <v>35500</v>
      </c>
      <c r="P36" s="26" t="s">
        <v>351</v>
      </c>
      <c r="Q36" s="26">
        <v>42727.8</v>
      </c>
      <c r="R36" s="26">
        <v>9</v>
      </c>
      <c r="S36" s="26">
        <v>3195</v>
      </c>
      <c r="T36" s="26">
        <v>9</v>
      </c>
      <c r="U36" s="26">
        <v>3195</v>
      </c>
      <c r="V36" s="26">
        <v>0</v>
      </c>
      <c r="W36" s="26">
        <v>0</v>
      </c>
      <c r="X36" s="26">
        <v>0</v>
      </c>
      <c r="Y36" s="26">
        <v>6390</v>
      </c>
      <c r="Z36" s="26">
        <v>837.8</v>
      </c>
      <c r="AA36" s="26" t="s">
        <v>177</v>
      </c>
      <c r="AB36" s="26" t="s">
        <v>188</v>
      </c>
      <c r="AC36" s="26">
        <v>39159029</v>
      </c>
      <c r="AD36" s="26" t="s">
        <v>208</v>
      </c>
      <c r="AE36" s="26">
        <v>1</v>
      </c>
      <c r="AF36" s="26">
        <v>1420</v>
      </c>
      <c r="AG36" s="26" t="s">
        <v>209</v>
      </c>
    </row>
    <row r="37" spans="1:33" x14ac:dyDescent="0.25">
      <c r="A37" s="26"/>
      <c r="B37" s="29">
        <v>46241</v>
      </c>
      <c r="C37" s="26" t="s">
        <v>219</v>
      </c>
      <c r="D37" s="26" t="s">
        <v>206</v>
      </c>
      <c r="E37" s="26">
        <v>326</v>
      </c>
      <c r="F37" s="26" t="s">
        <v>230</v>
      </c>
      <c r="G37" s="26" t="s">
        <v>352</v>
      </c>
      <c r="H37" s="29">
        <v>46241</v>
      </c>
      <c r="I37" s="26" t="s">
        <v>169</v>
      </c>
      <c r="J37" s="26" t="s">
        <v>201</v>
      </c>
      <c r="K37" s="26" t="s">
        <v>158</v>
      </c>
      <c r="L37" s="26" t="s">
        <v>220</v>
      </c>
      <c r="M37" s="26" t="s">
        <v>200</v>
      </c>
      <c r="N37" s="26">
        <v>7.5</v>
      </c>
      <c r="O37" s="20">
        <v>1927.5</v>
      </c>
      <c r="P37" s="26" t="s">
        <v>200</v>
      </c>
      <c r="Q37" s="26">
        <v>2272.5300000000002</v>
      </c>
      <c r="R37" s="26">
        <v>9</v>
      </c>
      <c r="S37" s="26">
        <v>173.48</v>
      </c>
      <c r="T37" s="26">
        <v>9</v>
      </c>
      <c r="U37" s="26">
        <v>173.48</v>
      </c>
      <c r="V37" s="26">
        <v>0</v>
      </c>
      <c r="W37" s="26">
        <v>0</v>
      </c>
      <c r="X37" s="26">
        <v>0</v>
      </c>
      <c r="Y37" s="26">
        <v>346.96</v>
      </c>
      <c r="Z37" s="26">
        <v>0</v>
      </c>
      <c r="AA37" s="26" t="s">
        <v>177</v>
      </c>
      <c r="AB37" s="26" t="s">
        <v>188</v>
      </c>
      <c r="AC37" s="26">
        <v>39201019</v>
      </c>
      <c r="AD37" s="26" t="s">
        <v>208</v>
      </c>
      <c r="AE37" s="26">
        <v>1</v>
      </c>
      <c r="AF37" s="26">
        <v>7.5</v>
      </c>
      <c r="AG37" s="26" t="s">
        <v>209</v>
      </c>
    </row>
    <row r="38" spans="1:33" x14ac:dyDescent="0.25">
      <c r="A38" s="26"/>
      <c r="B38" s="29">
        <v>46272</v>
      </c>
      <c r="C38" s="26" t="s">
        <v>222</v>
      </c>
      <c r="D38" s="26" t="s">
        <v>212</v>
      </c>
      <c r="E38" s="26" t="s">
        <v>353</v>
      </c>
      <c r="F38" s="26" t="s">
        <v>223</v>
      </c>
      <c r="G38" s="26" t="s">
        <v>353</v>
      </c>
      <c r="H38" s="29">
        <v>46272</v>
      </c>
      <c r="I38" s="26" t="s">
        <v>192</v>
      </c>
      <c r="J38" s="26" t="s">
        <v>152</v>
      </c>
      <c r="K38" s="26" t="s">
        <v>163</v>
      </c>
      <c r="L38" s="26" t="s">
        <v>207</v>
      </c>
      <c r="M38" s="26" t="s">
        <v>191</v>
      </c>
      <c r="N38" s="30">
        <v>19674</v>
      </c>
      <c r="O38" s="20">
        <v>5168157.33</v>
      </c>
      <c r="P38" s="26" t="s">
        <v>224</v>
      </c>
      <c r="Q38" s="26">
        <v>5168157.33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 t="s">
        <v>221</v>
      </c>
      <c r="AB38" s="26" t="s">
        <v>188</v>
      </c>
      <c r="AC38" s="26">
        <v>63053200</v>
      </c>
      <c r="AD38" s="26" t="s">
        <v>216</v>
      </c>
      <c r="AE38" s="26">
        <v>93.5</v>
      </c>
      <c r="AF38" s="26">
        <v>19674</v>
      </c>
      <c r="AG38" s="26" t="s">
        <v>225</v>
      </c>
    </row>
    <row r="39" spans="1:33" x14ac:dyDescent="0.25">
      <c r="A39" s="26"/>
      <c r="B39" s="29">
        <v>46272</v>
      </c>
      <c r="C39" s="26" t="s">
        <v>205</v>
      </c>
      <c r="D39" s="26" t="s">
        <v>206</v>
      </c>
      <c r="E39" s="26">
        <v>327</v>
      </c>
      <c r="F39" s="26" t="s">
        <v>272</v>
      </c>
      <c r="G39" s="26" t="s">
        <v>354</v>
      </c>
      <c r="H39" s="29">
        <v>46272</v>
      </c>
      <c r="I39" s="26" t="s">
        <v>169</v>
      </c>
      <c r="J39" s="26" t="s">
        <v>180</v>
      </c>
      <c r="K39" s="26" t="s">
        <v>155</v>
      </c>
      <c r="L39" s="26" t="s">
        <v>210</v>
      </c>
      <c r="M39" s="26" t="s">
        <v>187</v>
      </c>
      <c r="N39" s="26">
        <v>321.2</v>
      </c>
      <c r="O39" s="20">
        <v>49702.49</v>
      </c>
      <c r="P39" s="26" t="s">
        <v>187</v>
      </c>
      <c r="Q39" s="26">
        <v>168792.06</v>
      </c>
      <c r="R39" s="26">
        <v>9</v>
      </c>
      <c r="S39" s="26">
        <v>4473.22</v>
      </c>
      <c r="T39" s="26">
        <v>9</v>
      </c>
      <c r="U39" s="26">
        <v>4473.22</v>
      </c>
      <c r="V39" s="26">
        <v>0</v>
      </c>
      <c r="W39" s="26">
        <v>0</v>
      </c>
      <c r="X39" s="26">
        <v>0</v>
      </c>
      <c r="Y39" s="26">
        <v>8946.44</v>
      </c>
      <c r="Z39" s="26">
        <v>0</v>
      </c>
      <c r="AA39" s="26" t="s">
        <v>189</v>
      </c>
      <c r="AB39" s="26" t="s">
        <v>188</v>
      </c>
      <c r="AC39" s="26">
        <v>39269080</v>
      </c>
      <c r="AD39" s="26" t="s">
        <v>208</v>
      </c>
      <c r="AE39" s="26">
        <v>1</v>
      </c>
      <c r="AF39" s="26">
        <v>321.2</v>
      </c>
      <c r="AG39" s="26" t="s">
        <v>209</v>
      </c>
    </row>
    <row r="40" spans="1:33" x14ac:dyDescent="0.25">
      <c r="A40" s="26"/>
      <c r="B40" s="29">
        <v>46272</v>
      </c>
      <c r="C40" s="26" t="s">
        <v>205</v>
      </c>
      <c r="D40" s="26" t="s">
        <v>206</v>
      </c>
      <c r="E40" s="26">
        <v>327</v>
      </c>
      <c r="F40" s="26" t="s">
        <v>272</v>
      </c>
      <c r="G40" s="26" t="s">
        <v>354</v>
      </c>
      <c r="H40" s="29">
        <v>46272</v>
      </c>
      <c r="I40" s="26" t="s">
        <v>192</v>
      </c>
      <c r="J40" s="26" t="s">
        <v>153</v>
      </c>
      <c r="K40" s="26" t="s">
        <v>153</v>
      </c>
      <c r="L40" s="26" t="s">
        <v>210</v>
      </c>
      <c r="M40" s="26" t="s">
        <v>153</v>
      </c>
      <c r="N40" s="34">
        <v>604</v>
      </c>
      <c r="O40" s="20">
        <v>93462.96</v>
      </c>
      <c r="P40" s="26" t="s">
        <v>273</v>
      </c>
      <c r="Q40" s="26">
        <v>0</v>
      </c>
      <c r="R40" s="26">
        <v>9</v>
      </c>
      <c r="S40" s="26">
        <v>8411.67</v>
      </c>
      <c r="T40" s="26">
        <v>9</v>
      </c>
      <c r="U40" s="26">
        <v>8411.67</v>
      </c>
      <c r="V40" s="26">
        <v>0</v>
      </c>
      <c r="W40" s="26">
        <v>0</v>
      </c>
      <c r="X40" s="26">
        <v>0</v>
      </c>
      <c r="Y40" s="26">
        <v>16823.34</v>
      </c>
      <c r="Z40" s="26">
        <v>0</v>
      </c>
      <c r="AA40" s="26" t="s">
        <v>189</v>
      </c>
      <c r="AB40" s="26" t="s">
        <v>188</v>
      </c>
      <c r="AC40" s="26">
        <v>39269080</v>
      </c>
      <c r="AD40" s="26" t="s">
        <v>208</v>
      </c>
      <c r="AE40" s="26">
        <v>1</v>
      </c>
      <c r="AF40" s="26">
        <v>604</v>
      </c>
      <c r="AG40" s="26" t="s">
        <v>209</v>
      </c>
    </row>
    <row r="41" spans="1:33" x14ac:dyDescent="0.25">
      <c r="A41" s="26"/>
      <c r="B41" s="29">
        <v>46272</v>
      </c>
      <c r="C41" s="26" t="s">
        <v>226</v>
      </c>
      <c r="D41" s="26" t="s">
        <v>206</v>
      </c>
      <c r="E41" s="26">
        <v>329</v>
      </c>
      <c r="F41" s="26" t="s">
        <v>227</v>
      </c>
      <c r="G41" s="26" t="s">
        <v>355</v>
      </c>
      <c r="H41" s="29">
        <v>46272</v>
      </c>
      <c r="I41" s="26" t="s">
        <v>169</v>
      </c>
      <c r="J41" s="26" t="s">
        <v>180</v>
      </c>
      <c r="K41" s="26" t="s">
        <v>156</v>
      </c>
      <c r="L41" s="26" t="s">
        <v>210</v>
      </c>
      <c r="M41" s="26" t="s">
        <v>179</v>
      </c>
      <c r="N41" s="30">
        <v>7630</v>
      </c>
      <c r="O41" s="20">
        <v>457800</v>
      </c>
      <c r="P41" s="26" t="s">
        <v>356</v>
      </c>
      <c r="Q41" s="26">
        <v>539746.19999999995</v>
      </c>
      <c r="R41" s="26">
        <v>0</v>
      </c>
      <c r="S41" s="26">
        <v>0</v>
      </c>
      <c r="T41" s="26">
        <v>0</v>
      </c>
      <c r="U41" s="26">
        <v>0</v>
      </c>
      <c r="V41" s="26">
        <v>18</v>
      </c>
      <c r="W41" s="26">
        <v>82404</v>
      </c>
      <c r="X41" s="26">
        <v>0</v>
      </c>
      <c r="Y41" s="26">
        <v>82404</v>
      </c>
      <c r="Z41" s="26">
        <v>0</v>
      </c>
      <c r="AA41" s="26" t="s">
        <v>228</v>
      </c>
      <c r="AB41" s="26" t="s">
        <v>188</v>
      </c>
      <c r="AC41" s="26">
        <v>39269080</v>
      </c>
      <c r="AD41" s="26" t="s">
        <v>208</v>
      </c>
      <c r="AE41" s="26">
        <v>1</v>
      </c>
      <c r="AF41" s="26">
        <v>7630</v>
      </c>
      <c r="AG41" s="26" t="s">
        <v>209</v>
      </c>
    </row>
    <row r="42" spans="1:33" x14ac:dyDescent="0.25">
      <c r="A42" s="26"/>
      <c r="B42" s="29">
        <v>46302</v>
      </c>
      <c r="C42" s="26" t="s">
        <v>222</v>
      </c>
      <c r="D42" s="26" t="s">
        <v>212</v>
      </c>
      <c r="E42" s="26" t="s">
        <v>357</v>
      </c>
      <c r="F42" s="26" t="s">
        <v>223</v>
      </c>
      <c r="G42" s="26" t="s">
        <v>357</v>
      </c>
      <c r="H42" s="29">
        <v>46302</v>
      </c>
      <c r="I42" s="26" t="s">
        <v>192</v>
      </c>
      <c r="J42" s="26" t="s">
        <v>152</v>
      </c>
      <c r="K42" s="26" t="s">
        <v>163</v>
      </c>
      <c r="L42" s="26" t="s">
        <v>207</v>
      </c>
      <c r="M42" s="26" t="s">
        <v>191</v>
      </c>
      <c r="N42" s="30">
        <v>19795</v>
      </c>
      <c r="O42" s="20">
        <v>5168157.32</v>
      </c>
      <c r="P42" s="26" t="s">
        <v>224</v>
      </c>
      <c r="Q42" s="26">
        <v>5168157.33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 t="s">
        <v>221</v>
      </c>
      <c r="AB42" s="26" t="s">
        <v>188</v>
      </c>
      <c r="AC42" s="26">
        <v>63053200</v>
      </c>
      <c r="AD42" s="26" t="s">
        <v>216</v>
      </c>
      <c r="AE42" s="26">
        <v>93.5</v>
      </c>
      <c r="AF42" s="26">
        <v>19795</v>
      </c>
      <c r="AG42" s="26" t="s">
        <v>225</v>
      </c>
    </row>
    <row r="43" spans="1:33" x14ac:dyDescent="0.25">
      <c r="A43" s="26"/>
      <c r="B43" s="29">
        <v>46302</v>
      </c>
      <c r="C43" s="26" t="s">
        <v>234</v>
      </c>
      <c r="D43" s="26" t="s">
        <v>206</v>
      </c>
      <c r="E43" s="26">
        <v>332</v>
      </c>
      <c r="F43" s="26" t="s">
        <v>230</v>
      </c>
      <c r="G43" s="26" t="s">
        <v>358</v>
      </c>
      <c r="H43" s="29">
        <v>46302</v>
      </c>
      <c r="I43" s="26" t="s">
        <v>171</v>
      </c>
      <c r="J43" s="26" t="s">
        <v>185</v>
      </c>
      <c r="K43" s="26" t="s">
        <v>166</v>
      </c>
      <c r="L43" s="26" t="s">
        <v>166</v>
      </c>
      <c r="M43" s="26" t="s">
        <v>359</v>
      </c>
      <c r="N43" s="30">
        <v>30000</v>
      </c>
      <c r="O43" s="20">
        <v>3600000</v>
      </c>
      <c r="P43" s="26" t="s">
        <v>359</v>
      </c>
      <c r="Q43" s="26">
        <v>4244400</v>
      </c>
      <c r="R43" s="26">
        <v>9</v>
      </c>
      <c r="S43" s="26">
        <v>324000</v>
      </c>
      <c r="T43" s="26">
        <v>9</v>
      </c>
      <c r="U43" s="26">
        <v>324000</v>
      </c>
      <c r="V43" s="26">
        <v>0</v>
      </c>
      <c r="W43" s="26">
        <v>0</v>
      </c>
      <c r="X43" s="26">
        <v>0</v>
      </c>
      <c r="Y43" s="26">
        <v>648000</v>
      </c>
      <c r="Z43" s="26">
        <v>0</v>
      </c>
      <c r="AA43" s="26" t="s">
        <v>189</v>
      </c>
      <c r="AB43" s="26" t="s">
        <v>188</v>
      </c>
      <c r="AC43" s="26">
        <v>39021000</v>
      </c>
      <c r="AD43" s="26" t="s">
        <v>208</v>
      </c>
      <c r="AE43" s="26">
        <v>1</v>
      </c>
      <c r="AF43" s="26">
        <v>30000</v>
      </c>
      <c r="AG43" s="26" t="s">
        <v>209</v>
      </c>
    </row>
    <row r="44" spans="1:33" x14ac:dyDescent="0.25">
      <c r="A44" s="26"/>
      <c r="B44" s="29">
        <v>46302</v>
      </c>
      <c r="C44" s="26" t="s">
        <v>219</v>
      </c>
      <c r="D44" s="26" t="s">
        <v>206</v>
      </c>
      <c r="E44" s="26">
        <v>330</v>
      </c>
      <c r="F44" s="26" t="s">
        <v>230</v>
      </c>
      <c r="G44" s="26" t="s">
        <v>360</v>
      </c>
      <c r="H44" s="29">
        <v>46302</v>
      </c>
      <c r="I44" s="26" t="s">
        <v>169</v>
      </c>
      <c r="J44" s="26" t="s">
        <v>201</v>
      </c>
      <c r="K44" s="26" t="s">
        <v>158</v>
      </c>
      <c r="L44" s="26" t="s">
        <v>220</v>
      </c>
      <c r="M44" s="26" t="s">
        <v>200</v>
      </c>
      <c r="N44" s="26">
        <v>14.1</v>
      </c>
      <c r="O44" s="20">
        <v>3666</v>
      </c>
      <c r="P44" s="26" t="s">
        <v>200</v>
      </c>
      <c r="Q44" s="26">
        <v>4322.21</v>
      </c>
      <c r="R44" s="26">
        <v>9</v>
      </c>
      <c r="S44" s="26">
        <v>329.94</v>
      </c>
      <c r="T44" s="26">
        <v>9</v>
      </c>
      <c r="U44" s="26">
        <v>329.94</v>
      </c>
      <c r="V44" s="26">
        <v>0</v>
      </c>
      <c r="W44" s="26">
        <v>0</v>
      </c>
      <c r="X44" s="26">
        <v>0</v>
      </c>
      <c r="Y44" s="26">
        <v>659.88</v>
      </c>
      <c r="Z44" s="26">
        <v>0</v>
      </c>
      <c r="AA44" s="26" t="s">
        <v>177</v>
      </c>
      <c r="AB44" s="26" t="s">
        <v>188</v>
      </c>
      <c r="AC44" s="26">
        <v>39201019</v>
      </c>
      <c r="AD44" s="26" t="s">
        <v>208</v>
      </c>
      <c r="AE44" s="26">
        <v>1</v>
      </c>
      <c r="AF44" s="26">
        <v>14.1</v>
      </c>
      <c r="AG44" s="26" t="s">
        <v>209</v>
      </c>
    </row>
    <row r="45" spans="1:33" ht="15" customHeight="1" x14ac:dyDescent="0.25">
      <c r="A45" s="26"/>
      <c r="B45" s="29">
        <v>46302</v>
      </c>
      <c r="C45" s="26" t="s">
        <v>219</v>
      </c>
      <c r="D45" s="26" t="s">
        <v>206</v>
      </c>
      <c r="E45" s="26">
        <v>333</v>
      </c>
      <c r="F45" s="26" t="s">
        <v>272</v>
      </c>
      <c r="G45" s="26" t="s">
        <v>361</v>
      </c>
      <c r="H45" s="29">
        <v>46302</v>
      </c>
      <c r="I45" s="26" t="s">
        <v>169</v>
      </c>
      <c r="J45" s="26" t="s">
        <v>180</v>
      </c>
      <c r="K45" s="26" t="s">
        <v>155</v>
      </c>
      <c r="L45" s="26" t="s">
        <v>210</v>
      </c>
      <c r="M45" s="26" t="s">
        <v>187</v>
      </c>
      <c r="N45" s="26">
        <v>806.5</v>
      </c>
      <c r="O45" s="20">
        <v>124797.81</v>
      </c>
      <c r="P45" s="26" t="s">
        <v>187</v>
      </c>
      <c r="Q45" s="26">
        <v>324655.63</v>
      </c>
      <c r="R45" s="26">
        <v>9</v>
      </c>
      <c r="S45" s="26">
        <v>11231.8</v>
      </c>
      <c r="T45" s="26">
        <v>9</v>
      </c>
      <c r="U45" s="26">
        <v>11231.8</v>
      </c>
      <c r="V45" s="26">
        <v>0</v>
      </c>
      <c r="W45" s="26">
        <v>0</v>
      </c>
      <c r="X45" s="26">
        <v>0</v>
      </c>
      <c r="Y45" s="26">
        <v>22463.599999999999</v>
      </c>
      <c r="Z45" s="26">
        <v>0</v>
      </c>
      <c r="AA45" s="26" t="s">
        <v>177</v>
      </c>
      <c r="AB45" s="26" t="s">
        <v>188</v>
      </c>
      <c r="AC45" s="26">
        <v>39269080</v>
      </c>
      <c r="AD45" s="26" t="s">
        <v>208</v>
      </c>
      <c r="AE45" s="26">
        <v>1</v>
      </c>
      <c r="AF45" s="26">
        <v>806.5</v>
      </c>
      <c r="AG45" s="26" t="s">
        <v>209</v>
      </c>
    </row>
    <row r="46" spans="1:33" x14ac:dyDescent="0.25">
      <c r="A46" s="26"/>
      <c r="B46" s="29">
        <v>46302</v>
      </c>
      <c r="C46" s="26" t="s">
        <v>219</v>
      </c>
      <c r="D46" s="26" t="s">
        <v>206</v>
      </c>
      <c r="E46" s="26">
        <v>333</v>
      </c>
      <c r="F46" s="26" t="s">
        <v>272</v>
      </c>
      <c r="G46" s="26" t="s">
        <v>361</v>
      </c>
      <c r="H46" s="29">
        <v>46302</v>
      </c>
      <c r="I46" s="26" t="s">
        <v>169</v>
      </c>
      <c r="J46" s="26" t="s">
        <v>180</v>
      </c>
      <c r="K46" s="26" t="s">
        <v>156</v>
      </c>
      <c r="L46" s="26" t="s">
        <v>218</v>
      </c>
      <c r="M46" s="26" t="s">
        <v>179</v>
      </c>
      <c r="N46" s="26">
        <v>420</v>
      </c>
      <c r="O46" s="20">
        <v>66670.8</v>
      </c>
      <c r="P46" s="26" t="s">
        <v>362</v>
      </c>
      <c r="Q46" s="26">
        <v>0</v>
      </c>
      <c r="R46" s="26">
        <v>9</v>
      </c>
      <c r="S46" s="26">
        <v>6000.37</v>
      </c>
      <c r="T46" s="26">
        <v>9</v>
      </c>
      <c r="U46" s="26">
        <v>6000.37</v>
      </c>
      <c r="V46" s="26">
        <v>0</v>
      </c>
      <c r="W46" s="26">
        <v>0</v>
      </c>
      <c r="X46" s="26">
        <v>0</v>
      </c>
      <c r="Y46" s="26">
        <v>12000.74</v>
      </c>
      <c r="Z46" s="26">
        <v>0</v>
      </c>
      <c r="AA46" s="26" t="s">
        <v>177</v>
      </c>
      <c r="AB46" s="26" t="s">
        <v>188</v>
      </c>
      <c r="AC46" s="26">
        <v>39269080</v>
      </c>
      <c r="AD46" s="26" t="s">
        <v>208</v>
      </c>
      <c r="AE46" s="26">
        <v>1</v>
      </c>
      <c r="AF46" s="26">
        <v>420</v>
      </c>
      <c r="AG46" s="26" t="s">
        <v>209</v>
      </c>
    </row>
    <row r="47" spans="1:33" x14ac:dyDescent="0.25">
      <c r="A47" s="26"/>
      <c r="B47" s="29">
        <v>46302</v>
      </c>
      <c r="C47" s="26" t="s">
        <v>219</v>
      </c>
      <c r="D47" s="26" t="s">
        <v>206</v>
      </c>
      <c r="E47" s="26">
        <v>333</v>
      </c>
      <c r="F47" s="26" t="s">
        <v>272</v>
      </c>
      <c r="G47" s="26" t="s">
        <v>361</v>
      </c>
      <c r="H47" s="29">
        <v>46302</v>
      </c>
      <c r="I47" s="26" t="s">
        <v>169</v>
      </c>
      <c r="J47" s="26" t="s">
        <v>182</v>
      </c>
      <c r="K47" s="26" t="s">
        <v>154</v>
      </c>
      <c r="L47" s="26" t="s">
        <v>154</v>
      </c>
      <c r="M47" s="26" t="s">
        <v>182</v>
      </c>
      <c r="N47" s="26">
        <v>237.2</v>
      </c>
      <c r="O47" s="20">
        <v>37178.730000000003</v>
      </c>
      <c r="P47" s="26" t="s">
        <v>182</v>
      </c>
      <c r="Q47" s="26">
        <v>0</v>
      </c>
      <c r="R47" s="26">
        <v>9</v>
      </c>
      <c r="S47" s="26">
        <v>3346.09</v>
      </c>
      <c r="T47" s="26">
        <v>9</v>
      </c>
      <c r="U47" s="26">
        <v>3346.09</v>
      </c>
      <c r="V47" s="26">
        <v>0</v>
      </c>
      <c r="W47" s="26">
        <v>0</v>
      </c>
      <c r="X47" s="26">
        <v>0</v>
      </c>
      <c r="Y47" s="26">
        <v>6692.18</v>
      </c>
      <c r="Z47" s="26">
        <v>0</v>
      </c>
      <c r="AA47" s="26" t="s">
        <v>177</v>
      </c>
      <c r="AB47" s="26" t="s">
        <v>188</v>
      </c>
      <c r="AC47" s="26">
        <v>39269080</v>
      </c>
      <c r="AD47" s="26" t="s">
        <v>208</v>
      </c>
      <c r="AE47" s="26">
        <v>1</v>
      </c>
      <c r="AF47" s="26">
        <v>237.2</v>
      </c>
      <c r="AG47" s="26" t="s">
        <v>209</v>
      </c>
    </row>
    <row r="48" spans="1:33" x14ac:dyDescent="0.25">
      <c r="A48" s="26"/>
      <c r="B48" s="29">
        <v>46302</v>
      </c>
      <c r="C48" s="26" t="s">
        <v>219</v>
      </c>
      <c r="D48" s="26" t="s">
        <v>206</v>
      </c>
      <c r="E48" s="26">
        <v>333</v>
      </c>
      <c r="F48" s="26" t="s">
        <v>272</v>
      </c>
      <c r="G48" s="26" t="s">
        <v>361</v>
      </c>
      <c r="H48" s="29">
        <v>46302</v>
      </c>
      <c r="I48" s="26" t="s">
        <v>169</v>
      </c>
      <c r="J48" s="26" t="s">
        <v>170</v>
      </c>
      <c r="K48" s="26" t="s">
        <v>157</v>
      </c>
      <c r="L48" s="26" t="s">
        <v>233</v>
      </c>
      <c r="M48" s="26" t="s">
        <v>291</v>
      </c>
      <c r="N48" s="34">
        <v>87.1</v>
      </c>
      <c r="O48" s="20">
        <v>17525.39</v>
      </c>
      <c r="P48" s="26" t="s">
        <v>291</v>
      </c>
      <c r="Q48" s="26">
        <v>0</v>
      </c>
      <c r="R48" s="26">
        <v>2.5</v>
      </c>
      <c r="S48" s="26">
        <v>438.13</v>
      </c>
      <c r="T48" s="26">
        <v>2.5</v>
      </c>
      <c r="U48" s="26">
        <v>438.13</v>
      </c>
      <c r="V48" s="26">
        <v>0</v>
      </c>
      <c r="W48" s="26">
        <v>0</v>
      </c>
      <c r="X48" s="26">
        <v>0</v>
      </c>
      <c r="Y48" s="26">
        <v>876.26</v>
      </c>
      <c r="Z48" s="26">
        <v>0</v>
      </c>
      <c r="AA48" s="26" t="s">
        <v>177</v>
      </c>
      <c r="AB48" s="26" t="s">
        <v>188</v>
      </c>
      <c r="AC48" s="26">
        <v>54026930</v>
      </c>
      <c r="AD48" s="26" t="s">
        <v>208</v>
      </c>
      <c r="AE48" s="26">
        <v>1</v>
      </c>
      <c r="AF48" s="26">
        <v>87.1</v>
      </c>
      <c r="AG48" s="26" t="s">
        <v>209</v>
      </c>
    </row>
    <row r="49" spans="1:33" x14ac:dyDescent="0.25">
      <c r="A49" s="26"/>
      <c r="B49" s="29">
        <v>46302</v>
      </c>
      <c r="C49" s="26" t="s">
        <v>219</v>
      </c>
      <c r="D49" s="26" t="s">
        <v>206</v>
      </c>
      <c r="E49" s="26">
        <v>333</v>
      </c>
      <c r="F49" s="26" t="s">
        <v>272</v>
      </c>
      <c r="G49" s="26" t="s">
        <v>361</v>
      </c>
      <c r="H49" s="29">
        <v>46302</v>
      </c>
      <c r="I49" s="26" t="s">
        <v>192</v>
      </c>
      <c r="J49" s="26" t="s">
        <v>153</v>
      </c>
      <c r="K49" s="26" t="s">
        <v>153</v>
      </c>
      <c r="L49" s="26" t="s">
        <v>218</v>
      </c>
      <c r="M49" s="26" t="s">
        <v>153</v>
      </c>
      <c r="N49" s="34">
        <v>231</v>
      </c>
      <c r="O49" s="20">
        <v>31124.94</v>
      </c>
      <c r="P49" s="26" t="s">
        <v>235</v>
      </c>
      <c r="Q49" s="26">
        <v>0</v>
      </c>
      <c r="R49" s="26">
        <v>9</v>
      </c>
      <c r="S49" s="26">
        <v>2801.24</v>
      </c>
      <c r="T49" s="26">
        <v>9</v>
      </c>
      <c r="U49" s="26">
        <v>2801.24</v>
      </c>
      <c r="V49" s="26">
        <v>0</v>
      </c>
      <c r="W49" s="26">
        <v>0</v>
      </c>
      <c r="X49" s="26">
        <v>0</v>
      </c>
      <c r="Y49" s="26">
        <v>5602.48</v>
      </c>
      <c r="Z49" s="26">
        <v>0</v>
      </c>
      <c r="AA49" s="26" t="s">
        <v>177</v>
      </c>
      <c r="AB49" s="26" t="s">
        <v>188</v>
      </c>
      <c r="AC49" s="26">
        <v>39269080</v>
      </c>
      <c r="AD49" s="26" t="s">
        <v>208</v>
      </c>
      <c r="AE49" s="26">
        <v>1</v>
      </c>
      <c r="AF49" s="26">
        <v>231</v>
      </c>
      <c r="AG49" s="26" t="s">
        <v>209</v>
      </c>
    </row>
    <row r="50" spans="1:33" x14ac:dyDescent="0.25">
      <c r="A50" s="26"/>
      <c r="B50" s="29">
        <v>46302</v>
      </c>
      <c r="C50" s="26" t="s">
        <v>363</v>
      </c>
      <c r="D50" s="26" t="s">
        <v>206</v>
      </c>
      <c r="E50" s="26">
        <v>337</v>
      </c>
      <c r="F50" s="26" t="s">
        <v>272</v>
      </c>
      <c r="G50" s="26" t="s">
        <v>364</v>
      </c>
      <c r="H50" s="29">
        <v>46302</v>
      </c>
      <c r="I50" s="26" t="s">
        <v>169</v>
      </c>
      <c r="J50" s="26" t="s">
        <v>180</v>
      </c>
      <c r="K50" s="26" t="s">
        <v>156</v>
      </c>
      <c r="L50" s="26" t="s">
        <v>218</v>
      </c>
      <c r="M50" s="26" t="s">
        <v>179</v>
      </c>
      <c r="N50" s="26">
        <v>921</v>
      </c>
      <c r="O50" s="20">
        <v>144357.54</v>
      </c>
      <c r="P50" s="26" t="s">
        <v>179</v>
      </c>
      <c r="Q50" s="26">
        <v>969801.35</v>
      </c>
      <c r="R50" s="26">
        <v>9</v>
      </c>
      <c r="S50" s="26">
        <v>12992.18</v>
      </c>
      <c r="T50" s="26">
        <v>9</v>
      </c>
      <c r="U50" s="26">
        <v>12992.18</v>
      </c>
      <c r="V50" s="26">
        <v>0</v>
      </c>
      <c r="W50" s="26">
        <v>0</v>
      </c>
      <c r="X50" s="26">
        <v>0</v>
      </c>
      <c r="Y50" s="26">
        <v>25984.36</v>
      </c>
      <c r="Z50" s="26">
        <v>0</v>
      </c>
      <c r="AA50" s="26" t="s">
        <v>177</v>
      </c>
      <c r="AB50" s="26" t="s">
        <v>188</v>
      </c>
      <c r="AC50" s="26">
        <v>39269080</v>
      </c>
      <c r="AD50" s="26" t="s">
        <v>208</v>
      </c>
      <c r="AE50" s="26">
        <v>1</v>
      </c>
      <c r="AF50" s="26">
        <v>921</v>
      </c>
      <c r="AG50" s="26" t="s">
        <v>209</v>
      </c>
    </row>
    <row r="51" spans="1:33" x14ac:dyDescent="0.25">
      <c r="A51" s="26"/>
      <c r="B51" s="29">
        <v>46302</v>
      </c>
      <c r="C51" s="26" t="s">
        <v>363</v>
      </c>
      <c r="D51" s="26" t="s">
        <v>206</v>
      </c>
      <c r="E51" s="26">
        <v>337</v>
      </c>
      <c r="F51" s="26" t="s">
        <v>272</v>
      </c>
      <c r="G51" s="26" t="s">
        <v>364</v>
      </c>
      <c r="H51" s="29">
        <v>46302</v>
      </c>
      <c r="I51" s="26" t="s">
        <v>169</v>
      </c>
      <c r="J51" s="26" t="s">
        <v>180</v>
      </c>
      <c r="K51" s="26" t="s">
        <v>156</v>
      </c>
      <c r="L51" s="26" t="s">
        <v>218</v>
      </c>
      <c r="M51" s="26" t="s">
        <v>179</v>
      </c>
      <c r="N51" s="26">
        <v>477</v>
      </c>
      <c r="O51" s="20">
        <v>75718.98</v>
      </c>
      <c r="P51" s="26" t="s">
        <v>365</v>
      </c>
      <c r="Q51" s="26">
        <v>0</v>
      </c>
      <c r="R51" s="26">
        <v>9</v>
      </c>
      <c r="S51" s="26">
        <v>6814.71</v>
      </c>
      <c r="T51" s="26">
        <v>9</v>
      </c>
      <c r="U51" s="26">
        <v>6814.71</v>
      </c>
      <c r="V51" s="26">
        <v>0</v>
      </c>
      <c r="W51" s="26">
        <v>0</v>
      </c>
      <c r="X51" s="26">
        <v>0</v>
      </c>
      <c r="Y51" s="26">
        <v>13629.42</v>
      </c>
      <c r="Z51" s="26">
        <v>0</v>
      </c>
      <c r="AA51" s="26" t="s">
        <v>177</v>
      </c>
      <c r="AB51" s="26" t="s">
        <v>188</v>
      </c>
      <c r="AC51" s="26">
        <v>39269080</v>
      </c>
      <c r="AD51" s="26" t="s">
        <v>208</v>
      </c>
      <c r="AE51" s="26">
        <v>1</v>
      </c>
      <c r="AF51" s="26">
        <v>477</v>
      </c>
      <c r="AG51" s="26" t="s">
        <v>209</v>
      </c>
    </row>
    <row r="52" spans="1:33" x14ac:dyDescent="0.25">
      <c r="A52" s="26"/>
      <c r="B52" s="29">
        <v>46302</v>
      </c>
      <c r="C52" s="26" t="s">
        <v>363</v>
      </c>
      <c r="D52" s="26" t="s">
        <v>206</v>
      </c>
      <c r="E52" s="26">
        <v>337</v>
      </c>
      <c r="F52" s="26" t="s">
        <v>272</v>
      </c>
      <c r="G52" s="26" t="s">
        <v>364</v>
      </c>
      <c r="H52" s="29">
        <v>46302</v>
      </c>
      <c r="I52" s="26" t="s">
        <v>169</v>
      </c>
      <c r="J52" s="26" t="s">
        <v>182</v>
      </c>
      <c r="K52" s="26" t="s">
        <v>154</v>
      </c>
      <c r="L52" s="26" t="s">
        <v>154</v>
      </c>
      <c r="M52" s="26" t="s">
        <v>182</v>
      </c>
      <c r="N52" s="26">
        <v>726</v>
      </c>
      <c r="O52" s="20">
        <v>113793.24</v>
      </c>
      <c r="P52" s="26" t="s">
        <v>366</v>
      </c>
      <c r="Q52" s="26">
        <v>0</v>
      </c>
      <c r="R52" s="26">
        <v>9</v>
      </c>
      <c r="S52" s="26">
        <v>10241.39</v>
      </c>
      <c r="T52" s="26">
        <v>9</v>
      </c>
      <c r="U52" s="26">
        <v>10241.39</v>
      </c>
      <c r="V52" s="26">
        <v>0</v>
      </c>
      <c r="W52" s="26">
        <v>0</v>
      </c>
      <c r="X52" s="26">
        <v>0</v>
      </c>
      <c r="Y52" s="26">
        <v>20482.78</v>
      </c>
      <c r="Z52" s="26">
        <v>0</v>
      </c>
      <c r="AA52" s="26" t="s">
        <v>177</v>
      </c>
      <c r="AB52" s="26" t="s">
        <v>188</v>
      </c>
      <c r="AC52" s="26">
        <v>39269080</v>
      </c>
      <c r="AD52" s="26" t="s">
        <v>208</v>
      </c>
      <c r="AE52" s="26">
        <v>1</v>
      </c>
      <c r="AF52" s="26">
        <v>726</v>
      </c>
      <c r="AG52" s="26" t="s">
        <v>209</v>
      </c>
    </row>
    <row r="53" spans="1:33" x14ac:dyDescent="0.25">
      <c r="A53" s="26"/>
      <c r="B53" s="29">
        <v>46302</v>
      </c>
      <c r="C53" s="26" t="s">
        <v>363</v>
      </c>
      <c r="D53" s="26" t="s">
        <v>206</v>
      </c>
      <c r="E53" s="26">
        <v>337</v>
      </c>
      <c r="F53" s="26" t="s">
        <v>272</v>
      </c>
      <c r="G53" s="26" t="s">
        <v>364</v>
      </c>
      <c r="H53" s="29">
        <v>46302</v>
      </c>
      <c r="I53" s="26" t="s">
        <v>169</v>
      </c>
      <c r="J53" s="26" t="s">
        <v>180</v>
      </c>
      <c r="K53" s="26" t="s">
        <v>155</v>
      </c>
      <c r="L53" s="26" t="s">
        <v>210</v>
      </c>
      <c r="M53" s="26" t="s">
        <v>187</v>
      </c>
      <c r="N53" s="30">
        <v>1805.9</v>
      </c>
      <c r="O53" s="20">
        <v>279444.96999999997</v>
      </c>
      <c r="P53" s="26" t="s">
        <v>187</v>
      </c>
      <c r="Q53" s="26">
        <v>0</v>
      </c>
      <c r="R53" s="26">
        <v>9</v>
      </c>
      <c r="S53" s="26">
        <v>25150.05</v>
      </c>
      <c r="T53" s="26">
        <v>9</v>
      </c>
      <c r="U53" s="26">
        <v>25150.05</v>
      </c>
      <c r="V53" s="26">
        <v>0</v>
      </c>
      <c r="W53" s="26">
        <v>0</v>
      </c>
      <c r="X53" s="26">
        <v>0</v>
      </c>
      <c r="Y53" s="26">
        <v>50300.1</v>
      </c>
      <c r="Z53" s="26">
        <v>0</v>
      </c>
      <c r="AA53" s="26" t="s">
        <v>177</v>
      </c>
      <c r="AB53" s="26" t="s">
        <v>188</v>
      </c>
      <c r="AC53" s="26">
        <v>39269080</v>
      </c>
      <c r="AD53" s="26" t="s">
        <v>208</v>
      </c>
      <c r="AE53" s="26">
        <v>1</v>
      </c>
      <c r="AF53" s="26">
        <v>1805.9</v>
      </c>
      <c r="AG53" s="26" t="s">
        <v>209</v>
      </c>
    </row>
    <row r="54" spans="1:33" x14ac:dyDescent="0.25">
      <c r="A54" s="26"/>
      <c r="B54" s="29">
        <v>46302</v>
      </c>
      <c r="C54" s="26" t="s">
        <v>363</v>
      </c>
      <c r="D54" s="26" t="s">
        <v>206</v>
      </c>
      <c r="E54" s="26">
        <v>337</v>
      </c>
      <c r="F54" s="26" t="s">
        <v>272</v>
      </c>
      <c r="G54" s="26" t="s">
        <v>364</v>
      </c>
      <c r="H54" s="29">
        <v>46302</v>
      </c>
      <c r="I54" s="26" t="s">
        <v>169</v>
      </c>
      <c r="J54" s="26" t="s">
        <v>180</v>
      </c>
      <c r="K54" s="26" t="s">
        <v>155</v>
      </c>
      <c r="L54" s="26" t="s">
        <v>210</v>
      </c>
      <c r="M54" s="26" t="s">
        <v>187</v>
      </c>
      <c r="N54" s="26">
        <v>812</v>
      </c>
      <c r="O54" s="20">
        <v>127272.88</v>
      </c>
      <c r="P54" s="26" t="s">
        <v>367</v>
      </c>
      <c r="Q54" s="26">
        <v>0</v>
      </c>
      <c r="R54" s="26">
        <v>9</v>
      </c>
      <c r="S54" s="26">
        <v>11454.56</v>
      </c>
      <c r="T54" s="26">
        <v>9</v>
      </c>
      <c r="U54" s="26">
        <v>11454.56</v>
      </c>
      <c r="V54" s="26">
        <v>0</v>
      </c>
      <c r="W54" s="26">
        <v>0</v>
      </c>
      <c r="X54" s="26">
        <v>0</v>
      </c>
      <c r="Y54" s="26">
        <v>22909.119999999999</v>
      </c>
      <c r="Z54" s="26">
        <v>0</v>
      </c>
      <c r="AA54" s="26" t="s">
        <v>177</v>
      </c>
      <c r="AB54" s="26" t="s">
        <v>188</v>
      </c>
      <c r="AC54" s="26">
        <v>39269080</v>
      </c>
      <c r="AD54" s="26" t="s">
        <v>208</v>
      </c>
      <c r="AE54" s="26">
        <v>1</v>
      </c>
      <c r="AF54" s="26">
        <v>812</v>
      </c>
      <c r="AG54" s="26" t="s">
        <v>209</v>
      </c>
    </row>
    <row r="55" spans="1:33" x14ac:dyDescent="0.25">
      <c r="A55" s="26"/>
      <c r="B55" s="29">
        <v>46302</v>
      </c>
      <c r="C55" s="26" t="s">
        <v>363</v>
      </c>
      <c r="D55" s="26" t="s">
        <v>206</v>
      </c>
      <c r="E55" s="26">
        <v>337</v>
      </c>
      <c r="F55" s="26" t="s">
        <v>272</v>
      </c>
      <c r="G55" s="26" t="s">
        <v>364</v>
      </c>
      <c r="H55" s="29">
        <v>46302</v>
      </c>
      <c r="I55" s="26" t="s">
        <v>192</v>
      </c>
      <c r="J55" s="26" t="s">
        <v>153</v>
      </c>
      <c r="K55" s="26" t="s">
        <v>153</v>
      </c>
      <c r="L55" s="26" t="s">
        <v>218</v>
      </c>
      <c r="M55" s="26" t="s">
        <v>153</v>
      </c>
      <c r="N55" s="34">
        <v>523</v>
      </c>
      <c r="O55" s="20">
        <v>81975.02</v>
      </c>
      <c r="P55" s="26" t="s">
        <v>293</v>
      </c>
      <c r="Q55" s="26">
        <v>0</v>
      </c>
      <c r="R55" s="26">
        <v>9</v>
      </c>
      <c r="S55" s="26">
        <v>7377.75</v>
      </c>
      <c r="T55" s="26">
        <v>9</v>
      </c>
      <c r="U55" s="26">
        <v>7377.75</v>
      </c>
      <c r="V55" s="26">
        <v>0</v>
      </c>
      <c r="W55" s="26">
        <v>0</v>
      </c>
      <c r="X55" s="26">
        <v>0</v>
      </c>
      <c r="Y55" s="26">
        <v>14755.5</v>
      </c>
      <c r="Z55" s="26">
        <v>0</v>
      </c>
      <c r="AA55" s="26" t="s">
        <v>177</v>
      </c>
      <c r="AB55" s="26" t="s">
        <v>188</v>
      </c>
      <c r="AC55" s="26">
        <v>39269080</v>
      </c>
      <c r="AD55" s="26" t="s">
        <v>208</v>
      </c>
      <c r="AE55" s="26">
        <v>1</v>
      </c>
      <c r="AF55" s="26">
        <v>523</v>
      </c>
      <c r="AG55" s="26" t="s">
        <v>209</v>
      </c>
    </row>
    <row r="56" spans="1:33" x14ac:dyDescent="0.25">
      <c r="A56" s="26"/>
      <c r="B56" s="29">
        <v>46333</v>
      </c>
      <c r="C56" s="26" t="s">
        <v>222</v>
      </c>
      <c r="D56" s="26" t="s">
        <v>212</v>
      </c>
      <c r="E56" s="26" t="s">
        <v>368</v>
      </c>
      <c r="F56" s="26" t="s">
        <v>231</v>
      </c>
      <c r="G56" s="26" t="s">
        <v>368</v>
      </c>
      <c r="H56" s="29">
        <v>46333</v>
      </c>
      <c r="I56" s="26" t="s">
        <v>192</v>
      </c>
      <c r="J56" s="26" t="s">
        <v>152</v>
      </c>
      <c r="K56" s="26" t="s">
        <v>162</v>
      </c>
      <c r="L56" s="26" t="s">
        <v>207</v>
      </c>
      <c r="M56" s="26" t="s">
        <v>191</v>
      </c>
      <c r="N56" s="30">
        <v>7549</v>
      </c>
      <c r="O56" s="20">
        <v>1682252</v>
      </c>
      <c r="P56" s="26" t="s">
        <v>214</v>
      </c>
      <c r="Q56" s="26">
        <v>1682252</v>
      </c>
      <c r="R56" s="26">
        <v>0</v>
      </c>
      <c r="S56" s="26">
        <v>0</v>
      </c>
      <c r="T56" s="26">
        <v>0</v>
      </c>
      <c r="U56" s="26">
        <v>0</v>
      </c>
      <c r="V56" s="26">
        <v>18</v>
      </c>
      <c r="W56" s="26">
        <v>302805.36</v>
      </c>
      <c r="X56" s="26">
        <v>0</v>
      </c>
      <c r="Y56" s="26">
        <v>302805.36</v>
      </c>
      <c r="Z56" s="26">
        <v>0</v>
      </c>
      <c r="AA56" s="26" t="s">
        <v>221</v>
      </c>
      <c r="AB56" s="26" t="s">
        <v>188</v>
      </c>
      <c r="AC56" s="26">
        <v>63053200</v>
      </c>
      <c r="AD56" s="26" t="s">
        <v>216</v>
      </c>
      <c r="AE56" s="26">
        <v>93.5</v>
      </c>
      <c r="AF56" s="26">
        <v>7549</v>
      </c>
      <c r="AG56" s="26" t="s">
        <v>225</v>
      </c>
    </row>
    <row r="57" spans="1:33" x14ac:dyDescent="0.25">
      <c r="A57" s="26"/>
      <c r="B57" s="29">
        <v>46333</v>
      </c>
      <c r="C57" s="26" t="s">
        <v>222</v>
      </c>
      <c r="D57" s="26" t="s">
        <v>212</v>
      </c>
      <c r="E57" s="26" t="s">
        <v>369</v>
      </c>
      <c r="F57" s="26" t="s">
        <v>223</v>
      </c>
      <c r="G57" s="26" t="s">
        <v>369</v>
      </c>
      <c r="H57" s="29">
        <v>46333</v>
      </c>
      <c r="I57" s="26" t="s">
        <v>192</v>
      </c>
      <c r="J57" s="26" t="s">
        <v>152</v>
      </c>
      <c r="K57" s="26" t="s">
        <v>163</v>
      </c>
      <c r="L57" s="26" t="s">
        <v>207</v>
      </c>
      <c r="M57" s="26" t="s">
        <v>191</v>
      </c>
      <c r="N57" s="30">
        <v>17778</v>
      </c>
      <c r="O57" s="20">
        <v>4458335.25</v>
      </c>
      <c r="P57" s="26" t="s">
        <v>224</v>
      </c>
      <c r="Q57" s="26">
        <v>4458335.26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 t="s">
        <v>221</v>
      </c>
      <c r="AB57" s="26" t="s">
        <v>188</v>
      </c>
      <c r="AC57" s="26">
        <v>63053200</v>
      </c>
      <c r="AD57" s="26" t="s">
        <v>216</v>
      </c>
      <c r="AE57" s="26">
        <v>93.5</v>
      </c>
      <c r="AF57" s="26">
        <v>17778</v>
      </c>
      <c r="AG57" s="26" t="s">
        <v>225</v>
      </c>
    </row>
    <row r="58" spans="1:33" ht="15" customHeight="1" x14ac:dyDescent="0.25">
      <c r="A58" s="24"/>
      <c r="B58" s="29">
        <v>46333</v>
      </c>
      <c r="C58" s="24" t="s">
        <v>370</v>
      </c>
      <c r="D58" s="24" t="s">
        <v>206</v>
      </c>
      <c r="E58" s="24">
        <v>339</v>
      </c>
      <c r="F58" s="24" t="s">
        <v>272</v>
      </c>
      <c r="G58" s="24" t="s">
        <v>371</v>
      </c>
      <c r="H58" s="27">
        <v>46333</v>
      </c>
      <c r="I58" s="24" t="s">
        <v>169</v>
      </c>
      <c r="J58" s="24" t="s">
        <v>180</v>
      </c>
      <c r="K58" s="26" t="s">
        <v>156</v>
      </c>
      <c r="L58" s="24" t="s">
        <v>218</v>
      </c>
      <c r="M58" s="24" t="s">
        <v>179</v>
      </c>
      <c r="N58" s="24">
        <v>813</v>
      </c>
      <c r="O58" s="20">
        <v>167876.37</v>
      </c>
      <c r="P58" s="26" t="s">
        <v>244</v>
      </c>
      <c r="Q58" s="24">
        <v>197926.23</v>
      </c>
      <c r="R58" s="24">
        <v>9</v>
      </c>
      <c r="S58" s="24">
        <v>15108.87</v>
      </c>
      <c r="T58" s="24">
        <v>9</v>
      </c>
      <c r="U58" s="24">
        <v>15108.87</v>
      </c>
      <c r="V58" s="24">
        <v>0</v>
      </c>
      <c r="W58" s="24">
        <v>0</v>
      </c>
      <c r="X58" s="24">
        <v>0</v>
      </c>
      <c r="Y58" s="24">
        <v>30217.74</v>
      </c>
      <c r="Z58" s="24">
        <v>0</v>
      </c>
      <c r="AA58" s="24" t="s">
        <v>189</v>
      </c>
      <c r="AB58" s="24" t="s">
        <v>188</v>
      </c>
      <c r="AC58" s="24">
        <v>39269080</v>
      </c>
      <c r="AD58" s="24" t="s">
        <v>208</v>
      </c>
      <c r="AE58" s="24">
        <v>1</v>
      </c>
      <c r="AF58" s="26">
        <v>813</v>
      </c>
      <c r="AG58" s="24" t="s">
        <v>209</v>
      </c>
    </row>
    <row r="59" spans="1:33" x14ac:dyDescent="0.25">
      <c r="A59" s="26"/>
      <c r="B59" s="29">
        <v>46333</v>
      </c>
      <c r="C59" s="26" t="s">
        <v>370</v>
      </c>
      <c r="D59" s="26" t="s">
        <v>206</v>
      </c>
      <c r="E59" s="26">
        <v>340</v>
      </c>
      <c r="F59" s="26" t="s">
        <v>272</v>
      </c>
      <c r="G59" s="26" t="s">
        <v>372</v>
      </c>
      <c r="H59" s="29">
        <v>46333</v>
      </c>
      <c r="I59" s="26" t="s">
        <v>169</v>
      </c>
      <c r="J59" s="26" t="s">
        <v>180</v>
      </c>
      <c r="K59" s="26" t="s">
        <v>156</v>
      </c>
      <c r="L59" s="26" t="s">
        <v>218</v>
      </c>
      <c r="M59" s="26" t="s">
        <v>179</v>
      </c>
      <c r="N59" s="26">
        <v>366</v>
      </c>
      <c r="O59" s="20">
        <v>75575.34</v>
      </c>
      <c r="P59" s="26" t="s">
        <v>373</v>
      </c>
      <c r="Q59" s="26">
        <v>89103.32</v>
      </c>
      <c r="R59" s="26">
        <v>9</v>
      </c>
      <c r="S59" s="26">
        <v>6801.78</v>
      </c>
      <c r="T59" s="26">
        <v>9</v>
      </c>
      <c r="U59" s="26">
        <v>6801.78</v>
      </c>
      <c r="V59" s="26">
        <v>0</v>
      </c>
      <c r="W59" s="26">
        <v>0</v>
      </c>
      <c r="X59" s="26">
        <v>0</v>
      </c>
      <c r="Y59" s="26">
        <v>13603.56</v>
      </c>
      <c r="Z59" s="26">
        <v>0</v>
      </c>
      <c r="AA59" s="26" t="s">
        <v>189</v>
      </c>
      <c r="AB59" s="26" t="s">
        <v>188</v>
      </c>
      <c r="AC59" s="26">
        <v>39269080</v>
      </c>
      <c r="AD59" s="26" t="s">
        <v>208</v>
      </c>
      <c r="AE59" s="26">
        <v>1</v>
      </c>
      <c r="AF59" s="26">
        <v>366</v>
      </c>
      <c r="AG59" s="26" t="s">
        <v>209</v>
      </c>
    </row>
    <row r="60" spans="1:33" x14ac:dyDescent="0.25">
      <c r="A60" s="26"/>
      <c r="B60" s="29">
        <v>46333</v>
      </c>
      <c r="C60" s="26" t="s">
        <v>211</v>
      </c>
      <c r="D60" s="26" t="s">
        <v>212</v>
      </c>
      <c r="E60" s="26" t="s">
        <v>374</v>
      </c>
      <c r="F60" s="26" t="s">
        <v>213</v>
      </c>
      <c r="G60" s="26" t="s">
        <v>374</v>
      </c>
      <c r="H60" s="29">
        <v>46333</v>
      </c>
      <c r="I60" s="26" t="s">
        <v>192</v>
      </c>
      <c r="J60" s="26" t="s">
        <v>152</v>
      </c>
      <c r="K60" s="26" t="s">
        <v>162</v>
      </c>
      <c r="L60" s="26" t="s">
        <v>207</v>
      </c>
      <c r="M60" s="26" t="s">
        <v>191</v>
      </c>
      <c r="N60" s="30">
        <v>9140</v>
      </c>
      <c r="O60" s="20">
        <v>1711008</v>
      </c>
      <c r="P60" s="26" t="s">
        <v>214</v>
      </c>
      <c r="Q60" s="26">
        <v>1709296.99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 t="s">
        <v>215</v>
      </c>
      <c r="AB60" s="26" t="s">
        <v>188</v>
      </c>
      <c r="AC60" s="26">
        <v>63053200</v>
      </c>
      <c r="AD60" s="26" t="s">
        <v>216</v>
      </c>
      <c r="AE60" s="26">
        <v>93.6</v>
      </c>
      <c r="AF60" s="26">
        <v>9140</v>
      </c>
      <c r="AG60" s="26" t="s">
        <v>209</v>
      </c>
    </row>
    <row r="61" spans="1:33" x14ac:dyDescent="0.25">
      <c r="A61" s="26"/>
      <c r="B61" s="29">
        <v>46333</v>
      </c>
      <c r="C61" s="26" t="s">
        <v>211</v>
      </c>
      <c r="D61" s="26" t="s">
        <v>212</v>
      </c>
      <c r="E61" s="26" t="s">
        <v>375</v>
      </c>
      <c r="F61" s="26" t="s">
        <v>213</v>
      </c>
      <c r="G61" s="26" t="s">
        <v>375</v>
      </c>
      <c r="H61" s="29">
        <v>46333</v>
      </c>
      <c r="I61" s="26" t="s">
        <v>192</v>
      </c>
      <c r="J61" s="26" t="s">
        <v>152</v>
      </c>
      <c r="K61" s="26" t="s">
        <v>162</v>
      </c>
      <c r="L61" s="26" t="s">
        <v>207</v>
      </c>
      <c r="M61" s="26" t="s">
        <v>191</v>
      </c>
      <c r="N61" s="30">
        <v>5925</v>
      </c>
      <c r="O61" s="20">
        <v>1109160</v>
      </c>
      <c r="P61" s="26" t="s">
        <v>214</v>
      </c>
      <c r="Q61" s="26">
        <v>1108050.8400000001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 t="s">
        <v>215</v>
      </c>
      <c r="AB61" s="26" t="s">
        <v>188</v>
      </c>
      <c r="AC61" s="26">
        <v>63053200</v>
      </c>
      <c r="AD61" s="26" t="s">
        <v>216</v>
      </c>
      <c r="AE61" s="26">
        <v>93.6</v>
      </c>
      <c r="AF61" s="26">
        <v>5925</v>
      </c>
      <c r="AG61" s="26" t="s">
        <v>209</v>
      </c>
    </row>
    <row r="62" spans="1:33" x14ac:dyDescent="0.25">
      <c r="A62" s="26"/>
      <c r="B62" s="29">
        <v>46333</v>
      </c>
      <c r="C62" s="26" t="s">
        <v>211</v>
      </c>
      <c r="D62" s="26" t="s">
        <v>212</v>
      </c>
      <c r="E62" s="26" t="s">
        <v>376</v>
      </c>
      <c r="F62" s="26" t="s">
        <v>213</v>
      </c>
      <c r="G62" s="26" t="s">
        <v>376</v>
      </c>
      <c r="H62" s="29">
        <v>46333</v>
      </c>
      <c r="I62" s="26" t="s">
        <v>169</v>
      </c>
      <c r="J62" s="26" t="s">
        <v>180</v>
      </c>
      <c r="K62" s="26" t="s">
        <v>573</v>
      </c>
      <c r="L62" s="26" t="s">
        <v>210</v>
      </c>
      <c r="M62" s="26" t="s">
        <v>187</v>
      </c>
      <c r="N62" s="26">
        <v>178</v>
      </c>
      <c r="O62" s="20">
        <v>18351.36</v>
      </c>
      <c r="P62" s="26" t="s">
        <v>187</v>
      </c>
      <c r="Q62" s="26">
        <v>18333.43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 t="s">
        <v>215</v>
      </c>
      <c r="AB62" s="26" t="s">
        <v>188</v>
      </c>
      <c r="AC62" s="26">
        <v>39269080</v>
      </c>
      <c r="AD62" s="26" t="s">
        <v>216</v>
      </c>
      <c r="AE62" s="26">
        <v>89.65</v>
      </c>
      <c r="AF62" s="26">
        <v>178</v>
      </c>
      <c r="AG62" s="26" t="s">
        <v>209</v>
      </c>
    </row>
    <row r="63" spans="1:33" x14ac:dyDescent="0.25">
      <c r="A63" s="26"/>
      <c r="B63" s="29">
        <v>46333</v>
      </c>
      <c r="C63" s="26" t="s">
        <v>211</v>
      </c>
      <c r="D63" s="26" t="s">
        <v>229</v>
      </c>
      <c r="E63" s="26" t="s">
        <v>377</v>
      </c>
      <c r="F63" s="26" t="s">
        <v>213</v>
      </c>
      <c r="G63" s="26" t="s">
        <v>377</v>
      </c>
      <c r="H63" s="29">
        <v>46333</v>
      </c>
      <c r="I63" s="26" t="s">
        <v>169</v>
      </c>
      <c r="J63" s="26" t="s">
        <v>180</v>
      </c>
      <c r="K63" s="26" t="s">
        <v>574</v>
      </c>
      <c r="L63" s="26" t="s">
        <v>218</v>
      </c>
      <c r="M63" s="26" t="s">
        <v>179</v>
      </c>
      <c r="N63" s="26">
        <v>285</v>
      </c>
      <c r="O63" s="20">
        <v>42313.95</v>
      </c>
      <c r="P63" s="26" t="s">
        <v>179</v>
      </c>
      <c r="Q63" s="26">
        <v>61180.71</v>
      </c>
      <c r="R63" s="26"/>
      <c r="S63" s="26">
        <v>0</v>
      </c>
      <c r="T63" s="26"/>
      <c r="U63" s="26">
        <v>0</v>
      </c>
      <c r="V63" s="26"/>
      <c r="W63" s="26">
        <v>0</v>
      </c>
      <c r="X63" s="26">
        <v>0</v>
      </c>
      <c r="Y63" s="26">
        <v>0</v>
      </c>
      <c r="Z63" s="26">
        <v>0</v>
      </c>
      <c r="AA63" s="26" t="s">
        <v>215</v>
      </c>
      <c r="AB63" s="26" t="s">
        <v>188</v>
      </c>
      <c r="AC63" s="26">
        <v>39269080</v>
      </c>
      <c r="AD63" s="26" t="s">
        <v>208</v>
      </c>
      <c r="AE63" s="26">
        <v>1</v>
      </c>
      <c r="AF63" s="26">
        <v>285</v>
      </c>
      <c r="AG63" s="26" t="s">
        <v>209</v>
      </c>
    </row>
    <row r="64" spans="1:33" x14ac:dyDescent="0.25">
      <c r="A64" s="26"/>
      <c r="B64" s="29">
        <v>46333</v>
      </c>
      <c r="C64" s="26" t="s">
        <v>211</v>
      </c>
      <c r="D64" s="26" t="s">
        <v>229</v>
      </c>
      <c r="E64" s="26" t="s">
        <v>377</v>
      </c>
      <c r="F64" s="26" t="s">
        <v>213</v>
      </c>
      <c r="G64" s="26" t="s">
        <v>377</v>
      </c>
      <c r="H64" s="29">
        <v>46333</v>
      </c>
      <c r="I64" s="26" t="s">
        <v>192</v>
      </c>
      <c r="J64" s="26" t="s">
        <v>153</v>
      </c>
      <c r="K64" s="26" t="s">
        <v>572</v>
      </c>
      <c r="L64" s="26" t="s">
        <v>233</v>
      </c>
      <c r="M64" s="26" t="s">
        <v>153</v>
      </c>
      <c r="N64" s="34">
        <v>118.3</v>
      </c>
      <c r="O64" s="20">
        <v>18928</v>
      </c>
      <c r="P64" s="26" t="s">
        <v>378</v>
      </c>
      <c r="Q64" s="26">
        <v>0</v>
      </c>
      <c r="R64" s="26"/>
      <c r="S64" s="26">
        <v>0</v>
      </c>
      <c r="T64" s="26"/>
      <c r="U64" s="26">
        <v>0</v>
      </c>
      <c r="V64" s="26"/>
      <c r="W64" s="26">
        <v>0</v>
      </c>
      <c r="X64" s="26">
        <v>0</v>
      </c>
      <c r="Y64" s="26">
        <v>0</v>
      </c>
      <c r="Z64" s="26">
        <v>0</v>
      </c>
      <c r="AA64" s="26" t="s">
        <v>215</v>
      </c>
      <c r="AB64" s="26" t="s">
        <v>188</v>
      </c>
      <c r="AC64" s="26">
        <v>54026300</v>
      </c>
      <c r="AD64" s="26" t="s">
        <v>208</v>
      </c>
      <c r="AE64" s="26">
        <v>1</v>
      </c>
      <c r="AF64" s="26">
        <v>118.3</v>
      </c>
      <c r="AG64" s="26" t="s">
        <v>209</v>
      </c>
    </row>
    <row r="65" spans="1:33" x14ac:dyDescent="0.25">
      <c r="A65" s="26"/>
      <c r="B65" s="29">
        <v>46333</v>
      </c>
      <c r="C65" s="26" t="s">
        <v>219</v>
      </c>
      <c r="D65" s="26" t="s">
        <v>206</v>
      </c>
      <c r="E65" s="26">
        <v>338</v>
      </c>
      <c r="F65" s="26" t="s">
        <v>272</v>
      </c>
      <c r="G65" s="26" t="s">
        <v>379</v>
      </c>
      <c r="H65" s="29">
        <v>46333</v>
      </c>
      <c r="I65" s="26" t="s">
        <v>192</v>
      </c>
      <c r="J65" s="26" t="s">
        <v>152</v>
      </c>
      <c r="K65" s="26" t="s">
        <v>152</v>
      </c>
      <c r="L65" s="26" t="s">
        <v>207</v>
      </c>
      <c r="M65" s="26" t="s">
        <v>191</v>
      </c>
      <c r="N65" s="30">
        <v>8405</v>
      </c>
      <c r="O65" s="20">
        <v>1587872.6</v>
      </c>
      <c r="P65" s="26" t="s">
        <v>380</v>
      </c>
      <c r="Q65" s="26">
        <v>4711392.21</v>
      </c>
      <c r="R65" s="26">
        <v>9</v>
      </c>
      <c r="S65" s="26">
        <v>142908.53</v>
      </c>
      <c r="T65" s="26">
        <v>9</v>
      </c>
      <c r="U65" s="26">
        <v>142908.53</v>
      </c>
      <c r="V65" s="26">
        <v>0</v>
      </c>
      <c r="W65" s="26">
        <v>0</v>
      </c>
      <c r="X65" s="26">
        <v>0</v>
      </c>
      <c r="Y65" s="26">
        <v>285817.06</v>
      </c>
      <c r="Z65" s="26">
        <v>0</v>
      </c>
      <c r="AA65" s="26" t="s">
        <v>177</v>
      </c>
      <c r="AB65" s="26" t="s">
        <v>188</v>
      </c>
      <c r="AC65" s="26">
        <v>39232999</v>
      </c>
      <c r="AD65" s="26" t="s">
        <v>208</v>
      </c>
      <c r="AE65" s="26">
        <v>1</v>
      </c>
      <c r="AF65" s="26">
        <v>8405</v>
      </c>
      <c r="AG65" s="26" t="s">
        <v>209</v>
      </c>
    </row>
    <row r="66" spans="1:33" x14ac:dyDescent="0.25">
      <c r="A66" s="26"/>
      <c r="B66" s="29">
        <v>46333</v>
      </c>
      <c r="C66" s="26" t="s">
        <v>219</v>
      </c>
      <c r="D66" s="26" t="s">
        <v>206</v>
      </c>
      <c r="E66" s="26">
        <v>338</v>
      </c>
      <c r="F66" s="26" t="s">
        <v>272</v>
      </c>
      <c r="G66" s="26" t="s">
        <v>379</v>
      </c>
      <c r="H66" s="29">
        <v>46333</v>
      </c>
      <c r="I66" s="26" t="s">
        <v>192</v>
      </c>
      <c r="J66" s="26" t="s">
        <v>152</v>
      </c>
      <c r="K66" s="26" t="s">
        <v>152</v>
      </c>
      <c r="L66" s="26" t="s">
        <v>207</v>
      </c>
      <c r="M66" s="26" t="s">
        <v>191</v>
      </c>
      <c r="N66" s="30">
        <v>4138</v>
      </c>
      <c r="O66" s="20">
        <v>797433.98</v>
      </c>
      <c r="P66" s="26" t="s">
        <v>381</v>
      </c>
      <c r="Q66" s="26">
        <v>0</v>
      </c>
      <c r="R66" s="26">
        <v>9</v>
      </c>
      <c r="S66" s="26">
        <v>71769.06</v>
      </c>
      <c r="T66" s="26">
        <v>9</v>
      </c>
      <c r="U66" s="26">
        <v>71769.06</v>
      </c>
      <c r="V66" s="26">
        <v>0</v>
      </c>
      <c r="W66" s="26">
        <v>0</v>
      </c>
      <c r="X66" s="26">
        <v>0</v>
      </c>
      <c r="Y66" s="26">
        <v>143538.12</v>
      </c>
      <c r="Z66" s="26">
        <v>0</v>
      </c>
      <c r="AA66" s="26" t="s">
        <v>177</v>
      </c>
      <c r="AB66" s="26" t="s">
        <v>188</v>
      </c>
      <c r="AC66" s="26">
        <v>39232999</v>
      </c>
      <c r="AD66" s="26" t="s">
        <v>208</v>
      </c>
      <c r="AE66" s="26">
        <v>1</v>
      </c>
      <c r="AF66" s="26">
        <v>4138</v>
      </c>
      <c r="AG66" s="26" t="s">
        <v>209</v>
      </c>
    </row>
    <row r="67" spans="1:33" x14ac:dyDescent="0.25">
      <c r="A67" s="26"/>
      <c r="B67" s="29">
        <v>46333</v>
      </c>
      <c r="C67" s="26" t="s">
        <v>219</v>
      </c>
      <c r="D67" s="26" t="s">
        <v>206</v>
      </c>
      <c r="E67" s="26">
        <v>338</v>
      </c>
      <c r="F67" s="26" t="s">
        <v>272</v>
      </c>
      <c r="G67" s="26" t="s">
        <v>379</v>
      </c>
      <c r="H67" s="29">
        <v>46333</v>
      </c>
      <c r="I67" s="26" t="s">
        <v>192</v>
      </c>
      <c r="J67" s="26" t="s">
        <v>152</v>
      </c>
      <c r="K67" s="26" t="s">
        <v>152</v>
      </c>
      <c r="L67" s="26" t="s">
        <v>207</v>
      </c>
      <c r="M67" s="26" t="s">
        <v>191</v>
      </c>
      <c r="N67" s="30">
        <v>5194</v>
      </c>
      <c r="O67" s="20">
        <v>1005350.64</v>
      </c>
      <c r="P67" s="26" t="s">
        <v>382</v>
      </c>
      <c r="Q67" s="26">
        <v>0</v>
      </c>
      <c r="R67" s="26">
        <v>9</v>
      </c>
      <c r="S67" s="26">
        <v>90481.56</v>
      </c>
      <c r="T67" s="26">
        <v>9</v>
      </c>
      <c r="U67" s="26">
        <v>90481.56</v>
      </c>
      <c r="V67" s="26">
        <v>0</v>
      </c>
      <c r="W67" s="26">
        <v>0</v>
      </c>
      <c r="X67" s="26">
        <v>0</v>
      </c>
      <c r="Y67" s="26">
        <v>180963.12</v>
      </c>
      <c r="Z67" s="26">
        <v>0</v>
      </c>
      <c r="AA67" s="26" t="s">
        <v>177</v>
      </c>
      <c r="AB67" s="26" t="s">
        <v>188</v>
      </c>
      <c r="AC67" s="26">
        <v>39232999</v>
      </c>
      <c r="AD67" s="26" t="s">
        <v>208</v>
      </c>
      <c r="AE67" s="26">
        <v>1</v>
      </c>
      <c r="AF67" s="26">
        <v>5194</v>
      </c>
      <c r="AG67" s="26" t="s">
        <v>209</v>
      </c>
    </row>
    <row r="68" spans="1:33" x14ac:dyDescent="0.25">
      <c r="A68" s="26"/>
      <c r="B68" s="29">
        <v>46333</v>
      </c>
      <c r="C68" s="26" t="s">
        <v>219</v>
      </c>
      <c r="D68" s="26" t="s">
        <v>206</v>
      </c>
      <c r="E68" s="26">
        <v>338</v>
      </c>
      <c r="F68" s="26" t="s">
        <v>272</v>
      </c>
      <c r="G68" s="26" t="s">
        <v>379</v>
      </c>
      <c r="H68" s="29">
        <v>46333</v>
      </c>
      <c r="I68" s="26" t="s">
        <v>192</v>
      </c>
      <c r="J68" s="26" t="s">
        <v>152</v>
      </c>
      <c r="K68" s="26" t="s">
        <v>152</v>
      </c>
      <c r="L68" s="26" t="s">
        <v>207</v>
      </c>
      <c r="M68" s="26" t="s">
        <v>191</v>
      </c>
      <c r="N68" s="30">
        <v>3279</v>
      </c>
      <c r="O68" s="20">
        <v>605434.56000000006</v>
      </c>
      <c r="P68" s="26" t="s">
        <v>383</v>
      </c>
      <c r="Q68" s="26">
        <v>0</v>
      </c>
      <c r="R68" s="26">
        <v>9</v>
      </c>
      <c r="S68" s="26">
        <v>54489.11</v>
      </c>
      <c r="T68" s="26">
        <v>9</v>
      </c>
      <c r="U68" s="26">
        <v>54489.11</v>
      </c>
      <c r="V68" s="26">
        <v>0</v>
      </c>
      <c r="W68" s="26">
        <v>0</v>
      </c>
      <c r="X68" s="26">
        <v>0</v>
      </c>
      <c r="Y68" s="26">
        <v>108978.22</v>
      </c>
      <c r="Z68" s="26">
        <v>0</v>
      </c>
      <c r="AA68" s="26" t="s">
        <v>177</v>
      </c>
      <c r="AB68" s="26" t="s">
        <v>188</v>
      </c>
      <c r="AC68" s="26">
        <v>39232999</v>
      </c>
      <c r="AD68" s="26" t="s">
        <v>208</v>
      </c>
      <c r="AE68" s="26">
        <v>1</v>
      </c>
      <c r="AF68" s="26">
        <v>3279</v>
      </c>
      <c r="AG68" s="26" t="s">
        <v>209</v>
      </c>
    </row>
    <row r="69" spans="1:33" x14ac:dyDescent="0.25">
      <c r="A69" s="26"/>
      <c r="B69" s="29">
        <v>46363</v>
      </c>
      <c r="C69" s="26" t="s">
        <v>205</v>
      </c>
      <c r="D69" s="26" t="s">
        <v>206</v>
      </c>
      <c r="E69" s="26">
        <v>342</v>
      </c>
      <c r="F69" s="26" t="s">
        <v>272</v>
      </c>
      <c r="G69" s="26" t="s">
        <v>384</v>
      </c>
      <c r="H69" s="29">
        <v>46363</v>
      </c>
      <c r="I69" s="26" t="s">
        <v>169</v>
      </c>
      <c r="J69" s="26" t="s">
        <v>180</v>
      </c>
      <c r="K69" s="26" t="s">
        <v>155</v>
      </c>
      <c r="L69" s="26" t="s">
        <v>210</v>
      </c>
      <c r="M69" s="26" t="s">
        <v>187</v>
      </c>
      <c r="N69" s="26">
        <v>556</v>
      </c>
      <c r="O69" s="20">
        <v>86035.44</v>
      </c>
      <c r="P69" s="26" t="s">
        <v>187</v>
      </c>
      <c r="Q69" s="26">
        <v>193662.67</v>
      </c>
      <c r="R69" s="26">
        <v>9</v>
      </c>
      <c r="S69" s="26">
        <v>7743.19</v>
      </c>
      <c r="T69" s="26">
        <v>9</v>
      </c>
      <c r="U69" s="26">
        <v>7743.19</v>
      </c>
      <c r="V69" s="26">
        <v>0</v>
      </c>
      <c r="W69" s="26">
        <v>0</v>
      </c>
      <c r="X69" s="26">
        <v>0</v>
      </c>
      <c r="Y69" s="26">
        <v>15486.38</v>
      </c>
      <c r="Z69" s="26">
        <v>0</v>
      </c>
      <c r="AA69" s="26" t="s">
        <v>189</v>
      </c>
      <c r="AB69" s="26" t="s">
        <v>188</v>
      </c>
      <c r="AC69" s="26">
        <v>39269080</v>
      </c>
      <c r="AD69" s="26" t="s">
        <v>208</v>
      </c>
      <c r="AE69" s="26">
        <v>1</v>
      </c>
      <c r="AF69" s="26">
        <v>556</v>
      </c>
      <c r="AG69" s="26" t="s">
        <v>209</v>
      </c>
    </row>
    <row r="70" spans="1:33" x14ac:dyDescent="0.25">
      <c r="A70" s="26"/>
      <c r="B70" s="29">
        <v>46363</v>
      </c>
      <c r="C70" s="26" t="s">
        <v>205</v>
      </c>
      <c r="D70" s="26" t="s">
        <v>206</v>
      </c>
      <c r="E70" s="26">
        <v>342</v>
      </c>
      <c r="F70" s="26" t="s">
        <v>272</v>
      </c>
      <c r="G70" s="26" t="s">
        <v>384</v>
      </c>
      <c r="H70" s="29">
        <v>46363</v>
      </c>
      <c r="I70" s="26" t="s">
        <v>169</v>
      </c>
      <c r="J70" s="26" t="s">
        <v>182</v>
      </c>
      <c r="K70" s="26" t="s">
        <v>154</v>
      </c>
      <c r="L70" s="26" t="s">
        <v>154</v>
      </c>
      <c r="M70" s="26" t="s">
        <v>182</v>
      </c>
      <c r="N70" s="26">
        <v>73</v>
      </c>
      <c r="O70" s="20">
        <v>10912.77</v>
      </c>
      <c r="P70" s="26" t="s">
        <v>385</v>
      </c>
      <c r="Q70" s="26">
        <v>0</v>
      </c>
      <c r="R70" s="26">
        <v>9</v>
      </c>
      <c r="S70" s="26">
        <v>982.15</v>
      </c>
      <c r="T70" s="26">
        <v>9</v>
      </c>
      <c r="U70" s="26">
        <v>982.15</v>
      </c>
      <c r="V70" s="26">
        <v>0</v>
      </c>
      <c r="W70" s="26">
        <v>0</v>
      </c>
      <c r="X70" s="26">
        <v>0</v>
      </c>
      <c r="Y70" s="26">
        <v>1964.3</v>
      </c>
      <c r="Z70" s="26">
        <v>0</v>
      </c>
      <c r="AA70" s="26" t="s">
        <v>189</v>
      </c>
      <c r="AB70" s="26" t="s">
        <v>188</v>
      </c>
      <c r="AC70" s="26">
        <v>39269080</v>
      </c>
      <c r="AD70" s="26" t="s">
        <v>208</v>
      </c>
      <c r="AE70" s="26">
        <v>1</v>
      </c>
      <c r="AF70" s="26">
        <v>73</v>
      </c>
      <c r="AG70" s="26" t="s">
        <v>209</v>
      </c>
    </row>
    <row r="71" spans="1:33" x14ac:dyDescent="0.25">
      <c r="A71" s="26"/>
      <c r="B71" s="29">
        <v>46363</v>
      </c>
      <c r="C71" s="26" t="s">
        <v>205</v>
      </c>
      <c r="D71" s="26" t="s">
        <v>206</v>
      </c>
      <c r="E71" s="26">
        <v>342</v>
      </c>
      <c r="F71" s="26" t="s">
        <v>272</v>
      </c>
      <c r="G71" s="26" t="s">
        <v>384</v>
      </c>
      <c r="H71" s="29">
        <v>46363</v>
      </c>
      <c r="I71" s="26" t="s">
        <v>192</v>
      </c>
      <c r="J71" s="26" t="s">
        <v>153</v>
      </c>
      <c r="K71" s="26" t="s">
        <v>153</v>
      </c>
      <c r="L71" s="26" t="s">
        <v>210</v>
      </c>
      <c r="M71" s="26" t="s">
        <v>153</v>
      </c>
      <c r="N71" s="34">
        <v>435</v>
      </c>
      <c r="O71" s="20">
        <v>67311.899999999994</v>
      </c>
      <c r="P71" s="26" t="s">
        <v>386</v>
      </c>
      <c r="Q71" s="26">
        <v>0</v>
      </c>
      <c r="R71" s="26">
        <v>9</v>
      </c>
      <c r="S71" s="26">
        <v>6058.07</v>
      </c>
      <c r="T71" s="26">
        <v>9</v>
      </c>
      <c r="U71" s="26">
        <v>6058.07</v>
      </c>
      <c r="V71" s="26">
        <v>0</v>
      </c>
      <c r="W71" s="26">
        <v>0</v>
      </c>
      <c r="X71" s="26">
        <v>0</v>
      </c>
      <c r="Y71" s="26">
        <v>12116.14</v>
      </c>
      <c r="Z71" s="26">
        <v>0</v>
      </c>
      <c r="AA71" s="26" t="s">
        <v>189</v>
      </c>
      <c r="AB71" s="26" t="s">
        <v>188</v>
      </c>
      <c r="AC71" s="26">
        <v>39269080</v>
      </c>
      <c r="AD71" s="26" t="s">
        <v>208</v>
      </c>
      <c r="AE71" s="26">
        <v>1</v>
      </c>
      <c r="AF71" s="26">
        <v>435</v>
      </c>
      <c r="AG71" s="26" t="s">
        <v>209</v>
      </c>
    </row>
    <row r="72" spans="1:33" x14ac:dyDescent="0.25">
      <c r="A72" s="26"/>
      <c r="B72" s="29">
        <v>46363</v>
      </c>
      <c r="C72" s="26" t="s">
        <v>219</v>
      </c>
      <c r="D72" s="26" t="s">
        <v>206</v>
      </c>
      <c r="E72" s="26">
        <v>344</v>
      </c>
      <c r="F72" s="26" t="s">
        <v>272</v>
      </c>
      <c r="G72" s="26" t="s">
        <v>387</v>
      </c>
      <c r="H72" s="29">
        <v>46363</v>
      </c>
      <c r="I72" s="26" t="s">
        <v>169</v>
      </c>
      <c r="J72" s="26" t="s">
        <v>180</v>
      </c>
      <c r="K72" s="26" t="s">
        <v>155</v>
      </c>
      <c r="L72" s="26" t="s">
        <v>210</v>
      </c>
      <c r="M72" s="26" t="s">
        <v>187</v>
      </c>
      <c r="N72" s="26">
        <v>66.400000000000006</v>
      </c>
      <c r="O72" s="20">
        <v>10274.74</v>
      </c>
      <c r="P72" s="26" t="s">
        <v>284</v>
      </c>
      <c r="Q72" s="26">
        <v>12113.93</v>
      </c>
      <c r="R72" s="26">
        <v>9</v>
      </c>
      <c r="S72" s="26">
        <v>924.73</v>
      </c>
      <c r="T72" s="26">
        <v>9</v>
      </c>
      <c r="U72" s="26">
        <v>924.73</v>
      </c>
      <c r="V72" s="26">
        <v>0</v>
      </c>
      <c r="W72" s="26">
        <v>0</v>
      </c>
      <c r="X72" s="26">
        <v>0</v>
      </c>
      <c r="Y72" s="26">
        <v>1849.46</v>
      </c>
      <c r="Z72" s="26">
        <v>0</v>
      </c>
      <c r="AA72" s="26" t="s">
        <v>177</v>
      </c>
      <c r="AB72" s="26" t="s">
        <v>188</v>
      </c>
      <c r="AC72" s="26">
        <v>39269080</v>
      </c>
      <c r="AD72" s="26" t="s">
        <v>208</v>
      </c>
      <c r="AE72" s="26">
        <v>1</v>
      </c>
      <c r="AF72" s="26">
        <v>66.400000000000006</v>
      </c>
      <c r="AG72" s="26" t="s">
        <v>209</v>
      </c>
    </row>
    <row r="73" spans="1:33" x14ac:dyDescent="0.25">
      <c r="A73" s="26"/>
      <c r="B73" s="26" t="s">
        <v>388</v>
      </c>
      <c r="C73" s="26" t="s">
        <v>234</v>
      </c>
      <c r="D73" s="26" t="s">
        <v>206</v>
      </c>
      <c r="E73" s="26">
        <v>351</v>
      </c>
      <c r="F73" s="26" t="s">
        <v>272</v>
      </c>
      <c r="G73" s="26" t="s">
        <v>389</v>
      </c>
      <c r="H73" s="26" t="s">
        <v>388</v>
      </c>
      <c r="I73" s="26" t="s">
        <v>192</v>
      </c>
      <c r="J73" s="26" t="s">
        <v>152</v>
      </c>
      <c r="K73" s="26" t="s">
        <v>152</v>
      </c>
      <c r="L73" s="26" t="s">
        <v>207</v>
      </c>
      <c r="M73" s="26" t="s">
        <v>191</v>
      </c>
      <c r="N73" s="30">
        <v>1946</v>
      </c>
      <c r="O73" s="20">
        <v>413972.58</v>
      </c>
      <c r="P73" s="26" t="s">
        <v>390</v>
      </c>
      <c r="Q73" s="26">
        <v>488073.67</v>
      </c>
      <c r="R73" s="26">
        <v>9</v>
      </c>
      <c r="S73" s="26">
        <v>37257.53</v>
      </c>
      <c r="T73" s="26">
        <v>9</v>
      </c>
      <c r="U73" s="26">
        <v>37257.53</v>
      </c>
      <c r="V73" s="26">
        <v>0</v>
      </c>
      <c r="W73" s="26">
        <v>0</v>
      </c>
      <c r="X73" s="26">
        <v>0</v>
      </c>
      <c r="Y73" s="26">
        <v>74515.06</v>
      </c>
      <c r="Z73" s="26">
        <v>0</v>
      </c>
      <c r="AA73" s="26" t="s">
        <v>189</v>
      </c>
      <c r="AB73" s="26" t="s">
        <v>188</v>
      </c>
      <c r="AC73" s="26">
        <v>39232999</v>
      </c>
      <c r="AD73" s="26" t="s">
        <v>208</v>
      </c>
      <c r="AE73" s="26">
        <v>1</v>
      </c>
      <c r="AF73" s="26">
        <v>1946</v>
      </c>
      <c r="AG73" s="26" t="s">
        <v>209</v>
      </c>
    </row>
    <row r="74" spans="1:33" x14ac:dyDescent="0.25">
      <c r="A74" s="26"/>
      <c r="B74" s="26" t="s">
        <v>388</v>
      </c>
      <c r="C74" s="26" t="s">
        <v>205</v>
      </c>
      <c r="D74" s="26" t="s">
        <v>206</v>
      </c>
      <c r="E74" s="26">
        <v>347</v>
      </c>
      <c r="F74" s="26" t="s">
        <v>230</v>
      </c>
      <c r="G74" s="26" t="s">
        <v>391</v>
      </c>
      <c r="H74" s="26" t="s">
        <v>388</v>
      </c>
      <c r="I74" s="26" t="s">
        <v>204</v>
      </c>
      <c r="J74" s="26" t="s">
        <v>160</v>
      </c>
      <c r="K74" s="26" t="s">
        <v>165</v>
      </c>
      <c r="L74" s="26" t="s">
        <v>165</v>
      </c>
      <c r="M74" s="26" t="s">
        <v>203</v>
      </c>
      <c r="N74" s="26">
        <v>170</v>
      </c>
      <c r="O74" s="20">
        <v>47940</v>
      </c>
      <c r="P74" s="26" t="s">
        <v>203</v>
      </c>
      <c r="Q74" s="26">
        <v>56521.26</v>
      </c>
      <c r="R74" s="26">
        <v>9</v>
      </c>
      <c r="S74" s="26">
        <v>4314.6000000000004</v>
      </c>
      <c r="T74" s="26">
        <v>9</v>
      </c>
      <c r="U74" s="26">
        <v>4314.6000000000004</v>
      </c>
      <c r="V74" s="26">
        <v>0</v>
      </c>
      <c r="W74" s="26">
        <v>0</v>
      </c>
      <c r="X74" s="26">
        <v>0</v>
      </c>
      <c r="Y74" s="26">
        <v>8629.2000000000007</v>
      </c>
      <c r="Z74" s="26">
        <v>0</v>
      </c>
      <c r="AA74" s="26" t="s">
        <v>189</v>
      </c>
      <c r="AB74" s="26" t="s">
        <v>188</v>
      </c>
      <c r="AC74" s="26">
        <v>38140011</v>
      </c>
      <c r="AD74" s="26" t="s">
        <v>208</v>
      </c>
      <c r="AE74" s="26">
        <v>1</v>
      </c>
      <c r="AF74" s="26">
        <v>170</v>
      </c>
      <c r="AG74" s="26" t="s">
        <v>209</v>
      </c>
    </row>
    <row r="75" spans="1:33" x14ac:dyDescent="0.25">
      <c r="A75" s="26"/>
      <c r="B75" s="26" t="s">
        <v>388</v>
      </c>
      <c r="C75" s="26" t="s">
        <v>219</v>
      </c>
      <c r="D75" s="26" t="s">
        <v>206</v>
      </c>
      <c r="E75" s="26">
        <v>346</v>
      </c>
      <c r="F75" s="26" t="s">
        <v>272</v>
      </c>
      <c r="G75" s="26" t="s">
        <v>392</v>
      </c>
      <c r="H75" s="26" t="s">
        <v>388</v>
      </c>
      <c r="I75" s="26" t="s">
        <v>192</v>
      </c>
      <c r="J75" s="26" t="s">
        <v>153</v>
      </c>
      <c r="K75" s="26" t="s">
        <v>153</v>
      </c>
      <c r="L75" s="26" t="s">
        <v>207</v>
      </c>
      <c r="M75" s="26" t="s">
        <v>153</v>
      </c>
      <c r="N75" s="34">
        <v>79</v>
      </c>
      <c r="O75" s="20">
        <v>11850</v>
      </c>
      <c r="P75" s="26" t="s">
        <v>338</v>
      </c>
      <c r="Q75" s="26">
        <v>27234.9</v>
      </c>
      <c r="R75" s="26">
        <v>9</v>
      </c>
      <c r="S75" s="26">
        <v>1066.5</v>
      </c>
      <c r="T75" s="26">
        <v>9</v>
      </c>
      <c r="U75" s="26">
        <v>1066.5</v>
      </c>
      <c r="V75" s="26">
        <v>0</v>
      </c>
      <c r="W75" s="26">
        <v>0</v>
      </c>
      <c r="X75" s="26">
        <v>0</v>
      </c>
      <c r="Y75" s="26">
        <v>2133</v>
      </c>
      <c r="Z75" s="26">
        <v>0</v>
      </c>
      <c r="AA75" s="26" t="s">
        <v>177</v>
      </c>
      <c r="AB75" s="26" t="s">
        <v>188</v>
      </c>
      <c r="AC75" s="26">
        <v>39232999</v>
      </c>
      <c r="AD75" s="26" t="s">
        <v>208</v>
      </c>
      <c r="AE75" s="26">
        <v>1</v>
      </c>
      <c r="AF75" s="26">
        <v>79</v>
      </c>
      <c r="AG75" s="26" t="s">
        <v>209</v>
      </c>
    </row>
    <row r="76" spans="1:33" x14ac:dyDescent="0.25">
      <c r="A76" s="26"/>
      <c r="B76" s="26" t="s">
        <v>388</v>
      </c>
      <c r="C76" s="26" t="s">
        <v>219</v>
      </c>
      <c r="D76" s="26" t="s">
        <v>206</v>
      </c>
      <c r="E76" s="26">
        <v>346</v>
      </c>
      <c r="F76" s="26" t="s">
        <v>272</v>
      </c>
      <c r="G76" s="26" t="s">
        <v>392</v>
      </c>
      <c r="H76" s="26" t="s">
        <v>388</v>
      </c>
      <c r="I76" s="26" t="s">
        <v>192</v>
      </c>
      <c r="J76" s="26" t="s">
        <v>153</v>
      </c>
      <c r="K76" s="26" t="s">
        <v>153</v>
      </c>
      <c r="L76" s="26" t="s">
        <v>207</v>
      </c>
      <c r="M76" s="26" t="s">
        <v>153</v>
      </c>
      <c r="N76" s="34">
        <v>75</v>
      </c>
      <c r="O76" s="20">
        <v>11250</v>
      </c>
      <c r="P76" s="26" t="s">
        <v>338</v>
      </c>
      <c r="Q76" s="26">
        <v>0</v>
      </c>
      <c r="R76" s="26">
        <v>9</v>
      </c>
      <c r="S76" s="26">
        <v>1012.5</v>
      </c>
      <c r="T76" s="26">
        <v>9</v>
      </c>
      <c r="U76" s="26">
        <v>1012.5</v>
      </c>
      <c r="V76" s="26">
        <v>0</v>
      </c>
      <c r="W76" s="26">
        <v>0</v>
      </c>
      <c r="X76" s="26">
        <v>0</v>
      </c>
      <c r="Y76" s="26">
        <v>2025</v>
      </c>
      <c r="Z76" s="26">
        <v>0</v>
      </c>
      <c r="AA76" s="26" t="s">
        <v>177</v>
      </c>
      <c r="AB76" s="26" t="s">
        <v>188</v>
      </c>
      <c r="AC76" s="26">
        <v>39232999</v>
      </c>
      <c r="AD76" s="26" t="s">
        <v>208</v>
      </c>
      <c r="AE76" s="26">
        <v>1</v>
      </c>
      <c r="AF76" s="26">
        <v>75</v>
      </c>
      <c r="AG76" s="26" t="s">
        <v>209</v>
      </c>
    </row>
    <row r="77" spans="1:33" x14ac:dyDescent="0.25">
      <c r="A77" s="26"/>
      <c r="B77" s="26" t="s">
        <v>388</v>
      </c>
      <c r="C77" s="26" t="s">
        <v>219</v>
      </c>
      <c r="D77" s="26" t="s">
        <v>206</v>
      </c>
      <c r="E77" s="26">
        <v>348</v>
      </c>
      <c r="F77" s="26" t="s">
        <v>272</v>
      </c>
      <c r="G77" s="26" t="s">
        <v>393</v>
      </c>
      <c r="H77" s="26" t="s">
        <v>388</v>
      </c>
      <c r="I77" s="26" t="s">
        <v>192</v>
      </c>
      <c r="J77" s="26" t="s">
        <v>153</v>
      </c>
      <c r="K77" s="26" t="s">
        <v>153</v>
      </c>
      <c r="L77" s="26" t="s">
        <v>207</v>
      </c>
      <c r="M77" s="26" t="s">
        <v>153</v>
      </c>
      <c r="N77" s="34">
        <v>193</v>
      </c>
      <c r="O77" s="20">
        <v>26004.82</v>
      </c>
      <c r="P77" s="26" t="s">
        <v>394</v>
      </c>
      <c r="Q77" s="26">
        <v>30659.68</v>
      </c>
      <c r="R77" s="26">
        <v>9</v>
      </c>
      <c r="S77" s="26">
        <v>2340.4299999999998</v>
      </c>
      <c r="T77" s="26">
        <v>9</v>
      </c>
      <c r="U77" s="26">
        <v>2340.4299999999998</v>
      </c>
      <c r="V77" s="26">
        <v>0</v>
      </c>
      <c r="W77" s="26">
        <v>0</v>
      </c>
      <c r="X77" s="26">
        <v>0</v>
      </c>
      <c r="Y77" s="26">
        <v>4680.8599999999997</v>
      </c>
      <c r="Z77" s="26">
        <v>0</v>
      </c>
      <c r="AA77" s="26" t="s">
        <v>177</v>
      </c>
      <c r="AB77" s="26" t="s">
        <v>188</v>
      </c>
      <c r="AC77" s="26">
        <v>39232999</v>
      </c>
      <c r="AD77" s="26" t="s">
        <v>208</v>
      </c>
      <c r="AE77" s="26">
        <v>1</v>
      </c>
      <c r="AF77" s="26">
        <v>193</v>
      </c>
      <c r="AG77" s="26" t="s">
        <v>209</v>
      </c>
    </row>
    <row r="78" spans="1:33" x14ac:dyDescent="0.25">
      <c r="A78" s="26"/>
      <c r="B78" s="26" t="s">
        <v>388</v>
      </c>
      <c r="C78" s="26" t="s">
        <v>219</v>
      </c>
      <c r="D78" s="26" t="s">
        <v>206</v>
      </c>
      <c r="E78" s="26">
        <v>349</v>
      </c>
      <c r="F78" s="26" t="s">
        <v>230</v>
      </c>
      <c r="G78" s="26" t="s">
        <v>395</v>
      </c>
      <c r="H78" s="26" t="s">
        <v>388</v>
      </c>
      <c r="I78" s="26" t="s">
        <v>204</v>
      </c>
      <c r="J78" s="26" t="s">
        <v>160</v>
      </c>
      <c r="K78" s="26" t="s">
        <v>160</v>
      </c>
      <c r="L78" s="26" t="s">
        <v>309</v>
      </c>
      <c r="M78" s="26" t="s">
        <v>331</v>
      </c>
      <c r="N78" s="26">
        <v>25</v>
      </c>
      <c r="O78" s="20">
        <v>7125</v>
      </c>
      <c r="P78" s="26" t="s">
        <v>331</v>
      </c>
      <c r="Q78" s="26">
        <v>16653.38</v>
      </c>
      <c r="R78" s="26">
        <v>9</v>
      </c>
      <c r="S78" s="26">
        <v>641.25</v>
      </c>
      <c r="T78" s="26">
        <v>9</v>
      </c>
      <c r="U78" s="26">
        <v>641.25</v>
      </c>
      <c r="V78" s="26">
        <v>0</v>
      </c>
      <c r="W78" s="26">
        <v>0</v>
      </c>
      <c r="X78" s="26">
        <v>0</v>
      </c>
      <c r="Y78" s="26">
        <v>1282.5</v>
      </c>
      <c r="Z78" s="26">
        <v>0</v>
      </c>
      <c r="AA78" s="26" t="s">
        <v>177</v>
      </c>
      <c r="AB78" s="26" t="s">
        <v>188</v>
      </c>
      <c r="AC78" s="26">
        <v>32151990</v>
      </c>
      <c r="AD78" s="26" t="s">
        <v>208</v>
      </c>
      <c r="AE78" s="26">
        <v>1</v>
      </c>
      <c r="AF78" s="26">
        <v>25</v>
      </c>
      <c r="AG78" s="26" t="s">
        <v>209</v>
      </c>
    </row>
    <row r="79" spans="1:33" ht="15" customHeight="1" x14ac:dyDescent="0.25">
      <c r="A79" s="26"/>
      <c r="B79" s="26" t="s">
        <v>388</v>
      </c>
      <c r="C79" s="26" t="s">
        <v>219</v>
      </c>
      <c r="D79" s="26" t="s">
        <v>206</v>
      </c>
      <c r="E79" s="26">
        <v>349</v>
      </c>
      <c r="F79" s="26" t="s">
        <v>230</v>
      </c>
      <c r="G79" s="26" t="s">
        <v>395</v>
      </c>
      <c r="H79" s="26" t="s">
        <v>388</v>
      </c>
      <c r="I79" s="26" t="s">
        <v>204</v>
      </c>
      <c r="J79" s="26" t="s">
        <v>160</v>
      </c>
      <c r="K79" s="26" t="s">
        <v>160</v>
      </c>
      <c r="L79" s="26" t="s">
        <v>309</v>
      </c>
      <c r="M79" s="26" t="s">
        <v>306</v>
      </c>
      <c r="N79" s="26">
        <v>25</v>
      </c>
      <c r="O79" s="20">
        <v>7000</v>
      </c>
      <c r="P79" s="26" t="s">
        <v>396</v>
      </c>
      <c r="Q79" s="26">
        <v>0</v>
      </c>
      <c r="R79" s="26">
        <v>9</v>
      </c>
      <c r="S79" s="26">
        <v>630</v>
      </c>
      <c r="T79" s="26">
        <v>9</v>
      </c>
      <c r="U79" s="26">
        <v>630</v>
      </c>
      <c r="V79" s="26">
        <v>0</v>
      </c>
      <c r="W79" s="26">
        <v>0</v>
      </c>
      <c r="X79" s="26">
        <v>0</v>
      </c>
      <c r="Y79" s="26">
        <v>1260</v>
      </c>
      <c r="Z79" s="26">
        <v>0</v>
      </c>
      <c r="AA79" s="26" t="s">
        <v>177</v>
      </c>
      <c r="AB79" s="26" t="s">
        <v>188</v>
      </c>
      <c r="AC79" s="26">
        <v>32151990</v>
      </c>
      <c r="AD79" s="26" t="s">
        <v>208</v>
      </c>
      <c r="AE79" s="26">
        <v>1</v>
      </c>
      <c r="AF79" s="26">
        <v>25</v>
      </c>
      <c r="AG79" s="26" t="s">
        <v>209</v>
      </c>
    </row>
    <row r="80" spans="1:33" x14ac:dyDescent="0.25">
      <c r="A80" s="26"/>
      <c r="B80" s="26" t="s">
        <v>388</v>
      </c>
      <c r="C80" s="26" t="s">
        <v>219</v>
      </c>
      <c r="D80" s="26" t="s">
        <v>206</v>
      </c>
      <c r="E80" s="26">
        <v>352</v>
      </c>
      <c r="F80" s="26" t="s">
        <v>230</v>
      </c>
      <c r="G80" s="26" t="s">
        <v>397</v>
      </c>
      <c r="H80" s="26" t="s">
        <v>388</v>
      </c>
      <c r="I80" s="26" t="s">
        <v>169</v>
      </c>
      <c r="J80" s="26" t="s">
        <v>201</v>
      </c>
      <c r="K80" s="26" t="s">
        <v>158</v>
      </c>
      <c r="L80" s="26" t="s">
        <v>220</v>
      </c>
      <c r="M80" s="26" t="s">
        <v>200</v>
      </c>
      <c r="N80" s="26">
        <v>3.8</v>
      </c>
      <c r="O80" s="20">
        <v>1071.5999999999999</v>
      </c>
      <c r="P80" s="26" t="s">
        <v>277</v>
      </c>
      <c r="Q80" s="26">
        <v>1263.4100000000001</v>
      </c>
      <c r="R80" s="26">
        <v>9</v>
      </c>
      <c r="S80" s="26">
        <v>96.44</v>
      </c>
      <c r="T80" s="26">
        <v>9</v>
      </c>
      <c r="U80" s="26">
        <v>96.44</v>
      </c>
      <c r="V80" s="26">
        <v>0</v>
      </c>
      <c r="W80" s="26">
        <v>0</v>
      </c>
      <c r="X80" s="26">
        <v>0</v>
      </c>
      <c r="Y80" s="26">
        <v>192.88</v>
      </c>
      <c r="Z80" s="26">
        <v>0</v>
      </c>
      <c r="AA80" s="26" t="s">
        <v>177</v>
      </c>
      <c r="AB80" s="26" t="s">
        <v>188</v>
      </c>
      <c r="AC80" s="26">
        <v>39201019</v>
      </c>
      <c r="AD80" s="26" t="s">
        <v>208</v>
      </c>
      <c r="AE80" s="26">
        <v>1</v>
      </c>
      <c r="AF80" s="26">
        <v>3.8</v>
      </c>
      <c r="AG80" s="26" t="s">
        <v>209</v>
      </c>
    </row>
    <row r="81" spans="1:33" x14ac:dyDescent="0.25">
      <c r="A81" s="26"/>
      <c r="B81" s="26" t="s">
        <v>398</v>
      </c>
      <c r="C81" s="26" t="s">
        <v>234</v>
      </c>
      <c r="D81" s="26" t="s">
        <v>206</v>
      </c>
      <c r="E81" s="26">
        <v>355</v>
      </c>
      <c r="F81" s="26" t="s">
        <v>272</v>
      </c>
      <c r="G81" s="26" t="s">
        <v>399</v>
      </c>
      <c r="H81" s="26" t="s">
        <v>398</v>
      </c>
      <c r="I81" s="26" t="s">
        <v>192</v>
      </c>
      <c r="J81" s="26" t="s">
        <v>152</v>
      </c>
      <c r="K81" s="26" t="s">
        <v>152</v>
      </c>
      <c r="L81" s="26" t="s">
        <v>207</v>
      </c>
      <c r="M81" s="26" t="s">
        <v>191</v>
      </c>
      <c r="N81" s="30">
        <v>9143.9</v>
      </c>
      <c r="O81" s="20">
        <v>1449765.34</v>
      </c>
      <c r="P81" s="26" t="s">
        <v>400</v>
      </c>
      <c r="Q81" s="26">
        <v>3334090.16</v>
      </c>
      <c r="R81" s="26">
        <v>9</v>
      </c>
      <c r="S81" s="26">
        <v>130478.88</v>
      </c>
      <c r="T81" s="26">
        <v>9</v>
      </c>
      <c r="U81" s="26">
        <v>130478.88</v>
      </c>
      <c r="V81" s="26">
        <v>0</v>
      </c>
      <c r="W81" s="26">
        <v>0</v>
      </c>
      <c r="X81" s="26">
        <v>0</v>
      </c>
      <c r="Y81" s="26">
        <v>260957.76</v>
      </c>
      <c r="Z81" s="26">
        <v>0</v>
      </c>
      <c r="AA81" s="26" t="s">
        <v>189</v>
      </c>
      <c r="AB81" s="26" t="s">
        <v>188</v>
      </c>
      <c r="AC81" s="26">
        <v>39232999</v>
      </c>
      <c r="AD81" s="26" t="s">
        <v>208</v>
      </c>
      <c r="AE81" s="26">
        <v>1</v>
      </c>
      <c r="AF81" s="26">
        <v>9143.9</v>
      </c>
      <c r="AG81" s="26" t="s">
        <v>209</v>
      </c>
    </row>
    <row r="82" spans="1:33" ht="15" customHeight="1" x14ac:dyDescent="0.25">
      <c r="A82" s="24"/>
      <c r="B82" s="26" t="s">
        <v>398</v>
      </c>
      <c r="C82" s="26" t="s">
        <v>234</v>
      </c>
      <c r="D82" s="26" t="s">
        <v>206</v>
      </c>
      <c r="E82" s="26">
        <v>355</v>
      </c>
      <c r="F82" s="26" t="s">
        <v>272</v>
      </c>
      <c r="G82" s="26" t="s">
        <v>399</v>
      </c>
      <c r="H82" s="26" t="s">
        <v>398</v>
      </c>
      <c r="I82" s="26" t="s">
        <v>192</v>
      </c>
      <c r="J82" s="26" t="s">
        <v>152</v>
      </c>
      <c r="K82" s="26" t="s">
        <v>152</v>
      </c>
      <c r="L82" s="26" t="s">
        <v>207</v>
      </c>
      <c r="M82" s="26" t="s">
        <v>191</v>
      </c>
      <c r="N82" s="26">
        <v>845.2</v>
      </c>
      <c r="O82" s="20">
        <v>131268.01</v>
      </c>
      <c r="P82" s="26" t="s">
        <v>401</v>
      </c>
      <c r="Q82" s="26">
        <v>0</v>
      </c>
      <c r="R82" s="26">
        <v>9</v>
      </c>
      <c r="S82" s="26">
        <v>11814.12</v>
      </c>
      <c r="T82" s="26">
        <v>9</v>
      </c>
      <c r="U82" s="26">
        <v>11814.12</v>
      </c>
      <c r="V82" s="26">
        <v>0</v>
      </c>
      <c r="W82" s="26">
        <v>0</v>
      </c>
      <c r="X82" s="26">
        <v>0</v>
      </c>
      <c r="Y82" s="26">
        <v>23628.240000000002</v>
      </c>
      <c r="Z82" s="26">
        <v>0</v>
      </c>
      <c r="AA82" s="26" t="s">
        <v>189</v>
      </c>
      <c r="AB82" s="26" t="s">
        <v>188</v>
      </c>
      <c r="AC82" s="26">
        <v>39232999</v>
      </c>
      <c r="AD82" s="26" t="s">
        <v>208</v>
      </c>
      <c r="AE82" s="26">
        <v>1</v>
      </c>
      <c r="AF82" s="26">
        <v>845.2</v>
      </c>
      <c r="AG82" s="26" t="s">
        <v>209</v>
      </c>
    </row>
    <row r="83" spans="1:33" x14ac:dyDescent="0.25">
      <c r="A83" s="26"/>
      <c r="B83" s="26" t="s">
        <v>398</v>
      </c>
      <c r="C83" s="26" t="s">
        <v>234</v>
      </c>
      <c r="D83" s="26" t="s">
        <v>206</v>
      </c>
      <c r="E83" s="26">
        <v>355</v>
      </c>
      <c r="F83" s="26" t="s">
        <v>272</v>
      </c>
      <c r="G83" s="26" t="s">
        <v>399</v>
      </c>
      <c r="H83" s="26" t="s">
        <v>398</v>
      </c>
      <c r="I83" s="26" t="s">
        <v>192</v>
      </c>
      <c r="J83" s="26" t="s">
        <v>152</v>
      </c>
      <c r="K83" s="26" t="s">
        <v>152</v>
      </c>
      <c r="L83" s="26" t="s">
        <v>207</v>
      </c>
      <c r="M83" s="26" t="s">
        <v>191</v>
      </c>
      <c r="N83" s="30">
        <v>5936.6</v>
      </c>
      <c r="O83" s="20">
        <v>918154.56</v>
      </c>
      <c r="P83" s="26" t="s">
        <v>402</v>
      </c>
      <c r="Q83" s="26">
        <v>0</v>
      </c>
      <c r="R83" s="26">
        <v>9</v>
      </c>
      <c r="S83" s="26">
        <v>82633.91</v>
      </c>
      <c r="T83" s="26">
        <v>9</v>
      </c>
      <c r="U83" s="26">
        <v>82633.91</v>
      </c>
      <c r="V83" s="26">
        <v>0</v>
      </c>
      <c r="W83" s="26">
        <v>0</v>
      </c>
      <c r="X83" s="26">
        <v>0</v>
      </c>
      <c r="Y83" s="26">
        <v>165267.82</v>
      </c>
      <c r="Z83" s="26">
        <v>0</v>
      </c>
      <c r="AA83" s="26" t="s">
        <v>189</v>
      </c>
      <c r="AB83" s="26" t="s">
        <v>188</v>
      </c>
      <c r="AC83" s="26">
        <v>39232999</v>
      </c>
      <c r="AD83" s="26" t="s">
        <v>208</v>
      </c>
      <c r="AE83" s="26">
        <v>1</v>
      </c>
      <c r="AF83" s="26">
        <v>5936.6</v>
      </c>
      <c r="AG83" s="26" t="s">
        <v>209</v>
      </c>
    </row>
    <row r="84" spans="1:33" x14ac:dyDescent="0.25">
      <c r="A84" s="26"/>
      <c r="B84" s="26" t="s">
        <v>398</v>
      </c>
      <c r="C84" s="26" t="s">
        <v>234</v>
      </c>
      <c r="D84" s="26" t="s">
        <v>206</v>
      </c>
      <c r="E84" s="26">
        <v>355</v>
      </c>
      <c r="F84" s="26" t="s">
        <v>272</v>
      </c>
      <c r="G84" s="26" t="s">
        <v>399</v>
      </c>
      <c r="H84" s="26" t="s">
        <v>398</v>
      </c>
      <c r="I84" s="26" t="s">
        <v>192</v>
      </c>
      <c r="J84" s="26" t="s">
        <v>152</v>
      </c>
      <c r="K84" s="26" t="s">
        <v>152</v>
      </c>
      <c r="L84" s="26" t="s">
        <v>207</v>
      </c>
      <c r="M84" s="26" t="s">
        <v>191</v>
      </c>
      <c r="N84" s="26">
        <v>832.2</v>
      </c>
      <c r="O84" s="20">
        <v>131762.23000000001</v>
      </c>
      <c r="P84" s="26" t="s">
        <v>403</v>
      </c>
      <c r="Q84" s="26">
        <v>0</v>
      </c>
      <c r="R84" s="26">
        <v>9</v>
      </c>
      <c r="S84" s="26">
        <v>11858.6</v>
      </c>
      <c r="T84" s="26">
        <v>9</v>
      </c>
      <c r="U84" s="26">
        <v>11858.6</v>
      </c>
      <c r="V84" s="26">
        <v>0</v>
      </c>
      <c r="W84" s="26">
        <v>0</v>
      </c>
      <c r="X84" s="26">
        <v>0</v>
      </c>
      <c r="Y84" s="26">
        <v>23717.200000000001</v>
      </c>
      <c r="Z84" s="26">
        <v>0</v>
      </c>
      <c r="AA84" s="26" t="s">
        <v>189</v>
      </c>
      <c r="AB84" s="26" t="s">
        <v>188</v>
      </c>
      <c r="AC84" s="26">
        <v>39232999</v>
      </c>
      <c r="AD84" s="26" t="s">
        <v>208</v>
      </c>
      <c r="AE84" s="26">
        <v>1</v>
      </c>
      <c r="AF84" s="26">
        <v>832.2</v>
      </c>
      <c r="AG84" s="26" t="s">
        <v>209</v>
      </c>
    </row>
    <row r="85" spans="1:33" ht="15" customHeight="1" x14ac:dyDescent="0.25">
      <c r="A85" s="26"/>
      <c r="B85" s="26" t="s">
        <v>398</v>
      </c>
      <c r="C85" s="26" t="s">
        <v>234</v>
      </c>
      <c r="D85" s="26" t="s">
        <v>206</v>
      </c>
      <c r="E85" s="26">
        <v>355</v>
      </c>
      <c r="F85" s="26" t="s">
        <v>272</v>
      </c>
      <c r="G85" s="26" t="s">
        <v>399</v>
      </c>
      <c r="H85" s="26" t="s">
        <v>398</v>
      </c>
      <c r="I85" s="26" t="s">
        <v>192</v>
      </c>
      <c r="J85" s="26" t="s">
        <v>152</v>
      </c>
      <c r="K85" s="26" t="s">
        <v>152</v>
      </c>
      <c r="L85" s="26" t="s">
        <v>207</v>
      </c>
      <c r="M85" s="26" t="s">
        <v>191</v>
      </c>
      <c r="N85" s="30">
        <v>1266.7</v>
      </c>
      <c r="O85" s="20">
        <v>196946.52</v>
      </c>
      <c r="P85" s="26" t="s">
        <v>404</v>
      </c>
      <c r="Q85" s="26">
        <v>0</v>
      </c>
      <c r="R85" s="26">
        <v>9</v>
      </c>
      <c r="S85" s="26">
        <v>17725.189999999999</v>
      </c>
      <c r="T85" s="26">
        <v>9</v>
      </c>
      <c r="U85" s="26">
        <v>17725.189999999999</v>
      </c>
      <c r="V85" s="26">
        <v>0</v>
      </c>
      <c r="W85" s="26">
        <v>0</v>
      </c>
      <c r="X85" s="26">
        <v>0</v>
      </c>
      <c r="Y85" s="26">
        <v>35450.379999999997</v>
      </c>
      <c r="Z85" s="26">
        <v>0</v>
      </c>
      <c r="AA85" s="26" t="s">
        <v>189</v>
      </c>
      <c r="AB85" s="26" t="s">
        <v>188</v>
      </c>
      <c r="AC85" s="26">
        <v>39232999</v>
      </c>
      <c r="AD85" s="26" t="s">
        <v>208</v>
      </c>
      <c r="AE85" s="26">
        <v>1</v>
      </c>
      <c r="AF85" s="26">
        <v>1266.7</v>
      </c>
      <c r="AG85" s="26" t="s">
        <v>209</v>
      </c>
    </row>
    <row r="86" spans="1:33" x14ac:dyDescent="0.25">
      <c r="A86" s="26"/>
      <c r="B86" s="26" t="s">
        <v>398</v>
      </c>
      <c r="C86" s="26" t="s">
        <v>234</v>
      </c>
      <c r="D86" s="26" t="s">
        <v>206</v>
      </c>
      <c r="E86" s="26">
        <v>356</v>
      </c>
      <c r="F86" s="26" t="s">
        <v>272</v>
      </c>
      <c r="G86" s="26" t="s">
        <v>405</v>
      </c>
      <c r="H86" s="26" t="s">
        <v>398</v>
      </c>
      <c r="I86" s="26" t="s">
        <v>192</v>
      </c>
      <c r="J86" s="26" t="s">
        <v>152</v>
      </c>
      <c r="K86" s="26" t="s">
        <v>152</v>
      </c>
      <c r="L86" s="26" t="s">
        <v>207</v>
      </c>
      <c r="M86" s="26" t="s">
        <v>195</v>
      </c>
      <c r="N86" s="30">
        <v>19349</v>
      </c>
      <c r="O86" s="20">
        <v>3882763.83</v>
      </c>
      <c r="P86" s="26" t="s">
        <v>406</v>
      </c>
      <c r="Q86" s="26">
        <v>4577778.55</v>
      </c>
      <c r="R86" s="26">
        <v>9</v>
      </c>
      <c r="S86" s="26">
        <v>349448.74</v>
      </c>
      <c r="T86" s="26">
        <v>9</v>
      </c>
      <c r="U86" s="26">
        <v>349448.74</v>
      </c>
      <c r="V86" s="26">
        <v>0</v>
      </c>
      <c r="W86" s="26">
        <v>0</v>
      </c>
      <c r="X86" s="26">
        <v>0</v>
      </c>
      <c r="Y86" s="26">
        <v>698897.48</v>
      </c>
      <c r="Z86" s="26">
        <v>0</v>
      </c>
      <c r="AA86" s="26" t="s">
        <v>189</v>
      </c>
      <c r="AB86" s="26" t="s">
        <v>188</v>
      </c>
      <c r="AC86" s="26">
        <v>39232999</v>
      </c>
      <c r="AD86" s="26" t="s">
        <v>208</v>
      </c>
      <c r="AE86" s="26">
        <v>1</v>
      </c>
      <c r="AF86" s="26">
        <v>19349</v>
      </c>
      <c r="AG86" s="26" t="s">
        <v>209</v>
      </c>
    </row>
    <row r="87" spans="1:33" x14ac:dyDescent="0.25">
      <c r="A87" s="26"/>
      <c r="B87" s="26" t="s">
        <v>398</v>
      </c>
      <c r="C87" s="26" t="s">
        <v>205</v>
      </c>
      <c r="D87" s="26" t="s">
        <v>206</v>
      </c>
      <c r="E87" s="26">
        <v>353</v>
      </c>
      <c r="F87" s="26" t="s">
        <v>272</v>
      </c>
      <c r="G87" s="26" t="s">
        <v>407</v>
      </c>
      <c r="H87" s="26" t="s">
        <v>398</v>
      </c>
      <c r="I87" s="26" t="s">
        <v>169</v>
      </c>
      <c r="J87" s="26" t="s">
        <v>180</v>
      </c>
      <c r="K87" s="26" t="s">
        <v>155</v>
      </c>
      <c r="L87" s="26" t="s">
        <v>210</v>
      </c>
      <c r="M87" s="26" t="s">
        <v>187</v>
      </c>
      <c r="N87" s="30">
        <v>1071.5</v>
      </c>
      <c r="O87" s="20">
        <v>165803.91</v>
      </c>
      <c r="P87" s="26" t="s">
        <v>187</v>
      </c>
      <c r="Q87" s="26">
        <v>206907.32</v>
      </c>
      <c r="R87" s="26">
        <v>9</v>
      </c>
      <c r="S87" s="26">
        <v>14922.35</v>
      </c>
      <c r="T87" s="26">
        <v>9</v>
      </c>
      <c r="U87" s="26">
        <v>14922.35</v>
      </c>
      <c r="V87" s="26">
        <v>0</v>
      </c>
      <c r="W87" s="26">
        <v>0</v>
      </c>
      <c r="X87" s="26">
        <v>0</v>
      </c>
      <c r="Y87" s="26">
        <v>29844.7</v>
      </c>
      <c r="Z87" s="26">
        <v>0</v>
      </c>
      <c r="AA87" s="26" t="s">
        <v>189</v>
      </c>
      <c r="AB87" s="26" t="s">
        <v>188</v>
      </c>
      <c r="AC87" s="26">
        <v>39269080</v>
      </c>
      <c r="AD87" s="26" t="s">
        <v>208</v>
      </c>
      <c r="AE87" s="26">
        <v>1</v>
      </c>
      <c r="AF87" s="26">
        <v>1071.5</v>
      </c>
      <c r="AG87" s="26" t="s">
        <v>209</v>
      </c>
    </row>
    <row r="88" spans="1:33" x14ac:dyDescent="0.25">
      <c r="A88" s="26"/>
      <c r="B88" s="26" t="s">
        <v>398</v>
      </c>
      <c r="C88" s="26" t="s">
        <v>205</v>
      </c>
      <c r="D88" s="26" t="s">
        <v>206</v>
      </c>
      <c r="E88" s="26">
        <v>353</v>
      </c>
      <c r="F88" s="26" t="s">
        <v>272</v>
      </c>
      <c r="G88" s="26" t="s">
        <v>407</v>
      </c>
      <c r="H88" s="26" t="s">
        <v>398</v>
      </c>
      <c r="I88" s="26" t="s">
        <v>169</v>
      </c>
      <c r="J88" s="26" t="s">
        <v>201</v>
      </c>
      <c r="K88" s="26" t="s">
        <v>158</v>
      </c>
      <c r="L88" s="26" t="s">
        <v>220</v>
      </c>
      <c r="M88" s="26" t="s">
        <v>200</v>
      </c>
      <c r="N88" s="26">
        <v>38</v>
      </c>
      <c r="O88" s="20">
        <v>9690</v>
      </c>
      <c r="P88" s="26" t="s">
        <v>200</v>
      </c>
      <c r="Q88" s="26">
        <v>0</v>
      </c>
      <c r="R88" s="26">
        <v>9</v>
      </c>
      <c r="S88" s="26">
        <v>872.1</v>
      </c>
      <c r="T88" s="26">
        <v>9</v>
      </c>
      <c r="U88" s="26">
        <v>872.1</v>
      </c>
      <c r="V88" s="26">
        <v>0</v>
      </c>
      <c r="W88" s="26">
        <v>0</v>
      </c>
      <c r="X88" s="26">
        <v>0</v>
      </c>
      <c r="Y88" s="26">
        <v>1744.2</v>
      </c>
      <c r="Z88" s="26">
        <v>0</v>
      </c>
      <c r="AA88" s="26" t="s">
        <v>189</v>
      </c>
      <c r="AB88" s="26" t="s">
        <v>188</v>
      </c>
      <c r="AC88" s="26">
        <v>39201019</v>
      </c>
      <c r="AD88" s="26" t="s">
        <v>208</v>
      </c>
      <c r="AE88" s="26">
        <v>1</v>
      </c>
      <c r="AF88" s="26">
        <v>38</v>
      </c>
      <c r="AG88" s="26" t="s">
        <v>209</v>
      </c>
    </row>
    <row r="89" spans="1:33" x14ac:dyDescent="0.25">
      <c r="A89" s="26"/>
      <c r="B89" s="26" t="s">
        <v>398</v>
      </c>
      <c r="C89" s="26" t="s">
        <v>219</v>
      </c>
      <c r="D89" s="26" t="s">
        <v>206</v>
      </c>
      <c r="E89" s="26">
        <v>357</v>
      </c>
      <c r="F89" s="26" t="s">
        <v>230</v>
      </c>
      <c r="G89" s="26" t="s">
        <v>408</v>
      </c>
      <c r="H89" s="26" t="s">
        <v>398</v>
      </c>
      <c r="I89" s="26" t="s">
        <v>169</v>
      </c>
      <c r="J89" s="26" t="s">
        <v>180</v>
      </c>
      <c r="K89" s="26" t="s">
        <v>155</v>
      </c>
      <c r="L89" s="26" t="s">
        <v>210</v>
      </c>
      <c r="M89" s="26" t="s">
        <v>187</v>
      </c>
      <c r="N89" s="26">
        <v>412</v>
      </c>
      <c r="O89" s="20">
        <v>64576.88</v>
      </c>
      <c r="P89" s="26" t="s">
        <v>367</v>
      </c>
      <c r="Q89" s="26">
        <v>844348.32</v>
      </c>
      <c r="R89" s="26">
        <v>9</v>
      </c>
      <c r="S89" s="26">
        <v>5811.92</v>
      </c>
      <c r="T89" s="26">
        <v>9</v>
      </c>
      <c r="U89" s="26">
        <v>5811.92</v>
      </c>
      <c r="V89" s="26">
        <v>0</v>
      </c>
      <c r="W89" s="26">
        <v>0</v>
      </c>
      <c r="X89" s="26">
        <v>0</v>
      </c>
      <c r="Y89" s="26">
        <v>11623.84</v>
      </c>
      <c r="Z89" s="26">
        <v>0</v>
      </c>
      <c r="AA89" s="26" t="s">
        <v>177</v>
      </c>
      <c r="AB89" s="26" t="s">
        <v>188</v>
      </c>
      <c r="AC89" s="26">
        <v>39269080</v>
      </c>
      <c r="AD89" s="26" t="s">
        <v>208</v>
      </c>
      <c r="AE89" s="26">
        <v>1</v>
      </c>
      <c r="AF89" s="26">
        <v>412</v>
      </c>
      <c r="AG89" s="26" t="s">
        <v>209</v>
      </c>
    </row>
    <row r="90" spans="1:33" x14ac:dyDescent="0.25">
      <c r="A90" s="26"/>
      <c r="B90" s="26" t="s">
        <v>398</v>
      </c>
      <c r="C90" s="26" t="s">
        <v>219</v>
      </c>
      <c r="D90" s="26" t="s">
        <v>206</v>
      </c>
      <c r="E90" s="26">
        <v>357</v>
      </c>
      <c r="F90" s="26" t="s">
        <v>230</v>
      </c>
      <c r="G90" s="26" t="s">
        <v>408</v>
      </c>
      <c r="H90" s="26" t="s">
        <v>398</v>
      </c>
      <c r="I90" s="26" t="s">
        <v>169</v>
      </c>
      <c r="J90" s="26" t="s">
        <v>180</v>
      </c>
      <c r="K90" s="26" t="s">
        <v>155</v>
      </c>
      <c r="L90" s="26" t="s">
        <v>210</v>
      </c>
      <c r="M90" s="26" t="s">
        <v>187</v>
      </c>
      <c r="N90" s="30">
        <v>4079</v>
      </c>
      <c r="O90" s="20">
        <v>651579.46</v>
      </c>
      <c r="P90" s="26" t="s">
        <v>409</v>
      </c>
      <c r="Q90" s="26">
        <v>0</v>
      </c>
      <c r="R90" s="26">
        <v>9</v>
      </c>
      <c r="S90" s="26">
        <v>58642.15</v>
      </c>
      <c r="T90" s="26">
        <v>9</v>
      </c>
      <c r="U90" s="26">
        <v>58642.15</v>
      </c>
      <c r="V90" s="26">
        <v>0</v>
      </c>
      <c r="W90" s="26">
        <v>0</v>
      </c>
      <c r="X90" s="26">
        <v>0</v>
      </c>
      <c r="Y90" s="26">
        <v>117284.3</v>
      </c>
      <c r="Z90" s="26">
        <v>0</v>
      </c>
      <c r="AA90" s="26" t="s">
        <v>177</v>
      </c>
      <c r="AB90" s="26" t="s">
        <v>188</v>
      </c>
      <c r="AC90" s="26">
        <v>39269080</v>
      </c>
      <c r="AD90" s="26" t="s">
        <v>208</v>
      </c>
      <c r="AE90" s="26">
        <v>1</v>
      </c>
      <c r="AF90" s="26">
        <v>4079</v>
      </c>
      <c r="AG90" s="26" t="s">
        <v>209</v>
      </c>
    </row>
    <row r="91" spans="1:33" x14ac:dyDescent="0.25">
      <c r="A91" s="26"/>
      <c r="B91" s="26" t="s">
        <v>410</v>
      </c>
      <c r="C91" s="26" t="s">
        <v>211</v>
      </c>
      <c r="D91" s="26" t="s">
        <v>229</v>
      </c>
      <c r="E91" s="26" t="s">
        <v>411</v>
      </c>
      <c r="F91" s="26" t="s">
        <v>213</v>
      </c>
      <c r="G91" s="26" t="s">
        <v>411</v>
      </c>
      <c r="H91" s="26" t="s">
        <v>410</v>
      </c>
      <c r="I91" s="26" t="s">
        <v>169</v>
      </c>
      <c r="J91" s="26" t="s">
        <v>170</v>
      </c>
      <c r="K91" s="26" t="s">
        <v>572</v>
      </c>
      <c r="L91" s="26" t="s">
        <v>308</v>
      </c>
      <c r="M91" s="26" t="s">
        <v>302</v>
      </c>
      <c r="N91" s="35">
        <v>1963</v>
      </c>
      <c r="O91" s="20">
        <v>347451</v>
      </c>
      <c r="P91" s="26" t="s">
        <v>302</v>
      </c>
      <c r="Q91" s="26">
        <v>347103.55</v>
      </c>
      <c r="R91" s="26"/>
      <c r="S91" s="26">
        <v>0</v>
      </c>
      <c r="T91" s="26"/>
      <c r="U91" s="26">
        <v>0</v>
      </c>
      <c r="V91" s="26"/>
      <c r="W91" s="26">
        <v>0</v>
      </c>
      <c r="X91" s="26">
        <v>0</v>
      </c>
      <c r="Y91" s="26">
        <v>0</v>
      </c>
      <c r="Z91" s="26">
        <v>0</v>
      </c>
      <c r="AA91" s="26" t="s">
        <v>215</v>
      </c>
      <c r="AB91" s="26" t="s">
        <v>188</v>
      </c>
      <c r="AC91" s="26">
        <v>540263</v>
      </c>
      <c r="AD91" s="26" t="s">
        <v>208</v>
      </c>
      <c r="AE91" s="26">
        <v>1</v>
      </c>
      <c r="AF91" s="26">
        <v>1963</v>
      </c>
      <c r="AG91" s="26" t="s">
        <v>209</v>
      </c>
    </row>
    <row r="92" spans="1:33" x14ac:dyDescent="0.25">
      <c r="A92" s="26"/>
      <c r="B92" s="26" t="s">
        <v>410</v>
      </c>
      <c r="C92" s="26" t="s">
        <v>211</v>
      </c>
      <c r="D92" s="26" t="s">
        <v>212</v>
      </c>
      <c r="E92" s="26" t="s">
        <v>412</v>
      </c>
      <c r="F92" s="26" t="s">
        <v>213</v>
      </c>
      <c r="G92" s="26" t="s">
        <v>412</v>
      </c>
      <c r="H92" s="26" t="s">
        <v>410</v>
      </c>
      <c r="I92" s="26" t="s">
        <v>192</v>
      </c>
      <c r="J92" s="26" t="s">
        <v>152</v>
      </c>
      <c r="K92" s="26" t="s">
        <v>162</v>
      </c>
      <c r="L92" s="26" t="s">
        <v>207</v>
      </c>
      <c r="M92" s="26" t="s">
        <v>191</v>
      </c>
      <c r="N92" s="30">
        <v>1985</v>
      </c>
      <c r="O92" s="20">
        <v>371592</v>
      </c>
      <c r="P92" s="26" t="s">
        <v>214</v>
      </c>
      <c r="Q92" s="26">
        <v>371220.41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 t="s">
        <v>215</v>
      </c>
      <c r="AB92" s="26" t="s">
        <v>188</v>
      </c>
      <c r="AC92" s="26">
        <v>63053200</v>
      </c>
      <c r="AD92" s="26" t="s">
        <v>216</v>
      </c>
      <c r="AE92" s="26">
        <v>93.6</v>
      </c>
      <c r="AF92" s="26">
        <v>1985</v>
      </c>
      <c r="AG92" s="26" t="s">
        <v>209</v>
      </c>
    </row>
    <row r="93" spans="1:33" x14ac:dyDescent="0.25">
      <c r="A93" s="26"/>
      <c r="B93" s="26" t="s">
        <v>410</v>
      </c>
      <c r="C93" s="26" t="s">
        <v>217</v>
      </c>
      <c r="D93" s="26" t="s">
        <v>206</v>
      </c>
      <c r="E93" s="26">
        <v>361</v>
      </c>
      <c r="F93" s="26" t="s">
        <v>272</v>
      </c>
      <c r="G93" s="26" t="s">
        <v>413</v>
      </c>
      <c r="H93" s="26" t="s">
        <v>410</v>
      </c>
      <c r="I93" s="26" t="s">
        <v>169</v>
      </c>
      <c r="J93" s="26" t="s">
        <v>180</v>
      </c>
      <c r="K93" s="26" t="s">
        <v>155</v>
      </c>
      <c r="L93" s="26" t="s">
        <v>210</v>
      </c>
      <c r="M93" s="26" t="s">
        <v>187</v>
      </c>
      <c r="N93" s="26">
        <v>733.5</v>
      </c>
      <c r="O93" s="20">
        <v>113501.79</v>
      </c>
      <c r="P93" s="26" t="s">
        <v>187</v>
      </c>
      <c r="Q93" s="26">
        <v>133818.60999999999</v>
      </c>
      <c r="R93" s="26">
        <v>9</v>
      </c>
      <c r="S93" s="26">
        <v>10215.16</v>
      </c>
      <c r="T93" s="26">
        <v>9</v>
      </c>
      <c r="U93" s="26">
        <v>10215.16</v>
      </c>
      <c r="V93" s="26">
        <v>0</v>
      </c>
      <c r="W93" s="26">
        <v>0</v>
      </c>
      <c r="X93" s="26">
        <v>0</v>
      </c>
      <c r="Y93" s="26">
        <v>20430.32</v>
      </c>
      <c r="Z93" s="26">
        <v>0</v>
      </c>
      <c r="AA93" s="26" t="s">
        <v>172</v>
      </c>
      <c r="AB93" s="26" t="s">
        <v>188</v>
      </c>
      <c r="AC93" s="26">
        <v>39269080</v>
      </c>
      <c r="AD93" s="26" t="s">
        <v>208</v>
      </c>
      <c r="AE93" s="26">
        <v>1</v>
      </c>
      <c r="AF93" s="26">
        <v>733.5</v>
      </c>
      <c r="AG93" s="26" t="s">
        <v>209</v>
      </c>
    </row>
    <row r="94" spans="1:33" x14ac:dyDescent="0.25">
      <c r="A94" s="26"/>
      <c r="B94" s="26" t="s">
        <v>410</v>
      </c>
      <c r="C94" s="26" t="s">
        <v>219</v>
      </c>
      <c r="D94" s="26" t="s">
        <v>206</v>
      </c>
      <c r="E94" s="26">
        <v>359</v>
      </c>
      <c r="F94" s="26" t="s">
        <v>230</v>
      </c>
      <c r="G94" s="26" t="s">
        <v>414</v>
      </c>
      <c r="H94" s="26" t="s">
        <v>410</v>
      </c>
      <c r="I94" s="26" t="s">
        <v>171</v>
      </c>
      <c r="J94" s="26" t="s">
        <v>185</v>
      </c>
      <c r="K94" s="26" t="s">
        <v>164</v>
      </c>
      <c r="L94" s="26" t="s">
        <v>270</v>
      </c>
      <c r="M94" s="26" t="s">
        <v>184</v>
      </c>
      <c r="N94" s="30">
        <v>2000</v>
      </c>
      <c r="O94" s="20">
        <v>76000</v>
      </c>
      <c r="P94" s="26" t="s">
        <v>184</v>
      </c>
      <c r="Q94" s="26">
        <v>89604</v>
      </c>
      <c r="R94" s="26">
        <v>9</v>
      </c>
      <c r="S94" s="26">
        <v>6840</v>
      </c>
      <c r="T94" s="26">
        <v>9</v>
      </c>
      <c r="U94" s="26">
        <v>6840</v>
      </c>
      <c r="V94" s="26">
        <v>0</v>
      </c>
      <c r="W94" s="26">
        <v>0</v>
      </c>
      <c r="X94" s="26">
        <v>0</v>
      </c>
      <c r="Y94" s="26">
        <v>13680</v>
      </c>
      <c r="Z94" s="26">
        <v>0</v>
      </c>
      <c r="AA94" s="26" t="s">
        <v>177</v>
      </c>
      <c r="AB94" s="26" t="s">
        <v>188</v>
      </c>
      <c r="AC94" s="26">
        <v>32041990</v>
      </c>
      <c r="AD94" s="26" t="s">
        <v>208</v>
      </c>
      <c r="AE94" s="26">
        <v>1</v>
      </c>
      <c r="AF94" s="26">
        <v>2000</v>
      </c>
      <c r="AG94" s="26" t="s">
        <v>209</v>
      </c>
    </row>
    <row r="95" spans="1:33" x14ac:dyDescent="0.25">
      <c r="A95" s="26"/>
      <c r="B95" s="26" t="s">
        <v>410</v>
      </c>
      <c r="C95" s="26" t="s">
        <v>219</v>
      </c>
      <c r="D95" s="26" t="s">
        <v>206</v>
      </c>
      <c r="E95" s="26">
        <v>360</v>
      </c>
      <c r="F95" s="26" t="s">
        <v>230</v>
      </c>
      <c r="G95" s="26" t="s">
        <v>415</v>
      </c>
      <c r="H95" s="26" t="s">
        <v>410</v>
      </c>
      <c r="I95" s="26" t="s">
        <v>169</v>
      </c>
      <c r="J95" s="26" t="s">
        <v>201</v>
      </c>
      <c r="K95" s="26" t="s">
        <v>158</v>
      </c>
      <c r="L95" s="26" t="s">
        <v>220</v>
      </c>
      <c r="M95" s="26" t="s">
        <v>200</v>
      </c>
      <c r="N95" s="26">
        <v>12.3</v>
      </c>
      <c r="O95" s="20">
        <v>3321</v>
      </c>
      <c r="P95" s="26" t="s">
        <v>200</v>
      </c>
      <c r="Q95" s="26">
        <v>3915.46</v>
      </c>
      <c r="R95" s="26">
        <v>9</v>
      </c>
      <c r="S95" s="26">
        <v>298.89</v>
      </c>
      <c r="T95" s="26">
        <v>9</v>
      </c>
      <c r="U95" s="26">
        <v>298.89</v>
      </c>
      <c r="V95" s="26">
        <v>0</v>
      </c>
      <c r="W95" s="26">
        <v>0</v>
      </c>
      <c r="X95" s="26">
        <v>0</v>
      </c>
      <c r="Y95" s="26">
        <v>597.78</v>
      </c>
      <c r="Z95" s="26">
        <v>0</v>
      </c>
      <c r="AA95" s="26" t="s">
        <v>177</v>
      </c>
      <c r="AB95" s="26" t="s">
        <v>188</v>
      </c>
      <c r="AC95" s="26">
        <v>39201019</v>
      </c>
      <c r="AD95" s="26" t="s">
        <v>208</v>
      </c>
      <c r="AE95" s="26">
        <v>1</v>
      </c>
      <c r="AF95" s="26">
        <v>12.3</v>
      </c>
      <c r="AG95" s="26" t="s">
        <v>209</v>
      </c>
    </row>
    <row r="96" spans="1:33" x14ac:dyDescent="0.25">
      <c r="A96" s="26"/>
      <c r="B96" s="26" t="s">
        <v>410</v>
      </c>
      <c r="C96" s="26" t="s">
        <v>416</v>
      </c>
      <c r="D96" s="26" t="s">
        <v>417</v>
      </c>
      <c r="E96" s="26" t="s">
        <v>418</v>
      </c>
      <c r="F96" s="26" t="s">
        <v>419</v>
      </c>
      <c r="G96" s="26" t="s">
        <v>418</v>
      </c>
      <c r="H96" s="26" t="s">
        <v>410</v>
      </c>
      <c r="I96" s="26" t="s">
        <v>171</v>
      </c>
      <c r="J96" s="26" t="s">
        <v>185</v>
      </c>
      <c r="K96" s="26" t="s">
        <v>651</v>
      </c>
      <c r="L96" s="26" t="s">
        <v>166</v>
      </c>
      <c r="M96" s="26" t="s">
        <v>420</v>
      </c>
      <c r="N96" s="30">
        <v>102000</v>
      </c>
      <c r="O96" s="20">
        <v>9690000</v>
      </c>
      <c r="P96" s="26" t="s">
        <v>420</v>
      </c>
      <c r="Q96" s="26">
        <v>9680310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 t="s">
        <v>421</v>
      </c>
      <c r="AB96" s="26" t="s">
        <v>188</v>
      </c>
      <c r="AC96" s="26">
        <v>390210</v>
      </c>
      <c r="AD96" s="26" t="s">
        <v>208</v>
      </c>
      <c r="AE96" s="26">
        <v>1</v>
      </c>
      <c r="AF96" s="26">
        <v>102000</v>
      </c>
      <c r="AG96" s="26" t="s">
        <v>209</v>
      </c>
    </row>
    <row r="97" spans="1:33" x14ac:dyDescent="0.25">
      <c r="A97" s="26"/>
      <c r="B97" s="26" t="s">
        <v>410</v>
      </c>
      <c r="C97" s="26" t="s">
        <v>416</v>
      </c>
      <c r="D97" s="26" t="s">
        <v>417</v>
      </c>
      <c r="E97" s="26" t="s">
        <v>422</v>
      </c>
      <c r="F97" s="26" t="s">
        <v>419</v>
      </c>
      <c r="G97" s="26" t="s">
        <v>422</v>
      </c>
      <c r="H97" s="26" t="s">
        <v>410</v>
      </c>
      <c r="I97" s="26" t="s">
        <v>171</v>
      </c>
      <c r="J97" s="26" t="s">
        <v>185</v>
      </c>
      <c r="K97" s="26" t="s">
        <v>652</v>
      </c>
      <c r="L97" s="26" t="s">
        <v>310</v>
      </c>
      <c r="M97" s="26" t="s">
        <v>423</v>
      </c>
      <c r="N97" s="30">
        <v>51000</v>
      </c>
      <c r="O97" s="20">
        <v>9001500</v>
      </c>
      <c r="P97" s="26" t="s">
        <v>423</v>
      </c>
      <c r="Q97" s="26">
        <v>8992498.5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 t="s">
        <v>421</v>
      </c>
      <c r="AB97" s="26" t="s">
        <v>188</v>
      </c>
      <c r="AC97" s="26">
        <v>390110</v>
      </c>
      <c r="AD97" s="26" t="s">
        <v>208</v>
      </c>
      <c r="AE97" s="26">
        <v>1</v>
      </c>
      <c r="AF97" s="26">
        <v>51000</v>
      </c>
      <c r="AG97" s="26" t="s">
        <v>209</v>
      </c>
    </row>
    <row r="98" spans="1:33" x14ac:dyDescent="0.25">
      <c r="A98" s="26"/>
      <c r="B98" s="26" t="s">
        <v>424</v>
      </c>
      <c r="C98" s="26" t="s">
        <v>222</v>
      </c>
      <c r="D98" s="26" t="s">
        <v>212</v>
      </c>
      <c r="E98" s="26" t="s">
        <v>425</v>
      </c>
      <c r="F98" s="26" t="s">
        <v>231</v>
      </c>
      <c r="G98" s="26" t="s">
        <v>425</v>
      </c>
      <c r="H98" s="26" t="s">
        <v>424</v>
      </c>
      <c r="I98" s="26" t="s">
        <v>192</v>
      </c>
      <c r="J98" s="26" t="s">
        <v>152</v>
      </c>
      <c r="K98" s="26" t="s">
        <v>162</v>
      </c>
      <c r="L98" s="26" t="s">
        <v>207</v>
      </c>
      <c r="M98" s="26" t="s">
        <v>191</v>
      </c>
      <c r="N98" s="30">
        <v>5437</v>
      </c>
      <c r="O98" s="20">
        <v>1227842</v>
      </c>
      <c r="P98" s="26" t="s">
        <v>214</v>
      </c>
      <c r="Q98" s="26">
        <v>1227842</v>
      </c>
      <c r="R98" s="26">
        <v>0</v>
      </c>
      <c r="S98" s="26">
        <v>0</v>
      </c>
      <c r="T98" s="26">
        <v>0</v>
      </c>
      <c r="U98" s="26">
        <v>0</v>
      </c>
      <c r="V98" s="26">
        <v>18</v>
      </c>
      <c r="W98" s="26">
        <v>221011.56</v>
      </c>
      <c r="X98" s="26">
        <v>0</v>
      </c>
      <c r="Y98" s="26">
        <v>221011.56</v>
      </c>
      <c r="Z98" s="26">
        <v>0</v>
      </c>
      <c r="AA98" s="26" t="s">
        <v>221</v>
      </c>
      <c r="AB98" s="26" t="s">
        <v>188</v>
      </c>
      <c r="AC98" s="26">
        <v>63053200</v>
      </c>
      <c r="AD98" s="26" t="s">
        <v>216</v>
      </c>
      <c r="AE98" s="26">
        <v>93.5</v>
      </c>
      <c r="AF98" s="26">
        <v>5437</v>
      </c>
      <c r="AG98" s="26" t="s">
        <v>225</v>
      </c>
    </row>
    <row r="99" spans="1:33" x14ac:dyDescent="0.25">
      <c r="A99" s="26"/>
      <c r="B99" s="26" t="s">
        <v>424</v>
      </c>
      <c r="C99" s="26" t="s">
        <v>205</v>
      </c>
      <c r="D99" s="26" t="s">
        <v>206</v>
      </c>
      <c r="E99" s="26">
        <v>365</v>
      </c>
      <c r="F99" s="26" t="s">
        <v>272</v>
      </c>
      <c r="G99" s="26" t="s">
        <v>426</v>
      </c>
      <c r="H99" s="26" t="s">
        <v>424</v>
      </c>
      <c r="I99" s="26" t="s">
        <v>192</v>
      </c>
      <c r="J99" s="26" t="s">
        <v>153</v>
      </c>
      <c r="K99" s="26" t="s">
        <v>153</v>
      </c>
      <c r="L99" s="26" t="s">
        <v>210</v>
      </c>
      <c r="M99" s="26" t="s">
        <v>153</v>
      </c>
      <c r="N99" s="34">
        <v>360</v>
      </c>
      <c r="O99" s="20">
        <v>55706.400000000001</v>
      </c>
      <c r="P99" s="26" t="s">
        <v>273</v>
      </c>
      <c r="Q99" s="26">
        <v>186418.21</v>
      </c>
      <c r="R99" s="26">
        <v>9</v>
      </c>
      <c r="S99" s="26">
        <v>5013.58</v>
      </c>
      <c r="T99" s="26">
        <v>9</v>
      </c>
      <c r="U99" s="26">
        <v>5013.58</v>
      </c>
      <c r="V99" s="26">
        <v>0</v>
      </c>
      <c r="W99" s="26">
        <v>0</v>
      </c>
      <c r="X99" s="26">
        <v>0</v>
      </c>
      <c r="Y99" s="26">
        <v>10027.16</v>
      </c>
      <c r="Z99" s="26">
        <v>0</v>
      </c>
      <c r="AA99" s="26" t="s">
        <v>189</v>
      </c>
      <c r="AB99" s="26" t="s">
        <v>188</v>
      </c>
      <c r="AC99" s="26">
        <v>39269080</v>
      </c>
      <c r="AD99" s="26" t="s">
        <v>208</v>
      </c>
      <c r="AE99" s="26">
        <v>1</v>
      </c>
      <c r="AF99" s="26">
        <v>360</v>
      </c>
      <c r="AG99" s="26" t="s">
        <v>209</v>
      </c>
    </row>
    <row r="100" spans="1:33" x14ac:dyDescent="0.25">
      <c r="A100" s="26"/>
      <c r="B100" s="26" t="s">
        <v>424</v>
      </c>
      <c r="C100" s="26" t="s">
        <v>205</v>
      </c>
      <c r="D100" s="26" t="s">
        <v>206</v>
      </c>
      <c r="E100" s="26">
        <v>365</v>
      </c>
      <c r="F100" s="26" t="s">
        <v>272</v>
      </c>
      <c r="G100" s="26" t="s">
        <v>426</v>
      </c>
      <c r="H100" s="26" t="s">
        <v>424</v>
      </c>
      <c r="I100" s="26" t="s">
        <v>169</v>
      </c>
      <c r="J100" s="26" t="s">
        <v>180</v>
      </c>
      <c r="K100" s="26" t="s">
        <v>155</v>
      </c>
      <c r="L100" s="26" t="s">
        <v>210</v>
      </c>
      <c r="M100" s="26" t="s">
        <v>187</v>
      </c>
      <c r="N100" s="26">
        <v>554.1</v>
      </c>
      <c r="O100" s="20">
        <v>85741.43</v>
      </c>
      <c r="P100" s="26" t="s">
        <v>187</v>
      </c>
      <c r="Q100" s="26">
        <v>0</v>
      </c>
      <c r="R100" s="26">
        <v>9</v>
      </c>
      <c r="S100" s="26">
        <v>7716.73</v>
      </c>
      <c r="T100" s="26">
        <v>9</v>
      </c>
      <c r="U100" s="26">
        <v>7716.73</v>
      </c>
      <c r="V100" s="26">
        <v>0</v>
      </c>
      <c r="W100" s="26">
        <v>0</v>
      </c>
      <c r="X100" s="26">
        <v>0</v>
      </c>
      <c r="Y100" s="26">
        <v>15433.46</v>
      </c>
      <c r="Z100" s="26">
        <v>0</v>
      </c>
      <c r="AA100" s="26" t="s">
        <v>189</v>
      </c>
      <c r="AB100" s="26" t="s">
        <v>188</v>
      </c>
      <c r="AC100" s="26">
        <v>39269080</v>
      </c>
      <c r="AD100" s="26" t="s">
        <v>208</v>
      </c>
      <c r="AE100" s="26">
        <v>1</v>
      </c>
      <c r="AF100" s="26">
        <v>554.1</v>
      </c>
      <c r="AG100" s="26" t="s">
        <v>209</v>
      </c>
    </row>
    <row r="101" spans="1:33" x14ac:dyDescent="0.25">
      <c r="A101" s="26"/>
      <c r="B101" s="26" t="s">
        <v>424</v>
      </c>
      <c r="C101" s="26" t="s">
        <v>205</v>
      </c>
      <c r="D101" s="26" t="s">
        <v>206</v>
      </c>
      <c r="E101" s="26">
        <v>365</v>
      </c>
      <c r="F101" s="26" t="s">
        <v>272</v>
      </c>
      <c r="G101" s="26" t="s">
        <v>426</v>
      </c>
      <c r="H101" s="26" t="s">
        <v>424</v>
      </c>
      <c r="I101" s="26" t="s">
        <v>169</v>
      </c>
      <c r="J101" s="26" t="s">
        <v>180</v>
      </c>
      <c r="K101" s="26" t="s">
        <v>156</v>
      </c>
      <c r="L101" s="26" t="s">
        <v>218</v>
      </c>
      <c r="M101" s="26" t="s">
        <v>179</v>
      </c>
      <c r="N101" s="26">
        <v>105</v>
      </c>
      <c r="O101" s="20">
        <v>16667.7</v>
      </c>
      <c r="P101" s="26" t="s">
        <v>179</v>
      </c>
      <c r="Q101" s="26">
        <v>0</v>
      </c>
      <c r="R101" s="26">
        <v>9</v>
      </c>
      <c r="S101" s="26">
        <v>1500.09</v>
      </c>
      <c r="T101" s="26">
        <v>9</v>
      </c>
      <c r="U101" s="26">
        <v>1500.09</v>
      </c>
      <c r="V101" s="26">
        <v>0</v>
      </c>
      <c r="W101" s="26">
        <v>0</v>
      </c>
      <c r="X101" s="26">
        <v>0</v>
      </c>
      <c r="Y101" s="26">
        <v>3000.18</v>
      </c>
      <c r="Z101" s="26">
        <v>0</v>
      </c>
      <c r="AA101" s="26" t="s">
        <v>189</v>
      </c>
      <c r="AB101" s="26" t="s">
        <v>188</v>
      </c>
      <c r="AC101" s="26">
        <v>39269080</v>
      </c>
      <c r="AD101" s="26" t="s">
        <v>208</v>
      </c>
      <c r="AE101" s="26">
        <v>1</v>
      </c>
      <c r="AF101" s="26">
        <v>105</v>
      </c>
      <c r="AG101" s="26" t="s">
        <v>209</v>
      </c>
    </row>
    <row r="102" spans="1:33" ht="15" customHeight="1" x14ac:dyDescent="0.25">
      <c r="A102" s="26"/>
      <c r="B102" s="26" t="s">
        <v>424</v>
      </c>
      <c r="C102" s="26" t="s">
        <v>217</v>
      </c>
      <c r="D102" s="26" t="s">
        <v>206</v>
      </c>
      <c r="E102" s="26">
        <v>364</v>
      </c>
      <c r="F102" s="26" t="s">
        <v>230</v>
      </c>
      <c r="G102" s="26" t="s">
        <v>427</v>
      </c>
      <c r="H102" s="26" t="s">
        <v>424</v>
      </c>
      <c r="I102" s="26" t="s">
        <v>192</v>
      </c>
      <c r="J102" s="26" t="s">
        <v>152</v>
      </c>
      <c r="K102" s="26" t="s">
        <v>152</v>
      </c>
      <c r="L102" s="26" t="s">
        <v>207</v>
      </c>
      <c r="M102" s="26" t="s">
        <v>191</v>
      </c>
      <c r="N102" s="30">
        <v>1022</v>
      </c>
      <c r="O102" s="20">
        <v>258228.74</v>
      </c>
      <c r="P102" s="26" t="s">
        <v>428</v>
      </c>
      <c r="Q102" s="26">
        <v>6148332.0700000003</v>
      </c>
      <c r="R102" s="26">
        <v>9</v>
      </c>
      <c r="S102" s="26">
        <v>23240.59</v>
      </c>
      <c r="T102" s="26">
        <v>9</v>
      </c>
      <c r="U102" s="26">
        <v>23240.59</v>
      </c>
      <c r="V102" s="26">
        <v>0</v>
      </c>
      <c r="W102" s="26">
        <v>0</v>
      </c>
      <c r="X102" s="26">
        <v>0</v>
      </c>
      <c r="Y102" s="26">
        <v>46481.18</v>
      </c>
      <c r="Z102" s="26">
        <v>0</v>
      </c>
      <c r="AA102" s="26" t="s">
        <v>172</v>
      </c>
      <c r="AB102" s="26" t="s">
        <v>188</v>
      </c>
      <c r="AC102" s="26">
        <v>39232999</v>
      </c>
      <c r="AD102" s="26" t="s">
        <v>208</v>
      </c>
      <c r="AE102" s="26">
        <v>1</v>
      </c>
      <c r="AF102" s="26">
        <v>1022</v>
      </c>
      <c r="AG102" s="26" t="s">
        <v>209</v>
      </c>
    </row>
    <row r="103" spans="1:33" x14ac:dyDescent="0.25">
      <c r="A103" s="26"/>
      <c r="B103" s="26" t="s">
        <v>424</v>
      </c>
      <c r="C103" s="26" t="s">
        <v>217</v>
      </c>
      <c r="D103" s="26" t="s">
        <v>206</v>
      </c>
      <c r="E103" s="26">
        <v>364</v>
      </c>
      <c r="F103" s="26" t="s">
        <v>230</v>
      </c>
      <c r="G103" s="26" t="s">
        <v>427</v>
      </c>
      <c r="H103" s="26" t="s">
        <v>424</v>
      </c>
      <c r="I103" s="26" t="s">
        <v>192</v>
      </c>
      <c r="J103" s="26" t="s">
        <v>152</v>
      </c>
      <c r="K103" s="26" t="s">
        <v>152</v>
      </c>
      <c r="L103" s="26" t="s">
        <v>207</v>
      </c>
      <c r="M103" s="26" t="s">
        <v>191</v>
      </c>
      <c r="N103" s="26">
        <v>801</v>
      </c>
      <c r="O103" s="20">
        <v>201755.88</v>
      </c>
      <c r="P103" s="26" t="s">
        <v>429</v>
      </c>
      <c r="Q103" s="26">
        <v>0</v>
      </c>
      <c r="R103" s="26">
        <v>9</v>
      </c>
      <c r="S103" s="26">
        <v>18158.03</v>
      </c>
      <c r="T103" s="26">
        <v>9</v>
      </c>
      <c r="U103" s="26">
        <v>18158.03</v>
      </c>
      <c r="V103" s="26">
        <v>0</v>
      </c>
      <c r="W103" s="26">
        <v>0</v>
      </c>
      <c r="X103" s="26">
        <v>0</v>
      </c>
      <c r="Y103" s="26">
        <v>36316.06</v>
      </c>
      <c r="Z103" s="26">
        <v>0</v>
      </c>
      <c r="AA103" s="26" t="s">
        <v>172</v>
      </c>
      <c r="AB103" s="26" t="s">
        <v>188</v>
      </c>
      <c r="AC103" s="26">
        <v>39232999</v>
      </c>
      <c r="AD103" s="26" t="s">
        <v>208</v>
      </c>
      <c r="AE103" s="26">
        <v>1</v>
      </c>
      <c r="AF103" s="26">
        <v>801</v>
      </c>
      <c r="AG103" s="26" t="s">
        <v>209</v>
      </c>
    </row>
    <row r="104" spans="1:33" x14ac:dyDescent="0.25">
      <c r="A104" s="26"/>
      <c r="B104" s="26" t="s">
        <v>424</v>
      </c>
      <c r="C104" s="26" t="s">
        <v>217</v>
      </c>
      <c r="D104" s="26" t="s">
        <v>206</v>
      </c>
      <c r="E104" s="26">
        <v>364</v>
      </c>
      <c r="F104" s="26" t="s">
        <v>230</v>
      </c>
      <c r="G104" s="26" t="s">
        <v>427</v>
      </c>
      <c r="H104" s="26" t="s">
        <v>424</v>
      </c>
      <c r="I104" s="26" t="s">
        <v>192</v>
      </c>
      <c r="J104" s="26" t="s">
        <v>152</v>
      </c>
      <c r="K104" s="26" t="s">
        <v>152</v>
      </c>
      <c r="L104" s="26" t="s">
        <v>207</v>
      </c>
      <c r="M104" s="26" t="s">
        <v>191</v>
      </c>
      <c r="N104" s="30">
        <v>6672</v>
      </c>
      <c r="O104" s="20">
        <v>2016144.96</v>
      </c>
      <c r="P104" s="26" t="s">
        <v>430</v>
      </c>
      <c r="Q104" s="26">
        <v>0</v>
      </c>
      <c r="R104" s="26">
        <v>9</v>
      </c>
      <c r="S104" s="26">
        <v>181453.05</v>
      </c>
      <c r="T104" s="26">
        <v>9</v>
      </c>
      <c r="U104" s="26">
        <v>181453.05</v>
      </c>
      <c r="V104" s="26">
        <v>0</v>
      </c>
      <c r="W104" s="26">
        <v>0</v>
      </c>
      <c r="X104" s="26">
        <v>0</v>
      </c>
      <c r="Y104" s="26">
        <v>362906.1</v>
      </c>
      <c r="Z104" s="26">
        <v>0</v>
      </c>
      <c r="AA104" s="26" t="s">
        <v>172</v>
      </c>
      <c r="AB104" s="26" t="s">
        <v>188</v>
      </c>
      <c r="AC104" s="26">
        <v>39232999</v>
      </c>
      <c r="AD104" s="26" t="s">
        <v>208</v>
      </c>
      <c r="AE104" s="26">
        <v>1</v>
      </c>
      <c r="AF104" s="26">
        <v>6672</v>
      </c>
      <c r="AG104" s="26" t="s">
        <v>209</v>
      </c>
    </row>
    <row r="105" spans="1:33" x14ac:dyDescent="0.25">
      <c r="A105" s="26"/>
      <c r="B105" s="26" t="s">
        <v>424</v>
      </c>
      <c r="C105" s="26" t="s">
        <v>217</v>
      </c>
      <c r="D105" s="26" t="s">
        <v>206</v>
      </c>
      <c r="E105" s="26">
        <v>364</v>
      </c>
      <c r="F105" s="26" t="s">
        <v>230</v>
      </c>
      <c r="G105" s="26" t="s">
        <v>427</v>
      </c>
      <c r="H105" s="26" t="s">
        <v>424</v>
      </c>
      <c r="I105" s="26" t="s">
        <v>192</v>
      </c>
      <c r="J105" s="26" t="s">
        <v>152</v>
      </c>
      <c r="K105" s="26" t="s">
        <v>152</v>
      </c>
      <c r="L105" s="26" t="s">
        <v>207</v>
      </c>
      <c r="M105" s="26" t="s">
        <v>191</v>
      </c>
      <c r="N105" s="30">
        <v>2441.1</v>
      </c>
      <c r="O105" s="20">
        <v>524348.28</v>
      </c>
      <c r="P105" s="26" t="s">
        <v>431</v>
      </c>
      <c r="Q105" s="26">
        <v>0</v>
      </c>
      <c r="R105" s="26">
        <v>9</v>
      </c>
      <c r="S105" s="26">
        <v>47191.35</v>
      </c>
      <c r="T105" s="26">
        <v>9</v>
      </c>
      <c r="U105" s="26">
        <v>47191.35</v>
      </c>
      <c r="V105" s="26">
        <v>0</v>
      </c>
      <c r="W105" s="26">
        <v>0</v>
      </c>
      <c r="X105" s="26">
        <v>0</v>
      </c>
      <c r="Y105" s="26">
        <v>94382.7</v>
      </c>
      <c r="Z105" s="26">
        <v>0</v>
      </c>
      <c r="AA105" s="26" t="s">
        <v>172</v>
      </c>
      <c r="AB105" s="26" t="s">
        <v>188</v>
      </c>
      <c r="AC105" s="26">
        <v>39232999</v>
      </c>
      <c r="AD105" s="26" t="s">
        <v>208</v>
      </c>
      <c r="AE105" s="26">
        <v>1</v>
      </c>
      <c r="AF105" s="26">
        <v>2441.1</v>
      </c>
      <c r="AG105" s="26" t="s">
        <v>209</v>
      </c>
    </row>
    <row r="106" spans="1:33" x14ac:dyDescent="0.25">
      <c r="A106" s="26"/>
      <c r="B106" s="26" t="s">
        <v>424</v>
      </c>
      <c r="C106" s="26" t="s">
        <v>217</v>
      </c>
      <c r="D106" s="26" t="s">
        <v>206</v>
      </c>
      <c r="E106" s="26">
        <v>364</v>
      </c>
      <c r="F106" s="26" t="s">
        <v>230</v>
      </c>
      <c r="G106" s="26" t="s">
        <v>427</v>
      </c>
      <c r="H106" s="26" t="s">
        <v>424</v>
      </c>
      <c r="I106" s="26" t="s">
        <v>192</v>
      </c>
      <c r="J106" s="26" t="s">
        <v>152</v>
      </c>
      <c r="K106" s="26" t="s">
        <v>152</v>
      </c>
      <c r="L106" s="26" t="s">
        <v>207</v>
      </c>
      <c r="M106" s="26" t="s">
        <v>191</v>
      </c>
      <c r="N106" s="30">
        <v>8430</v>
      </c>
      <c r="O106" s="20">
        <v>2214392.4</v>
      </c>
      <c r="P106" s="26" t="s">
        <v>432</v>
      </c>
      <c r="Q106" s="26">
        <v>0</v>
      </c>
      <c r="R106" s="26">
        <v>9</v>
      </c>
      <c r="S106" s="26">
        <v>199295.32</v>
      </c>
      <c r="T106" s="26">
        <v>9</v>
      </c>
      <c r="U106" s="26">
        <v>199295.32</v>
      </c>
      <c r="V106" s="26">
        <v>0</v>
      </c>
      <c r="W106" s="26">
        <v>0</v>
      </c>
      <c r="X106" s="26">
        <v>0</v>
      </c>
      <c r="Y106" s="26">
        <v>398590.64</v>
      </c>
      <c r="Z106" s="26">
        <v>0</v>
      </c>
      <c r="AA106" s="26" t="s">
        <v>172</v>
      </c>
      <c r="AB106" s="26" t="s">
        <v>188</v>
      </c>
      <c r="AC106" s="26">
        <v>39232999</v>
      </c>
      <c r="AD106" s="26" t="s">
        <v>208</v>
      </c>
      <c r="AE106" s="26">
        <v>1</v>
      </c>
      <c r="AF106" s="26">
        <v>8430</v>
      </c>
      <c r="AG106" s="26" t="s">
        <v>209</v>
      </c>
    </row>
    <row r="107" spans="1:33" ht="15" customHeight="1" x14ac:dyDescent="0.25">
      <c r="A107" s="24"/>
      <c r="B107" s="26" t="s">
        <v>433</v>
      </c>
      <c r="C107" s="26" t="s">
        <v>234</v>
      </c>
      <c r="D107" s="26" t="s">
        <v>206</v>
      </c>
      <c r="E107" s="26">
        <v>368</v>
      </c>
      <c r="F107" s="26" t="s">
        <v>272</v>
      </c>
      <c r="G107" s="26" t="s">
        <v>434</v>
      </c>
      <c r="H107" s="26" t="s">
        <v>433</v>
      </c>
      <c r="I107" s="26" t="s">
        <v>192</v>
      </c>
      <c r="J107" s="26" t="s">
        <v>152</v>
      </c>
      <c r="K107" s="26" t="s">
        <v>152</v>
      </c>
      <c r="L107" s="26" t="s">
        <v>207</v>
      </c>
      <c r="M107" s="26" t="s">
        <v>191</v>
      </c>
      <c r="N107" s="30">
        <v>19488</v>
      </c>
      <c r="O107" s="20">
        <v>2880326.4</v>
      </c>
      <c r="P107" s="26" t="s">
        <v>435</v>
      </c>
      <c r="Q107" s="26">
        <v>3395904.83</v>
      </c>
      <c r="R107" s="26">
        <v>9</v>
      </c>
      <c r="S107" s="26">
        <v>259229.38</v>
      </c>
      <c r="T107" s="26">
        <v>9</v>
      </c>
      <c r="U107" s="26">
        <v>259229.38</v>
      </c>
      <c r="V107" s="26">
        <v>0</v>
      </c>
      <c r="W107" s="26">
        <v>0</v>
      </c>
      <c r="X107" s="26">
        <v>0</v>
      </c>
      <c r="Y107" s="26">
        <v>518458.76</v>
      </c>
      <c r="Z107" s="26">
        <v>0</v>
      </c>
      <c r="AA107" s="26" t="s">
        <v>189</v>
      </c>
      <c r="AB107" s="26" t="s">
        <v>188</v>
      </c>
      <c r="AC107" s="26">
        <v>39232999</v>
      </c>
      <c r="AD107" s="26" t="s">
        <v>208</v>
      </c>
      <c r="AE107" s="26">
        <v>1</v>
      </c>
      <c r="AF107" s="26">
        <v>19488</v>
      </c>
      <c r="AG107" s="26" t="s">
        <v>209</v>
      </c>
    </row>
    <row r="108" spans="1:33" x14ac:dyDescent="0.25">
      <c r="A108" s="26"/>
      <c r="B108" s="26" t="s">
        <v>433</v>
      </c>
      <c r="C108" s="26" t="s">
        <v>219</v>
      </c>
      <c r="D108" s="26" t="s">
        <v>206</v>
      </c>
      <c r="E108" s="26">
        <v>367</v>
      </c>
      <c r="F108" s="26" t="s">
        <v>272</v>
      </c>
      <c r="G108" s="26" t="s">
        <v>436</v>
      </c>
      <c r="H108" s="26" t="s">
        <v>433</v>
      </c>
      <c r="I108" s="26" t="s">
        <v>192</v>
      </c>
      <c r="J108" s="26" t="s">
        <v>153</v>
      </c>
      <c r="K108" s="26" t="s">
        <v>153</v>
      </c>
      <c r="L108" s="26" t="s">
        <v>218</v>
      </c>
      <c r="M108" s="26" t="s">
        <v>153</v>
      </c>
      <c r="N108" s="34">
        <v>177</v>
      </c>
      <c r="O108" s="20">
        <v>23848.98</v>
      </c>
      <c r="P108" s="26" t="s">
        <v>293</v>
      </c>
      <c r="Q108" s="26">
        <v>28117.95</v>
      </c>
      <c r="R108" s="26">
        <v>9</v>
      </c>
      <c r="S108" s="26">
        <v>2146.41</v>
      </c>
      <c r="T108" s="26">
        <v>9</v>
      </c>
      <c r="U108" s="26">
        <v>2146.41</v>
      </c>
      <c r="V108" s="26">
        <v>0</v>
      </c>
      <c r="W108" s="26">
        <v>0</v>
      </c>
      <c r="X108" s="26">
        <v>0</v>
      </c>
      <c r="Y108" s="26">
        <v>4292.82</v>
      </c>
      <c r="Z108" s="26">
        <v>0</v>
      </c>
      <c r="AA108" s="26" t="s">
        <v>177</v>
      </c>
      <c r="AB108" s="26" t="s">
        <v>188</v>
      </c>
      <c r="AC108" s="26">
        <v>39269080</v>
      </c>
      <c r="AD108" s="26" t="s">
        <v>208</v>
      </c>
      <c r="AE108" s="26">
        <v>1</v>
      </c>
      <c r="AF108" s="26">
        <v>177</v>
      </c>
      <c r="AG108" s="26" t="s">
        <v>209</v>
      </c>
    </row>
    <row r="109" spans="1:33" x14ac:dyDescent="0.25">
      <c r="A109" s="26"/>
      <c r="B109" s="26" t="s">
        <v>433</v>
      </c>
      <c r="C109" s="26" t="s">
        <v>219</v>
      </c>
      <c r="D109" s="26" t="s">
        <v>206</v>
      </c>
      <c r="E109" s="26">
        <v>369</v>
      </c>
      <c r="F109" s="26" t="s">
        <v>230</v>
      </c>
      <c r="G109" s="26" t="s">
        <v>437</v>
      </c>
      <c r="H109" s="26" t="s">
        <v>433</v>
      </c>
      <c r="I109" s="26" t="s">
        <v>169</v>
      </c>
      <c r="J109" s="26" t="s">
        <v>201</v>
      </c>
      <c r="K109" s="26" t="s">
        <v>158</v>
      </c>
      <c r="L109" s="26" t="s">
        <v>220</v>
      </c>
      <c r="M109" s="26" t="s">
        <v>200</v>
      </c>
      <c r="N109" s="26">
        <v>10</v>
      </c>
      <c r="O109" s="20">
        <v>2770</v>
      </c>
      <c r="P109" s="26" t="s">
        <v>200</v>
      </c>
      <c r="Q109" s="26">
        <v>3265.83</v>
      </c>
      <c r="R109" s="26">
        <v>9</v>
      </c>
      <c r="S109" s="26">
        <v>249.3</v>
      </c>
      <c r="T109" s="26">
        <v>9</v>
      </c>
      <c r="U109" s="26">
        <v>249.3</v>
      </c>
      <c r="V109" s="26">
        <v>0</v>
      </c>
      <c r="W109" s="26">
        <v>0</v>
      </c>
      <c r="X109" s="26">
        <v>0</v>
      </c>
      <c r="Y109" s="26">
        <v>498.6</v>
      </c>
      <c r="Z109" s="26">
        <v>0</v>
      </c>
      <c r="AA109" s="26" t="s">
        <v>177</v>
      </c>
      <c r="AB109" s="26" t="s">
        <v>188</v>
      </c>
      <c r="AC109" s="26">
        <v>39201019</v>
      </c>
      <c r="AD109" s="26" t="s">
        <v>208</v>
      </c>
      <c r="AE109" s="26">
        <v>1</v>
      </c>
      <c r="AF109" s="26">
        <v>10</v>
      </c>
      <c r="AG109" s="26" t="s">
        <v>209</v>
      </c>
    </row>
    <row r="110" spans="1:33" x14ac:dyDescent="0.25">
      <c r="A110" s="26"/>
      <c r="B110" s="26" t="s">
        <v>438</v>
      </c>
      <c r="C110" s="26" t="s">
        <v>234</v>
      </c>
      <c r="D110" s="26" t="s">
        <v>206</v>
      </c>
      <c r="E110" s="26">
        <v>375</v>
      </c>
      <c r="F110" s="26" t="s">
        <v>230</v>
      </c>
      <c r="G110" s="26" t="s">
        <v>439</v>
      </c>
      <c r="H110" s="26" t="s">
        <v>438</v>
      </c>
      <c r="I110" s="26" t="s">
        <v>192</v>
      </c>
      <c r="J110" s="26" t="s">
        <v>152</v>
      </c>
      <c r="K110" s="26" t="s">
        <v>152</v>
      </c>
      <c r="L110" s="26" t="s">
        <v>207</v>
      </c>
      <c r="M110" s="26" t="s">
        <v>191</v>
      </c>
      <c r="N110" s="30">
        <v>2424</v>
      </c>
      <c r="O110" s="20">
        <v>554950.56000000006</v>
      </c>
      <c r="P110" s="26" t="s">
        <v>440</v>
      </c>
      <c r="Q110" s="26">
        <v>5259362.03</v>
      </c>
      <c r="R110" s="26">
        <v>9</v>
      </c>
      <c r="S110" s="26">
        <v>49945.55</v>
      </c>
      <c r="T110" s="26">
        <v>9</v>
      </c>
      <c r="U110" s="26">
        <v>49945.55</v>
      </c>
      <c r="V110" s="26">
        <v>0</v>
      </c>
      <c r="W110" s="26">
        <v>0</v>
      </c>
      <c r="X110" s="26">
        <v>0</v>
      </c>
      <c r="Y110" s="26">
        <v>99891.1</v>
      </c>
      <c r="Z110" s="26">
        <v>0</v>
      </c>
      <c r="AA110" s="26" t="s">
        <v>189</v>
      </c>
      <c r="AB110" s="26" t="s">
        <v>188</v>
      </c>
      <c r="AC110" s="26">
        <v>39232999</v>
      </c>
      <c r="AD110" s="26" t="s">
        <v>208</v>
      </c>
      <c r="AE110" s="26">
        <v>1</v>
      </c>
      <c r="AF110" s="26">
        <v>2424</v>
      </c>
      <c r="AG110" s="26" t="s">
        <v>209</v>
      </c>
    </row>
    <row r="111" spans="1:33" x14ac:dyDescent="0.25">
      <c r="A111" s="26"/>
      <c r="B111" s="26" t="s">
        <v>438</v>
      </c>
      <c r="C111" s="26" t="s">
        <v>234</v>
      </c>
      <c r="D111" s="26" t="s">
        <v>206</v>
      </c>
      <c r="E111" s="26">
        <v>375</v>
      </c>
      <c r="F111" s="26" t="s">
        <v>230</v>
      </c>
      <c r="G111" s="26" t="s">
        <v>439</v>
      </c>
      <c r="H111" s="26" t="s">
        <v>438</v>
      </c>
      <c r="I111" s="26" t="s">
        <v>192</v>
      </c>
      <c r="J111" s="26" t="s">
        <v>152</v>
      </c>
      <c r="K111" s="26" t="s">
        <v>152</v>
      </c>
      <c r="L111" s="26" t="s">
        <v>207</v>
      </c>
      <c r="M111" s="26" t="s">
        <v>191</v>
      </c>
      <c r="N111" s="26">
        <v>840</v>
      </c>
      <c r="O111" s="20">
        <v>179306.4</v>
      </c>
      <c r="P111" s="26" t="s">
        <v>441</v>
      </c>
      <c r="Q111" s="26">
        <v>0</v>
      </c>
      <c r="R111" s="26">
        <v>9</v>
      </c>
      <c r="S111" s="26">
        <v>16137.58</v>
      </c>
      <c r="T111" s="26">
        <v>9</v>
      </c>
      <c r="U111" s="26">
        <v>16137.58</v>
      </c>
      <c r="V111" s="26">
        <v>0</v>
      </c>
      <c r="W111" s="26">
        <v>0</v>
      </c>
      <c r="X111" s="26">
        <v>0</v>
      </c>
      <c r="Y111" s="26">
        <v>32275.16</v>
      </c>
      <c r="Z111" s="26">
        <v>0</v>
      </c>
      <c r="AA111" s="26" t="s">
        <v>189</v>
      </c>
      <c r="AB111" s="26" t="s">
        <v>188</v>
      </c>
      <c r="AC111" s="26">
        <v>39232999</v>
      </c>
      <c r="AD111" s="26" t="s">
        <v>208</v>
      </c>
      <c r="AE111" s="26">
        <v>1</v>
      </c>
      <c r="AF111" s="26">
        <v>840</v>
      </c>
      <c r="AG111" s="26" t="s">
        <v>209</v>
      </c>
    </row>
    <row r="112" spans="1:33" x14ac:dyDescent="0.25">
      <c r="A112" s="26"/>
      <c r="B112" s="26" t="s">
        <v>438</v>
      </c>
      <c r="C112" s="26" t="s">
        <v>234</v>
      </c>
      <c r="D112" s="26" t="s">
        <v>206</v>
      </c>
      <c r="E112" s="26">
        <v>375</v>
      </c>
      <c r="F112" s="26" t="s">
        <v>230</v>
      </c>
      <c r="G112" s="26" t="s">
        <v>439</v>
      </c>
      <c r="H112" s="26" t="s">
        <v>438</v>
      </c>
      <c r="I112" s="26" t="s">
        <v>192</v>
      </c>
      <c r="J112" s="26" t="s">
        <v>152</v>
      </c>
      <c r="K112" s="26" t="s">
        <v>152</v>
      </c>
      <c r="L112" s="26" t="s">
        <v>207</v>
      </c>
      <c r="M112" s="26" t="s">
        <v>191</v>
      </c>
      <c r="N112" s="30">
        <v>4973</v>
      </c>
      <c r="O112" s="20">
        <v>967049.58</v>
      </c>
      <c r="P112" s="26" t="s">
        <v>442</v>
      </c>
      <c r="Q112" s="26">
        <v>0</v>
      </c>
      <c r="R112" s="26">
        <v>9</v>
      </c>
      <c r="S112" s="26">
        <v>87034.46</v>
      </c>
      <c r="T112" s="26">
        <v>9</v>
      </c>
      <c r="U112" s="26">
        <v>87034.46</v>
      </c>
      <c r="V112" s="26">
        <v>0</v>
      </c>
      <c r="W112" s="26">
        <v>0</v>
      </c>
      <c r="X112" s="26">
        <v>0</v>
      </c>
      <c r="Y112" s="26">
        <v>174068.92</v>
      </c>
      <c r="Z112" s="26">
        <v>0</v>
      </c>
      <c r="AA112" s="26" t="s">
        <v>189</v>
      </c>
      <c r="AB112" s="26" t="s">
        <v>188</v>
      </c>
      <c r="AC112" s="26">
        <v>39232999</v>
      </c>
      <c r="AD112" s="26" t="s">
        <v>208</v>
      </c>
      <c r="AE112" s="26">
        <v>1</v>
      </c>
      <c r="AF112" s="26">
        <v>4973</v>
      </c>
      <c r="AG112" s="26" t="s">
        <v>209</v>
      </c>
    </row>
    <row r="113" spans="1:33" x14ac:dyDescent="0.25">
      <c r="A113" s="26"/>
      <c r="B113" s="26" t="s">
        <v>438</v>
      </c>
      <c r="C113" s="26" t="s">
        <v>234</v>
      </c>
      <c r="D113" s="26" t="s">
        <v>206</v>
      </c>
      <c r="E113" s="26">
        <v>375</v>
      </c>
      <c r="F113" s="26" t="s">
        <v>230</v>
      </c>
      <c r="G113" s="26" t="s">
        <v>439</v>
      </c>
      <c r="H113" s="26" t="s">
        <v>438</v>
      </c>
      <c r="I113" s="26" t="s">
        <v>192</v>
      </c>
      <c r="J113" s="26" t="s">
        <v>443</v>
      </c>
      <c r="K113" s="26" t="s">
        <v>444</v>
      </c>
      <c r="L113" s="26" t="s">
        <v>207</v>
      </c>
      <c r="M113" s="26" t="s">
        <v>445</v>
      </c>
      <c r="N113" s="26">
        <v>416.8</v>
      </c>
      <c r="O113" s="20">
        <v>95797.31</v>
      </c>
      <c r="P113" s="26" t="s">
        <v>445</v>
      </c>
      <c r="Q113" s="26">
        <v>0</v>
      </c>
      <c r="R113" s="26">
        <v>9</v>
      </c>
      <c r="S113" s="26">
        <v>8621.76</v>
      </c>
      <c r="T113" s="26">
        <v>9</v>
      </c>
      <c r="U113" s="26">
        <v>8621.76</v>
      </c>
      <c r="V113" s="26">
        <v>0</v>
      </c>
      <c r="W113" s="26">
        <v>0</v>
      </c>
      <c r="X113" s="26">
        <v>0</v>
      </c>
      <c r="Y113" s="26">
        <v>17243.52</v>
      </c>
      <c r="Z113" s="26">
        <v>0</v>
      </c>
      <c r="AA113" s="26" t="s">
        <v>189</v>
      </c>
      <c r="AB113" s="26" t="s">
        <v>188</v>
      </c>
      <c r="AC113" s="26">
        <v>39232999</v>
      </c>
      <c r="AD113" s="26" t="s">
        <v>208</v>
      </c>
      <c r="AE113" s="26">
        <v>1</v>
      </c>
      <c r="AF113" s="26">
        <v>416.8</v>
      </c>
      <c r="AG113" s="26" t="s">
        <v>209</v>
      </c>
    </row>
    <row r="114" spans="1:33" x14ac:dyDescent="0.25">
      <c r="A114" s="26"/>
      <c r="B114" s="26" t="s">
        <v>438</v>
      </c>
      <c r="C114" s="26" t="s">
        <v>234</v>
      </c>
      <c r="D114" s="26" t="s">
        <v>206</v>
      </c>
      <c r="E114" s="26">
        <v>375</v>
      </c>
      <c r="F114" s="26" t="s">
        <v>230</v>
      </c>
      <c r="G114" s="26" t="s">
        <v>439</v>
      </c>
      <c r="H114" s="26" t="s">
        <v>438</v>
      </c>
      <c r="I114" s="26" t="s">
        <v>192</v>
      </c>
      <c r="J114" s="26" t="s">
        <v>152</v>
      </c>
      <c r="K114" s="26" t="s">
        <v>152</v>
      </c>
      <c r="L114" s="26" t="s">
        <v>207</v>
      </c>
      <c r="M114" s="26" t="s">
        <v>195</v>
      </c>
      <c r="N114" s="26">
        <v>849</v>
      </c>
      <c r="O114" s="20">
        <v>209193.60000000001</v>
      </c>
      <c r="P114" s="26" t="s">
        <v>446</v>
      </c>
      <c r="Q114" s="26">
        <v>0</v>
      </c>
      <c r="R114" s="26">
        <v>9</v>
      </c>
      <c r="S114" s="26">
        <v>18827.419999999998</v>
      </c>
      <c r="T114" s="26">
        <v>9</v>
      </c>
      <c r="U114" s="26">
        <v>18827.419999999998</v>
      </c>
      <c r="V114" s="26">
        <v>0</v>
      </c>
      <c r="W114" s="26">
        <v>0</v>
      </c>
      <c r="X114" s="26">
        <v>0</v>
      </c>
      <c r="Y114" s="26">
        <v>37654.839999999997</v>
      </c>
      <c r="Z114" s="26">
        <v>0</v>
      </c>
      <c r="AA114" s="26" t="s">
        <v>189</v>
      </c>
      <c r="AB114" s="26" t="s">
        <v>188</v>
      </c>
      <c r="AC114" s="26">
        <v>39232999</v>
      </c>
      <c r="AD114" s="26" t="s">
        <v>208</v>
      </c>
      <c r="AE114" s="26">
        <v>1</v>
      </c>
      <c r="AF114" s="26">
        <v>849</v>
      </c>
      <c r="AG114" s="26" t="s">
        <v>209</v>
      </c>
    </row>
    <row r="115" spans="1:33" x14ac:dyDescent="0.25">
      <c r="A115" s="26"/>
      <c r="B115" s="26" t="s">
        <v>438</v>
      </c>
      <c r="C115" s="26" t="s">
        <v>234</v>
      </c>
      <c r="D115" s="26" t="s">
        <v>206</v>
      </c>
      <c r="E115" s="26">
        <v>375</v>
      </c>
      <c r="F115" s="26" t="s">
        <v>230</v>
      </c>
      <c r="G115" s="26" t="s">
        <v>439</v>
      </c>
      <c r="H115" s="26" t="s">
        <v>438</v>
      </c>
      <c r="I115" s="26" t="s">
        <v>192</v>
      </c>
      <c r="J115" s="26" t="s">
        <v>152</v>
      </c>
      <c r="K115" s="26" t="s">
        <v>152</v>
      </c>
      <c r="L115" s="26" t="s">
        <v>207</v>
      </c>
      <c r="M115" s="26" t="s">
        <v>191</v>
      </c>
      <c r="N115" s="30">
        <v>3262</v>
      </c>
      <c r="O115" s="20">
        <v>791589.54</v>
      </c>
      <c r="P115" s="26" t="s">
        <v>447</v>
      </c>
      <c r="Q115" s="26">
        <v>0</v>
      </c>
      <c r="R115" s="26">
        <v>9</v>
      </c>
      <c r="S115" s="26">
        <v>71243.06</v>
      </c>
      <c r="T115" s="26">
        <v>9</v>
      </c>
      <c r="U115" s="26">
        <v>71243.06</v>
      </c>
      <c r="V115" s="26">
        <v>0</v>
      </c>
      <c r="W115" s="26">
        <v>0</v>
      </c>
      <c r="X115" s="26">
        <v>0</v>
      </c>
      <c r="Y115" s="26">
        <v>142486.12</v>
      </c>
      <c r="Z115" s="26">
        <v>0</v>
      </c>
      <c r="AA115" s="26" t="s">
        <v>189</v>
      </c>
      <c r="AB115" s="26" t="s">
        <v>188</v>
      </c>
      <c r="AC115" s="26">
        <v>39232999</v>
      </c>
      <c r="AD115" s="26" t="s">
        <v>208</v>
      </c>
      <c r="AE115" s="26">
        <v>1</v>
      </c>
      <c r="AF115" s="26">
        <v>3262</v>
      </c>
      <c r="AG115" s="26" t="s">
        <v>209</v>
      </c>
    </row>
    <row r="116" spans="1:33" x14ac:dyDescent="0.25">
      <c r="A116" s="26"/>
      <c r="B116" s="26" t="s">
        <v>438</v>
      </c>
      <c r="C116" s="26" t="s">
        <v>234</v>
      </c>
      <c r="D116" s="26" t="s">
        <v>206</v>
      </c>
      <c r="E116" s="26">
        <v>375</v>
      </c>
      <c r="F116" s="26" t="s">
        <v>230</v>
      </c>
      <c r="G116" s="26" t="s">
        <v>439</v>
      </c>
      <c r="H116" s="26" t="s">
        <v>438</v>
      </c>
      <c r="I116" s="26" t="s">
        <v>192</v>
      </c>
      <c r="J116" s="26" t="s">
        <v>152</v>
      </c>
      <c r="K116" s="26" t="s">
        <v>152</v>
      </c>
      <c r="L116" s="26" t="s">
        <v>207</v>
      </c>
      <c r="M116" s="26" t="s">
        <v>191</v>
      </c>
      <c r="N116" s="30">
        <v>2825</v>
      </c>
      <c r="O116" s="20">
        <v>643393.75</v>
      </c>
      <c r="P116" s="26" t="s">
        <v>448</v>
      </c>
      <c r="Q116" s="26">
        <v>0</v>
      </c>
      <c r="R116" s="26">
        <v>9</v>
      </c>
      <c r="S116" s="26">
        <v>57905.440000000002</v>
      </c>
      <c r="T116" s="26">
        <v>9</v>
      </c>
      <c r="U116" s="26">
        <v>57905.440000000002</v>
      </c>
      <c r="V116" s="26">
        <v>0</v>
      </c>
      <c r="W116" s="26">
        <v>0</v>
      </c>
      <c r="X116" s="26">
        <v>0</v>
      </c>
      <c r="Y116" s="26">
        <v>115810.88</v>
      </c>
      <c r="Z116" s="26">
        <v>0</v>
      </c>
      <c r="AA116" s="26" t="s">
        <v>189</v>
      </c>
      <c r="AB116" s="26" t="s">
        <v>188</v>
      </c>
      <c r="AC116" s="26">
        <v>39232999</v>
      </c>
      <c r="AD116" s="26" t="s">
        <v>208</v>
      </c>
      <c r="AE116" s="26">
        <v>1</v>
      </c>
      <c r="AF116" s="26">
        <v>2825</v>
      </c>
      <c r="AG116" s="26" t="s">
        <v>209</v>
      </c>
    </row>
    <row r="117" spans="1:33" x14ac:dyDescent="0.25">
      <c r="A117" s="26"/>
      <c r="B117" s="26" t="s">
        <v>438</v>
      </c>
      <c r="C117" s="26" t="s">
        <v>234</v>
      </c>
      <c r="D117" s="26" t="s">
        <v>206</v>
      </c>
      <c r="E117" s="26">
        <v>375</v>
      </c>
      <c r="F117" s="26" t="s">
        <v>230</v>
      </c>
      <c r="G117" s="26" t="s">
        <v>439</v>
      </c>
      <c r="H117" s="26" t="s">
        <v>438</v>
      </c>
      <c r="I117" s="26" t="s">
        <v>192</v>
      </c>
      <c r="J117" s="26" t="s">
        <v>152</v>
      </c>
      <c r="K117" s="26" t="s">
        <v>152</v>
      </c>
      <c r="L117" s="26" t="s">
        <v>207</v>
      </c>
      <c r="M117" s="26" t="s">
        <v>191</v>
      </c>
      <c r="N117" s="30">
        <v>4438</v>
      </c>
      <c r="O117" s="20">
        <v>1019586.12</v>
      </c>
      <c r="P117" s="26" t="s">
        <v>449</v>
      </c>
      <c r="Q117" s="26">
        <v>0</v>
      </c>
      <c r="R117" s="26">
        <v>9</v>
      </c>
      <c r="S117" s="26">
        <v>91762.75</v>
      </c>
      <c r="T117" s="26">
        <v>9</v>
      </c>
      <c r="U117" s="26">
        <v>91762.75</v>
      </c>
      <c r="V117" s="26">
        <v>0</v>
      </c>
      <c r="W117" s="26">
        <v>0</v>
      </c>
      <c r="X117" s="26">
        <v>0</v>
      </c>
      <c r="Y117" s="26">
        <v>183525.5</v>
      </c>
      <c r="Z117" s="26">
        <v>0</v>
      </c>
      <c r="AA117" s="26" t="s">
        <v>189</v>
      </c>
      <c r="AB117" s="26" t="s">
        <v>188</v>
      </c>
      <c r="AC117" s="26">
        <v>39232999</v>
      </c>
      <c r="AD117" s="26" t="s">
        <v>208</v>
      </c>
      <c r="AE117" s="26">
        <v>1</v>
      </c>
      <c r="AF117" s="26">
        <v>4438</v>
      </c>
      <c r="AG117" s="26" t="s">
        <v>209</v>
      </c>
    </row>
    <row r="118" spans="1:33" x14ac:dyDescent="0.25">
      <c r="A118" s="26"/>
      <c r="B118" s="26" t="s">
        <v>438</v>
      </c>
      <c r="C118" s="26" t="s">
        <v>211</v>
      </c>
      <c r="D118" s="26" t="s">
        <v>229</v>
      </c>
      <c r="E118" s="26" t="s">
        <v>450</v>
      </c>
      <c r="F118" s="26" t="s">
        <v>213</v>
      </c>
      <c r="G118" s="26" t="s">
        <v>450</v>
      </c>
      <c r="H118" s="26" t="s">
        <v>438</v>
      </c>
      <c r="I118" s="26" t="s">
        <v>169</v>
      </c>
      <c r="J118" s="26" t="s">
        <v>201</v>
      </c>
      <c r="K118" s="26" t="s">
        <v>158</v>
      </c>
      <c r="L118" s="26" t="s">
        <v>220</v>
      </c>
      <c r="M118" s="26" t="s">
        <v>200</v>
      </c>
      <c r="N118" s="26">
        <v>10.7</v>
      </c>
      <c r="O118" s="20">
        <v>3745</v>
      </c>
      <c r="P118" s="26" t="s">
        <v>200</v>
      </c>
      <c r="Q118" s="26">
        <v>3741.26</v>
      </c>
      <c r="R118" s="26"/>
      <c r="S118" s="26">
        <v>0</v>
      </c>
      <c r="T118" s="26"/>
      <c r="U118" s="26">
        <v>0</v>
      </c>
      <c r="V118" s="26"/>
      <c r="W118" s="26">
        <v>0</v>
      </c>
      <c r="X118" s="26">
        <v>0</v>
      </c>
      <c r="Y118" s="26">
        <v>0</v>
      </c>
      <c r="Z118" s="26">
        <v>0</v>
      </c>
      <c r="AA118" s="26" t="s">
        <v>215</v>
      </c>
      <c r="AB118" s="26" t="s">
        <v>188</v>
      </c>
      <c r="AC118" s="26">
        <v>39201019</v>
      </c>
      <c r="AD118" s="26" t="s">
        <v>208</v>
      </c>
      <c r="AE118" s="26">
        <v>1</v>
      </c>
      <c r="AF118" s="26">
        <v>10.7</v>
      </c>
      <c r="AG118" s="26" t="s">
        <v>209</v>
      </c>
    </row>
    <row r="119" spans="1:33" x14ac:dyDescent="0.25">
      <c r="A119" s="26"/>
      <c r="B119" s="26" t="s">
        <v>438</v>
      </c>
      <c r="C119" s="26" t="s">
        <v>219</v>
      </c>
      <c r="D119" s="26" t="s">
        <v>206</v>
      </c>
      <c r="E119" s="26">
        <v>370</v>
      </c>
      <c r="F119" s="26" t="s">
        <v>230</v>
      </c>
      <c r="G119" s="26" t="s">
        <v>451</v>
      </c>
      <c r="H119" s="26" t="s">
        <v>438</v>
      </c>
      <c r="I119" s="26" t="s">
        <v>169</v>
      </c>
      <c r="J119" s="26" t="s">
        <v>201</v>
      </c>
      <c r="K119" s="26" t="s">
        <v>158</v>
      </c>
      <c r="L119" s="26" t="s">
        <v>220</v>
      </c>
      <c r="M119" s="26" t="s">
        <v>200</v>
      </c>
      <c r="N119" s="26">
        <v>12</v>
      </c>
      <c r="O119" s="20">
        <v>3120</v>
      </c>
      <c r="P119" s="26" t="s">
        <v>200</v>
      </c>
      <c r="Q119" s="26">
        <v>3678.48</v>
      </c>
      <c r="R119" s="26">
        <v>9</v>
      </c>
      <c r="S119" s="26">
        <v>280.8</v>
      </c>
      <c r="T119" s="26">
        <v>9</v>
      </c>
      <c r="U119" s="26">
        <v>280.8</v>
      </c>
      <c r="V119" s="26">
        <v>0</v>
      </c>
      <c r="W119" s="26">
        <v>0</v>
      </c>
      <c r="X119" s="26">
        <v>0</v>
      </c>
      <c r="Y119" s="26">
        <v>561.6</v>
      </c>
      <c r="Z119" s="26">
        <v>0</v>
      </c>
      <c r="AA119" s="26" t="s">
        <v>177</v>
      </c>
      <c r="AB119" s="26" t="s">
        <v>188</v>
      </c>
      <c r="AC119" s="26">
        <v>39201019</v>
      </c>
      <c r="AD119" s="26" t="s">
        <v>208</v>
      </c>
      <c r="AE119" s="26">
        <v>1</v>
      </c>
      <c r="AF119" s="26">
        <v>12</v>
      </c>
      <c r="AG119" s="26" t="s">
        <v>209</v>
      </c>
    </row>
    <row r="120" spans="1:33" x14ac:dyDescent="0.25">
      <c r="A120" s="26"/>
      <c r="B120" s="26" t="s">
        <v>438</v>
      </c>
      <c r="C120" s="26" t="s">
        <v>219</v>
      </c>
      <c r="D120" s="26" t="s">
        <v>206</v>
      </c>
      <c r="E120" s="26">
        <v>372</v>
      </c>
      <c r="F120" s="26" t="s">
        <v>272</v>
      </c>
      <c r="G120" s="26" t="s">
        <v>452</v>
      </c>
      <c r="H120" s="26" t="s">
        <v>438</v>
      </c>
      <c r="I120" s="26" t="s">
        <v>169</v>
      </c>
      <c r="J120" s="26" t="s">
        <v>180</v>
      </c>
      <c r="K120" s="26" t="s">
        <v>156</v>
      </c>
      <c r="L120" s="26" t="s">
        <v>218</v>
      </c>
      <c r="M120" s="26" t="s">
        <v>179</v>
      </c>
      <c r="N120" s="26">
        <v>694</v>
      </c>
      <c r="O120" s="20">
        <v>108777.56</v>
      </c>
      <c r="P120" s="26" t="s">
        <v>179</v>
      </c>
      <c r="Q120" s="26">
        <v>520231.91</v>
      </c>
      <c r="R120" s="26">
        <v>9</v>
      </c>
      <c r="S120" s="26">
        <v>9789.98</v>
      </c>
      <c r="T120" s="26">
        <v>9</v>
      </c>
      <c r="U120" s="26">
        <v>9789.98</v>
      </c>
      <c r="V120" s="26">
        <v>0</v>
      </c>
      <c r="W120" s="26">
        <v>0</v>
      </c>
      <c r="X120" s="26">
        <v>0</v>
      </c>
      <c r="Y120" s="26">
        <v>19579.96</v>
      </c>
      <c r="Z120" s="26">
        <v>0</v>
      </c>
      <c r="AA120" s="26" t="s">
        <v>177</v>
      </c>
      <c r="AB120" s="26" t="s">
        <v>188</v>
      </c>
      <c r="AC120" s="26">
        <v>39269080</v>
      </c>
      <c r="AD120" s="26" t="s">
        <v>208</v>
      </c>
      <c r="AE120" s="26">
        <v>1</v>
      </c>
      <c r="AF120" s="26">
        <v>694</v>
      </c>
      <c r="AG120" s="26" t="s">
        <v>209</v>
      </c>
    </row>
    <row r="121" spans="1:33" x14ac:dyDescent="0.25">
      <c r="A121" s="26"/>
      <c r="B121" s="26" t="s">
        <v>438</v>
      </c>
      <c r="C121" s="26" t="s">
        <v>219</v>
      </c>
      <c r="D121" s="26" t="s">
        <v>206</v>
      </c>
      <c r="E121" s="26">
        <v>372</v>
      </c>
      <c r="F121" s="26" t="s">
        <v>272</v>
      </c>
      <c r="G121" s="26" t="s">
        <v>452</v>
      </c>
      <c r="H121" s="26" t="s">
        <v>438</v>
      </c>
      <c r="I121" s="26" t="s">
        <v>169</v>
      </c>
      <c r="J121" s="26" t="s">
        <v>197</v>
      </c>
      <c r="K121" s="26" t="s">
        <v>161</v>
      </c>
      <c r="L121" s="26" t="s">
        <v>271</v>
      </c>
      <c r="M121" s="26" t="s">
        <v>161</v>
      </c>
      <c r="N121" s="26">
        <v>108</v>
      </c>
      <c r="O121" s="20">
        <v>48708</v>
      </c>
      <c r="P121" s="26" t="s">
        <v>161</v>
      </c>
      <c r="Q121" s="26">
        <v>0</v>
      </c>
      <c r="R121" s="26">
        <v>9</v>
      </c>
      <c r="S121" s="26">
        <v>4383.72</v>
      </c>
      <c r="T121" s="26">
        <v>9</v>
      </c>
      <c r="U121" s="26">
        <v>4383.72</v>
      </c>
      <c r="V121" s="26">
        <v>0</v>
      </c>
      <c r="W121" s="26">
        <v>0</v>
      </c>
      <c r="X121" s="26">
        <v>0</v>
      </c>
      <c r="Y121" s="26">
        <v>8767.44</v>
      </c>
      <c r="Z121" s="26">
        <v>0</v>
      </c>
      <c r="AA121" s="26" t="s">
        <v>177</v>
      </c>
      <c r="AB121" s="26" t="s">
        <v>188</v>
      </c>
      <c r="AC121" s="26">
        <v>39199090</v>
      </c>
      <c r="AD121" s="26" t="s">
        <v>208</v>
      </c>
      <c r="AE121" s="26">
        <v>1</v>
      </c>
      <c r="AF121" s="26">
        <v>108</v>
      </c>
      <c r="AG121" s="26" t="s">
        <v>209</v>
      </c>
    </row>
    <row r="122" spans="1:33" x14ac:dyDescent="0.25">
      <c r="A122" s="26"/>
      <c r="B122" s="26" t="s">
        <v>438</v>
      </c>
      <c r="C122" s="26" t="s">
        <v>219</v>
      </c>
      <c r="D122" s="26" t="s">
        <v>206</v>
      </c>
      <c r="E122" s="26">
        <v>372</v>
      </c>
      <c r="F122" s="26" t="s">
        <v>272</v>
      </c>
      <c r="G122" s="26" t="s">
        <v>452</v>
      </c>
      <c r="H122" s="26" t="s">
        <v>438</v>
      </c>
      <c r="I122" s="26" t="s">
        <v>169</v>
      </c>
      <c r="J122" s="26" t="s">
        <v>176</v>
      </c>
      <c r="K122" s="26" t="s">
        <v>159</v>
      </c>
      <c r="L122" s="26" t="s">
        <v>159</v>
      </c>
      <c r="M122" s="26" t="s">
        <v>174</v>
      </c>
      <c r="N122" s="30">
        <v>1461</v>
      </c>
      <c r="O122" s="20">
        <v>264660.15000000002</v>
      </c>
      <c r="P122" s="26" t="s">
        <v>174</v>
      </c>
      <c r="Q122" s="26">
        <v>0</v>
      </c>
      <c r="R122" s="26">
        <v>9</v>
      </c>
      <c r="S122" s="26">
        <v>23819.41</v>
      </c>
      <c r="T122" s="26">
        <v>9</v>
      </c>
      <c r="U122" s="26">
        <v>23819.41</v>
      </c>
      <c r="V122" s="26">
        <v>0</v>
      </c>
      <c r="W122" s="26">
        <v>0</v>
      </c>
      <c r="X122" s="26">
        <v>0</v>
      </c>
      <c r="Y122" s="26">
        <v>47638.82</v>
      </c>
      <c r="Z122" s="26">
        <v>0</v>
      </c>
      <c r="AA122" s="26" t="s">
        <v>177</v>
      </c>
      <c r="AB122" s="26" t="s">
        <v>188</v>
      </c>
      <c r="AC122" s="26">
        <v>392310</v>
      </c>
      <c r="AD122" s="26" t="s">
        <v>208</v>
      </c>
      <c r="AE122" s="26">
        <v>1</v>
      </c>
      <c r="AF122" s="26">
        <v>1461</v>
      </c>
      <c r="AG122" s="26" t="s">
        <v>209</v>
      </c>
    </row>
    <row r="123" spans="1:33" x14ac:dyDescent="0.25">
      <c r="A123" s="26"/>
      <c r="B123" s="26" t="s">
        <v>438</v>
      </c>
      <c r="C123" s="26" t="s">
        <v>219</v>
      </c>
      <c r="D123" s="26" t="s">
        <v>206</v>
      </c>
      <c r="E123" s="26">
        <v>372</v>
      </c>
      <c r="F123" s="26" t="s">
        <v>272</v>
      </c>
      <c r="G123" s="26" t="s">
        <v>452</v>
      </c>
      <c r="H123" s="26" t="s">
        <v>438</v>
      </c>
      <c r="I123" s="26" t="s">
        <v>169</v>
      </c>
      <c r="J123" s="26" t="s">
        <v>170</v>
      </c>
      <c r="K123" s="26" t="s">
        <v>157</v>
      </c>
      <c r="L123" s="26" t="s">
        <v>308</v>
      </c>
      <c r="M123" s="26" t="s">
        <v>302</v>
      </c>
      <c r="N123" s="34">
        <v>121.3</v>
      </c>
      <c r="O123" s="20">
        <v>21470.1</v>
      </c>
      <c r="P123" s="26" t="s">
        <v>302</v>
      </c>
      <c r="Q123" s="26">
        <v>0</v>
      </c>
      <c r="R123" s="26">
        <v>2.5</v>
      </c>
      <c r="S123" s="26">
        <v>536.75</v>
      </c>
      <c r="T123" s="26">
        <v>2.5</v>
      </c>
      <c r="U123" s="26">
        <v>536.75</v>
      </c>
      <c r="V123" s="26">
        <v>0</v>
      </c>
      <c r="W123" s="26">
        <v>0</v>
      </c>
      <c r="X123" s="26">
        <v>0</v>
      </c>
      <c r="Y123" s="26">
        <v>1073.5</v>
      </c>
      <c r="Z123" s="26">
        <v>0</v>
      </c>
      <c r="AA123" s="26" t="s">
        <v>177</v>
      </c>
      <c r="AB123" s="26" t="s">
        <v>188</v>
      </c>
      <c r="AC123" s="26">
        <v>54026930</v>
      </c>
      <c r="AD123" s="26" t="s">
        <v>208</v>
      </c>
      <c r="AE123" s="26">
        <v>1</v>
      </c>
      <c r="AF123" s="26">
        <v>121.3</v>
      </c>
      <c r="AG123" s="26" t="s">
        <v>209</v>
      </c>
    </row>
    <row r="124" spans="1:33" x14ac:dyDescent="0.25">
      <c r="A124" s="26"/>
      <c r="B124" s="26" t="s">
        <v>453</v>
      </c>
      <c r="C124" s="26" t="s">
        <v>219</v>
      </c>
      <c r="D124" s="26" t="s">
        <v>206</v>
      </c>
      <c r="E124" s="26">
        <v>376</v>
      </c>
      <c r="F124" s="26" t="s">
        <v>230</v>
      </c>
      <c r="G124" s="26" t="s">
        <v>454</v>
      </c>
      <c r="H124" s="26" t="s">
        <v>453</v>
      </c>
      <c r="I124" s="26" t="s">
        <v>169</v>
      </c>
      <c r="J124" s="26" t="s">
        <v>201</v>
      </c>
      <c r="K124" s="26" t="s">
        <v>158</v>
      </c>
      <c r="L124" s="26" t="s">
        <v>220</v>
      </c>
      <c r="M124" s="26" t="s">
        <v>200</v>
      </c>
      <c r="N124" s="26">
        <v>2.1</v>
      </c>
      <c r="O124" s="25">
        <v>472.5</v>
      </c>
      <c r="P124" s="26" t="s">
        <v>455</v>
      </c>
      <c r="Q124" s="26">
        <v>557.07000000000005</v>
      </c>
      <c r="R124" s="26">
        <v>9</v>
      </c>
      <c r="S124" s="26">
        <v>42.52</v>
      </c>
      <c r="T124" s="26">
        <v>9</v>
      </c>
      <c r="U124" s="26">
        <v>42.52</v>
      </c>
      <c r="V124" s="26">
        <v>0</v>
      </c>
      <c r="W124" s="26">
        <v>0</v>
      </c>
      <c r="X124" s="26">
        <v>0</v>
      </c>
      <c r="Y124" s="26">
        <v>85.04</v>
      </c>
      <c r="Z124" s="26">
        <v>0</v>
      </c>
      <c r="AA124" s="26" t="s">
        <v>177</v>
      </c>
      <c r="AB124" s="26" t="s">
        <v>188</v>
      </c>
      <c r="AC124" s="26">
        <v>39201019</v>
      </c>
      <c r="AD124" s="26" t="s">
        <v>208</v>
      </c>
      <c r="AE124" s="26">
        <v>1</v>
      </c>
      <c r="AF124" s="26">
        <v>2.1</v>
      </c>
      <c r="AG124" s="26" t="s">
        <v>209</v>
      </c>
    </row>
    <row r="125" spans="1:33" x14ac:dyDescent="0.25">
      <c r="A125" s="26"/>
      <c r="B125" s="26" t="s">
        <v>453</v>
      </c>
      <c r="C125" s="26" t="s">
        <v>219</v>
      </c>
      <c r="D125" s="26" t="s">
        <v>206</v>
      </c>
      <c r="E125" s="26">
        <v>377</v>
      </c>
      <c r="F125" s="26" t="s">
        <v>272</v>
      </c>
      <c r="G125" s="26" t="s">
        <v>456</v>
      </c>
      <c r="H125" s="26" t="s">
        <v>453</v>
      </c>
      <c r="I125" s="26" t="s">
        <v>169</v>
      </c>
      <c r="J125" s="26" t="s">
        <v>180</v>
      </c>
      <c r="K125" s="26" t="s">
        <v>155</v>
      </c>
      <c r="L125" s="26" t="s">
        <v>210</v>
      </c>
      <c r="M125" s="26" t="s">
        <v>187</v>
      </c>
      <c r="N125" s="30">
        <v>1951.5</v>
      </c>
      <c r="O125" s="20">
        <v>301975.11</v>
      </c>
      <c r="P125" s="26" t="s">
        <v>286</v>
      </c>
      <c r="Q125" s="26">
        <v>356028.65</v>
      </c>
      <c r="R125" s="26">
        <v>9</v>
      </c>
      <c r="S125" s="26">
        <v>27177.759999999998</v>
      </c>
      <c r="T125" s="26">
        <v>9</v>
      </c>
      <c r="U125" s="26">
        <v>27177.759999999998</v>
      </c>
      <c r="V125" s="26">
        <v>0</v>
      </c>
      <c r="W125" s="26">
        <v>0</v>
      </c>
      <c r="X125" s="26">
        <v>0</v>
      </c>
      <c r="Y125" s="26">
        <v>54355.519999999997</v>
      </c>
      <c r="Z125" s="26">
        <v>0</v>
      </c>
      <c r="AA125" s="26" t="s">
        <v>177</v>
      </c>
      <c r="AB125" s="26" t="s">
        <v>188</v>
      </c>
      <c r="AC125" s="26">
        <v>39269080</v>
      </c>
      <c r="AD125" s="26" t="s">
        <v>208</v>
      </c>
      <c r="AE125" s="26">
        <v>1</v>
      </c>
      <c r="AF125" s="26">
        <v>1951.5</v>
      </c>
      <c r="AG125" s="26" t="s">
        <v>209</v>
      </c>
    </row>
    <row r="126" spans="1:33" x14ac:dyDescent="0.25">
      <c r="A126" s="26"/>
      <c r="B126" s="26" t="s">
        <v>457</v>
      </c>
      <c r="C126" s="26" t="s">
        <v>234</v>
      </c>
      <c r="D126" s="26" t="s">
        <v>206</v>
      </c>
      <c r="E126" s="26">
        <v>379</v>
      </c>
      <c r="F126" s="26" t="s">
        <v>272</v>
      </c>
      <c r="G126" s="26" t="s">
        <v>458</v>
      </c>
      <c r="H126" s="26" t="s">
        <v>457</v>
      </c>
      <c r="I126" s="26" t="s">
        <v>192</v>
      </c>
      <c r="J126" s="26" t="s">
        <v>152</v>
      </c>
      <c r="K126" s="26" t="s">
        <v>152</v>
      </c>
      <c r="L126" s="26" t="s">
        <v>207</v>
      </c>
      <c r="M126" s="26" t="s">
        <v>195</v>
      </c>
      <c r="N126" s="30">
        <v>2883</v>
      </c>
      <c r="O126" s="20">
        <v>723171.72</v>
      </c>
      <c r="P126" s="26" t="s">
        <v>459</v>
      </c>
      <c r="Q126" s="26">
        <v>5123607.95</v>
      </c>
      <c r="R126" s="26">
        <v>9</v>
      </c>
      <c r="S126" s="26">
        <v>65085.45</v>
      </c>
      <c r="T126" s="26">
        <v>9</v>
      </c>
      <c r="U126" s="26">
        <v>65085.45</v>
      </c>
      <c r="V126" s="26">
        <v>0</v>
      </c>
      <c r="W126" s="26">
        <v>0</v>
      </c>
      <c r="X126" s="26">
        <v>0</v>
      </c>
      <c r="Y126" s="26">
        <v>130170.9</v>
      </c>
      <c r="Z126" s="26">
        <v>0</v>
      </c>
      <c r="AA126" s="26" t="s">
        <v>189</v>
      </c>
      <c r="AB126" s="26" t="s">
        <v>188</v>
      </c>
      <c r="AC126" s="26">
        <v>39232999</v>
      </c>
      <c r="AD126" s="26" t="s">
        <v>208</v>
      </c>
      <c r="AE126" s="26">
        <v>1</v>
      </c>
      <c r="AF126" s="26">
        <v>2883</v>
      </c>
      <c r="AG126" s="26" t="s">
        <v>209</v>
      </c>
    </row>
    <row r="127" spans="1:33" x14ac:dyDescent="0.25">
      <c r="A127" s="26"/>
      <c r="B127" s="26" t="s">
        <v>457</v>
      </c>
      <c r="C127" s="26" t="s">
        <v>234</v>
      </c>
      <c r="D127" s="26" t="s">
        <v>206</v>
      </c>
      <c r="E127" s="26">
        <v>379</v>
      </c>
      <c r="F127" s="26" t="s">
        <v>272</v>
      </c>
      <c r="G127" s="26" t="s">
        <v>458</v>
      </c>
      <c r="H127" s="26" t="s">
        <v>457</v>
      </c>
      <c r="I127" s="26" t="s">
        <v>192</v>
      </c>
      <c r="J127" s="26" t="s">
        <v>152</v>
      </c>
      <c r="K127" s="26" t="s">
        <v>152</v>
      </c>
      <c r="L127" s="26" t="s">
        <v>207</v>
      </c>
      <c r="M127" s="26" t="s">
        <v>191</v>
      </c>
      <c r="N127" s="30">
        <v>1775</v>
      </c>
      <c r="O127" s="20">
        <v>351592</v>
      </c>
      <c r="P127" s="26" t="s">
        <v>460</v>
      </c>
      <c r="Q127" s="26">
        <v>0</v>
      </c>
      <c r="R127" s="26">
        <v>9</v>
      </c>
      <c r="S127" s="26">
        <v>31643.279999999999</v>
      </c>
      <c r="T127" s="26">
        <v>9</v>
      </c>
      <c r="U127" s="26">
        <v>31643.279999999999</v>
      </c>
      <c r="V127" s="26">
        <v>0</v>
      </c>
      <c r="W127" s="26">
        <v>0</v>
      </c>
      <c r="X127" s="26">
        <v>0</v>
      </c>
      <c r="Y127" s="26">
        <v>63286.559999999998</v>
      </c>
      <c r="Z127" s="26">
        <v>0</v>
      </c>
      <c r="AA127" s="26" t="s">
        <v>189</v>
      </c>
      <c r="AB127" s="26" t="s">
        <v>188</v>
      </c>
      <c r="AC127" s="26">
        <v>39232999</v>
      </c>
      <c r="AD127" s="26" t="s">
        <v>208</v>
      </c>
      <c r="AE127" s="26">
        <v>1</v>
      </c>
      <c r="AF127" s="26">
        <v>1775</v>
      </c>
      <c r="AG127" s="26" t="s">
        <v>209</v>
      </c>
    </row>
    <row r="128" spans="1:33" x14ac:dyDescent="0.25">
      <c r="A128" s="26"/>
      <c r="B128" s="26" t="s">
        <v>457</v>
      </c>
      <c r="C128" s="26" t="s">
        <v>234</v>
      </c>
      <c r="D128" s="26" t="s">
        <v>206</v>
      </c>
      <c r="E128" s="26">
        <v>379</v>
      </c>
      <c r="F128" s="26" t="s">
        <v>272</v>
      </c>
      <c r="G128" s="26" t="s">
        <v>458</v>
      </c>
      <c r="H128" s="26" t="s">
        <v>457</v>
      </c>
      <c r="I128" s="26" t="s">
        <v>192</v>
      </c>
      <c r="J128" s="26" t="s">
        <v>152</v>
      </c>
      <c r="K128" s="26" t="s">
        <v>152</v>
      </c>
      <c r="L128" s="26" t="s">
        <v>207</v>
      </c>
      <c r="M128" s="26" t="s">
        <v>191</v>
      </c>
      <c r="N128" s="30">
        <v>2018</v>
      </c>
      <c r="O128" s="20">
        <v>475279.35999999999</v>
      </c>
      <c r="P128" s="26" t="s">
        <v>461</v>
      </c>
      <c r="Q128" s="26">
        <v>0</v>
      </c>
      <c r="R128" s="26">
        <v>9</v>
      </c>
      <c r="S128" s="26">
        <v>42775.14</v>
      </c>
      <c r="T128" s="26">
        <v>9</v>
      </c>
      <c r="U128" s="26">
        <v>42775.14</v>
      </c>
      <c r="V128" s="26">
        <v>0</v>
      </c>
      <c r="W128" s="26">
        <v>0</v>
      </c>
      <c r="X128" s="26">
        <v>0</v>
      </c>
      <c r="Y128" s="26">
        <v>85550.28</v>
      </c>
      <c r="Z128" s="26">
        <v>0</v>
      </c>
      <c r="AA128" s="26" t="s">
        <v>189</v>
      </c>
      <c r="AB128" s="26" t="s">
        <v>188</v>
      </c>
      <c r="AC128" s="26">
        <v>39232999</v>
      </c>
      <c r="AD128" s="26" t="s">
        <v>208</v>
      </c>
      <c r="AE128" s="26">
        <v>1</v>
      </c>
      <c r="AF128" s="26">
        <v>2018</v>
      </c>
      <c r="AG128" s="26" t="s">
        <v>209</v>
      </c>
    </row>
    <row r="129" spans="1:33" x14ac:dyDescent="0.25">
      <c r="A129" s="26"/>
      <c r="B129" s="26" t="s">
        <v>457</v>
      </c>
      <c r="C129" s="26" t="s">
        <v>234</v>
      </c>
      <c r="D129" s="26" t="s">
        <v>206</v>
      </c>
      <c r="E129" s="26">
        <v>379</v>
      </c>
      <c r="F129" s="26" t="s">
        <v>272</v>
      </c>
      <c r="G129" s="26" t="s">
        <v>458</v>
      </c>
      <c r="H129" s="26" t="s">
        <v>457</v>
      </c>
      <c r="I129" s="26" t="s">
        <v>192</v>
      </c>
      <c r="J129" s="26" t="s">
        <v>152</v>
      </c>
      <c r="K129" s="26" t="s">
        <v>152</v>
      </c>
      <c r="L129" s="26" t="s">
        <v>207</v>
      </c>
      <c r="M129" s="26" t="s">
        <v>191</v>
      </c>
      <c r="N129" s="30">
        <v>7277</v>
      </c>
      <c r="O129" s="20">
        <v>1589296.8</v>
      </c>
      <c r="P129" s="26" t="s">
        <v>462</v>
      </c>
      <c r="Q129" s="26">
        <v>0</v>
      </c>
      <c r="R129" s="26">
        <v>9</v>
      </c>
      <c r="S129" s="26">
        <v>143036.71</v>
      </c>
      <c r="T129" s="26">
        <v>9</v>
      </c>
      <c r="U129" s="26">
        <v>143036.71</v>
      </c>
      <c r="V129" s="26">
        <v>0</v>
      </c>
      <c r="W129" s="26">
        <v>0</v>
      </c>
      <c r="X129" s="26">
        <v>0</v>
      </c>
      <c r="Y129" s="26">
        <v>286073.42</v>
      </c>
      <c r="Z129" s="26">
        <v>0</v>
      </c>
      <c r="AA129" s="26" t="s">
        <v>189</v>
      </c>
      <c r="AB129" s="26" t="s">
        <v>188</v>
      </c>
      <c r="AC129" s="26">
        <v>39232999</v>
      </c>
      <c r="AD129" s="26" t="s">
        <v>208</v>
      </c>
      <c r="AE129" s="26">
        <v>1</v>
      </c>
      <c r="AF129" s="26">
        <v>7277</v>
      </c>
      <c r="AG129" s="26" t="s">
        <v>209</v>
      </c>
    </row>
    <row r="130" spans="1:33" x14ac:dyDescent="0.25">
      <c r="A130" s="26"/>
      <c r="B130" s="26" t="s">
        <v>457</v>
      </c>
      <c r="C130" s="26" t="s">
        <v>234</v>
      </c>
      <c r="D130" s="26" t="s">
        <v>206</v>
      </c>
      <c r="E130" s="26">
        <v>379</v>
      </c>
      <c r="F130" s="26" t="s">
        <v>272</v>
      </c>
      <c r="G130" s="26" t="s">
        <v>458</v>
      </c>
      <c r="H130" s="26" t="s">
        <v>457</v>
      </c>
      <c r="I130" s="26" t="s">
        <v>192</v>
      </c>
      <c r="J130" s="26" t="s">
        <v>152</v>
      </c>
      <c r="K130" s="26" t="s">
        <v>152</v>
      </c>
      <c r="L130" s="26" t="s">
        <v>207</v>
      </c>
      <c r="M130" s="26" t="s">
        <v>191</v>
      </c>
      <c r="N130" s="30">
        <v>1607</v>
      </c>
      <c r="O130" s="20">
        <v>352431.17</v>
      </c>
      <c r="P130" s="26" t="s">
        <v>463</v>
      </c>
      <c r="Q130" s="26">
        <v>0</v>
      </c>
      <c r="R130" s="26">
        <v>9</v>
      </c>
      <c r="S130" s="26">
        <v>31718.81</v>
      </c>
      <c r="T130" s="26">
        <v>9</v>
      </c>
      <c r="U130" s="26">
        <v>31718.81</v>
      </c>
      <c r="V130" s="26">
        <v>0</v>
      </c>
      <c r="W130" s="26">
        <v>0</v>
      </c>
      <c r="X130" s="26">
        <v>0</v>
      </c>
      <c r="Y130" s="26">
        <v>63437.62</v>
      </c>
      <c r="Z130" s="26">
        <v>0</v>
      </c>
      <c r="AA130" s="26" t="s">
        <v>189</v>
      </c>
      <c r="AB130" s="26" t="s">
        <v>188</v>
      </c>
      <c r="AC130" s="26">
        <v>39232999</v>
      </c>
      <c r="AD130" s="26" t="s">
        <v>208</v>
      </c>
      <c r="AE130" s="26">
        <v>1</v>
      </c>
      <c r="AF130" s="26">
        <v>1607</v>
      </c>
      <c r="AG130" s="26" t="s">
        <v>209</v>
      </c>
    </row>
    <row r="131" spans="1:33" x14ac:dyDescent="0.25">
      <c r="A131" s="26"/>
      <c r="B131" s="26" t="s">
        <v>457</v>
      </c>
      <c r="C131" s="26" t="s">
        <v>234</v>
      </c>
      <c r="D131" s="26" t="s">
        <v>206</v>
      </c>
      <c r="E131" s="26">
        <v>379</v>
      </c>
      <c r="F131" s="26" t="s">
        <v>272</v>
      </c>
      <c r="G131" s="26" t="s">
        <v>458</v>
      </c>
      <c r="H131" s="26" t="s">
        <v>457</v>
      </c>
      <c r="I131" s="26" t="s">
        <v>192</v>
      </c>
      <c r="J131" s="26" t="s">
        <v>152</v>
      </c>
      <c r="K131" s="26" t="s">
        <v>152</v>
      </c>
      <c r="L131" s="26" t="s">
        <v>207</v>
      </c>
      <c r="M131" s="26" t="s">
        <v>191</v>
      </c>
      <c r="N131" s="30">
        <v>4326</v>
      </c>
      <c r="O131" s="20">
        <v>853952.4</v>
      </c>
      <c r="P131" s="26" t="s">
        <v>464</v>
      </c>
      <c r="Q131" s="26">
        <v>0</v>
      </c>
      <c r="R131" s="26">
        <v>9</v>
      </c>
      <c r="S131" s="26">
        <v>76855.72</v>
      </c>
      <c r="T131" s="26">
        <v>9</v>
      </c>
      <c r="U131" s="26">
        <v>76855.72</v>
      </c>
      <c r="V131" s="26">
        <v>0</v>
      </c>
      <c r="W131" s="26">
        <v>0</v>
      </c>
      <c r="X131" s="26">
        <v>0</v>
      </c>
      <c r="Y131" s="26">
        <v>153711.44</v>
      </c>
      <c r="Z131" s="26">
        <v>0</v>
      </c>
      <c r="AA131" s="26" t="s">
        <v>189</v>
      </c>
      <c r="AB131" s="26" t="s">
        <v>188</v>
      </c>
      <c r="AC131" s="26">
        <v>39232999</v>
      </c>
      <c r="AD131" s="26" t="s">
        <v>208</v>
      </c>
      <c r="AE131" s="26">
        <v>1</v>
      </c>
      <c r="AF131" s="26">
        <v>4326</v>
      </c>
      <c r="AG131" s="26" t="s">
        <v>209</v>
      </c>
    </row>
    <row r="132" spans="1:33" x14ac:dyDescent="0.25">
      <c r="A132" s="26"/>
      <c r="B132" s="26" t="s">
        <v>457</v>
      </c>
      <c r="C132" s="26" t="s">
        <v>219</v>
      </c>
      <c r="D132" s="26" t="s">
        <v>206</v>
      </c>
      <c r="E132" s="26">
        <v>381</v>
      </c>
      <c r="F132" s="26" t="s">
        <v>272</v>
      </c>
      <c r="G132" s="26" t="s">
        <v>465</v>
      </c>
      <c r="H132" s="26" t="s">
        <v>457</v>
      </c>
      <c r="I132" s="26" t="s">
        <v>169</v>
      </c>
      <c r="J132" s="26" t="s">
        <v>201</v>
      </c>
      <c r="K132" s="26" t="s">
        <v>158</v>
      </c>
      <c r="L132" s="26" t="s">
        <v>220</v>
      </c>
      <c r="M132" s="26" t="s">
        <v>200</v>
      </c>
      <c r="N132" s="26">
        <v>9.6999999999999993</v>
      </c>
      <c r="O132" s="20">
        <v>2832.4</v>
      </c>
      <c r="P132" s="26" t="s">
        <v>200</v>
      </c>
      <c r="Q132" s="26">
        <v>3339.41</v>
      </c>
      <c r="R132" s="26">
        <v>9</v>
      </c>
      <c r="S132" s="26">
        <v>254.92</v>
      </c>
      <c r="T132" s="26">
        <v>9</v>
      </c>
      <c r="U132" s="26">
        <v>254.92</v>
      </c>
      <c r="V132" s="26">
        <v>0</v>
      </c>
      <c r="W132" s="26">
        <v>0</v>
      </c>
      <c r="X132" s="26">
        <v>0</v>
      </c>
      <c r="Y132" s="26">
        <v>509.84</v>
      </c>
      <c r="Z132" s="26">
        <v>0</v>
      </c>
      <c r="AA132" s="26" t="s">
        <v>177</v>
      </c>
      <c r="AB132" s="26" t="s">
        <v>188</v>
      </c>
      <c r="AC132" s="26">
        <v>39201019</v>
      </c>
      <c r="AD132" s="26" t="s">
        <v>208</v>
      </c>
      <c r="AE132" s="26">
        <v>1</v>
      </c>
      <c r="AF132" s="26">
        <v>9.6999999999999993</v>
      </c>
      <c r="AG132" s="26" t="s">
        <v>209</v>
      </c>
    </row>
    <row r="133" spans="1:33" x14ac:dyDescent="0.25">
      <c r="A133" s="26"/>
      <c r="B133" s="26" t="s">
        <v>466</v>
      </c>
      <c r="C133" s="26" t="s">
        <v>205</v>
      </c>
      <c r="D133" s="26" t="s">
        <v>206</v>
      </c>
      <c r="E133" s="26">
        <v>384</v>
      </c>
      <c r="F133" s="26" t="s">
        <v>272</v>
      </c>
      <c r="G133" s="26" t="s">
        <v>467</v>
      </c>
      <c r="H133" s="26" t="s">
        <v>466</v>
      </c>
      <c r="I133" s="26" t="s">
        <v>169</v>
      </c>
      <c r="J133" s="26" t="s">
        <v>176</v>
      </c>
      <c r="K133" s="26" t="s">
        <v>159</v>
      </c>
      <c r="L133" s="26" t="s">
        <v>159</v>
      </c>
      <c r="M133" s="26" t="s">
        <v>174</v>
      </c>
      <c r="N133" s="26">
        <v>46.3</v>
      </c>
      <c r="O133" s="20">
        <v>8102.5</v>
      </c>
      <c r="P133" s="26" t="s">
        <v>468</v>
      </c>
      <c r="Q133" s="26">
        <v>53885.38</v>
      </c>
      <c r="R133" s="26">
        <v>9</v>
      </c>
      <c r="S133" s="26">
        <v>729.22</v>
      </c>
      <c r="T133" s="26">
        <v>9</v>
      </c>
      <c r="U133" s="26">
        <v>729.22</v>
      </c>
      <c r="V133" s="26">
        <v>0</v>
      </c>
      <c r="W133" s="26">
        <v>0</v>
      </c>
      <c r="X133" s="26">
        <v>0</v>
      </c>
      <c r="Y133" s="26">
        <v>1458.44</v>
      </c>
      <c r="Z133" s="26">
        <v>0</v>
      </c>
      <c r="AA133" s="26" t="s">
        <v>189</v>
      </c>
      <c r="AB133" s="26" t="s">
        <v>188</v>
      </c>
      <c r="AC133" s="26">
        <v>392310</v>
      </c>
      <c r="AD133" s="26" t="s">
        <v>208</v>
      </c>
      <c r="AE133" s="26">
        <v>1</v>
      </c>
      <c r="AF133" s="26">
        <v>46.3</v>
      </c>
      <c r="AG133" s="26" t="s">
        <v>209</v>
      </c>
    </row>
    <row r="134" spans="1:33" x14ac:dyDescent="0.25">
      <c r="A134" s="26"/>
      <c r="B134" s="26" t="s">
        <v>466</v>
      </c>
      <c r="C134" s="26" t="s">
        <v>205</v>
      </c>
      <c r="D134" s="26" t="s">
        <v>206</v>
      </c>
      <c r="E134" s="26">
        <v>384</v>
      </c>
      <c r="F134" s="26" t="s">
        <v>272</v>
      </c>
      <c r="G134" s="26" t="s">
        <v>467</v>
      </c>
      <c r="H134" s="26" t="s">
        <v>466</v>
      </c>
      <c r="I134" s="26" t="s">
        <v>192</v>
      </c>
      <c r="J134" s="26" t="s">
        <v>153</v>
      </c>
      <c r="K134" s="26" t="s">
        <v>153</v>
      </c>
      <c r="L134" s="26" t="s">
        <v>210</v>
      </c>
      <c r="M134" s="26" t="s">
        <v>153</v>
      </c>
      <c r="N134" s="34">
        <v>243</v>
      </c>
      <c r="O134" s="20">
        <v>37601.82</v>
      </c>
      <c r="P134" s="26" t="s">
        <v>273</v>
      </c>
      <c r="Q134" s="26">
        <v>0</v>
      </c>
      <c r="R134" s="26">
        <v>9</v>
      </c>
      <c r="S134" s="26">
        <v>3384.16</v>
      </c>
      <c r="T134" s="26">
        <v>9</v>
      </c>
      <c r="U134" s="26">
        <v>3384.16</v>
      </c>
      <c r="V134" s="26">
        <v>0</v>
      </c>
      <c r="W134" s="26">
        <v>0</v>
      </c>
      <c r="X134" s="26">
        <v>0</v>
      </c>
      <c r="Y134" s="26">
        <v>6768.32</v>
      </c>
      <c r="Z134" s="26">
        <v>0</v>
      </c>
      <c r="AA134" s="26" t="s">
        <v>189</v>
      </c>
      <c r="AB134" s="26" t="s">
        <v>188</v>
      </c>
      <c r="AC134" s="26">
        <v>39269080</v>
      </c>
      <c r="AD134" s="26" t="s">
        <v>208</v>
      </c>
      <c r="AE134" s="26">
        <v>1</v>
      </c>
      <c r="AF134" s="26">
        <v>243</v>
      </c>
      <c r="AG134" s="26" t="s">
        <v>209</v>
      </c>
    </row>
    <row r="135" spans="1:33" x14ac:dyDescent="0.25">
      <c r="A135" s="26"/>
      <c r="B135" s="26" t="s">
        <v>466</v>
      </c>
      <c r="C135" s="26" t="s">
        <v>219</v>
      </c>
      <c r="D135" s="26" t="s">
        <v>206</v>
      </c>
      <c r="E135" s="26">
        <v>382</v>
      </c>
      <c r="F135" s="26" t="s">
        <v>230</v>
      </c>
      <c r="G135" s="26" t="s">
        <v>469</v>
      </c>
      <c r="H135" s="26" t="s">
        <v>466</v>
      </c>
      <c r="I135" s="26" t="s">
        <v>204</v>
      </c>
      <c r="J135" s="26" t="s">
        <v>160</v>
      </c>
      <c r="K135" s="26" t="s">
        <v>160</v>
      </c>
      <c r="L135" s="26" t="s">
        <v>309</v>
      </c>
      <c r="M135" s="26" t="s">
        <v>470</v>
      </c>
      <c r="N135" s="26">
        <v>25</v>
      </c>
      <c r="O135" s="20">
        <v>8000</v>
      </c>
      <c r="P135" s="26" t="s">
        <v>470</v>
      </c>
      <c r="Q135" s="26">
        <v>9432</v>
      </c>
      <c r="R135" s="26">
        <v>9</v>
      </c>
      <c r="S135" s="26">
        <v>720</v>
      </c>
      <c r="T135" s="26">
        <v>9</v>
      </c>
      <c r="U135" s="26">
        <v>720</v>
      </c>
      <c r="V135" s="26">
        <v>0</v>
      </c>
      <c r="W135" s="26">
        <v>0</v>
      </c>
      <c r="X135" s="26">
        <v>0</v>
      </c>
      <c r="Y135" s="26">
        <v>1440</v>
      </c>
      <c r="Z135" s="26">
        <v>0</v>
      </c>
      <c r="AA135" s="26" t="s">
        <v>177</v>
      </c>
      <c r="AB135" s="26" t="s">
        <v>188</v>
      </c>
      <c r="AC135" s="26">
        <v>32151990</v>
      </c>
      <c r="AD135" s="26" t="s">
        <v>208</v>
      </c>
      <c r="AE135" s="26">
        <v>1</v>
      </c>
      <c r="AF135" s="26">
        <v>25</v>
      </c>
      <c r="AG135" s="26" t="s">
        <v>209</v>
      </c>
    </row>
    <row r="136" spans="1:33" x14ac:dyDescent="0.25">
      <c r="A136" s="26"/>
      <c r="B136" s="26" t="s">
        <v>466</v>
      </c>
      <c r="C136" s="26" t="s">
        <v>219</v>
      </c>
      <c r="D136" s="26" t="s">
        <v>206</v>
      </c>
      <c r="E136" s="26">
        <v>383</v>
      </c>
      <c r="F136" s="26" t="s">
        <v>230</v>
      </c>
      <c r="G136" s="26" t="s">
        <v>471</v>
      </c>
      <c r="H136" s="26" t="s">
        <v>466</v>
      </c>
      <c r="I136" s="26" t="s">
        <v>169</v>
      </c>
      <c r="J136" s="26" t="s">
        <v>201</v>
      </c>
      <c r="K136" s="26" t="s">
        <v>158</v>
      </c>
      <c r="L136" s="26" t="s">
        <v>220</v>
      </c>
      <c r="M136" s="26" t="s">
        <v>200</v>
      </c>
      <c r="N136" s="26">
        <v>1.1499999999999999</v>
      </c>
      <c r="O136" s="25">
        <v>345</v>
      </c>
      <c r="P136" s="26" t="s">
        <v>200</v>
      </c>
      <c r="Q136" s="26">
        <v>406.76</v>
      </c>
      <c r="R136" s="26">
        <v>9</v>
      </c>
      <c r="S136" s="26">
        <v>31.05</v>
      </c>
      <c r="T136" s="26">
        <v>9</v>
      </c>
      <c r="U136" s="26">
        <v>31.05</v>
      </c>
      <c r="V136" s="26">
        <v>0</v>
      </c>
      <c r="W136" s="26">
        <v>0</v>
      </c>
      <c r="X136" s="26">
        <v>0</v>
      </c>
      <c r="Y136" s="26">
        <v>62.1</v>
      </c>
      <c r="Z136" s="26">
        <v>0</v>
      </c>
      <c r="AA136" s="26" t="s">
        <v>177</v>
      </c>
      <c r="AB136" s="26" t="s">
        <v>188</v>
      </c>
      <c r="AC136" s="26">
        <v>39201019</v>
      </c>
      <c r="AD136" s="26" t="s">
        <v>208</v>
      </c>
      <c r="AE136" s="26">
        <v>1</v>
      </c>
      <c r="AF136" s="26">
        <v>1.1499999999999999</v>
      </c>
      <c r="AG136" s="26" t="s">
        <v>209</v>
      </c>
    </row>
    <row r="137" spans="1:33" x14ac:dyDescent="0.25">
      <c r="A137" s="26"/>
      <c r="B137" s="26" t="s">
        <v>466</v>
      </c>
      <c r="C137" s="26" t="s">
        <v>219</v>
      </c>
      <c r="D137" s="26" t="s">
        <v>206</v>
      </c>
      <c r="E137" s="26">
        <v>385</v>
      </c>
      <c r="F137" s="26" t="s">
        <v>272</v>
      </c>
      <c r="G137" s="26" t="s">
        <v>472</v>
      </c>
      <c r="H137" s="26" t="s">
        <v>466</v>
      </c>
      <c r="I137" s="26" t="s">
        <v>192</v>
      </c>
      <c r="J137" s="26" t="s">
        <v>152</v>
      </c>
      <c r="K137" s="26" t="s">
        <v>152</v>
      </c>
      <c r="L137" s="26" t="s">
        <v>207</v>
      </c>
      <c r="M137" s="26" t="s">
        <v>195</v>
      </c>
      <c r="N137" s="30">
        <v>1963</v>
      </c>
      <c r="O137" s="20">
        <v>577593.12</v>
      </c>
      <c r="P137" s="26" t="s">
        <v>473</v>
      </c>
      <c r="Q137" s="26">
        <v>5989667.9100000001</v>
      </c>
      <c r="R137" s="26">
        <v>9</v>
      </c>
      <c r="S137" s="26">
        <v>51983.38</v>
      </c>
      <c r="T137" s="26">
        <v>9</v>
      </c>
      <c r="U137" s="26">
        <v>51983.38</v>
      </c>
      <c r="V137" s="26">
        <v>0</v>
      </c>
      <c r="W137" s="26">
        <v>0</v>
      </c>
      <c r="X137" s="26">
        <v>0</v>
      </c>
      <c r="Y137" s="26">
        <v>103966.76</v>
      </c>
      <c r="Z137" s="26">
        <v>0</v>
      </c>
      <c r="AA137" s="26" t="s">
        <v>177</v>
      </c>
      <c r="AB137" s="26" t="s">
        <v>188</v>
      </c>
      <c r="AC137" s="26">
        <v>39232999</v>
      </c>
      <c r="AD137" s="26" t="s">
        <v>208</v>
      </c>
      <c r="AE137" s="26">
        <v>1</v>
      </c>
      <c r="AF137" s="26">
        <v>1963</v>
      </c>
      <c r="AG137" s="26" t="s">
        <v>209</v>
      </c>
    </row>
    <row r="138" spans="1:33" x14ac:dyDescent="0.25">
      <c r="A138" s="26"/>
      <c r="B138" s="26" t="s">
        <v>466</v>
      </c>
      <c r="C138" s="26" t="s">
        <v>219</v>
      </c>
      <c r="D138" s="26" t="s">
        <v>206</v>
      </c>
      <c r="E138" s="26">
        <v>385</v>
      </c>
      <c r="F138" s="26" t="s">
        <v>272</v>
      </c>
      <c r="G138" s="26" t="s">
        <v>472</v>
      </c>
      <c r="H138" s="26" t="s">
        <v>466</v>
      </c>
      <c r="I138" s="26" t="s">
        <v>192</v>
      </c>
      <c r="J138" s="26" t="s">
        <v>152</v>
      </c>
      <c r="K138" s="26" t="s">
        <v>152</v>
      </c>
      <c r="L138" s="26" t="s">
        <v>207</v>
      </c>
      <c r="M138" s="26" t="s">
        <v>195</v>
      </c>
      <c r="N138" s="26">
        <v>793</v>
      </c>
      <c r="O138" s="20">
        <v>227178.64</v>
      </c>
      <c r="P138" s="26" t="s">
        <v>474</v>
      </c>
      <c r="Q138" s="26">
        <v>0</v>
      </c>
      <c r="R138" s="26">
        <v>9</v>
      </c>
      <c r="S138" s="26">
        <v>20446.080000000002</v>
      </c>
      <c r="T138" s="26">
        <v>9</v>
      </c>
      <c r="U138" s="26">
        <v>20446.080000000002</v>
      </c>
      <c r="V138" s="26">
        <v>0</v>
      </c>
      <c r="W138" s="26">
        <v>0</v>
      </c>
      <c r="X138" s="26">
        <v>0</v>
      </c>
      <c r="Y138" s="26">
        <v>40892.160000000003</v>
      </c>
      <c r="Z138" s="26">
        <v>0</v>
      </c>
      <c r="AA138" s="26" t="s">
        <v>177</v>
      </c>
      <c r="AB138" s="26" t="s">
        <v>188</v>
      </c>
      <c r="AC138" s="26">
        <v>39232999</v>
      </c>
      <c r="AD138" s="26" t="s">
        <v>208</v>
      </c>
      <c r="AE138" s="26">
        <v>1</v>
      </c>
      <c r="AF138" s="26">
        <v>793</v>
      </c>
      <c r="AG138" s="26" t="s">
        <v>209</v>
      </c>
    </row>
    <row r="139" spans="1:33" x14ac:dyDescent="0.25">
      <c r="A139" s="26"/>
      <c r="B139" s="26" t="s">
        <v>466</v>
      </c>
      <c r="C139" s="26" t="s">
        <v>219</v>
      </c>
      <c r="D139" s="26" t="s">
        <v>206</v>
      </c>
      <c r="E139" s="26">
        <v>385</v>
      </c>
      <c r="F139" s="26" t="s">
        <v>272</v>
      </c>
      <c r="G139" s="26" t="s">
        <v>472</v>
      </c>
      <c r="H139" s="26" t="s">
        <v>466</v>
      </c>
      <c r="I139" s="26" t="s">
        <v>192</v>
      </c>
      <c r="J139" s="26" t="s">
        <v>152</v>
      </c>
      <c r="K139" s="26" t="s">
        <v>152</v>
      </c>
      <c r="L139" s="26" t="s">
        <v>207</v>
      </c>
      <c r="M139" s="26" t="s">
        <v>195</v>
      </c>
      <c r="N139" s="30">
        <v>4118</v>
      </c>
      <c r="O139" s="20">
        <v>1027605.72</v>
      </c>
      <c r="P139" s="26" t="s">
        <v>475</v>
      </c>
      <c r="Q139" s="26">
        <v>0</v>
      </c>
      <c r="R139" s="26">
        <v>9</v>
      </c>
      <c r="S139" s="26">
        <v>92484.51</v>
      </c>
      <c r="T139" s="26">
        <v>9</v>
      </c>
      <c r="U139" s="26">
        <v>92484.51</v>
      </c>
      <c r="V139" s="26">
        <v>0</v>
      </c>
      <c r="W139" s="26">
        <v>0</v>
      </c>
      <c r="X139" s="26">
        <v>0</v>
      </c>
      <c r="Y139" s="26">
        <v>184969.02</v>
      </c>
      <c r="Z139" s="26">
        <v>0</v>
      </c>
      <c r="AA139" s="26" t="s">
        <v>177</v>
      </c>
      <c r="AB139" s="26" t="s">
        <v>188</v>
      </c>
      <c r="AC139" s="26">
        <v>39232999</v>
      </c>
      <c r="AD139" s="26" t="s">
        <v>208</v>
      </c>
      <c r="AE139" s="26">
        <v>1</v>
      </c>
      <c r="AF139" s="26">
        <v>4118</v>
      </c>
      <c r="AG139" s="26" t="s">
        <v>209</v>
      </c>
    </row>
    <row r="140" spans="1:33" x14ac:dyDescent="0.25">
      <c r="A140" s="26"/>
      <c r="B140" s="26" t="s">
        <v>466</v>
      </c>
      <c r="C140" s="26" t="s">
        <v>219</v>
      </c>
      <c r="D140" s="26" t="s">
        <v>206</v>
      </c>
      <c r="E140" s="26">
        <v>385</v>
      </c>
      <c r="F140" s="26" t="s">
        <v>272</v>
      </c>
      <c r="G140" s="26" t="s">
        <v>472</v>
      </c>
      <c r="H140" s="26" t="s">
        <v>466</v>
      </c>
      <c r="I140" s="26" t="s">
        <v>192</v>
      </c>
      <c r="J140" s="26" t="s">
        <v>152</v>
      </c>
      <c r="K140" s="26" t="s">
        <v>152</v>
      </c>
      <c r="L140" s="26" t="s">
        <v>207</v>
      </c>
      <c r="M140" s="26" t="s">
        <v>191</v>
      </c>
      <c r="N140" s="26">
        <v>420</v>
      </c>
      <c r="O140" s="20">
        <v>110825.4</v>
      </c>
      <c r="P140" s="26" t="s">
        <v>476</v>
      </c>
      <c r="Q140" s="26">
        <v>0</v>
      </c>
      <c r="R140" s="26">
        <v>9</v>
      </c>
      <c r="S140" s="26">
        <v>9974.2900000000009</v>
      </c>
      <c r="T140" s="26">
        <v>9</v>
      </c>
      <c r="U140" s="26">
        <v>9974.2900000000009</v>
      </c>
      <c r="V140" s="26">
        <v>0</v>
      </c>
      <c r="W140" s="26">
        <v>0</v>
      </c>
      <c r="X140" s="26">
        <v>0</v>
      </c>
      <c r="Y140" s="26">
        <v>19948.580000000002</v>
      </c>
      <c r="Z140" s="26">
        <v>0</v>
      </c>
      <c r="AA140" s="26" t="s">
        <v>177</v>
      </c>
      <c r="AB140" s="26" t="s">
        <v>188</v>
      </c>
      <c r="AC140" s="26">
        <v>39232999</v>
      </c>
      <c r="AD140" s="26" t="s">
        <v>208</v>
      </c>
      <c r="AE140" s="26">
        <v>1</v>
      </c>
      <c r="AF140" s="26">
        <v>420</v>
      </c>
      <c r="AG140" s="26" t="s">
        <v>209</v>
      </c>
    </row>
    <row r="141" spans="1:33" x14ac:dyDescent="0.25">
      <c r="A141" s="26"/>
      <c r="B141" s="26" t="s">
        <v>466</v>
      </c>
      <c r="C141" s="26" t="s">
        <v>219</v>
      </c>
      <c r="D141" s="26" t="s">
        <v>206</v>
      </c>
      <c r="E141" s="26">
        <v>385</v>
      </c>
      <c r="F141" s="26" t="s">
        <v>272</v>
      </c>
      <c r="G141" s="26" t="s">
        <v>472</v>
      </c>
      <c r="H141" s="26" t="s">
        <v>466</v>
      </c>
      <c r="I141" s="26" t="s">
        <v>192</v>
      </c>
      <c r="J141" s="26" t="s">
        <v>152</v>
      </c>
      <c r="K141" s="26" t="s">
        <v>152</v>
      </c>
      <c r="L141" s="26" t="s">
        <v>207</v>
      </c>
      <c r="M141" s="26" t="s">
        <v>191</v>
      </c>
      <c r="N141" s="26">
        <v>386</v>
      </c>
      <c r="O141" s="20">
        <v>96492.28</v>
      </c>
      <c r="P141" s="26" t="s">
        <v>477</v>
      </c>
      <c r="Q141" s="26">
        <v>0</v>
      </c>
      <c r="R141" s="26">
        <v>9</v>
      </c>
      <c r="S141" s="26">
        <v>8684.31</v>
      </c>
      <c r="T141" s="26">
        <v>9</v>
      </c>
      <c r="U141" s="26">
        <v>8684.31</v>
      </c>
      <c r="V141" s="26">
        <v>0</v>
      </c>
      <c r="W141" s="26">
        <v>0</v>
      </c>
      <c r="X141" s="26">
        <v>0</v>
      </c>
      <c r="Y141" s="26">
        <v>17368.62</v>
      </c>
      <c r="Z141" s="26">
        <v>0</v>
      </c>
      <c r="AA141" s="26" t="s">
        <v>177</v>
      </c>
      <c r="AB141" s="26" t="s">
        <v>188</v>
      </c>
      <c r="AC141" s="26">
        <v>39232999</v>
      </c>
      <c r="AD141" s="26" t="s">
        <v>208</v>
      </c>
      <c r="AE141" s="26">
        <v>1</v>
      </c>
      <c r="AF141" s="26">
        <v>386</v>
      </c>
      <c r="AG141" s="26" t="s">
        <v>209</v>
      </c>
    </row>
    <row r="142" spans="1:33" x14ac:dyDescent="0.25">
      <c r="A142" s="26"/>
      <c r="B142" s="26" t="s">
        <v>466</v>
      </c>
      <c r="C142" s="26" t="s">
        <v>219</v>
      </c>
      <c r="D142" s="26" t="s">
        <v>206</v>
      </c>
      <c r="E142" s="26">
        <v>385</v>
      </c>
      <c r="F142" s="26" t="s">
        <v>272</v>
      </c>
      <c r="G142" s="26" t="s">
        <v>472</v>
      </c>
      <c r="H142" s="26" t="s">
        <v>466</v>
      </c>
      <c r="I142" s="26" t="s">
        <v>192</v>
      </c>
      <c r="J142" s="26" t="s">
        <v>152</v>
      </c>
      <c r="K142" s="26" t="s">
        <v>152</v>
      </c>
      <c r="L142" s="26" t="s">
        <v>207</v>
      </c>
      <c r="M142" s="26" t="s">
        <v>191</v>
      </c>
      <c r="N142" s="30">
        <v>1970</v>
      </c>
      <c r="O142" s="20">
        <v>576225</v>
      </c>
      <c r="P142" s="26" t="s">
        <v>478</v>
      </c>
      <c r="Q142" s="26">
        <v>0</v>
      </c>
      <c r="R142" s="26">
        <v>9</v>
      </c>
      <c r="S142" s="26">
        <v>51860.25</v>
      </c>
      <c r="T142" s="26">
        <v>9</v>
      </c>
      <c r="U142" s="26">
        <v>51860.25</v>
      </c>
      <c r="V142" s="26">
        <v>0</v>
      </c>
      <c r="W142" s="26">
        <v>0</v>
      </c>
      <c r="X142" s="26">
        <v>0</v>
      </c>
      <c r="Y142" s="26">
        <v>103720.5</v>
      </c>
      <c r="Z142" s="26">
        <v>0</v>
      </c>
      <c r="AA142" s="26" t="s">
        <v>177</v>
      </c>
      <c r="AB142" s="26" t="s">
        <v>188</v>
      </c>
      <c r="AC142" s="26">
        <v>39232999</v>
      </c>
      <c r="AD142" s="26" t="s">
        <v>208</v>
      </c>
      <c r="AE142" s="26">
        <v>1</v>
      </c>
      <c r="AF142" s="26">
        <v>1970</v>
      </c>
      <c r="AG142" s="26" t="s">
        <v>209</v>
      </c>
    </row>
    <row r="143" spans="1:33" x14ac:dyDescent="0.25">
      <c r="A143" s="26"/>
      <c r="B143" s="26" t="s">
        <v>466</v>
      </c>
      <c r="C143" s="26" t="s">
        <v>219</v>
      </c>
      <c r="D143" s="26" t="s">
        <v>206</v>
      </c>
      <c r="E143" s="26">
        <v>385</v>
      </c>
      <c r="F143" s="26" t="s">
        <v>272</v>
      </c>
      <c r="G143" s="26" t="s">
        <v>472</v>
      </c>
      <c r="H143" s="26" t="s">
        <v>466</v>
      </c>
      <c r="I143" s="26" t="s">
        <v>192</v>
      </c>
      <c r="J143" s="26" t="s">
        <v>152</v>
      </c>
      <c r="K143" s="26" t="s">
        <v>152</v>
      </c>
      <c r="L143" s="26" t="s">
        <v>207</v>
      </c>
      <c r="M143" s="26" t="s">
        <v>191</v>
      </c>
      <c r="N143" s="26">
        <v>401</v>
      </c>
      <c r="O143" s="20">
        <v>113069.97</v>
      </c>
      <c r="P143" s="26" t="s">
        <v>479</v>
      </c>
      <c r="Q143" s="26">
        <v>0</v>
      </c>
      <c r="R143" s="26">
        <v>9</v>
      </c>
      <c r="S143" s="26">
        <v>10176.299999999999</v>
      </c>
      <c r="T143" s="26">
        <v>9</v>
      </c>
      <c r="U143" s="26">
        <v>10176.299999999999</v>
      </c>
      <c r="V143" s="26">
        <v>0</v>
      </c>
      <c r="W143" s="26">
        <v>0</v>
      </c>
      <c r="X143" s="26">
        <v>0</v>
      </c>
      <c r="Y143" s="26">
        <v>20352.599999999999</v>
      </c>
      <c r="Z143" s="26">
        <v>0</v>
      </c>
      <c r="AA143" s="26" t="s">
        <v>177</v>
      </c>
      <c r="AB143" s="26" t="s">
        <v>188</v>
      </c>
      <c r="AC143" s="26">
        <v>39232999</v>
      </c>
      <c r="AD143" s="26" t="s">
        <v>208</v>
      </c>
      <c r="AE143" s="26">
        <v>1</v>
      </c>
      <c r="AF143" s="26">
        <v>401</v>
      </c>
      <c r="AG143" s="26" t="s">
        <v>209</v>
      </c>
    </row>
    <row r="144" spans="1:33" ht="15" customHeight="1" x14ac:dyDescent="0.25">
      <c r="A144" s="24"/>
      <c r="B144" s="26" t="s">
        <v>466</v>
      </c>
      <c r="C144" s="26" t="s">
        <v>219</v>
      </c>
      <c r="D144" s="26" t="s">
        <v>206</v>
      </c>
      <c r="E144" s="26">
        <v>385</v>
      </c>
      <c r="F144" s="26" t="s">
        <v>272</v>
      </c>
      <c r="G144" s="26" t="s">
        <v>472</v>
      </c>
      <c r="H144" s="26" t="s">
        <v>466</v>
      </c>
      <c r="I144" s="26" t="s">
        <v>192</v>
      </c>
      <c r="J144" s="26" t="s">
        <v>152</v>
      </c>
      <c r="K144" s="26" t="s">
        <v>152</v>
      </c>
      <c r="L144" s="26" t="s">
        <v>207</v>
      </c>
      <c r="M144" s="26" t="s">
        <v>191</v>
      </c>
      <c r="N144" s="26">
        <v>846</v>
      </c>
      <c r="O144" s="20">
        <v>204554.34</v>
      </c>
      <c r="P144" s="26" t="s">
        <v>480</v>
      </c>
      <c r="Q144" s="26">
        <v>0</v>
      </c>
      <c r="R144" s="26">
        <v>9</v>
      </c>
      <c r="S144" s="26">
        <v>18409.89</v>
      </c>
      <c r="T144" s="26">
        <v>9</v>
      </c>
      <c r="U144" s="26">
        <v>18409.89</v>
      </c>
      <c r="V144" s="26">
        <v>0</v>
      </c>
      <c r="W144" s="26">
        <v>0</v>
      </c>
      <c r="X144" s="26">
        <v>0</v>
      </c>
      <c r="Y144" s="26">
        <v>36819.78</v>
      </c>
      <c r="Z144" s="26">
        <v>0</v>
      </c>
      <c r="AA144" s="26" t="s">
        <v>177</v>
      </c>
      <c r="AB144" s="26" t="s">
        <v>188</v>
      </c>
      <c r="AC144" s="26">
        <v>39232999</v>
      </c>
      <c r="AD144" s="26" t="s">
        <v>208</v>
      </c>
      <c r="AE144" s="26">
        <v>1</v>
      </c>
      <c r="AF144" s="26">
        <v>846</v>
      </c>
      <c r="AG144" s="26" t="s">
        <v>209</v>
      </c>
    </row>
    <row r="145" spans="1:33" ht="15" customHeight="1" x14ac:dyDescent="0.25">
      <c r="A145" s="24"/>
      <c r="B145" s="26" t="s">
        <v>466</v>
      </c>
      <c r="C145" s="26" t="s">
        <v>219</v>
      </c>
      <c r="D145" s="26" t="s">
        <v>206</v>
      </c>
      <c r="E145" s="26">
        <v>385</v>
      </c>
      <c r="F145" s="26" t="s">
        <v>272</v>
      </c>
      <c r="G145" s="26" t="s">
        <v>472</v>
      </c>
      <c r="H145" s="26" t="s">
        <v>466</v>
      </c>
      <c r="I145" s="26" t="s">
        <v>192</v>
      </c>
      <c r="J145" s="26" t="s">
        <v>152</v>
      </c>
      <c r="K145" s="26" t="s">
        <v>152</v>
      </c>
      <c r="L145" s="26" t="s">
        <v>207</v>
      </c>
      <c r="M145" s="26" t="s">
        <v>191</v>
      </c>
      <c r="N145" s="30">
        <v>5094</v>
      </c>
      <c r="O145" s="20">
        <v>1227450.24</v>
      </c>
      <c r="P145" s="26" t="s">
        <v>481</v>
      </c>
      <c r="Q145" s="26">
        <v>0</v>
      </c>
      <c r="R145" s="26">
        <v>9</v>
      </c>
      <c r="S145" s="26">
        <v>110470.52</v>
      </c>
      <c r="T145" s="26">
        <v>9</v>
      </c>
      <c r="U145" s="26">
        <v>110470.52</v>
      </c>
      <c r="V145" s="26">
        <v>0</v>
      </c>
      <c r="W145" s="26">
        <v>0</v>
      </c>
      <c r="X145" s="26">
        <v>0</v>
      </c>
      <c r="Y145" s="26">
        <v>220941.04</v>
      </c>
      <c r="Z145" s="26">
        <v>0</v>
      </c>
      <c r="AA145" s="26" t="s">
        <v>177</v>
      </c>
      <c r="AB145" s="26" t="s">
        <v>188</v>
      </c>
      <c r="AC145" s="26">
        <v>39232999</v>
      </c>
      <c r="AD145" s="26" t="s">
        <v>208</v>
      </c>
      <c r="AE145" s="26">
        <v>1</v>
      </c>
      <c r="AF145" s="26">
        <v>5094</v>
      </c>
      <c r="AG145" s="26" t="s">
        <v>209</v>
      </c>
    </row>
    <row r="146" spans="1:33" ht="15" customHeight="1" x14ac:dyDescent="0.25">
      <c r="A146" s="24"/>
      <c r="B146" s="26" t="s">
        <v>466</v>
      </c>
      <c r="C146" s="26" t="s">
        <v>219</v>
      </c>
      <c r="D146" s="26" t="s">
        <v>206</v>
      </c>
      <c r="E146" s="26">
        <v>385</v>
      </c>
      <c r="F146" s="26" t="s">
        <v>272</v>
      </c>
      <c r="G146" s="26" t="s">
        <v>472</v>
      </c>
      <c r="H146" s="26" t="s">
        <v>466</v>
      </c>
      <c r="I146" s="26" t="s">
        <v>192</v>
      </c>
      <c r="J146" s="26" t="s">
        <v>152</v>
      </c>
      <c r="K146" s="26" t="s">
        <v>152</v>
      </c>
      <c r="L146" s="26" t="s">
        <v>207</v>
      </c>
      <c r="M146" s="26" t="s">
        <v>191</v>
      </c>
      <c r="N146" s="30">
        <v>3378</v>
      </c>
      <c r="O146" s="20">
        <v>818185.38</v>
      </c>
      <c r="P146" s="26" t="s">
        <v>482</v>
      </c>
      <c r="Q146" s="26">
        <v>0</v>
      </c>
      <c r="R146" s="26">
        <v>9</v>
      </c>
      <c r="S146" s="26">
        <v>73636.679999999993</v>
      </c>
      <c r="T146" s="26">
        <v>9</v>
      </c>
      <c r="U146" s="26">
        <v>73636.679999999993</v>
      </c>
      <c r="V146" s="26">
        <v>0</v>
      </c>
      <c r="W146" s="26">
        <v>0</v>
      </c>
      <c r="X146" s="26">
        <v>0</v>
      </c>
      <c r="Y146" s="26">
        <v>147273.35999999999</v>
      </c>
      <c r="Z146" s="26">
        <v>0</v>
      </c>
      <c r="AA146" s="26" t="s">
        <v>177</v>
      </c>
      <c r="AB146" s="26" t="s">
        <v>188</v>
      </c>
      <c r="AC146" s="26">
        <v>39232999</v>
      </c>
      <c r="AD146" s="26" t="s">
        <v>208</v>
      </c>
      <c r="AE146" s="26">
        <v>1</v>
      </c>
      <c r="AF146" s="26">
        <v>3378</v>
      </c>
      <c r="AG146" s="26" t="s">
        <v>209</v>
      </c>
    </row>
    <row r="147" spans="1:33" x14ac:dyDescent="0.25">
      <c r="A147" s="26"/>
      <c r="B147" s="26" t="s">
        <v>466</v>
      </c>
      <c r="C147" s="26" t="s">
        <v>219</v>
      </c>
      <c r="D147" s="26" t="s">
        <v>206</v>
      </c>
      <c r="E147" s="26">
        <v>385</v>
      </c>
      <c r="F147" s="26" t="s">
        <v>272</v>
      </c>
      <c r="G147" s="26" t="s">
        <v>472</v>
      </c>
      <c r="H147" s="26" t="s">
        <v>466</v>
      </c>
      <c r="I147" s="26" t="s">
        <v>192</v>
      </c>
      <c r="J147" s="26" t="s">
        <v>152</v>
      </c>
      <c r="K147" s="26" t="s">
        <v>152</v>
      </c>
      <c r="L147" s="26" t="s">
        <v>207</v>
      </c>
      <c r="M147" s="26" t="s">
        <v>191</v>
      </c>
      <c r="N147" s="26">
        <v>428</v>
      </c>
      <c r="O147" s="20">
        <v>101115</v>
      </c>
      <c r="P147" s="26" t="s">
        <v>483</v>
      </c>
      <c r="Q147" s="26">
        <v>0</v>
      </c>
      <c r="R147" s="26">
        <v>9</v>
      </c>
      <c r="S147" s="26">
        <v>9100.35</v>
      </c>
      <c r="T147" s="26">
        <v>9</v>
      </c>
      <c r="U147" s="26">
        <v>9100.35</v>
      </c>
      <c r="V147" s="26">
        <v>0</v>
      </c>
      <c r="W147" s="26">
        <v>0</v>
      </c>
      <c r="X147" s="26">
        <v>0</v>
      </c>
      <c r="Y147" s="26">
        <v>18200.7</v>
      </c>
      <c r="Z147" s="26">
        <v>0</v>
      </c>
      <c r="AA147" s="26" t="s">
        <v>177</v>
      </c>
      <c r="AB147" s="26" t="s">
        <v>188</v>
      </c>
      <c r="AC147" s="26">
        <v>39232999</v>
      </c>
      <c r="AD147" s="26" t="s">
        <v>208</v>
      </c>
      <c r="AE147" s="26">
        <v>1</v>
      </c>
      <c r="AF147" s="26">
        <v>428</v>
      </c>
      <c r="AG147" s="26" t="s">
        <v>209</v>
      </c>
    </row>
    <row r="148" spans="1:33" x14ac:dyDescent="0.25">
      <c r="A148" s="26"/>
      <c r="B148" s="26" t="s">
        <v>466</v>
      </c>
      <c r="C148" s="26" t="s">
        <v>219</v>
      </c>
      <c r="D148" s="26" t="s">
        <v>206</v>
      </c>
      <c r="E148" s="26">
        <v>386</v>
      </c>
      <c r="F148" s="26" t="s">
        <v>272</v>
      </c>
      <c r="G148" s="26" t="s">
        <v>484</v>
      </c>
      <c r="H148" s="26" t="s">
        <v>466</v>
      </c>
      <c r="I148" s="26" t="s">
        <v>169</v>
      </c>
      <c r="J148" s="26" t="s">
        <v>180</v>
      </c>
      <c r="K148" s="26" t="s">
        <v>155</v>
      </c>
      <c r="L148" s="26" t="s">
        <v>210</v>
      </c>
      <c r="M148" s="26" t="s">
        <v>187</v>
      </c>
      <c r="N148" s="30">
        <v>1325.6</v>
      </c>
      <c r="O148" s="20">
        <v>205123.34</v>
      </c>
      <c r="P148" s="26" t="s">
        <v>187</v>
      </c>
      <c r="Q148" s="26">
        <v>241840.42</v>
      </c>
      <c r="R148" s="26">
        <v>9</v>
      </c>
      <c r="S148" s="26">
        <v>18461.099999999999</v>
      </c>
      <c r="T148" s="26">
        <v>9</v>
      </c>
      <c r="U148" s="26">
        <v>18461.099999999999</v>
      </c>
      <c r="V148" s="26">
        <v>0</v>
      </c>
      <c r="W148" s="26">
        <v>0</v>
      </c>
      <c r="X148" s="26">
        <v>0</v>
      </c>
      <c r="Y148" s="26">
        <v>36922.199999999997</v>
      </c>
      <c r="Z148" s="26">
        <v>0</v>
      </c>
      <c r="AA148" s="26" t="s">
        <v>177</v>
      </c>
      <c r="AB148" s="26" t="s">
        <v>188</v>
      </c>
      <c r="AC148" s="26">
        <v>39269080</v>
      </c>
      <c r="AD148" s="26" t="s">
        <v>208</v>
      </c>
      <c r="AE148" s="26">
        <v>1</v>
      </c>
      <c r="AF148" s="26">
        <v>1325.6</v>
      </c>
      <c r="AG148" s="26" t="s">
        <v>209</v>
      </c>
    </row>
    <row r="149" spans="1:33" x14ac:dyDescent="0.25">
      <c r="A149" s="26"/>
      <c r="B149" s="26" t="s">
        <v>485</v>
      </c>
      <c r="C149" s="26" t="s">
        <v>486</v>
      </c>
      <c r="D149" s="26" t="s">
        <v>212</v>
      </c>
      <c r="E149" s="26" t="s">
        <v>487</v>
      </c>
      <c r="F149" s="26" t="s">
        <v>231</v>
      </c>
      <c r="G149" s="26" t="s">
        <v>487</v>
      </c>
      <c r="H149" s="26" t="s">
        <v>485</v>
      </c>
      <c r="I149" s="26" t="s">
        <v>192</v>
      </c>
      <c r="J149" s="26" t="s">
        <v>152</v>
      </c>
      <c r="K149" s="26" t="s">
        <v>162</v>
      </c>
      <c r="L149" s="26" t="s">
        <v>207</v>
      </c>
      <c r="M149" s="26" t="s">
        <v>195</v>
      </c>
      <c r="N149" s="30">
        <v>6478</v>
      </c>
      <c r="O149" s="20">
        <v>1480771.74</v>
      </c>
      <c r="P149" s="26" t="s">
        <v>214</v>
      </c>
      <c r="Q149" s="26">
        <v>4974444.72</v>
      </c>
      <c r="R149" s="26">
        <v>0</v>
      </c>
      <c r="S149" s="26">
        <v>0</v>
      </c>
      <c r="T149" s="26">
        <v>0</v>
      </c>
      <c r="U149" s="26">
        <v>0</v>
      </c>
      <c r="V149" s="26">
        <v>0</v>
      </c>
      <c r="W149" s="26">
        <v>0</v>
      </c>
      <c r="X149" s="26">
        <v>0</v>
      </c>
      <c r="Y149" s="26">
        <v>0</v>
      </c>
      <c r="Z149" s="26">
        <v>0</v>
      </c>
      <c r="AA149" s="26" t="s">
        <v>221</v>
      </c>
      <c r="AB149" s="26" t="s">
        <v>188</v>
      </c>
      <c r="AC149" s="26">
        <v>63053200</v>
      </c>
      <c r="AD149" s="26"/>
      <c r="AE149" s="26">
        <v>108.6</v>
      </c>
      <c r="AF149" s="26">
        <v>6478</v>
      </c>
      <c r="AG149" s="26" t="s">
        <v>488</v>
      </c>
    </row>
    <row r="150" spans="1:33" x14ac:dyDescent="0.25">
      <c r="A150" s="26"/>
      <c r="B150" s="26" t="s">
        <v>485</v>
      </c>
      <c r="C150" s="26" t="s">
        <v>486</v>
      </c>
      <c r="D150" s="26" t="s">
        <v>212</v>
      </c>
      <c r="E150" s="26" t="s">
        <v>487</v>
      </c>
      <c r="F150" s="26" t="s">
        <v>231</v>
      </c>
      <c r="G150" s="26" t="s">
        <v>487</v>
      </c>
      <c r="H150" s="26" t="s">
        <v>485</v>
      </c>
      <c r="I150" s="26" t="s">
        <v>192</v>
      </c>
      <c r="J150" s="26" t="s">
        <v>152</v>
      </c>
      <c r="K150" s="26" t="s">
        <v>162</v>
      </c>
      <c r="L150" s="26" t="s">
        <v>207</v>
      </c>
      <c r="M150" s="26" t="s">
        <v>191</v>
      </c>
      <c r="N150" s="30">
        <v>13323</v>
      </c>
      <c r="O150" s="20">
        <v>3045434.08</v>
      </c>
      <c r="P150" s="26" t="s">
        <v>214</v>
      </c>
      <c r="Q150" s="26">
        <v>0</v>
      </c>
      <c r="R150" s="26">
        <v>0</v>
      </c>
      <c r="S150" s="26">
        <v>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 t="s">
        <v>221</v>
      </c>
      <c r="AB150" s="26" t="s">
        <v>188</v>
      </c>
      <c r="AC150" s="26">
        <v>63053200</v>
      </c>
      <c r="AD150" s="26"/>
      <c r="AE150" s="26">
        <v>108.6</v>
      </c>
      <c r="AF150" s="26">
        <v>13323</v>
      </c>
      <c r="AG150" s="26" t="s">
        <v>488</v>
      </c>
    </row>
    <row r="151" spans="1:33" x14ac:dyDescent="0.25">
      <c r="A151" s="26"/>
      <c r="B151" s="26" t="s">
        <v>485</v>
      </c>
      <c r="C151" s="26" t="s">
        <v>489</v>
      </c>
      <c r="D151" s="26" t="s">
        <v>206</v>
      </c>
      <c r="E151" s="26">
        <v>392</v>
      </c>
      <c r="F151" s="26" t="s">
        <v>272</v>
      </c>
      <c r="G151" s="26" t="s">
        <v>490</v>
      </c>
      <c r="H151" s="26" t="s">
        <v>485</v>
      </c>
      <c r="I151" s="26" t="s">
        <v>169</v>
      </c>
      <c r="J151" s="26" t="s">
        <v>182</v>
      </c>
      <c r="K151" s="26" t="s">
        <v>154</v>
      </c>
      <c r="L151" s="26" t="s">
        <v>154</v>
      </c>
      <c r="M151" s="26" t="s">
        <v>182</v>
      </c>
      <c r="N151" s="26">
        <v>63.2</v>
      </c>
      <c r="O151" s="20">
        <v>10095.57</v>
      </c>
      <c r="P151" s="26" t="s">
        <v>491</v>
      </c>
      <c r="Q151" s="26">
        <v>41394.31</v>
      </c>
      <c r="R151" s="26">
        <v>9</v>
      </c>
      <c r="S151" s="26">
        <v>908.6</v>
      </c>
      <c r="T151" s="26">
        <v>9</v>
      </c>
      <c r="U151" s="26">
        <v>908.6</v>
      </c>
      <c r="V151" s="26">
        <v>0</v>
      </c>
      <c r="W151" s="26">
        <v>0</v>
      </c>
      <c r="X151" s="26">
        <v>0</v>
      </c>
      <c r="Y151" s="26">
        <v>1817.2</v>
      </c>
      <c r="Z151" s="26">
        <v>0</v>
      </c>
      <c r="AA151" s="26" t="s">
        <v>492</v>
      </c>
      <c r="AB151" s="26" t="s">
        <v>188</v>
      </c>
      <c r="AC151" s="26">
        <v>39269080</v>
      </c>
      <c r="AD151" s="26" t="s">
        <v>208</v>
      </c>
      <c r="AE151" s="26">
        <v>1</v>
      </c>
      <c r="AF151" s="26">
        <v>63.2</v>
      </c>
      <c r="AG151" s="26" t="s">
        <v>209</v>
      </c>
    </row>
    <row r="152" spans="1:33" x14ac:dyDescent="0.25">
      <c r="A152" s="26"/>
      <c r="B152" s="26" t="s">
        <v>485</v>
      </c>
      <c r="C152" s="26" t="s">
        <v>489</v>
      </c>
      <c r="D152" s="26" t="s">
        <v>206</v>
      </c>
      <c r="E152" s="26">
        <v>392</v>
      </c>
      <c r="F152" s="26" t="s">
        <v>272</v>
      </c>
      <c r="G152" s="26" t="s">
        <v>490</v>
      </c>
      <c r="H152" s="26" t="s">
        <v>485</v>
      </c>
      <c r="I152" s="26" t="s">
        <v>169</v>
      </c>
      <c r="J152" s="26" t="s">
        <v>182</v>
      </c>
      <c r="K152" s="26" t="s">
        <v>154</v>
      </c>
      <c r="L152" s="26" t="s">
        <v>154</v>
      </c>
      <c r="M152" s="26" t="s">
        <v>182</v>
      </c>
      <c r="N152" s="26">
        <v>159.4</v>
      </c>
      <c r="O152" s="20">
        <v>24984.36</v>
      </c>
      <c r="P152" s="26" t="s">
        <v>493</v>
      </c>
      <c r="Q152" s="26">
        <v>0</v>
      </c>
      <c r="R152" s="26">
        <v>9</v>
      </c>
      <c r="S152" s="26">
        <v>2248.59</v>
      </c>
      <c r="T152" s="26">
        <v>9</v>
      </c>
      <c r="U152" s="26">
        <v>2248.59</v>
      </c>
      <c r="V152" s="26">
        <v>0</v>
      </c>
      <c r="W152" s="26">
        <v>0</v>
      </c>
      <c r="X152" s="26">
        <v>0</v>
      </c>
      <c r="Y152" s="26">
        <v>4497.18</v>
      </c>
      <c r="Z152" s="26">
        <v>0</v>
      </c>
      <c r="AA152" s="26" t="s">
        <v>492</v>
      </c>
      <c r="AB152" s="26" t="s">
        <v>188</v>
      </c>
      <c r="AC152" s="26">
        <v>39269080</v>
      </c>
      <c r="AD152" s="26" t="s">
        <v>208</v>
      </c>
      <c r="AE152" s="26">
        <v>1</v>
      </c>
      <c r="AF152" s="26">
        <v>159.4</v>
      </c>
      <c r="AG152" s="26" t="s">
        <v>209</v>
      </c>
    </row>
    <row r="153" spans="1:33" x14ac:dyDescent="0.25">
      <c r="A153" s="26"/>
      <c r="B153" s="26" t="s">
        <v>485</v>
      </c>
      <c r="C153" s="26" t="s">
        <v>219</v>
      </c>
      <c r="D153" s="26" t="s">
        <v>206</v>
      </c>
      <c r="E153" s="26">
        <v>389</v>
      </c>
      <c r="F153" s="26" t="s">
        <v>230</v>
      </c>
      <c r="G153" s="26" t="s">
        <v>494</v>
      </c>
      <c r="H153" s="26" t="s">
        <v>485</v>
      </c>
      <c r="I153" s="26" t="s">
        <v>169</v>
      </c>
      <c r="J153" s="26" t="s">
        <v>201</v>
      </c>
      <c r="K153" s="26" t="s">
        <v>158</v>
      </c>
      <c r="L153" s="26" t="s">
        <v>220</v>
      </c>
      <c r="M153" s="26" t="s">
        <v>200</v>
      </c>
      <c r="N153" s="26">
        <v>2.65</v>
      </c>
      <c r="O153" s="25">
        <v>887.75</v>
      </c>
      <c r="P153" s="26" t="s">
        <v>200</v>
      </c>
      <c r="Q153" s="26">
        <v>1046.6600000000001</v>
      </c>
      <c r="R153" s="26">
        <v>9</v>
      </c>
      <c r="S153" s="26">
        <v>79.900000000000006</v>
      </c>
      <c r="T153" s="26">
        <v>9</v>
      </c>
      <c r="U153" s="26">
        <v>79.900000000000006</v>
      </c>
      <c r="V153" s="26">
        <v>0</v>
      </c>
      <c r="W153" s="26">
        <v>0</v>
      </c>
      <c r="X153" s="26">
        <v>0</v>
      </c>
      <c r="Y153" s="26">
        <v>159.80000000000001</v>
      </c>
      <c r="Z153" s="26">
        <v>0</v>
      </c>
      <c r="AA153" s="26" t="s">
        <v>177</v>
      </c>
      <c r="AB153" s="26" t="s">
        <v>188</v>
      </c>
      <c r="AC153" s="26">
        <v>39201019</v>
      </c>
      <c r="AD153" s="26" t="s">
        <v>208</v>
      </c>
      <c r="AE153" s="26">
        <v>1</v>
      </c>
      <c r="AF153" s="26">
        <v>2.65</v>
      </c>
      <c r="AG153" s="26" t="s">
        <v>209</v>
      </c>
    </row>
    <row r="154" spans="1:33" x14ac:dyDescent="0.25">
      <c r="A154" s="26"/>
      <c r="B154" s="26" t="s">
        <v>495</v>
      </c>
      <c r="C154" s="26" t="s">
        <v>205</v>
      </c>
      <c r="D154" s="26" t="s">
        <v>206</v>
      </c>
      <c r="E154" s="26">
        <v>398</v>
      </c>
      <c r="F154" s="26" t="s">
        <v>230</v>
      </c>
      <c r="G154" s="26" t="s">
        <v>496</v>
      </c>
      <c r="H154" s="26" t="s">
        <v>495</v>
      </c>
      <c r="I154" s="26" t="s">
        <v>169</v>
      </c>
      <c r="J154" s="26" t="s">
        <v>201</v>
      </c>
      <c r="K154" s="26" t="s">
        <v>158</v>
      </c>
      <c r="L154" s="26" t="s">
        <v>220</v>
      </c>
      <c r="M154" s="26" t="s">
        <v>200</v>
      </c>
      <c r="N154" s="26">
        <v>37.700000000000003</v>
      </c>
      <c r="O154" s="20">
        <v>9990.5</v>
      </c>
      <c r="P154" s="26" t="s">
        <v>200</v>
      </c>
      <c r="Q154" s="26">
        <v>11778.79</v>
      </c>
      <c r="R154" s="26">
        <v>9</v>
      </c>
      <c r="S154" s="26">
        <v>899.14</v>
      </c>
      <c r="T154" s="26">
        <v>9</v>
      </c>
      <c r="U154" s="26">
        <v>899.14</v>
      </c>
      <c r="V154" s="26">
        <v>0</v>
      </c>
      <c r="W154" s="26">
        <v>0</v>
      </c>
      <c r="X154" s="26">
        <v>0</v>
      </c>
      <c r="Y154" s="26">
        <v>1798.28</v>
      </c>
      <c r="Z154" s="26">
        <v>0</v>
      </c>
      <c r="AA154" s="26" t="s">
        <v>189</v>
      </c>
      <c r="AB154" s="26" t="s">
        <v>188</v>
      </c>
      <c r="AC154" s="26">
        <v>39201019</v>
      </c>
      <c r="AD154" s="26" t="s">
        <v>208</v>
      </c>
      <c r="AE154" s="26">
        <v>1</v>
      </c>
      <c r="AF154" s="26">
        <v>37.700000000000003</v>
      </c>
      <c r="AG154" s="26" t="s">
        <v>209</v>
      </c>
    </row>
    <row r="155" spans="1:33" x14ac:dyDescent="0.25">
      <c r="A155" s="26"/>
      <c r="B155" s="26" t="s">
        <v>495</v>
      </c>
      <c r="C155" s="26" t="s">
        <v>205</v>
      </c>
      <c r="D155" s="26" t="s">
        <v>206</v>
      </c>
      <c r="E155" s="26">
        <v>399</v>
      </c>
      <c r="F155" s="26" t="s">
        <v>272</v>
      </c>
      <c r="G155" s="26" t="s">
        <v>497</v>
      </c>
      <c r="H155" s="26" t="s">
        <v>495</v>
      </c>
      <c r="I155" s="26" t="s">
        <v>169</v>
      </c>
      <c r="J155" s="26" t="s">
        <v>180</v>
      </c>
      <c r="K155" s="26" t="s">
        <v>156</v>
      </c>
      <c r="L155" s="26" t="s">
        <v>218</v>
      </c>
      <c r="M155" s="26" t="s">
        <v>179</v>
      </c>
      <c r="N155" s="26">
        <v>238.8</v>
      </c>
      <c r="O155" s="20">
        <v>38623.51</v>
      </c>
      <c r="P155" s="26" t="s">
        <v>498</v>
      </c>
      <c r="Q155" s="26">
        <v>84217.04</v>
      </c>
      <c r="R155" s="26">
        <v>9</v>
      </c>
      <c r="S155" s="26">
        <v>3476.12</v>
      </c>
      <c r="T155" s="26">
        <v>9</v>
      </c>
      <c r="U155" s="26">
        <v>3476.12</v>
      </c>
      <c r="V155" s="26">
        <v>0</v>
      </c>
      <c r="W155" s="26">
        <v>0</v>
      </c>
      <c r="X155" s="26">
        <v>0</v>
      </c>
      <c r="Y155" s="26">
        <v>6952.24</v>
      </c>
      <c r="Z155" s="26">
        <v>0</v>
      </c>
      <c r="AA155" s="26" t="s">
        <v>189</v>
      </c>
      <c r="AB155" s="26" t="s">
        <v>188</v>
      </c>
      <c r="AC155" s="26">
        <v>39269080</v>
      </c>
      <c r="AD155" s="26" t="s">
        <v>208</v>
      </c>
      <c r="AE155" s="26">
        <v>1</v>
      </c>
      <c r="AF155" s="26">
        <v>238.8</v>
      </c>
      <c r="AG155" s="26" t="s">
        <v>209</v>
      </c>
    </row>
    <row r="156" spans="1:33" x14ac:dyDescent="0.25">
      <c r="A156" s="26"/>
      <c r="B156" s="26" t="s">
        <v>495</v>
      </c>
      <c r="C156" s="26" t="s">
        <v>205</v>
      </c>
      <c r="D156" s="26" t="s">
        <v>206</v>
      </c>
      <c r="E156" s="26">
        <v>399</v>
      </c>
      <c r="F156" s="26" t="s">
        <v>272</v>
      </c>
      <c r="G156" s="26" t="s">
        <v>497</v>
      </c>
      <c r="H156" s="26" t="s">
        <v>495</v>
      </c>
      <c r="I156" s="26" t="s">
        <v>169</v>
      </c>
      <c r="J156" s="26" t="s">
        <v>180</v>
      </c>
      <c r="K156" s="26" t="s">
        <v>156</v>
      </c>
      <c r="L156" s="26" t="s">
        <v>218</v>
      </c>
      <c r="M156" s="26" t="s">
        <v>179</v>
      </c>
      <c r="N156" s="26">
        <v>78</v>
      </c>
      <c r="O156" s="20">
        <v>12381.72</v>
      </c>
      <c r="P156" s="26" t="s">
        <v>365</v>
      </c>
      <c r="Q156" s="26">
        <v>0</v>
      </c>
      <c r="R156" s="26">
        <v>9</v>
      </c>
      <c r="S156" s="26">
        <v>1114.3499999999999</v>
      </c>
      <c r="T156" s="26">
        <v>9</v>
      </c>
      <c r="U156" s="26">
        <v>1114.3499999999999</v>
      </c>
      <c r="V156" s="26">
        <v>0</v>
      </c>
      <c r="W156" s="26">
        <v>0</v>
      </c>
      <c r="X156" s="26">
        <v>0</v>
      </c>
      <c r="Y156" s="26">
        <v>2228.6999999999998</v>
      </c>
      <c r="Z156" s="26">
        <v>0</v>
      </c>
      <c r="AA156" s="26" t="s">
        <v>189</v>
      </c>
      <c r="AB156" s="26" t="s">
        <v>188</v>
      </c>
      <c r="AC156" s="26">
        <v>39269080</v>
      </c>
      <c r="AD156" s="26" t="s">
        <v>208</v>
      </c>
      <c r="AE156" s="26">
        <v>1</v>
      </c>
      <c r="AF156" s="26">
        <v>78</v>
      </c>
      <c r="AG156" s="26" t="s">
        <v>209</v>
      </c>
    </row>
    <row r="157" spans="1:33" x14ac:dyDescent="0.25">
      <c r="A157" s="26"/>
      <c r="B157" s="26" t="s">
        <v>495</v>
      </c>
      <c r="C157" s="26" t="s">
        <v>205</v>
      </c>
      <c r="D157" s="26" t="s">
        <v>206</v>
      </c>
      <c r="E157" s="26">
        <v>399</v>
      </c>
      <c r="F157" s="26" t="s">
        <v>272</v>
      </c>
      <c r="G157" s="26" t="s">
        <v>497</v>
      </c>
      <c r="H157" s="26" t="s">
        <v>495</v>
      </c>
      <c r="I157" s="26" t="s">
        <v>192</v>
      </c>
      <c r="J157" s="26" t="s">
        <v>153</v>
      </c>
      <c r="K157" s="26" t="s">
        <v>153</v>
      </c>
      <c r="L157" s="26" t="s">
        <v>210</v>
      </c>
      <c r="M157" s="26" t="s">
        <v>153</v>
      </c>
      <c r="N157" s="34">
        <v>132</v>
      </c>
      <c r="O157" s="20">
        <v>20425.68</v>
      </c>
      <c r="P157" s="26" t="s">
        <v>273</v>
      </c>
      <c r="Q157" s="26">
        <v>0</v>
      </c>
      <c r="R157" s="26">
        <v>9</v>
      </c>
      <c r="S157" s="26">
        <v>1838.31</v>
      </c>
      <c r="T157" s="26">
        <v>9</v>
      </c>
      <c r="U157" s="26">
        <v>1838.31</v>
      </c>
      <c r="V157" s="26">
        <v>0</v>
      </c>
      <c r="W157" s="26">
        <v>0</v>
      </c>
      <c r="X157" s="26">
        <v>0</v>
      </c>
      <c r="Y157" s="26">
        <v>3676.62</v>
      </c>
      <c r="Z157" s="26">
        <v>0</v>
      </c>
      <c r="AA157" s="26" t="s">
        <v>189</v>
      </c>
      <c r="AB157" s="26" t="s">
        <v>188</v>
      </c>
      <c r="AC157" s="26">
        <v>39269080</v>
      </c>
      <c r="AD157" s="26" t="s">
        <v>208</v>
      </c>
      <c r="AE157" s="26">
        <v>1</v>
      </c>
      <c r="AF157" s="26">
        <v>132</v>
      </c>
      <c r="AG157" s="26" t="s">
        <v>209</v>
      </c>
    </row>
    <row r="158" spans="1:33" x14ac:dyDescent="0.25">
      <c r="A158" s="26"/>
      <c r="B158" s="26" t="s">
        <v>495</v>
      </c>
      <c r="C158" s="26" t="s">
        <v>219</v>
      </c>
      <c r="D158" s="26" t="s">
        <v>206</v>
      </c>
      <c r="E158" s="26">
        <v>394</v>
      </c>
      <c r="F158" s="26" t="s">
        <v>272</v>
      </c>
      <c r="G158" s="26" t="s">
        <v>499</v>
      </c>
      <c r="H158" s="26" t="s">
        <v>495</v>
      </c>
      <c r="I158" s="26" t="s">
        <v>169</v>
      </c>
      <c r="J158" s="26" t="s">
        <v>180</v>
      </c>
      <c r="K158" s="26" t="s">
        <v>155</v>
      </c>
      <c r="L158" s="26" t="s">
        <v>210</v>
      </c>
      <c r="M158" s="26" t="s">
        <v>187</v>
      </c>
      <c r="N158" s="26">
        <v>888.5</v>
      </c>
      <c r="O158" s="20">
        <v>137486.49</v>
      </c>
      <c r="P158" s="26" t="s">
        <v>187</v>
      </c>
      <c r="Q158" s="26">
        <v>162096.56</v>
      </c>
      <c r="R158" s="26">
        <v>9</v>
      </c>
      <c r="S158" s="26">
        <v>12373.78</v>
      </c>
      <c r="T158" s="26">
        <v>9</v>
      </c>
      <c r="U158" s="26">
        <v>12373.78</v>
      </c>
      <c r="V158" s="26">
        <v>0</v>
      </c>
      <c r="W158" s="26">
        <v>0</v>
      </c>
      <c r="X158" s="26">
        <v>0</v>
      </c>
      <c r="Y158" s="26">
        <v>24747.56</v>
      </c>
      <c r="Z158" s="26">
        <v>0</v>
      </c>
      <c r="AA158" s="26" t="s">
        <v>177</v>
      </c>
      <c r="AB158" s="26" t="s">
        <v>188</v>
      </c>
      <c r="AC158" s="26">
        <v>39269080</v>
      </c>
      <c r="AD158" s="26" t="s">
        <v>208</v>
      </c>
      <c r="AE158" s="26">
        <v>1</v>
      </c>
      <c r="AF158" s="26">
        <v>888.5</v>
      </c>
      <c r="AG158" s="26" t="s">
        <v>209</v>
      </c>
    </row>
    <row r="159" spans="1:33" x14ac:dyDescent="0.25">
      <c r="A159" s="26"/>
      <c r="B159" s="26" t="s">
        <v>495</v>
      </c>
      <c r="C159" s="26" t="s">
        <v>219</v>
      </c>
      <c r="D159" s="26" t="s">
        <v>206</v>
      </c>
      <c r="E159" s="26">
        <v>396</v>
      </c>
      <c r="F159" s="26" t="s">
        <v>230</v>
      </c>
      <c r="G159" s="26" t="s">
        <v>500</v>
      </c>
      <c r="H159" s="26" t="s">
        <v>495</v>
      </c>
      <c r="I159" s="26" t="s">
        <v>169</v>
      </c>
      <c r="J159" s="26" t="s">
        <v>201</v>
      </c>
      <c r="K159" s="26" t="s">
        <v>158</v>
      </c>
      <c r="L159" s="26" t="s">
        <v>220</v>
      </c>
      <c r="M159" s="26" t="s">
        <v>200</v>
      </c>
      <c r="N159" s="26">
        <v>17.5</v>
      </c>
      <c r="O159" s="20">
        <v>4987.5</v>
      </c>
      <c r="P159" s="26" t="s">
        <v>200</v>
      </c>
      <c r="Q159" s="26">
        <v>5880.27</v>
      </c>
      <c r="R159" s="26">
        <v>9</v>
      </c>
      <c r="S159" s="26">
        <v>448.88</v>
      </c>
      <c r="T159" s="26">
        <v>9</v>
      </c>
      <c r="U159" s="26">
        <v>448.88</v>
      </c>
      <c r="V159" s="26">
        <v>0</v>
      </c>
      <c r="W159" s="26">
        <v>0</v>
      </c>
      <c r="X159" s="26">
        <v>0</v>
      </c>
      <c r="Y159" s="26">
        <v>897.76</v>
      </c>
      <c r="Z159" s="26">
        <v>0</v>
      </c>
      <c r="AA159" s="26" t="s">
        <v>177</v>
      </c>
      <c r="AB159" s="26" t="s">
        <v>188</v>
      </c>
      <c r="AC159" s="26">
        <v>39201019</v>
      </c>
      <c r="AD159" s="26" t="s">
        <v>208</v>
      </c>
      <c r="AE159" s="26">
        <v>1</v>
      </c>
      <c r="AF159" s="26">
        <v>17.5</v>
      </c>
      <c r="AG159" s="26" t="s">
        <v>209</v>
      </c>
    </row>
    <row r="160" spans="1:33" x14ac:dyDescent="0.25">
      <c r="A160" s="26"/>
      <c r="B160" s="26" t="s">
        <v>495</v>
      </c>
      <c r="C160" s="26" t="s">
        <v>501</v>
      </c>
      <c r="D160" s="26" t="s">
        <v>206</v>
      </c>
      <c r="E160" s="26">
        <v>393</v>
      </c>
      <c r="F160" s="26" t="s">
        <v>227</v>
      </c>
      <c r="G160" s="26" t="s">
        <v>502</v>
      </c>
      <c r="H160" s="26" t="s">
        <v>495</v>
      </c>
      <c r="I160" s="26" t="s">
        <v>192</v>
      </c>
      <c r="J160" s="26" t="s">
        <v>152</v>
      </c>
      <c r="K160" s="26" t="s">
        <v>152</v>
      </c>
      <c r="L160" s="26" t="s">
        <v>207</v>
      </c>
      <c r="M160" s="26" t="s">
        <v>195</v>
      </c>
      <c r="N160" s="30">
        <v>1390</v>
      </c>
      <c r="O160" s="20">
        <v>346000</v>
      </c>
      <c r="P160" s="26" t="s">
        <v>503</v>
      </c>
      <c r="Q160" s="26">
        <v>408280</v>
      </c>
      <c r="R160" s="26">
        <v>0</v>
      </c>
      <c r="S160" s="26">
        <v>0</v>
      </c>
      <c r="T160" s="26">
        <v>0</v>
      </c>
      <c r="U160" s="26">
        <v>0</v>
      </c>
      <c r="V160" s="26">
        <v>18</v>
      </c>
      <c r="W160" s="26">
        <v>62280</v>
      </c>
      <c r="X160" s="26">
        <v>0</v>
      </c>
      <c r="Y160" s="26">
        <v>62280</v>
      </c>
      <c r="Z160" s="26">
        <v>0</v>
      </c>
      <c r="AA160" s="26" t="s">
        <v>504</v>
      </c>
      <c r="AB160" s="26" t="s">
        <v>188</v>
      </c>
      <c r="AC160" s="26">
        <v>39232999</v>
      </c>
      <c r="AD160" s="26" t="s">
        <v>208</v>
      </c>
      <c r="AE160" s="26">
        <v>1</v>
      </c>
      <c r="AF160" s="26">
        <v>1390</v>
      </c>
      <c r="AG160" s="26" t="s">
        <v>209</v>
      </c>
    </row>
    <row r="161" spans="1:33" x14ac:dyDescent="0.25">
      <c r="A161" s="26"/>
      <c r="B161" s="26" t="s">
        <v>505</v>
      </c>
      <c r="C161" s="26" t="s">
        <v>205</v>
      </c>
      <c r="D161" s="26" t="s">
        <v>206</v>
      </c>
      <c r="E161" s="26">
        <v>406</v>
      </c>
      <c r="F161" s="26" t="s">
        <v>272</v>
      </c>
      <c r="G161" s="26" t="s">
        <v>506</v>
      </c>
      <c r="H161" s="26" t="s">
        <v>505</v>
      </c>
      <c r="I161" s="26" t="s">
        <v>169</v>
      </c>
      <c r="J161" s="26" t="s">
        <v>180</v>
      </c>
      <c r="K161" s="26" t="s">
        <v>156</v>
      </c>
      <c r="L161" s="26" t="s">
        <v>218</v>
      </c>
      <c r="M161" s="26" t="s">
        <v>179</v>
      </c>
      <c r="N161" s="26">
        <v>210</v>
      </c>
      <c r="O161" s="20">
        <v>33335.4</v>
      </c>
      <c r="P161" s="26" t="s">
        <v>365</v>
      </c>
      <c r="Q161" s="26">
        <v>79019.28</v>
      </c>
      <c r="R161" s="26">
        <v>9</v>
      </c>
      <c r="S161" s="26">
        <v>3000.19</v>
      </c>
      <c r="T161" s="26">
        <v>9</v>
      </c>
      <c r="U161" s="26">
        <v>3000.19</v>
      </c>
      <c r="V161" s="26">
        <v>0</v>
      </c>
      <c r="W161" s="26">
        <v>0</v>
      </c>
      <c r="X161" s="26">
        <v>0</v>
      </c>
      <c r="Y161" s="26">
        <v>6000.38</v>
      </c>
      <c r="Z161" s="26">
        <v>0</v>
      </c>
      <c r="AA161" s="26" t="s">
        <v>189</v>
      </c>
      <c r="AB161" s="26" t="s">
        <v>188</v>
      </c>
      <c r="AC161" s="26">
        <v>39269080</v>
      </c>
      <c r="AD161" s="26" t="s">
        <v>208</v>
      </c>
      <c r="AE161" s="26">
        <v>1</v>
      </c>
      <c r="AF161" s="26">
        <v>210</v>
      </c>
      <c r="AG161" s="26" t="s">
        <v>209</v>
      </c>
    </row>
    <row r="162" spans="1:33" x14ac:dyDescent="0.25">
      <c r="A162" s="26"/>
      <c r="B162" s="26" t="s">
        <v>505</v>
      </c>
      <c r="C162" s="26" t="s">
        <v>205</v>
      </c>
      <c r="D162" s="26" t="s">
        <v>206</v>
      </c>
      <c r="E162" s="26">
        <v>406</v>
      </c>
      <c r="F162" s="26" t="s">
        <v>272</v>
      </c>
      <c r="G162" s="26" t="s">
        <v>506</v>
      </c>
      <c r="H162" s="26" t="s">
        <v>505</v>
      </c>
      <c r="I162" s="26" t="s">
        <v>169</v>
      </c>
      <c r="J162" s="26" t="s">
        <v>180</v>
      </c>
      <c r="K162" s="26" t="s">
        <v>156</v>
      </c>
      <c r="L162" s="26" t="s">
        <v>218</v>
      </c>
      <c r="M162" s="26" t="s">
        <v>179</v>
      </c>
      <c r="N162" s="26">
        <v>126</v>
      </c>
      <c r="O162" s="20">
        <v>20379.240000000002</v>
      </c>
      <c r="P162" s="26" t="s">
        <v>507</v>
      </c>
      <c r="Q162" s="26">
        <v>0</v>
      </c>
      <c r="R162" s="26">
        <v>9</v>
      </c>
      <c r="S162" s="26">
        <v>1834.13</v>
      </c>
      <c r="T162" s="26">
        <v>9</v>
      </c>
      <c r="U162" s="26">
        <v>1834.13</v>
      </c>
      <c r="V162" s="26">
        <v>0</v>
      </c>
      <c r="W162" s="26">
        <v>0</v>
      </c>
      <c r="X162" s="26">
        <v>0</v>
      </c>
      <c r="Y162" s="26">
        <v>3668.26</v>
      </c>
      <c r="Z162" s="26">
        <v>0</v>
      </c>
      <c r="AA162" s="26" t="s">
        <v>189</v>
      </c>
      <c r="AB162" s="26" t="s">
        <v>188</v>
      </c>
      <c r="AC162" s="26">
        <v>39269080</v>
      </c>
      <c r="AD162" s="26" t="s">
        <v>208</v>
      </c>
      <c r="AE162" s="26">
        <v>1</v>
      </c>
      <c r="AF162" s="26">
        <v>126</v>
      </c>
      <c r="AG162" s="26" t="s">
        <v>209</v>
      </c>
    </row>
    <row r="163" spans="1:33" x14ac:dyDescent="0.25">
      <c r="A163" s="26"/>
      <c r="B163" s="26" t="s">
        <v>505</v>
      </c>
      <c r="C163" s="26" t="s">
        <v>205</v>
      </c>
      <c r="D163" s="26" t="s">
        <v>206</v>
      </c>
      <c r="E163" s="26">
        <v>406</v>
      </c>
      <c r="F163" s="26" t="s">
        <v>272</v>
      </c>
      <c r="G163" s="26" t="s">
        <v>506</v>
      </c>
      <c r="H163" s="26" t="s">
        <v>505</v>
      </c>
      <c r="I163" s="26" t="s">
        <v>192</v>
      </c>
      <c r="J163" s="26" t="s">
        <v>153</v>
      </c>
      <c r="K163" s="26" t="s">
        <v>153</v>
      </c>
      <c r="L163" s="26" t="s">
        <v>210</v>
      </c>
      <c r="M163" s="26" t="s">
        <v>153</v>
      </c>
      <c r="N163" s="34">
        <v>86</v>
      </c>
      <c r="O163" s="20">
        <v>13307.64</v>
      </c>
      <c r="P163" s="26" t="s">
        <v>273</v>
      </c>
      <c r="Q163" s="26">
        <v>0</v>
      </c>
      <c r="R163" s="26">
        <v>9</v>
      </c>
      <c r="S163" s="26">
        <v>1197.69</v>
      </c>
      <c r="T163" s="26">
        <v>9</v>
      </c>
      <c r="U163" s="26">
        <v>1197.69</v>
      </c>
      <c r="V163" s="26">
        <v>0</v>
      </c>
      <c r="W163" s="26">
        <v>0</v>
      </c>
      <c r="X163" s="26">
        <v>0</v>
      </c>
      <c r="Y163" s="26">
        <v>2395.38</v>
      </c>
      <c r="Z163" s="26">
        <v>0</v>
      </c>
      <c r="AA163" s="26" t="s">
        <v>189</v>
      </c>
      <c r="AB163" s="26" t="s">
        <v>188</v>
      </c>
      <c r="AC163" s="26">
        <v>39269080</v>
      </c>
      <c r="AD163" s="26" t="s">
        <v>208</v>
      </c>
      <c r="AE163" s="26">
        <v>1</v>
      </c>
      <c r="AF163" s="26">
        <v>86</v>
      </c>
      <c r="AG163" s="26" t="s">
        <v>209</v>
      </c>
    </row>
    <row r="164" spans="1:33" x14ac:dyDescent="0.25">
      <c r="A164" s="26"/>
      <c r="B164" s="26" t="s">
        <v>505</v>
      </c>
      <c r="C164" s="26" t="s">
        <v>217</v>
      </c>
      <c r="D164" s="26" t="s">
        <v>206</v>
      </c>
      <c r="E164" s="26">
        <v>404</v>
      </c>
      <c r="F164" s="26" t="s">
        <v>230</v>
      </c>
      <c r="G164" s="26" t="s">
        <v>508</v>
      </c>
      <c r="H164" s="26" t="s">
        <v>505</v>
      </c>
      <c r="I164" s="26" t="s">
        <v>192</v>
      </c>
      <c r="J164" s="26" t="s">
        <v>152</v>
      </c>
      <c r="K164" s="26" t="s">
        <v>152</v>
      </c>
      <c r="L164" s="26" t="s">
        <v>207</v>
      </c>
      <c r="M164" s="26" t="s">
        <v>191</v>
      </c>
      <c r="N164" s="30">
        <v>11190</v>
      </c>
      <c r="O164" s="20">
        <v>2572581</v>
      </c>
      <c r="P164" s="26" t="s">
        <v>509</v>
      </c>
      <c r="Q164" s="26">
        <v>5216030.29</v>
      </c>
      <c r="R164" s="26">
        <v>9</v>
      </c>
      <c r="S164" s="26">
        <v>231532.29</v>
      </c>
      <c r="T164" s="26">
        <v>9</v>
      </c>
      <c r="U164" s="26">
        <v>231532.29</v>
      </c>
      <c r="V164" s="26">
        <v>0</v>
      </c>
      <c r="W164" s="26">
        <v>0</v>
      </c>
      <c r="X164" s="26">
        <v>0</v>
      </c>
      <c r="Y164" s="26">
        <v>463064.58</v>
      </c>
      <c r="Z164" s="26">
        <v>0</v>
      </c>
      <c r="AA164" s="26" t="s">
        <v>172</v>
      </c>
      <c r="AB164" s="26" t="s">
        <v>188</v>
      </c>
      <c r="AC164" s="26">
        <v>39232999</v>
      </c>
      <c r="AD164" s="26" t="s">
        <v>208</v>
      </c>
      <c r="AE164" s="26">
        <v>1</v>
      </c>
      <c r="AF164" s="26">
        <v>11190</v>
      </c>
      <c r="AG164" s="26" t="s">
        <v>209</v>
      </c>
    </row>
    <row r="165" spans="1:33" x14ac:dyDescent="0.25">
      <c r="A165" s="26"/>
      <c r="B165" s="26" t="s">
        <v>505</v>
      </c>
      <c r="C165" s="26" t="s">
        <v>217</v>
      </c>
      <c r="D165" s="26" t="s">
        <v>206</v>
      </c>
      <c r="E165" s="26">
        <v>404</v>
      </c>
      <c r="F165" s="26" t="s">
        <v>230</v>
      </c>
      <c r="G165" s="26" t="s">
        <v>508</v>
      </c>
      <c r="H165" s="26" t="s">
        <v>505</v>
      </c>
      <c r="I165" s="26" t="s">
        <v>192</v>
      </c>
      <c r="J165" s="26" t="s">
        <v>152</v>
      </c>
      <c r="K165" s="26" t="s">
        <v>152</v>
      </c>
      <c r="L165" s="26" t="s">
        <v>207</v>
      </c>
      <c r="M165" s="26" t="s">
        <v>191</v>
      </c>
      <c r="N165" s="30">
        <v>8189</v>
      </c>
      <c r="O165" s="20">
        <v>1851532.9</v>
      </c>
      <c r="P165" s="26" t="s">
        <v>510</v>
      </c>
      <c r="Q165" s="26">
        <v>0</v>
      </c>
      <c r="R165" s="26">
        <v>9</v>
      </c>
      <c r="S165" s="26">
        <v>166637.96</v>
      </c>
      <c r="T165" s="26">
        <v>9</v>
      </c>
      <c r="U165" s="26">
        <v>166637.96</v>
      </c>
      <c r="V165" s="26">
        <v>0</v>
      </c>
      <c r="W165" s="26">
        <v>0</v>
      </c>
      <c r="X165" s="26">
        <v>0</v>
      </c>
      <c r="Y165" s="26">
        <v>333275.92</v>
      </c>
      <c r="Z165" s="26">
        <v>0</v>
      </c>
      <c r="AA165" s="26" t="s">
        <v>172</v>
      </c>
      <c r="AB165" s="26" t="s">
        <v>188</v>
      </c>
      <c r="AC165" s="26">
        <v>39232999</v>
      </c>
      <c r="AD165" s="26" t="s">
        <v>208</v>
      </c>
      <c r="AE165" s="26">
        <v>1</v>
      </c>
      <c r="AF165" s="26">
        <v>8189</v>
      </c>
      <c r="AG165" s="26" t="s">
        <v>209</v>
      </c>
    </row>
    <row r="166" spans="1:33" x14ac:dyDescent="0.25">
      <c r="A166" s="26"/>
      <c r="B166" s="26" t="s">
        <v>505</v>
      </c>
      <c r="C166" s="26" t="s">
        <v>219</v>
      </c>
      <c r="D166" s="26" t="s">
        <v>206</v>
      </c>
      <c r="E166" s="26">
        <v>401</v>
      </c>
      <c r="F166" s="26" t="s">
        <v>272</v>
      </c>
      <c r="G166" s="26" t="s">
        <v>511</v>
      </c>
      <c r="H166" s="26" t="s">
        <v>505</v>
      </c>
      <c r="I166" s="26" t="s">
        <v>192</v>
      </c>
      <c r="J166" s="26" t="s">
        <v>152</v>
      </c>
      <c r="K166" s="26" t="s">
        <v>152</v>
      </c>
      <c r="L166" s="26" t="s">
        <v>207</v>
      </c>
      <c r="M166" s="26" t="s">
        <v>195</v>
      </c>
      <c r="N166" s="30">
        <v>1653</v>
      </c>
      <c r="O166" s="20">
        <v>456161.88</v>
      </c>
      <c r="P166" s="26" t="s">
        <v>512</v>
      </c>
      <c r="Q166" s="26">
        <v>6761800.1100000003</v>
      </c>
      <c r="R166" s="26">
        <v>9</v>
      </c>
      <c r="S166" s="26">
        <v>41054.57</v>
      </c>
      <c r="T166" s="26">
        <v>9</v>
      </c>
      <c r="U166" s="26">
        <v>41054.57</v>
      </c>
      <c r="V166" s="26">
        <v>0</v>
      </c>
      <c r="W166" s="26">
        <v>0</v>
      </c>
      <c r="X166" s="26">
        <v>0</v>
      </c>
      <c r="Y166" s="26">
        <v>82109.14</v>
      </c>
      <c r="Z166" s="26">
        <v>0</v>
      </c>
      <c r="AA166" s="26" t="s">
        <v>177</v>
      </c>
      <c r="AB166" s="26" t="s">
        <v>188</v>
      </c>
      <c r="AC166" s="26">
        <v>39232999</v>
      </c>
      <c r="AD166" s="26" t="s">
        <v>208</v>
      </c>
      <c r="AE166" s="26">
        <v>1</v>
      </c>
      <c r="AF166" s="26">
        <v>1653</v>
      </c>
      <c r="AG166" s="26" t="s">
        <v>209</v>
      </c>
    </row>
    <row r="167" spans="1:33" x14ac:dyDescent="0.25">
      <c r="A167" s="26"/>
      <c r="B167" s="26" t="s">
        <v>505</v>
      </c>
      <c r="C167" s="26" t="s">
        <v>219</v>
      </c>
      <c r="D167" s="26" t="s">
        <v>206</v>
      </c>
      <c r="E167" s="26">
        <v>401</v>
      </c>
      <c r="F167" s="26" t="s">
        <v>272</v>
      </c>
      <c r="G167" s="26" t="s">
        <v>511</v>
      </c>
      <c r="H167" s="26" t="s">
        <v>505</v>
      </c>
      <c r="I167" s="26" t="s">
        <v>192</v>
      </c>
      <c r="J167" s="26" t="s">
        <v>152</v>
      </c>
      <c r="K167" s="26" t="s">
        <v>152</v>
      </c>
      <c r="L167" s="26" t="s">
        <v>207</v>
      </c>
      <c r="M167" s="26" t="s">
        <v>191</v>
      </c>
      <c r="N167" s="30">
        <v>12853</v>
      </c>
      <c r="O167" s="20">
        <v>3749348.63</v>
      </c>
      <c r="P167" s="26" t="s">
        <v>513</v>
      </c>
      <c r="Q167" s="26">
        <v>0</v>
      </c>
      <c r="R167" s="26">
        <v>9</v>
      </c>
      <c r="S167" s="26">
        <v>337441.38</v>
      </c>
      <c r="T167" s="26">
        <v>9</v>
      </c>
      <c r="U167" s="26">
        <v>337441.38</v>
      </c>
      <c r="V167" s="26">
        <v>0</v>
      </c>
      <c r="W167" s="26">
        <v>0</v>
      </c>
      <c r="X167" s="26">
        <v>0</v>
      </c>
      <c r="Y167" s="26">
        <v>674882.76</v>
      </c>
      <c r="Z167" s="26">
        <v>0</v>
      </c>
      <c r="AA167" s="26" t="s">
        <v>177</v>
      </c>
      <c r="AB167" s="26" t="s">
        <v>188</v>
      </c>
      <c r="AC167" s="26">
        <v>39232999</v>
      </c>
      <c r="AD167" s="26" t="s">
        <v>208</v>
      </c>
      <c r="AE167" s="26">
        <v>1</v>
      </c>
      <c r="AF167" s="26">
        <v>12853</v>
      </c>
      <c r="AG167" s="26" t="s">
        <v>209</v>
      </c>
    </row>
    <row r="168" spans="1:33" x14ac:dyDescent="0.25">
      <c r="A168" s="26"/>
      <c r="B168" s="26" t="s">
        <v>505</v>
      </c>
      <c r="C168" s="26" t="s">
        <v>219</v>
      </c>
      <c r="D168" s="26" t="s">
        <v>206</v>
      </c>
      <c r="E168" s="26">
        <v>401</v>
      </c>
      <c r="F168" s="26" t="s">
        <v>272</v>
      </c>
      <c r="G168" s="26" t="s">
        <v>511</v>
      </c>
      <c r="H168" s="26" t="s">
        <v>505</v>
      </c>
      <c r="I168" s="26" t="s">
        <v>192</v>
      </c>
      <c r="J168" s="26" t="s">
        <v>152</v>
      </c>
      <c r="K168" s="26" t="s">
        <v>152</v>
      </c>
      <c r="L168" s="26" t="s">
        <v>207</v>
      </c>
      <c r="M168" s="26" t="s">
        <v>191</v>
      </c>
      <c r="N168" s="30">
        <v>5219</v>
      </c>
      <c r="O168" s="20">
        <v>1529688.9</v>
      </c>
      <c r="P168" s="26" t="s">
        <v>514</v>
      </c>
      <c r="Q168" s="26">
        <v>0</v>
      </c>
      <c r="R168" s="26">
        <v>9</v>
      </c>
      <c r="S168" s="26">
        <v>137672</v>
      </c>
      <c r="T168" s="26">
        <v>9</v>
      </c>
      <c r="U168" s="26">
        <v>137672</v>
      </c>
      <c r="V168" s="26">
        <v>0</v>
      </c>
      <c r="W168" s="26">
        <v>0</v>
      </c>
      <c r="X168" s="26">
        <v>0</v>
      </c>
      <c r="Y168" s="26">
        <v>275344</v>
      </c>
      <c r="Z168" s="26">
        <v>0</v>
      </c>
      <c r="AA168" s="26" t="s">
        <v>177</v>
      </c>
      <c r="AB168" s="26" t="s">
        <v>188</v>
      </c>
      <c r="AC168" s="26">
        <v>39232999</v>
      </c>
      <c r="AD168" s="26" t="s">
        <v>208</v>
      </c>
      <c r="AE168" s="26">
        <v>1</v>
      </c>
      <c r="AF168" s="26">
        <v>5219</v>
      </c>
      <c r="AG168" s="26" t="s">
        <v>209</v>
      </c>
    </row>
    <row r="169" spans="1:33" x14ac:dyDescent="0.25">
      <c r="A169" s="26"/>
      <c r="B169" s="26" t="s">
        <v>505</v>
      </c>
      <c r="C169" s="26" t="s">
        <v>219</v>
      </c>
      <c r="D169" s="26" t="s">
        <v>206</v>
      </c>
      <c r="E169" s="26">
        <v>403</v>
      </c>
      <c r="F169" s="26" t="s">
        <v>272</v>
      </c>
      <c r="G169" s="26" t="s">
        <v>515</v>
      </c>
      <c r="H169" s="26" t="s">
        <v>505</v>
      </c>
      <c r="I169" s="26" t="s">
        <v>192</v>
      </c>
      <c r="J169" s="26" t="s">
        <v>152</v>
      </c>
      <c r="K169" s="26" t="s">
        <v>152</v>
      </c>
      <c r="L169" s="26" t="s">
        <v>207</v>
      </c>
      <c r="M169" s="26" t="s">
        <v>191</v>
      </c>
      <c r="N169" s="30">
        <v>20711</v>
      </c>
      <c r="O169" s="20">
        <v>4993007.88</v>
      </c>
      <c r="P169" s="26" t="s">
        <v>516</v>
      </c>
      <c r="Q169" s="26">
        <v>5886756.29</v>
      </c>
      <c r="R169" s="26">
        <v>9</v>
      </c>
      <c r="S169" s="26">
        <v>449370.71</v>
      </c>
      <c r="T169" s="26">
        <v>9</v>
      </c>
      <c r="U169" s="26">
        <v>449370.71</v>
      </c>
      <c r="V169" s="26">
        <v>0</v>
      </c>
      <c r="W169" s="26">
        <v>0</v>
      </c>
      <c r="X169" s="26">
        <v>0</v>
      </c>
      <c r="Y169" s="26">
        <v>898741.42</v>
      </c>
      <c r="Z169" s="26">
        <v>0</v>
      </c>
      <c r="AA169" s="26" t="s">
        <v>177</v>
      </c>
      <c r="AB169" s="26" t="s">
        <v>188</v>
      </c>
      <c r="AC169" s="26">
        <v>39232999</v>
      </c>
      <c r="AD169" s="26" t="s">
        <v>208</v>
      </c>
      <c r="AE169" s="26">
        <v>1</v>
      </c>
      <c r="AF169" s="26">
        <v>20711</v>
      </c>
      <c r="AG169" s="26" t="s">
        <v>209</v>
      </c>
    </row>
    <row r="170" spans="1:33" x14ac:dyDescent="0.25">
      <c r="A170" s="26"/>
      <c r="B170" s="26" t="s">
        <v>505</v>
      </c>
      <c r="C170" s="26" t="s">
        <v>219</v>
      </c>
      <c r="D170" s="26" t="s">
        <v>206</v>
      </c>
      <c r="E170" s="26">
        <v>405</v>
      </c>
      <c r="F170" s="26" t="s">
        <v>272</v>
      </c>
      <c r="G170" s="26" t="s">
        <v>517</v>
      </c>
      <c r="H170" s="26" t="s">
        <v>505</v>
      </c>
      <c r="I170" s="26" t="s">
        <v>192</v>
      </c>
      <c r="J170" s="26" t="s">
        <v>152</v>
      </c>
      <c r="K170" s="26" t="s">
        <v>152</v>
      </c>
      <c r="L170" s="26" t="s">
        <v>207</v>
      </c>
      <c r="M170" s="26" t="s">
        <v>195</v>
      </c>
      <c r="N170" s="30">
        <v>18467</v>
      </c>
      <c r="O170" s="20">
        <v>4189792.96</v>
      </c>
      <c r="P170" s="26" t="s">
        <v>518</v>
      </c>
      <c r="Q170" s="26">
        <v>4939765.91</v>
      </c>
      <c r="R170" s="26">
        <v>9</v>
      </c>
      <c r="S170" s="26">
        <v>377081.37</v>
      </c>
      <c r="T170" s="26">
        <v>9</v>
      </c>
      <c r="U170" s="26">
        <v>377081.37</v>
      </c>
      <c r="V170" s="26">
        <v>0</v>
      </c>
      <c r="W170" s="26">
        <v>0</v>
      </c>
      <c r="X170" s="26">
        <v>0</v>
      </c>
      <c r="Y170" s="26">
        <v>754162.74</v>
      </c>
      <c r="Z170" s="26">
        <v>0</v>
      </c>
      <c r="AA170" s="26" t="s">
        <v>177</v>
      </c>
      <c r="AB170" s="26" t="s">
        <v>188</v>
      </c>
      <c r="AC170" s="26">
        <v>39232999</v>
      </c>
      <c r="AD170" s="26" t="s">
        <v>208</v>
      </c>
      <c r="AE170" s="26">
        <v>1</v>
      </c>
      <c r="AF170" s="26">
        <v>18467</v>
      </c>
      <c r="AG170" s="26" t="s">
        <v>209</v>
      </c>
    </row>
    <row r="171" spans="1:33" x14ac:dyDescent="0.25">
      <c r="A171" s="26"/>
      <c r="B171" s="26" t="s">
        <v>519</v>
      </c>
      <c r="C171" s="26" t="s">
        <v>370</v>
      </c>
      <c r="D171" s="26" t="s">
        <v>206</v>
      </c>
      <c r="E171" s="26">
        <v>415</v>
      </c>
      <c r="F171" s="26" t="s">
        <v>272</v>
      </c>
      <c r="G171" s="26" t="s">
        <v>520</v>
      </c>
      <c r="H171" s="26" t="s">
        <v>519</v>
      </c>
      <c r="I171" s="26" t="s">
        <v>169</v>
      </c>
      <c r="J171" s="26" t="s">
        <v>180</v>
      </c>
      <c r="K171" s="26" t="s">
        <v>155</v>
      </c>
      <c r="L171" s="26" t="s">
        <v>210</v>
      </c>
      <c r="M171" s="26" t="s">
        <v>187</v>
      </c>
      <c r="N171" s="30">
        <v>1849.7</v>
      </c>
      <c r="O171" s="20">
        <v>286222.58</v>
      </c>
      <c r="P171" s="26" t="s">
        <v>187</v>
      </c>
      <c r="Q171" s="26">
        <v>337456.42</v>
      </c>
      <c r="R171" s="26">
        <v>9</v>
      </c>
      <c r="S171" s="26">
        <v>25760.03</v>
      </c>
      <c r="T171" s="26">
        <v>9</v>
      </c>
      <c r="U171" s="26">
        <v>25760.03</v>
      </c>
      <c r="V171" s="26">
        <v>0</v>
      </c>
      <c r="W171" s="26">
        <v>0</v>
      </c>
      <c r="X171" s="26">
        <v>0</v>
      </c>
      <c r="Y171" s="26">
        <v>51520.06</v>
      </c>
      <c r="Z171" s="26">
        <v>0</v>
      </c>
      <c r="AA171" s="26" t="s">
        <v>189</v>
      </c>
      <c r="AB171" s="26" t="s">
        <v>188</v>
      </c>
      <c r="AC171" s="26">
        <v>39269080</v>
      </c>
      <c r="AD171" s="26" t="s">
        <v>208</v>
      </c>
      <c r="AE171" s="26">
        <v>1</v>
      </c>
      <c r="AF171" s="26">
        <v>1849.7</v>
      </c>
      <c r="AG171" s="26" t="s">
        <v>209</v>
      </c>
    </row>
    <row r="172" spans="1:33" x14ac:dyDescent="0.25">
      <c r="A172" s="26"/>
      <c r="B172" s="26" t="s">
        <v>519</v>
      </c>
      <c r="C172" s="26" t="s">
        <v>211</v>
      </c>
      <c r="D172" s="26" t="s">
        <v>212</v>
      </c>
      <c r="E172" s="26" t="s">
        <v>521</v>
      </c>
      <c r="F172" s="26" t="s">
        <v>213</v>
      </c>
      <c r="G172" s="26" t="s">
        <v>521</v>
      </c>
      <c r="H172" s="26" t="s">
        <v>519</v>
      </c>
      <c r="I172" s="26" t="s">
        <v>192</v>
      </c>
      <c r="J172" s="26" t="s">
        <v>152</v>
      </c>
      <c r="K172" s="26" t="s">
        <v>162</v>
      </c>
      <c r="L172" s="26" t="s">
        <v>207</v>
      </c>
      <c r="M172" s="26" t="s">
        <v>191</v>
      </c>
      <c r="N172" s="30">
        <v>1018</v>
      </c>
      <c r="O172" s="20">
        <v>188330</v>
      </c>
      <c r="P172" s="26" t="s">
        <v>214</v>
      </c>
      <c r="Q172" s="26">
        <v>188141.67</v>
      </c>
      <c r="R172" s="26">
        <v>0</v>
      </c>
      <c r="S172" s="26">
        <v>0</v>
      </c>
      <c r="T172" s="26">
        <v>0</v>
      </c>
      <c r="U172" s="26">
        <v>0</v>
      </c>
      <c r="V172" s="26">
        <v>0</v>
      </c>
      <c r="W172" s="26">
        <v>0</v>
      </c>
      <c r="X172" s="26">
        <v>0</v>
      </c>
      <c r="Y172" s="26">
        <v>0</v>
      </c>
      <c r="Z172" s="26">
        <v>0</v>
      </c>
      <c r="AA172" s="26" t="s">
        <v>215</v>
      </c>
      <c r="AB172" s="26" t="s">
        <v>188</v>
      </c>
      <c r="AC172" s="26">
        <v>63053200</v>
      </c>
      <c r="AD172" s="26" t="s">
        <v>216</v>
      </c>
      <c r="AE172" s="26">
        <v>92.5</v>
      </c>
      <c r="AF172" s="26">
        <v>1018</v>
      </c>
      <c r="AG172" s="26" t="s">
        <v>209</v>
      </c>
    </row>
    <row r="173" spans="1:33" x14ac:dyDescent="0.25">
      <c r="A173" s="26"/>
      <c r="B173" s="26" t="s">
        <v>519</v>
      </c>
      <c r="C173" s="26" t="s">
        <v>211</v>
      </c>
      <c r="D173" s="26" t="s">
        <v>212</v>
      </c>
      <c r="E173" s="26" t="s">
        <v>522</v>
      </c>
      <c r="F173" s="26" t="s">
        <v>213</v>
      </c>
      <c r="G173" s="26" t="s">
        <v>522</v>
      </c>
      <c r="H173" s="26" t="s">
        <v>519</v>
      </c>
      <c r="I173" s="26" t="s">
        <v>169</v>
      </c>
      <c r="J173" s="26" t="s">
        <v>180</v>
      </c>
      <c r="K173" s="26" t="s">
        <v>573</v>
      </c>
      <c r="L173" s="26" t="s">
        <v>210</v>
      </c>
      <c r="M173" s="26" t="s">
        <v>187</v>
      </c>
      <c r="N173" s="26">
        <v>268</v>
      </c>
      <c r="O173" s="20">
        <v>27614.720000000001</v>
      </c>
      <c r="P173" s="26" t="s">
        <v>187</v>
      </c>
      <c r="Q173" s="26">
        <v>27586.94</v>
      </c>
      <c r="R173" s="26">
        <v>0</v>
      </c>
      <c r="S173" s="26">
        <v>0</v>
      </c>
      <c r="T173" s="26">
        <v>0</v>
      </c>
      <c r="U173" s="26">
        <v>0</v>
      </c>
      <c r="V173" s="26">
        <v>0</v>
      </c>
      <c r="W173" s="26">
        <v>0</v>
      </c>
      <c r="X173" s="26">
        <v>0</v>
      </c>
      <c r="Y173" s="26">
        <v>0</v>
      </c>
      <c r="Z173" s="26">
        <v>0</v>
      </c>
      <c r="AA173" s="26" t="s">
        <v>215</v>
      </c>
      <c r="AB173" s="26" t="s">
        <v>188</v>
      </c>
      <c r="AC173" s="26">
        <v>39269080</v>
      </c>
      <c r="AD173" s="26" t="s">
        <v>216</v>
      </c>
      <c r="AE173" s="26">
        <v>89.6</v>
      </c>
      <c r="AF173" s="26">
        <v>268</v>
      </c>
      <c r="AG173" s="26" t="s">
        <v>209</v>
      </c>
    </row>
    <row r="174" spans="1:33" x14ac:dyDescent="0.25">
      <c r="A174" s="26"/>
      <c r="B174" s="26" t="s">
        <v>519</v>
      </c>
      <c r="C174" s="26" t="s">
        <v>211</v>
      </c>
      <c r="D174" s="26" t="s">
        <v>229</v>
      </c>
      <c r="E174" s="26" t="s">
        <v>523</v>
      </c>
      <c r="F174" s="26" t="s">
        <v>213</v>
      </c>
      <c r="G174" s="26" t="s">
        <v>523</v>
      </c>
      <c r="H174" s="26" t="s">
        <v>519</v>
      </c>
      <c r="I174" s="26" t="s">
        <v>169</v>
      </c>
      <c r="J174" s="26" t="s">
        <v>180</v>
      </c>
      <c r="K174" s="26" t="s">
        <v>574</v>
      </c>
      <c r="L174" s="26" t="s">
        <v>218</v>
      </c>
      <c r="M174" s="26" t="s">
        <v>179</v>
      </c>
      <c r="N174" s="26">
        <v>410.8</v>
      </c>
      <c r="O174" s="20">
        <v>60991.48</v>
      </c>
      <c r="P174" s="26" t="s">
        <v>179</v>
      </c>
      <c r="Q174" s="26">
        <v>60930.49</v>
      </c>
      <c r="R174" s="26"/>
      <c r="S174" s="26">
        <v>0</v>
      </c>
      <c r="T174" s="26"/>
      <c r="U174" s="26">
        <v>0</v>
      </c>
      <c r="V174" s="26"/>
      <c r="W174" s="26">
        <v>0</v>
      </c>
      <c r="X174" s="26">
        <v>0</v>
      </c>
      <c r="Y174" s="26">
        <v>0</v>
      </c>
      <c r="Z174" s="26">
        <v>0</v>
      </c>
      <c r="AA174" s="26" t="s">
        <v>215</v>
      </c>
      <c r="AB174" s="26" t="s">
        <v>188</v>
      </c>
      <c r="AC174" s="26">
        <v>39269080</v>
      </c>
      <c r="AD174" s="26" t="s">
        <v>208</v>
      </c>
      <c r="AE174" s="26">
        <v>1</v>
      </c>
      <c r="AF174" s="26">
        <v>410.8</v>
      </c>
      <c r="AG174" s="26" t="s">
        <v>209</v>
      </c>
    </row>
    <row r="175" spans="1:33" x14ac:dyDescent="0.25">
      <c r="A175" s="26"/>
      <c r="B175" s="26" t="s">
        <v>519</v>
      </c>
      <c r="C175" s="26" t="s">
        <v>296</v>
      </c>
      <c r="D175" s="26" t="s">
        <v>229</v>
      </c>
      <c r="E175" s="26" t="s">
        <v>524</v>
      </c>
      <c r="F175" s="26" t="s">
        <v>213</v>
      </c>
      <c r="G175" s="26" t="s">
        <v>524</v>
      </c>
      <c r="H175" s="26" t="s">
        <v>519</v>
      </c>
      <c r="I175" s="26" t="s">
        <v>169</v>
      </c>
      <c r="J175" s="26" t="s">
        <v>176</v>
      </c>
      <c r="K175" s="26" t="s">
        <v>159</v>
      </c>
      <c r="L175" s="26" t="s">
        <v>159</v>
      </c>
      <c r="M175" s="26" t="s">
        <v>238</v>
      </c>
      <c r="N175" s="26">
        <v>136</v>
      </c>
      <c r="O175" s="20">
        <v>36856</v>
      </c>
      <c r="P175" s="26" t="s">
        <v>238</v>
      </c>
      <c r="Q175" s="26">
        <v>36819.14</v>
      </c>
      <c r="R175" s="26"/>
      <c r="S175" s="26">
        <v>0</v>
      </c>
      <c r="T175" s="26"/>
      <c r="U175" s="26">
        <v>0</v>
      </c>
      <c r="V175" s="26"/>
      <c r="W175" s="26">
        <v>0</v>
      </c>
      <c r="X175" s="26">
        <v>0</v>
      </c>
      <c r="Y175" s="26">
        <v>0</v>
      </c>
      <c r="Z175" s="26">
        <v>0</v>
      </c>
      <c r="AA175" s="26" t="s">
        <v>297</v>
      </c>
      <c r="AB175" s="26" t="s">
        <v>188</v>
      </c>
      <c r="AC175" s="26">
        <v>392310</v>
      </c>
      <c r="AD175" s="26" t="s">
        <v>208</v>
      </c>
      <c r="AE175" s="26">
        <v>1</v>
      </c>
      <c r="AF175" s="26">
        <v>136</v>
      </c>
      <c r="AG175" s="26" t="s">
        <v>209</v>
      </c>
    </row>
    <row r="176" spans="1:33" x14ac:dyDescent="0.25">
      <c r="A176" s="26"/>
      <c r="B176" s="26" t="s">
        <v>519</v>
      </c>
      <c r="C176" s="26" t="s">
        <v>525</v>
      </c>
      <c r="D176" s="26" t="s">
        <v>206</v>
      </c>
      <c r="E176" s="26">
        <v>410</v>
      </c>
      <c r="F176" s="26" t="s">
        <v>272</v>
      </c>
      <c r="G176" s="26" t="s">
        <v>526</v>
      </c>
      <c r="H176" s="26" t="s">
        <v>519</v>
      </c>
      <c r="I176" s="26" t="s">
        <v>192</v>
      </c>
      <c r="J176" s="26" t="s">
        <v>153</v>
      </c>
      <c r="K176" s="26" t="s">
        <v>153</v>
      </c>
      <c r="L176" s="26" t="s">
        <v>207</v>
      </c>
      <c r="M176" s="26" t="s">
        <v>153</v>
      </c>
      <c r="N176" s="34">
        <v>65</v>
      </c>
      <c r="O176" s="20">
        <v>17325</v>
      </c>
      <c r="P176" s="26" t="s">
        <v>338</v>
      </c>
      <c r="Q176" s="26">
        <v>20426.18</v>
      </c>
      <c r="R176" s="26">
        <v>9</v>
      </c>
      <c r="S176" s="26">
        <v>1559.25</v>
      </c>
      <c r="T176" s="26">
        <v>9</v>
      </c>
      <c r="U176" s="26">
        <v>1559.25</v>
      </c>
      <c r="V176" s="26">
        <v>0</v>
      </c>
      <c r="W176" s="26">
        <v>0</v>
      </c>
      <c r="X176" s="26">
        <v>0</v>
      </c>
      <c r="Y176" s="26">
        <v>3118.5</v>
      </c>
      <c r="Z176" s="26">
        <v>0</v>
      </c>
      <c r="AA176" s="26" t="s">
        <v>527</v>
      </c>
      <c r="AB176" s="26" t="s">
        <v>188</v>
      </c>
      <c r="AC176" s="26">
        <v>39232999</v>
      </c>
      <c r="AD176" s="26" t="s">
        <v>208</v>
      </c>
      <c r="AE176" s="26">
        <v>1</v>
      </c>
      <c r="AF176" s="26">
        <v>65</v>
      </c>
      <c r="AG176" s="26" t="s">
        <v>209</v>
      </c>
    </row>
    <row r="177" spans="1:33" x14ac:dyDescent="0.25">
      <c r="A177" s="26"/>
      <c r="B177" s="26" t="s">
        <v>519</v>
      </c>
      <c r="C177" s="26" t="s">
        <v>274</v>
      </c>
      <c r="D177" s="26" t="s">
        <v>206</v>
      </c>
      <c r="E177" s="26">
        <v>411</v>
      </c>
      <c r="F177" s="26" t="s">
        <v>230</v>
      </c>
      <c r="G177" s="26" t="s">
        <v>528</v>
      </c>
      <c r="H177" s="26" t="s">
        <v>519</v>
      </c>
      <c r="I177" s="26" t="s">
        <v>204</v>
      </c>
      <c r="J177" s="26" t="s">
        <v>160</v>
      </c>
      <c r="K177" s="26" t="s">
        <v>165</v>
      </c>
      <c r="L177" s="26" t="s">
        <v>165</v>
      </c>
      <c r="M177" s="26" t="s">
        <v>203</v>
      </c>
      <c r="N177" s="26">
        <v>175</v>
      </c>
      <c r="O177" s="20">
        <v>19600</v>
      </c>
      <c r="P177" s="26" t="s">
        <v>203</v>
      </c>
      <c r="Q177" s="26">
        <v>29740.28</v>
      </c>
      <c r="R177" s="26">
        <v>9</v>
      </c>
      <c r="S177" s="26">
        <v>1764</v>
      </c>
      <c r="T177" s="26">
        <v>9</v>
      </c>
      <c r="U177" s="26">
        <v>1764</v>
      </c>
      <c r="V177" s="26">
        <v>0</v>
      </c>
      <c r="W177" s="26">
        <v>0</v>
      </c>
      <c r="X177" s="26">
        <v>0</v>
      </c>
      <c r="Y177" s="26">
        <v>3528</v>
      </c>
      <c r="Z177" s="26">
        <v>0</v>
      </c>
      <c r="AA177" s="26" t="s">
        <v>275</v>
      </c>
      <c r="AB177" s="26" t="s">
        <v>188</v>
      </c>
      <c r="AC177" s="26">
        <v>38140011</v>
      </c>
      <c r="AD177" s="26" t="s">
        <v>208</v>
      </c>
      <c r="AE177" s="26">
        <v>1</v>
      </c>
      <c r="AF177" s="26">
        <v>175</v>
      </c>
      <c r="AG177" s="26" t="s">
        <v>209</v>
      </c>
    </row>
    <row r="178" spans="1:33" x14ac:dyDescent="0.25">
      <c r="A178" s="26"/>
      <c r="B178" s="26" t="s">
        <v>519</v>
      </c>
      <c r="C178" s="26" t="s">
        <v>274</v>
      </c>
      <c r="D178" s="26" t="s">
        <v>206</v>
      </c>
      <c r="E178" s="26">
        <v>411</v>
      </c>
      <c r="F178" s="26" t="s">
        <v>230</v>
      </c>
      <c r="G178" s="26" t="s">
        <v>528</v>
      </c>
      <c r="H178" s="26" t="s">
        <v>519</v>
      </c>
      <c r="I178" s="26" t="s">
        <v>204</v>
      </c>
      <c r="J178" s="26" t="s">
        <v>160</v>
      </c>
      <c r="K178" s="26" t="s">
        <v>160</v>
      </c>
      <c r="L178" s="26" t="s">
        <v>309</v>
      </c>
      <c r="M178" s="26" t="s">
        <v>304</v>
      </c>
      <c r="N178" s="26">
        <v>25</v>
      </c>
      <c r="O178" s="20">
        <v>5625</v>
      </c>
      <c r="P178" s="26" t="s">
        <v>304</v>
      </c>
      <c r="Q178" s="26">
        <v>0</v>
      </c>
      <c r="R178" s="26">
        <v>9</v>
      </c>
      <c r="S178" s="26">
        <v>506.25</v>
      </c>
      <c r="T178" s="26">
        <v>9</v>
      </c>
      <c r="U178" s="26">
        <v>506.25</v>
      </c>
      <c r="V178" s="26">
        <v>0</v>
      </c>
      <c r="W178" s="26">
        <v>0</v>
      </c>
      <c r="X178" s="26">
        <v>0</v>
      </c>
      <c r="Y178" s="26">
        <v>1012.5</v>
      </c>
      <c r="Z178" s="26">
        <v>0</v>
      </c>
      <c r="AA178" s="26" t="s">
        <v>275</v>
      </c>
      <c r="AB178" s="26" t="s">
        <v>188</v>
      </c>
      <c r="AC178" s="26">
        <v>32151990</v>
      </c>
      <c r="AD178" s="26" t="s">
        <v>208</v>
      </c>
      <c r="AE178" s="26">
        <v>1</v>
      </c>
      <c r="AF178" s="26">
        <v>25</v>
      </c>
      <c r="AG178" s="26" t="s">
        <v>209</v>
      </c>
    </row>
    <row r="179" spans="1:33" x14ac:dyDescent="0.25">
      <c r="A179" s="26"/>
      <c r="B179" s="26" t="s">
        <v>519</v>
      </c>
      <c r="C179" s="26" t="s">
        <v>219</v>
      </c>
      <c r="D179" s="26" t="s">
        <v>206</v>
      </c>
      <c r="E179" s="26">
        <v>408</v>
      </c>
      <c r="F179" s="26" t="s">
        <v>272</v>
      </c>
      <c r="G179" s="26" t="s">
        <v>529</v>
      </c>
      <c r="H179" s="26" t="s">
        <v>519</v>
      </c>
      <c r="I179" s="26" t="s">
        <v>169</v>
      </c>
      <c r="J179" s="26" t="s">
        <v>180</v>
      </c>
      <c r="K179" s="26" t="s">
        <v>155</v>
      </c>
      <c r="L179" s="26" t="s">
        <v>210</v>
      </c>
      <c r="M179" s="26" t="s">
        <v>187</v>
      </c>
      <c r="N179" s="26">
        <v>132.80000000000001</v>
      </c>
      <c r="O179" s="20">
        <v>20549.47</v>
      </c>
      <c r="P179" s="26" t="s">
        <v>187</v>
      </c>
      <c r="Q179" s="26">
        <v>53362.47</v>
      </c>
      <c r="R179" s="26">
        <v>9</v>
      </c>
      <c r="S179" s="26">
        <v>1849.45</v>
      </c>
      <c r="T179" s="26">
        <v>9</v>
      </c>
      <c r="U179" s="26">
        <v>1849.45</v>
      </c>
      <c r="V179" s="26">
        <v>0</v>
      </c>
      <c r="W179" s="26">
        <v>0</v>
      </c>
      <c r="X179" s="26">
        <v>0</v>
      </c>
      <c r="Y179" s="26">
        <v>3698.9</v>
      </c>
      <c r="Z179" s="26">
        <v>0</v>
      </c>
      <c r="AA179" s="26" t="s">
        <v>177</v>
      </c>
      <c r="AB179" s="26" t="s">
        <v>188</v>
      </c>
      <c r="AC179" s="26">
        <v>39269080</v>
      </c>
      <c r="AD179" s="26" t="s">
        <v>208</v>
      </c>
      <c r="AE179" s="26">
        <v>1</v>
      </c>
      <c r="AF179" s="26">
        <v>132.80000000000001</v>
      </c>
      <c r="AG179" s="26" t="s">
        <v>209</v>
      </c>
    </row>
    <row r="180" spans="1:33" x14ac:dyDescent="0.25">
      <c r="A180" s="26"/>
      <c r="B180" s="26" t="s">
        <v>519</v>
      </c>
      <c r="C180" s="26" t="s">
        <v>219</v>
      </c>
      <c r="D180" s="26" t="s">
        <v>206</v>
      </c>
      <c r="E180" s="26">
        <v>408</v>
      </c>
      <c r="F180" s="26" t="s">
        <v>272</v>
      </c>
      <c r="G180" s="26" t="s">
        <v>529</v>
      </c>
      <c r="H180" s="26" t="s">
        <v>519</v>
      </c>
      <c r="I180" s="26" t="s">
        <v>192</v>
      </c>
      <c r="J180" s="26" t="s">
        <v>153</v>
      </c>
      <c r="K180" s="26" t="s">
        <v>153</v>
      </c>
      <c r="L180" s="26" t="s">
        <v>218</v>
      </c>
      <c r="M180" s="26" t="s">
        <v>153</v>
      </c>
      <c r="N180" s="34">
        <v>85</v>
      </c>
      <c r="O180" s="20">
        <v>11452.9</v>
      </c>
      <c r="P180" s="26" t="s">
        <v>530</v>
      </c>
      <c r="Q180" s="26">
        <v>0</v>
      </c>
      <c r="R180" s="26">
        <v>9</v>
      </c>
      <c r="S180" s="26">
        <v>1030.76</v>
      </c>
      <c r="T180" s="26">
        <v>9</v>
      </c>
      <c r="U180" s="26">
        <v>1030.76</v>
      </c>
      <c r="V180" s="26">
        <v>0</v>
      </c>
      <c r="W180" s="26">
        <v>0</v>
      </c>
      <c r="X180" s="26">
        <v>0</v>
      </c>
      <c r="Y180" s="26">
        <v>2061.52</v>
      </c>
      <c r="Z180" s="26">
        <v>0</v>
      </c>
      <c r="AA180" s="26" t="s">
        <v>177</v>
      </c>
      <c r="AB180" s="26" t="s">
        <v>188</v>
      </c>
      <c r="AC180" s="26">
        <v>39269080</v>
      </c>
      <c r="AD180" s="26" t="s">
        <v>208</v>
      </c>
      <c r="AE180" s="26">
        <v>1</v>
      </c>
      <c r="AF180" s="26">
        <v>85</v>
      </c>
      <c r="AG180" s="26" t="s">
        <v>209</v>
      </c>
    </row>
    <row r="181" spans="1:33" x14ac:dyDescent="0.25">
      <c r="A181" s="26"/>
      <c r="B181" s="26" t="s">
        <v>519</v>
      </c>
      <c r="C181" s="26" t="s">
        <v>219</v>
      </c>
      <c r="D181" s="26" t="s">
        <v>206</v>
      </c>
      <c r="E181" s="26">
        <v>408</v>
      </c>
      <c r="F181" s="26" t="s">
        <v>272</v>
      </c>
      <c r="G181" s="26" t="s">
        <v>529</v>
      </c>
      <c r="H181" s="26" t="s">
        <v>519</v>
      </c>
      <c r="I181" s="26" t="s">
        <v>192</v>
      </c>
      <c r="J181" s="26" t="s">
        <v>153</v>
      </c>
      <c r="K181" s="26" t="s">
        <v>153</v>
      </c>
      <c r="L181" s="26" t="s">
        <v>218</v>
      </c>
      <c r="M181" s="26" t="s">
        <v>153</v>
      </c>
      <c r="N181" s="34">
        <v>83</v>
      </c>
      <c r="O181" s="20">
        <v>13258.42</v>
      </c>
      <c r="P181" s="26" t="s">
        <v>531</v>
      </c>
      <c r="Q181" s="26">
        <v>0</v>
      </c>
      <c r="R181" s="26">
        <v>9</v>
      </c>
      <c r="S181" s="26">
        <v>1193.26</v>
      </c>
      <c r="T181" s="26">
        <v>9</v>
      </c>
      <c r="U181" s="26">
        <v>1193.26</v>
      </c>
      <c r="V181" s="26">
        <v>0</v>
      </c>
      <c r="W181" s="26">
        <v>0</v>
      </c>
      <c r="X181" s="26">
        <v>0</v>
      </c>
      <c r="Y181" s="26">
        <v>2386.52</v>
      </c>
      <c r="Z181" s="26">
        <v>0</v>
      </c>
      <c r="AA181" s="26" t="s">
        <v>177</v>
      </c>
      <c r="AB181" s="26" t="s">
        <v>188</v>
      </c>
      <c r="AC181" s="26">
        <v>39269080</v>
      </c>
      <c r="AD181" s="26" t="s">
        <v>208</v>
      </c>
      <c r="AE181" s="26">
        <v>1</v>
      </c>
      <c r="AF181" s="26">
        <v>83</v>
      </c>
      <c r="AG181" s="26" t="s">
        <v>209</v>
      </c>
    </row>
    <row r="182" spans="1:33" x14ac:dyDescent="0.25">
      <c r="A182" s="26"/>
      <c r="B182" s="26" t="s">
        <v>519</v>
      </c>
      <c r="C182" s="26" t="s">
        <v>219</v>
      </c>
      <c r="D182" s="26" t="s">
        <v>206</v>
      </c>
      <c r="E182" s="26">
        <v>409</v>
      </c>
      <c r="F182" s="26" t="s">
        <v>272</v>
      </c>
      <c r="G182" s="26" t="s">
        <v>532</v>
      </c>
      <c r="H182" s="26" t="s">
        <v>519</v>
      </c>
      <c r="I182" s="26" t="s">
        <v>192</v>
      </c>
      <c r="J182" s="26" t="s">
        <v>152</v>
      </c>
      <c r="K182" s="26" t="s">
        <v>152</v>
      </c>
      <c r="L182" s="26" t="s">
        <v>207</v>
      </c>
      <c r="M182" s="26" t="s">
        <v>195</v>
      </c>
      <c r="N182" s="30">
        <v>18482</v>
      </c>
      <c r="O182" s="20">
        <v>4189869.4</v>
      </c>
      <c r="P182" s="26" t="s">
        <v>518</v>
      </c>
      <c r="Q182" s="26">
        <v>4939856.03</v>
      </c>
      <c r="R182" s="26">
        <v>9</v>
      </c>
      <c r="S182" s="26">
        <v>377088.25</v>
      </c>
      <c r="T182" s="26">
        <v>9</v>
      </c>
      <c r="U182" s="26">
        <v>377088.25</v>
      </c>
      <c r="V182" s="26">
        <v>0</v>
      </c>
      <c r="W182" s="26">
        <v>0</v>
      </c>
      <c r="X182" s="26">
        <v>0</v>
      </c>
      <c r="Y182" s="26">
        <v>754176.5</v>
      </c>
      <c r="Z182" s="26">
        <v>0</v>
      </c>
      <c r="AA182" s="26" t="s">
        <v>177</v>
      </c>
      <c r="AB182" s="26" t="s">
        <v>188</v>
      </c>
      <c r="AC182" s="26">
        <v>39232999</v>
      </c>
      <c r="AD182" s="26" t="s">
        <v>208</v>
      </c>
      <c r="AE182" s="26">
        <v>1</v>
      </c>
      <c r="AF182" s="26">
        <v>18482</v>
      </c>
      <c r="AG182" s="26" t="s">
        <v>209</v>
      </c>
    </row>
    <row r="183" spans="1:33" x14ac:dyDescent="0.25">
      <c r="A183" s="26"/>
      <c r="B183" s="26" t="s">
        <v>519</v>
      </c>
      <c r="C183" s="26" t="s">
        <v>219</v>
      </c>
      <c r="D183" s="26" t="s">
        <v>206</v>
      </c>
      <c r="E183" s="26">
        <v>412</v>
      </c>
      <c r="F183" s="26" t="s">
        <v>230</v>
      </c>
      <c r="G183" s="26" t="s">
        <v>533</v>
      </c>
      <c r="H183" s="26" t="s">
        <v>519</v>
      </c>
      <c r="I183" s="26" t="s">
        <v>169</v>
      </c>
      <c r="J183" s="26" t="s">
        <v>201</v>
      </c>
      <c r="K183" s="26" t="s">
        <v>158</v>
      </c>
      <c r="L183" s="26" t="s">
        <v>220</v>
      </c>
      <c r="M183" s="26" t="s">
        <v>200</v>
      </c>
      <c r="N183" s="26">
        <v>12.8</v>
      </c>
      <c r="O183" s="20">
        <v>3520</v>
      </c>
      <c r="P183" s="26" t="s">
        <v>200</v>
      </c>
      <c r="Q183" s="26">
        <v>4150.08</v>
      </c>
      <c r="R183" s="26">
        <v>9</v>
      </c>
      <c r="S183" s="26">
        <v>316.8</v>
      </c>
      <c r="T183" s="26">
        <v>9</v>
      </c>
      <c r="U183" s="26">
        <v>316.8</v>
      </c>
      <c r="V183" s="26">
        <v>0</v>
      </c>
      <c r="W183" s="26">
        <v>0</v>
      </c>
      <c r="X183" s="26">
        <v>0</v>
      </c>
      <c r="Y183" s="26">
        <v>633.6</v>
      </c>
      <c r="Z183" s="26">
        <v>0</v>
      </c>
      <c r="AA183" s="26" t="s">
        <v>177</v>
      </c>
      <c r="AB183" s="26" t="s">
        <v>188</v>
      </c>
      <c r="AC183" s="26">
        <v>39201019</v>
      </c>
      <c r="AD183" s="26" t="s">
        <v>208</v>
      </c>
      <c r="AE183" s="26">
        <v>1</v>
      </c>
      <c r="AF183" s="26">
        <v>12.8</v>
      </c>
      <c r="AG183" s="26" t="s">
        <v>209</v>
      </c>
    </row>
    <row r="184" spans="1:33" x14ac:dyDescent="0.25">
      <c r="A184" s="26"/>
      <c r="B184" s="26" t="s">
        <v>519</v>
      </c>
      <c r="C184" s="26" t="s">
        <v>219</v>
      </c>
      <c r="D184" s="26" t="s">
        <v>206</v>
      </c>
      <c r="E184" s="26">
        <v>413</v>
      </c>
      <c r="F184" s="26" t="s">
        <v>272</v>
      </c>
      <c r="G184" s="26" t="s">
        <v>534</v>
      </c>
      <c r="H184" s="26" t="s">
        <v>519</v>
      </c>
      <c r="I184" s="26" t="s">
        <v>169</v>
      </c>
      <c r="J184" s="26" t="s">
        <v>180</v>
      </c>
      <c r="K184" s="26" t="s">
        <v>155</v>
      </c>
      <c r="L184" s="26" t="s">
        <v>210</v>
      </c>
      <c r="M184" s="26" t="s">
        <v>187</v>
      </c>
      <c r="N184" s="26">
        <v>379</v>
      </c>
      <c r="O184" s="20">
        <v>58646.46</v>
      </c>
      <c r="P184" s="26" t="s">
        <v>187</v>
      </c>
      <c r="Q184" s="26">
        <v>69144.17</v>
      </c>
      <c r="R184" s="26">
        <v>9</v>
      </c>
      <c r="S184" s="26">
        <v>5278.18</v>
      </c>
      <c r="T184" s="26">
        <v>9</v>
      </c>
      <c r="U184" s="26">
        <v>5278.18</v>
      </c>
      <c r="V184" s="26">
        <v>0</v>
      </c>
      <c r="W184" s="26">
        <v>0</v>
      </c>
      <c r="X184" s="26">
        <v>0</v>
      </c>
      <c r="Y184" s="26">
        <v>10556.36</v>
      </c>
      <c r="Z184" s="26">
        <v>0</v>
      </c>
      <c r="AA184" s="26" t="s">
        <v>177</v>
      </c>
      <c r="AB184" s="26" t="s">
        <v>188</v>
      </c>
      <c r="AC184" s="26">
        <v>39269080</v>
      </c>
      <c r="AD184" s="26" t="s">
        <v>208</v>
      </c>
      <c r="AE184" s="26">
        <v>1</v>
      </c>
      <c r="AF184" s="26">
        <v>379</v>
      </c>
      <c r="AG184" s="26" t="s">
        <v>209</v>
      </c>
    </row>
    <row r="185" spans="1:33" x14ac:dyDescent="0.25">
      <c r="A185" s="26"/>
      <c r="B185" s="26" t="s">
        <v>535</v>
      </c>
      <c r="C185" s="26" t="s">
        <v>219</v>
      </c>
      <c r="D185" s="26" t="s">
        <v>206</v>
      </c>
      <c r="E185" s="26">
        <v>417</v>
      </c>
      <c r="F185" s="26" t="s">
        <v>272</v>
      </c>
      <c r="G185" s="26" t="s">
        <v>536</v>
      </c>
      <c r="H185" s="26" t="s">
        <v>535</v>
      </c>
      <c r="I185" s="26" t="s">
        <v>169</v>
      </c>
      <c r="J185" s="26" t="s">
        <v>180</v>
      </c>
      <c r="K185" s="26" t="s">
        <v>156</v>
      </c>
      <c r="L185" s="26" t="s">
        <v>218</v>
      </c>
      <c r="M185" s="26" t="s">
        <v>179</v>
      </c>
      <c r="N185" s="26">
        <v>294</v>
      </c>
      <c r="O185" s="20">
        <v>46669.56</v>
      </c>
      <c r="P185" s="26" t="s">
        <v>179</v>
      </c>
      <c r="Q185" s="26">
        <v>193749.63</v>
      </c>
      <c r="R185" s="26">
        <v>9</v>
      </c>
      <c r="S185" s="26">
        <v>4200.26</v>
      </c>
      <c r="T185" s="26">
        <v>9</v>
      </c>
      <c r="U185" s="26">
        <v>4200.26</v>
      </c>
      <c r="V185" s="26">
        <v>0</v>
      </c>
      <c r="W185" s="26">
        <v>0</v>
      </c>
      <c r="X185" s="26">
        <v>0</v>
      </c>
      <c r="Y185" s="26">
        <v>8400.52</v>
      </c>
      <c r="Z185" s="26">
        <v>0</v>
      </c>
      <c r="AA185" s="26" t="s">
        <v>177</v>
      </c>
      <c r="AB185" s="26" t="s">
        <v>188</v>
      </c>
      <c r="AC185" s="26">
        <v>39269080</v>
      </c>
      <c r="AD185" s="26" t="s">
        <v>208</v>
      </c>
      <c r="AE185" s="26">
        <v>1</v>
      </c>
      <c r="AF185" s="26">
        <v>294</v>
      </c>
      <c r="AG185" s="26" t="s">
        <v>209</v>
      </c>
    </row>
    <row r="186" spans="1:33" x14ac:dyDescent="0.25">
      <c r="A186" s="26"/>
      <c r="B186" s="26" t="s">
        <v>535</v>
      </c>
      <c r="C186" s="26" t="s">
        <v>219</v>
      </c>
      <c r="D186" s="26" t="s">
        <v>206</v>
      </c>
      <c r="E186" s="26">
        <v>417</v>
      </c>
      <c r="F186" s="26" t="s">
        <v>272</v>
      </c>
      <c r="G186" s="26" t="s">
        <v>536</v>
      </c>
      <c r="H186" s="26" t="s">
        <v>535</v>
      </c>
      <c r="I186" s="26" t="s">
        <v>169</v>
      </c>
      <c r="J186" s="26" t="s">
        <v>180</v>
      </c>
      <c r="K186" s="26" t="s">
        <v>155</v>
      </c>
      <c r="L186" s="26" t="s">
        <v>210</v>
      </c>
      <c r="M186" s="26" t="s">
        <v>187</v>
      </c>
      <c r="N186" s="26">
        <v>760.4</v>
      </c>
      <c r="O186" s="20">
        <v>117664.3</v>
      </c>
      <c r="P186" s="26" t="s">
        <v>187</v>
      </c>
      <c r="Q186" s="26">
        <v>0</v>
      </c>
      <c r="R186" s="26">
        <v>9</v>
      </c>
      <c r="S186" s="26">
        <v>10589.79</v>
      </c>
      <c r="T186" s="26">
        <v>9</v>
      </c>
      <c r="U186" s="26">
        <v>10589.79</v>
      </c>
      <c r="V186" s="26">
        <v>0</v>
      </c>
      <c r="W186" s="26">
        <v>0</v>
      </c>
      <c r="X186" s="26">
        <v>0</v>
      </c>
      <c r="Y186" s="26">
        <v>21179.58</v>
      </c>
      <c r="Z186" s="26">
        <v>0</v>
      </c>
      <c r="AA186" s="26" t="s">
        <v>177</v>
      </c>
      <c r="AB186" s="26" t="s">
        <v>188</v>
      </c>
      <c r="AC186" s="26">
        <v>39269080</v>
      </c>
      <c r="AD186" s="26" t="s">
        <v>208</v>
      </c>
      <c r="AE186" s="26">
        <v>1</v>
      </c>
      <c r="AF186" s="26">
        <v>760.4</v>
      </c>
      <c r="AG186" s="26" t="s">
        <v>209</v>
      </c>
    </row>
    <row r="187" spans="1:33" x14ac:dyDescent="0.25">
      <c r="A187" s="26"/>
      <c r="B187" s="26" t="s">
        <v>537</v>
      </c>
      <c r="C187" s="26" t="s">
        <v>222</v>
      </c>
      <c r="D187" s="26" t="s">
        <v>212</v>
      </c>
      <c r="E187" s="26" t="s">
        <v>538</v>
      </c>
      <c r="F187" s="26" t="s">
        <v>223</v>
      </c>
      <c r="G187" s="26" t="s">
        <v>538</v>
      </c>
      <c r="H187" s="26" t="s">
        <v>537</v>
      </c>
      <c r="I187" s="26" t="s">
        <v>192</v>
      </c>
      <c r="J187" s="26" t="s">
        <v>152</v>
      </c>
      <c r="K187" s="26" t="s">
        <v>163</v>
      </c>
      <c r="L187" s="26" t="s">
        <v>207</v>
      </c>
      <c r="M187" s="26" t="s">
        <v>191</v>
      </c>
      <c r="N187" s="30">
        <v>2556</v>
      </c>
      <c r="O187" s="20">
        <v>563937.68999999994</v>
      </c>
      <c r="P187" s="26" t="s">
        <v>224</v>
      </c>
      <c r="Q187" s="26">
        <v>563937.68999999994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 t="s">
        <v>221</v>
      </c>
      <c r="AB187" s="26" t="s">
        <v>188</v>
      </c>
      <c r="AC187" s="26">
        <v>63053200</v>
      </c>
      <c r="AD187" s="26" t="s">
        <v>216</v>
      </c>
      <c r="AE187" s="26">
        <v>95.45</v>
      </c>
      <c r="AF187" s="26">
        <v>2556</v>
      </c>
      <c r="AG187" s="26" t="s">
        <v>225</v>
      </c>
    </row>
    <row r="188" spans="1:33" x14ac:dyDescent="0.25">
      <c r="A188" s="26"/>
      <c r="B188" s="26" t="s">
        <v>537</v>
      </c>
      <c r="C188" s="26" t="s">
        <v>219</v>
      </c>
      <c r="D188" s="26" t="s">
        <v>206</v>
      </c>
      <c r="E188" s="26">
        <v>419</v>
      </c>
      <c r="F188" s="26" t="s">
        <v>230</v>
      </c>
      <c r="G188" s="26" t="s">
        <v>539</v>
      </c>
      <c r="H188" s="26" t="s">
        <v>537</v>
      </c>
      <c r="I188" s="26" t="s">
        <v>169</v>
      </c>
      <c r="J188" s="26" t="s">
        <v>201</v>
      </c>
      <c r="K188" s="26" t="s">
        <v>158</v>
      </c>
      <c r="L188" s="26" t="s">
        <v>220</v>
      </c>
      <c r="M188" s="26" t="s">
        <v>200</v>
      </c>
      <c r="N188" s="26">
        <v>14.7</v>
      </c>
      <c r="O188" s="20">
        <v>3969</v>
      </c>
      <c r="P188" s="26" t="s">
        <v>540</v>
      </c>
      <c r="Q188" s="26">
        <v>4679.45</v>
      </c>
      <c r="R188" s="26">
        <v>9</v>
      </c>
      <c r="S188" s="26">
        <v>357.21</v>
      </c>
      <c r="T188" s="26">
        <v>9</v>
      </c>
      <c r="U188" s="26">
        <v>357.21</v>
      </c>
      <c r="V188" s="26">
        <v>0</v>
      </c>
      <c r="W188" s="26">
        <v>0</v>
      </c>
      <c r="X188" s="26">
        <v>0</v>
      </c>
      <c r="Y188" s="26">
        <v>714.42</v>
      </c>
      <c r="Z188" s="26">
        <v>0</v>
      </c>
      <c r="AA188" s="26" t="s">
        <v>177</v>
      </c>
      <c r="AB188" s="26" t="s">
        <v>188</v>
      </c>
      <c r="AC188" s="26">
        <v>39201019</v>
      </c>
      <c r="AD188" s="26" t="s">
        <v>208</v>
      </c>
      <c r="AE188" s="26">
        <v>1</v>
      </c>
      <c r="AF188" s="26">
        <v>14.7</v>
      </c>
      <c r="AG188" s="26" t="s">
        <v>209</v>
      </c>
    </row>
    <row r="189" spans="1:33" x14ac:dyDescent="0.25">
      <c r="A189" s="26"/>
      <c r="B189" s="26" t="s">
        <v>537</v>
      </c>
      <c r="C189" s="26" t="s">
        <v>541</v>
      </c>
      <c r="D189" s="26" t="s">
        <v>212</v>
      </c>
      <c r="E189" s="26" t="s">
        <v>542</v>
      </c>
      <c r="F189" s="26" t="s">
        <v>231</v>
      </c>
      <c r="G189" s="26" t="s">
        <v>542</v>
      </c>
      <c r="H189" s="26" t="s">
        <v>537</v>
      </c>
      <c r="I189" s="26" t="s">
        <v>192</v>
      </c>
      <c r="J189" s="26" t="s">
        <v>152</v>
      </c>
      <c r="K189" s="26" t="s">
        <v>162</v>
      </c>
      <c r="L189" s="26" t="s">
        <v>207</v>
      </c>
      <c r="M189" s="26" t="s">
        <v>191</v>
      </c>
      <c r="N189" s="30">
        <v>19608</v>
      </c>
      <c r="O189" s="20">
        <v>4302152.9400000004</v>
      </c>
      <c r="P189" s="26" t="s">
        <v>214</v>
      </c>
      <c r="Q189" s="26">
        <v>4329612</v>
      </c>
      <c r="R189" s="26">
        <v>0</v>
      </c>
      <c r="S189" s="26">
        <v>0</v>
      </c>
      <c r="T189" s="26">
        <v>0</v>
      </c>
      <c r="U189" s="26">
        <v>0</v>
      </c>
      <c r="V189" s="26">
        <v>18</v>
      </c>
      <c r="W189" s="26">
        <v>774387.56810000003</v>
      </c>
      <c r="X189" s="26">
        <v>0</v>
      </c>
      <c r="Y189" s="26">
        <v>774387.56810000003</v>
      </c>
      <c r="Z189" s="26">
        <v>0</v>
      </c>
      <c r="AA189" s="26" t="s">
        <v>221</v>
      </c>
      <c r="AB189" s="26" t="s">
        <v>188</v>
      </c>
      <c r="AC189" s="26">
        <v>63053200</v>
      </c>
      <c r="AD189" s="26" t="s">
        <v>216</v>
      </c>
      <c r="AE189" s="26">
        <v>95.45</v>
      </c>
      <c r="AF189" s="26">
        <v>19608</v>
      </c>
      <c r="AG189" s="26" t="s">
        <v>543</v>
      </c>
    </row>
    <row r="190" spans="1:33" x14ac:dyDescent="0.25">
      <c r="A190" s="26"/>
      <c r="B190" s="26" t="s">
        <v>544</v>
      </c>
      <c r="C190" s="26" t="s">
        <v>205</v>
      </c>
      <c r="D190" s="26" t="s">
        <v>206</v>
      </c>
      <c r="E190" s="26">
        <v>422</v>
      </c>
      <c r="F190" s="26" t="s">
        <v>272</v>
      </c>
      <c r="G190" s="26" t="s">
        <v>545</v>
      </c>
      <c r="H190" s="26" t="s">
        <v>544</v>
      </c>
      <c r="I190" s="26" t="s">
        <v>192</v>
      </c>
      <c r="J190" s="26" t="s">
        <v>153</v>
      </c>
      <c r="K190" s="26" t="s">
        <v>153</v>
      </c>
      <c r="L190" s="26" t="s">
        <v>210</v>
      </c>
      <c r="M190" s="26" t="s">
        <v>153</v>
      </c>
      <c r="N190" s="34">
        <v>273</v>
      </c>
      <c r="O190" s="20">
        <v>42244.02</v>
      </c>
      <c r="P190" s="26" t="s">
        <v>546</v>
      </c>
      <c r="Q190" s="26">
        <v>49805.7</v>
      </c>
      <c r="R190" s="26">
        <v>9</v>
      </c>
      <c r="S190" s="26">
        <v>3801.96</v>
      </c>
      <c r="T190" s="26">
        <v>9</v>
      </c>
      <c r="U190" s="26">
        <v>3801.96</v>
      </c>
      <c r="V190" s="26">
        <v>0</v>
      </c>
      <c r="W190" s="26">
        <v>0</v>
      </c>
      <c r="X190" s="26">
        <v>0</v>
      </c>
      <c r="Y190" s="26">
        <v>7603.92</v>
      </c>
      <c r="Z190" s="26">
        <v>0</v>
      </c>
      <c r="AA190" s="26" t="s">
        <v>189</v>
      </c>
      <c r="AB190" s="26" t="s">
        <v>188</v>
      </c>
      <c r="AC190" s="26">
        <v>39269080</v>
      </c>
      <c r="AD190" s="26" t="s">
        <v>208</v>
      </c>
      <c r="AE190" s="26">
        <v>1</v>
      </c>
      <c r="AF190" s="26">
        <v>273</v>
      </c>
      <c r="AG190" s="26" t="s">
        <v>209</v>
      </c>
    </row>
    <row r="191" spans="1:33" x14ac:dyDescent="0.25">
      <c r="A191" s="26"/>
      <c r="B191" s="26" t="s">
        <v>544</v>
      </c>
      <c r="C191" s="26" t="s">
        <v>211</v>
      </c>
      <c r="D191" s="26" t="s">
        <v>229</v>
      </c>
      <c r="E191" s="26" t="s">
        <v>547</v>
      </c>
      <c r="F191" s="26" t="s">
        <v>213</v>
      </c>
      <c r="G191" s="26" t="s">
        <v>547</v>
      </c>
      <c r="H191" s="26" t="s">
        <v>544</v>
      </c>
      <c r="I191" s="26" t="s">
        <v>169</v>
      </c>
      <c r="J191" s="26" t="s">
        <v>170</v>
      </c>
      <c r="K191" s="26" t="s">
        <v>572</v>
      </c>
      <c r="L191" s="26" t="s">
        <v>207</v>
      </c>
      <c r="M191" s="26" t="s">
        <v>302</v>
      </c>
      <c r="N191" s="35">
        <v>2019.7</v>
      </c>
      <c r="O191" s="20">
        <v>276698.90000000002</v>
      </c>
      <c r="P191" s="26" t="s">
        <v>302</v>
      </c>
      <c r="Q191" s="26">
        <v>276422.2</v>
      </c>
      <c r="R191" s="26"/>
      <c r="S191" s="26">
        <v>0</v>
      </c>
      <c r="T191" s="26"/>
      <c r="U191" s="26">
        <v>0</v>
      </c>
      <c r="V191" s="26"/>
      <c r="W191" s="26">
        <v>0</v>
      </c>
      <c r="X191" s="26">
        <v>0</v>
      </c>
      <c r="Y191" s="26">
        <v>0</v>
      </c>
      <c r="Z191" s="26">
        <v>0</v>
      </c>
      <c r="AA191" s="26" t="s">
        <v>215</v>
      </c>
      <c r="AB191" s="26" t="s">
        <v>188</v>
      </c>
      <c r="AC191" s="26">
        <v>540263</v>
      </c>
      <c r="AD191" s="26" t="s">
        <v>208</v>
      </c>
      <c r="AE191" s="26">
        <v>1</v>
      </c>
      <c r="AF191" s="26">
        <v>2019.7</v>
      </c>
      <c r="AG191" s="26" t="s">
        <v>209</v>
      </c>
    </row>
    <row r="192" spans="1:33" x14ac:dyDescent="0.25">
      <c r="A192" s="26"/>
      <c r="B192" s="26" t="s">
        <v>544</v>
      </c>
      <c r="C192" s="26" t="s">
        <v>211</v>
      </c>
      <c r="D192" s="26" t="s">
        <v>212</v>
      </c>
      <c r="E192" s="26" t="s">
        <v>548</v>
      </c>
      <c r="F192" s="26" t="s">
        <v>213</v>
      </c>
      <c r="G192" s="26" t="s">
        <v>548</v>
      </c>
      <c r="H192" s="26" t="s">
        <v>544</v>
      </c>
      <c r="I192" s="26" t="s">
        <v>192</v>
      </c>
      <c r="J192" s="26" t="s">
        <v>152</v>
      </c>
      <c r="K192" s="26" t="s">
        <v>162</v>
      </c>
      <c r="L192" s="26" t="s">
        <v>207</v>
      </c>
      <c r="M192" s="26" t="s">
        <v>191</v>
      </c>
      <c r="N192" s="30">
        <v>5588</v>
      </c>
      <c r="O192" s="20">
        <v>1046073.6</v>
      </c>
      <c r="P192" s="26" t="s">
        <v>214</v>
      </c>
      <c r="Q192" s="26">
        <v>1045027.53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0</v>
      </c>
      <c r="Z192" s="26">
        <v>0</v>
      </c>
      <c r="AA192" s="26" t="s">
        <v>215</v>
      </c>
      <c r="AB192" s="26" t="s">
        <v>188</v>
      </c>
      <c r="AC192" s="26">
        <v>39232999</v>
      </c>
      <c r="AD192" s="26" t="s">
        <v>216</v>
      </c>
      <c r="AE192" s="26">
        <v>93.6</v>
      </c>
      <c r="AF192" s="26">
        <v>5588</v>
      </c>
      <c r="AG192" s="26" t="s">
        <v>209</v>
      </c>
    </row>
    <row r="193" spans="1:33" x14ac:dyDescent="0.25">
      <c r="A193" s="26"/>
      <c r="B193" s="26" t="s">
        <v>544</v>
      </c>
      <c r="C193" s="26" t="s">
        <v>219</v>
      </c>
      <c r="D193" s="26" t="s">
        <v>206</v>
      </c>
      <c r="E193" s="26">
        <v>420</v>
      </c>
      <c r="F193" s="26" t="s">
        <v>272</v>
      </c>
      <c r="G193" s="26" t="s">
        <v>549</v>
      </c>
      <c r="H193" s="26" t="s">
        <v>544</v>
      </c>
      <c r="I193" s="26" t="s">
        <v>192</v>
      </c>
      <c r="J193" s="26" t="s">
        <v>153</v>
      </c>
      <c r="K193" s="26" t="s">
        <v>153</v>
      </c>
      <c r="L193" s="26" t="s">
        <v>218</v>
      </c>
      <c r="M193" s="26" t="s">
        <v>153</v>
      </c>
      <c r="N193" s="34">
        <v>69</v>
      </c>
      <c r="O193" s="20">
        <v>9297.06</v>
      </c>
      <c r="P193" s="26" t="s">
        <v>550</v>
      </c>
      <c r="Q193" s="26">
        <v>10961.24</v>
      </c>
      <c r="R193" s="26">
        <v>9</v>
      </c>
      <c r="S193" s="26">
        <v>836.74</v>
      </c>
      <c r="T193" s="26">
        <v>9</v>
      </c>
      <c r="U193" s="26">
        <v>836.74</v>
      </c>
      <c r="V193" s="26">
        <v>0</v>
      </c>
      <c r="W193" s="26">
        <v>0</v>
      </c>
      <c r="X193" s="26">
        <v>0</v>
      </c>
      <c r="Y193" s="26">
        <v>1673.48</v>
      </c>
      <c r="Z193" s="26">
        <v>0</v>
      </c>
      <c r="AA193" s="26" t="s">
        <v>177</v>
      </c>
      <c r="AB193" s="26" t="s">
        <v>188</v>
      </c>
      <c r="AC193" s="26">
        <v>39269080</v>
      </c>
      <c r="AD193" s="26" t="s">
        <v>208</v>
      </c>
      <c r="AE193" s="26">
        <v>1</v>
      </c>
      <c r="AF193" s="26">
        <v>69</v>
      </c>
      <c r="AG193" s="26" t="s">
        <v>209</v>
      </c>
    </row>
    <row r="194" spans="1:33" x14ac:dyDescent="0.25">
      <c r="A194" s="26"/>
      <c r="B194" s="26" t="s">
        <v>544</v>
      </c>
      <c r="C194" s="26" t="s">
        <v>219</v>
      </c>
      <c r="D194" s="26" t="s">
        <v>206</v>
      </c>
      <c r="E194" s="26">
        <v>423</v>
      </c>
      <c r="F194" s="26" t="s">
        <v>272</v>
      </c>
      <c r="G194" s="26" t="s">
        <v>551</v>
      </c>
      <c r="H194" s="26" t="s">
        <v>544</v>
      </c>
      <c r="I194" s="26" t="s">
        <v>169</v>
      </c>
      <c r="J194" s="26" t="s">
        <v>176</v>
      </c>
      <c r="K194" s="26" t="s">
        <v>159</v>
      </c>
      <c r="L194" s="26" t="s">
        <v>159</v>
      </c>
      <c r="M194" s="26" t="s">
        <v>174</v>
      </c>
      <c r="N194" s="26">
        <v>250</v>
      </c>
      <c r="O194" s="20">
        <v>46750</v>
      </c>
      <c r="P194" s="26" t="s">
        <v>552</v>
      </c>
      <c r="Q194" s="26">
        <v>55118.25</v>
      </c>
      <c r="R194" s="26">
        <v>9</v>
      </c>
      <c r="S194" s="26">
        <v>4207.5</v>
      </c>
      <c r="T194" s="26">
        <v>9</v>
      </c>
      <c r="U194" s="26">
        <v>4207.5</v>
      </c>
      <c r="V194" s="26">
        <v>0</v>
      </c>
      <c r="W194" s="26">
        <v>0</v>
      </c>
      <c r="X194" s="26">
        <v>0</v>
      </c>
      <c r="Y194" s="26">
        <v>8415</v>
      </c>
      <c r="Z194" s="26">
        <v>0</v>
      </c>
      <c r="AA194" s="26" t="s">
        <v>177</v>
      </c>
      <c r="AB194" s="26" t="s">
        <v>188</v>
      </c>
      <c r="AC194" s="26">
        <v>39232100</v>
      </c>
      <c r="AD194" s="26" t="s">
        <v>208</v>
      </c>
      <c r="AE194" s="26">
        <v>1</v>
      </c>
      <c r="AF194" s="26">
        <v>250</v>
      </c>
      <c r="AG194" s="26" t="s">
        <v>209</v>
      </c>
    </row>
    <row r="195" spans="1:33" x14ac:dyDescent="0.25">
      <c r="A195" s="26"/>
      <c r="B195" s="26" t="s">
        <v>553</v>
      </c>
      <c r="C195" s="26" t="s">
        <v>222</v>
      </c>
      <c r="D195" s="26" t="s">
        <v>212</v>
      </c>
      <c r="E195" s="26" t="s">
        <v>554</v>
      </c>
      <c r="F195" s="26" t="s">
        <v>223</v>
      </c>
      <c r="G195" s="26" t="s">
        <v>554</v>
      </c>
      <c r="H195" s="26" t="s">
        <v>553</v>
      </c>
      <c r="I195" s="26" t="s">
        <v>192</v>
      </c>
      <c r="J195" s="26" t="s">
        <v>152</v>
      </c>
      <c r="K195" s="26" t="s">
        <v>163</v>
      </c>
      <c r="L195" s="26" t="s">
        <v>207</v>
      </c>
      <c r="M195" s="26" t="s">
        <v>191</v>
      </c>
      <c r="N195" s="30">
        <v>19831</v>
      </c>
      <c r="O195" s="20">
        <v>5275941.51</v>
      </c>
      <c r="P195" s="26" t="s">
        <v>224</v>
      </c>
      <c r="Q195" s="26">
        <v>5275941.5199999996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 t="s">
        <v>221</v>
      </c>
      <c r="AB195" s="26" t="s">
        <v>188</v>
      </c>
      <c r="AC195" s="26">
        <v>63053200</v>
      </c>
      <c r="AD195" s="26" t="s">
        <v>216</v>
      </c>
      <c r="AE195" s="26">
        <v>95.45</v>
      </c>
      <c r="AF195" s="26">
        <v>19831</v>
      </c>
      <c r="AG195" s="26" t="s">
        <v>225</v>
      </c>
    </row>
    <row r="196" spans="1:33" x14ac:dyDescent="0.25">
      <c r="A196" s="26"/>
      <c r="B196" s="26" t="s">
        <v>553</v>
      </c>
      <c r="C196" s="26" t="s">
        <v>219</v>
      </c>
      <c r="D196" s="26" t="s">
        <v>206</v>
      </c>
      <c r="E196" s="26">
        <v>424</v>
      </c>
      <c r="F196" s="26" t="s">
        <v>272</v>
      </c>
      <c r="G196" s="26" t="s">
        <v>555</v>
      </c>
      <c r="H196" s="26" t="s">
        <v>553</v>
      </c>
      <c r="I196" s="26" t="s">
        <v>192</v>
      </c>
      <c r="J196" s="26" t="s">
        <v>153</v>
      </c>
      <c r="K196" s="26" t="s">
        <v>153</v>
      </c>
      <c r="L196" s="26" t="s">
        <v>218</v>
      </c>
      <c r="M196" s="26" t="s">
        <v>153</v>
      </c>
      <c r="N196" s="34">
        <v>35</v>
      </c>
      <c r="O196" s="20">
        <v>4715.8999999999996</v>
      </c>
      <c r="P196" s="26" t="s">
        <v>556</v>
      </c>
      <c r="Q196" s="26">
        <v>5560.04</v>
      </c>
      <c r="R196" s="26">
        <v>9</v>
      </c>
      <c r="S196" s="26">
        <v>424.43</v>
      </c>
      <c r="T196" s="26">
        <v>9</v>
      </c>
      <c r="U196" s="26">
        <v>424.43</v>
      </c>
      <c r="V196" s="26">
        <v>0</v>
      </c>
      <c r="W196" s="26">
        <v>0</v>
      </c>
      <c r="X196" s="26">
        <v>0</v>
      </c>
      <c r="Y196" s="26">
        <v>848.86</v>
      </c>
      <c r="Z196" s="26">
        <v>0</v>
      </c>
      <c r="AA196" s="26" t="s">
        <v>177</v>
      </c>
      <c r="AB196" s="26" t="s">
        <v>188</v>
      </c>
      <c r="AC196" s="26">
        <v>39269080</v>
      </c>
      <c r="AD196" s="26" t="s">
        <v>208</v>
      </c>
      <c r="AE196" s="26">
        <v>1</v>
      </c>
      <c r="AF196" s="26">
        <v>35</v>
      </c>
      <c r="AG196" s="26" t="s">
        <v>209</v>
      </c>
    </row>
    <row r="197" spans="1:33" x14ac:dyDescent="0.25">
      <c r="A197" s="26"/>
      <c r="B197" s="26" t="s">
        <v>557</v>
      </c>
      <c r="C197" s="26" t="s">
        <v>205</v>
      </c>
      <c r="D197" s="26" t="s">
        <v>206</v>
      </c>
      <c r="E197" s="26">
        <v>428</v>
      </c>
      <c r="F197" s="26" t="s">
        <v>272</v>
      </c>
      <c r="G197" s="26" t="s">
        <v>558</v>
      </c>
      <c r="H197" s="26" t="s">
        <v>557</v>
      </c>
      <c r="I197" s="26" t="s">
        <v>169</v>
      </c>
      <c r="J197" s="26" t="s">
        <v>180</v>
      </c>
      <c r="K197" s="26" t="s">
        <v>155</v>
      </c>
      <c r="L197" s="26" t="s">
        <v>210</v>
      </c>
      <c r="M197" s="26" t="s">
        <v>187</v>
      </c>
      <c r="N197" s="26">
        <v>370.5</v>
      </c>
      <c r="O197" s="20">
        <v>57331.17</v>
      </c>
      <c r="P197" s="26" t="s">
        <v>187</v>
      </c>
      <c r="Q197" s="26">
        <v>219425.26</v>
      </c>
      <c r="R197" s="26">
        <v>9</v>
      </c>
      <c r="S197" s="26">
        <v>5159.8100000000004</v>
      </c>
      <c r="T197" s="26">
        <v>9</v>
      </c>
      <c r="U197" s="26">
        <v>5159.8100000000004</v>
      </c>
      <c r="V197" s="26">
        <v>0</v>
      </c>
      <c r="W197" s="26">
        <v>0</v>
      </c>
      <c r="X197" s="26">
        <v>0</v>
      </c>
      <c r="Y197" s="26">
        <v>10319.620000000001</v>
      </c>
      <c r="Z197" s="26">
        <v>0</v>
      </c>
      <c r="AA197" s="26" t="s">
        <v>189</v>
      </c>
      <c r="AB197" s="26" t="s">
        <v>188</v>
      </c>
      <c r="AC197" s="26">
        <v>39269080</v>
      </c>
      <c r="AD197" s="26" t="s">
        <v>208</v>
      </c>
      <c r="AE197" s="26">
        <v>1</v>
      </c>
      <c r="AF197" s="26">
        <v>370.5</v>
      </c>
      <c r="AG197" s="26" t="s">
        <v>209</v>
      </c>
    </row>
    <row r="198" spans="1:33" x14ac:dyDescent="0.25">
      <c r="A198" s="26"/>
      <c r="B198" s="26" t="s">
        <v>557</v>
      </c>
      <c r="C198" s="26" t="s">
        <v>205</v>
      </c>
      <c r="D198" s="26" t="s">
        <v>206</v>
      </c>
      <c r="E198" s="26">
        <v>428</v>
      </c>
      <c r="F198" s="26" t="s">
        <v>272</v>
      </c>
      <c r="G198" s="26" t="s">
        <v>558</v>
      </c>
      <c r="H198" s="26" t="s">
        <v>557</v>
      </c>
      <c r="I198" s="26" t="s">
        <v>169</v>
      </c>
      <c r="J198" s="26" t="s">
        <v>180</v>
      </c>
      <c r="K198" s="26" t="s">
        <v>156</v>
      </c>
      <c r="L198" s="26" t="s">
        <v>218</v>
      </c>
      <c r="M198" s="26" t="s">
        <v>179</v>
      </c>
      <c r="N198" s="26">
        <v>307</v>
      </c>
      <c r="O198" s="20">
        <v>48733.18</v>
      </c>
      <c r="P198" s="26" t="s">
        <v>559</v>
      </c>
      <c r="Q198" s="26">
        <v>0</v>
      </c>
      <c r="R198" s="26">
        <v>9</v>
      </c>
      <c r="S198" s="26">
        <v>4385.99</v>
      </c>
      <c r="T198" s="26">
        <v>9</v>
      </c>
      <c r="U198" s="26">
        <v>4385.99</v>
      </c>
      <c r="V198" s="26">
        <v>0</v>
      </c>
      <c r="W198" s="26">
        <v>0</v>
      </c>
      <c r="X198" s="26">
        <v>0</v>
      </c>
      <c r="Y198" s="26">
        <v>8771.98</v>
      </c>
      <c r="Z198" s="26">
        <v>0</v>
      </c>
      <c r="AA198" s="26" t="s">
        <v>189</v>
      </c>
      <c r="AB198" s="26" t="s">
        <v>188</v>
      </c>
      <c r="AC198" s="26">
        <v>39269080</v>
      </c>
      <c r="AD198" s="26" t="s">
        <v>208</v>
      </c>
      <c r="AE198" s="26">
        <v>1</v>
      </c>
      <c r="AF198" s="26">
        <v>307</v>
      </c>
      <c r="AG198" s="26" t="s">
        <v>209</v>
      </c>
    </row>
    <row r="199" spans="1:33" x14ac:dyDescent="0.25">
      <c r="A199" s="26"/>
      <c r="B199" s="26" t="s">
        <v>557</v>
      </c>
      <c r="C199" s="26" t="s">
        <v>205</v>
      </c>
      <c r="D199" s="26" t="s">
        <v>206</v>
      </c>
      <c r="E199" s="26">
        <v>428</v>
      </c>
      <c r="F199" s="26" t="s">
        <v>272</v>
      </c>
      <c r="G199" s="26" t="s">
        <v>558</v>
      </c>
      <c r="H199" s="26" t="s">
        <v>557</v>
      </c>
      <c r="I199" s="26" t="s">
        <v>169</v>
      </c>
      <c r="J199" s="26" t="s">
        <v>180</v>
      </c>
      <c r="K199" s="26" t="s">
        <v>156</v>
      </c>
      <c r="L199" s="26" t="s">
        <v>218</v>
      </c>
      <c r="M199" s="26" t="s">
        <v>179</v>
      </c>
      <c r="N199" s="26">
        <v>294</v>
      </c>
      <c r="O199" s="20">
        <v>47551.56</v>
      </c>
      <c r="P199" s="26" t="s">
        <v>560</v>
      </c>
      <c r="Q199" s="26">
        <v>0</v>
      </c>
      <c r="R199" s="26">
        <v>9</v>
      </c>
      <c r="S199" s="26">
        <v>4279.6400000000003</v>
      </c>
      <c r="T199" s="26">
        <v>9</v>
      </c>
      <c r="U199" s="26">
        <v>4279.6400000000003</v>
      </c>
      <c r="V199" s="26">
        <v>0</v>
      </c>
      <c r="W199" s="26">
        <v>0</v>
      </c>
      <c r="X199" s="26">
        <v>0</v>
      </c>
      <c r="Y199" s="26">
        <v>8559.2800000000007</v>
      </c>
      <c r="Z199" s="26">
        <v>0</v>
      </c>
      <c r="AA199" s="26" t="s">
        <v>189</v>
      </c>
      <c r="AB199" s="26" t="s">
        <v>188</v>
      </c>
      <c r="AC199" s="26">
        <v>39269080</v>
      </c>
      <c r="AD199" s="26" t="s">
        <v>208</v>
      </c>
      <c r="AE199" s="26">
        <v>1</v>
      </c>
      <c r="AF199" s="26">
        <v>294</v>
      </c>
      <c r="AG199" s="26" t="s">
        <v>209</v>
      </c>
    </row>
    <row r="200" spans="1:33" x14ac:dyDescent="0.25">
      <c r="A200" s="26"/>
      <c r="B200" s="26" t="s">
        <v>557</v>
      </c>
      <c r="C200" s="26" t="s">
        <v>205</v>
      </c>
      <c r="D200" s="26" t="s">
        <v>206</v>
      </c>
      <c r="E200" s="26">
        <v>428</v>
      </c>
      <c r="F200" s="26" t="s">
        <v>272</v>
      </c>
      <c r="G200" s="26" t="s">
        <v>558</v>
      </c>
      <c r="H200" s="26" t="s">
        <v>557</v>
      </c>
      <c r="I200" s="26" t="s">
        <v>192</v>
      </c>
      <c r="J200" s="26" t="s">
        <v>153</v>
      </c>
      <c r="K200" s="26" t="s">
        <v>153</v>
      </c>
      <c r="L200" s="26" t="s">
        <v>210</v>
      </c>
      <c r="M200" s="26" t="s">
        <v>153</v>
      </c>
      <c r="N200" s="34">
        <v>210</v>
      </c>
      <c r="O200" s="20">
        <v>32495.4</v>
      </c>
      <c r="P200" s="26" t="s">
        <v>273</v>
      </c>
      <c r="Q200" s="26">
        <v>0</v>
      </c>
      <c r="R200" s="26">
        <v>9</v>
      </c>
      <c r="S200" s="26">
        <v>2924.59</v>
      </c>
      <c r="T200" s="26">
        <v>9</v>
      </c>
      <c r="U200" s="26">
        <v>2924.59</v>
      </c>
      <c r="V200" s="26">
        <v>0</v>
      </c>
      <c r="W200" s="26">
        <v>0</v>
      </c>
      <c r="X200" s="26">
        <v>0</v>
      </c>
      <c r="Y200" s="26">
        <v>5849.18</v>
      </c>
      <c r="Z200" s="26">
        <v>0</v>
      </c>
      <c r="AA200" s="26" t="s">
        <v>189</v>
      </c>
      <c r="AB200" s="26" t="s">
        <v>188</v>
      </c>
      <c r="AC200" s="26">
        <v>39269080</v>
      </c>
      <c r="AD200" s="26" t="s">
        <v>208</v>
      </c>
      <c r="AE200" s="26">
        <v>1</v>
      </c>
      <c r="AF200" s="26">
        <v>210</v>
      </c>
      <c r="AG200" s="26" t="s">
        <v>209</v>
      </c>
    </row>
    <row r="201" spans="1:33" x14ac:dyDescent="0.25">
      <c r="A201" s="26"/>
      <c r="B201" s="26" t="s">
        <v>557</v>
      </c>
      <c r="C201" s="26" t="s">
        <v>211</v>
      </c>
      <c r="D201" s="26" t="s">
        <v>212</v>
      </c>
      <c r="E201" s="26" t="s">
        <v>561</v>
      </c>
      <c r="F201" s="26" t="s">
        <v>213</v>
      </c>
      <c r="G201" s="26" t="s">
        <v>561</v>
      </c>
      <c r="H201" s="26" t="s">
        <v>557</v>
      </c>
      <c r="I201" s="26" t="s">
        <v>169</v>
      </c>
      <c r="J201" s="26" t="s">
        <v>180</v>
      </c>
      <c r="K201" s="26" t="s">
        <v>573</v>
      </c>
      <c r="L201" s="26" t="s">
        <v>210</v>
      </c>
      <c r="M201" s="26" t="s">
        <v>187</v>
      </c>
      <c r="N201" s="26">
        <v>966</v>
      </c>
      <c r="O201" s="20">
        <v>99536.639999999999</v>
      </c>
      <c r="P201" s="26" t="s">
        <v>187</v>
      </c>
      <c r="Q201" s="26">
        <v>99437.1</v>
      </c>
      <c r="R201" s="26">
        <v>0</v>
      </c>
      <c r="S201" s="26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6">
        <v>0</v>
      </c>
      <c r="Z201" s="26">
        <v>0</v>
      </c>
      <c r="AA201" s="26" t="s">
        <v>215</v>
      </c>
      <c r="AB201" s="26" t="s">
        <v>188</v>
      </c>
      <c r="AC201" s="26">
        <v>39269080</v>
      </c>
      <c r="AD201" s="26" t="s">
        <v>216</v>
      </c>
      <c r="AE201" s="26">
        <v>89.6</v>
      </c>
      <c r="AF201" s="26">
        <v>966</v>
      </c>
      <c r="AG201" s="26" t="s">
        <v>209</v>
      </c>
    </row>
    <row r="202" spans="1:33" x14ac:dyDescent="0.25">
      <c r="A202" s="26"/>
      <c r="B202" s="26" t="s">
        <v>557</v>
      </c>
      <c r="C202" s="26" t="s">
        <v>219</v>
      </c>
      <c r="D202" s="26" t="s">
        <v>206</v>
      </c>
      <c r="E202" s="26">
        <v>425</v>
      </c>
      <c r="F202" s="26" t="s">
        <v>272</v>
      </c>
      <c r="G202" s="26" t="s">
        <v>562</v>
      </c>
      <c r="H202" s="26" t="s">
        <v>557</v>
      </c>
      <c r="I202" s="26" t="s">
        <v>192</v>
      </c>
      <c r="J202" s="26" t="s">
        <v>153</v>
      </c>
      <c r="K202" s="26" t="s">
        <v>153</v>
      </c>
      <c r="L202" s="26" t="s">
        <v>207</v>
      </c>
      <c r="M202" s="26" t="s">
        <v>153</v>
      </c>
      <c r="N202" s="34">
        <v>689</v>
      </c>
      <c r="O202" s="20">
        <v>92835.86</v>
      </c>
      <c r="P202" s="26" t="s">
        <v>394</v>
      </c>
      <c r="Q202" s="26">
        <v>190171.34</v>
      </c>
      <c r="R202" s="26">
        <v>9</v>
      </c>
      <c r="S202" s="26">
        <v>8355.23</v>
      </c>
      <c r="T202" s="26">
        <v>9</v>
      </c>
      <c r="U202" s="26">
        <v>8355.23</v>
      </c>
      <c r="V202" s="26">
        <v>0</v>
      </c>
      <c r="W202" s="26">
        <v>0</v>
      </c>
      <c r="X202" s="26">
        <v>0</v>
      </c>
      <c r="Y202" s="26">
        <v>16710.46</v>
      </c>
      <c r="Z202" s="26">
        <v>0</v>
      </c>
      <c r="AA202" s="26" t="s">
        <v>177</v>
      </c>
      <c r="AB202" s="26" t="s">
        <v>188</v>
      </c>
      <c r="AC202" s="26">
        <v>39232999</v>
      </c>
      <c r="AD202" s="26" t="s">
        <v>208</v>
      </c>
      <c r="AE202" s="26">
        <v>1</v>
      </c>
      <c r="AF202" s="26">
        <v>689</v>
      </c>
      <c r="AG202" s="26" t="s">
        <v>209</v>
      </c>
    </row>
    <row r="203" spans="1:33" x14ac:dyDescent="0.25">
      <c r="A203" s="26"/>
      <c r="B203" s="26" t="s">
        <v>557</v>
      </c>
      <c r="C203" s="26" t="s">
        <v>219</v>
      </c>
      <c r="D203" s="26" t="s">
        <v>206</v>
      </c>
      <c r="E203" s="26">
        <v>425</v>
      </c>
      <c r="F203" s="26" t="s">
        <v>272</v>
      </c>
      <c r="G203" s="26" t="s">
        <v>562</v>
      </c>
      <c r="H203" s="26" t="s">
        <v>557</v>
      </c>
      <c r="I203" s="26" t="s">
        <v>192</v>
      </c>
      <c r="J203" s="26" t="s">
        <v>153</v>
      </c>
      <c r="K203" s="26" t="s">
        <v>153</v>
      </c>
      <c r="L203" s="26" t="s">
        <v>210</v>
      </c>
      <c r="M203" s="26" t="s">
        <v>153</v>
      </c>
      <c r="N203" s="34">
        <v>61</v>
      </c>
      <c r="O203" s="20">
        <v>9150</v>
      </c>
      <c r="P203" s="26" t="s">
        <v>273</v>
      </c>
      <c r="Q203" s="26">
        <v>0</v>
      </c>
      <c r="R203" s="26">
        <v>9</v>
      </c>
      <c r="S203" s="26">
        <v>823.5</v>
      </c>
      <c r="T203" s="26">
        <v>9</v>
      </c>
      <c r="U203" s="26">
        <v>823.5</v>
      </c>
      <c r="V203" s="26">
        <v>0</v>
      </c>
      <c r="W203" s="26">
        <v>0</v>
      </c>
      <c r="X203" s="26">
        <v>0</v>
      </c>
      <c r="Y203" s="26">
        <v>1647</v>
      </c>
      <c r="Z203" s="26">
        <v>0</v>
      </c>
      <c r="AA203" s="26" t="s">
        <v>177</v>
      </c>
      <c r="AB203" s="26" t="s">
        <v>188</v>
      </c>
      <c r="AC203" s="26">
        <v>39269080</v>
      </c>
      <c r="AD203" s="26" t="s">
        <v>208</v>
      </c>
      <c r="AE203" s="26">
        <v>1</v>
      </c>
      <c r="AF203" s="26">
        <v>61</v>
      </c>
      <c r="AG203" s="26" t="s">
        <v>209</v>
      </c>
    </row>
    <row r="204" spans="1:33" x14ac:dyDescent="0.25">
      <c r="A204" s="26"/>
      <c r="B204" s="26" t="s">
        <v>557</v>
      </c>
      <c r="C204" s="26" t="s">
        <v>219</v>
      </c>
      <c r="D204" s="26" t="s">
        <v>206</v>
      </c>
      <c r="E204" s="26">
        <v>425</v>
      </c>
      <c r="F204" s="26" t="s">
        <v>272</v>
      </c>
      <c r="G204" s="26" t="s">
        <v>562</v>
      </c>
      <c r="H204" s="26" t="s">
        <v>557</v>
      </c>
      <c r="I204" s="26" t="s">
        <v>169</v>
      </c>
      <c r="J204" s="26" t="s">
        <v>180</v>
      </c>
      <c r="K204" s="26" t="s">
        <v>155</v>
      </c>
      <c r="L204" s="26" t="s">
        <v>210</v>
      </c>
      <c r="M204" s="26" t="s">
        <v>187</v>
      </c>
      <c r="N204" s="26">
        <v>133</v>
      </c>
      <c r="O204" s="20">
        <v>20580.419999999998</v>
      </c>
      <c r="P204" s="26" t="s">
        <v>187</v>
      </c>
      <c r="Q204" s="26">
        <v>0</v>
      </c>
      <c r="R204" s="26">
        <v>9</v>
      </c>
      <c r="S204" s="26">
        <v>1852.24</v>
      </c>
      <c r="T204" s="26">
        <v>9</v>
      </c>
      <c r="U204" s="26">
        <v>1852.24</v>
      </c>
      <c r="V204" s="26">
        <v>0</v>
      </c>
      <c r="W204" s="26">
        <v>0</v>
      </c>
      <c r="X204" s="26">
        <v>0</v>
      </c>
      <c r="Y204" s="26">
        <v>3704.48</v>
      </c>
      <c r="Z204" s="26">
        <v>0</v>
      </c>
      <c r="AA204" s="26" t="s">
        <v>177</v>
      </c>
      <c r="AB204" s="26" t="s">
        <v>188</v>
      </c>
      <c r="AC204" s="26">
        <v>39269080</v>
      </c>
      <c r="AD204" s="26" t="s">
        <v>208</v>
      </c>
      <c r="AE204" s="26">
        <v>1</v>
      </c>
      <c r="AF204" s="26">
        <v>133</v>
      </c>
      <c r="AG204" s="26" t="s">
        <v>209</v>
      </c>
    </row>
    <row r="205" spans="1:33" x14ac:dyDescent="0.25">
      <c r="A205" s="26"/>
      <c r="B205" s="26" t="s">
        <v>557</v>
      </c>
      <c r="C205" s="26" t="s">
        <v>219</v>
      </c>
      <c r="D205" s="26" t="s">
        <v>206</v>
      </c>
      <c r="E205" s="26">
        <v>425</v>
      </c>
      <c r="F205" s="26" t="s">
        <v>272</v>
      </c>
      <c r="G205" s="26" t="s">
        <v>562</v>
      </c>
      <c r="H205" s="26" t="s">
        <v>557</v>
      </c>
      <c r="I205" s="26" t="s">
        <v>169</v>
      </c>
      <c r="J205" s="26" t="s">
        <v>180</v>
      </c>
      <c r="K205" s="26" t="s">
        <v>156</v>
      </c>
      <c r="L205" s="26" t="s">
        <v>218</v>
      </c>
      <c r="M205" s="26" t="s">
        <v>179</v>
      </c>
      <c r="N205" s="26">
        <v>244</v>
      </c>
      <c r="O205" s="20">
        <v>38732.559999999998</v>
      </c>
      <c r="P205" s="26" t="s">
        <v>236</v>
      </c>
      <c r="Q205" s="26">
        <v>0</v>
      </c>
      <c r="R205" s="26">
        <v>9</v>
      </c>
      <c r="S205" s="26">
        <v>3485.93</v>
      </c>
      <c r="T205" s="26">
        <v>9</v>
      </c>
      <c r="U205" s="26">
        <v>3485.93</v>
      </c>
      <c r="V205" s="26">
        <v>0</v>
      </c>
      <c r="W205" s="26">
        <v>0</v>
      </c>
      <c r="X205" s="26">
        <v>0</v>
      </c>
      <c r="Y205" s="26">
        <v>6971.86</v>
      </c>
      <c r="Z205" s="26">
        <v>0</v>
      </c>
      <c r="AA205" s="26" t="s">
        <v>177</v>
      </c>
      <c r="AB205" s="26" t="s">
        <v>188</v>
      </c>
      <c r="AC205" s="26">
        <v>39269080</v>
      </c>
      <c r="AD205" s="26" t="s">
        <v>208</v>
      </c>
      <c r="AE205" s="26">
        <v>1</v>
      </c>
      <c r="AF205" s="26">
        <v>244</v>
      </c>
      <c r="AG205" s="26" t="s">
        <v>209</v>
      </c>
    </row>
    <row r="206" spans="1:33" x14ac:dyDescent="0.25">
      <c r="A206" s="26"/>
      <c r="B206" s="26" t="s">
        <v>557</v>
      </c>
      <c r="C206" s="26" t="s">
        <v>219</v>
      </c>
      <c r="D206" s="26" t="s">
        <v>206</v>
      </c>
      <c r="E206" s="26">
        <v>427</v>
      </c>
      <c r="F206" s="26" t="s">
        <v>230</v>
      </c>
      <c r="G206" s="26" t="s">
        <v>563</v>
      </c>
      <c r="H206" s="26" t="s">
        <v>557</v>
      </c>
      <c r="I206" s="26" t="s">
        <v>169</v>
      </c>
      <c r="J206" s="26" t="s">
        <v>170</v>
      </c>
      <c r="K206" s="26" t="s">
        <v>157</v>
      </c>
      <c r="L206" s="26" t="s">
        <v>233</v>
      </c>
      <c r="M206" s="26" t="s">
        <v>300</v>
      </c>
      <c r="N206" s="34">
        <v>341.9</v>
      </c>
      <c r="O206" s="20">
        <v>45130.8</v>
      </c>
      <c r="P206" s="26" t="s">
        <v>564</v>
      </c>
      <c r="Q206" s="26">
        <v>47342.21</v>
      </c>
      <c r="R206" s="26">
        <v>2.5</v>
      </c>
      <c r="S206" s="26">
        <v>1128.27</v>
      </c>
      <c r="T206" s="26">
        <v>2.5</v>
      </c>
      <c r="U206" s="26">
        <v>1128.27</v>
      </c>
      <c r="V206" s="26">
        <v>0</v>
      </c>
      <c r="W206" s="26">
        <v>0</v>
      </c>
      <c r="X206" s="26">
        <v>0</v>
      </c>
      <c r="Y206" s="26">
        <v>2256.54</v>
      </c>
      <c r="Z206" s="26">
        <v>0</v>
      </c>
      <c r="AA206" s="26" t="s">
        <v>177</v>
      </c>
      <c r="AB206" s="26" t="s">
        <v>188</v>
      </c>
      <c r="AC206" s="26">
        <v>54026930</v>
      </c>
      <c r="AD206" s="26" t="s">
        <v>208</v>
      </c>
      <c r="AE206" s="26">
        <v>1</v>
      </c>
      <c r="AF206" s="26">
        <v>341.9</v>
      </c>
      <c r="AG206" s="26" t="s">
        <v>209</v>
      </c>
    </row>
    <row r="207" spans="1:33" x14ac:dyDescent="0.25">
      <c r="A207" s="26"/>
      <c r="B207" s="26" t="s">
        <v>557</v>
      </c>
      <c r="C207" s="26" t="s">
        <v>219</v>
      </c>
      <c r="D207" s="26" t="s">
        <v>206</v>
      </c>
      <c r="E207" s="26">
        <v>430</v>
      </c>
      <c r="F207" s="26" t="s">
        <v>230</v>
      </c>
      <c r="G207" s="26" t="s">
        <v>565</v>
      </c>
      <c r="H207" s="26" t="s">
        <v>557</v>
      </c>
      <c r="I207" s="26" t="s">
        <v>169</v>
      </c>
      <c r="J207" s="26" t="s">
        <v>201</v>
      </c>
      <c r="K207" s="26" t="s">
        <v>158</v>
      </c>
      <c r="L207" s="26" t="s">
        <v>220</v>
      </c>
      <c r="M207" s="26" t="s">
        <v>200</v>
      </c>
      <c r="N207" s="26">
        <v>21.3</v>
      </c>
      <c r="O207" s="20">
        <v>5921.4</v>
      </c>
      <c r="P207" s="26" t="s">
        <v>200</v>
      </c>
      <c r="Q207" s="26">
        <v>6981.34</v>
      </c>
      <c r="R207" s="26">
        <v>9</v>
      </c>
      <c r="S207" s="26">
        <v>532.92999999999995</v>
      </c>
      <c r="T207" s="26">
        <v>9</v>
      </c>
      <c r="U207" s="26">
        <v>532.92999999999995</v>
      </c>
      <c r="V207" s="26">
        <v>0</v>
      </c>
      <c r="W207" s="26">
        <v>0</v>
      </c>
      <c r="X207" s="26">
        <v>0</v>
      </c>
      <c r="Y207" s="26">
        <v>1065.8599999999999</v>
      </c>
      <c r="Z207" s="26">
        <v>0</v>
      </c>
      <c r="AA207" s="26" t="s">
        <v>177</v>
      </c>
      <c r="AB207" s="26" t="s">
        <v>188</v>
      </c>
      <c r="AC207" s="26">
        <v>39201019</v>
      </c>
      <c r="AD207" s="26" t="s">
        <v>208</v>
      </c>
      <c r="AE207" s="26">
        <v>1</v>
      </c>
      <c r="AF207" s="26">
        <v>21.3</v>
      </c>
      <c r="AG207" s="26" t="s">
        <v>209</v>
      </c>
    </row>
    <row r="208" spans="1:33" x14ac:dyDescent="0.25">
      <c r="A208" s="26"/>
      <c r="B208" s="26" t="s">
        <v>557</v>
      </c>
      <c r="C208" s="26" t="s">
        <v>295</v>
      </c>
      <c r="D208" s="26" t="s">
        <v>206</v>
      </c>
      <c r="E208" s="26">
        <v>431</v>
      </c>
      <c r="F208" s="26" t="s">
        <v>272</v>
      </c>
      <c r="G208" s="26" t="s">
        <v>566</v>
      </c>
      <c r="H208" s="26" t="s">
        <v>557</v>
      </c>
      <c r="I208" s="26" t="s">
        <v>192</v>
      </c>
      <c r="J208" s="26" t="s">
        <v>152</v>
      </c>
      <c r="K208" s="26" t="s">
        <v>152</v>
      </c>
      <c r="L208" s="26" t="s">
        <v>207</v>
      </c>
      <c r="M208" s="26" t="s">
        <v>195</v>
      </c>
      <c r="N208" s="30">
        <v>8692</v>
      </c>
      <c r="O208" s="20">
        <v>1832400</v>
      </c>
      <c r="P208" s="26" t="s">
        <v>567</v>
      </c>
      <c r="Q208" s="26">
        <v>2160399.6</v>
      </c>
      <c r="R208" s="26">
        <v>9</v>
      </c>
      <c r="S208" s="26">
        <v>164916</v>
      </c>
      <c r="T208" s="26">
        <v>9</v>
      </c>
      <c r="U208" s="26">
        <v>164916</v>
      </c>
      <c r="V208" s="26">
        <v>0</v>
      </c>
      <c r="W208" s="26">
        <v>0</v>
      </c>
      <c r="X208" s="26">
        <v>0</v>
      </c>
      <c r="Y208" s="26">
        <v>329832</v>
      </c>
      <c r="Z208" s="26">
        <v>0</v>
      </c>
      <c r="AA208" s="26" t="s">
        <v>298</v>
      </c>
      <c r="AB208" s="26" t="s">
        <v>188</v>
      </c>
      <c r="AC208" s="26">
        <v>39232999</v>
      </c>
      <c r="AD208" s="26" t="s">
        <v>208</v>
      </c>
      <c r="AE208" s="26">
        <v>1</v>
      </c>
      <c r="AF208" s="26">
        <v>8692</v>
      </c>
      <c r="AG208" s="26" t="s">
        <v>209</v>
      </c>
    </row>
    <row r="209" spans="1:33" ht="15" customHeight="1" x14ac:dyDescent="0.25">
      <c r="A209" s="24"/>
      <c r="B209" s="26" t="s">
        <v>568</v>
      </c>
      <c r="C209" s="26" t="s">
        <v>234</v>
      </c>
      <c r="D209" s="26" t="s">
        <v>206</v>
      </c>
      <c r="E209" s="26">
        <v>432</v>
      </c>
      <c r="F209" s="26" t="s">
        <v>272</v>
      </c>
      <c r="G209" s="26" t="s">
        <v>569</v>
      </c>
      <c r="H209" s="26" t="s">
        <v>568</v>
      </c>
      <c r="I209" s="26" t="s">
        <v>192</v>
      </c>
      <c r="J209" s="26" t="s">
        <v>152</v>
      </c>
      <c r="K209" s="26" t="s">
        <v>152</v>
      </c>
      <c r="L209" s="26" t="s">
        <v>207</v>
      </c>
      <c r="M209" s="26" t="s">
        <v>191</v>
      </c>
      <c r="N209" s="30">
        <v>19663</v>
      </c>
      <c r="O209" s="20">
        <v>3876953.71</v>
      </c>
      <c r="P209" s="26" t="s">
        <v>570</v>
      </c>
      <c r="Q209" s="26">
        <v>4570928.42</v>
      </c>
      <c r="R209" s="26">
        <v>9</v>
      </c>
      <c r="S209" s="26">
        <v>348925.83</v>
      </c>
      <c r="T209" s="26">
        <v>9</v>
      </c>
      <c r="U209" s="26">
        <v>348925.83</v>
      </c>
      <c r="V209" s="26">
        <v>0</v>
      </c>
      <c r="W209" s="26">
        <v>0</v>
      </c>
      <c r="X209" s="26">
        <v>0</v>
      </c>
      <c r="Y209" s="26">
        <v>697851.66</v>
      </c>
      <c r="Z209" s="26">
        <v>0</v>
      </c>
      <c r="AA209" s="26" t="s">
        <v>189</v>
      </c>
      <c r="AB209" s="26" t="s">
        <v>188</v>
      </c>
      <c r="AC209" s="26">
        <v>39232999</v>
      </c>
      <c r="AD209" s="26" t="s">
        <v>208</v>
      </c>
      <c r="AE209" s="26">
        <v>1</v>
      </c>
      <c r="AF209" s="26">
        <v>19663</v>
      </c>
      <c r="AG209" s="26" t="s">
        <v>209</v>
      </c>
    </row>
    <row r="210" spans="1:33" x14ac:dyDescent="0.25">
      <c r="A210" s="26"/>
      <c r="B210" s="26" t="s">
        <v>568</v>
      </c>
      <c r="C210" s="26" t="s">
        <v>219</v>
      </c>
      <c r="D210" s="26" t="s">
        <v>206</v>
      </c>
      <c r="E210" s="26">
        <v>433</v>
      </c>
      <c r="F210" s="26" t="s">
        <v>272</v>
      </c>
      <c r="G210" s="26" t="s">
        <v>571</v>
      </c>
      <c r="H210" s="26" t="s">
        <v>568</v>
      </c>
      <c r="I210" s="26" t="s">
        <v>192</v>
      </c>
      <c r="J210" s="26" t="s">
        <v>153</v>
      </c>
      <c r="K210" s="26" t="s">
        <v>153</v>
      </c>
      <c r="L210" s="26" t="s">
        <v>210</v>
      </c>
      <c r="M210" s="26" t="s">
        <v>153</v>
      </c>
      <c r="N210" s="34">
        <v>80</v>
      </c>
      <c r="O210" s="20">
        <v>12000</v>
      </c>
      <c r="P210" s="26" t="s">
        <v>273</v>
      </c>
      <c r="Q210" s="26">
        <v>14148</v>
      </c>
      <c r="R210" s="26">
        <v>9</v>
      </c>
      <c r="S210" s="26">
        <v>1080</v>
      </c>
      <c r="T210" s="26">
        <v>9</v>
      </c>
      <c r="U210" s="26">
        <v>1080</v>
      </c>
      <c r="V210" s="26">
        <v>0</v>
      </c>
      <c r="W210" s="26">
        <v>0</v>
      </c>
      <c r="X210" s="26">
        <v>0</v>
      </c>
      <c r="Y210" s="26">
        <v>2160</v>
      </c>
      <c r="Z210" s="26">
        <v>0</v>
      </c>
      <c r="AA210" s="26" t="s">
        <v>177</v>
      </c>
      <c r="AB210" s="26" t="s">
        <v>188</v>
      </c>
      <c r="AC210" s="26">
        <v>39269080</v>
      </c>
      <c r="AD210" s="26" t="s">
        <v>208</v>
      </c>
      <c r="AE210" s="26">
        <v>1</v>
      </c>
      <c r="AF210" s="26">
        <v>80</v>
      </c>
      <c r="AG210" s="26" t="s">
        <v>209</v>
      </c>
    </row>
    <row r="211" spans="1:33" x14ac:dyDescent="0.25">
      <c r="B211" s="26" t="s">
        <v>544</v>
      </c>
      <c r="C211" s="26" t="s">
        <v>205</v>
      </c>
      <c r="D211" s="26" t="s">
        <v>206</v>
      </c>
      <c r="E211" s="26">
        <v>421</v>
      </c>
      <c r="F211" s="26" t="s">
        <v>272</v>
      </c>
      <c r="G211" s="26" t="s">
        <v>653</v>
      </c>
      <c r="H211" s="26" t="s">
        <v>544</v>
      </c>
      <c r="I211" s="26" t="s">
        <v>192</v>
      </c>
      <c r="J211" s="26" t="s">
        <v>152</v>
      </c>
      <c r="K211" s="26" t="s">
        <v>152</v>
      </c>
      <c r="L211" s="26" t="s">
        <v>207</v>
      </c>
      <c r="M211" s="26" t="s">
        <v>191</v>
      </c>
      <c r="N211" s="30">
        <v>1752</v>
      </c>
      <c r="O211" s="20">
        <v>362278.56</v>
      </c>
      <c r="P211" s="26" t="s">
        <v>640</v>
      </c>
      <c r="Q211" s="26">
        <v>2319417.4300000002</v>
      </c>
      <c r="R211" s="26">
        <v>9</v>
      </c>
      <c r="S211" s="26">
        <v>32605.07</v>
      </c>
      <c r="T211" s="26">
        <v>9</v>
      </c>
      <c r="U211" s="26">
        <v>32605.07</v>
      </c>
      <c r="V211" s="26">
        <v>0</v>
      </c>
      <c r="W211" s="26">
        <v>0</v>
      </c>
      <c r="X211" s="26">
        <v>0</v>
      </c>
      <c r="Y211" s="26">
        <v>65210.14</v>
      </c>
      <c r="Z211" s="26">
        <v>0</v>
      </c>
      <c r="AA211" s="26" t="s">
        <v>189</v>
      </c>
      <c r="AB211" s="26" t="s">
        <v>188</v>
      </c>
      <c r="AC211" s="26">
        <v>39232999</v>
      </c>
      <c r="AD211" s="26" t="s">
        <v>208</v>
      </c>
      <c r="AE211" s="26">
        <v>1</v>
      </c>
      <c r="AF211" s="26">
        <v>1752</v>
      </c>
      <c r="AG211" s="26" t="s">
        <v>209</v>
      </c>
    </row>
    <row r="212" spans="1:33" x14ac:dyDescent="0.25">
      <c r="B212" s="26" t="s">
        <v>544</v>
      </c>
      <c r="C212" s="26" t="s">
        <v>205</v>
      </c>
      <c r="D212" s="26" t="s">
        <v>206</v>
      </c>
      <c r="E212" s="26">
        <v>421</v>
      </c>
      <c r="F212" s="26" t="s">
        <v>272</v>
      </c>
      <c r="G212" s="26" t="s">
        <v>653</v>
      </c>
      <c r="H212" s="26" t="s">
        <v>544</v>
      </c>
      <c r="I212" s="26" t="s">
        <v>192</v>
      </c>
      <c r="J212" s="26" t="s">
        <v>152</v>
      </c>
      <c r="K212" s="26" t="s">
        <v>152</v>
      </c>
      <c r="L212" s="26" t="s">
        <v>207</v>
      </c>
      <c r="M212" s="26" t="s">
        <v>191</v>
      </c>
      <c r="N212" s="30">
        <v>1685</v>
      </c>
      <c r="O212" s="20">
        <v>330681.25</v>
      </c>
      <c r="P212" s="26" t="s">
        <v>641</v>
      </c>
      <c r="Q212" s="26">
        <v>0</v>
      </c>
      <c r="R212" s="26">
        <v>9</v>
      </c>
      <c r="S212" s="26">
        <v>29761.31</v>
      </c>
      <c r="T212" s="26">
        <v>9</v>
      </c>
      <c r="U212" s="26">
        <v>29761.31</v>
      </c>
      <c r="V212" s="26">
        <v>0</v>
      </c>
      <c r="W212" s="26">
        <v>0</v>
      </c>
      <c r="X212" s="26">
        <v>0</v>
      </c>
      <c r="Y212" s="26">
        <v>59522.62</v>
      </c>
      <c r="Z212" s="26">
        <v>0</v>
      </c>
      <c r="AA212" s="26" t="s">
        <v>189</v>
      </c>
      <c r="AB212" s="26" t="s">
        <v>188</v>
      </c>
      <c r="AC212" s="26">
        <v>39232999</v>
      </c>
      <c r="AD212" s="26" t="s">
        <v>208</v>
      </c>
      <c r="AE212" s="26">
        <v>1</v>
      </c>
      <c r="AF212" s="26">
        <v>1685</v>
      </c>
      <c r="AG212" s="26" t="s">
        <v>209</v>
      </c>
    </row>
    <row r="213" spans="1:33" x14ac:dyDescent="0.25">
      <c r="B213" s="26" t="s">
        <v>544</v>
      </c>
      <c r="C213" s="26" t="s">
        <v>205</v>
      </c>
      <c r="D213" s="26" t="s">
        <v>206</v>
      </c>
      <c r="E213" s="26">
        <v>421</v>
      </c>
      <c r="F213" s="26" t="s">
        <v>272</v>
      </c>
      <c r="G213" s="26" t="s">
        <v>653</v>
      </c>
      <c r="H213" s="26" t="s">
        <v>544</v>
      </c>
      <c r="I213" s="26" t="s">
        <v>192</v>
      </c>
      <c r="J213" s="26" t="s">
        <v>152</v>
      </c>
      <c r="K213" s="26" t="s">
        <v>152</v>
      </c>
      <c r="L213" s="26" t="s">
        <v>207</v>
      </c>
      <c r="M213" s="26" t="s">
        <v>191</v>
      </c>
      <c r="N213" s="30">
        <v>3232</v>
      </c>
      <c r="O213" s="20">
        <v>753799.36</v>
      </c>
      <c r="P213" s="26" t="s">
        <v>643</v>
      </c>
      <c r="Q213" s="26">
        <v>0</v>
      </c>
      <c r="R213" s="26">
        <v>9</v>
      </c>
      <c r="S213" s="26">
        <v>67841.94</v>
      </c>
      <c r="T213" s="26">
        <v>9</v>
      </c>
      <c r="U213" s="26">
        <v>67841.94</v>
      </c>
      <c r="V213" s="26">
        <v>0</v>
      </c>
      <c r="W213" s="26">
        <v>0</v>
      </c>
      <c r="X213" s="26">
        <v>0</v>
      </c>
      <c r="Y213" s="26">
        <v>135683.88</v>
      </c>
      <c r="Z213" s="26">
        <v>0</v>
      </c>
      <c r="AA213" s="26" t="s">
        <v>189</v>
      </c>
      <c r="AB213" s="26" t="s">
        <v>188</v>
      </c>
      <c r="AC213" s="26">
        <v>39232999</v>
      </c>
      <c r="AD213" s="26" t="s">
        <v>208</v>
      </c>
      <c r="AE213" s="26">
        <v>1</v>
      </c>
      <c r="AF213" s="26">
        <v>3232</v>
      </c>
      <c r="AG213" s="26" t="s">
        <v>209</v>
      </c>
    </row>
    <row r="214" spans="1:33" x14ac:dyDescent="0.25">
      <c r="B214" s="26" t="s">
        <v>544</v>
      </c>
      <c r="C214" s="26" t="s">
        <v>205</v>
      </c>
      <c r="D214" s="26" t="s">
        <v>206</v>
      </c>
      <c r="E214" s="26">
        <v>421</v>
      </c>
      <c r="F214" s="26" t="s">
        <v>272</v>
      </c>
      <c r="G214" s="26" t="s">
        <v>653</v>
      </c>
      <c r="H214" s="26" t="s">
        <v>544</v>
      </c>
      <c r="I214" s="26" t="s">
        <v>192</v>
      </c>
      <c r="J214" s="26" t="s">
        <v>152</v>
      </c>
      <c r="K214" s="26" t="s">
        <v>152</v>
      </c>
      <c r="L214" s="26" t="s">
        <v>207</v>
      </c>
      <c r="M214" s="26" t="s">
        <v>191</v>
      </c>
      <c r="N214" s="30">
        <v>2433</v>
      </c>
      <c r="O214" s="20">
        <v>520516.02</v>
      </c>
      <c r="P214" s="26" t="s">
        <v>644</v>
      </c>
      <c r="Q214" s="26">
        <v>0</v>
      </c>
      <c r="R214" s="26">
        <v>9</v>
      </c>
      <c r="S214" s="26">
        <v>46846.44</v>
      </c>
      <c r="T214" s="26">
        <v>9</v>
      </c>
      <c r="U214" s="26">
        <v>46846.44</v>
      </c>
      <c r="V214" s="26">
        <v>0</v>
      </c>
      <c r="W214" s="26">
        <v>0</v>
      </c>
      <c r="X214" s="26">
        <v>0</v>
      </c>
      <c r="Y214" s="26">
        <v>93692.88</v>
      </c>
      <c r="Z214" s="26">
        <v>0</v>
      </c>
      <c r="AA214" s="26" t="s">
        <v>189</v>
      </c>
      <c r="AB214" s="26" t="s">
        <v>188</v>
      </c>
      <c r="AC214" s="26">
        <v>39232999</v>
      </c>
      <c r="AD214" s="26" t="s">
        <v>208</v>
      </c>
      <c r="AE214" s="26">
        <v>1</v>
      </c>
      <c r="AF214" s="26">
        <v>2433</v>
      </c>
      <c r="AG214" s="26" t="s">
        <v>209</v>
      </c>
    </row>
  </sheetData>
  <autoFilter ref="B1:AG21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17"/>
  <sheetViews>
    <sheetView topLeftCell="A51" workbookViewId="0">
      <selection activeCell="C63" sqref="C63"/>
    </sheetView>
  </sheetViews>
  <sheetFormatPr defaultRowHeight="15" x14ac:dyDescent="0.25"/>
  <cols>
    <col min="1" max="1" width="19.140625" style="17" customWidth="1"/>
    <col min="2" max="2" width="25" style="17" bestFit="1" customWidth="1"/>
    <col min="3" max="3" width="16.42578125" style="18" customWidth="1"/>
    <col min="4" max="4" width="12.28515625" style="17" bestFit="1" customWidth="1"/>
    <col min="5" max="5" width="34.140625" style="17" customWidth="1"/>
    <col min="6" max="6" width="13.140625" style="17" customWidth="1"/>
    <col min="7" max="7" width="38.85546875" style="18" customWidth="1"/>
    <col min="8" max="8" width="30.85546875" style="17" customWidth="1"/>
    <col min="9" max="9" width="12" style="17" bestFit="1" customWidth="1"/>
    <col min="10" max="10" width="11.140625" style="17" customWidth="1"/>
    <col min="11" max="11" width="8" style="17" customWidth="1"/>
    <col min="12" max="12" width="12.7109375" style="3" bestFit="1" customWidth="1"/>
    <col min="13" max="13" width="11.140625" style="3" bestFit="1" customWidth="1"/>
    <col min="14" max="14" width="12.85546875" style="17" bestFit="1" customWidth="1"/>
    <col min="15" max="15" width="13.42578125" style="17" bestFit="1" customWidth="1"/>
    <col min="16" max="16" width="14.28515625" style="17" bestFit="1" customWidth="1"/>
    <col min="17" max="17" width="14.5703125" style="17" bestFit="1" customWidth="1"/>
    <col min="18" max="18" width="13.28515625" style="17" bestFit="1" customWidth="1"/>
    <col min="19" max="19" width="13.140625" style="17" bestFit="1" customWidth="1"/>
    <col min="20" max="20" width="13.42578125" style="17" bestFit="1" customWidth="1"/>
    <col min="21" max="21" width="11.5703125" style="17" bestFit="1" customWidth="1"/>
    <col min="22" max="22" width="16.42578125" style="17" bestFit="1" customWidth="1"/>
    <col min="23" max="23" width="13.7109375" style="17" bestFit="1" customWidth="1"/>
    <col min="24" max="24" width="13.5703125" style="17" bestFit="1" customWidth="1"/>
    <col min="25" max="25" width="14" style="17" bestFit="1" customWidth="1"/>
    <col min="26" max="26" width="13.7109375" style="17" bestFit="1" customWidth="1"/>
    <col min="27" max="27" width="13.140625" style="17" bestFit="1" customWidth="1"/>
    <col min="28" max="28" width="13.28515625" style="17" bestFit="1" customWidth="1"/>
    <col min="29" max="29" width="13.85546875" style="17" bestFit="1" customWidth="1"/>
    <col min="30" max="30" width="10.140625" style="17" bestFit="1" customWidth="1"/>
    <col min="31" max="31" width="11.7109375" style="17" bestFit="1" customWidth="1"/>
    <col min="32" max="32" width="14.28515625" style="17" bestFit="1" customWidth="1"/>
    <col min="33" max="33" width="18.28515625" style="17" bestFit="1" customWidth="1"/>
    <col min="34" max="35" width="21.140625" style="17" bestFit="1" customWidth="1"/>
    <col min="36" max="36" width="18.140625" style="17" bestFit="1" customWidth="1"/>
    <col min="37" max="37" width="12.85546875" style="17" bestFit="1" customWidth="1"/>
    <col min="38" max="38" width="13" style="17" bestFit="1" customWidth="1"/>
    <col min="39" max="39" width="11.85546875" style="17" bestFit="1" customWidth="1"/>
    <col min="40" max="40" width="14.140625" style="17" bestFit="1" customWidth="1"/>
    <col min="41" max="43" width="14" style="17" bestFit="1" customWidth="1"/>
    <col min="44" max="46" width="14.85546875" style="17" bestFit="1" customWidth="1"/>
    <col min="47" max="47" width="16.28515625" style="17" bestFit="1" customWidth="1"/>
    <col min="48" max="48" width="16.42578125" style="17" bestFit="1" customWidth="1"/>
    <col min="49" max="49" width="12.5703125" style="17" bestFit="1" customWidth="1"/>
    <col min="50" max="50" width="14" style="17" bestFit="1" customWidth="1"/>
    <col min="51" max="51" width="39" style="17" bestFit="1" customWidth="1"/>
    <col min="52" max="52" width="15.7109375" style="17" bestFit="1" customWidth="1"/>
    <col min="53" max="53" width="18" style="17" bestFit="1" customWidth="1"/>
    <col min="54" max="54" width="19.140625" style="17" bestFit="1" customWidth="1"/>
    <col min="55" max="16384" width="9.140625" style="17"/>
  </cols>
  <sheetData>
    <row r="1" spans="1:54" x14ac:dyDescent="0.25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26</v>
      </c>
      <c r="L1" s="5" t="s">
        <v>13</v>
      </c>
      <c r="M1" s="5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31</v>
      </c>
      <c r="AX1" s="1" t="s">
        <v>77</v>
      </c>
      <c r="AY1" s="1" t="s">
        <v>78</v>
      </c>
      <c r="AZ1" s="1" t="s">
        <v>79</v>
      </c>
      <c r="BA1" s="1" t="s">
        <v>80</v>
      </c>
      <c r="BB1" s="4" t="s">
        <v>81</v>
      </c>
    </row>
    <row r="2" spans="1:54" x14ac:dyDescent="0.25">
      <c r="A2" s="26"/>
      <c r="B2" s="24" t="s">
        <v>167</v>
      </c>
      <c r="C2" s="26">
        <v>300</v>
      </c>
      <c r="D2" s="27">
        <v>46204</v>
      </c>
      <c r="E2" s="24" t="s">
        <v>234</v>
      </c>
      <c r="F2" s="24" t="s">
        <v>575</v>
      </c>
      <c r="G2" s="24" t="s">
        <v>239</v>
      </c>
      <c r="H2" s="24" t="s">
        <v>313</v>
      </c>
      <c r="I2" s="24">
        <v>196.76</v>
      </c>
      <c r="J2" s="24">
        <v>829</v>
      </c>
      <c r="K2" s="24" t="s">
        <v>168</v>
      </c>
      <c r="L2" s="25">
        <v>163114.04</v>
      </c>
      <c r="M2" s="25">
        <v>829</v>
      </c>
      <c r="N2" s="24">
        <v>829</v>
      </c>
      <c r="O2" s="24">
        <v>4632674.29</v>
      </c>
      <c r="P2" s="24" t="s">
        <v>207</v>
      </c>
      <c r="Q2" s="24" t="s">
        <v>207</v>
      </c>
      <c r="R2" s="24"/>
      <c r="S2" s="24"/>
      <c r="T2" s="24" t="s">
        <v>240</v>
      </c>
      <c r="U2" s="24">
        <v>1</v>
      </c>
      <c r="V2" s="24"/>
      <c r="W2" s="24">
        <v>9</v>
      </c>
      <c r="X2" s="24">
        <v>14680.26</v>
      </c>
      <c r="Y2" s="24">
        <v>9</v>
      </c>
      <c r="Z2" s="24">
        <v>14680.26</v>
      </c>
      <c r="AA2" s="24">
        <v>0</v>
      </c>
      <c r="AB2" s="24">
        <v>0</v>
      </c>
      <c r="AC2" s="24">
        <v>39232990</v>
      </c>
      <c r="AD2" s="24" t="s">
        <v>193</v>
      </c>
      <c r="AE2" s="27">
        <v>46204</v>
      </c>
      <c r="AF2" s="24">
        <v>0</v>
      </c>
      <c r="AG2" s="24">
        <v>0</v>
      </c>
      <c r="AH2" s="24"/>
      <c r="AI2" s="24">
        <v>0</v>
      </c>
      <c r="AJ2" s="24"/>
      <c r="AK2" s="24"/>
      <c r="AL2" s="24"/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/>
      <c r="AV2" s="24" t="s">
        <v>264</v>
      </c>
      <c r="AW2" s="24" t="s">
        <v>209</v>
      </c>
      <c r="AX2" s="24" t="s">
        <v>190</v>
      </c>
      <c r="AY2" s="24" t="s">
        <v>191</v>
      </c>
      <c r="AZ2" s="24" t="s">
        <v>192</v>
      </c>
      <c r="BA2" s="24" t="s">
        <v>152</v>
      </c>
      <c r="BB2" s="24" t="s">
        <v>152</v>
      </c>
    </row>
    <row r="3" spans="1:54" x14ac:dyDescent="0.25">
      <c r="A3" s="26"/>
      <c r="B3" s="24" t="s">
        <v>167</v>
      </c>
      <c r="C3" s="26">
        <v>300</v>
      </c>
      <c r="D3" s="27">
        <v>46204</v>
      </c>
      <c r="E3" s="24" t="s">
        <v>234</v>
      </c>
      <c r="F3" s="24" t="s">
        <v>575</v>
      </c>
      <c r="G3" s="24" t="s">
        <v>239</v>
      </c>
      <c r="H3" s="24" t="s">
        <v>316</v>
      </c>
      <c r="I3" s="24">
        <v>223.86</v>
      </c>
      <c r="J3" s="24">
        <v>3506</v>
      </c>
      <c r="K3" s="24" t="s">
        <v>168</v>
      </c>
      <c r="L3" s="25">
        <v>784853.16</v>
      </c>
      <c r="M3" s="25">
        <v>3506</v>
      </c>
      <c r="N3" s="24">
        <v>3506</v>
      </c>
      <c r="O3" s="24">
        <v>0</v>
      </c>
      <c r="P3" s="24" t="s">
        <v>207</v>
      </c>
      <c r="Q3" s="24" t="s">
        <v>207</v>
      </c>
      <c r="R3" s="24"/>
      <c r="S3" s="24"/>
      <c r="T3" s="24" t="s">
        <v>240</v>
      </c>
      <c r="U3" s="24">
        <v>1</v>
      </c>
      <c r="V3" s="24"/>
      <c r="W3" s="24">
        <v>9</v>
      </c>
      <c r="X3" s="24">
        <v>70636.78</v>
      </c>
      <c r="Y3" s="24">
        <v>9</v>
      </c>
      <c r="Z3" s="24">
        <v>70636.78</v>
      </c>
      <c r="AA3" s="24">
        <v>0</v>
      </c>
      <c r="AB3" s="24">
        <v>0</v>
      </c>
      <c r="AC3" s="24">
        <v>39232990</v>
      </c>
      <c r="AD3" s="24" t="s">
        <v>193</v>
      </c>
      <c r="AE3" s="27">
        <v>46204</v>
      </c>
      <c r="AF3" s="24">
        <v>0</v>
      </c>
      <c r="AG3" s="24">
        <v>0</v>
      </c>
      <c r="AH3" s="24"/>
      <c r="AI3" s="24">
        <v>0</v>
      </c>
      <c r="AJ3" s="24"/>
      <c r="AK3" s="24"/>
      <c r="AL3" s="24"/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/>
      <c r="AV3" s="24" t="s">
        <v>264</v>
      </c>
      <c r="AW3" s="24" t="s">
        <v>209</v>
      </c>
      <c r="AX3" s="24" t="s">
        <v>190</v>
      </c>
      <c r="AY3" s="24" t="s">
        <v>191</v>
      </c>
      <c r="AZ3" s="24" t="s">
        <v>192</v>
      </c>
      <c r="BA3" s="24" t="s">
        <v>152</v>
      </c>
      <c r="BB3" s="24" t="s">
        <v>152</v>
      </c>
    </row>
    <row r="4" spans="1:54" x14ac:dyDescent="0.25">
      <c r="A4" s="26"/>
      <c r="B4" s="24" t="s">
        <v>167</v>
      </c>
      <c r="C4" s="26">
        <v>300</v>
      </c>
      <c r="D4" s="27">
        <v>46204</v>
      </c>
      <c r="E4" s="24" t="s">
        <v>234</v>
      </c>
      <c r="F4" s="24" t="s">
        <v>575</v>
      </c>
      <c r="G4" s="24" t="s">
        <v>239</v>
      </c>
      <c r="H4" s="24" t="s">
        <v>317</v>
      </c>
      <c r="I4" s="24">
        <v>205.6</v>
      </c>
      <c r="J4" s="24">
        <v>3905</v>
      </c>
      <c r="K4" s="24" t="s">
        <v>168</v>
      </c>
      <c r="L4" s="25">
        <v>802868</v>
      </c>
      <c r="M4" s="25">
        <v>3905</v>
      </c>
      <c r="N4" s="24">
        <v>3905</v>
      </c>
      <c r="O4" s="24">
        <v>0</v>
      </c>
      <c r="P4" s="24" t="s">
        <v>207</v>
      </c>
      <c r="Q4" s="24" t="s">
        <v>207</v>
      </c>
      <c r="R4" s="24"/>
      <c r="S4" s="24"/>
      <c r="T4" s="24" t="s">
        <v>240</v>
      </c>
      <c r="U4" s="24">
        <v>1</v>
      </c>
      <c r="V4" s="24"/>
      <c r="W4" s="24">
        <v>9</v>
      </c>
      <c r="X4" s="24">
        <v>72258.12</v>
      </c>
      <c r="Y4" s="24">
        <v>9</v>
      </c>
      <c r="Z4" s="24">
        <v>72258.12</v>
      </c>
      <c r="AA4" s="24">
        <v>0</v>
      </c>
      <c r="AB4" s="24">
        <v>0</v>
      </c>
      <c r="AC4" s="24">
        <v>39232990</v>
      </c>
      <c r="AD4" s="24" t="s">
        <v>193</v>
      </c>
      <c r="AE4" s="27">
        <v>46204</v>
      </c>
      <c r="AF4" s="24">
        <v>0</v>
      </c>
      <c r="AG4" s="24">
        <v>0</v>
      </c>
      <c r="AH4" s="24"/>
      <c r="AI4" s="24">
        <v>0</v>
      </c>
      <c r="AJ4" s="24"/>
      <c r="AK4" s="24"/>
      <c r="AL4" s="24"/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/>
      <c r="AV4" s="24" t="s">
        <v>264</v>
      </c>
      <c r="AW4" s="24" t="s">
        <v>209</v>
      </c>
      <c r="AX4" s="24" t="s">
        <v>190</v>
      </c>
      <c r="AY4" s="24" t="s">
        <v>191</v>
      </c>
      <c r="AZ4" s="24" t="s">
        <v>192</v>
      </c>
      <c r="BA4" s="24" t="s">
        <v>152</v>
      </c>
      <c r="BB4" s="24" t="s">
        <v>152</v>
      </c>
    </row>
    <row r="5" spans="1:54" x14ac:dyDescent="0.25">
      <c r="A5" s="26"/>
      <c r="B5" s="24" t="s">
        <v>167</v>
      </c>
      <c r="C5" s="26">
        <v>300</v>
      </c>
      <c r="D5" s="27">
        <v>46204</v>
      </c>
      <c r="E5" s="24" t="s">
        <v>234</v>
      </c>
      <c r="F5" s="24" t="s">
        <v>575</v>
      </c>
      <c r="G5" s="24" t="s">
        <v>239</v>
      </c>
      <c r="H5" s="24" t="s">
        <v>312</v>
      </c>
      <c r="I5" s="24">
        <v>195.93</v>
      </c>
      <c r="J5" s="24">
        <v>8186</v>
      </c>
      <c r="K5" s="24" t="s">
        <v>168</v>
      </c>
      <c r="L5" s="25">
        <v>1603882.98</v>
      </c>
      <c r="M5" s="25">
        <v>8186</v>
      </c>
      <c r="N5" s="24">
        <v>8186</v>
      </c>
      <c r="O5" s="24">
        <v>0</v>
      </c>
      <c r="P5" s="24" t="s">
        <v>207</v>
      </c>
      <c r="Q5" s="24" t="s">
        <v>207</v>
      </c>
      <c r="R5" s="24"/>
      <c r="S5" s="24"/>
      <c r="T5" s="24" t="s">
        <v>240</v>
      </c>
      <c r="U5" s="24">
        <v>1</v>
      </c>
      <c r="V5" s="24"/>
      <c r="W5" s="24">
        <v>9</v>
      </c>
      <c r="X5" s="24">
        <v>144349.47</v>
      </c>
      <c r="Y5" s="24">
        <v>9</v>
      </c>
      <c r="Z5" s="24">
        <v>144349.47</v>
      </c>
      <c r="AA5" s="24">
        <v>0</v>
      </c>
      <c r="AB5" s="24">
        <v>0</v>
      </c>
      <c r="AC5" s="24">
        <v>39232990</v>
      </c>
      <c r="AD5" s="24" t="s">
        <v>193</v>
      </c>
      <c r="AE5" s="27">
        <v>46204</v>
      </c>
      <c r="AF5" s="24">
        <v>0</v>
      </c>
      <c r="AG5" s="24">
        <v>0</v>
      </c>
      <c r="AH5" s="24"/>
      <c r="AI5" s="24">
        <v>0</v>
      </c>
      <c r="AJ5" s="24"/>
      <c r="AK5" s="24"/>
      <c r="AL5" s="24"/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/>
      <c r="AV5" s="24" t="s">
        <v>264</v>
      </c>
      <c r="AW5" s="24" t="s">
        <v>209</v>
      </c>
      <c r="AX5" s="24" t="s">
        <v>190</v>
      </c>
      <c r="AY5" s="24" t="s">
        <v>191</v>
      </c>
      <c r="AZ5" s="24" t="s">
        <v>192</v>
      </c>
      <c r="BA5" s="24" t="s">
        <v>152</v>
      </c>
      <c r="BB5" s="24" t="s">
        <v>152</v>
      </c>
    </row>
    <row r="6" spans="1:54" x14ac:dyDescent="0.25">
      <c r="A6" s="26"/>
      <c r="B6" s="24" t="s">
        <v>167</v>
      </c>
      <c r="C6" s="26">
        <v>300</v>
      </c>
      <c r="D6" s="27">
        <v>46204</v>
      </c>
      <c r="E6" s="24" t="s">
        <v>234</v>
      </c>
      <c r="F6" s="24" t="s">
        <v>575</v>
      </c>
      <c r="G6" s="24" t="s">
        <v>239</v>
      </c>
      <c r="H6" s="24" t="s">
        <v>314</v>
      </c>
      <c r="I6" s="24">
        <v>200.19</v>
      </c>
      <c r="J6" s="24">
        <v>1291</v>
      </c>
      <c r="K6" s="24" t="s">
        <v>168</v>
      </c>
      <c r="L6" s="25">
        <v>258445.29</v>
      </c>
      <c r="M6" s="25">
        <v>1291</v>
      </c>
      <c r="N6" s="24">
        <v>1291</v>
      </c>
      <c r="O6" s="24">
        <v>0</v>
      </c>
      <c r="P6" s="24" t="s">
        <v>207</v>
      </c>
      <c r="Q6" s="24" t="s">
        <v>207</v>
      </c>
      <c r="R6" s="24"/>
      <c r="S6" s="24"/>
      <c r="T6" s="24" t="s">
        <v>240</v>
      </c>
      <c r="U6" s="24">
        <v>1</v>
      </c>
      <c r="V6" s="24"/>
      <c r="W6" s="24">
        <v>9</v>
      </c>
      <c r="X6" s="24">
        <v>23260.080000000002</v>
      </c>
      <c r="Y6" s="24">
        <v>9</v>
      </c>
      <c r="Z6" s="24">
        <v>23260.080000000002</v>
      </c>
      <c r="AA6" s="24">
        <v>0</v>
      </c>
      <c r="AB6" s="24">
        <v>0</v>
      </c>
      <c r="AC6" s="24">
        <v>39232990</v>
      </c>
      <c r="AD6" s="24" t="s">
        <v>193</v>
      </c>
      <c r="AE6" s="27">
        <v>46204</v>
      </c>
      <c r="AF6" s="24">
        <v>0</v>
      </c>
      <c r="AG6" s="24">
        <v>0</v>
      </c>
      <c r="AH6" s="24"/>
      <c r="AI6" s="24">
        <v>0</v>
      </c>
      <c r="AJ6" s="24"/>
      <c r="AK6" s="24"/>
      <c r="AL6" s="24"/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/>
      <c r="AV6" s="24" t="s">
        <v>264</v>
      </c>
      <c r="AW6" s="24" t="s">
        <v>209</v>
      </c>
      <c r="AX6" s="24" t="s">
        <v>190</v>
      </c>
      <c r="AY6" s="24" t="s">
        <v>191</v>
      </c>
      <c r="AZ6" s="24" t="s">
        <v>192</v>
      </c>
      <c r="BA6" s="24" t="s">
        <v>152</v>
      </c>
      <c r="BB6" s="24" t="s">
        <v>152</v>
      </c>
    </row>
    <row r="7" spans="1:54" x14ac:dyDescent="0.25">
      <c r="A7" s="26"/>
      <c r="B7" s="24" t="s">
        <v>167</v>
      </c>
      <c r="C7" s="26">
        <v>300</v>
      </c>
      <c r="D7" s="27">
        <v>46204</v>
      </c>
      <c r="E7" s="24" t="s">
        <v>234</v>
      </c>
      <c r="F7" s="24" t="s">
        <v>575</v>
      </c>
      <c r="G7" s="24" t="s">
        <v>239</v>
      </c>
      <c r="H7" s="24" t="s">
        <v>315</v>
      </c>
      <c r="I7" s="24">
        <v>208.36</v>
      </c>
      <c r="J7" s="24">
        <v>1501.4</v>
      </c>
      <c r="K7" s="24" t="s">
        <v>168</v>
      </c>
      <c r="L7" s="25">
        <v>312831.7</v>
      </c>
      <c r="M7" s="25">
        <v>1501.4</v>
      </c>
      <c r="N7" s="24">
        <v>1501.4</v>
      </c>
      <c r="O7" s="24">
        <v>0</v>
      </c>
      <c r="P7" s="24" t="s">
        <v>207</v>
      </c>
      <c r="Q7" s="24" t="s">
        <v>207</v>
      </c>
      <c r="R7" s="24"/>
      <c r="S7" s="24"/>
      <c r="T7" s="24" t="s">
        <v>240</v>
      </c>
      <c r="U7" s="24">
        <v>1</v>
      </c>
      <c r="V7" s="24"/>
      <c r="W7" s="24">
        <v>9</v>
      </c>
      <c r="X7" s="24">
        <v>28154.85</v>
      </c>
      <c r="Y7" s="24">
        <v>9</v>
      </c>
      <c r="Z7" s="24">
        <v>28154.85</v>
      </c>
      <c r="AA7" s="24">
        <v>0</v>
      </c>
      <c r="AB7" s="24">
        <v>0</v>
      </c>
      <c r="AC7" s="24">
        <v>39232990</v>
      </c>
      <c r="AD7" s="24" t="s">
        <v>193</v>
      </c>
      <c r="AE7" s="27">
        <v>46204</v>
      </c>
      <c r="AF7" s="24">
        <v>0</v>
      </c>
      <c r="AG7" s="24">
        <v>0</v>
      </c>
      <c r="AH7" s="24"/>
      <c r="AI7" s="24">
        <v>0</v>
      </c>
      <c r="AJ7" s="24"/>
      <c r="AK7" s="24"/>
      <c r="AL7" s="24"/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/>
      <c r="AV7" s="24" t="s">
        <v>264</v>
      </c>
      <c r="AW7" s="24" t="s">
        <v>209</v>
      </c>
      <c r="AX7" s="24" t="s">
        <v>190</v>
      </c>
      <c r="AY7" s="24" t="s">
        <v>191</v>
      </c>
      <c r="AZ7" s="24" t="s">
        <v>192</v>
      </c>
      <c r="BA7" s="24" t="s">
        <v>152</v>
      </c>
      <c r="BB7" s="24" t="s">
        <v>152</v>
      </c>
    </row>
    <row r="8" spans="1:54" x14ac:dyDescent="0.25">
      <c r="A8" s="26"/>
      <c r="B8" s="24" t="s">
        <v>167</v>
      </c>
      <c r="C8" s="26">
        <v>301</v>
      </c>
      <c r="D8" s="27">
        <v>46204</v>
      </c>
      <c r="E8" s="24" t="s">
        <v>219</v>
      </c>
      <c r="F8" s="24" t="s">
        <v>263</v>
      </c>
      <c r="G8" s="24" t="s">
        <v>157</v>
      </c>
      <c r="H8" s="24" t="s">
        <v>291</v>
      </c>
      <c r="I8" s="24">
        <v>201.21</v>
      </c>
      <c r="J8" s="24">
        <v>86.6</v>
      </c>
      <c r="K8" s="24" t="s">
        <v>168</v>
      </c>
      <c r="L8" s="25">
        <v>17424.79</v>
      </c>
      <c r="M8" s="25">
        <v>86.6</v>
      </c>
      <c r="N8" s="24">
        <v>86.6</v>
      </c>
      <c r="O8" s="24">
        <v>18296.03</v>
      </c>
      <c r="P8" s="24" t="s">
        <v>262</v>
      </c>
      <c r="Q8" s="24" t="s">
        <v>185</v>
      </c>
      <c r="R8" s="24"/>
      <c r="S8" s="24"/>
      <c r="T8" s="24" t="s">
        <v>240</v>
      </c>
      <c r="U8" s="24">
        <v>1</v>
      </c>
      <c r="V8" s="24"/>
      <c r="W8" s="24">
        <v>2.5</v>
      </c>
      <c r="X8" s="24">
        <v>435.62</v>
      </c>
      <c r="Y8" s="24">
        <v>2.5</v>
      </c>
      <c r="Z8" s="24">
        <v>435.62</v>
      </c>
      <c r="AA8" s="24">
        <v>0</v>
      </c>
      <c r="AB8" s="24">
        <v>0</v>
      </c>
      <c r="AC8" s="24">
        <v>54026300</v>
      </c>
      <c r="AD8" s="24" t="s">
        <v>193</v>
      </c>
      <c r="AE8" s="27">
        <v>46204</v>
      </c>
      <c r="AF8" s="24">
        <v>0</v>
      </c>
      <c r="AG8" s="24">
        <v>0</v>
      </c>
      <c r="AH8" s="24"/>
      <c r="AI8" s="24">
        <v>0</v>
      </c>
      <c r="AJ8" s="24"/>
      <c r="AK8" s="24"/>
      <c r="AL8" s="24"/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/>
      <c r="AV8" s="24" t="s">
        <v>247</v>
      </c>
      <c r="AW8" s="24" t="s">
        <v>209</v>
      </c>
      <c r="AX8" s="24" t="s">
        <v>292</v>
      </c>
      <c r="AY8" s="24" t="s">
        <v>291</v>
      </c>
      <c r="AZ8" s="24" t="s">
        <v>169</v>
      </c>
      <c r="BA8" s="24" t="s">
        <v>170</v>
      </c>
      <c r="BB8" s="24" t="s">
        <v>157</v>
      </c>
    </row>
    <row r="9" spans="1:54" x14ac:dyDescent="0.25">
      <c r="A9" s="26"/>
      <c r="B9" s="24" t="s">
        <v>167</v>
      </c>
      <c r="C9" s="26">
        <v>302</v>
      </c>
      <c r="D9" s="27">
        <v>46204</v>
      </c>
      <c r="E9" s="24" t="s">
        <v>219</v>
      </c>
      <c r="F9" s="24" t="s">
        <v>263</v>
      </c>
      <c r="G9" s="24" t="s">
        <v>277</v>
      </c>
      <c r="H9" s="24" t="s">
        <v>200</v>
      </c>
      <c r="I9" s="24">
        <v>260</v>
      </c>
      <c r="J9" s="24">
        <v>13.5</v>
      </c>
      <c r="K9" s="24" t="s">
        <v>168</v>
      </c>
      <c r="L9" s="25">
        <v>3510</v>
      </c>
      <c r="M9" s="25">
        <v>13.5</v>
      </c>
      <c r="N9" s="24">
        <v>13.5</v>
      </c>
      <c r="O9" s="24">
        <v>4141.8</v>
      </c>
      <c r="P9" s="24" t="s">
        <v>248</v>
      </c>
      <c r="Q9" s="24" t="s">
        <v>248</v>
      </c>
      <c r="R9" s="24"/>
      <c r="S9" s="24"/>
      <c r="T9" s="24" t="s">
        <v>240</v>
      </c>
      <c r="U9" s="24">
        <v>1</v>
      </c>
      <c r="V9" s="24"/>
      <c r="W9" s="24">
        <v>9</v>
      </c>
      <c r="X9" s="24">
        <v>315.89999999999998</v>
      </c>
      <c r="Y9" s="24">
        <v>9</v>
      </c>
      <c r="Z9" s="24">
        <v>315.89999999999998</v>
      </c>
      <c r="AA9" s="24">
        <v>0</v>
      </c>
      <c r="AB9" s="24">
        <v>0</v>
      </c>
      <c r="AC9" s="24">
        <v>39201019</v>
      </c>
      <c r="AD9" s="24" t="s">
        <v>193</v>
      </c>
      <c r="AE9" s="27">
        <v>46204</v>
      </c>
      <c r="AF9" s="24">
        <v>0</v>
      </c>
      <c r="AG9" s="24">
        <v>0</v>
      </c>
      <c r="AH9" s="24"/>
      <c r="AI9" s="24">
        <v>0</v>
      </c>
      <c r="AJ9" s="24"/>
      <c r="AK9" s="24"/>
      <c r="AL9" s="24"/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/>
      <c r="AV9" s="24" t="s">
        <v>247</v>
      </c>
      <c r="AW9" s="24" t="s">
        <v>209</v>
      </c>
      <c r="AX9" s="24" t="s">
        <v>199</v>
      </c>
      <c r="AY9" s="24" t="s">
        <v>200</v>
      </c>
      <c r="AZ9" s="24" t="s">
        <v>169</v>
      </c>
      <c r="BA9" s="24" t="s">
        <v>201</v>
      </c>
      <c r="BB9" s="24" t="s">
        <v>158</v>
      </c>
    </row>
    <row r="10" spans="1:54" x14ac:dyDescent="0.25">
      <c r="A10" s="26"/>
      <c r="B10" s="24" t="s">
        <v>167</v>
      </c>
      <c r="C10" s="26">
        <v>303</v>
      </c>
      <c r="D10" s="27">
        <v>46205</v>
      </c>
      <c r="E10" s="24" t="s">
        <v>205</v>
      </c>
      <c r="F10" s="24" t="s">
        <v>576</v>
      </c>
      <c r="G10" s="24" t="s">
        <v>269</v>
      </c>
      <c r="H10" s="24" t="s">
        <v>174</v>
      </c>
      <c r="I10" s="24">
        <v>193</v>
      </c>
      <c r="J10" s="24">
        <v>60</v>
      </c>
      <c r="K10" s="24" t="s">
        <v>168</v>
      </c>
      <c r="L10" s="25">
        <v>11580</v>
      </c>
      <c r="M10" s="25">
        <v>60</v>
      </c>
      <c r="N10" s="24">
        <v>60</v>
      </c>
      <c r="O10" s="24">
        <v>13664.4</v>
      </c>
      <c r="P10" s="24" t="s">
        <v>248</v>
      </c>
      <c r="Q10" s="24" t="s">
        <v>267</v>
      </c>
      <c r="R10" s="24"/>
      <c r="S10" s="24"/>
      <c r="T10" s="24" t="s">
        <v>240</v>
      </c>
      <c r="U10" s="24">
        <v>1</v>
      </c>
      <c r="V10" s="24"/>
      <c r="W10" s="24">
        <v>9</v>
      </c>
      <c r="X10" s="24">
        <v>1042.2</v>
      </c>
      <c r="Y10" s="24">
        <v>9</v>
      </c>
      <c r="Z10" s="24">
        <v>1042.2</v>
      </c>
      <c r="AA10" s="24">
        <v>0</v>
      </c>
      <c r="AB10" s="24">
        <v>0</v>
      </c>
      <c r="AC10" s="24">
        <v>392310</v>
      </c>
      <c r="AD10" s="24" t="s">
        <v>193</v>
      </c>
      <c r="AE10" s="27">
        <v>46205</v>
      </c>
      <c r="AF10" s="24">
        <v>0</v>
      </c>
      <c r="AG10" s="24">
        <v>0</v>
      </c>
      <c r="AH10" s="24"/>
      <c r="AI10" s="24">
        <v>0</v>
      </c>
      <c r="AJ10" s="24"/>
      <c r="AK10" s="24"/>
      <c r="AL10" s="24"/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/>
      <c r="AV10" s="24" t="s">
        <v>241</v>
      </c>
      <c r="AW10" s="24" t="s">
        <v>209</v>
      </c>
      <c r="AX10" s="24" t="s">
        <v>173</v>
      </c>
      <c r="AY10" s="24" t="s">
        <v>174</v>
      </c>
      <c r="AZ10" s="24" t="s">
        <v>169</v>
      </c>
      <c r="BA10" s="24" t="s">
        <v>176</v>
      </c>
      <c r="BB10" s="24" t="s">
        <v>159</v>
      </c>
    </row>
    <row r="11" spans="1:54" x14ac:dyDescent="0.25">
      <c r="A11" s="26"/>
      <c r="B11" s="24" t="s">
        <v>167</v>
      </c>
      <c r="C11" s="26" t="s">
        <v>321</v>
      </c>
      <c r="D11" s="27">
        <v>46205</v>
      </c>
      <c r="E11" s="24" t="s">
        <v>211</v>
      </c>
      <c r="F11" s="24" t="s">
        <v>307</v>
      </c>
      <c r="G11" s="24" t="s">
        <v>249</v>
      </c>
      <c r="H11" s="24" t="s">
        <v>214</v>
      </c>
      <c r="I11" s="24">
        <v>2</v>
      </c>
      <c r="J11" s="24">
        <v>2309</v>
      </c>
      <c r="K11" s="24" t="s">
        <v>168</v>
      </c>
      <c r="L11" s="25">
        <v>432244.8</v>
      </c>
      <c r="M11" s="25">
        <v>2309</v>
      </c>
      <c r="N11" s="24">
        <v>2309</v>
      </c>
      <c r="O11" s="24">
        <v>432244.8</v>
      </c>
      <c r="P11" s="24" t="s">
        <v>207</v>
      </c>
      <c r="Q11" s="24" t="s">
        <v>207</v>
      </c>
      <c r="R11" s="24"/>
      <c r="S11" s="24"/>
      <c r="T11" s="24" t="s">
        <v>253</v>
      </c>
      <c r="U11" s="24">
        <v>93.6</v>
      </c>
      <c r="V11" s="24" t="s">
        <v>251</v>
      </c>
      <c r="W11" s="24"/>
      <c r="X11" s="24"/>
      <c r="Y11" s="24"/>
      <c r="Z11" s="24"/>
      <c r="AA11" s="24">
        <v>18</v>
      </c>
      <c r="AB11" s="24">
        <v>831.24</v>
      </c>
      <c r="AC11" s="24">
        <v>63053200</v>
      </c>
      <c r="AD11" s="24">
        <v>20</v>
      </c>
      <c r="AE11" s="27">
        <v>46205</v>
      </c>
      <c r="AF11" s="24">
        <v>4618</v>
      </c>
      <c r="AG11" s="24">
        <v>432244.8</v>
      </c>
      <c r="AH11" s="24" t="s">
        <v>254</v>
      </c>
      <c r="AI11" s="24">
        <v>4618</v>
      </c>
      <c r="AJ11" s="24"/>
      <c r="AK11" s="24"/>
      <c r="AL11" s="24">
        <v>6220250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/>
      <c r="AV11" s="24" t="s">
        <v>255</v>
      </c>
      <c r="AW11" s="24" t="s">
        <v>209</v>
      </c>
      <c r="AX11" s="24" t="s">
        <v>190</v>
      </c>
      <c r="AY11" s="24" t="s">
        <v>191</v>
      </c>
      <c r="AZ11" s="24" t="s">
        <v>192</v>
      </c>
      <c r="BA11" s="24" t="s">
        <v>152</v>
      </c>
      <c r="BB11" s="24" t="s">
        <v>162</v>
      </c>
    </row>
    <row r="12" spans="1:54" x14ac:dyDescent="0.25">
      <c r="A12" s="26"/>
      <c r="B12" s="24" t="s">
        <v>167</v>
      </c>
      <c r="C12" s="26" t="s">
        <v>322</v>
      </c>
      <c r="D12" s="27">
        <v>46205</v>
      </c>
      <c r="E12" s="24" t="s">
        <v>261</v>
      </c>
      <c r="F12" s="24" t="s">
        <v>307</v>
      </c>
      <c r="G12" s="24" t="s">
        <v>577</v>
      </c>
      <c r="H12" s="24" t="s">
        <v>300</v>
      </c>
      <c r="I12" s="24">
        <v>132</v>
      </c>
      <c r="J12" s="24">
        <v>2651.1</v>
      </c>
      <c r="K12" s="24" t="s">
        <v>168</v>
      </c>
      <c r="L12" s="25">
        <v>349945.2</v>
      </c>
      <c r="M12" s="25">
        <v>2651.1</v>
      </c>
      <c r="N12" s="24">
        <v>2651.1</v>
      </c>
      <c r="O12" s="24">
        <v>349945</v>
      </c>
      <c r="P12" s="24" t="s">
        <v>283</v>
      </c>
      <c r="Q12" s="24" t="s">
        <v>283</v>
      </c>
      <c r="R12" s="24"/>
      <c r="S12" s="24"/>
      <c r="T12" s="24" t="s">
        <v>240</v>
      </c>
      <c r="U12" s="24">
        <v>1</v>
      </c>
      <c r="V12" s="24" t="s">
        <v>251</v>
      </c>
      <c r="W12" s="24">
        <v>0</v>
      </c>
      <c r="X12" s="24">
        <v>0</v>
      </c>
      <c r="Y12" s="24">
        <v>0</v>
      </c>
      <c r="Z12" s="24">
        <v>0</v>
      </c>
      <c r="AA12" s="24">
        <v>5</v>
      </c>
      <c r="AB12" s="24">
        <v>17497.259999999998</v>
      </c>
      <c r="AC12" s="24">
        <v>540239</v>
      </c>
      <c r="AD12" s="24" t="s">
        <v>193</v>
      </c>
      <c r="AE12" s="27">
        <v>46205</v>
      </c>
      <c r="AF12" s="24">
        <v>0</v>
      </c>
      <c r="AG12" s="24">
        <v>0</v>
      </c>
      <c r="AH12" s="24"/>
      <c r="AI12" s="24">
        <v>0</v>
      </c>
      <c r="AJ12" s="24"/>
      <c r="AK12" s="24"/>
      <c r="AL12" s="24"/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/>
      <c r="AV12" s="24" t="s">
        <v>255</v>
      </c>
      <c r="AW12" s="24" t="s">
        <v>209</v>
      </c>
      <c r="AX12" s="24" t="s">
        <v>299</v>
      </c>
      <c r="AY12" s="24" t="s">
        <v>300</v>
      </c>
      <c r="AZ12" s="24" t="s">
        <v>169</v>
      </c>
      <c r="BA12" s="24" t="s">
        <v>170</v>
      </c>
      <c r="BB12" s="24" t="s">
        <v>572</v>
      </c>
    </row>
    <row r="13" spans="1:54" x14ac:dyDescent="0.25">
      <c r="A13" s="26"/>
      <c r="B13" s="24" t="s">
        <v>167</v>
      </c>
      <c r="C13" s="26">
        <v>304</v>
      </c>
      <c r="D13" s="27">
        <v>46206</v>
      </c>
      <c r="E13" s="24" t="s">
        <v>205</v>
      </c>
      <c r="F13" s="24" t="s">
        <v>576</v>
      </c>
      <c r="G13" s="24" t="s">
        <v>277</v>
      </c>
      <c r="H13" s="24" t="s">
        <v>200</v>
      </c>
      <c r="I13" s="24">
        <v>248</v>
      </c>
      <c r="J13" s="24">
        <v>44.5</v>
      </c>
      <c r="K13" s="24" t="s">
        <v>168</v>
      </c>
      <c r="L13" s="25">
        <v>11036</v>
      </c>
      <c r="M13" s="25">
        <v>44.5</v>
      </c>
      <c r="N13" s="24">
        <v>44.5</v>
      </c>
      <c r="O13" s="24">
        <v>13022.48</v>
      </c>
      <c r="P13" s="24" t="s">
        <v>248</v>
      </c>
      <c r="Q13" s="24" t="s">
        <v>248</v>
      </c>
      <c r="R13" s="24"/>
      <c r="S13" s="24"/>
      <c r="T13" s="24" t="s">
        <v>240</v>
      </c>
      <c r="U13" s="24">
        <v>1</v>
      </c>
      <c r="V13" s="24"/>
      <c r="W13" s="24">
        <v>9</v>
      </c>
      <c r="X13" s="24">
        <v>993.24</v>
      </c>
      <c r="Y13" s="24">
        <v>9</v>
      </c>
      <c r="Z13" s="24">
        <v>993.24</v>
      </c>
      <c r="AA13" s="24">
        <v>0</v>
      </c>
      <c r="AB13" s="24">
        <v>0</v>
      </c>
      <c r="AC13" s="24">
        <v>39201019</v>
      </c>
      <c r="AD13" s="24" t="s">
        <v>193</v>
      </c>
      <c r="AE13" s="27">
        <v>46206</v>
      </c>
      <c r="AF13" s="24">
        <v>0</v>
      </c>
      <c r="AG13" s="24">
        <v>0</v>
      </c>
      <c r="AH13" s="24"/>
      <c r="AI13" s="24">
        <v>0</v>
      </c>
      <c r="AJ13" s="24"/>
      <c r="AK13" s="24"/>
      <c r="AL13" s="24"/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/>
      <c r="AV13" s="24" t="s">
        <v>241</v>
      </c>
      <c r="AW13" s="24" t="s">
        <v>209</v>
      </c>
      <c r="AX13" s="24" t="s">
        <v>199</v>
      </c>
      <c r="AY13" s="24" t="s">
        <v>200</v>
      </c>
      <c r="AZ13" s="24" t="s">
        <v>169</v>
      </c>
      <c r="BA13" s="24" t="s">
        <v>201</v>
      </c>
      <c r="BB13" s="24" t="s">
        <v>158</v>
      </c>
    </row>
    <row r="14" spans="1:54" x14ac:dyDescent="0.25">
      <c r="A14" s="26"/>
      <c r="B14" s="24" t="s">
        <v>167</v>
      </c>
      <c r="C14" s="26">
        <v>307</v>
      </c>
      <c r="D14" s="27">
        <v>46206</v>
      </c>
      <c r="E14" s="24" t="s">
        <v>219</v>
      </c>
      <c r="F14" s="24" t="s">
        <v>265</v>
      </c>
      <c r="G14" s="24" t="s">
        <v>578</v>
      </c>
      <c r="H14" s="24" t="s">
        <v>328</v>
      </c>
      <c r="I14" s="24">
        <v>129.41</v>
      </c>
      <c r="J14" s="24">
        <v>1175</v>
      </c>
      <c r="K14" s="24" t="s">
        <v>168</v>
      </c>
      <c r="L14" s="25">
        <v>152056.75</v>
      </c>
      <c r="M14" s="25">
        <v>1175</v>
      </c>
      <c r="N14" s="24">
        <v>1175</v>
      </c>
      <c r="O14" s="24">
        <v>420796.4</v>
      </c>
      <c r="P14" s="24" t="s">
        <v>243</v>
      </c>
      <c r="Q14" s="24" t="s">
        <v>207</v>
      </c>
      <c r="R14" s="24"/>
      <c r="S14" s="24"/>
      <c r="T14" s="24" t="s">
        <v>240</v>
      </c>
      <c r="U14" s="24">
        <v>1</v>
      </c>
      <c r="V14" s="24"/>
      <c r="W14" s="24">
        <v>9</v>
      </c>
      <c r="X14" s="24">
        <v>13685.11</v>
      </c>
      <c r="Y14" s="24">
        <v>9</v>
      </c>
      <c r="Z14" s="24">
        <v>13685.11</v>
      </c>
      <c r="AA14" s="24">
        <v>0</v>
      </c>
      <c r="AB14" s="24">
        <v>0</v>
      </c>
      <c r="AC14" s="24">
        <v>39232990</v>
      </c>
      <c r="AD14" s="24" t="s">
        <v>256</v>
      </c>
      <c r="AE14" s="27">
        <v>46206</v>
      </c>
      <c r="AF14" s="24">
        <v>0</v>
      </c>
      <c r="AG14" s="24">
        <v>0</v>
      </c>
      <c r="AH14" s="24"/>
      <c r="AI14" s="24">
        <v>0</v>
      </c>
      <c r="AJ14" s="24"/>
      <c r="AK14" s="24"/>
      <c r="AL14" s="24"/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/>
      <c r="AV14" s="24" t="s">
        <v>247</v>
      </c>
      <c r="AW14" s="24" t="s">
        <v>209</v>
      </c>
      <c r="AX14" s="24" t="s">
        <v>245</v>
      </c>
      <c r="AY14" s="24" t="s">
        <v>153</v>
      </c>
      <c r="AZ14" s="24" t="s">
        <v>192</v>
      </c>
      <c r="BA14" s="24" t="s">
        <v>153</v>
      </c>
      <c r="BB14" s="24" t="s">
        <v>153</v>
      </c>
    </row>
    <row r="15" spans="1:54" x14ac:dyDescent="0.25">
      <c r="A15" s="26"/>
      <c r="B15" s="24" t="s">
        <v>167</v>
      </c>
      <c r="C15" s="26">
        <v>307</v>
      </c>
      <c r="D15" s="27">
        <v>46206</v>
      </c>
      <c r="E15" s="24" t="s">
        <v>219</v>
      </c>
      <c r="F15" s="24" t="s">
        <v>265</v>
      </c>
      <c r="G15" s="24" t="s">
        <v>579</v>
      </c>
      <c r="H15" s="24" t="s">
        <v>326</v>
      </c>
      <c r="I15" s="24">
        <v>201.21</v>
      </c>
      <c r="J15" s="24">
        <v>75.7</v>
      </c>
      <c r="K15" s="24" t="s">
        <v>168</v>
      </c>
      <c r="L15" s="25">
        <v>15231.6</v>
      </c>
      <c r="M15" s="25">
        <v>75.7</v>
      </c>
      <c r="N15" s="24">
        <v>75.7</v>
      </c>
      <c r="O15" s="24">
        <v>0</v>
      </c>
      <c r="P15" s="24" t="s">
        <v>243</v>
      </c>
      <c r="Q15" s="24" t="s">
        <v>283</v>
      </c>
      <c r="R15" s="24"/>
      <c r="S15" s="24"/>
      <c r="T15" s="24" t="s">
        <v>240</v>
      </c>
      <c r="U15" s="24">
        <v>1</v>
      </c>
      <c r="V15" s="24"/>
      <c r="W15" s="24">
        <v>2.5</v>
      </c>
      <c r="X15" s="24">
        <v>380.79</v>
      </c>
      <c r="Y15" s="24">
        <v>2.5</v>
      </c>
      <c r="Z15" s="24">
        <v>380.79</v>
      </c>
      <c r="AA15" s="24">
        <v>0</v>
      </c>
      <c r="AB15" s="24">
        <v>0</v>
      </c>
      <c r="AC15" s="24">
        <v>54026930</v>
      </c>
      <c r="AD15" s="24" t="s">
        <v>256</v>
      </c>
      <c r="AE15" s="27">
        <v>46206</v>
      </c>
      <c r="AF15" s="24">
        <v>0</v>
      </c>
      <c r="AG15" s="24">
        <v>0</v>
      </c>
      <c r="AH15" s="24"/>
      <c r="AI15" s="24">
        <v>0</v>
      </c>
      <c r="AJ15" s="24"/>
      <c r="AK15" s="24"/>
      <c r="AL15" s="24"/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/>
      <c r="AV15" s="24" t="s">
        <v>247</v>
      </c>
      <c r="AW15" s="24" t="s">
        <v>209</v>
      </c>
      <c r="AX15" s="24" t="s">
        <v>292</v>
      </c>
      <c r="AY15" s="24" t="s">
        <v>291</v>
      </c>
      <c r="AZ15" s="24" t="s">
        <v>169</v>
      </c>
      <c r="BA15" s="24" t="s">
        <v>170</v>
      </c>
      <c r="BB15" s="24" t="s">
        <v>157</v>
      </c>
    </row>
    <row r="16" spans="1:54" x14ac:dyDescent="0.25">
      <c r="A16" s="26"/>
      <c r="B16" s="24" t="s">
        <v>167</v>
      </c>
      <c r="C16" s="26">
        <v>307</v>
      </c>
      <c r="D16" s="27">
        <v>46206</v>
      </c>
      <c r="E16" s="24" t="s">
        <v>219</v>
      </c>
      <c r="F16" s="24" t="s">
        <v>265</v>
      </c>
      <c r="G16" s="24" t="s">
        <v>244</v>
      </c>
      <c r="H16" s="24" t="s">
        <v>286</v>
      </c>
      <c r="I16" s="24">
        <v>151.41</v>
      </c>
      <c r="J16" s="24">
        <v>855</v>
      </c>
      <c r="K16" s="24" t="s">
        <v>168</v>
      </c>
      <c r="L16" s="25">
        <v>129455.55</v>
      </c>
      <c r="M16" s="25">
        <v>855</v>
      </c>
      <c r="N16" s="24">
        <v>855</v>
      </c>
      <c r="O16" s="24">
        <v>0</v>
      </c>
      <c r="P16" s="24" t="s">
        <v>243</v>
      </c>
      <c r="Q16" s="24" t="s">
        <v>243</v>
      </c>
      <c r="R16" s="24"/>
      <c r="S16" s="24"/>
      <c r="T16" s="24" t="s">
        <v>240</v>
      </c>
      <c r="U16" s="24">
        <v>1</v>
      </c>
      <c r="V16" s="24"/>
      <c r="W16" s="24">
        <v>9</v>
      </c>
      <c r="X16" s="24">
        <v>11651</v>
      </c>
      <c r="Y16" s="24">
        <v>9</v>
      </c>
      <c r="Z16" s="24">
        <v>11651</v>
      </c>
      <c r="AA16" s="24">
        <v>0</v>
      </c>
      <c r="AB16" s="24">
        <v>0</v>
      </c>
      <c r="AC16" s="24">
        <v>39269080</v>
      </c>
      <c r="AD16" s="24" t="s">
        <v>256</v>
      </c>
      <c r="AE16" s="27">
        <v>46206</v>
      </c>
      <c r="AF16" s="24">
        <v>0</v>
      </c>
      <c r="AG16" s="24">
        <v>0</v>
      </c>
      <c r="AH16" s="24"/>
      <c r="AI16" s="24">
        <v>0</v>
      </c>
      <c r="AJ16" s="24"/>
      <c r="AK16" s="24"/>
      <c r="AL16" s="24"/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/>
      <c r="AV16" s="24" t="s">
        <v>247</v>
      </c>
      <c r="AW16" s="24" t="s">
        <v>209</v>
      </c>
      <c r="AX16" s="24" t="s">
        <v>178</v>
      </c>
      <c r="AY16" s="24" t="s">
        <v>179</v>
      </c>
      <c r="AZ16" s="24" t="s">
        <v>169</v>
      </c>
      <c r="BA16" s="24" t="s">
        <v>180</v>
      </c>
      <c r="BB16" s="24" t="s">
        <v>156</v>
      </c>
    </row>
    <row r="17" spans="1:54" x14ac:dyDescent="0.25">
      <c r="A17" s="26"/>
      <c r="B17" s="24" t="s">
        <v>167</v>
      </c>
      <c r="C17" s="26">
        <v>307</v>
      </c>
      <c r="D17" s="27">
        <v>46206</v>
      </c>
      <c r="E17" s="24" t="s">
        <v>219</v>
      </c>
      <c r="F17" s="24" t="s">
        <v>265</v>
      </c>
      <c r="G17" s="24" t="s">
        <v>246</v>
      </c>
      <c r="H17" s="24" t="s">
        <v>327</v>
      </c>
      <c r="I17" s="24">
        <v>151.41</v>
      </c>
      <c r="J17" s="24">
        <v>305.60000000000002</v>
      </c>
      <c r="K17" s="24" t="s">
        <v>168</v>
      </c>
      <c r="L17" s="25">
        <v>46270.9</v>
      </c>
      <c r="M17" s="25">
        <v>305.60000000000002</v>
      </c>
      <c r="N17" s="24">
        <v>305.60000000000002</v>
      </c>
      <c r="O17" s="24">
        <v>0</v>
      </c>
      <c r="P17" s="24" t="s">
        <v>243</v>
      </c>
      <c r="Q17" s="24" t="s">
        <v>182</v>
      </c>
      <c r="R17" s="24"/>
      <c r="S17" s="24"/>
      <c r="T17" s="24" t="s">
        <v>240</v>
      </c>
      <c r="U17" s="24">
        <v>1</v>
      </c>
      <c r="V17" s="24"/>
      <c r="W17" s="24">
        <v>9</v>
      </c>
      <c r="X17" s="24">
        <v>4164.38</v>
      </c>
      <c r="Y17" s="24">
        <v>9</v>
      </c>
      <c r="Z17" s="24">
        <v>4164.38</v>
      </c>
      <c r="AA17" s="24">
        <v>0</v>
      </c>
      <c r="AB17" s="24">
        <v>0</v>
      </c>
      <c r="AC17" s="24">
        <v>39269080</v>
      </c>
      <c r="AD17" s="24" t="s">
        <v>256</v>
      </c>
      <c r="AE17" s="27">
        <v>46206</v>
      </c>
      <c r="AF17" s="24">
        <v>0</v>
      </c>
      <c r="AG17" s="24">
        <v>0</v>
      </c>
      <c r="AH17" s="24"/>
      <c r="AI17" s="24">
        <v>0</v>
      </c>
      <c r="AJ17" s="24"/>
      <c r="AK17" s="24"/>
      <c r="AL17" s="24"/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/>
      <c r="AV17" s="24" t="s">
        <v>247</v>
      </c>
      <c r="AW17" s="24" t="s">
        <v>209</v>
      </c>
      <c r="AX17" s="24" t="s">
        <v>181</v>
      </c>
      <c r="AY17" s="24" t="s">
        <v>182</v>
      </c>
      <c r="AZ17" s="24" t="s">
        <v>169</v>
      </c>
      <c r="BA17" s="24" t="s">
        <v>182</v>
      </c>
      <c r="BB17" s="24" t="s">
        <v>154</v>
      </c>
    </row>
    <row r="18" spans="1:54" x14ac:dyDescent="0.25">
      <c r="A18" s="26"/>
      <c r="B18" s="24" t="s">
        <v>167</v>
      </c>
      <c r="C18" s="26">
        <v>307</v>
      </c>
      <c r="D18" s="27">
        <v>46206</v>
      </c>
      <c r="E18" s="24" t="s">
        <v>219</v>
      </c>
      <c r="F18" s="24" t="s">
        <v>265</v>
      </c>
      <c r="G18" s="24" t="s">
        <v>257</v>
      </c>
      <c r="H18" s="24" t="s">
        <v>285</v>
      </c>
      <c r="I18" s="24">
        <v>129.41</v>
      </c>
      <c r="J18" s="24">
        <v>118</v>
      </c>
      <c r="K18" s="24" t="s">
        <v>168</v>
      </c>
      <c r="L18" s="25">
        <v>15270.38</v>
      </c>
      <c r="M18" s="25">
        <v>118</v>
      </c>
      <c r="N18" s="24">
        <v>118</v>
      </c>
      <c r="O18" s="24">
        <v>0</v>
      </c>
      <c r="P18" s="24" t="s">
        <v>243</v>
      </c>
      <c r="Q18" s="24" t="s">
        <v>243</v>
      </c>
      <c r="R18" s="24"/>
      <c r="S18" s="24"/>
      <c r="T18" s="24" t="s">
        <v>240</v>
      </c>
      <c r="U18" s="24">
        <v>1</v>
      </c>
      <c r="V18" s="24"/>
      <c r="W18" s="24">
        <v>9</v>
      </c>
      <c r="X18" s="24">
        <v>1374.33</v>
      </c>
      <c r="Y18" s="24">
        <v>9</v>
      </c>
      <c r="Z18" s="24">
        <v>1374.33</v>
      </c>
      <c r="AA18" s="24">
        <v>0</v>
      </c>
      <c r="AB18" s="24">
        <v>0</v>
      </c>
      <c r="AC18" s="24">
        <v>39269080</v>
      </c>
      <c r="AD18" s="24" t="s">
        <v>256</v>
      </c>
      <c r="AE18" s="27">
        <v>46206</v>
      </c>
      <c r="AF18" s="24">
        <v>0</v>
      </c>
      <c r="AG18" s="24">
        <v>0</v>
      </c>
      <c r="AH18" s="24"/>
      <c r="AI18" s="24">
        <v>0</v>
      </c>
      <c r="AJ18" s="24"/>
      <c r="AK18" s="24"/>
      <c r="AL18" s="24"/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/>
      <c r="AV18" s="24" t="s">
        <v>247</v>
      </c>
      <c r="AW18" s="24" t="s">
        <v>209</v>
      </c>
      <c r="AX18" s="24" t="s">
        <v>245</v>
      </c>
      <c r="AY18" s="24" t="s">
        <v>153</v>
      </c>
      <c r="AZ18" s="24" t="s">
        <v>192</v>
      </c>
      <c r="BA18" s="24" t="s">
        <v>153</v>
      </c>
      <c r="BB18" s="24" t="s">
        <v>153</v>
      </c>
    </row>
    <row r="19" spans="1:54" x14ac:dyDescent="0.25">
      <c r="A19" s="26"/>
      <c r="B19" s="24" t="s">
        <v>167</v>
      </c>
      <c r="C19" s="26">
        <v>308</v>
      </c>
      <c r="D19" s="27">
        <v>46207</v>
      </c>
      <c r="E19" s="24" t="s">
        <v>219</v>
      </c>
      <c r="F19" s="24" t="s">
        <v>263</v>
      </c>
      <c r="G19" s="24" t="s">
        <v>309</v>
      </c>
      <c r="H19" s="24" t="s">
        <v>331</v>
      </c>
      <c r="I19" s="24">
        <v>282</v>
      </c>
      <c r="J19" s="24">
        <v>25</v>
      </c>
      <c r="K19" s="24" t="s">
        <v>168</v>
      </c>
      <c r="L19" s="25">
        <v>7050</v>
      </c>
      <c r="M19" s="25">
        <v>25</v>
      </c>
      <c r="N19" s="24">
        <v>25</v>
      </c>
      <c r="O19" s="24">
        <v>8319</v>
      </c>
      <c r="P19" s="24" t="s">
        <v>248</v>
      </c>
      <c r="Q19" s="24" t="s">
        <v>580</v>
      </c>
      <c r="R19" s="24"/>
      <c r="S19" s="24"/>
      <c r="T19" s="24" t="s">
        <v>240</v>
      </c>
      <c r="U19" s="24">
        <v>1</v>
      </c>
      <c r="V19" s="24"/>
      <c r="W19" s="24">
        <v>9</v>
      </c>
      <c r="X19" s="24">
        <v>634.5</v>
      </c>
      <c r="Y19" s="24">
        <v>9</v>
      </c>
      <c r="Z19" s="24">
        <v>634.5</v>
      </c>
      <c r="AA19" s="24">
        <v>0</v>
      </c>
      <c r="AB19" s="24">
        <v>0</v>
      </c>
      <c r="AC19" s="24">
        <v>32151990</v>
      </c>
      <c r="AD19" s="24" t="s">
        <v>193</v>
      </c>
      <c r="AE19" s="27">
        <v>46207</v>
      </c>
      <c r="AF19" s="24">
        <v>0</v>
      </c>
      <c r="AG19" s="24">
        <v>0</v>
      </c>
      <c r="AH19" s="24"/>
      <c r="AI19" s="24">
        <v>0</v>
      </c>
      <c r="AJ19" s="24"/>
      <c r="AK19" s="24"/>
      <c r="AL19" s="24"/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/>
      <c r="AV19" s="24" t="s">
        <v>247</v>
      </c>
      <c r="AW19" s="24" t="s">
        <v>209</v>
      </c>
      <c r="AX19" s="24" t="s">
        <v>581</v>
      </c>
      <c r="AY19" s="24" t="s">
        <v>331</v>
      </c>
      <c r="AZ19" s="24" t="s">
        <v>204</v>
      </c>
      <c r="BA19" s="24" t="s">
        <v>160</v>
      </c>
      <c r="BB19" s="24" t="s">
        <v>160</v>
      </c>
    </row>
    <row r="20" spans="1:54" x14ac:dyDescent="0.25">
      <c r="A20" s="26"/>
      <c r="B20" s="24" t="s">
        <v>167</v>
      </c>
      <c r="C20" s="26">
        <v>309</v>
      </c>
      <c r="D20" s="27">
        <v>46207</v>
      </c>
      <c r="E20" s="24" t="s">
        <v>205</v>
      </c>
      <c r="F20" s="24" t="s">
        <v>268</v>
      </c>
      <c r="G20" s="24" t="s">
        <v>242</v>
      </c>
      <c r="H20" s="24" t="s">
        <v>289</v>
      </c>
      <c r="I20" s="24">
        <v>149.41</v>
      </c>
      <c r="J20" s="24">
        <v>560</v>
      </c>
      <c r="K20" s="24" t="s">
        <v>168</v>
      </c>
      <c r="L20" s="25">
        <v>83669.600000000006</v>
      </c>
      <c r="M20" s="25">
        <v>560</v>
      </c>
      <c r="N20" s="24">
        <v>560</v>
      </c>
      <c r="O20" s="24">
        <v>98730.12</v>
      </c>
      <c r="P20" s="24" t="s">
        <v>207</v>
      </c>
      <c r="Q20" s="24" t="s">
        <v>243</v>
      </c>
      <c r="R20" s="24"/>
      <c r="S20" s="24"/>
      <c r="T20" s="24" t="s">
        <v>240</v>
      </c>
      <c r="U20" s="24">
        <v>1</v>
      </c>
      <c r="V20" s="24"/>
      <c r="W20" s="24">
        <v>9</v>
      </c>
      <c r="X20" s="24">
        <v>7530.26</v>
      </c>
      <c r="Y20" s="24">
        <v>9</v>
      </c>
      <c r="Z20" s="24">
        <v>7530.26</v>
      </c>
      <c r="AA20" s="24">
        <v>0</v>
      </c>
      <c r="AB20" s="24">
        <v>0</v>
      </c>
      <c r="AC20" s="24">
        <v>39269080</v>
      </c>
      <c r="AD20" s="24" t="s">
        <v>193</v>
      </c>
      <c r="AE20" s="27">
        <v>46207</v>
      </c>
      <c r="AF20" s="24">
        <v>0</v>
      </c>
      <c r="AG20" s="24">
        <v>0</v>
      </c>
      <c r="AH20" s="24"/>
      <c r="AI20" s="24">
        <v>0</v>
      </c>
      <c r="AJ20" s="24"/>
      <c r="AK20" s="24"/>
      <c r="AL20" s="24"/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/>
      <c r="AV20" s="24" t="s">
        <v>241</v>
      </c>
      <c r="AW20" s="24" t="s">
        <v>209</v>
      </c>
      <c r="AX20" s="24" t="s">
        <v>245</v>
      </c>
      <c r="AY20" s="24" t="s">
        <v>153</v>
      </c>
      <c r="AZ20" s="24" t="s">
        <v>192</v>
      </c>
      <c r="BA20" s="24" t="s">
        <v>153</v>
      </c>
      <c r="BB20" s="24" t="s">
        <v>153</v>
      </c>
    </row>
    <row r="21" spans="1:54" x14ac:dyDescent="0.25">
      <c r="A21" s="26"/>
      <c r="B21" s="24" t="s">
        <v>167</v>
      </c>
      <c r="C21" s="26">
        <v>310</v>
      </c>
      <c r="D21" s="27">
        <v>46207</v>
      </c>
      <c r="E21" s="24" t="s">
        <v>219</v>
      </c>
      <c r="F21" s="24" t="s">
        <v>175</v>
      </c>
      <c r="G21" s="24" t="s">
        <v>269</v>
      </c>
      <c r="H21" s="24" t="s">
        <v>333</v>
      </c>
      <c r="I21" s="24">
        <v>181.15</v>
      </c>
      <c r="J21" s="24">
        <v>334</v>
      </c>
      <c r="K21" s="24" t="s">
        <v>168</v>
      </c>
      <c r="L21" s="25">
        <v>60504.1</v>
      </c>
      <c r="M21" s="25">
        <v>334</v>
      </c>
      <c r="N21" s="24">
        <v>334</v>
      </c>
      <c r="O21" s="24">
        <v>71394.84</v>
      </c>
      <c r="P21" s="24" t="s">
        <v>248</v>
      </c>
      <c r="Q21" s="24" t="s">
        <v>267</v>
      </c>
      <c r="R21" s="24"/>
      <c r="S21" s="24"/>
      <c r="T21" s="24" t="s">
        <v>240</v>
      </c>
      <c r="U21" s="24">
        <v>1</v>
      </c>
      <c r="V21" s="24"/>
      <c r="W21" s="24">
        <v>9</v>
      </c>
      <c r="X21" s="24">
        <v>5445.37</v>
      </c>
      <c r="Y21" s="24">
        <v>9</v>
      </c>
      <c r="Z21" s="24">
        <v>5445.37</v>
      </c>
      <c r="AA21" s="24">
        <v>0</v>
      </c>
      <c r="AB21" s="24">
        <v>0</v>
      </c>
      <c r="AC21" s="24">
        <v>392310</v>
      </c>
      <c r="AD21" s="24" t="s">
        <v>193</v>
      </c>
      <c r="AE21" s="27">
        <v>46207</v>
      </c>
      <c r="AF21" s="24">
        <v>0</v>
      </c>
      <c r="AG21" s="24">
        <v>0</v>
      </c>
      <c r="AH21" s="24"/>
      <c r="AI21" s="24">
        <v>0</v>
      </c>
      <c r="AJ21" s="24"/>
      <c r="AK21" s="24"/>
      <c r="AL21" s="24"/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/>
      <c r="AV21" s="24" t="s">
        <v>247</v>
      </c>
      <c r="AW21" s="24" t="s">
        <v>209</v>
      </c>
      <c r="AX21" s="24" t="s">
        <v>173</v>
      </c>
      <c r="AY21" s="24" t="s">
        <v>174</v>
      </c>
      <c r="AZ21" s="24" t="s">
        <v>169</v>
      </c>
      <c r="BA21" s="24" t="s">
        <v>176</v>
      </c>
      <c r="BB21" s="24" t="s">
        <v>159</v>
      </c>
    </row>
    <row r="22" spans="1:54" x14ac:dyDescent="0.25">
      <c r="A22" s="26"/>
      <c r="B22" s="24" t="s">
        <v>167</v>
      </c>
      <c r="C22" s="26">
        <v>311</v>
      </c>
      <c r="D22" s="27">
        <v>46209</v>
      </c>
      <c r="E22" s="24" t="s">
        <v>219</v>
      </c>
      <c r="F22" s="24" t="s">
        <v>175</v>
      </c>
      <c r="G22" s="24" t="s">
        <v>579</v>
      </c>
      <c r="H22" s="24" t="s">
        <v>291</v>
      </c>
      <c r="I22" s="24">
        <v>201.21</v>
      </c>
      <c r="J22" s="24">
        <v>164.6</v>
      </c>
      <c r="K22" s="24" t="s">
        <v>168</v>
      </c>
      <c r="L22" s="25">
        <v>33119.17</v>
      </c>
      <c r="M22" s="25">
        <v>164.6</v>
      </c>
      <c r="N22" s="24">
        <v>164.6</v>
      </c>
      <c r="O22" s="24">
        <v>34775.129999999997</v>
      </c>
      <c r="P22" s="24" t="s">
        <v>262</v>
      </c>
      <c r="Q22" s="24" t="s">
        <v>262</v>
      </c>
      <c r="R22" s="24"/>
      <c r="S22" s="24"/>
      <c r="T22" s="24" t="s">
        <v>240</v>
      </c>
      <c r="U22" s="24">
        <v>1</v>
      </c>
      <c r="V22" s="24"/>
      <c r="W22" s="24">
        <v>2.5</v>
      </c>
      <c r="X22" s="24">
        <v>827.98</v>
      </c>
      <c r="Y22" s="24">
        <v>2.5</v>
      </c>
      <c r="Z22" s="24">
        <v>827.98</v>
      </c>
      <c r="AA22" s="24">
        <v>0</v>
      </c>
      <c r="AB22" s="24">
        <v>0</v>
      </c>
      <c r="AC22" s="24">
        <v>54026930</v>
      </c>
      <c r="AD22" s="24" t="s">
        <v>193</v>
      </c>
      <c r="AE22" s="27">
        <v>46209</v>
      </c>
      <c r="AF22" s="24">
        <v>0</v>
      </c>
      <c r="AG22" s="24">
        <v>0</v>
      </c>
      <c r="AH22" s="24"/>
      <c r="AI22" s="24">
        <v>0</v>
      </c>
      <c r="AJ22" s="24"/>
      <c r="AK22" s="24"/>
      <c r="AL22" s="24"/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/>
      <c r="AV22" s="24" t="s">
        <v>247</v>
      </c>
      <c r="AW22" s="24" t="s">
        <v>209</v>
      </c>
      <c r="AX22" s="24" t="s">
        <v>292</v>
      </c>
      <c r="AY22" s="24" t="s">
        <v>291</v>
      </c>
      <c r="AZ22" s="24" t="s">
        <v>169</v>
      </c>
      <c r="BA22" s="24" t="s">
        <v>170</v>
      </c>
      <c r="BB22" s="24" t="s">
        <v>157</v>
      </c>
    </row>
    <row r="23" spans="1:54" x14ac:dyDescent="0.25">
      <c r="A23" s="26"/>
      <c r="B23" s="24" t="s">
        <v>167</v>
      </c>
      <c r="C23" s="26">
        <v>314</v>
      </c>
      <c r="D23" s="27">
        <v>46209</v>
      </c>
      <c r="E23" s="24" t="s">
        <v>205</v>
      </c>
      <c r="F23" s="24" t="s">
        <v>582</v>
      </c>
      <c r="G23" s="24" t="s">
        <v>242</v>
      </c>
      <c r="H23" s="24" t="s">
        <v>335</v>
      </c>
      <c r="I23" s="24">
        <v>154.74</v>
      </c>
      <c r="J23" s="24">
        <v>411</v>
      </c>
      <c r="K23" s="24" t="s">
        <v>168</v>
      </c>
      <c r="L23" s="25">
        <v>63598.14</v>
      </c>
      <c r="M23" s="25">
        <v>411</v>
      </c>
      <c r="N23" s="24">
        <v>411</v>
      </c>
      <c r="O23" s="24">
        <v>117042.24000000001</v>
      </c>
      <c r="P23" s="24" t="s">
        <v>243</v>
      </c>
      <c r="Q23" s="24" t="s">
        <v>243</v>
      </c>
      <c r="R23" s="24"/>
      <c r="S23" s="24"/>
      <c r="T23" s="24" t="s">
        <v>240</v>
      </c>
      <c r="U23" s="24">
        <v>1</v>
      </c>
      <c r="V23" s="24"/>
      <c r="W23" s="24">
        <v>9</v>
      </c>
      <c r="X23" s="24">
        <v>5723.83</v>
      </c>
      <c r="Y23" s="24">
        <v>9</v>
      </c>
      <c r="Z23" s="24">
        <v>5723.83</v>
      </c>
      <c r="AA23" s="24">
        <v>0</v>
      </c>
      <c r="AB23" s="24">
        <v>0</v>
      </c>
      <c r="AC23" s="24">
        <v>39269080</v>
      </c>
      <c r="AD23" s="24" t="s">
        <v>193</v>
      </c>
      <c r="AE23" s="27">
        <v>46209</v>
      </c>
      <c r="AF23" s="24">
        <v>0</v>
      </c>
      <c r="AG23" s="24">
        <v>0</v>
      </c>
      <c r="AH23" s="24"/>
      <c r="AI23" s="24">
        <v>0</v>
      </c>
      <c r="AJ23" s="24"/>
      <c r="AK23" s="24"/>
      <c r="AL23" s="24"/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/>
      <c r="AV23" s="24" t="s">
        <v>241</v>
      </c>
      <c r="AW23" s="24" t="s">
        <v>209</v>
      </c>
      <c r="AX23" s="24" t="s">
        <v>245</v>
      </c>
      <c r="AY23" s="24" t="s">
        <v>153</v>
      </c>
      <c r="AZ23" s="24" t="s">
        <v>192</v>
      </c>
      <c r="BA23" s="24" t="s">
        <v>153</v>
      </c>
      <c r="BB23" s="24" t="s">
        <v>153</v>
      </c>
    </row>
    <row r="24" spans="1:54" x14ac:dyDescent="0.25">
      <c r="A24" s="26"/>
      <c r="B24" s="24" t="s">
        <v>167</v>
      </c>
      <c r="C24" s="26">
        <v>314</v>
      </c>
      <c r="D24" s="27">
        <v>46209</v>
      </c>
      <c r="E24" s="24" t="s">
        <v>205</v>
      </c>
      <c r="F24" s="24" t="s">
        <v>582</v>
      </c>
      <c r="G24" s="24" t="s">
        <v>242</v>
      </c>
      <c r="H24" s="24" t="s">
        <v>187</v>
      </c>
      <c r="I24" s="24">
        <v>154.74</v>
      </c>
      <c r="J24" s="24">
        <v>230</v>
      </c>
      <c r="K24" s="24" t="s">
        <v>168</v>
      </c>
      <c r="L24" s="25">
        <v>35590.199999999997</v>
      </c>
      <c r="M24" s="25">
        <v>230</v>
      </c>
      <c r="N24" s="24">
        <v>242</v>
      </c>
      <c r="O24" s="24">
        <v>0</v>
      </c>
      <c r="P24" s="24" t="s">
        <v>243</v>
      </c>
      <c r="Q24" s="24" t="s">
        <v>243</v>
      </c>
      <c r="R24" s="24"/>
      <c r="S24" s="24"/>
      <c r="T24" s="24" t="s">
        <v>240</v>
      </c>
      <c r="U24" s="24">
        <v>1</v>
      </c>
      <c r="V24" s="24"/>
      <c r="W24" s="24">
        <v>9</v>
      </c>
      <c r="X24" s="24">
        <v>3203.12</v>
      </c>
      <c r="Y24" s="24">
        <v>9</v>
      </c>
      <c r="Z24" s="24">
        <v>3203.12</v>
      </c>
      <c r="AA24" s="24">
        <v>0</v>
      </c>
      <c r="AB24" s="24">
        <v>0</v>
      </c>
      <c r="AC24" s="24">
        <v>39269080</v>
      </c>
      <c r="AD24" s="24" t="s">
        <v>193</v>
      </c>
      <c r="AE24" s="27">
        <v>46209</v>
      </c>
      <c r="AF24" s="24">
        <v>0</v>
      </c>
      <c r="AG24" s="24">
        <v>0</v>
      </c>
      <c r="AH24" s="24"/>
      <c r="AI24" s="24">
        <v>0</v>
      </c>
      <c r="AJ24" s="24"/>
      <c r="AK24" s="24"/>
      <c r="AL24" s="24"/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/>
      <c r="AV24" s="24" t="s">
        <v>241</v>
      </c>
      <c r="AW24" s="24" t="s">
        <v>209</v>
      </c>
      <c r="AX24" s="24" t="s">
        <v>186</v>
      </c>
      <c r="AY24" s="24" t="s">
        <v>187</v>
      </c>
      <c r="AZ24" s="24" t="s">
        <v>169</v>
      </c>
      <c r="BA24" s="24" t="s">
        <v>180</v>
      </c>
      <c r="BB24" s="24" t="s">
        <v>155</v>
      </c>
    </row>
    <row r="25" spans="1:54" x14ac:dyDescent="0.25">
      <c r="A25" s="26"/>
      <c r="B25" s="24" t="s">
        <v>167</v>
      </c>
      <c r="C25" s="26">
        <v>315</v>
      </c>
      <c r="D25" s="27">
        <v>46209</v>
      </c>
      <c r="E25" s="24" t="s">
        <v>219</v>
      </c>
      <c r="F25" s="24" t="s">
        <v>175</v>
      </c>
      <c r="G25" s="24" t="s">
        <v>578</v>
      </c>
      <c r="H25" s="24" t="s">
        <v>338</v>
      </c>
      <c r="I25" s="24">
        <v>150</v>
      </c>
      <c r="J25" s="24">
        <v>128</v>
      </c>
      <c r="K25" s="24" t="s">
        <v>168</v>
      </c>
      <c r="L25" s="25">
        <v>19200</v>
      </c>
      <c r="M25" s="25">
        <v>128</v>
      </c>
      <c r="N25" s="24">
        <v>128</v>
      </c>
      <c r="O25" s="24">
        <v>22656</v>
      </c>
      <c r="P25" s="24" t="s">
        <v>207</v>
      </c>
      <c r="Q25" s="24" t="s">
        <v>207</v>
      </c>
      <c r="R25" s="24"/>
      <c r="S25" s="24"/>
      <c r="T25" s="24" t="s">
        <v>240</v>
      </c>
      <c r="U25" s="24">
        <v>1</v>
      </c>
      <c r="V25" s="24"/>
      <c r="W25" s="24">
        <v>9</v>
      </c>
      <c r="X25" s="24">
        <v>1728</v>
      </c>
      <c r="Y25" s="24">
        <v>9</v>
      </c>
      <c r="Z25" s="24">
        <v>1728</v>
      </c>
      <c r="AA25" s="24">
        <v>0</v>
      </c>
      <c r="AB25" s="24">
        <v>0</v>
      </c>
      <c r="AC25" s="24">
        <v>39232990</v>
      </c>
      <c r="AD25" s="24" t="s">
        <v>193</v>
      </c>
      <c r="AE25" s="27">
        <v>46209</v>
      </c>
      <c r="AF25" s="24">
        <v>0</v>
      </c>
      <c r="AG25" s="24">
        <v>0</v>
      </c>
      <c r="AH25" s="24"/>
      <c r="AI25" s="24">
        <v>0</v>
      </c>
      <c r="AJ25" s="24"/>
      <c r="AK25" s="24"/>
      <c r="AL25" s="24"/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/>
      <c r="AV25" s="24" t="s">
        <v>247</v>
      </c>
      <c r="AW25" s="24" t="s">
        <v>209</v>
      </c>
      <c r="AX25" s="24" t="s">
        <v>245</v>
      </c>
      <c r="AY25" s="24" t="s">
        <v>153</v>
      </c>
      <c r="AZ25" s="24" t="s">
        <v>192</v>
      </c>
      <c r="BA25" s="24" t="s">
        <v>153</v>
      </c>
      <c r="BB25" s="24" t="s">
        <v>153</v>
      </c>
    </row>
    <row r="26" spans="1:54" x14ac:dyDescent="0.25">
      <c r="A26" s="26"/>
      <c r="B26" s="24" t="s">
        <v>167</v>
      </c>
      <c r="C26" s="26">
        <v>317</v>
      </c>
      <c r="D26" s="27">
        <v>46210</v>
      </c>
      <c r="E26" s="24" t="s">
        <v>219</v>
      </c>
      <c r="F26" s="24" t="s">
        <v>263</v>
      </c>
      <c r="G26" s="24" t="s">
        <v>277</v>
      </c>
      <c r="H26" s="24" t="s">
        <v>200</v>
      </c>
      <c r="I26" s="24">
        <v>254</v>
      </c>
      <c r="J26" s="24">
        <v>8.1999999999999993</v>
      </c>
      <c r="K26" s="24" t="s">
        <v>168</v>
      </c>
      <c r="L26" s="25">
        <v>2082.8000000000002</v>
      </c>
      <c r="M26" s="25">
        <v>8.1999999999999993</v>
      </c>
      <c r="N26" s="24">
        <v>8.1999999999999993</v>
      </c>
      <c r="O26" s="24">
        <v>2457.6999999999998</v>
      </c>
      <c r="P26" s="24" t="s">
        <v>248</v>
      </c>
      <c r="Q26" s="24" t="s">
        <v>248</v>
      </c>
      <c r="R26" s="24"/>
      <c r="S26" s="24"/>
      <c r="T26" s="24" t="s">
        <v>240</v>
      </c>
      <c r="U26" s="24">
        <v>1</v>
      </c>
      <c r="V26" s="24"/>
      <c r="W26" s="24">
        <v>9</v>
      </c>
      <c r="X26" s="24">
        <v>187.45</v>
      </c>
      <c r="Y26" s="24">
        <v>9</v>
      </c>
      <c r="Z26" s="24">
        <v>187.45</v>
      </c>
      <c r="AA26" s="24">
        <v>0</v>
      </c>
      <c r="AB26" s="24">
        <v>0</v>
      </c>
      <c r="AC26" s="24">
        <v>39201019</v>
      </c>
      <c r="AD26" s="24" t="s">
        <v>193</v>
      </c>
      <c r="AE26" s="27">
        <v>46210</v>
      </c>
      <c r="AF26" s="24">
        <v>0</v>
      </c>
      <c r="AG26" s="24">
        <v>0</v>
      </c>
      <c r="AH26" s="24"/>
      <c r="AI26" s="24">
        <v>0</v>
      </c>
      <c r="AJ26" s="24"/>
      <c r="AK26" s="24"/>
      <c r="AL26" s="24"/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/>
      <c r="AV26" s="24" t="s">
        <v>247</v>
      </c>
      <c r="AW26" s="24" t="s">
        <v>209</v>
      </c>
      <c r="AX26" s="24" t="s">
        <v>199</v>
      </c>
      <c r="AY26" s="24" t="s">
        <v>200</v>
      </c>
      <c r="AZ26" s="24" t="s">
        <v>169</v>
      </c>
      <c r="BA26" s="24" t="s">
        <v>201</v>
      </c>
      <c r="BB26" s="24" t="s">
        <v>158</v>
      </c>
    </row>
    <row r="27" spans="1:54" x14ac:dyDescent="0.25">
      <c r="A27" s="26"/>
      <c r="B27" s="24" t="s">
        <v>167</v>
      </c>
      <c r="C27" s="26">
        <v>320</v>
      </c>
      <c r="D27" s="27">
        <v>46210</v>
      </c>
      <c r="E27" s="24" t="s">
        <v>205</v>
      </c>
      <c r="F27" s="24" t="s">
        <v>290</v>
      </c>
      <c r="G27" s="24" t="s">
        <v>242</v>
      </c>
      <c r="H27" s="24" t="s">
        <v>289</v>
      </c>
      <c r="I27" s="24">
        <v>154.74</v>
      </c>
      <c r="J27" s="24">
        <v>281</v>
      </c>
      <c r="K27" s="24" t="s">
        <v>168</v>
      </c>
      <c r="L27" s="25">
        <v>43481.94</v>
      </c>
      <c r="M27" s="25">
        <v>281</v>
      </c>
      <c r="N27" s="24">
        <v>281</v>
      </c>
      <c r="O27" s="24">
        <v>190444.7</v>
      </c>
      <c r="P27" s="24" t="s">
        <v>243</v>
      </c>
      <c r="Q27" s="24" t="s">
        <v>243</v>
      </c>
      <c r="R27" s="24"/>
      <c r="S27" s="24"/>
      <c r="T27" s="24" t="s">
        <v>240</v>
      </c>
      <c r="U27" s="24">
        <v>1</v>
      </c>
      <c r="V27" s="24"/>
      <c r="W27" s="24">
        <v>9</v>
      </c>
      <c r="X27" s="24">
        <v>3913.37</v>
      </c>
      <c r="Y27" s="24">
        <v>9</v>
      </c>
      <c r="Z27" s="24">
        <v>3913.37</v>
      </c>
      <c r="AA27" s="24">
        <v>0</v>
      </c>
      <c r="AB27" s="24">
        <v>0</v>
      </c>
      <c r="AC27" s="24">
        <v>39269080</v>
      </c>
      <c r="AD27" s="24" t="s">
        <v>193</v>
      </c>
      <c r="AE27" s="27">
        <v>46210</v>
      </c>
      <c r="AF27" s="24">
        <v>0</v>
      </c>
      <c r="AG27" s="24">
        <v>0</v>
      </c>
      <c r="AH27" s="24"/>
      <c r="AI27" s="24">
        <v>0</v>
      </c>
      <c r="AJ27" s="24"/>
      <c r="AK27" s="24"/>
      <c r="AL27" s="24"/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/>
      <c r="AV27" s="24" t="s">
        <v>241</v>
      </c>
      <c r="AW27" s="24" t="s">
        <v>209</v>
      </c>
      <c r="AX27" s="24" t="s">
        <v>245</v>
      </c>
      <c r="AY27" s="24" t="s">
        <v>153</v>
      </c>
      <c r="AZ27" s="24" t="s">
        <v>192</v>
      </c>
      <c r="BA27" s="24" t="s">
        <v>153</v>
      </c>
      <c r="BB27" s="24" t="s">
        <v>153</v>
      </c>
    </row>
    <row r="28" spans="1:54" x14ac:dyDescent="0.25">
      <c r="A28" s="26"/>
      <c r="B28" s="24" t="s">
        <v>167</v>
      </c>
      <c r="C28" s="26">
        <v>320</v>
      </c>
      <c r="D28" s="27">
        <v>46210</v>
      </c>
      <c r="E28" s="24" t="s">
        <v>205</v>
      </c>
      <c r="F28" s="24" t="s">
        <v>290</v>
      </c>
      <c r="G28" s="24" t="s">
        <v>242</v>
      </c>
      <c r="H28" s="24" t="s">
        <v>187</v>
      </c>
      <c r="I28" s="24">
        <v>154.74</v>
      </c>
      <c r="J28" s="24">
        <v>762</v>
      </c>
      <c r="K28" s="24" t="s">
        <v>168</v>
      </c>
      <c r="L28" s="25">
        <v>117911.88</v>
      </c>
      <c r="M28" s="25">
        <v>762</v>
      </c>
      <c r="N28" s="24">
        <v>762</v>
      </c>
      <c r="O28" s="24">
        <v>0</v>
      </c>
      <c r="P28" s="24" t="s">
        <v>243</v>
      </c>
      <c r="Q28" s="24" t="s">
        <v>243</v>
      </c>
      <c r="R28" s="24"/>
      <c r="S28" s="24"/>
      <c r="T28" s="24" t="s">
        <v>240</v>
      </c>
      <c r="U28" s="24">
        <v>1</v>
      </c>
      <c r="V28" s="24"/>
      <c r="W28" s="24">
        <v>9</v>
      </c>
      <c r="X28" s="24">
        <v>10612.07</v>
      </c>
      <c r="Y28" s="24">
        <v>9</v>
      </c>
      <c r="Z28" s="24">
        <v>10612.07</v>
      </c>
      <c r="AA28" s="24">
        <v>0</v>
      </c>
      <c r="AB28" s="24">
        <v>0</v>
      </c>
      <c r="AC28" s="24">
        <v>39269080</v>
      </c>
      <c r="AD28" s="24" t="s">
        <v>193</v>
      </c>
      <c r="AE28" s="27">
        <v>46210</v>
      </c>
      <c r="AF28" s="24">
        <v>0</v>
      </c>
      <c r="AG28" s="24">
        <v>0</v>
      </c>
      <c r="AH28" s="24"/>
      <c r="AI28" s="24">
        <v>0</v>
      </c>
      <c r="AJ28" s="24"/>
      <c r="AK28" s="24"/>
      <c r="AL28" s="24"/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/>
      <c r="AV28" s="24" t="s">
        <v>241</v>
      </c>
      <c r="AW28" s="24" t="s">
        <v>209</v>
      </c>
      <c r="AX28" s="24" t="s">
        <v>186</v>
      </c>
      <c r="AY28" s="24" t="s">
        <v>187</v>
      </c>
      <c r="AZ28" s="24" t="s">
        <v>169</v>
      </c>
      <c r="BA28" s="24" t="s">
        <v>180</v>
      </c>
      <c r="BB28" s="24" t="s">
        <v>155</v>
      </c>
    </row>
    <row r="29" spans="1:54" x14ac:dyDescent="0.25">
      <c r="A29" s="26"/>
      <c r="B29" s="24" t="s">
        <v>167</v>
      </c>
      <c r="C29" s="26">
        <v>321</v>
      </c>
      <c r="D29" s="27">
        <v>46210</v>
      </c>
      <c r="E29" s="24" t="s">
        <v>219</v>
      </c>
      <c r="F29" s="24" t="s">
        <v>263</v>
      </c>
      <c r="G29" s="24" t="s">
        <v>277</v>
      </c>
      <c r="H29" s="24" t="s">
        <v>200</v>
      </c>
      <c r="I29" s="24">
        <v>254</v>
      </c>
      <c r="J29" s="24">
        <v>4.3</v>
      </c>
      <c r="K29" s="24" t="s">
        <v>168</v>
      </c>
      <c r="L29" s="25">
        <v>1092.2</v>
      </c>
      <c r="M29" s="25">
        <v>4.3</v>
      </c>
      <c r="N29" s="24">
        <v>4.3</v>
      </c>
      <c r="O29" s="24">
        <v>1288.8</v>
      </c>
      <c r="P29" s="24" t="s">
        <v>248</v>
      </c>
      <c r="Q29" s="24" t="s">
        <v>248</v>
      </c>
      <c r="R29" s="24"/>
      <c r="S29" s="24"/>
      <c r="T29" s="24" t="s">
        <v>240</v>
      </c>
      <c r="U29" s="24">
        <v>1</v>
      </c>
      <c r="V29" s="24"/>
      <c r="W29" s="24">
        <v>9</v>
      </c>
      <c r="X29" s="24">
        <v>98.3</v>
      </c>
      <c r="Y29" s="24">
        <v>9</v>
      </c>
      <c r="Z29" s="24">
        <v>98.3</v>
      </c>
      <c r="AA29" s="24">
        <v>0</v>
      </c>
      <c r="AB29" s="24">
        <v>0</v>
      </c>
      <c r="AC29" s="24">
        <v>39201019</v>
      </c>
      <c r="AD29" s="24" t="s">
        <v>193</v>
      </c>
      <c r="AE29" s="27">
        <v>46210</v>
      </c>
      <c r="AF29" s="24">
        <v>0</v>
      </c>
      <c r="AG29" s="24">
        <v>0</v>
      </c>
      <c r="AH29" s="24"/>
      <c r="AI29" s="24">
        <v>0</v>
      </c>
      <c r="AJ29" s="24"/>
      <c r="AK29" s="24"/>
      <c r="AL29" s="24"/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/>
      <c r="AV29" s="24" t="s">
        <v>247</v>
      </c>
      <c r="AW29" s="24" t="s">
        <v>209</v>
      </c>
      <c r="AX29" s="24" t="s">
        <v>199</v>
      </c>
      <c r="AY29" s="24" t="s">
        <v>200</v>
      </c>
      <c r="AZ29" s="24" t="s">
        <v>169</v>
      </c>
      <c r="BA29" s="24" t="s">
        <v>201</v>
      </c>
      <c r="BB29" s="24" t="s">
        <v>158</v>
      </c>
    </row>
    <row r="30" spans="1:54" x14ac:dyDescent="0.25">
      <c r="A30" s="26"/>
      <c r="B30" s="24" t="s">
        <v>167</v>
      </c>
      <c r="C30" s="26" t="s">
        <v>343</v>
      </c>
      <c r="D30" s="27">
        <v>46210</v>
      </c>
      <c r="E30" s="24" t="s">
        <v>342</v>
      </c>
      <c r="F30" s="24" t="s">
        <v>583</v>
      </c>
      <c r="G30" s="24" t="s">
        <v>249</v>
      </c>
      <c r="H30" s="24" t="s">
        <v>214</v>
      </c>
      <c r="I30" s="24">
        <v>7.8</v>
      </c>
      <c r="J30" s="24">
        <v>6090</v>
      </c>
      <c r="K30" s="24" t="s">
        <v>232</v>
      </c>
      <c r="L30" s="25">
        <v>4441437</v>
      </c>
      <c r="M30" s="25">
        <v>19278.400000000001</v>
      </c>
      <c r="N30" s="24">
        <v>19950.400000000001</v>
      </c>
      <c r="O30" s="24">
        <v>4441437</v>
      </c>
      <c r="P30" s="24" t="s">
        <v>207</v>
      </c>
      <c r="Q30" s="24" t="s">
        <v>207</v>
      </c>
      <c r="R30" s="24"/>
      <c r="S30" s="24"/>
      <c r="T30" s="24" t="s">
        <v>253</v>
      </c>
      <c r="U30" s="24">
        <v>93.5</v>
      </c>
      <c r="V30" s="24" t="s">
        <v>260</v>
      </c>
      <c r="W30" s="24"/>
      <c r="X30" s="24"/>
      <c r="Y30" s="24"/>
      <c r="Z30" s="24"/>
      <c r="AA30" s="24">
        <v>18</v>
      </c>
      <c r="AB30" s="24">
        <v>8550.36</v>
      </c>
      <c r="AC30" s="24">
        <v>63053200</v>
      </c>
      <c r="AD30" s="24"/>
      <c r="AE30" s="27">
        <v>46210</v>
      </c>
      <c r="AF30" s="24">
        <v>47502</v>
      </c>
      <c r="AG30" s="24">
        <v>4441437</v>
      </c>
      <c r="AH30" s="24" t="s">
        <v>254</v>
      </c>
      <c r="AI30" s="24">
        <v>47502</v>
      </c>
      <c r="AJ30" s="24"/>
      <c r="AK30" s="24"/>
      <c r="AL30" s="24">
        <v>6220250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 t="s">
        <v>584</v>
      </c>
      <c r="AV30" s="24" t="s">
        <v>288</v>
      </c>
      <c r="AW30" s="24" t="s">
        <v>225</v>
      </c>
      <c r="AX30" s="24" t="s">
        <v>190</v>
      </c>
      <c r="AY30" s="24" t="s">
        <v>191</v>
      </c>
      <c r="AZ30" s="24" t="s">
        <v>192</v>
      </c>
      <c r="BA30" s="24" t="s">
        <v>152</v>
      </c>
      <c r="BB30" s="24" t="s">
        <v>162</v>
      </c>
    </row>
    <row r="31" spans="1:54" x14ac:dyDescent="0.25">
      <c r="A31" s="26"/>
      <c r="B31" s="24" t="s">
        <v>167</v>
      </c>
      <c r="C31" s="26">
        <v>322</v>
      </c>
      <c r="D31" s="27">
        <v>46211</v>
      </c>
      <c r="E31" s="24" t="s">
        <v>219</v>
      </c>
      <c r="F31" s="24" t="s">
        <v>585</v>
      </c>
      <c r="G31" s="24" t="s">
        <v>239</v>
      </c>
      <c r="H31" s="24" t="s">
        <v>346</v>
      </c>
      <c r="I31" s="24">
        <v>239.46</v>
      </c>
      <c r="J31" s="24">
        <v>20982</v>
      </c>
      <c r="K31" s="24" t="s">
        <v>168</v>
      </c>
      <c r="L31" s="25">
        <v>5024349.72</v>
      </c>
      <c r="M31" s="25">
        <v>20982</v>
      </c>
      <c r="N31" s="24">
        <v>20982</v>
      </c>
      <c r="O31" s="24">
        <v>5928732.6600000001</v>
      </c>
      <c r="P31" s="24" t="s">
        <v>207</v>
      </c>
      <c r="Q31" s="24" t="s">
        <v>207</v>
      </c>
      <c r="R31" s="24"/>
      <c r="S31" s="24"/>
      <c r="T31" s="24" t="s">
        <v>240</v>
      </c>
      <c r="U31" s="24">
        <v>1</v>
      </c>
      <c r="V31" s="24"/>
      <c r="W31" s="24">
        <v>9</v>
      </c>
      <c r="X31" s="24">
        <v>452191.47</v>
      </c>
      <c r="Y31" s="24">
        <v>9</v>
      </c>
      <c r="Z31" s="24">
        <v>452191.47</v>
      </c>
      <c r="AA31" s="24">
        <v>0</v>
      </c>
      <c r="AB31" s="24">
        <v>0</v>
      </c>
      <c r="AC31" s="24">
        <v>39232990</v>
      </c>
      <c r="AD31" s="24" t="s">
        <v>193</v>
      </c>
      <c r="AE31" s="27">
        <v>46211</v>
      </c>
      <c r="AF31" s="24">
        <v>0</v>
      </c>
      <c r="AG31" s="24">
        <v>0</v>
      </c>
      <c r="AH31" s="24"/>
      <c r="AI31" s="24">
        <v>0</v>
      </c>
      <c r="AJ31" s="24"/>
      <c r="AK31" s="24"/>
      <c r="AL31" s="24"/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/>
      <c r="AV31" s="24" t="s">
        <v>247</v>
      </c>
      <c r="AW31" s="24" t="s">
        <v>209</v>
      </c>
      <c r="AX31" s="24" t="s">
        <v>190</v>
      </c>
      <c r="AY31" s="24" t="s">
        <v>191</v>
      </c>
      <c r="AZ31" s="24" t="s">
        <v>192</v>
      </c>
      <c r="BA31" s="24" t="s">
        <v>152</v>
      </c>
      <c r="BB31" s="24" t="s">
        <v>152</v>
      </c>
    </row>
    <row r="32" spans="1:54" x14ac:dyDescent="0.25">
      <c r="A32" s="26"/>
      <c r="B32" s="24" t="s">
        <v>167</v>
      </c>
      <c r="C32" s="26">
        <v>323</v>
      </c>
      <c r="D32" s="27">
        <v>46211</v>
      </c>
      <c r="E32" s="24" t="s">
        <v>219</v>
      </c>
      <c r="F32" s="24" t="s">
        <v>265</v>
      </c>
      <c r="G32" s="24" t="s">
        <v>586</v>
      </c>
      <c r="H32" s="24" t="s">
        <v>351</v>
      </c>
      <c r="I32" s="24">
        <v>25</v>
      </c>
      <c r="J32" s="24">
        <v>1420</v>
      </c>
      <c r="K32" s="24" t="s">
        <v>168</v>
      </c>
      <c r="L32" s="25">
        <v>35500</v>
      </c>
      <c r="M32" s="25">
        <v>1420</v>
      </c>
      <c r="N32" s="24">
        <v>1420</v>
      </c>
      <c r="O32" s="24">
        <v>42727.8</v>
      </c>
      <c r="P32" s="24" t="s">
        <v>587</v>
      </c>
      <c r="Q32" s="24" t="s">
        <v>587</v>
      </c>
      <c r="R32" s="24"/>
      <c r="S32" s="24"/>
      <c r="T32" s="24" t="s">
        <v>240</v>
      </c>
      <c r="U32" s="24">
        <v>1</v>
      </c>
      <c r="V32" s="24"/>
      <c r="W32" s="24">
        <v>9</v>
      </c>
      <c r="X32" s="24">
        <v>3195</v>
      </c>
      <c r="Y32" s="24">
        <v>9</v>
      </c>
      <c r="Z32" s="24">
        <v>3195</v>
      </c>
      <c r="AA32" s="24">
        <v>0</v>
      </c>
      <c r="AB32" s="24">
        <v>0</v>
      </c>
      <c r="AC32" s="24">
        <v>39159029</v>
      </c>
      <c r="AD32" s="24" t="s">
        <v>256</v>
      </c>
      <c r="AE32" s="27">
        <v>46211</v>
      </c>
      <c r="AF32" s="24">
        <v>0</v>
      </c>
      <c r="AG32" s="24">
        <v>0</v>
      </c>
      <c r="AH32" s="24"/>
      <c r="AI32" s="24">
        <v>0</v>
      </c>
      <c r="AJ32" s="24"/>
      <c r="AK32" s="24"/>
      <c r="AL32" s="24"/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4">
        <v>0</v>
      </c>
      <c r="AU32" s="24"/>
      <c r="AV32" s="24" t="s">
        <v>247</v>
      </c>
      <c r="AW32" s="24" t="s">
        <v>209</v>
      </c>
      <c r="AX32" s="24" t="s">
        <v>588</v>
      </c>
      <c r="AY32" s="24" t="s">
        <v>350</v>
      </c>
      <c r="AZ32" s="24" t="s">
        <v>169</v>
      </c>
      <c r="BA32" s="24" t="s">
        <v>348</v>
      </c>
      <c r="BB32" s="24" t="s">
        <v>348</v>
      </c>
    </row>
    <row r="33" spans="1:54" x14ac:dyDescent="0.25">
      <c r="A33" s="26"/>
      <c r="B33" s="24" t="s">
        <v>167</v>
      </c>
      <c r="C33" s="26">
        <v>325</v>
      </c>
      <c r="D33" s="27">
        <v>46211</v>
      </c>
      <c r="E33" s="24" t="s">
        <v>205</v>
      </c>
      <c r="F33" s="24" t="s">
        <v>582</v>
      </c>
      <c r="G33" s="24" t="s">
        <v>242</v>
      </c>
      <c r="H33" s="24" t="s">
        <v>187</v>
      </c>
      <c r="I33" s="24">
        <v>154.74</v>
      </c>
      <c r="J33" s="24">
        <v>341</v>
      </c>
      <c r="K33" s="24" t="s">
        <v>168</v>
      </c>
      <c r="L33" s="25">
        <v>52766.34</v>
      </c>
      <c r="M33" s="25">
        <v>341</v>
      </c>
      <c r="N33" s="24">
        <v>365</v>
      </c>
      <c r="O33" s="24">
        <v>156401.62</v>
      </c>
      <c r="P33" s="24" t="s">
        <v>243</v>
      </c>
      <c r="Q33" s="24" t="s">
        <v>243</v>
      </c>
      <c r="R33" s="24"/>
      <c r="S33" s="24"/>
      <c r="T33" s="24" t="s">
        <v>240</v>
      </c>
      <c r="U33" s="24">
        <v>1</v>
      </c>
      <c r="V33" s="24"/>
      <c r="W33" s="24">
        <v>9</v>
      </c>
      <c r="X33" s="24">
        <v>4748.97</v>
      </c>
      <c r="Y33" s="24">
        <v>9</v>
      </c>
      <c r="Z33" s="24">
        <v>4748.97</v>
      </c>
      <c r="AA33" s="24">
        <v>0</v>
      </c>
      <c r="AB33" s="24">
        <v>0</v>
      </c>
      <c r="AC33" s="24">
        <v>39269080</v>
      </c>
      <c r="AD33" s="24" t="s">
        <v>193</v>
      </c>
      <c r="AE33" s="27">
        <v>46211</v>
      </c>
      <c r="AF33" s="24">
        <v>0</v>
      </c>
      <c r="AG33" s="24">
        <v>0</v>
      </c>
      <c r="AH33" s="24"/>
      <c r="AI33" s="24">
        <v>0</v>
      </c>
      <c r="AJ33" s="24"/>
      <c r="AK33" s="24"/>
      <c r="AL33" s="24"/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4">
        <v>0</v>
      </c>
      <c r="AS33" s="24">
        <v>0</v>
      </c>
      <c r="AT33" s="24">
        <v>0</v>
      </c>
      <c r="AU33" s="24"/>
      <c r="AV33" s="24" t="s">
        <v>241</v>
      </c>
      <c r="AW33" s="24" t="s">
        <v>209</v>
      </c>
      <c r="AX33" s="24" t="s">
        <v>186</v>
      </c>
      <c r="AY33" s="24" t="s">
        <v>187</v>
      </c>
      <c r="AZ33" s="24" t="s">
        <v>169</v>
      </c>
      <c r="BA33" s="24" t="s">
        <v>180</v>
      </c>
      <c r="BB33" s="24" t="s">
        <v>155</v>
      </c>
    </row>
    <row r="34" spans="1:54" x14ac:dyDescent="0.25">
      <c r="A34" s="26"/>
      <c r="B34" s="24" t="s">
        <v>167</v>
      </c>
      <c r="C34" s="26">
        <v>325</v>
      </c>
      <c r="D34" s="27">
        <v>46211</v>
      </c>
      <c r="E34" s="24" t="s">
        <v>205</v>
      </c>
      <c r="F34" s="24" t="s">
        <v>582</v>
      </c>
      <c r="G34" s="24" t="s">
        <v>244</v>
      </c>
      <c r="H34" s="24" t="s">
        <v>236</v>
      </c>
      <c r="I34" s="24">
        <v>158.74</v>
      </c>
      <c r="J34" s="24">
        <v>215</v>
      </c>
      <c r="K34" s="24" t="s">
        <v>168</v>
      </c>
      <c r="L34" s="25">
        <v>34129.1</v>
      </c>
      <c r="M34" s="25">
        <v>215</v>
      </c>
      <c r="N34" s="24">
        <v>220</v>
      </c>
      <c r="O34" s="24">
        <v>0</v>
      </c>
      <c r="P34" s="24" t="s">
        <v>243</v>
      </c>
      <c r="Q34" s="24" t="s">
        <v>243</v>
      </c>
      <c r="R34" s="24"/>
      <c r="S34" s="24"/>
      <c r="T34" s="24" t="s">
        <v>240</v>
      </c>
      <c r="U34" s="24">
        <v>1</v>
      </c>
      <c r="V34" s="24"/>
      <c r="W34" s="24">
        <v>9</v>
      </c>
      <c r="X34" s="24">
        <v>3071.62</v>
      </c>
      <c r="Y34" s="24">
        <v>9</v>
      </c>
      <c r="Z34" s="24">
        <v>3071.62</v>
      </c>
      <c r="AA34" s="24">
        <v>0</v>
      </c>
      <c r="AB34" s="24">
        <v>0</v>
      </c>
      <c r="AC34" s="24">
        <v>39269080</v>
      </c>
      <c r="AD34" s="24" t="s">
        <v>193</v>
      </c>
      <c r="AE34" s="27">
        <v>46211</v>
      </c>
      <c r="AF34" s="24">
        <v>0</v>
      </c>
      <c r="AG34" s="24">
        <v>0</v>
      </c>
      <c r="AH34" s="24"/>
      <c r="AI34" s="24">
        <v>0</v>
      </c>
      <c r="AJ34" s="24"/>
      <c r="AK34" s="24"/>
      <c r="AL34" s="24"/>
      <c r="AM34" s="24">
        <v>0</v>
      </c>
      <c r="AN34" s="24">
        <v>0</v>
      </c>
      <c r="AO34" s="24">
        <v>0</v>
      </c>
      <c r="AP34" s="24">
        <v>0</v>
      </c>
      <c r="AQ34" s="24">
        <v>0</v>
      </c>
      <c r="AR34" s="24">
        <v>0</v>
      </c>
      <c r="AS34" s="24">
        <v>0</v>
      </c>
      <c r="AT34" s="24">
        <v>0</v>
      </c>
      <c r="AU34" s="24"/>
      <c r="AV34" s="24" t="s">
        <v>241</v>
      </c>
      <c r="AW34" s="24" t="s">
        <v>209</v>
      </c>
      <c r="AX34" s="24" t="s">
        <v>178</v>
      </c>
      <c r="AY34" s="24" t="s">
        <v>179</v>
      </c>
      <c r="AZ34" s="24" t="s">
        <v>169</v>
      </c>
      <c r="BA34" s="24" t="s">
        <v>180</v>
      </c>
      <c r="BB34" s="24" t="s">
        <v>156</v>
      </c>
    </row>
    <row r="35" spans="1:54" x14ac:dyDescent="0.25">
      <c r="A35" s="26"/>
      <c r="B35" s="24" t="s">
        <v>167</v>
      </c>
      <c r="C35" s="26">
        <v>325</v>
      </c>
      <c r="D35" s="27">
        <v>46211</v>
      </c>
      <c r="E35" s="24" t="s">
        <v>205</v>
      </c>
      <c r="F35" s="24" t="s">
        <v>582</v>
      </c>
      <c r="G35" s="24" t="s">
        <v>242</v>
      </c>
      <c r="H35" s="24" t="s">
        <v>273</v>
      </c>
      <c r="I35" s="24">
        <v>154.74</v>
      </c>
      <c r="J35" s="24">
        <v>295</v>
      </c>
      <c r="K35" s="24" t="s">
        <v>168</v>
      </c>
      <c r="L35" s="25">
        <v>45648.3</v>
      </c>
      <c r="M35" s="25">
        <v>295</v>
      </c>
      <c r="N35" s="24">
        <v>295</v>
      </c>
      <c r="O35" s="24">
        <v>0</v>
      </c>
      <c r="P35" s="24" t="s">
        <v>243</v>
      </c>
      <c r="Q35" s="24" t="s">
        <v>243</v>
      </c>
      <c r="R35" s="24"/>
      <c r="S35" s="24"/>
      <c r="T35" s="24" t="s">
        <v>240</v>
      </c>
      <c r="U35" s="24">
        <v>1</v>
      </c>
      <c r="V35" s="24"/>
      <c r="W35" s="24">
        <v>9</v>
      </c>
      <c r="X35" s="24">
        <v>4108.3500000000004</v>
      </c>
      <c r="Y35" s="24">
        <v>9</v>
      </c>
      <c r="Z35" s="24">
        <v>4108.3500000000004</v>
      </c>
      <c r="AA35" s="24">
        <v>0</v>
      </c>
      <c r="AB35" s="24">
        <v>0</v>
      </c>
      <c r="AC35" s="24">
        <v>39269080</v>
      </c>
      <c r="AD35" s="24" t="s">
        <v>193</v>
      </c>
      <c r="AE35" s="27">
        <v>46211</v>
      </c>
      <c r="AF35" s="24">
        <v>0</v>
      </c>
      <c r="AG35" s="24">
        <v>0</v>
      </c>
      <c r="AH35" s="24"/>
      <c r="AI35" s="24">
        <v>0</v>
      </c>
      <c r="AJ35" s="24"/>
      <c r="AK35" s="24"/>
      <c r="AL35" s="24"/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0</v>
      </c>
      <c r="AT35" s="24">
        <v>0</v>
      </c>
      <c r="AU35" s="24"/>
      <c r="AV35" s="24" t="s">
        <v>241</v>
      </c>
      <c r="AW35" s="24" t="s">
        <v>209</v>
      </c>
      <c r="AX35" s="24" t="s">
        <v>245</v>
      </c>
      <c r="AY35" s="24" t="s">
        <v>153</v>
      </c>
      <c r="AZ35" s="24" t="s">
        <v>192</v>
      </c>
      <c r="BA35" s="24" t="s">
        <v>153</v>
      </c>
      <c r="BB35" s="24" t="s">
        <v>153</v>
      </c>
    </row>
    <row r="36" spans="1:54" x14ac:dyDescent="0.25">
      <c r="A36" s="26"/>
      <c r="B36" s="24" t="s">
        <v>167</v>
      </c>
      <c r="C36" s="26">
        <v>326</v>
      </c>
      <c r="D36" s="27">
        <v>46211</v>
      </c>
      <c r="E36" s="24" t="s">
        <v>219</v>
      </c>
      <c r="F36" s="24" t="s">
        <v>263</v>
      </c>
      <c r="G36" s="24" t="s">
        <v>277</v>
      </c>
      <c r="H36" s="24" t="s">
        <v>200</v>
      </c>
      <c r="I36" s="24">
        <v>257</v>
      </c>
      <c r="J36" s="24">
        <v>7.5</v>
      </c>
      <c r="K36" s="24" t="s">
        <v>168</v>
      </c>
      <c r="L36" s="25">
        <v>1927.5</v>
      </c>
      <c r="M36" s="25">
        <v>7.5</v>
      </c>
      <c r="N36" s="24">
        <v>7.5</v>
      </c>
      <c r="O36" s="24">
        <v>2274.46</v>
      </c>
      <c r="P36" s="24" t="s">
        <v>248</v>
      </c>
      <c r="Q36" s="24" t="s">
        <v>248</v>
      </c>
      <c r="R36" s="24"/>
      <c r="S36" s="24"/>
      <c r="T36" s="24" t="s">
        <v>240</v>
      </c>
      <c r="U36" s="24">
        <v>1</v>
      </c>
      <c r="V36" s="24"/>
      <c r="W36" s="24">
        <v>9</v>
      </c>
      <c r="X36" s="24">
        <v>173.48</v>
      </c>
      <c r="Y36" s="24">
        <v>9</v>
      </c>
      <c r="Z36" s="24">
        <v>173.48</v>
      </c>
      <c r="AA36" s="24">
        <v>0</v>
      </c>
      <c r="AB36" s="24">
        <v>0</v>
      </c>
      <c r="AC36" s="24">
        <v>39201019</v>
      </c>
      <c r="AD36" s="24" t="s">
        <v>193</v>
      </c>
      <c r="AE36" s="27">
        <v>46211</v>
      </c>
      <c r="AF36" s="24">
        <v>0</v>
      </c>
      <c r="AG36" s="24">
        <v>0</v>
      </c>
      <c r="AH36" s="24"/>
      <c r="AI36" s="24">
        <v>0</v>
      </c>
      <c r="AJ36" s="24"/>
      <c r="AK36" s="24"/>
      <c r="AL36" s="24"/>
      <c r="AM36" s="24">
        <v>0</v>
      </c>
      <c r="AN36" s="24">
        <v>0</v>
      </c>
      <c r="AO36" s="24">
        <v>0</v>
      </c>
      <c r="AP36" s="24">
        <v>0</v>
      </c>
      <c r="AQ36" s="24">
        <v>0</v>
      </c>
      <c r="AR36" s="24">
        <v>0</v>
      </c>
      <c r="AS36" s="24">
        <v>0</v>
      </c>
      <c r="AT36" s="24">
        <v>0</v>
      </c>
      <c r="AU36" s="24"/>
      <c r="AV36" s="24" t="s">
        <v>247</v>
      </c>
      <c r="AW36" s="24" t="s">
        <v>209</v>
      </c>
      <c r="AX36" s="24" t="s">
        <v>199</v>
      </c>
      <c r="AY36" s="24" t="s">
        <v>200</v>
      </c>
      <c r="AZ36" s="24" t="s">
        <v>169</v>
      </c>
      <c r="BA36" s="24" t="s">
        <v>201</v>
      </c>
      <c r="BB36" s="24" t="s">
        <v>158</v>
      </c>
    </row>
    <row r="37" spans="1:54" x14ac:dyDescent="0.25">
      <c r="A37" s="26"/>
      <c r="B37" s="24" t="s">
        <v>167</v>
      </c>
      <c r="C37" s="26">
        <v>327</v>
      </c>
      <c r="D37" s="27">
        <v>46212</v>
      </c>
      <c r="E37" s="24" t="s">
        <v>205</v>
      </c>
      <c r="F37" s="24" t="s">
        <v>582</v>
      </c>
      <c r="G37" s="24" t="s">
        <v>242</v>
      </c>
      <c r="H37" s="24" t="s">
        <v>273</v>
      </c>
      <c r="I37" s="24">
        <v>154.74</v>
      </c>
      <c r="J37" s="24">
        <v>604</v>
      </c>
      <c r="K37" s="24" t="s">
        <v>168</v>
      </c>
      <c r="L37" s="25">
        <v>93462.96</v>
      </c>
      <c r="M37" s="25">
        <v>604</v>
      </c>
      <c r="N37" s="24">
        <v>604</v>
      </c>
      <c r="O37" s="24">
        <v>168935.23</v>
      </c>
      <c r="P37" s="24" t="s">
        <v>243</v>
      </c>
      <c r="Q37" s="24" t="s">
        <v>243</v>
      </c>
      <c r="R37" s="24"/>
      <c r="S37" s="24"/>
      <c r="T37" s="24" t="s">
        <v>240</v>
      </c>
      <c r="U37" s="24">
        <v>1</v>
      </c>
      <c r="V37" s="24"/>
      <c r="W37" s="24">
        <v>9</v>
      </c>
      <c r="X37" s="24">
        <v>8411.67</v>
      </c>
      <c r="Y37" s="24">
        <v>9</v>
      </c>
      <c r="Z37" s="24">
        <v>8411.67</v>
      </c>
      <c r="AA37" s="24">
        <v>0</v>
      </c>
      <c r="AB37" s="24">
        <v>0</v>
      </c>
      <c r="AC37" s="24">
        <v>39269080</v>
      </c>
      <c r="AD37" s="24" t="s">
        <v>193</v>
      </c>
      <c r="AE37" s="27">
        <v>46212</v>
      </c>
      <c r="AF37" s="24">
        <v>0</v>
      </c>
      <c r="AG37" s="24">
        <v>0</v>
      </c>
      <c r="AH37" s="24"/>
      <c r="AI37" s="24">
        <v>0</v>
      </c>
      <c r="AJ37" s="24"/>
      <c r="AK37" s="24"/>
      <c r="AL37" s="24"/>
      <c r="AM37" s="24">
        <v>0</v>
      </c>
      <c r="AN37" s="24">
        <v>0</v>
      </c>
      <c r="AO37" s="24">
        <v>0</v>
      </c>
      <c r="AP37" s="24">
        <v>0</v>
      </c>
      <c r="AQ37" s="24">
        <v>0</v>
      </c>
      <c r="AR37" s="24">
        <v>0</v>
      </c>
      <c r="AS37" s="24">
        <v>0</v>
      </c>
      <c r="AT37" s="24">
        <v>0</v>
      </c>
      <c r="AU37" s="24"/>
      <c r="AV37" s="24" t="s">
        <v>241</v>
      </c>
      <c r="AW37" s="24" t="s">
        <v>209</v>
      </c>
      <c r="AX37" s="24" t="s">
        <v>245</v>
      </c>
      <c r="AY37" s="24" t="s">
        <v>153</v>
      </c>
      <c r="AZ37" s="24" t="s">
        <v>192</v>
      </c>
      <c r="BA37" s="24" t="s">
        <v>153</v>
      </c>
      <c r="BB37" s="24" t="s">
        <v>153</v>
      </c>
    </row>
    <row r="38" spans="1:54" x14ac:dyDescent="0.25">
      <c r="A38" s="26"/>
      <c r="B38" s="24" t="s">
        <v>167</v>
      </c>
      <c r="C38" s="26">
        <v>327</v>
      </c>
      <c r="D38" s="27">
        <v>46212</v>
      </c>
      <c r="E38" s="24" t="s">
        <v>205</v>
      </c>
      <c r="F38" s="24" t="s">
        <v>582</v>
      </c>
      <c r="G38" s="24" t="s">
        <v>242</v>
      </c>
      <c r="H38" s="24" t="s">
        <v>187</v>
      </c>
      <c r="I38" s="24">
        <v>154.74</v>
      </c>
      <c r="J38" s="24">
        <v>321.2</v>
      </c>
      <c r="K38" s="24" t="s">
        <v>168</v>
      </c>
      <c r="L38" s="25">
        <v>49702.49</v>
      </c>
      <c r="M38" s="25">
        <v>321.2</v>
      </c>
      <c r="N38" s="24">
        <v>346.2</v>
      </c>
      <c r="O38" s="24">
        <v>0</v>
      </c>
      <c r="P38" s="24" t="s">
        <v>243</v>
      </c>
      <c r="Q38" s="24" t="s">
        <v>243</v>
      </c>
      <c r="R38" s="24"/>
      <c r="S38" s="24"/>
      <c r="T38" s="24" t="s">
        <v>240</v>
      </c>
      <c r="U38" s="24">
        <v>1</v>
      </c>
      <c r="V38" s="24"/>
      <c r="W38" s="24">
        <v>9</v>
      </c>
      <c r="X38" s="24">
        <v>4473.22</v>
      </c>
      <c r="Y38" s="24">
        <v>9</v>
      </c>
      <c r="Z38" s="24">
        <v>4473.22</v>
      </c>
      <c r="AA38" s="24">
        <v>0</v>
      </c>
      <c r="AB38" s="24">
        <v>0</v>
      </c>
      <c r="AC38" s="24">
        <v>39269080</v>
      </c>
      <c r="AD38" s="24" t="s">
        <v>193</v>
      </c>
      <c r="AE38" s="27">
        <v>46212</v>
      </c>
      <c r="AF38" s="24">
        <v>0</v>
      </c>
      <c r="AG38" s="24">
        <v>0</v>
      </c>
      <c r="AH38" s="24"/>
      <c r="AI38" s="24">
        <v>0</v>
      </c>
      <c r="AJ38" s="24"/>
      <c r="AK38" s="24"/>
      <c r="AL38" s="24"/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/>
      <c r="AV38" s="24" t="s">
        <v>241</v>
      </c>
      <c r="AW38" s="24" t="s">
        <v>209</v>
      </c>
      <c r="AX38" s="24" t="s">
        <v>186</v>
      </c>
      <c r="AY38" s="24" t="s">
        <v>187</v>
      </c>
      <c r="AZ38" s="24" t="s">
        <v>169</v>
      </c>
      <c r="BA38" s="24" t="s">
        <v>180</v>
      </c>
      <c r="BB38" s="24" t="s">
        <v>155</v>
      </c>
    </row>
    <row r="39" spans="1:54" x14ac:dyDescent="0.25">
      <c r="A39" s="26"/>
      <c r="B39" s="24" t="s">
        <v>167</v>
      </c>
      <c r="C39" s="26">
        <v>329</v>
      </c>
      <c r="D39" s="27">
        <v>46212</v>
      </c>
      <c r="E39" s="24" t="s">
        <v>226</v>
      </c>
      <c r="F39" s="24" t="s">
        <v>589</v>
      </c>
      <c r="G39" s="24" t="s">
        <v>590</v>
      </c>
      <c r="H39" s="24" t="s">
        <v>356</v>
      </c>
      <c r="I39" s="24">
        <v>60</v>
      </c>
      <c r="J39" s="24">
        <v>7630</v>
      </c>
      <c r="K39" s="24" t="s">
        <v>168</v>
      </c>
      <c r="L39" s="25">
        <v>457800</v>
      </c>
      <c r="M39" s="25">
        <v>7630</v>
      </c>
      <c r="N39" s="24">
        <v>7670</v>
      </c>
      <c r="O39" s="24">
        <v>540204</v>
      </c>
      <c r="P39" s="24" t="s">
        <v>243</v>
      </c>
      <c r="Q39" s="24" t="s">
        <v>243</v>
      </c>
      <c r="R39" s="24"/>
      <c r="S39" s="24"/>
      <c r="T39" s="24" t="s">
        <v>240</v>
      </c>
      <c r="U39" s="24">
        <v>1</v>
      </c>
      <c r="V39" s="24"/>
      <c r="W39" s="24">
        <v>0</v>
      </c>
      <c r="X39" s="24">
        <v>0</v>
      </c>
      <c r="Y39" s="24">
        <v>0</v>
      </c>
      <c r="Z39" s="24">
        <v>0</v>
      </c>
      <c r="AA39" s="24">
        <v>18</v>
      </c>
      <c r="AB39" s="24">
        <v>82404</v>
      </c>
      <c r="AC39" s="24">
        <v>39269080</v>
      </c>
      <c r="AD39" s="24">
        <v>327</v>
      </c>
      <c r="AE39" s="27">
        <v>46212</v>
      </c>
      <c r="AF39" s="24">
        <v>0</v>
      </c>
      <c r="AG39" s="24">
        <v>0</v>
      </c>
      <c r="AH39" s="24"/>
      <c r="AI39" s="24">
        <v>0</v>
      </c>
      <c r="AJ39" s="24"/>
      <c r="AK39" s="24"/>
      <c r="AL39" s="24"/>
      <c r="AM39" s="24">
        <v>0</v>
      </c>
      <c r="AN39" s="24">
        <v>0</v>
      </c>
      <c r="AO39" s="24">
        <v>0</v>
      </c>
      <c r="AP39" s="24">
        <v>0</v>
      </c>
      <c r="AQ39" s="24">
        <v>0</v>
      </c>
      <c r="AR39" s="24">
        <v>0</v>
      </c>
      <c r="AS39" s="24">
        <v>0</v>
      </c>
      <c r="AT39" s="24">
        <v>0</v>
      </c>
      <c r="AU39" s="24"/>
      <c r="AV39" s="24" t="s">
        <v>258</v>
      </c>
      <c r="AW39" s="24" t="s">
        <v>209</v>
      </c>
      <c r="AX39" s="24" t="s">
        <v>178</v>
      </c>
      <c r="AY39" s="24" t="s">
        <v>179</v>
      </c>
      <c r="AZ39" s="24" t="s">
        <v>169</v>
      </c>
      <c r="BA39" s="24" t="s">
        <v>180</v>
      </c>
      <c r="BB39" s="24" t="s">
        <v>156</v>
      </c>
    </row>
    <row r="40" spans="1:54" x14ac:dyDescent="0.25">
      <c r="A40" s="26"/>
      <c r="B40" s="24" t="s">
        <v>167</v>
      </c>
      <c r="C40" s="26">
        <v>330</v>
      </c>
      <c r="D40" s="27">
        <v>46213</v>
      </c>
      <c r="E40" s="24" t="s">
        <v>219</v>
      </c>
      <c r="F40" s="24" t="s">
        <v>263</v>
      </c>
      <c r="G40" s="24" t="s">
        <v>277</v>
      </c>
      <c r="H40" s="24" t="s">
        <v>200</v>
      </c>
      <c r="I40" s="24">
        <v>260</v>
      </c>
      <c r="J40" s="24">
        <v>14.1</v>
      </c>
      <c r="K40" s="24" t="s">
        <v>168</v>
      </c>
      <c r="L40" s="25">
        <v>3666</v>
      </c>
      <c r="M40" s="25">
        <v>14.1</v>
      </c>
      <c r="N40" s="24">
        <v>14.1</v>
      </c>
      <c r="O40" s="24">
        <v>4325.88</v>
      </c>
      <c r="P40" s="24" t="s">
        <v>248</v>
      </c>
      <c r="Q40" s="24" t="s">
        <v>248</v>
      </c>
      <c r="R40" s="24"/>
      <c r="S40" s="24"/>
      <c r="T40" s="24" t="s">
        <v>240</v>
      </c>
      <c r="U40" s="24">
        <v>1</v>
      </c>
      <c r="V40" s="24"/>
      <c r="W40" s="24">
        <v>9</v>
      </c>
      <c r="X40" s="24">
        <v>329.94</v>
      </c>
      <c r="Y40" s="24">
        <v>9</v>
      </c>
      <c r="Z40" s="24">
        <v>329.94</v>
      </c>
      <c r="AA40" s="24">
        <v>0</v>
      </c>
      <c r="AB40" s="24">
        <v>0</v>
      </c>
      <c r="AC40" s="24">
        <v>39201019</v>
      </c>
      <c r="AD40" s="24" t="s">
        <v>193</v>
      </c>
      <c r="AE40" s="27">
        <v>46213</v>
      </c>
      <c r="AF40" s="24">
        <v>0</v>
      </c>
      <c r="AG40" s="24">
        <v>0</v>
      </c>
      <c r="AH40" s="24"/>
      <c r="AI40" s="24">
        <v>0</v>
      </c>
      <c r="AJ40" s="24"/>
      <c r="AK40" s="24"/>
      <c r="AL40" s="24"/>
      <c r="AM40" s="24">
        <v>0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/>
      <c r="AV40" s="24" t="s">
        <v>247</v>
      </c>
      <c r="AW40" s="24" t="s">
        <v>209</v>
      </c>
      <c r="AX40" s="24" t="s">
        <v>199</v>
      </c>
      <c r="AY40" s="24" t="s">
        <v>200</v>
      </c>
      <c r="AZ40" s="24" t="s">
        <v>169</v>
      </c>
      <c r="BA40" s="24" t="s">
        <v>201</v>
      </c>
      <c r="BB40" s="24" t="s">
        <v>158</v>
      </c>
    </row>
    <row r="41" spans="1:54" x14ac:dyDescent="0.25">
      <c r="A41" s="26"/>
      <c r="B41" s="24" t="s">
        <v>167</v>
      </c>
      <c r="C41" s="26">
        <v>332</v>
      </c>
      <c r="D41" s="27">
        <v>46213</v>
      </c>
      <c r="E41" s="24" t="s">
        <v>234</v>
      </c>
      <c r="F41" s="24" t="s">
        <v>591</v>
      </c>
      <c r="G41" s="24" t="s">
        <v>592</v>
      </c>
      <c r="H41" s="24" t="s">
        <v>359</v>
      </c>
      <c r="I41" s="24">
        <v>120</v>
      </c>
      <c r="J41" s="24">
        <v>30000</v>
      </c>
      <c r="K41" s="24" t="s">
        <v>168</v>
      </c>
      <c r="L41" s="25">
        <v>3600000</v>
      </c>
      <c r="M41" s="25">
        <v>30000</v>
      </c>
      <c r="N41" s="24">
        <v>30000</v>
      </c>
      <c r="O41" s="24">
        <v>4248000</v>
      </c>
      <c r="P41" s="24" t="s">
        <v>185</v>
      </c>
      <c r="Q41" s="24" t="s">
        <v>185</v>
      </c>
      <c r="R41" s="24"/>
      <c r="S41" s="24"/>
      <c r="T41" s="24" t="s">
        <v>240</v>
      </c>
      <c r="U41" s="24">
        <v>1</v>
      </c>
      <c r="V41" s="24"/>
      <c r="W41" s="24">
        <v>9</v>
      </c>
      <c r="X41" s="24">
        <v>324000</v>
      </c>
      <c r="Y41" s="24">
        <v>9</v>
      </c>
      <c r="Z41" s="24">
        <v>324000</v>
      </c>
      <c r="AA41" s="24">
        <v>0</v>
      </c>
      <c r="AB41" s="24">
        <v>0</v>
      </c>
      <c r="AC41" s="24">
        <v>39021000</v>
      </c>
      <c r="AD41" s="24" t="s">
        <v>193</v>
      </c>
      <c r="AE41" s="27">
        <v>46213</v>
      </c>
      <c r="AF41" s="24">
        <v>0</v>
      </c>
      <c r="AG41" s="24">
        <v>0</v>
      </c>
      <c r="AH41" s="24"/>
      <c r="AI41" s="24">
        <v>0</v>
      </c>
      <c r="AJ41" s="24"/>
      <c r="AK41" s="24"/>
      <c r="AL41" s="24"/>
      <c r="AM41" s="24">
        <v>0</v>
      </c>
      <c r="AN41" s="24">
        <v>0</v>
      </c>
      <c r="AO41" s="24">
        <v>0</v>
      </c>
      <c r="AP41" s="24">
        <v>0</v>
      </c>
      <c r="AQ41" s="24">
        <v>0</v>
      </c>
      <c r="AR41" s="24">
        <v>0</v>
      </c>
      <c r="AS41" s="24">
        <v>0</v>
      </c>
      <c r="AT41" s="24">
        <v>0</v>
      </c>
      <c r="AU41" s="24"/>
      <c r="AV41" s="24" t="s">
        <v>264</v>
      </c>
      <c r="AW41" s="24" t="s">
        <v>209</v>
      </c>
      <c r="AX41" s="24" t="s">
        <v>593</v>
      </c>
      <c r="AY41" s="24" t="s">
        <v>359</v>
      </c>
      <c r="AZ41" s="24" t="s">
        <v>171</v>
      </c>
      <c r="BA41" s="24" t="s">
        <v>185</v>
      </c>
      <c r="BB41" s="24" t="s">
        <v>166</v>
      </c>
    </row>
    <row r="42" spans="1:54" x14ac:dyDescent="0.25">
      <c r="A42" s="26"/>
      <c r="B42" s="24" t="s">
        <v>167</v>
      </c>
      <c r="C42" s="26">
        <v>333</v>
      </c>
      <c r="D42" s="27">
        <v>46213</v>
      </c>
      <c r="E42" s="24" t="s">
        <v>219</v>
      </c>
      <c r="F42" s="24" t="s">
        <v>175</v>
      </c>
      <c r="G42" s="24" t="s">
        <v>246</v>
      </c>
      <c r="H42" s="24" t="s">
        <v>182</v>
      </c>
      <c r="I42" s="24">
        <v>156.74</v>
      </c>
      <c r="J42" s="24">
        <v>237.2</v>
      </c>
      <c r="K42" s="24" t="s">
        <v>168</v>
      </c>
      <c r="L42" s="25">
        <v>37178.730000000003</v>
      </c>
      <c r="M42" s="25">
        <v>237.2</v>
      </c>
      <c r="N42" s="24">
        <v>237.2</v>
      </c>
      <c r="O42" s="24">
        <v>324932.93</v>
      </c>
      <c r="P42" s="24" t="s">
        <v>248</v>
      </c>
      <c r="Q42" s="24" t="s">
        <v>182</v>
      </c>
      <c r="R42" s="24"/>
      <c r="S42" s="24"/>
      <c r="T42" s="24" t="s">
        <v>240</v>
      </c>
      <c r="U42" s="24">
        <v>1</v>
      </c>
      <c r="V42" s="24"/>
      <c r="W42" s="24">
        <v>9</v>
      </c>
      <c r="X42" s="24">
        <v>3346.09</v>
      </c>
      <c r="Y42" s="24">
        <v>9</v>
      </c>
      <c r="Z42" s="24">
        <v>3346.09</v>
      </c>
      <c r="AA42" s="24">
        <v>0</v>
      </c>
      <c r="AB42" s="24">
        <v>0</v>
      </c>
      <c r="AC42" s="24">
        <v>39269080</v>
      </c>
      <c r="AD42" s="24" t="s">
        <v>193</v>
      </c>
      <c r="AE42" s="27">
        <v>46213</v>
      </c>
      <c r="AF42" s="24">
        <v>0</v>
      </c>
      <c r="AG42" s="24">
        <v>0</v>
      </c>
      <c r="AH42" s="24"/>
      <c r="AI42" s="24">
        <v>0</v>
      </c>
      <c r="AJ42" s="24"/>
      <c r="AK42" s="24"/>
      <c r="AL42" s="24"/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0</v>
      </c>
      <c r="AU42" s="24"/>
      <c r="AV42" s="24" t="s">
        <v>247</v>
      </c>
      <c r="AW42" s="24" t="s">
        <v>209</v>
      </c>
      <c r="AX42" s="24" t="s">
        <v>181</v>
      </c>
      <c r="AY42" s="24" t="s">
        <v>182</v>
      </c>
      <c r="AZ42" s="24" t="s">
        <v>169</v>
      </c>
      <c r="BA42" s="24" t="s">
        <v>182</v>
      </c>
      <c r="BB42" s="24" t="s">
        <v>154</v>
      </c>
    </row>
    <row r="43" spans="1:54" x14ac:dyDescent="0.25">
      <c r="A43" s="26"/>
      <c r="B43" s="24" t="s">
        <v>167</v>
      </c>
      <c r="C43" s="26">
        <v>333</v>
      </c>
      <c r="D43" s="27">
        <v>46213</v>
      </c>
      <c r="E43" s="24" t="s">
        <v>219</v>
      </c>
      <c r="F43" s="24" t="s">
        <v>175</v>
      </c>
      <c r="G43" s="24" t="s">
        <v>244</v>
      </c>
      <c r="H43" s="24" t="s">
        <v>235</v>
      </c>
      <c r="I43" s="24">
        <v>134.74</v>
      </c>
      <c r="J43" s="24">
        <v>231</v>
      </c>
      <c r="K43" s="24" t="s">
        <v>168</v>
      </c>
      <c r="L43" s="25">
        <v>31124.94</v>
      </c>
      <c r="M43" s="25">
        <v>231</v>
      </c>
      <c r="N43" s="24">
        <v>231</v>
      </c>
      <c r="O43" s="24">
        <v>0</v>
      </c>
      <c r="P43" s="24" t="s">
        <v>248</v>
      </c>
      <c r="Q43" s="24" t="s">
        <v>243</v>
      </c>
      <c r="R43" s="24"/>
      <c r="S43" s="24"/>
      <c r="T43" s="24" t="s">
        <v>240</v>
      </c>
      <c r="U43" s="24">
        <v>1</v>
      </c>
      <c r="V43" s="24"/>
      <c r="W43" s="24">
        <v>9</v>
      </c>
      <c r="X43" s="24">
        <v>2801.24</v>
      </c>
      <c r="Y43" s="24">
        <v>9</v>
      </c>
      <c r="Z43" s="24">
        <v>2801.24</v>
      </c>
      <c r="AA43" s="24">
        <v>0</v>
      </c>
      <c r="AB43" s="24">
        <v>0</v>
      </c>
      <c r="AC43" s="24">
        <v>39269080</v>
      </c>
      <c r="AD43" s="24" t="s">
        <v>193</v>
      </c>
      <c r="AE43" s="27">
        <v>46213</v>
      </c>
      <c r="AF43" s="24">
        <v>0</v>
      </c>
      <c r="AG43" s="24">
        <v>0</v>
      </c>
      <c r="AH43" s="24"/>
      <c r="AI43" s="24">
        <v>0</v>
      </c>
      <c r="AJ43" s="24"/>
      <c r="AK43" s="24"/>
      <c r="AL43" s="24"/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0</v>
      </c>
      <c r="AU43" s="24"/>
      <c r="AV43" s="24" t="s">
        <v>247</v>
      </c>
      <c r="AW43" s="24" t="s">
        <v>209</v>
      </c>
      <c r="AX43" s="24" t="s">
        <v>245</v>
      </c>
      <c r="AY43" s="24" t="s">
        <v>153</v>
      </c>
      <c r="AZ43" s="24" t="s">
        <v>192</v>
      </c>
      <c r="BA43" s="24" t="s">
        <v>153</v>
      </c>
      <c r="BB43" s="24" t="s">
        <v>153</v>
      </c>
    </row>
    <row r="44" spans="1:54" x14ac:dyDescent="0.25">
      <c r="A44" s="26"/>
      <c r="B44" s="24" t="s">
        <v>167</v>
      </c>
      <c r="C44" s="26">
        <v>333</v>
      </c>
      <c r="D44" s="27">
        <v>46213</v>
      </c>
      <c r="E44" s="24" t="s">
        <v>219</v>
      </c>
      <c r="F44" s="24" t="s">
        <v>175</v>
      </c>
      <c r="G44" s="24" t="s">
        <v>579</v>
      </c>
      <c r="H44" s="24" t="s">
        <v>291</v>
      </c>
      <c r="I44" s="24">
        <v>201.21</v>
      </c>
      <c r="J44" s="24">
        <v>87.1</v>
      </c>
      <c r="K44" s="24" t="s">
        <v>168</v>
      </c>
      <c r="L44" s="25">
        <v>17525.39</v>
      </c>
      <c r="M44" s="25">
        <v>87.1</v>
      </c>
      <c r="N44" s="24">
        <v>87.1</v>
      </c>
      <c r="O44" s="24">
        <v>0</v>
      </c>
      <c r="P44" s="24" t="s">
        <v>248</v>
      </c>
      <c r="Q44" s="24" t="s">
        <v>283</v>
      </c>
      <c r="R44" s="24"/>
      <c r="S44" s="24"/>
      <c r="T44" s="24" t="s">
        <v>240</v>
      </c>
      <c r="U44" s="24">
        <v>1</v>
      </c>
      <c r="V44" s="24"/>
      <c r="W44" s="24">
        <v>2.5</v>
      </c>
      <c r="X44" s="24">
        <v>438.13</v>
      </c>
      <c r="Y44" s="24">
        <v>2.5</v>
      </c>
      <c r="Z44" s="24">
        <v>438.13</v>
      </c>
      <c r="AA44" s="24">
        <v>0</v>
      </c>
      <c r="AB44" s="24">
        <v>0</v>
      </c>
      <c r="AC44" s="24">
        <v>54026930</v>
      </c>
      <c r="AD44" s="24" t="s">
        <v>193</v>
      </c>
      <c r="AE44" s="27">
        <v>46213</v>
      </c>
      <c r="AF44" s="24">
        <v>0</v>
      </c>
      <c r="AG44" s="24">
        <v>0</v>
      </c>
      <c r="AH44" s="24"/>
      <c r="AI44" s="24">
        <v>0</v>
      </c>
      <c r="AJ44" s="24"/>
      <c r="AK44" s="24"/>
      <c r="AL44" s="24"/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4">
        <v>0</v>
      </c>
      <c r="AT44" s="24">
        <v>0</v>
      </c>
      <c r="AU44" s="24"/>
      <c r="AV44" s="24" t="s">
        <v>247</v>
      </c>
      <c r="AW44" s="24" t="s">
        <v>209</v>
      </c>
      <c r="AX44" s="24" t="s">
        <v>292</v>
      </c>
      <c r="AY44" s="24" t="s">
        <v>291</v>
      </c>
      <c r="AZ44" s="24" t="s">
        <v>169</v>
      </c>
      <c r="BA44" s="24" t="s">
        <v>170</v>
      </c>
      <c r="BB44" s="24" t="s">
        <v>157</v>
      </c>
    </row>
    <row r="45" spans="1:54" x14ac:dyDescent="0.25">
      <c r="A45" s="26"/>
      <c r="B45" s="24" t="s">
        <v>167</v>
      </c>
      <c r="C45" s="26">
        <v>333</v>
      </c>
      <c r="D45" s="27">
        <v>46213</v>
      </c>
      <c r="E45" s="24" t="s">
        <v>219</v>
      </c>
      <c r="F45" s="24" t="s">
        <v>175</v>
      </c>
      <c r="G45" s="24" t="s">
        <v>244</v>
      </c>
      <c r="H45" s="24" t="s">
        <v>362</v>
      </c>
      <c r="I45" s="24">
        <v>158.74</v>
      </c>
      <c r="J45" s="24">
        <v>420</v>
      </c>
      <c r="K45" s="24" t="s">
        <v>168</v>
      </c>
      <c r="L45" s="25">
        <v>66670.8</v>
      </c>
      <c r="M45" s="25">
        <v>420</v>
      </c>
      <c r="N45" s="24">
        <v>420</v>
      </c>
      <c r="O45" s="24">
        <v>0</v>
      </c>
      <c r="P45" s="24" t="s">
        <v>248</v>
      </c>
      <c r="Q45" s="24" t="s">
        <v>243</v>
      </c>
      <c r="R45" s="24"/>
      <c r="S45" s="24"/>
      <c r="T45" s="24" t="s">
        <v>240</v>
      </c>
      <c r="U45" s="24">
        <v>1</v>
      </c>
      <c r="V45" s="24"/>
      <c r="W45" s="24">
        <v>9</v>
      </c>
      <c r="X45" s="24">
        <v>6000.37</v>
      </c>
      <c r="Y45" s="24">
        <v>9</v>
      </c>
      <c r="Z45" s="24">
        <v>6000.37</v>
      </c>
      <c r="AA45" s="24">
        <v>0</v>
      </c>
      <c r="AB45" s="24">
        <v>0</v>
      </c>
      <c r="AC45" s="24">
        <v>39269080</v>
      </c>
      <c r="AD45" s="24" t="s">
        <v>193</v>
      </c>
      <c r="AE45" s="27">
        <v>46213</v>
      </c>
      <c r="AF45" s="24">
        <v>0</v>
      </c>
      <c r="AG45" s="24">
        <v>0</v>
      </c>
      <c r="AH45" s="24"/>
      <c r="AI45" s="24">
        <v>0</v>
      </c>
      <c r="AJ45" s="24"/>
      <c r="AK45" s="24"/>
      <c r="AL45" s="24"/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4">
        <v>0</v>
      </c>
      <c r="AU45" s="24"/>
      <c r="AV45" s="24" t="s">
        <v>247</v>
      </c>
      <c r="AW45" s="24" t="s">
        <v>209</v>
      </c>
      <c r="AX45" s="24" t="s">
        <v>178</v>
      </c>
      <c r="AY45" s="24" t="s">
        <v>179</v>
      </c>
      <c r="AZ45" s="24" t="s">
        <v>169</v>
      </c>
      <c r="BA45" s="24" t="s">
        <v>180</v>
      </c>
      <c r="BB45" s="24" t="s">
        <v>156</v>
      </c>
    </row>
    <row r="46" spans="1:54" x14ac:dyDescent="0.25">
      <c r="A46" s="26"/>
      <c r="B46" s="24" t="s">
        <v>167</v>
      </c>
      <c r="C46" s="26">
        <v>333</v>
      </c>
      <c r="D46" s="27">
        <v>46213</v>
      </c>
      <c r="E46" s="24" t="s">
        <v>219</v>
      </c>
      <c r="F46" s="24" t="s">
        <v>175</v>
      </c>
      <c r="G46" s="24" t="s">
        <v>242</v>
      </c>
      <c r="H46" s="24" t="s">
        <v>187</v>
      </c>
      <c r="I46" s="24">
        <v>154.74</v>
      </c>
      <c r="J46" s="24">
        <v>806.5</v>
      </c>
      <c r="K46" s="24" t="s">
        <v>168</v>
      </c>
      <c r="L46" s="25">
        <v>124797.81</v>
      </c>
      <c r="M46" s="25">
        <v>806.5</v>
      </c>
      <c r="N46" s="24">
        <v>806.5</v>
      </c>
      <c r="O46" s="24">
        <v>0</v>
      </c>
      <c r="P46" s="24" t="s">
        <v>248</v>
      </c>
      <c r="Q46" s="24" t="s">
        <v>243</v>
      </c>
      <c r="R46" s="24"/>
      <c r="S46" s="24"/>
      <c r="T46" s="24" t="s">
        <v>240</v>
      </c>
      <c r="U46" s="24">
        <v>1</v>
      </c>
      <c r="V46" s="24"/>
      <c r="W46" s="24">
        <v>9</v>
      </c>
      <c r="X46" s="24">
        <v>11231.8</v>
      </c>
      <c r="Y46" s="24">
        <v>9</v>
      </c>
      <c r="Z46" s="24">
        <v>11231.8</v>
      </c>
      <c r="AA46" s="24">
        <v>0</v>
      </c>
      <c r="AB46" s="24">
        <v>0</v>
      </c>
      <c r="AC46" s="24">
        <v>39269080</v>
      </c>
      <c r="AD46" s="24" t="s">
        <v>193</v>
      </c>
      <c r="AE46" s="27">
        <v>46213</v>
      </c>
      <c r="AF46" s="24">
        <v>0</v>
      </c>
      <c r="AG46" s="24">
        <v>0</v>
      </c>
      <c r="AH46" s="24"/>
      <c r="AI46" s="24">
        <v>0</v>
      </c>
      <c r="AJ46" s="24"/>
      <c r="AK46" s="24"/>
      <c r="AL46" s="24"/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4">
        <v>0</v>
      </c>
      <c r="AS46" s="24">
        <v>0</v>
      </c>
      <c r="AT46" s="24">
        <v>0</v>
      </c>
      <c r="AU46" s="24"/>
      <c r="AV46" s="24" t="s">
        <v>247</v>
      </c>
      <c r="AW46" s="24" t="s">
        <v>209</v>
      </c>
      <c r="AX46" s="24" t="s">
        <v>186</v>
      </c>
      <c r="AY46" s="24" t="s">
        <v>187</v>
      </c>
      <c r="AZ46" s="24" t="s">
        <v>169</v>
      </c>
      <c r="BA46" s="24" t="s">
        <v>180</v>
      </c>
      <c r="BB46" s="24" t="s">
        <v>155</v>
      </c>
    </row>
    <row r="47" spans="1:54" x14ac:dyDescent="0.25">
      <c r="A47" s="26"/>
      <c r="B47" s="24" t="s">
        <v>167</v>
      </c>
      <c r="C47" s="26">
        <v>337</v>
      </c>
      <c r="D47" s="27">
        <v>46213</v>
      </c>
      <c r="E47" s="24" t="s">
        <v>363</v>
      </c>
      <c r="F47" s="24" t="s">
        <v>595</v>
      </c>
      <c r="G47" s="24" t="s">
        <v>244</v>
      </c>
      <c r="H47" s="24" t="s">
        <v>179</v>
      </c>
      <c r="I47" s="24">
        <v>156.74</v>
      </c>
      <c r="J47" s="24">
        <v>921</v>
      </c>
      <c r="K47" s="24" t="s">
        <v>168</v>
      </c>
      <c r="L47" s="25">
        <v>144357.54</v>
      </c>
      <c r="M47" s="25">
        <v>921</v>
      </c>
      <c r="N47" s="24">
        <v>961</v>
      </c>
      <c r="O47" s="24">
        <v>970623.91</v>
      </c>
      <c r="P47" s="24" t="s">
        <v>243</v>
      </c>
      <c r="Q47" s="24" t="s">
        <v>243</v>
      </c>
      <c r="R47" s="24"/>
      <c r="S47" s="24"/>
      <c r="T47" s="24" t="s">
        <v>240</v>
      </c>
      <c r="U47" s="24">
        <v>1</v>
      </c>
      <c r="V47" s="24"/>
      <c r="W47" s="24">
        <v>9</v>
      </c>
      <c r="X47" s="24">
        <v>12992.18</v>
      </c>
      <c r="Y47" s="24">
        <v>9</v>
      </c>
      <c r="Z47" s="24">
        <v>12992.18</v>
      </c>
      <c r="AA47" s="24">
        <v>0</v>
      </c>
      <c r="AB47" s="24">
        <v>0</v>
      </c>
      <c r="AC47" s="24">
        <v>39269080</v>
      </c>
      <c r="AD47" s="24">
        <v>3924</v>
      </c>
      <c r="AE47" s="27">
        <v>46213</v>
      </c>
      <c r="AF47" s="24">
        <v>0</v>
      </c>
      <c r="AG47" s="24">
        <v>0</v>
      </c>
      <c r="AH47" s="24"/>
      <c r="AI47" s="24">
        <v>0</v>
      </c>
      <c r="AJ47" s="24"/>
      <c r="AK47" s="24"/>
      <c r="AL47" s="24"/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0</v>
      </c>
      <c r="AS47" s="24">
        <v>0</v>
      </c>
      <c r="AT47" s="24">
        <v>0</v>
      </c>
      <c r="AU47" s="24"/>
      <c r="AV47" s="24" t="s">
        <v>594</v>
      </c>
      <c r="AW47" s="24" t="s">
        <v>209</v>
      </c>
      <c r="AX47" s="24" t="s">
        <v>178</v>
      </c>
      <c r="AY47" s="24" t="s">
        <v>179</v>
      </c>
      <c r="AZ47" s="24" t="s">
        <v>169</v>
      </c>
      <c r="BA47" s="24" t="s">
        <v>180</v>
      </c>
      <c r="BB47" s="24" t="s">
        <v>156</v>
      </c>
    </row>
    <row r="48" spans="1:54" x14ac:dyDescent="0.25">
      <c r="A48" s="26"/>
      <c r="B48" s="24" t="s">
        <v>167</v>
      </c>
      <c r="C48" s="26">
        <v>337</v>
      </c>
      <c r="D48" s="27">
        <v>46213</v>
      </c>
      <c r="E48" s="24" t="s">
        <v>363</v>
      </c>
      <c r="F48" s="24" t="s">
        <v>595</v>
      </c>
      <c r="G48" s="24" t="s">
        <v>244</v>
      </c>
      <c r="H48" s="24" t="s">
        <v>365</v>
      </c>
      <c r="I48" s="24">
        <v>158.74</v>
      </c>
      <c r="J48" s="24">
        <v>477</v>
      </c>
      <c r="K48" s="24" t="s">
        <v>168</v>
      </c>
      <c r="L48" s="25">
        <v>75718.98</v>
      </c>
      <c r="M48" s="25">
        <v>477</v>
      </c>
      <c r="N48" s="24">
        <v>501</v>
      </c>
      <c r="O48" s="24">
        <v>0</v>
      </c>
      <c r="P48" s="24" t="s">
        <v>243</v>
      </c>
      <c r="Q48" s="24" t="s">
        <v>243</v>
      </c>
      <c r="R48" s="24"/>
      <c r="S48" s="24"/>
      <c r="T48" s="24" t="s">
        <v>240</v>
      </c>
      <c r="U48" s="24">
        <v>1</v>
      </c>
      <c r="V48" s="24"/>
      <c r="W48" s="24">
        <v>9</v>
      </c>
      <c r="X48" s="24">
        <v>6814.71</v>
      </c>
      <c r="Y48" s="24">
        <v>9</v>
      </c>
      <c r="Z48" s="24">
        <v>6814.71</v>
      </c>
      <c r="AA48" s="24">
        <v>0</v>
      </c>
      <c r="AB48" s="24">
        <v>0</v>
      </c>
      <c r="AC48" s="24">
        <v>39269080</v>
      </c>
      <c r="AD48" s="24">
        <v>3924</v>
      </c>
      <c r="AE48" s="27">
        <v>46213</v>
      </c>
      <c r="AF48" s="24">
        <v>0</v>
      </c>
      <c r="AG48" s="24">
        <v>0</v>
      </c>
      <c r="AH48" s="24"/>
      <c r="AI48" s="24">
        <v>0</v>
      </c>
      <c r="AJ48" s="24"/>
      <c r="AK48" s="24"/>
      <c r="AL48" s="24"/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0</v>
      </c>
      <c r="AS48" s="24">
        <v>0</v>
      </c>
      <c r="AT48" s="24">
        <v>0</v>
      </c>
      <c r="AU48" s="24"/>
      <c r="AV48" s="24" t="s">
        <v>594</v>
      </c>
      <c r="AW48" s="24" t="s">
        <v>209</v>
      </c>
      <c r="AX48" s="24" t="s">
        <v>178</v>
      </c>
      <c r="AY48" s="24" t="s">
        <v>179</v>
      </c>
      <c r="AZ48" s="24" t="s">
        <v>169</v>
      </c>
      <c r="BA48" s="24" t="s">
        <v>180</v>
      </c>
      <c r="BB48" s="24" t="s">
        <v>156</v>
      </c>
    </row>
    <row r="49" spans="1:54" x14ac:dyDescent="0.25">
      <c r="A49" s="26"/>
      <c r="B49" s="24" t="s">
        <v>167</v>
      </c>
      <c r="C49" s="26">
        <v>337</v>
      </c>
      <c r="D49" s="27">
        <v>46213</v>
      </c>
      <c r="E49" s="24" t="s">
        <v>363</v>
      </c>
      <c r="F49" s="24" t="s">
        <v>595</v>
      </c>
      <c r="G49" s="24" t="s">
        <v>242</v>
      </c>
      <c r="H49" s="24" t="s">
        <v>187</v>
      </c>
      <c r="I49" s="24">
        <v>154.74</v>
      </c>
      <c r="J49" s="24">
        <v>1805.9</v>
      </c>
      <c r="K49" s="24" t="s">
        <v>168</v>
      </c>
      <c r="L49" s="25">
        <v>279444.96999999997</v>
      </c>
      <c r="M49" s="25">
        <v>1805.9</v>
      </c>
      <c r="N49" s="24">
        <v>1863.9</v>
      </c>
      <c r="O49" s="24">
        <v>0</v>
      </c>
      <c r="P49" s="24" t="s">
        <v>243</v>
      </c>
      <c r="Q49" s="24" t="s">
        <v>243</v>
      </c>
      <c r="R49" s="24"/>
      <c r="S49" s="24"/>
      <c r="T49" s="24" t="s">
        <v>240</v>
      </c>
      <c r="U49" s="24">
        <v>1</v>
      </c>
      <c r="V49" s="24"/>
      <c r="W49" s="24">
        <v>9</v>
      </c>
      <c r="X49" s="24">
        <v>25150.05</v>
      </c>
      <c r="Y49" s="24">
        <v>9</v>
      </c>
      <c r="Z49" s="24">
        <v>25150.05</v>
      </c>
      <c r="AA49" s="24">
        <v>0</v>
      </c>
      <c r="AB49" s="24">
        <v>0</v>
      </c>
      <c r="AC49" s="24">
        <v>39269080</v>
      </c>
      <c r="AD49" s="24">
        <v>3924</v>
      </c>
      <c r="AE49" s="27">
        <v>46213</v>
      </c>
      <c r="AF49" s="24">
        <v>0</v>
      </c>
      <c r="AG49" s="24">
        <v>0</v>
      </c>
      <c r="AH49" s="24"/>
      <c r="AI49" s="24">
        <v>0</v>
      </c>
      <c r="AJ49" s="24"/>
      <c r="AK49" s="24"/>
      <c r="AL49" s="24"/>
      <c r="AM49" s="24">
        <v>0</v>
      </c>
      <c r="AN49" s="24">
        <v>0</v>
      </c>
      <c r="AO49" s="24">
        <v>0</v>
      </c>
      <c r="AP49" s="24">
        <v>0</v>
      </c>
      <c r="AQ49" s="24">
        <v>0</v>
      </c>
      <c r="AR49" s="24">
        <v>0</v>
      </c>
      <c r="AS49" s="24">
        <v>0</v>
      </c>
      <c r="AT49" s="24">
        <v>0</v>
      </c>
      <c r="AU49" s="24"/>
      <c r="AV49" s="24" t="s">
        <v>594</v>
      </c>
      <c r="AW49" s="24" t="s">
        <v>209</v>
      </c>
      <c r="AX49" s="24" t="s">
        <v>186</v>
      </c>
      <c r="AY49" s="24" t="s">
        <v>187</v>
      </c>
      <c r="AZ49" s="24" t="s">
        <v>169</v>
      </c>
      <c r="BA49" s="24" t="s">
        <v>180</v>
      </c>
      <c r="BB49" s="24" t="s">
        <v>155</v>
      </c>
    </row>
    <row r="50" spans="1:54" x14ac:dyDescent="0.25">
      <c r="A50" s="26"/>
      <c r="B50" s="24" t="s">
        <v>167</v>
      </c>
      <c r="C50" s="26">
        <v>337</v>
      </c>
      <c r="D50" s="27">
        <v>46213</v>
      </c>
      <c r="E50" s="24" t="s">
        <v>363</v>
      </c>
      <c r="F50" s="24" t="s">
        <v>595</v>
      </c>
      <c r="G50" s="24" t="s">
        <v>242</v>
      </c>
      <c r="H50" s="24" t="s">
        <v>367</v>
      </c>
      <c r="I50" s="24">
        <v>156.74</v>
      </c>
      <c r="J50" s="24">
        <v>812</v>
      </c>
      <c r="K50" s="24" t="s">
        <v>168</v>
      </c>
      <c r="L50" s="25">
        <v>127272.88</v>
      </c>
      <c r="M50" s="25">
        <v>812</v>
      </c>
      <c r="N50" s="24">
        <v>840</v>
      </c>
      <c r="O50" s="24">
        <v>0</v>
      </c>
      <c r="P50" s="24" t="s">
        <v>243</v>
      </c>
      <c r="Q50" s="24" t="s">
        <v>243</v>
      </c>
      <c r="R50" s="24"/>
      <c r="S50" s="24"/>
      <c r="T50" s="24" t="s">
        <v>240</v>
      </c>
      <c r="U50" s="24">
        <v>1</v>
      </c>
      <c r="V50" s="24"/>
      <c r="W50" s="24">
        <v>9</v>
      </c>
      <c r="X50" s="24">
        <v>11454.56</v>
      </c>
      <c r="Y50" s="24">
        <v>9</v>
      </c>
      <c r="Z50" s="24">
        <v>11454.56</v>
      </c>
      <c r="AA50" s="24">
        <v>0</v>
      </c>
      <c r="AB50" s="24">
        <v>0</v>
      </c>
      <c r="AC50" s="24">
        <v>39269080</v>
      </c>
      <c r="AD50" s="24">
        <v>3924</v>
      </c>
      <c r="AE50" s="27">
        <v>46213</v>
      </c>
      <c r="AF50" s="24">
        <v>0</v>
      </c>
      <c r="AG50" s="24">
        <v>0</v>
      </c>
      <c r="AH50" s="24"/>
      <c r="AI50" s="24">
        <v>0</v>
      </c>
      <c r="AJ50" s="24"/>
      <c r="AK50" s="24"/>
      <c r="AL50" s="24"/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0</v>
      </c>
      <c r="AS50" s="24">
        <v>0</v>
      </c>
      <c r="AT50" s="24">
        <v>0</v>
      </c>
      <c r="AU50" s="24"/>
      <c r="AV50" s="24" t="s">
        <v>594</v>
      </c>
      <c r="AW50" s="24" t="s">
        <v>209</v>
      </c>
      <c r="AX50" s="24" t="s">
        <v>186</v>
      </c>
      <c r="AY50" s="24" t="s">
        <v>187</v>
      </c>
      <c r="AZ50" s="24" t="s">
        <v>169</v>
      </c>
      <c r="BA50" s="24" t="s">
        <v>180</v>
      </c>
      <c r="BB50" s="24" t="s">
        <v>155</v>
      </c>
    </row>
    <row r="51" spans="1:54" x14ac:dyDescent="0.25">
      <c r="A51" s="26"/>
      <c r="B51" s="24" t="s">
        <v>167</v>
      </c>
      <c r="C51" s="26">
        <v>337</v>
      </c>
      <c r="D51" s="27">
        <v>46213</v>
      </c>
      <c r="E51" s="24" t="s">
        <v>363</v>
      </c>
      <c r="F51" s="24" t="s">
        <v>595</v>
      </c>
      <c r="G51" s="24" t="s">
        <v>246</v>
      </c>
      <c r="H51" s="24" t="s">
        <v>366</v>
      </c>
      <c r="I51" s="24">
        <v>156.74</v>
      </c>
      <c r="J51" s="24">
        <v>726</v>
      </c>
      <c r="K51" s="24" t="s">
        <v>168</v>
      </c>
      <c r="L51" s="25">
        <v>113793.24</v>
      </c>
      <c r="M51" s="25">
        <v>726</v>
      </c>
      <c r="N51" s="24">
        <v>726</v>
      </c>
      <c r="O51" s="24">
        <v>0</v>
      </c>
      <c r="P51" s="24" t="s">
        <v>243</v>
      </c>
      <c r="Q51" s="24" t="s">
        <v>182</v>
      </c>
      <c r="R51" s="24"/>
      <c r="S51" s="24"/>
      <c r="T51" s="24" t="s">
        <v>240</v>
      </c>
      <c r="U51" s="24">
        <v>1</v>
      </c>
      <c r="V51" s="24"/>
      <c r="W51" s="24">
        <v>9</v>
      </c>
      <c r="X51" s="24">
        <v>10241.39</v>
      </c>
      <c r="Y51" s="24">
        <v>9</v>
      </c>
      <c r="Z51" s="24">
        <v>10241.39</v>
      </c>
      <c r="AA51" s="24">
        <v>0</v>
      </c>
      <c r="AB51" s="24">
        <v>0</v>
      </c>
      <c r="AC51" s="24">
        <v>39269080</v>
      </c>
      <c r="AD51" s="24">
        <v>3924</v>
      </c>
      <c r="AE51" s="27">
        <v>46213</v>
      </c>
      <c r="AF51" s="24">
        <v>0</v>
      </c>
      <c r="AG51" s="24">
        <v>0</v>
      </c>
      <c r="AH51" s="24"/>
      <c r="AI51" s="24">
        <v>0</v>
      </c>
      <c r="AJ51" s="24"/>
      <c r="AK51" s="24"/>
      <c r="AL51" s="24"/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4">
        <v>0</v>
      </c>
      <c r="AU51" s="24"/>
      <c r="AV51" s="24" t="s">
        <v>594</v>
      </c>
      <c r="AW51" s="24" t="s">
        <v>209</v>
      </c>
      <c r="AX51" s="24" t="s">
        <v>181</v>
      </c>
      <c r="AY51" s="24" t="s">
        <v>182</v>
      </c>
      <c r="AZ51" s="24" t="s">
        <v>169</v>
      </c>
      <c r="BA51" s="24" t="s">
        <v>182</v>
      </c>
      <c r="BB51" s="24" t="s">
        <v>154</v>
      </c>
    </row>
    <row r="52" spans="1:54" x14ac:dyDescent="0.25">
      <c r="A52" s="26"/>
      <c r="B52" s="24" t="s">
        <v>167</v>
      </c>
      <c r="C52" s="26">
        <v>337</v>
      </c>
      <c r="D52" s="27">
        <v>46213</v>
      </c>
      <c r="E52" s="24" t="s">
        <v>363</v>
      </c>
      <c r="F52" s="24" t="s">
        <v>595</v>
      </c>
      <c r="G52" s="24" t="s">
        <v>244</v>
      </c>
      <c r="H52" s="24" t="s">
        <v>293</v>
      </c>
      <c r="I52" s="24">
        <v>156.74</v>
      </c>
      <c r="J52" s="24">
        <v>523</v>
      </c>
      <c r="K52" s="24" t="s">
        <v>168</v>
      </c>
      <c r="L52" s="25">
        <v>81975.02</v>
      </c>
      <c r="M52" s="25">
        <v>523</v>
      </c>
      <c r="N52" s="24">
        <v>523</v>
      </c>
      <c r="O52" s="24">
        <v>0</v>
      </c>
      <c r="P52" s="24" t="s">
        <v>243</v>
      </c>
      <c r="Q52" s="24" t="s">
        <v>243</v>
      </c>
      <c r="R52" s="24"/>
      <c r="S52" s="24"/>
      <c r="T52" s="24" t="s">
        <v>240</v>
      </c>
      <c r="U52" s="24">
        <v>1</v>
      </c>
      <c r="V52" s="24"/>
      <c r="W52" s="24">
        <v>9</v>
      </c>
      <c r="X52" s="24">
        <v>7377.75</v>
      </c>
      <c r="Y52" s="24">
        <v>9</v>
      </c>
      <c r="Z52" s="24">
        <v>7377.75</v>
      </c>
      <c r="AA52" s="24">
        <v>0</v>
      </c>
      <c r="AB52" s="24">
        <v>0</v>
      </c>
      <c r="AC52" s="24">
        <v>39269080</v>
      </c>
      <c r="AD52" s="24">
        <v>3924</v>
      </c>
      <c r="AE52" s="27">
        <v>46213</v>
      </c>
      <c r="AF52" s="24">
        <v>0</v>
      </c>
      <c r="AG52" s="24">
        <v>0</v>
      </c>
      <c r="AH52" s="24"/>
      <c r="AI52" s="24">
        <v>0</v>
      </c>
      <c r="AJ52" s="24"/>
      <c r="AK52" s="24"/>
      <c r="AL52" s="24"/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4">
        <v>0</v>
      </c>
      <c r="AS52" s="24">
        <v>0</v>
      </c>
      <c r="AT52" s="24">
        <v>0</v>
      </c>
      <c r="AU52" s="24"/>
      <c r="AV52" s="24" t="s">
        <v>594</v>
      </c>
      <c r="AW52" s="24" t="s">
        <v>209</v>
      </c>
      <c r="AX52" s="24" t="s">
        <v>245</v>
      </c>
      <c r="AY52" s="24" t="s">
        <v>153</v>
      </c>
      <c r="AZ52" s="24" t="s">
        <v>192</v>
      </c>
      <c r="BA52" s="24" t="s">
        <v>153</v>
      </c>
      <c r="BB52" s="24" t="s">
        <v>153</v>
      </c>
    </row>
    <row r="53" spans="1:54" x14ac:dyDescent="0.25">
      <c r="A53" s="26"/>
      <c r="B53" s="24" t="s">
        <v>167</v>
      </c>
      <c r="C53" s="26">
        <v>338</v>
      </c>
      <c r="D53" s="27">
        <v>46214</v>
      </c>
      <c r="E53" s="24" t="s">
        <v>219</v>
      </c>
      <c r="F53" s="24" t="s">
        <v>596</v>
      </c>
      <c r="G53" s="24" t="s">
        <v>239</v>
      </c>
      <c r="H53" s="24" t="s">
        <v>380</v>
      </c>
      <c r="I53" s="24">
        <v>188.92</v>
      </c>
      <c r="J53" s="24">
        <v>8405</v>
      </c>
      <c r="K53" s="24" t="s">
        <v>168</v>
      </c>
      <c r="L53" s="25">
        <v>1587872.6</v>
      </c>
      <c r="M53" s="25">
        <v>8405</v>
      </c>
      <c r="N53" s="24">
        <v>8405</v>
      </c>
      <c r="O53" s="24">
        <v>4715388.3</v>
      </c>
      <c r="P53" s="24" t="s">
        <v>207</v>
      </c>
      <c r="Q53" s="24" t="s">
        <v>207</v>
      </c>
      <c r="R53" s="24"/>
      <c r="S53" s="24"/>
      <c r="T53" s="24" t="s">
        <v>240</v>
      </c>
      <c r="U53" s="24">
        <v>1</v>
      </c>
      <c r="V53" s="24"/>
      <c r="W53" s="24">
        <v>9</v>
      </c>
      <c r="X53" s="24">
        <v>142908.53</v>
      </c>
      <c r="Y53" s="24">
        <v>9</v>
      </c>
      <c r="Z53" s="24">
        <v>142908.53</v>
      </c>
      <c r="AA53" s="24">
        <v>0</v>
      </c>
      <c r="AB53" s="24">
        <v>0</v>
      </c>
      <c r="AC53" s="24">
        <v>39232999</v>
      </c>
      <c r="AD53" s="24" t="s">
        <v>193</v>
      </c>
      <c r="AE53" s="27">
        <v>46214</v>
      </c>
      <c r="AF53" s="24">
        <v>0</v>
      </c>
      <c r="AG53" s="24">
        <v>0</v>
      </c>
      <c r="AH53" s="24"/>
      <c r="AI53" s="24">
        <v>0</v>
      </c>
      <c r="AJ53" s="24"/>
      <c r="AK53" s="24"/>
      <c r="AL53" s="24"/>
      <c r="AM53" s="24">
        <v>0</v>
      </c>
      <c r="AN53" s="24">
        <v>0</v>
      </c>
      <c r="AO53" s="24">
        <v>0</v>
      </c>
      <c r="AP53" s="24">
        <v>0</v>
      </c>
      <c r="AQ53" s="24">
        <v>0</v>
      </c>
      <c r="AR53" s="24">
        <v>0</v>
      </c>
      <c r="AS53" s="24">
        <v>0</v>
      </c>
      <c r="AT53" s="24">
        <v>0</v>
      </c>
      <c r="AU53" s="24"/>
      <c r="AV53" s="24" t="s">
        <v>247</v>
      </c>
      <c r="AW53" s="24" t="s">
        <v>209</v>
      </c>
      <c r="AX53" s="24" t="s">
        <v>190</v>
      </c>
      <c r="AY53" s="24" t="s">
        <v>191</v>
      </c>
      <c r="AZ53" s="24" t="s">
        <v>192</v>
      </c>
      <c r="BA53" s="24" t="s">
        <v>152</v>
      </c>
      <c r="BB53" s="24" t="s">
        <v>152</v>
      </c>
    </row>
    <row r="54" spans="1:54" x14ac:dyDescent="0.25">
      <c r="A54" s="26"/>
      <c r="B54" s="24" t="s">
        <v>167</v>
      </c>
      <c r="C54" s="26">
        <v>338</v>
      </c>
      <c r="D54" s="27">
        <v>46214</v>
      </c>
      <c r="E54" s="24" t="s">
        <v>219</v>
      </c>
      <c r="F54" s="24" t="s">
        <v>596</v>
      </c>
      <c r="G54" s="24" t="s">
        <v>239</v>
      </c>
      <c r="H54" s="24" t="s">
        <v>381</v>
      </c>
      <c r="I54" s="24">
        <v>192.71</v>
      </c>
      <c r="J54" s="24">
        <v>4138</v>
      </c>
      <c r="K54" s="24" t="s">
        <v>168</v>
      </c>
      <c r="L54" s="25">
        <v>797433.98</v>
      </c>
      <c r="M54" s="25">
        <v>4138</v>
      </c>
      <c r="N54" s="24">
        <v>4138</v>
      </c>
      <c r="O54" s="24">
        <v>0</v>
      </c>
      <c r="P54" s="24" t="s">
        <v>207</v>
      </c>
      <c r="Q54" s="24" t="s">
        <v>207</v>
      </c>
      <c r="R54" s="24"/>
      <c r="S54" s="24"/>
      <c r="T54" s="24" t="s">
        <v>240</v>
      </c>
      <c r="U54" s="24">
        <v>1</v>
      </c>
      <c r="V54" s="24"/>
      <c r="W54" s="24">
        <v>9</v>
      </c>
      <c r="X54" s="24">
        <v>71769.06</v>
      </c>
      <c r="Y54" s="24">
        <v>9</v>
      </c>
      <c r="Z54" s="24">
        <v>71769.06</v>
      </c>
      <c r="AA54" s="24">
        <v>0</v>
      </c>
      <c r="AB54" s="24">
        <v>0</v>
      </c>
      <c r="AC54" s="24">
        <v>39232999</v>
      </c>
      <c r="AD54" s="24" t="s">
        <v>193</v>
      </c>
      <c r="AE54" s="27">
        <v>46214</v>
      </c>
      <c r="AF54" s="24">
        <v>0</v>
      </c>
      <c r="AG54" s="24">
        <v>0</v>
      </c>
      <c r="AH54" s="24"/>
      <c r="AI54" s="24">
        <v>0</v>
      </c>
      <c r="AJ54" s="24"/>
      <c r="AK54" s="24"/>
      <c r="AL54" s="24"/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/>
      <c r="AV54" s="24" t="s">
        <v>247</v>
      </c>
      <c r="AW54" s="24" t="s">
        <v>209</v>
      </c>
      <c r="AX54" s="24" t="s">
        <v>190</v>
      </c>
      <c r="AY54" s="24" t="s">
        <v>191</v>
      </c>
      <c r="AZ54" s="24" t="s">
        <v>192</v>
      </c>
      <c r="BA54" s="24" t="s">
        <v>152</v>
      </c>
      <c r="BB54" s="24" t="s">
        <v>152</v>
      </c>
    </row>
    <row r="55" spans="1:54" x14ac:dyDescent="0.25">
      <c r="A55" s="26"/>
      <c r="B55" s="24" t="s">
        <v>167</v>
      </c>
      <c r="C55" s="26">
        <v>338</v>
      </c>
      <c r="D55" s="27">
        <v>46214</v>
      </c>
      <c r="E55" s="24" t="s">
        <v>219</v>
      </c>
      <c r="F55" s="24" t="s">
        <v>596</v>
      </c>
      <c r="G55" s="24" t="s">
        <v>239</v>
      </c>
      <c r="H55" s="24" t="s">
        <v>382</v>
      </c>
      <c r="I55" s="24">
        <v>193.56</v>
      </c>
      <c r="J55" s="24">
        <v>5194</v>
      </c>
      <c r="K55" s="24" t="s">
        <v>168</v>
      </c>
      <c r="L55" s="25">
        <v>1005350.64</v>
      </c>
      <c r="M55" s="25">
        <v>5194</v>
      </c>
      <c r="N55" s="24">
        <v>5194</v>
      </c>
      <c r="O55" s="24">
        <v>0</v>
      </c>
      <c r="P55" s="24" t="s">
        <v>207</v>
      </c>
      <c r="Q55" s="24" t="s">
        <v>207</v>
      </c>
      <c r="R55" s="24"/>
      <c r="S55" s="24"/>
      <c r="T55" s="24" t="s">
        <v>240</v>
      </c>
      <c r="U55" s="24">
        <v>1</v>
      </c>
      <c r="V55" s="24"/>
      <c r="W55" s="24">
        <v>9</v>
      </c>
      <c r="X55" s="24">
        <v>90481.56</v>
      </c>
      <c r="Y55" s="24">
        <v>9</v>
      </c>
      <c r="Z55" s="24">
        <v>90481.56</v>
      </c>
      <c r="AA55" s="24">
        <v>0</v>
      </c>
      <c r="AB55" s="24">
        <v>0</v>
      </c>
      <c r="AC55" s="24">
        <v>39232999</v>
      </c>
      <c r="AD55" s="24" t="s">
        <v>193</v>
      </c>
      <c r="AE55" s="27">
        <v>46214</v>
      </c>
      <c r="AF55" s="24">
        <v>0</v>
      </c>
      <c r="AG55" s="24">
        <v>0</v>
      </c>
      <c r="AH55" s="24"/>
      <c r="AI55" s="24">
        <v>0</v>
      </c>
      <c r="AJ55" s="24"/>
      <c r="AK55" s="24"/>
      <c r="AL55" s="24"/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/>
      <c r="AV55" s="24" t="s">
        <v>247</v>
      </c>
      <c r="AW55" s="24" t="s">
        <v>209</v>
      </c>
      <c r="AX55" s="24" t="s">
        <v>190</v>
      </c>
      <c r="AY55" s="24" t="s">
        <v>191</v>
      </c>
      <c r="AZ55" s="24" t="s">
        <v>192</v>
      </c>
      <c r="BA55" s="24" t="s">
        <v>152</v>
      </c>
      <c r="BB55" s="24" t="s">
        <v>152</v>
      </c>
    </row>
    <row r="56" spans="1:54" x14ac:dyDescent="0.25">
      <c r="A56" s="26"/>
      <c r="B56" s="24" t="s">
        <v>167</v>
      </c>
      <c r="C56" s="26">
        <v>338</v>
      </c>
      <c r="D56" s="27">
        <v>46214</v>
      </c>
      <c r="E56" s="24" t="s">
        <v>219</v>
      </c>
      <c r="F56" s="24" t="s">
        <v>596</v>
      </c>
      <c r="G56" s="24" t="s">
        <v>239</v>
      </c>
      <c r="H56" s="24" t="s">
        <v>383</v>
      </c>
      <c r="I56" s="24">
        <v>184.64</v>
      </c>
      <c r="J56" s="24">
        <v>3279</v>
      </c>
      <c r="K56" s="24" t="s">
        <v>168</v>
      </c>
      <c r="L56" s="25">
        <v>605434.56000000006</v>
      </c>
      <c r="M56" s="25">
        <v>3279</v>
      </c>
      <c r="N56" s="24">
        <v>3279</v>
      </c>
      <c r="O56" s="24">
        <v>0</v>
      </c>
      <c r="P56" s="24" t="s">
        <v>207</v>
      </c>
      <c r="Q56" s="24" t="s">
        <v>207</v>
      </c>
      <c r="R56" s="24"/>
      <c r="S56" s="24"/>
      <c r="T56" s="24" t="s">
        <v>240</v>
      </c>
      <c r="U56" s="24">
        <v>1</v>
      </c>
      <c r="V56" s="24"/>
      <c r="W56" s="24">
        <v>9</v>
      </c>
      <c r="X56" s="24">
        <v>54489.11</v>
      </c>
      <c r="Y56" s="24">
        <v>9</v>
      </c>
      <c r="Z56" s="24">
        <v>54489.11</v>
      </c>
      <c r="AA56" s="24">
        <v>0</v>
      </c>
      <c r="AB56" s="24">
        <v>0</v>
      </c>
      <c r="AC56" s="24">
        <v>39232999</v>
      </c>
      <c r="AD56" s="24" t="s">
        <v>193</v>
      </c>
      <c r="AE56" s="27">
        <v>46214</v>
      </c>
      <c r="AF56" s="24">
        <v>0</v>
      </c>
      <c r="AG56" s="24">
        <v>0</v>
      </c>
      <c r="AH56" s="24"/>
      <c r="AI56" s="24">
        <v>0</v>
      </c>
      <c r="AJ56" s="24"/>
      <c r="AK56" s="24"/>
      <c r="AL56" s="24"/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/>
      <c r="AV56" s="24" t="s">
        <v>247</v>
      </c>
      <c r="AW56" s="24" t="s">
        <v>209</v>
      </c>
      <c r="AX56" s="24" t="s">
        <v>190</v>
      </c>
      <c r="AY56" s="24" t="s">
        <v>191</v>
      </c>
      <c r="AZ56" s="24" t="s">
        <v>192</v>
      </c>
      <c r="BA56" s="24" t="s">
        <v>152</v>
      </c>
      <c r="BB56" s="24" t="s">
        <v>152</v>
      </c>
    </row>
    <row r="57" spans="1:54" x14ac:dyDescent="0.25">
      <c r="A57" s="24"/>
      <c r="B57" s="24" t="s">
        <v>167</v>
      </c>
      <c r="C57" s="26">
        <v>339</v>
      </c>
      <c r="D57" s="27">
        <v>46214</v>
      </c>
      <c r="E57" s="24" t="s">
        <v>370</v>
      </c>
      <c r="F57" s="24" t="s">
        <v>597</v>
      </c>
      <c r="G57" s="24" t="s">
        <v>244</v>
      </c>
      <c r="H57" s="24" t="s">
        <v>244</v>
      </c>
      <c r="I57" s="24">
        <v>206.49</v>
      </c>
      <c r="J57" s="24">
        <v>813</v>
      </c>
      <c r="K57" s="24" t="s">
        <v>168</v>
      </c>
      <c r="L57" s="24">
        <v>167876.37</v>
      </c>
      <c r="M57" s="24">
        <v>813</v>
      </c>
      <c r="N57" s="24">
        <v>831</v>
      </c>
      <c r="O57" s="24">
        <v>198094.11</v>
      </c>
      <c r="P57" s="24" t="s">
        <v>243</v>
      </c>
      <c r="Q57" s="24" t="s">
        <v>243</v>
      </c>
      <c r="R57" s="24"/>
      <c r="S57" s="24"/>
      <c r="T57" s="24" t="s">
        <v>240</v>
      </c>
      <c r="U57" s="24">
        <v>1</v>
      </c>
      <c r="V57" s="24"/>
      <c r="W57" s="24">
        <v>9</v>
      </c>
      <c r="X57" s="24">
        <v>15108.87</v>
      </c>
      <c r="Y57" s="24">
        <v>9</v>
      </c>
      <c r="Z57" s="24">
        <v>15108.87</v>
      </c>
      <c r="AA57" s="24">
        <v>0</v>
      </c>
      <c r="AB57" s="24">
        <v>0</v>
      </c>
      <c r="AC57" s="24">
        <v>39269080</v>
      </c>
      <c r="AD57" s="24" t="s">
        <v>256</v>
      </c>
      <c r="AE57" s="27">
        <v>46214</v>
      </c>
      <c r="AF57" s="24">
        <v>0</v>
      </c>
      <c r="AG57" s="24">
        <v>0</v>
      </c>
      <c r="AH57" s="24"/>
      <c r="AI57" s="24">
        <v>0</v>
      </c>
      <c r="AJ57" s="24"/>
      <c r="AK57" s="24"/>
      <c r="AL57" s="24"/>
      <c r="AM57" s="24">
        <v>0</v>
      </c>
      <c r="AN57" s="24">
        <v>0</v>
      </c>
      <c r="AO57" s="24">
        <v>0</v>
      </c>
      <c r="AP57" s="24">
        <v>0</v>
      </c>
      <c r="AQ57" s="24">
        <v>0</v>
      </c>
      <c r="AR57" s="24">
        <v>0</v>
      </c>
      <c r="AS57" s="24">
        <v>0</v>
      </c>
      <c r="AT57" s="24">
        <v>0</v>
      </c>
      <c r="AU57" s="24"/>
      <c r="AV57" s="24" t="s">
        <v>598</v>
      </c>
      <c r="AW57" s="24" t="s">
        <v>209</v>
      </c>
      <c r="AX57" s="24" t="s">
        <v>178</v>
      </c>
      <c r="AY57" s="24" t="s">
        <v>179</v>
      </c>
      <c r="AZ57" s="24" t="s">
        <v>169</v>
      </c>
      <c r="BA57" s="24" t="s">
        <v>180</v>
      </c>
      <c r="BB57" s="24" t="s">
        <v>156</v>
      </c>
    </row>
    <row r="58" spans="1:54" x14ac:dyDescent="0.25">
      <c r="A58" s="24"/>
      <c r="B58" s="24" t="s">
        <v>167</v>
      </c>
      <c r="C58" s="26">
        <v>340</v>
      </c>
      <c r="D58" s="27">
        <v>46214</v>
      </c>
      <c r="E58" s="24" t="s">
        <v>370</v>
      </c>
      <c r="F58" s="24" t="s">
        <v>599</v>
      </c>
      <c r="G58" s="24" t="s">
        <v>244</v>
      </c>
      <c r="H58" s="24" t="s">
        <v>373</v>
      </c>
      <c r="I58" s="24">
        <v>206.49</v>
      </c>
      <c r="J58" s="24">
        <v>366</v>
      </c>
      <c r="K58" s="24" t="s">
        <v>168</v>
      </c>
      <c r="L58" s="24">
        <v>75575.34</v>
      </c>
      <c r="M58" s="24">
        <v>366</v>
      </c>
      <c r="N58" s="24">
        <v>366</v>
      </c>
      <c r="O58" s="24">
        <v>89178.9</v>
      </c>
      <c r="P58" s="24" t="s">
        <v>243</v>
      </c>
      <c r="Q58" s="24" t="s">
        <v>243</v>
      </c>
      <c r="R58" s="24"/>
      <c r="S58" s="24"/>
      <c r="T58" s="24" t="s">
        <v>240</v>
      </c>
      <c r="U58" s="24">
        <v>1</v>
      </c>
      <c r="V58" s="24"/>
      <c r="W58" s="24">
        <v>9</v>
      </c>
      <c r="X58" s="24">
        <v>6801.78</v>
      </c>
      <c r="Y58" s="24">
        <v>9</v>
      </c>
      <c r="Z58" s="24">
        <v>6801.78</v>
      </c>
      <c r="AA58" s="24">
        <v>0</v>
      </c>
      <c r="AB58" s="24">
        <v>0</v>
      </c>
      <c r="AC58" s="24">
        <v>39269080</v>
      </c>
      <c r="AD58" s="24" t="s">
        <v>256</v>
      </c>
      <c r="AE58" s="27">
        <v>46214</v>
      </c>
      <c r="AF58" s="24">
        <v>0</v>
      </c>
      <c r="AG58" s="24">
        <v>0</v>
      </c>
      <c r="AH58" s="24"/>
      <c r="AI58" s="24">
        <v>0</v>
      </c>
      <c r="AJ58" s="24"/>
      <c r="AK58" s="24"/>
      <c r="AL58" s="24"/>
      <c r="AM58" s="24">
        <v>0</v>
      </c>
      <c r="AN58" s="24">
        <v>0</v>
      </c>
      <c r="AO58" s="24">
        <v>0</v>
      </c>
      <c r="AP58" s="24">
        <v>0</v>
      </c>
      <c r="AQ58" s="24">
        <v>0</v>
      </c>
      <c r="AR58" s="24">
        <v>0</v>
      </c>
      <c r="AS58" s="24">
        <v>0</v>
      </c>
      <c r="AT58" s="24">
        <v>0</v>
      </c>
      <c r="AU58" s="24"/>
      <c r="AV58" s="24" t="s">
        <v>598</v>
      </c>
      <c r="AW58" s="24" t="s">
        <v>209</v>
      </c>
      <c r="AX58" s="24" t="s">
        <v>178</v>
      </c>
      <c r="AY58" s="24" t="s">
        <v>179</v>
      </c>
      <c r="AZ58" s="24" t="s">
        <v>169</v>
      </c>
      <c r="BA58" s="24" t="s">
        <v>180</v>
      </c>
      <c r="BB58" s="24" t="s">
        <v>156</v>
      </c>
    </row>
    <row r="59" spans="1:54" x14ac:dyDescent="0.25">
      <c r="A59" s="26"/>
      <c r="B59" s="24" t="s">
        <v>167</v>
      </c>
      <c r="C59" s="26" t="s">
        <v>374</v>
      </c>
      <c r="D59" s="27">
        <v>46214</v>
      </c>
      <c r="E59" s="24" t="s">
        <v>211</v>
      </c>
      <c r="F59" s="24" t="s">
        <v>307</v>
      </c>
      <c r="G59" s="24" t="s">
        <v>249</v>
      </c>
      <c r="H59" s="24" t="s">
        <v>214</v>
      </c>
      <c r="I59" s="24">
        <v>2</v>
      </c>
      <c r="J59" s="24">
        <v>9140</v>
      </c>
      <c r="K59" s="24" t="s">
        <v>168</v>
      </c>
      <c r="L59" s="25">
        <v>1711008</v>
      </c>
      <c r="M59" s="25">
        <v>9140</v>
      </c>
      <c r="N59" s="24">
        <v>9140</v>
      </c>
      <c r="O59" s="24">
        <v>1711008</v>
      </c>
      <c r="P59" s="24" t="s">
        <v>207</v>
      </c>
      <c r="Q59" s="24" t="s">
        <v>207</v>
      </c>
      <c r="R59" s="24"/>
      <c r="S59" s="24"/>
      <c r="T59" s="24" t="s">
        <v>253</v>
      </c>
      <c r="U59" s="24">
        <v>93.6</v>
      </c>
      <c r="V59" s="24" t="s">
        <v>251</v>
      </c>
      <c r="W59" s="24"/>
      <c r="X59" s="24"/>
      <c r="Y59" s="24"/>
      <c r="Z59" s="24"/>
      <c r="AA59" s="24">
        <v>18</v>
      </c>
      <c r="AB59" s="24">
        <v>3290.4</v>
      </c>
      <c r="AC59" s="24">
        <v>63053200</v>
      </c>
      <c r="AD59" s="24">
        <v>21</v>
      </c>
      <c r="AE59" s="27">
        <v>46214</v>
      </c>
      <c r="AF59" s="24">
        <v>18280</v>
      </c>
      <c r="AG59" s="24">
        <v>1711008</v>
      </c>
      <c r="AH59" s="24" t="s">
        <v>254</v>
      </c>
      <c r="AI59" s="24">
        <v>18280</v>
      </c>
      <c r="AJ59" s="24"/>
      <c r="AK59" s="24"/>
      <c r="AL59" s="24">
        <v>6220250</v>
      </c>
      <c r="AM59" s="24">
        <v>0</v>
      </c>
      <c r="AN59" s="24">
        <v>0</v>
      </c>
      <c r="AO59" s="24">
        <v>0</v>
      </c>
      <c r="AP59" s="24">
        <v>0</v>
      </c>
      <c r="AQ59" s="24">
        <v>0</v>
      </c>
      <c r="AR59" s="24">
        <v>0</v>
      </c>
      <c r="AS59" s="24">
        <v>0</v>
      </c>
      <c r="AT59" s="24">
        <v>0</v>
      </c>
      <c r="AU59" s="24"/>
      <c r="AV59" s="24" t="s">
        <v>255</v>
      </c>
      <c r="AW59" s="24" t="s">
        <v>209</v>
      </c>
      <c r="AX59" s="24" t="s">
        <v>190</v>
      </c>
      <c r="AY59" s="24" t="s">
        <v>191</v>
      </c>
      <c r="AZ59" s="24" t="s">
        <v>192</v>
      </c>
      <c r="BA59" s="24" t="s">
        <v>152</v>
      </c>
      <c r="BB59" s="24" t="s">
        <v>162</v>
      </c>
    </row>
    <row r="60" spans="1:54" x14ac:dyDescent="0.25">
      <c r="A60" s="26"/>
      <c r="B60" s="24" t="s">
        <v>167</v>
      </c>
      <c r="C60" s="26" t="s">
        <v>375</v>
      </c>
      <c r="D60" s="27">
        <v>46214</v>
      </c>
      <c r="E60" s="24" t="s">
        <v>211</v>
      </c>
      <c r="F60" s="24" t="s">
        <v>198</v>
      </c>
      <c r="G60" s="24" t="s">
        <v>249</v>
      </c>
      <c r="H60" s="24" t="s">
        <v>214</v>
      </c>
      <c r="I60" s="24">
        <v>2</v>
      </c>
      <c r="J60" s="24">
        <v>5925</v>
      </c>
      <c r="K60" s="24" t="s">
        <v>168</v>
      </c>
      <c r="L60" s="25">
        <v>1109160</v>
      </c>
      <c r="M60" s="25">
        <v>5925</v>
      </c>
      <c r="N60" s="24">
        <v>9525</v>
      </c>
      <c r="O60" s="24">
        <v>1109160</v>
      </c>
      <c r="P60" s="24" t="s">
        <v>207</v>
      </c>
      <c r="Q60" s="24" t="s">
        <v>207</v>
      </c>
      <c r="R60" s="24"/>
      <c r="S60" s="24"/>
      <c r="T60" s="24" t="s">
        <v>253</v>
      </c>
      <c r="U60" s="24">
        <v>93.6</v>
      </c>
      <c r="V60" s="24" t="s">
        <v>251</v>
      </c>
      <c r="W60" s="24"/>
      <c r="X60" s="24"/>
      <c r="Y60" s="24"/>
      <c r="Z60" s="24"/>
      <c r="AA60" s="24">
        <v>18</v>
      </c>
      <c r="AB60" s="24">
        <v>2133</v>
      </c>
      <c r="AC60" s="24">
        <v>63053200</v>
      </c>
      <c r="AD60" s="24">
        <v>22</v>
      </c>
      <c r="AE60" s="27">
        <v>46214</v>
      </c>
      <c r="AF60" s="24">
        <v>11850</v>
      </c>
      <c r="AG60" s="24">
        <v>1109160</v>
      </c>
      <c r="AH60" s="24" t="s">
        <v>254</v>
      </c>
      <c r="AI60" s="24">
        <v>11850</v>
      </c>
      <c r="AJ60" s="24"/>
      <c r="AK60" s="24"/>
      <c r="AL60" s="24">
        <v>6220250</v>
      </c>
      <c r="AM60" s="24">
        <v>0</v>
      </c>
      <c r="AN60" s="24">
        <v>0</v>
      </c>
      <c r="AO60" s="24">
        <v>0</v>
      </c>
      <c r="AP60" s="24">
        <v>0</v>
      </c>
      <c r="AQ60" s="24">
        <v>0</v>
      </c>
      <c r="AR60" s="24">
        <v>0</v>
      </c>
      <c r="AS60" s="24">
        <v>0</v>
      </c>
      <c r="AT60" s="24">
        <v>0</v>
      </c>
      <c r="AU60" s="24"/>
      <c r="AV60" s="24" t="s">
        <v>255</v>
      </c>
      <c r="AW60" s="24" t="s">
        <v>209</v>
      </c>
      <c r="AX60" s="24" t="s">
        <v>190</v>
      </c>
      <c r="AY60" s="24" t="s">
        <v>191</v>
      </c>
      <c r="AZ60" s="24" t="s">
        <v>192</v>
      </c>
      <c r="BA60" s="24" t="s">
        <v>152</v>
      </c>
      <c r="BB60" s="24" t="s">
        <v>162</v>
      </c>
    </row>
    <row r="61" spans="1:54" x14ac:dyDescent="0.25">
      <c r="A61" s="26"/>
      <c r="B61" s="24" t="s">
        <v>167</v>
      </c>
      <c r="C61" s="26" t="s">
        <v>376</v>
      </c>
      <c r="D61" s="27">
        <v>46214</v>
      </c>
      <c r="E61" s="24" t="s">
        <v>211</v>
      </c>
      <c r="F61" s="24" t="s">
        <v>198</v>
      </c>
      <c r="G61" s="24" t="s">
        <v>600</v>
      </c>
      <c r="H61" s="24" t="s">
        <v>187</v>
      </c>
      <c r="I61" s="24">
        <v>1.1499999999999999</v>
      </c>
      <c r="J61" s="24">
        <v>178</v>
      </c>
      <c r="K61" s="24" t="s">
        <v>168</v>
      </c>
      <c r="L61" s="25">
        <v>18351.355</v>
      </c>
      <c r="M61" s="25">
        <v>178</v>
      </c>
      <c r="N61" s="24">
        <v>204</v>
      </c>
      <c r="O61" s="24">
        <v>18351.355</v>
      </c>
      <c r="P61" s="24" t="s">
        <v>243</v>
      </c>
      <c r="Q61" s="24" t="s">
        <v>243</v>
      </c>
      <c r="R61" s="24"/>
      <c r="S61" s="24"/>
      <c r="T61" s="24" t="s">
        <v>253</v>
      </c>
      <c r="U61" s="24">
        <v>89.65</v>
      </c>
      <c r="V61" s="24" t="s">
        <v>251</v>
      </c>
      <c r="W61" s="24"/>
      <c r="X61" s="24"/>
      <c r="Y61" s="24"/>
      <c r="Z61" s="24"/>
      <c r="AA61" s="24">
        <v>18</v>
      </c>
      <c r="AB61" s="24">
        <v>36.85</v>
      </c>
      <c r="AC61" s="24">
        <v>39269080</v>
      </c>
      <c r="AD61" s="24"/>
      <c r="AE61" s="27">
        <v>46214</v>
      </c>
      <c r="AF61" s="24">
        <v>204.7</v>
      </c>
      <c r="AG61" s="24">
        <v>18351.355</v>
      </c>
      <c r="AH61" s="24" t="s">
        <v>254</v>
      </c>
      <c r="AI61" s="24">
        <v>204.7</v>
      </c>
      <c r="AJ61" s="24"/>
      <c r="AK61" s="24"/>
      <c r="AL61" s="24">
        <v>6220250</v>
      </c>
      <c r="AM61" s="24">
        <v>0</v>
      </c>
      <c r="AN61" s="24">
        <v>0</v>
      </c>
      <c r="AO61" s="24">
        <v>0</v>
      </c>
      <c r="AP61" s="24">
        <v>0</v>
      </c>
      <c r="AQ61" s="24">
        <v>0</v>
      </c>
      <c r="AR61" s="24">
        <v>0</v>
      </c>
      <c r="AS61" s="24">
        <v>0</v>
      </c>
      <c r="AT61" s="24">
        <v>0</v>
      </c>
      <c r="AU61" s="24"/>
      <c r="AV61" s="24" t="s">
        <v>255</v>
      </c>
      <c r="AW61" s="24" t="s">
        <v>209</v>
      </c>
      <c r="AX61" s="24" t="s">
        <v>186</v>
      </c>
      <c r="AY61" s="24" t="s">
        <v>187</v>
      </c>
      <c r="AZ61" s="24" t="s">
        <v>169</v>
      </c>
      <c r="BA61" s="24" t="s">
        <v>180</v>
      </c>
      <c r="BB61" s="24" t="s">
        <v>573</v>
      </c>
    </row>
    <row r="62" spans="1:54" x14ac:dyDescent="0.25">
      <c r="A62" s="26"/>
      <c r="B62" s="24" t="s">
        <v>167</v>
      </c>
      <c r="C62" s="26" t="s">
        <v>377</v>
      </c>
      <c r="D62" s="27">
        <v>46214</v>
      </c>
      <c r="E62" s="24" t="s">
        <v>261</v>
      </c>
      <c r="F62" s="24" t="s">
        <v>198</v>
      </c>
      <c r="G62" s="24" t="s">
        <v>257</v>
      </c>
      <c r="H62" s="24" t="s">
        <v>179</v>
      </c>
      <c r="I62" s="24">
        <v>148.47</v>
      </c>
      <c r="J62" s="24">
        <v>285</v>
      </c>
      <c r="K62" s="24" t="s">
        <v>168</v>
      </c>
      <c r="L62" s="25">
        <v>42313.95</v>
      </c>
      <c r="M62" s="25">
        <v>285</v>
      </c>
      <c r="N62" s="24">
        <v>295</v>
      </c>
      <c r="O62" s="24">
        <v>61242</v>
      </c>
      <c r="P62" s="24" t="s">
        <v>243</v>
      </c>
      <c r="Q62" s="24" t="s">
        <v>243</v>
      </c>
      <c r="R62" s="24"/>
      <c r="S62" s="24"/>
      <c r="T62" s="24" t="s">
        <v>240</v>
      </c>
      <c r="U62" s="24">
        <v>1</v>
      </c>
      <c r="V62" s="24" t="s">
        <v>251</v>
      </c>
      <c r="W62" s="24">
        <v>0</v>
      </c>
      <c r="X62" s="24">
        <v>0</v>
      </c>
      <c r="Y62" s="24">
        <v>0</v>
      </c>
      <c r="Z62" s="24">
        <v>0</v>
      </c>
      <c r="AA62" s="24">
        <v>18</v>
      </c>
      <c r="AB62" s="24">
        <v>7616.51</v>
      </c>
      <c r="AC62" s="24">
        <v>39269080</v>
      </c>
      <c r="AD62" s="24" t="s">
        <v>193</v>
      </c>
      <c r="AE62" s="27">
        <v>46214</v>
      </c>
      <c r="AF62" s="24">
        <v>0</v>
      </c>
      <c r="AG62" s="24">
        <v>0</v>
      </c>
      <c r="AH62" s="24"/>
      <c r="AI62" s="24">
        <v>0</v>
      </c>
      <c r="AJ62" s="24"/>
      <c r="AK62" s="24"/>
      <c r="AL62" s="24"/>
      <c r="AM62" s="24">
        <v>0</v>
      </c>
      <c r="AN62" s="24">
        <v>0</v>
      </c>
      <c r="AO62" s="24">
        <v>0</v>
      </c>
      <c r="AP62" s="24">
        <v>0</v>
      </c>
      <c r="AQ62" s="24">
        <v>0</v>
      </c>
      <c r="AR62" s="24">
        <v>0</v>
      </c>
      <c r="AS62" s="24">
        <v>0</v>
      </c>
      <c r="AT62" s="24">
        <v>0</v>
      </c>
      <c r="AU62" s="24"/>
      <c r="AV62" s="24" t="s">
        <v>255</v>
      </c>
      <c r="AW62" s="24" t="s">
        <v>209</v>
      </c>
      <c r="AX62" s="24" t="s">
        <v>178</v>
      </c>
      <c r="AY62" s="24" t="s">
        <v>179</v>
      </c>
      <c r="AZ62" s="24" t="s">
        <v>169</v>
      </c>
      <c r="BA62" s="24" t="s">
        <v>180</v>
      </c>
      <c r="BB62" s="24" t="s">
        <v>574</v>
      </c>
    </row>
    <row r="63" spans="1:54" x14ac:dyDescent="0.25">
      <c r="A63" s="26"/>
      <c r="B63" s="24" t="s">
        <v>167</v>
      </c>
      <c r="C63" s="26" t="s">
        <v>377</v>
      </c>
      <c r="D63" s="27">
        <v>46214</v>
      </c>
      <c r="E63" s="24" t="s">
        <v>261</v>
      </c>
      <c r="F63" s="24" t="s">
        <v>198</v>
      </c>
      <c r="G63" s="24" t="s">
        <v>157</v>
      </c>
      <c r="H63" s="24" t="s">
        <v>378</v>
      </c>
      <c r="I63" s="24">
        <v>160</v>
      </c>
      <c r="J63" s="24">
        <v>118.3</v>
      </c>
      <c r="K63" s="24" t="s">
        <v>168</v>
      </c>
      <c r="L63" s="25">
        <v>18928</v>
      </c>
      <c r="M63" s="25">
        <v>118.3</v>
      </c>
      <c r="N63" s="24">
        <v>118.3</v>
      </c>
      <c r="O63" s="24">
        <v>0</v>
      </c>
      <c r="P63" s="24" t="s">
        <v>243</v>
      </c>
      <c r="Q63" s="24" t="s">
        <v>248</v>
      </c>
      <c r="R63" s="24"/>
      <c r="S63" s="24"/>
      <c r="T63" s="24" t="s">
        <v>240</v>
      </c>
      <c r="U63" s="24">
        <v>1</v>
      </c>
      <c r="V63" s="24" t="s">
        <v>251</v>
      </c>
      <c r="W63" s="24">
        <v>0</v>
      </c>
      <c r="X63" s="24">
        <v>0</v>
      </c>
      <c r="Y63" s="24">
        <v>0</v>
      </c>
      <c r="Z63" s="24">
        <v>0</v>
      </c>
      <c r="AA63" s="24">
        <v>5</v>
      </c>
      <c r="AB63" s="24">
        <v>946.4</v>
      </c>
      <c r="AC63" s="24">
        <v>54026300</v>
      </c>
      <c r="AD63" s="24" t="s">
        <v>193</v>
      </c>
      <c r="AE63" s="27">
        <v>46214</v>
      </c>
      <c r="AF63" s="24">
        <v>0</v>
      </c>
      <c r="AG63" s="24">
        <v>0</v>
      </c>
      <c r="AH63" s="24"/>
      <c r="AI63" s="24">
        <v>0</v>
      </c>
      <c r="AJ63" s="24"/>
      <c r="AK63" s="24"/>
      <c r="AL63" s="24"/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/>
      <c r="AV63" s="24" t="s">
        <v>255</v>
      </c>
      <c r="AW63" s="24" t="s">
        <v>209</v>
      </c>
      <c r="AX63" s="24" t="s">
        <v>245</v>
      </c>
      <c r="AY63" s="24" t="s">
        <v>153</v>
      </c>
      <c r="AZ63" s="24" t="s">
        <v>192</v>
      </c>
      <c r="BA63" s="24" t="s">
        <v>153</v>
      </c>
      <c r="BB63" s="24" t="s">
        <v>572</v>
      </c>
    </row>
    <row r="64" spans="1:54" x14ac:dyDescent="0.25">
      <c r="A64" s="26"/>
      <c r="B64" s="24" t="s">
        <v>167</v>
      </c>
      <c r="C64" s="26" t="s">
        <v>368</v>
      </c>
      <c r="D64" s="27">
        <v>46214</v>
      </c>
      <c r="E64" s="24" t="s">
        <v>222</v>
      </c>
      <c r="F64" s="24" t="s">
        <v>601</v>
      </c>
      <c r="G64" s="24" t="s">
        <v>249</v>
      </c>
      <c r="H64" s="24" t="s">
        <v>214</v>
      </c>
      <c r="I64" s="24">
        <v>6.92</v>
      </c>
      <c r="J64" s="24">
        <v>2600</v>
      </c>
      <c r="K64" s="24" t="s">
        <v>232</v>
      </c>
      <c r="L64" s="25">
        <v>1682252</v>
      </c>
      <c r="M64" s="25">
        <v>7549</v>
      </c>
      <c r="N64" s="24">
        <v>7829</v>
      </c>
      <c r="O64" s="24">
        <v>1682252</v>
      </c>
      <c r="P64" s="24" t="s">
        <v>207</v>
      </c>
      <c r="Q64" s="24" t="s">
        <v>207</v>
      </c>
      <c r="R64" s="24"/>
      <c r="S64" s="24"/>
      <c r="T64" s="24" t="s">
        <v>253</v>
      </c>
      <c r="U64" s="24">
        <v>93.5</v>
      </c>
      <c r="V64" s="24" t="s">
        <v>260</v>
      </c>
      <c r="W64" s="24"/>
      <c r="X64" s="24"/>
      <c r="Y64" s="24"/>
      <c r="Z64" s="24"/>
      <c r="AA64" s="24">
        <v>18</v>
      </c>
      <c r="AB64" s="24">
        <v>3238.56</v>
      </c>
      <c r="AC64" s="24">
        <v>63053200</v>
      </c>
      <c r="AD64" s="24"/>
      <c r="AE64" s="27">
        <v>46214</v>
      </c>
      <c r="AF64" s="24">
        <v>17992</v>
      </c>
      <c r="AG64" s="24">
        <v>1682252</v>
      </c>
      <c r="AH64" s="24" t="s">
        <v>254</v>
      </c>
      <c r="AI64" s="24">
        <v>17992</v>
      </c>
      <c r="AJ64" s="24"/>
      <c r="AK64" s="24"/>
      <c r="AL64" s="24">
        <v>6220250</v>
      </c>
      <c r="AM64" s="24">
        <v>0</v>
      </c>
      <c r="AN64" s="24">
        <v>0</v>
      </c>
      <c r="AO64" s="24">
        <v>0</v>
      </c>
      <c r="AP64" s="24">
        <v>0</v>
      </c>
      <c r="AQ64" s="24">
        <v>0</v>
      </c>
      <c r="AR64" s="24">
        <v>0</v>
      </c>
      <c r="AS64" s="24">
        <v>0</v>
      </c>
      <c r="AT64" s="24">
        <v>0</v>
      </c>
      <c r="AU64" s="24" t="s">
        <v>602</v>
      </c>
      <c r="AV64" s="24" t="s">
        <v>603</v>
      </c>
      <c r="AW64" s="24" t="s">
        <v>225</v>
      </c>
      <c r="AX64" s="24" t="s">
        <v>190</v>
      </c>
      <c r="AY64" s="24" t="s">
        <v>191</v>
      </c>
      <c r="AZ64" s="24" t="s">
        <v>192</v>
      </c>
      <c r="BA64" s="24" t="s">
        <v>152</v>
      </c>
      <c r="BB64" s="24" t="s">
        <v>162</v>
      </c>
    </row>
    <row r="65" spans="1:54" x14ac:dyDescent="0.25">
      <c r="A65" s="26"/>
      <c r="B65" s="24" t="s">
        <v>167</v>
      </c>
      <c r="C65" s="26">
        <v>342</v>
      </c>
      <c r="D65" s="27">
        <v>46215</v>
      </c>
      <c r="E65" s="24" t="s">
        <v>205</v>
      </c>
      <c r="F65" s="24" t="s">
        <v>287</v>
      </c>
      <c r="G65" s="24" t="s">
        <v>242</v>
      </c>
      <c r="H65" s="24" t="s">
        <v>187</v>
      </c>
      <c r="I65" s="24">
        <v>154.74</v>
      </c>
      <c r="J65" s="24">
        <v>556</v>
      </c>
      <c r="K65" s="24" t="s">
        <v>168</v>
      </c>
      <c r="L65" s="25">
        <v>86035.44</v>
      </c>
      <c r="M65" s="25">
        <v>556</v>
      </c>
      <c r="N65" s="24">
        <v>580</v>
      </c>
      <c r="O65" s="24">
        <v>193826.93</v>
      </c>
      <c r="P65" s="24" t="s">
        <v>243</v>
      </c>
      <c r="Q65" s="24" t="s">
        <v>243</v>
      </c>
      <c r="R65" s="24"/>
      <c r="S65" s="24"/>
      <c r="T65" s="24" t="s">
        <v>240</v>
      </c>
      <c r="U65" s="24">
        <v>1</v>
      </c>
      <c r="V65" s="24"/>
      <c r="W65" s="24">
        <v>9</v>
      </c>
      <c r="X65" s="24">
        <v>7743.19</v>
      </c>
      <c r="Y65" s="24">
        <v>9</v>
      </c>
      <c r="Z65" s="24">
        <v>7743.19</v>
      </c>
      <c r="AA65" s="24">
        <v>0</v>
      </c>
      <c r="AB65" s="24">
        <v>0</v>
      </c>
      <c r="AC65" s="24">
        <v>39269080</v>
      </c>
      <c r="AD65" s="24" t="s">
        <v>193</v>
      </c>
      <c r="AE65" s="27">
        <v>46215</v>
      </c>
      <c r="AF65" s="24">
        <v>0</v>
      </c>
      <c r="AG65" s="24">
        <v>0</v>
      </c>
      <c r="AH65" s="24"/>
      <c r="AI65" s="24">
        <v>0</v>
      </c>
      <c r="AJ65" s="24"/>
      <c r="AK65" s="24"/>
      <c r="AL65" s="24"/>
      <c r="AM65" s="24">
        <v>0</v>
      </c>
      <c r="AN65" s="24">
        <v>0</v>
      </c>
      <c r="AO65" s="24">
        <v>0</v>
      </c>
      <c r="AP65" s="24">
        <v>0</v>
      </c>
      <c r="AQ65" s="24">
        <v>0</v>
      </c>
      <c r="AR65" s="24">
        <v>0</v>
      </c>
      <c r="AS65" s="24">
        <v>0</v>
      </c>
      <c r="AT65" s="24">
        <v>0</v>
      </c>
      <c r="AU65" s="24"/>
      <c r="AV65" s="24" t="s">
        <v>241</v>
      </c>
      <c r="AW65" s="24" t="s">
        <v>209</v>
      </c>
      <c r="AX65" s="24" t="s">
        <v>186</v>
      </c>
      <c r="AY65" s="24" t="s">
        <v>187</v>
      </c>
      <c r="AZ65" s="24" t="s">
        <v>169</v>
      </c>
      <c r="BA65" s="24" t="s">
        <v>180</v>
      </c>
      <c r="BB65" s="24" t="s">
        <v>155</v>
      </c>
    </row>
    <row r="66" spans="1:54" x14ac:dyDescent="0.25">
      <c r="A66" s="26"/>
      <c r="B66" s="24" t="s">
        <v>167</v>
      </c>
      <c r="C66" s="26">
        <v>342</v>
      </c>
      <c r="D66" s="27">
        <v>46215</v>
      </c>
      <c r="E66" s="24" t="s">
        <v>205</v>
      </c>
      <c r="F66" s="24" t="s">
        <v>287</v>
      </c>
      <c r="G66" s="24" t="s">
        <v>246</v>
      </c>
      <c r="H66" s="24" t="s">
        <v>385</v>
      </c>
      <c r="I66" s="24">
        <v>149.49</v>
      </c>
      <c r="J66" s="24">
        <v>73</v>
      </c>
      <c r="K66" s="24" t="s">
        <v>168</v>
      </c>
      <c r="L66" s="25">
        <v>10912.77</v>
      </c>
      <c r="M66" s="25">
        <v>73</v>
      </c>
      <c r="N66" s="24">
        <v>73</v>
      </c>
      <c r="O66" s="24">
        <v>0</v>
      </c>
      <c r="P66" s="24" t="s">
        <v>243</v>
      </c>
      <c r="Q66" s="24" t="s">
        <v>182</v>
      </c>
      <c r="R66" s="24"/>
      <c r="S66" s="24"/>
      <c r="T66" s="24" t="s">
        <v>240</v>
      </c>
      <c r="U66" s="24">
        <v>1</v>
      </c>
      <c r="V66" s="24"/>
      <c r="W66" s="24">
        <v>9</v>
      </c>
      <c r="X66" s="24">
        <v>982.15</v>
      </c>
      <c r="Y66" s="24">
        <v>9</v>
      </c>
      <c r="Z66" s="24">
        <v>982.15</v>
      </c>
      <c r="AA66" s="24">
        <v>0</v>
      </c>
      <c r="AB66" s="24">
        <v>0</v>
      </c>
      <c r="AC66" s="24">
        <v>39269080</v>
      </c>
      <c r="AD66" s="24" t="s">
        <v>193</v>
      </c>
      <c r="AE66" s="27">
        <v>46215</v>
      </c>
      <c r="AF66" s="24">
        <v>0</v>
      </c>
      <c r="AG66" s="24">
        <v>0</v>
      </c>
      <c r="AH66" s="24"/>
      <c r="AI66" s="24">
        <v>0</v>
      </c>
      <c r="AJ66" s="24"/>
      <c r="AK66" s="24"/>
      <c r="AL66" s="24"/>
      <c r="AM66" s="24">
        <v>0</v>
      </c>
      <c r="AN66" s="24">
        <v>0</v>
      </c>
      <c r="AO66" s="24">
        <v>0</v>
      </c>
      <c r="AP66" s="24">
        <v>0</v>
      </c>
      <c r="AQ66" s="24">
        <v>0</v>
      </c>
      <c r="AR66" s="24">
        <v>0</v>
      </c>
      <c r="AS66" s="24">
        <v>0</v>
      </c>
      <c r="AT66" s="24">
        <v>0</v>
      </c>
      <c r="AU66" s="24"/>
      <c r="AV66" s="24" t="s">
        <v>241</v>
      </c>
      <c r="AW66" s="24" t="s">
        <v>209</v>
      </c>
      <c r="AX66" s="24" t="s">
        <v>181</v>
      </c>
      <c r="AY66" s="24" t="s">
        <v>182</v>
      </c>
      <c r="AZ66" s="24" t="s">
        <v>169</v>
      </c>
      <c r="BA66" s="24" t="s">
        <v>182</v>
      </c>
      <c r="BB66" s="24" t="s">
        <v>154</v>
      </c>
    </row>
    <row r="67" spans="1:54" x14ac:dyDescent="0.25">
      <c r="A67" s="26"/>
      <c r="B67" s="24" t="s">
        <v>167</v>
      </c>
      <c r="C67" s="26">
        <v>342</v>
      </c>
      <c r="D67" s="27">
        <v>46215</v>
      </c>
      <c r="E67" s="24" t="s">
        <v>205</v>
      </c>
      <c r="F67" s="24" t="s">
        <v>287</v>
      </c>
      <c r="G67" s="24" t="s">
        <v>242</v>
      </c>
      <c r="H67" s="24" t="s">
        <v>386</v>
      </c>
      <c r="I67" s="24">
        <v>154.74</v>
      </c>
      <c r="J67" s="24">
        <v>435</v>
      </c>
      <c r="K67" s="24" t="s">
        <v>168</v>
      </c>
      <c r="L67" s="25">
        <v>67311.899999999994</v>
      </c>
      <c r="M67" s="25">
        <v>435</v>
      </c>
      <c r="N67" s="24">
        <v>435</v>
      </c>
      <c r="O67" s="24">
        <v>0</v>
      </c>
      <c r="P67" s="24" t="s">
        <v>243</v>
      </c>
      <c r="Q67" s="24" t="s">
        <v>243</v>
      </c>
      <c r="R67" s="24"/>
      <c r="S67" s="24"/>
      <c r="T67" s="24" t="s">
        <v>240</v>
      </c>
      <c r="U67" s="24">
        <v>1</v>
      </c>
      <c r="V67" s="24"/>
      <c r="W67" s="24">
        <v>9</v>
      </c>
      <c r="X67" s="24">
        <v>6058.07</v>
      </c>
      <c r="Y67" s="24">
        <v>9</v>
      </c>
      <c r="Z67" s="24">
        <v>6058.07</v>
      </c>
      <c r="AA67" s="24">
        <v>0</v>
      </c>
      <c r="AB67" s="24">
        <v>0</v>
      </c>
      <c r="AC67" s="24">
        <v>39269080</v>
      </c>
      <c r="AD67" s="24" t="s">
        <v>193</v>
      </c>
      <c r="AE67" s="27">
        <v>46215</v>
      </c>
      <c r="AF67" s="24">
        <v>0</v>
      </c>
      <c r="AG67" s="24">
        <v>0</v>
      </c>
      <c r="AH67" s="24"/>
      <c r="AI67" s="24">
        <v>0</v>
      </c>
      <c r="AJ67" s="24"/>
      <c r="AK67" s="24"/>
      <c r="AL67" s="24"/>
      <c r="AM67" s="24">
        <v>0</v>
      </c>
      <c r="AN67" s="24">
        <v>0</v>
      </c>
      <c r="AO67" s="24">
        <v>0</v>
      </c>
      <c r="AP67" s="24">
        <v>0</v>
      </c>
      <c r="AQ67" s="24">
        <v>0</v>
      </c>
      <c r="AR67" s="24">
        <v>0</v>
      </c>
      <c r="AS67" s="24">
        <v>0</v>
      </c>
      <c r="AT67" s="24">
        <v>0</v>
      </c>
      <c r="AU67" s="24"/>
      <c r="AV67" s="24" t="s">
        <v>241</v>
      </c>
      <c r="AW67" s="24" t="s">
        <v>209</v>
      </c>
      <c r="AX67" s="24" t="s">
        <v>245</v>
      </c>
      <c r="AY67" s="24" t="s">
        <v>153</v>
      </c>
      <c r="AZ67" s="24" t="s">
        <v>192</v>
      </c>
      <c r="BA67" s="24" t="s">
        <v>153</v>
      </c>
      <c r="BB67" s="24" t="s">
        <v>153</v>
      </c>
    </row>
    <row r="68" spans="1:54" x14ac:dyDescent="0.25">
      <c r="A68" s="26"/>
      <c r="B68" s="24" t="s">
        <v>167</v>
      </c>
      <c r="C68" s="26">
        <v>344</v>
      </c>
      <c r="D68" s="27">
        <v>46215</v>
      </c>
      <c r="E68" s="24" t="s">
        <v>219</v>
      </c>
      <c r="F68" s="24" t="s">
        <v>265</v>
      </c>
      <c r="G68" s="24" t="s">
        <v>242</v>
      </c>
      <c r="H68" s="24" t="s">
        <v>284</v>
      </c>
      <c r="I68" s="24">
        <v>154.74</v>
      </c>
      <c r="J68" s="24">
        <v>66.400000000000006</v>
      </c>
      <c r="K68" s="24" t="s">
        <v>168</v>
      </c>
      <c r="L68" s="25">
        <v>10274.74</v>
      </c>
      <c r="M68" s="25">
        <v>66.400000000000006</v>
      </c>
      <c r="N68" s="24">
        <v>66.400000000000006</v>
      </c>
      <c r="O68" s="24">
        <v>12124.2</v>
      </c>
      <c r="P68" s="24" t="s">
        <v>243</v>
      </c>
      <c r="Q68" s="24" t="s">
        <v>243</v>
      </c>
      <c r="R68" s="24"/>
      <c r="S68" s="24"/>
      <c r="T68" s="24" t="s">
        <v>240</v>
      </c>
      <c r="U68" s="24">
        <v>1</v>
      </c>
      <c r="V68" s="24"/>
      <c r="W68" s="24">
        <v>9</v>
      </c>
      <c r="X68" s="24">
        <v>924.73</v>
      </c>
      <c r="Y68" s="24">
        <v>9</v>
      </c>
      <c r="Z68" s="24">
        <v>924.73</v>
      </c>
      <c r="AA68" s="24">
        <v>0</v>
      </c>
      <c r="AB68" s="24">
        <v>0</v>
      </c>
      <c r="AC68" s="24">
        <v>39269080</v>
      </c>
      <c r="AD68" s="24" t="s">
        <v>256</v>
      </c>
      <c r="AE68" s="27">
        <v>46215</v>
      </c>
      <c r="AF68" s="24">
        <v>0</v>
      </c>
      <c r="AG68" s="24">
        <v>0</v>
      </c>
      <c r="AH68" s="24"/>
      <c r="AI68" s="24">
        <v>0</v>
      </c>
      <c r="AJ68" s="24"/>
      <c r="AK68" s="24"/>
      <c r="AL68" s="24"/>
      <c r="AM68" s="24">
        <v>0</v>
      </c>
      <c r="AN68" s="24">
        <v>0</v>
      </c>
      <c r="AO68" s="24">
        <v>0</v>
      </c>
      <c r="AP68" s="24">
        <v>0</v>
      </c>
      <c r="AQ68" s="24">
        <v>0</v>
      </c>
      <c r="AR68" s="24">
        <v>0</v>
      </c>
      <c r="AS68" s="24">
        <v>0</v>
      </c>
      <c r="AT68" s="24">
        <v>0</v>
      </c>
      <c r="AU68" s="24"/>
      <c r="AV68" s="24" t="s">
        <v>247</v>
      </c>
      <c r="AW68" s="24" t="s">
        <v>209</v>
      </c>
      <c r="AX68" s="24" t="s">
        <v>186</v>
      </c>
      <c r="AY68" s="24" t="s">
        <v>187</v>
      </c>
      <c r="AZ68" s="24" t="s">
        <v>169</v>
      </c>
      <c r="BA68" s="24" t="s">
        <v>180</v>
      </c>
      <c r="BB68" s="24" t="s">
        <v>155</v>
      </c>
    </row>
    <row r="69" spans="1:54" x14ac:dyDescent="0.25">
      <c r="A69" s="26"/>
      <c r="B69" s="24" t="s">
        <v>167</v>
      </c>
      <c r="C69" s="26">
        <v>346</v>
      </c>
      <c r="D69" s="27">
        <v>46216</v>
      </c>
      <c r="E69" s="24" t="s">
        <v>219</v>
      </c>
      <c r="F69" s="24" t="s">
        <v>175</v>
      </c>
      <c r="G69" s="24" t="s">
        <v>578</v>
      </c>
      <c r="H69" s="24" t="s">
        <v>338</v>
      </c>
      <c r="I69" s="24">
        <v>150</v>
      </c>
      <c r="J69" s="24">
        <v>79</v>
      </c>
      <c r="K69" s="24" t="s">
        <v>168</v>
      </c>
      <c r="L69" s="25">
        <v>11850</v>
      </c>
      <c r="M69" s="25">
        <v>79</v>
      </c>
      <c r="N69" s="24">
        <v>79</v>
      </c>
      <c r="O69" s="24">
        <v>27258</v>
      </c>
      <c r="P69" s="24" t="s">
        <v>207</v>
      </c>
      <c r="Q69" s="24" t="s">
        <v>207</v>
      </c>
      <c r="R69" s="24"/>
      <c r="S69" s="24"/>
      <c r="T69" s="24" t="s">
        <v>240</v>
      </c>
      <c r="U69" s="24">
        <v>1</v>
      </c>
      <c r="V69" s="24"/>
      <c r="W69" s="24">
        <v>9</v>
      </c>
      <c r="X69" s="24">
        <v>1066.5</v>
      </c>
      <c r="Y69" s="24">
        <v>9</v>
      </c>
      <c r="Z69" s="24">
        <v>1066.5</v>
      </c>
      <c r="AA69" s="24">
        <v>0</v>
      </c>
      <c r="AB69" s="24">
        <v>0</v>
      </c>
      <c r="AC69" s="24">
        <v>39232999</v>
      </c>
      <c r="AD69" s="24" t="s">
        <v>193</v>
      </c>
      <c r="AE69" s="27">
        <v>46216</v>
      </c>
      <c r="AF69" s="24">
        <v>0</v>
      </c>
      <c r="AG69" s="24">
        <v>0</v>
      </c>
      <c r="AH69" s="24"/>
      <c r="AI69" s="24">
        <v>0</v>
      </c>
      <c r="AJ69" s="24"/>
      <c r="AK69" s="24"/>
      <c r="AL69" s="24"/>
      <c r="AM69" s="24">
        <v>0</v>
      </c>
      <c r="AN69" s="24">
        <v>0</v>
      </c>
      <c r="AO69" s="24">
        <v>0</v>
      </c>
      <c r="AP69" s="24">
        <v>0</v>
      </c>
      <c r="AQ69" s="24">
        <v>0</v>
      </c>
      <c r="AR69" s="24">
        <v>0</v>
      </c>
      <c r="AS69" s="24">
        <v>0</v>
      </c>
      <c r="AT69" s="24">
        <v>0</v>
      </c>
      <c r="AU69" s="24"/>
      <c r="AV69" s="24" t="s">
        <v>247</v>
      </c>
      <c r="AW69" s="24" t="s">
        <v>209</v>
      </c>
      <c r="AX69" s="24" t="s">
        <v>245</v>
      </c>
      <c r="AY69" s="24" t="s">
        <v>153</v>
      </c>
      <c r="AZ69" s="24" t="s">
        <v>192</v>
      </c>
      <c r="BA69" s="24" t="s">
        <v>153</v>
      </c>
      <c r="BB69" s="24" t="s">
        <v>153</v>
      </c>
    </row>
    <row r="70" spans="1:54" x14ac:dyDescent="0.25">
      <c r="A70" s="26"/>
      <c r="B70" s="24" t="s">
        <v>167</v>
      </c>
      <c r="C70" s="26">
        <v>346</v>
      </c>
      <c r="D70" s="27">
        <v>46216</v>
      </c>
      <c r="E70" s="24" t="s">
        <v>219</v>
      </c>
      <c r="F70" s="24" t="s">
        <v>175</v>
      </c>
      <c r="G70" s="24" t="s">
        <v>578</v>
      </c>
      <c r="H70" s="24" t="s">
        <v>338</v>
      </c>
      <c r="I70" s="24">
        <v>150</v>
      </c>
      <c r="J70" s="24">
        <v>75</v>
      </c>
      <c r="K70" s="24" t="s">
        <v>168</v>
      </c>
      <c r="L70" s="25">
        <v>11250</v>
      </c>
      <c r="M70" s="25">
        <v>75</v>
      </c>
      <c r="N70" s="24">
        <v>75</v>
      </c>
      <c r="O70" s="24">
        <v>0</v>
      </c>
      <c r="P70" s="24" t="s">
        <v>207</v>
      </c>
      <c r="Q70" s="24" t="s">
        <v>207</v>
      </c>
      <c r="R70" s="24"/>
      <c r="S70" s="24"/>
      <c r="T70" s="24" t="s">
        <v>240</v>
      </c>
      <c r="U70" s="24">
        <v>1</v>
      </c>
      <c r="V70" s="24"/>
      <c r="W70" s="24">
        <v>9</v>
      </c>
      <c r="X70" s="24">
        <v>1012.5</v>
      </c>
      <c r="Y70" s="24">
        <v>9</v>
      </c>
      <c r="Z70" s="24">
        <v>1012.5</v>
      </c>
      <c r="AA70" s="24">
        <v>0</v>
      </c>
      <c r="AB70" s="24">
        <v>0</v>
      </c>
      <c r="AC70" s="24">
        <v>39232999</v>
      </c>
      <c r="AD70" s="24" t="s">
        <v>193</v>
      </c>
      <c r="AE70" s="27">
        <v>46216</v>
      </c>
      <c r="AF70" s="24">
        <v>0</v>
      </c>
      <c r="AG70" s="24">
        <v>0</v>
      </c>
      <c r="AH70" s="24"/>
      <c r="AI70" s="24">
        <v>0</v>
      </c>
      <c r="AJ70" s="24"/>
      <c r="AK70" s="24"/>
      <c r="AL70" s="24"/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/>
      <c r="AV70" s="24" t="s">
        <v>247</v>
      </c>
      <c r="AW70" s="24" t="s">
        <v>209</v>
      </c>
      <c r="AX70" s="24" t="s">
        <v>245</v>
      </c>
      <c r="AY70" s="24" t="s">
        <v>153</v>
      </c>
      <c r="AZ70" s="24" t="s">
        <v>192</v>
      </c>
      <c r="BA70" s="24" t="s">
        <v>153</v>
      </c>
      <c r="BB70" s="24" t="s">
        <v>153</v>
      </c>
    </row>
    <row r="71" spans="1:54" x14ac:dyDescent="0.25">
      <c r="A71" s="26"/>
      <c r="B71" s="24" t="s">
        <v>167</v>
      </c>
      <c r="C71" s="26">
        <v>347</v>
      </c>
      <c r="D71" s="27">
        <v>46216</v>
      </c>
      <c r="E71" s="24" t="s">
        <v>205</v>
      </c>
      <c r="F71" s="24" t="s">
        <v>268</v>
      </c>
      <c r="G71" s="24" t="s">
        <v>165</v>
      </c>
      <c r="H71" s="24" t="s">
        <v>203</v>
      </c>
      <c r="I71" s="24">
        <v>282</v>
      </c>
      <c r="J71" s="24">
        <v>170</v>
      </c>
      <c r="K71" s="24" t="s">
        <v>168</v>
      </c>
      <c r="L71" s="25">
        <v>47940</v>
      </c>
      <c r="M71" s="25">
        <v>170</v>
      </c>
      <c r="N71" s="24">
        <v>170</v>
      </c>
      <c r="O71" s="24">
        <v>56569.2</v>
      </c>
      <c r="P71" s="24" t="s">
        <v>248</v>
      </c>
      <c r="Q71" s="24" t="s">
        <v>165</v>
      </c>
      <c r="R71" s="24"/>
      <c r="S71" s="24"/>
      <c r="T71" s="24" t="s">
        <v>240</v>
      </c>
      <c r="U71" s="24">
        <v>1</v>
      </c>
      <c r="V71" s="24"/>
      <c r="W71" s="24">
        <v>9</v>
      </c>
      <c r="X71" s="24">
        <v>4314.6000000000004</v>
      </c>
      <c r="Y71" s="24">
        <v>9</v>
      </c>
      <c r="Z71" s="24">
        <v>4314.6000000000004</v>
      </c>
      <c r="AA71" s="24">
        <v>0</v>
      </c>
      <c r="AB71" s="24">
        <v>0</v>
      </c>
      <c r="AC71" s="24">
        <v>38140011</v>
      </c>
      <c r="AD71" s="24" t="s">
        <v>193</v>
      </c>
      <c r="AE71" s="27">
        <v>46216</v>
      </c>
      <c r="AF71" s="24">
        <v>0</v>
      </c>
      <c r="AG71" s="24">
        <v>0</v>
      </c>
      <c r="AH71" s="24"/>
      <c r="AI71" s="24">
        <v>0</v>
      </c>
      <c r="AJ71" s="24"/>
      <c r="AK71" s="24"/>
      <c r="AL71" s="24"/>
      <c r="AM71" s="24">
        <v>0</v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4">
        <v>0</v>
      </c>
      <c r="AU71" s="24"/>
      <c r="AV71" s="24" t="s">
        <v>241</v>
      </c>
      <c r="AW71" s="24" t="s">
        <v>209</v>
      </c>
      <c r="AX71" s="24" t="s">
        <v>202</v>
      </c>
      <c r="AY71" s="24" t="s">
        <v>203</v>
      </c>
      <c r="AZ71" s="24" t="s">
        <v>204</v>
      </c>
      <c r="BA71" s="24" t="s">
        <v>160</v>
      </c>
      <c r="BB71" s="24" t="s">
        <v>165</v>
      </c>
    </row>
    <row r="72" spans="1:54" x14ac:dyDescent="0.25">
      <c r="A72" s="26"/>
      <c r="B72" s="24" t="s">
        <v>167</v>
      </c>
      <c r="C72" s="26">
        <v>348</v>
      </c>
      <c r="D72" s="27">
        <v>46216</v>
      </c>
      <c r="E72" s="24" t="s">
        <v>219</v>
      </c>
      <c r="F72" s="24" t="s">
        <v>175</v>
      </c>
      <c r="G72" s="24" t="s">
        <v>578</v>
      </c>
      <c r="H72" s="24" t="s">
        <v>394</v>
      </c>
      <c r="I72" s="24">
        <v>134.74</v>
      </c>
      <c r="J72" s="24">
        <v>193</v>
      </c>
      <c r="K72" s="24" t="s">
        <v>168</v>
      </c>
      <c r="L72" s="25">
        <v>26004.82</v>
      </c>
      <c r="M72" s="25">
        <v>193</v>
      </c>
      <c r="N72" s="24">
        <v>193</v>
      </c>
      <c r="O72" s="24">
        <v>30685.68</v>
      </c>
      <c r="P72" s="24" t="s">
        <v>207</v>
      </c>
      <c r="Q72" s="24" t="s">
        <v>207</v>
      </c>
      <c r="R72" s="24"/>
      <c r="S72" s="24"/>
      <c r="T72" s="24" t="s">
        <v>240</v>
      </c>
      <c r="U72" s="24">
        <v>1</v>
      </c>
      <c r="V72" s="24"/>
      <c r="W72" s="24">
        <v>9</v>
      </c>
      <c r="X72" s="24">
        <v>2340.4299999999998</v>
      </c>
      <c r="Y72" s="24">
        <v>9</v>
      </c>
      <c r="Z72" s="24">
        <v>2340.4299999999998</v>
      </c>
      <c r="AA72" s="24">
        <v>0</v>
      </c>
      <c r="AB72" s="24">
        <v>0</v>
      </c>
      <c r="AC72" s="24">
        <v>39232999</v>
      </c>
      <c r="AD72" s="24" t="s">
        <v>193</v>
      </c>
      <c r="AE72" s="27">
        <v>46216</v>
      </c>
      <c r="AF72" s="24">
        <v>0</v>
      </c>
      <c r="AG72" s="24">
        <v>0</v>
      </c>
      <c r="AH72" s="24"/>
      <c r="AI72" s="24">
        <v>0</v>
      </c>
      <c r="AJ72" s="24"/>
      <c r="AK72" s="24"/>
      <c r="AL72" s="24"/>
      <c r="AM72" s="24">
        <v>0</v>
      </c>
      <c r="AN72" s="24">
        <v>0</v>
      </c>
      <c r="AO72" s="24">
        <v>0</v>
      </c>
      <c r="AP72" s="24">
        <v>0</v>
      </c>
      <c r="AQ72" s="24">
        <v>0</v>
      </c>
      <c r="AR72" s="24">
        <v>0</v>
      </c>
      <c r="AS72" s="24">
        <v>0</v>
      </c>
      <c r="AT72" s="24">
        <v>0</v>
      </c>
      <c r="AU72" s="24"/>
      <c r="AV72" s="24" t="s">
        <v>247</v>
      </c>
      <c r="AW72" s="24" t="s">
        <v>209</v>
      </c>
      <c r="AX72" s="24" t="s">
        <v>245</v>
      </c>
      <c r="AY72" s="24" t="s">
        <v>153</v>
      </c>
      <c r="AZ72" s="24" t="s">
        <v>192</v>
      </c>
      <c r="BA72" s="24" t="s">
        <v>153</v>
      </c>
      <c r="BB72" s="24" t="s">
        <v>153</v>
      </c>
    </row>
    <row r="73" spans="1:54" x14ac:dyDescent="0.25">
      <c r="A73" s="26"/>
      <c r="B73" s="24" t="s">
        <v>167</v>
      </c>
      <c r="C73" s="26">
        <v>349</v>
      </c>
      <c r="D73" s="27">
        <v>46216</v>
      </c>
      <c r="E73" s="24" t="s">
        <v>219</v>
      </c>
      <c r="F73" s="24" t="s">
        <v>175</v>
      </c>
      <c r="G73" s="24" t="s">
        <v>309</v>
      </c>
      <c r="H73" s="24" t="s">
        <v>331</v>
      </c>
      <c r="I73" s="24">
        <v>285</v>
      </c>
      <c r="J73" s="24">
        <v>25</v>
      </c>
      <c r="K73" s="24" t="s">
        <v>168</v>
      </c>
      <c r="L73" s="25">
        <v>7125</v>
      </c>
      <c r="M73" s="25">
        <v>25</v>
      </c>
      <c r="N73" s="24">
        <v>25</v>
      </c>
      <c r="O73" s="24">
        <v>16667.5</v>
      </c>
      <c r="P73" s="24" t="s">
        <v>580</v>
      </c>
      <c r="Q73" s="24" t="s">
        <v>580</v>
      </c>
      <c r="R73" s="24"/>
      <c r="S73" s="24"/>
      <c r="T73" s="24" t="s">
        <v>240</v>
      </c>
      <c r="U73" s="24">
        <v>1</v>
      </c>
      <c r="V73" s="24"/>
      <c r="W73" s="24">
        <v>9</v>
      </c>
      <c r="X73" s="24">
        <v>641.25</v>
      </c>
      <c r="Y73" s="24">
        <v>9</v>
      </c>
      <c r="Z73" s="24">
        <v>641.25</v>
      </c>
      <c r="AA73" s="24">
        <v>0</v>
      </c>
      <c r="AB73" s="24">
        <v>0</v>
      </c>
      <c r="AC73" s="24">
        <v>32151990</v>
      </c>
      <c r="AD73" s="24" t="s">
        <v>193</v>
      </c>
      <c r="AE73" s="27">
        <v>46216</v>
      </c>
      <c r="AF73" s="24">
        <v>0</v>
      </c>
      <c r="AG73" s="24">
        <v>0</v>
      </c>
      <c r="AH73" s="24"/>
      <c r="AI73" s="24">
        <v>0</v>
      </c>
      <c r="AJ73" s="24"/>
      <c r="AK73" s="24"/>
      <c r="AL73" s="24"/>
      <c r="AM73" s="24">
        <v>0</v>
      </c>
      <c r="AN73" s="24">
        <v>0</v>
      </c>
      <c r="AO73" s="24">
        <v>0</v>
      </c>
      <c r="AP73" s="24">
        <v>0</v>
      </c>
      <c r="AQ73" s="24">
        <v>0</v>
      </c>
      <c r="AR73" s="24">
        <v>0</v>
      </c>
      <c r="AS73" s="24">
        <v>0</v>
      </c>
      <c r="AT73" s="24">
        <v>0</v>
      </c>
      <c r="AU73" s="24"/>
      <c r="AV73" s="24" t="s">
        <v>247</v>
      </c>
      <c r="AW73" s="24" t="s">
        <v>209</v>
      </c>
      <c r="AX73" s="24" t="s">
        <v>581</v>
      </c>
      <c r="AY73" s="24" t="s">
        <v>331</v>
      </c>
      <c r="AZ73" s="24" t="s">
        <v>204</v>
      </c>
      <c r="BA73" s="24" t="s">
        <v>160</v>
      </c>
      <c r="BB73" s="24" t="s">
        <v>160</v>
      </c>
    </row>
    <row r="74" spans="1:54" x14ac:dyDescent="0.25">
      <c r="A74" s="26"/>
      <c r="B74" s="24" t="s">
        <v>167</v>
      </c>
      <c r="C74" s="26">
        <v>349</v>
      </c>
      <c r="D74" s="27">
        <v>46216</v>
      </c>
      <c r="E74" s="24" t="s">
        <v>219</v>
      </c>
      <c r="F74" s="24" t="s">
        <v>175</v>
      </c>
      <c r="G74" s="24" t="s">
        <v>309</v>
      </c>
      <c r="H74" s="24" t="s">
        <v>396</v>
      </c>
      <c r="I74" s="24">
        <v>280</v>
      </c>
      <c r="J74" s="24">
        <v>25</v>
      </c>
      <c r="K74" s="24" t="s">
        <v>168</v>
      </c>
      <c r="L74" s="25">
        <v>7000</v>
      </c>
      <c r="M74" s="25">
        <v>25</v>
      </c>
      <c r="N74" s="24">
        <v>25</v>
      </c>
      <c r="O74" s="24">
        <v>0</v>
      </c>
      <c r="P74" s="24" t="s">
        <v>580</v>
      </c>
      <c r="Q74" s="24" t="s">
        <v>580</v>
      </c>
      <c r="R74" s="24"/>
      <c r="S74" s="24"/>
      <c r="T74" s="24" t="s">
        <v>240</v>
      </c>
      <c r="U74" s="24">
        <v>1</v>
      </c>
      <c r="V74" s="24"/>
      <c r="W74" s="24">
        <v>9</v>
      </c>
      <c r="X74" s="24">
        <v>630</v>
      </c>
      <c r="Y74" s="24">
        <v>9</v>
      </c>
      <c r="Z74" s="24">
        <v>630</v>
      </c>
      <c r="AA74" s="24">
        <v>0</v>
      </c>
      <c r="AB74" s="24">
        <v>0</v>
      </c>
      <c r="AC74" s="24">
        <v>32151990</v>
      </c>
      <c r="AD74" s="24" t="s">
        <v>193</v>
      </c>
      <c r="AE74" s="27">
        <v>46216</v>
      </c>
      <c r="AF74" s="24">
        <v>0</v>
      </c>
      <c r="AG74" s="24">
        <v>0</v>
      </c>
      <c r="AH74" s="24"/>
      <c r="AI74" s="24">
        <v>0</v>
      </c>
      <c r="AJ74" s="24"/>
      <c r="AK74" s="24"/>
      <c r="AL74" s="24"/>
      <c r="AM74" s="24">
        <v>0</v>
      </c>
      <c r="AN74" s="24">
        <v>0</v>
      </c>
      <c r="AO74" s="24">
        <v>0</v>
      </c>
      <c r="AP74" s="24">
        <v>0</v>
      </c>
      <c r="AQ74" s="24">
        <v>0</v>
      </c>
      <c r="AR74" s="24">
        <v>0</v>
      </c>
      <c r="AS74" s="24">
        <v>0</v>
      </c>
      <c r="AT74" s="24">
        <v>0</v>
      </c>
      <c r="AU74" s="24"/>
      <c r="AV74" s="24" t="s">
        <v>247</v>
      </c>
      <c r="AW74" s="24" t="s">
        <v>209</v>
      </c>
      <c r="AX74" s="24" t="s">
        <v>305</v>
      </c>
      <c r="AY74" s="24" t="s">
        <v>306</v>
      </c>
      <c r="AZ74" s="24" t="s">
        <v>204</v>
      </c>
      <c r="BA74" s="24" t="s">
        <v>160</v>
      </c>
      <c r="BB74" s="24" t="s">
        <v>160</v>
      </c>
    </row>
    <row r="75" spans="1:54" x14ac:dyDescent="0.25">
      <c r="A75" s="26"/>
      <c r="B75" s="24" t="s">
        <v>167</v>
      </c>
      <c r="C75" s="26">
        <v>351</v>
      </c>
      <c r="D75" s="27">
        <v>46216</v>
      </c>
      <c r="E75" s="24" t="s">
        <v>234</v>
      </c>
      <c r="F75" s="24" t="s">
        <v>604</v>
      </c>
      <c r="G75" s="24" t="s">
        <v>239</v>
      </c>
      <c r="H75" s="24" t="s">
        <v>390</v>
      </c>
      <c r="I75" s="24">
        <v>212.73</v>
      </c>
      <c r="J75" s="24">
        <v>1946</v>
      </c>
      <c r="K75" s="24" t="s">
        <v>168</v>
      </c>
      <c r="L75" s="25">
        <v>413972.58</v>
      </c>
      <c r="M75" s="25">
        <v>1946</v>
      </c>
      <c r="N75" s="24">
        <v>1946</v>
      </c>
      <c r="O75" s="24">
        <v>488487.64</v>
      </c>
      <c r="P75" s="24" t="s">
        <v>207</v>
      </c>
      <c r="Q75" s="24" t="s">
        <v>207</v>
      </c>
      <c r="R75" s="24"/>
      <c r="S75" s="24"/>
      <c r="T75" s="24" t="s">
        <v>240</v>
      </c>
      <c r="U75" s="24">
        <v>1</v>
      </c>
      <c r="V75" s="24"/>
      <c r="W75" s="24">
        <v>9</v>
      </c>
      <c r="X75" s="24">
        <v>37257.53</v>
      </c>
      <c r="Y75" s="24">
        <v>9</v>
      </c>
      <c r="Z75" s="24">
        <v>37257.53</v>
      </c>
      <c r="AA75" s="24">
        <v>0</v>
      </c>
      <c r="AB75" s="24">
        <v>0</v>
      </c>
      <c r="AC75" s="24">
        <v>39232999</v>
      </c>
      <c r="AD75" s="24" t="s">
        <v>193</v>
      </c>
      <c r="AE75" s="27">
        <v>46216</v>
      </c>
      <c r="AF75" s="24">
        <v>0</v>
      </c>
      <c r="AG75" s="24">
        <v>0</v>
      </c>
      <c r="AH75" s="24"/>
      <c r="AI75" s="24">
        <v>0</v>
      </c>
      <c r="AJ75" s="24"/>
      <c r="AK75" s="24"/>
      <c r="AL75" s="24"/>
      <c r="AM75" s="24">
        <v>0</v>
      </c>
      <c r="AN75" s="24">
        <v>0</v>
      </c>
      <c r="AO75" s="24">
        <v>0</v>
      </c>
      <c r="AP75" s="24">
        <v>0</v>
      </c>
      <c r="AQ75" s="24">
        <v>0</v>
      </c>
      <c r="AR75" s="24">
        <v>0</v>
      </c>
      <c r="AS75" s="24">
        <v>0</v>
      </c>
      <c r="AT75" s="24">
        <v>0</v>
      </c>
      <c r="AU75" s="24"/>
      <c r="AV75" s="24" t="s">
        <v>264</v>
      </c>
      <c r="AW75" s="24" t="s">
        <v>209</v>
      </c>
      <c r="AX75" s="24" t="s">
        <v>190</v>
      </c>
      <c r="AY75" s="24" t="s">
        <v>191</v>
      </c>
      <c r="AZ75" s="24" t="s">
        <v>192</v>
      </c>
      <c r="BA75" s="24" t="s">
        <v>152</v>
      </c>
      <c r="BB75" s="24" t="s">
        <v>152</v>
      </c>
    </row>
    <row r="76" spans="1:54" x14ac:dyDescent="0.25">
      <c r="A76" s="26"/>
      <c r="B76" s="24" t="s">
        <v>167</v>
      </c>
      <c r="C76" s="26">
        <v>352</v>
      </c>
      <c r="D76" s="27">
        <v>46216</v>
      </c>
      <c r="E76" s="24" t="s">
        <v>219</v>
      </c>
      <c r="F76" s="24" t="s">
        <v>263</v>
      </c>
      <c r="G76" s="24" t="s">
        <v>277</v>
      </c>
      <c r="H76" s="24" t="s">
        <v>277</v>
      </c>
      <c r="I76" s="24">
        <v>282</v>
      </c>
      <c r="J76" s="24">
        <v>3.8</v>
      </c>
      <c r="K76" s="24" t="s">
        <v>168</v>
      </c>
      <c r="L76" s="25">
        <v>1071.5999999999999</v>
      </c>
      <c r="M76" s="25">
        <v>3.8</v>
      </c>
      <c r="N76" s="24">
        <v>3.8</v>
      </c>
      <c r="O76" s="24">
        <v>1264.48</v>
      </c>
      <c r="P76" s="24" t="s">
        <v>248</v>
      </c>
      <c r="Q76" s="24" t="s">
        <v>248</v>
      </c>
      <c r="R76" s="24"/>
      <c r="S76" s="24"/>
      <c r="T76" s="24" t="s">
        <v>240</v>
      </c>
      <c r="U76" s="24">
        <v>1</v>
      </c>
      <c r="V76" s="24"/>
      <c r="W76" s="24">
        <v>9</v>
      </c>
      <c r="X76" s="24">
        <v>96.44</v>
      </c>
      <c r="Y76" s="24">
        <v>9</v>
      </c>
      <c r="Z76" s="24">
        <v>96.44</v>
      </c>
      <c r="AA76" s="24">
        <v>0</v>
      </c>
      <c r="AB76" s="24">
        <v>0</v>
      </c>
      <c r="AC76" s="24">
        <v>39201019</v>
      </c>
      <c r="AD76" s="24" t="s">
        <v>193</v>
      </c>
      <c r="AE76" s="27">
        <v>46216</v>
      </c>
      <c r="AF76" s="24">
        <v>0</v>
      </c>
      <c r="AG76" s="24">
        <v>0</v>
      </c>
      <c r="AH76" s="24"/>
      <c r="AI76" s="24">
        <v>0</v>
      </c>
      <c r="AJ76" s="24"/>
      <c r="AK76" s="24"/>
      <c r="AL76" s="24"/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0</v>
      </c>
      <c r="AT76" s="24">
        <v>0</v>
      </c>
      <c r="AU76" s="24"/>
      <c r="AV76" s="24" t="s">
        <v>247</v>
      </c>
      <c r="AW76" s="24" t="s">
        <v>209</v>
      </c>
      <c r="AX76" s="24" t="s">
        <v>199</v>
      </c>
      <c r="AY76" s="24" t="s">
        <v>200</v>
      </c>
      <c r="AZ76" s="24" t="s">
        <v>169</v>
      </c>
      <c r="BA76" s="24" t="s">
        <v>201</v>
      </c>
      <c r="BB76" s="24" t="s">
        <v>158</v>
      </c>
    </row>
    <row r="77" spans="1:54" x14ac:dyDescent="0.25">
      <c r="A77" s="26"/>
      <c r="B77" s="24" t="s">
        <v>167</v>
      </c>
      <c r="C77" s="26">
        <v>353</v>
      </c>
      <c r="D77" s="27">
        <v>46217</v>
      </c>
      <c r="E77" s="24" t="s">
        <v>205</v>
      </c>
      <c r="F77" s="24" t="s">
        <v>605</v>
      </c>
      <c r="G77" s="24" t="s">
        <v>242</v>
      </c>
      <c r="H77" s="24" t="s">
        <v>187</v>
      </c>
      <c r="I77" s="24">
        <v>154.74</v>
      </c>
      <c r="J77" s="24">
        <v>1071.5</v>
      </c>
      <c r="K77" s="24" t="s">
        <v>168</v>
      </c>
      <c r="L77" s="25">
        <v>165803.91</v>
      </c>
      <c r="M77" s="25">
        <v>1071.5</v>
      </c>
      <c r="N77" s="24">
        <v>1145.5</v>
      </c>
      <c r="O77" s="24">
        <v>207082.81</v>
      </c>
      <c r="P77" s="24" t="s">
        <v>243</v>
      </c>
      <c r="Q77" s="24" t="s">
        <v>243</v>
      </c>
      <c r="R77" s="24"/>
      <c r="S77" s="24"/>
      <c r="T77" s="24" t="s">
        <v>240</v>
      </c>
      <c r="U77" s="24">
        <v>1</v>
      </c>
      <c r="V77" s="24"/>
      <c r="W77" s="24">
        <v>9</v>
      </c>
      <c r="X77" s="24">
        <v>14922.35</v>
      </c>
      <c r="Y77" s="24">
        <v>9</v>
      </c>
      <c r="Z77" s="24">
        <v>14922.35</v>
      </c>
      <c r="AA77" s="24">
        <v>0</v>
      </c>
      <c r="AB77" s="24">
        <v>0</v>
      </c>
      <c r="AC77" s="24">
        <v>39269080</v>
      </c>
      <c r="AD77" s="24" t="s">
        <v>193</v>
      </c>
      <c r="AE77" s="27">
        <v>46217</v>
      </c>
      <c r="AF77" s="24">
        <v>0</v>
      </c>
      <c r="AG77" s="24">
        <v>0</v>
      </c>
      <c r="AH77" s="24"/>
      <c r="AI77" s="24">
        <v>0</v>
      </c>
      <c r="AJ77" s="24"/>
      <c r="AK77" s="24"/>
      <c r="AL77" s="24"/>
      <c r="AM77" s="24">
        <v>0</v>
      </c>
      <c r="AN77" s="24">
        <v>0</v>
      </c>
      <c r="AO77" s="24">
        <v>0</v>
      </c>
      <c r="AP77" s="24">
        <v>0</v>
      </c>
      <c r="AQ77" s="24">
        <v>0</v>
      </c>
      <c r="AR77" s="24">
        <v>0</v>
      </c>
      <c r="AS77" s="24">
        <v>0</v>
      </c>
      <c r="AT77" s="24">
        <v>0</v>
      </c>
      <c r="AU77" s="24"/>
      <c r="AV77" s="24" t="s">
        <v>241</v>
      </c>
      <c r="AW77" s="24" t="s">
        <v>209</v>
      </c>
      <c r="AX77" s="24" t="s">
        <v>186</v>
      </c>
      <c r="AY77" s="24" t="s">
        <v>187</v>
      </c>
      <c r="AZ77" s="24" t="s">
        <v>169</v>
      </c>
      <c r="BA77" s="24" t="s">
        <v>180</v>
      </c>
      <c r="BB77" s="24" t="s">
        <v>155</v>
      </c>
    </row>
    <row r="78" spans="1:54" x14ac:dyDescent="0.25">
      <c r="A78" s="26"/>
      <c r="B78" s="24" t="s">
        <v>167</v>
      </c>
      <c r="C78" s="26">
        <v>353</v>
      </c>
      <c r="D78" s="27">
        <v>46217</v>
      </c>
      <c r="E78" s="24" t="s">
        <v>205</v>
      </c>
      <c r="F78" s="24" t="s">
        <v>605</v>
      </c>
      <c r="G78" s="24" t="s">
        <v>277</v>
      </c>
      <c r="H78" s="24" t="s">
        <v>200</v>
      </c>
      <c r="I78" s="24">
        <v>255</v>
      </c>
      <c r="J78" s="24">
        <v>38</v>
      </c>
      <c r="K78" s="24" t="s">
        <v>168</v>
      </c>
      <c r="L78" s="25">
        <v>9690</v>
      </c>
      <c r="M78" s="25">
        <v>38</v>
      </c>
      <c r="N78" s="24">
        <v>38</v>
      </c>
      <c r="O78" s="24">
        <v>0</v>
      </c>
      <c r="P78" s="24" t="s">
        <v>243</v>
      </c>
      <c r="Q78" s="24" t="s">
        <v>248</v>
      </c>
      <c r="R78" s="24"/>
      <c r="S78" s="24"/>
      <c r="T78" s="24" t="s">
        <v>240</v>
      </c>
      <c r="U78" s="24">
        <v>1</v>
      </c>
      <c r="V78" s="24"/>
      <c r="W78" s="24">
        <v>9</v>
      </c>
      <c r="X78" s="24">
        <v>872.1</v>
      </c>
      <c r="Y78" s="24">
        <v>9</v>
      </c>
      <c r="Z78" s="24">
        <v>872.1</v>
      </c>
      <c r="AA78" s="24">
        <v>0</v>
      </c>
      <c r="AB78" s="24">
        <v>0</v>
      </c>
      <c r="AC78" s="24">
        <v>39201019</v>
      </c>
      <c r="AD78" s="24" t="s">
        <v>193</v>
      </c>
      <c r="AE78" s="27">
        <v>46217</v>
      </c>
      <c r="AF78" s="24">
        <v>0</v>
      </c>
      <c r="AG78" s="24">
        <v>0</v>
      </c>
      <c r="AH78" s="24"/>
      <c r="AI78" s="24">
        <v>0</v>
      </c>
      <c r="AJ78" s="24"/>
      <c r="AK78" s="24"/>
      <c r="AL78" s="24"/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24">
        <v>0</v>
      </c>
      <c r="AU78" s="24"/>
      <c r="AV78" s="24" t="s">
        <v>241</v>
      </c>
      <c r="AW78" s="24" t="s">
        <v>209</v>
      </c>
      <c r="AX78" s="24" t="s">
        <v>199</v>
      </c>
      <c r="AY78" s="24" t="s">
        <v>200</v>
      </c>
      <c r="AZ78" s="24" t="s">
        <v>169</v>
      </c>
      <c r="BA78" s="24" t="s">
        <v>201</v>
      </c>
      <c r="BB78" s="24" t="s">
        <v>158</v>
      </c>
    </row>
    <row r="79" spans="1:54" x14ac:dyDescent="0.25">
      <c r="A79" s="26"/>
      <c r="B79" s="24" t="s">
        <v>167</v>
      </c>
      <c r="C79" s="26">
        <v>355</v>
      </c>
      <c r="D79" s="27">
        <v>46217</v>
      </c>
      <c r="E79" s="24" t="s">
        <v>234</v>
      </c>
      <c r="F79" s="24" t="s">
        <v>606</v>
      </c>
      <c r="G79" s="24" t="s">
        <v>239</v>
      </c>
      <c r="H79" s="24" t="s">
        <v>400</v>
      </c>
      <c r="I79" s="24">
        <v>158.55000000000001</v>
      </c>
      <c r="J79" s="24">
        <v>9143.9</v>
      </c>
      <c r="K79" s="24" t="s">
        <v>168</v>
      </c>
      <c r="L79" s="25">
        <v>1449765.34</v>
      </c>
      <c r="M79" s="25">
        <v>9143.9</v>
      </c>
      <c r="N79" s="24">
        <v>9143.9</v>
      </c>
      <c r="O79" s="24">
        <v>3336918.06</v>
      </c>
      <c r="P79" s="24" t="s">
        <v>207</v>
      </c>
      <c r="Q79" s="24" t="s">
        <v>207</v>
      </c>
      <c r="R79" s="24"/>
      <c r="S79" s="24"/>
      <c r="T79" s="24" t="s">
        <v>240</v>
      </c>
      <c r="U79" s="24">
        <v>1</v>
      </c>
      <c r="V79" s="24"/>
      <c r="W79" s="24">
        <v>9</v>
      </c>
      <c r="X79" s="24">
        <v>130478.88</v>
      </c>
      <c r="Y79" s="24">
        <v>9</v>
      </c>
      <c r="Z79" s="24">
        <v>130478.88</v>
      </c>
      <c r="AA79" s="24">
        <v>0</v>
      </c>
      <c r="AB79" s="24">
        <v>0</v>
      </c>
      <c r="AC79" s="24">
        <v>39232999</v>
      </c>
      <c r="AD79" s="24" t="s">
        <v>193</v>
      </c>
      <c r="AE79" s="27">
        <v>46217</v>
      </c>
      <c r="AF79" s="24">
        <v>0</v>
      </c>
      <c r="AG79" s="24">
        <v>0</v>
      </c>
      <c r="AH79" s="24"/>
      <c r="AI79" s="24">
        <v>0</v>
      </c>
      <c r="AJ79" s="24"/>
      <c r="AK79" s="24"/>
      <c r="AL79" s="24"/>
      <c r="AM79" s="24">
        <v>0</v>
      </c>
      <c r="AN79" s="24">
        <v>0</v>
      </c>
      <c r="AO79" s="24">
        <v>0</v>
      </c>
      <c r="AP79" s="24">
        <v>0</v>
      </c>
      <c r="AQ79" s="24">
        <v>0</v>
      </c>
      <c r="AR79" s="24">
        <v>0</v>
      </c>
      <c r="AS79" s="24">
        <v>0</v>
      </c>
      <c r="AT79" s="24">
        <v>0</v>
      </c>
      <c r="AU79" s="24"/>
      <c r="AV79" s="24" t="s">
        <v>264</v>
      </c>
      <c r="AW79" s="24" t="s">
        <v>209</v>
      </c>
      <c r="AX79" s="24" t="s">
        <v>190</v>
      </c>
      <c r="AY79" s="24" t="s">
        <v>191</v>
      </c>
      <c r="AZ79" s="24" t="s">
        <v>192</v>
      </c>
      <c r="BA79" s="24" t="s">
        <v>152</v>
      </c>
      <c r="BB79" s="24" t="s">
        <v>152</v>
      </c>
    </row>
    <row r="80" spans="1:54" x14ac:dyDescent="0.25">
      <c r="A80" s="24"/>
      <c r="B80" s="24" t="s">
        <v>167</v>
      </c>
      <c r="C80" s="26">
        <v>355</v>
      </c>
      <c r="D80" s="27">
        <v>46217</v>
      </c>
      <c r="E80" s="24" t="s">
        <v>234</v>
      </c>
      <c r="F80" s="24" t="s">
        <v>606</v>
      </c>
      <c r="G80" s="24" t="s">
        <v>239</v>
      </c>
      <c r="H80" s="24" t="s">
        <v>401</v>
      </c>
      <c r="I80" s="24">
        <v>155.31</v>
      </c>
      <c r="J80" s="24">
        <v>845.2</v>
      </c>
      <c r="K80" s="24" t="s">
        <v>168</v>
      </c>
      <c r="L80" s="24">
        <v>131268.01</v>
      </c>
      <c r="M80" s="24">
        <v>845.2</v>
      </c>
      <c r="N80" s="24">
        <v>845.2</v>
      </c>
      <c r="O80" s="24">
        <v>0</v>
      </c>
      <c r="P80" s="24" t="s">
        <v>207</v>
      </c>
      <c r="Q80" s="24" t="s">
        <v>207</v>
      </c>
      <c r="R80" s="24"/>
      <c r="S80" s="24"/>
      <c r="T80" s="24" t="s">
        <v>240</v>
      </c>
      <c r="U80" s="24">
        <v>1</v>
      </c>
      <c r="V80" s="24"/>
      <c r="W80" s="24">
        <v>9</v>
      </c>
      <c r="X80" s="24">
        <v>11814.12</v>
      </c>
      <c r="Y80" s="24">
        <v>9</v>
      </c>
      <c r="Z80" s="24">
        <v>11814.12</v>
      </c>
      <c r="AA80" s="24">
        <v>0</v>
      </c>
      <c r="AB80" s="24">
        <v>0</v>
      </c>
      <c r="AC80" s="24">
        <v>39232999</v>
      </c>
      <c r="AD80" s="24" t="s">
        <v>193</v>
      </c>
      <c r="AE80" s="27">
        <v>46217</v>
      </c>
      <c r="AF80" s="24">
        <v>0</v>
      </c>
      <c r="AG80" s="24">
        <v>0</v>
      </c>
      <c r="AH80" s="24"/>
      <c r="AI80" s="24">
        <v>0</v>
      </c>
      <c r="AJ80" s="24"/>
      <c r="AK80" s="24"/>
      <c r="AL80" s="24"/>
      <c r="AM80" s="24">
        <v>0</v>
      </c>
      <c r="AN80" s="24">
        <v>0</v>
      </c>
      <c r="AO80" s="24">
        <v>0</v>
      </c>
      <c r="AP80" s="24">
        <v>0</v>
      </c>
      <c r="AQ80" s="24">
        <v>0</v>
      </c>
      <c r="AR80" s="24">
        <v>0</v>
      </c>
      <c r="AS80" s="24">
        <v>0</v>
      </c>
      <c r="AT80" s="24">
        <v>0</v>
      </c>
      <c r="AU80" s="24"/>
      <c r="AV80" s="24" t="s">
        <v>264</v>
      </c>
      <c r="AW80" s="24" t="s">
        <v>209</v>
      </c>
      <c r="AX80" s="24" t="s">
        <v>190</v>
      </c>
      <c r="AY80" s="24" t="s">
        <v>191</v>
      </c>
      <c r="AZ80" s="24" t="s">
        <v>192</v>
      </c>
      <c r="BA80" s="24" t="s">
        <v>152</v>
      </c>
      <c r="BB80" s="24" t="s">
        <v>152</v>
      </c>
    </row>
    <row r="81" spans="1:54" x14ac:dyDescent="0.25">
      <c r="A81" s="26"/>
      <c r="B81" s="24" t="s">
        <v>167</v>
      </c>
      <c r="C81" s="26">
        <v>355</v>
      </c>
      <c r="D81" s="27">
        <v>46217</v>
      </c>
      <c r="E81" s="24" t="s">
        <v>234</v>
      </c>
      <c r="F81" s="24" t="s">
        <v>606</v>
      </c>
      <c r="G81" s="24" t="s">
        <v>239</v>
      </c>
      <c r="H81" s="24" t="s">
        <v>402</v>
      </c>
      <c r="I81" s="24">
        <v>154.66</v>
      </c>
      <c r="J81" s="24">
        <v>5936.6</v>
      </c>
      <c r="K81" s="24" t="s">
        <v>168</v>
      </c>
      <c r="L81" s="25">
        <v>918154.56</v>
      </c>
      <c r="M81" s="25">
        <v>5936.6</v>
      </c>
      <c r="N81" s="24">
        <v>5936.6</v>
      </c>
      <c r="O81" s="24">
        <v>0</v>
      </c>
      <c r="P81" s="24" t="s">
        <v>207</v>
      </c>
      <c r="Q81" s="24" t="s">
        <v>207</v>
      </c>
      <c r="R81" s="24"/>
      <c r="S81" s="24"/>
      <c r="T81" s="24" t="s">
        <v>240</v>
      </c>
      <c r="U81" s="24">
        <v>1</v>
      </c>
      <c r="V81" s="24"/>
      <c r="W81" s="24">
        <v>9</v>
      </c>
      <c r="X81" s="24">
        <v>82633.91</v>
      </c>
      <c r="Y81" s="24">
        <v>9</v>
      </c>
      <c r="Z81" s="24">
        <v>82633.91</v>
      </c>
      <c r="AA81" s="24">
        <v>0</v>
      </c>
      <c r="AB81" s="24">
        <v>0</v>
      </c>
      <c r="AC81" s="24">
        <v>39232999</v>
      </c>
      <c r="AD81" s="24" t="s">
        <v>193</v>
      </c>
      <c r="AE81" s="27">
        <v>46217</v>
      </c>
      <c r="AF81" s="24">
        <v>0</v>
      </c>
      <c r="AG81" s="24">
        <v>0</v>
      </c>
      <c r="AH81" s="24"/>
      <c r="AI81" s="24">
        <v>0</v>
      </c>
      <c r="AJ81" s="24"/>
      <c r="AK81" s="24"/>
      <c r="AL81" s="24"/>
      <c r="AM81" s="24">
        <v>0</v>
      </c>
      <c r="AN81" s="24">
        <v>0</v>
      </c>
      <c r="AO81" s="24">
        <v>0</v>
      </c>
      <c r="AP81" s="24">
        <v>0</v>
      </c>
      <c r="AQ81" s="24">
        <v>0</v>
      </c>
      <c r="AR81" s="24">
        <v>0</v>
      </c>
      <c r="AS81" s="24">
        <v>0</v>
      </c>
      <c r="AT81" s="24">
        <v>0</v>
      </c>
      <c r="AU81" s="24"/>
      <c r="AV81" s="24" t="s">
        <v>264</v>
      </c>
      <c r="AW81" s="24" t="s">
        <v>209</v>
      </c>
      <c r="AX81" s="24" t="s">
        <v>190</v>
      </c>
      <c r="AY81" s="24" t="s">
        <v>191</v>
      </c>
      <c r="AZ81" s="24" t="s">
        <v>192</v>
      </c>
      <c r="BA81" s="24" t="s">
        <v>152</v>
      </c>
      <c r="BB81" s="24" t="s">
        <v>152</v>
      </c>
    </row>
    <row r="82" spans="1:54" x14ac:dyDescent="0.25">
      <c r="A82" s="26"/>
      <c r="B82" s="24" t="s">
        <v>167</v>
      </c>
      <c r="C82" s="26">
        <v>355</v>
      </c>
      <c r="D82" s="27">
        <v>46217</v>
      </c>
      <c r="E82" s="24" t="s">
        <v>234</v>
      </c>
      <c r="F82" s="24" t="s">
        <v>606</v>
      </c>
      <c r="G82" s="24" t="s">
        <v>239</v>
      </c>
      <c r="H82" s="24" t="s">
        <v>403</v>
      </c>
      <c r="I82" s="24">
        <v>158.33000000000001</v>
      </c>
      <c r="J82" s="24">
        <v>832.2</v>
      </c>
      <c r="K82" s="24" t="s">
        <v>168</v>
      </c>
      <c r="L82" s="25">
        <v>131762.23000000001</v>
      </c>
      <c r="M82" s="25">
        <v>832.2</v>
      </c>
      <c r="N82" s="24">
        <v>832.2</v>
      </c>
      <c r="O82" s="24">
        <v>0</v>
      </c>
      <c r="P82" s="24" t="s">
        <v>207</v>
      </c>
      <c r="Q82" s="24" t="s">
        <v>207</v>
      </c>
      <c r="R82" s="24"/>
      <c r="S82" s="24"/>
      <c r="T82" s="24" t="s">
        <v>240</v>
      </c>
      <c r="U82" s="24">
        <v>1</v>
      </c>
      <c r="V82" s="24"/>
      <c r="W82" s="24">
        <v>9</v>
      </c>
      <c r="X82" s="24">
        <v>11858.6</v>
      </c>
      <c r="Y82" s="24">
        <v>9</v>
      </c>
      <c r="Z82" s="24">
        <v>11858.6</v>
      </c>
      <c r="AA82" s="24">
        <v>0</v>
      </c>
      <c r="AB82" s="24">
        <v>0</v>
      </c>
      <c r="AC82" s="24">
        <v>39232999</v>
      </c>
      <c r="AD82" s="24" t="s">
        <v>193</v>
      </c>
      <c r="AE82" s="27">
        <v>46217</v>
      </c>
      <c r="AF82" s="24">
        <v>0</v>
      </c>
      <c r="AG82" s="24">
        <v>0</v>
      </c>
      <c r="AH82" s="24"/>
      <c r="AI82" s="24">
        <v>0</v>
      </c>
      <c r="AJ82" s="24"/>
      <c r="AK82" s="24"/>
      <c r="AL82" s="24"/>
      <c r="AM82" s="24">
        <v>0</v>
      </c>
      <c r="AN82" s="24">
        <v>0</v>
      </c>
      <c r="AO82" s="24">
        <v>0</v>
      </c>
      <c r="AP82" s="24">
        <v>0</v>
      </c>
      <c r="AQ82" s="24">
        <v>0</v>
      </c>
      <c r="AR82" s="24">
        <v>0</v>
      </c>
      <c r="AS82" s="24">
        <v>0</v>
      </c>
      <c r="AT82" s="24">
        <v>0</v>
      </c>
      <c r="AU82" s="24"/>
      <c r="AV82" s="24" t="s">
        <v>264</v>
      </c>
      <c r="AW82" s="24" t="s">
        <v>209</v>
      </c>
      <c r="AX82" s="24" t="s">
        <v>190</v>
      </c>
      <c r="AY82" s="24" t="s">
        <v>191</v>
      </c>
      <c r="AZ82" s="24" t="s">
        <v>192</v>
      </c>
      <c r="BA82" s="24" t="s">
        <v>152</v>
      </c>
      <c r="BB82" s="24" t="s">
        <v>152</v>
      </c>
    </row>
    <row r="83" spans="1:54" x14ac:dyDescent="0.25">
      <c r="A83" s="26"/>
      <c r="B83" s="24" t="s">
        <v>167</v>
      </c>
      <c r="C83" s="26">
        <v>355</v>
      </c>
      <c r="D83" s="27">
        <v>46217</v>
      </c>
      <c r="E83" s="24" t="s">
        <v>234</v>
      </c>
      <c r="F83" s="24" t="s">
        <v>606</v>
      </c>
      <c r="G83" s="24" t="s">
        <v>239</v>
      </c>
      <c r="H83" s="24" t="s">
        <v>404</v>
      </c>
      <c r="I83" s="24">
        <v>155.47999999999999</v>
      </c>
      <c r="J83" s="24">
        <v>1266.7</v>
      </c>
      <c r="K83" s="24" t="s">
        <v>168</v>
      </c>
      <c r="L83" s="25">
        <v>196946.52</v>
      </c>
      <c r="M83" s="25">
        <v>1266.7</v>
      </c>
      <c r="N83" s="24">
        <v>1266.7</v>
      </c>
      <c r="O83" s="24">
        <v>0</v>
      </c>
      <c r="P83" s="24" t="s">
        <v>207</v>
      </c>
      <c r="Q83" s="24" t="s">
        <v>207</v>
      </c>
      <c r="R83" s="24"/>
      <c r="S83" s="24"/>
      <c r="T83" s="24" t="s">
        <v>240</v>
      </c>
      <c r="U83" s="24">
        <v>1</v>
      </c>
      <c r="V83" s="24"/>
      <c r="W83" s="24">
        <v>9</v>
      </c>
      <c r="X83" s="24">
        <v>17725.189999999999</v>
      </c>
      <c r="Y83" s="24">
        <v>9</v>
      </c>
      <c r="Z83" s="24">
        <v>17725.189999999999</v>
      </c>
      <c r="AA83" s="24">
        <v>0</v>
      </c>
      <c r="AB83" s="24">
        <v>0</v>
      </c>
      <c r="AC83" s="24">
        <v>39232999</v>
      </c>
      <c r="AD83" s="24" t="s">
        <v>193</v>
      </c>
      <c r="AE83" s="27">
        <v>46217</v>
      </c>
      <c r="AF83" s="24">
        <v>0</v>
      </c>
      <c r="AG83" s="24">
        <v>0</v>
      </c>
      <c r="AH83" s="24"/>
      <c r="AI83" s="24">
        <v>0</v>
      </c>
      <c r="AJ83" s="24"/>
      <c r="AK83" s="24"/>
      <c r="AL83" s="24"/>
      <c r="AM83" s="24">
        <v>0</v>
      </c>
      <c r="AN83" s="24">
        <v>0</v>
      </c>
      <c r="AO83" s="24">
        <v>0</v>
      </c>
      <c r="AP83" s="24">
        <v>0</v>
      </c>
      <c r="AQ83" s="24">
        <v>0</v>
      </c>
      <c r="AR83" s="24">
        <v>0</v>
      </c>
      <c r="AS83" s="24">
        <v>0</v>
      </c>
      <c r="AT83" s="24">
        <v>0</v>
      </c>
      <c r="AU83" s="24"/>
      <c r="AV83" s="24" t="s">
        <v>264</v>
      </c>
      <c r="AW83" s="24" t="s">
        <v>209</v>
      </c>
      <c r="AX83" s="24" t="s">
        <v>190</v>
      </c>
      <c r="AY83" s="24" t="s">
        <v>191</v>
      </c>
      <c r="AZ83" s="24" t="s">
        <v>192</v>
      </c>
      <c r="BA83" s="24" t="s">
        <v>152</v>
      </c>
      <c r="BB83" s="24" t="s">
        <v>152</v>
      </c>
    </row>
    <row r="84" spans="1:54" x14ac:dyDescent="0.25">
      <c r="A84" s="26"/>
      <c r="B84" s="24" t="s">
        <v>167</v>
      </c>
      <c r="C84" s="26">
        <v>356</v>
      </c>
      <c r="D84" s="27">
        <v>46217</v>
      </c>
      <c r="E84" s="24" t="s">
        <v>234</v>
      </c>
      <c r="F84" s="24" t="s">
        <v>596</v>
      </c>
      <c r="G84" s="24" t="s">
        <v>239</v>
      </c>
      <c r="H84" s="24" t="s">
        <v>406</v>
      </c>
      <c r="I84" s="24">
        <v>200.67</v>
      </c>
      <c r="J84" s="24">
        <v>19349</v>
      </c>
      <c r="K84" s="24" t="s">
        <v>168</v>
      </c>
      <c r="L84" s="25">
        <v>3882763.83</v>
      </c>
      <c r="M84" s="25">
        <v>19349</v>
      </c>
      <c r="N84" s="24">
        <v>19973</v>
      </c>
      <c r="O84" s="24">
        <v>4581661.3099999996</v>
      </c>
      <c r="P84" s="24" t="s">
        <v>207</v>
      </c>
      <c r="Q84" s="24" t="s">
        <v>207</v>
      </c>
      <c r="R84" s="24"/>
      <c r="S84" s="24"/>
      <c r="T84" s="24" t="s">
        <v>240</v>
      </c>
      <c r="U84" s="24">
        <v>1</v>
      </c>
      <c r="V84" s="24"/>
      <c r="W84" s="24">
        <v>9</v>
      </c>
      <c r="X84" s="24">
        <v>349448.74</v>
      </c>
      <c r="Y84" s="24">
        <v>9</v>
      </c>
      <c r="Z84" s="24">
        <v>349448.74</v>
      </c>
      <c r="AA84" s="24">
        <v>0</v>
      </c>
      <c r="AB84" s="24">
        <v>0</v>
      </c>
      <c r="AC84" s="24">
        <v>39232999</v>
      </c>
      <c r="AD84" s="24" t="s">
        <v>193</v>
      </c>
      <c r="AE84" s="27">
        <v>46217</v>
      </c>
      <c r="AF84" s="24">
        <v>0</v>
      </c>
      <c r="AG84" s="24">
        <v>0</v>
      </c>
      <c r="AH84" s="24"/>
      <c r="AI84" s="24">
        <v>0</v>
      </c>
      <c r="AJ84" s="24"/>
      <c r="AK84" s="24"/>
      <c r="AL84" s="24"/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/>
      <c r="AV84" s="24" t="s">
        <v>264</v>
      </c>
      <c r="AW84" s="24" t="s">
        <v>209</v>
      </c>
      <c r="AX84" s="24" t="s">
        <v>194</v>
      </c>
      <c r="AY84" s="24" t="s">
        <v>195</v>
      </c>
      <c r="AZ84" s="24" t="s">
        <v>192</v>
      </c>
      <c r="BA84" s="24" t="s">
        <v>152</v>
      </c>
      <c r="BB84" s="24" t="s">
        <v>152</v>
      </c>
    </row>
    <row r="85" spans="1:54" x14ac:dyDescent="0.25">
      <c r="A85" s="26"/>
      <c r="B85" s="24" t="s">
        <v>167</v>
      </c>
      <c r="C85" s="26">
        <v>357</v>
      </c>
      <c r="D85" s="27">
        <v>46217</v>
      </c>
      <c r="E85" s="24" t="s">
        <v>219</v>
      </c>
      <c r="F85" s="24" t="s">
        <v>175</v>
      </c>
      <c r="G85" s="24" t="s">
        <v>242</v>
      </c>
      <c r="H85" s="24" t="s">
        <v>367</v>
      </c>
      <c r="I85" s="24">
        <v>156.74</v>
      </c>
      <c r="J85" s="24">
        <v>412</v>
      </c>
      <c r="K85" s="24" t="s">
        <v>168</v>
      </c>
      <c r="L85" s="25">
        <v>64576.88</v>
      </c>
      <c r="M85" s="25">
        <v>412</v>
      </c>
      <c r="N85" s="24">
        <v>418</v>
      </c>
      <c r="O85" s="24">
        <v>845064.48</v>
      </c>
      <c r="P85" s="24" t="s">
        <v>243</v>
      </c>
      <c r="Q85" s="24" t="s">
        <v>243</v>
      </c>
      <c r="R85" s="24"/>
      <c r="S85" s="24"/>
      <c r="T85" s="24" t="s">
        <v>240</v>
      </c>
      <c r="U85" s="24">
        <v>1</v>
      </c>
      <c r="V85" s="24"/>
      <c r="W85" s="24">
        <v>9</v>
      </c>
      <c r="X85" s="24">
        <v>5811.92</v>
      </c>
      <c r="Y85" s="24">
        <v>9</v>
      </c>
      <c r="Z85" s="24">
        <v>5811.92</v>
      </c>
      <c r="AA85" s="24">
        <v>0</v>
      </c>
      <c r="AB85" s="24">
        <v>0</v>
      </c>
      <c r="AC85" s="24">
        <v>39269080</v>
      </c>
      <c r="AD85" s="24" t="s">
        <v>193</v>
      </c>
      <c r="AE85" s="27">
        <v>46217</v>
      </c>
      <c r="AF85" s="24">
        <v>0</v>
      </c>
      <c r="AG85" s="24">
        <v>0</v>
      </c>
      <c r="AH85" s="24"/>
      <c r="AI85" s="24">
        <v>0</v>
      </c>
      <c r="AJ85" s="24"/>
      <c r="AK85" s="24"/>
      <c r="AL85" s="24"/>
      <c r="AM85" s="24">
        <v>0</v>
      </c>
      <c r="AN85" s="24">
        <v>0</v>
      </c>
      <c r="AO85" s="24">
        <v>0</v>
      </c>
      <c r="AP85" s="24">
        <v>0</v>
      </c>
      <c r="AQ85" s="24">
        <v>0</v>
      </c>
      <c r="AR85" s="24">
        <v>0</v>
      </c>
      <c r="AS85" s="24">
        <v>0</v>
      </c>
      <c r="AT85" s="24">
        <v>0</v>
      </c>
      <c r="AU85" s="24"/>
      <c r="AV85" s="24" t="s">
        <v>247</v>
      </c>
      <c r="AW85" s="24" t="s">
        <v>209</v>
      </c>
      <c r="AX85" s="24" t="s">
        <v>186</v>
      </c>
      <c r="AY85" s="24" t="s">
        <v>187</v>
      </c>
      <c r="AZ85" s="24" t="s">
        <v>169</v>
      </c>
      <c r="BA85" s="24" t="s">
        <v>180</v>
      </c>
      <c r="BB85" s="24" t="s">
        <v>155</v>
      </c>
    </row>
    <row r="86" spans="1:54" x14ac:dyDescent="0.25">
      <c r="A86" s="26"/>
      <c r="B86" s="24" t="s">
        <v>167</v>
      </c>
      <c r="C86" s="26">
        <v>357</v>
      </c>
      <c r="D86" s="27">
        <v>46217</v>
      </c>
      <c r="E86" s="24" t="s">
        <v>219</v>
      </c>
      <c r="F86" s="24" t="s">
        <v>175</v>
      </c>
      <c r="G86" s="24" t="s">
        <v>242</v>
      </c>
      <c r="H86" s="24" t="s">
        <v>409</v>
      </c>
      <c r="I86" s="24">
        <v>159.74</v>
      </c>
      <c r="J86" s="24">
        <v>4079</v>
      </c>
      <c r="K86" s="24" t="s">
        <v>168</v>
      </c>
      <c r="L86" s="25">
        <v>651579.46</v>
      </c>
      <c r="M86" s="25">
        <v>4079</v>
      </c>
      <c r="N86" s="24">
        <v>4207</v>
      </c>
      <c r="O86" s="24">
        <v>0</v>
      </c>
      <c r="P86" s="24" t="s">
        <v>243</v>
      </c>
      <c r="Q86" s="24" t="s">
        <v>243</v>
      </c>
      <c r="R86" s="24"/>
      <c r="S86" s="24"/>
      <c r="T86" s="24" t="s">
        <v>240</v>
      </c>
      <c r="U86" s="24">
        <v>1</v>
      </c>
      <c r="V86" s="24"/>
      <c r="W86" s="24">
        <v>9</v>
      </c>
      <c r="X86" s="24">
        <v>58642.15</v>
      </c>
      <c r="Y86" s="24">
        <v>9</v>
      </c>
      <c r="Z86" s="24">
        <v>58642.15</v>
      </c>
      <c r="AA86" s="24">
        <v>0</v>
      </c>
      <c r="AB86" s="24">
        <v>0</v>
      </c>
      <c r="AC86" s="24">
        <v>39269080</v>
      </c>
      <c r="AD86" s="24" t="s">
        <v>193</v>
      </c>
      <c r="AE86" s="27">
        <v>46217</v>
      </c>
      <c r="AF86" s="24">
        <v>0</v>
      </c>
      <c r="AG86" s="24">
        <v>0</v>
      </c>
      <c r="AH86" s="24"/>
      <c r="AI86" s="24">
        <v>0</v>
      </c>
      <c r="AJ86" s="24"/>
      <c r="AK86" s="24"/>
      <c r="AL86" s="24"/>
      <c r="AM86" s="24">
        <v>0</v>
      </c>
      <c r="AN86" s="24">
        <v>0</v>
      </c>
      <c r="AO86" s="24">
        <v>0</v>
      </c>
      <c r="AP86" s="24">
        <v>0</v>
      </c>
      <c r="AQ86" s="24">
        <v>0</v>
      </c>
      <c r="AR86" s="24">
        <v>0</v>
      </c>
      <c r="AS86" s="24">
        <v>0</v>
      </c>
      <c r="AT86" s="24">
        <v>0</v>
      </c>
      <c r="AU86" s="24"/>
      <c r="AV86" s="24" t="s">
        <v>247</v>
      </c>
      <c r="AW86" s="24" t="s">
        <v>209</v>
      </c>
      <c r="AX86" s="24" t="s">
        <v>186</v>
      </c>
      <c r="AY86" s="24" t="s">
        <v>187</v>
      </c>
      <c r="AZ86" s="24" t="s">
        <v>169</v>
      </c>
      <c r="BA86" s="24" t="s">
        <v>180</v>
      </c>
      <c r="BB86" s="24" t="s">
        <v>155</v>
      </c>
    </row>
    <row r="87" spans="1:54" x14ac:dyDescent="0.25">
      <c r="A87" s="26"/>
      <c r="B87" s="24" t="s">
        <v>167</v>
      </c>
      <c r="C87" s="26">
        <v>359</v>
      </c>
      <c r="D87" s="27">
        <v>46218</v>
      </c>
      <c r="E87" s="24" t="s">
        <v>219</v>
      </c>
      <c r="F87" s="24" t="s">
        <v>175</v>
      </c>
      <c r="G87" s="24" t="s">
        <v>280</v>
      </c>
      <c r="H87" s="24" t="s">
        <v>184</v>
      </c>
      <c r="I87" s="24">
        <v>38</v>
      </c>
      <c r="J87" s="24">
        <v>2000</v>
      </c>
      <c r="K87" s="24" t="s">
        <v>168</v>
      </c>
      <c r="L87" s="25">
        <v>76000</v>
      </c>
      <c r="M87" s="25">
        <v>2000</v>
      </c>
      <c r="N87" s="24">
        <v>2000</v>
      </c>
      <c r="O87" s="24">
        <v>89680</v>
      </c>
      <c r="P87" s="24" t="s">
        <v>248</v>
      </c>
      <c r="Q87" s="24" t="s">
        <v>281</v>
      </c>
      <c r="R87" s="24"/>
      <c r="S87" s="24"/>
      <c r="T87" s="24" t="s">
        <v>240</v>
      </c>
      <c r="U87" s="24">
        <v>1</v>
      </c>
      <c r="V87" s="24"/>
      <c r="W87" s="24">
        <v>9</v>
      </c>
      <c r="X87" s="24">
        <v>6840</v>
      </c>
      <c r="Y87" s="24">
        <v>9</v>
      </c>
      <c r="Z87" s="24">
        <v>6840</v>
      </c>
      <c r="AA87" s="24">
        <v>0</v>
      </c>
      <c r="AB87" s="24">
        <v>0</v>
      </c>
      <c r="AC87" s="24">
        <v>32041990</v>
      </c>
      <c r="AD87" s="24" t="s">
        <v>193</v>
      </c>
      <c r="AE87" s="27">
        <v>46218</v>
      </c>
      <c r="AF87" s="24">
        <v>0</v>
      </c>
      <c r="AG87" s="24">
        <v>0</v>
      </c>
      <c r="AH87" s="24"/>
      <c r="AI87" s="24">
        <v>0</v>
      </c>
      <c r="AJ87" s="24"/>
      <c r="AK87" s="24"/>
      <c r="AL87" s="24"/>
      <c r="AM87" s="24">
        <v>0</v>
      </c>
      <c r="AN87" s="24">
        <v>0</v>
      </c>
      <c r="AO87" s="24">
        <v>0</v>
      </c>
      <c r="AP87" s="24">
        <v>0</v>
      </c>
      <c r="AQ87" s="24">
        <v>0</v>
      </c>
      <c r="AR87" s="24">
        <v>0</v>
      </c>
      <c r="AS87" s="24">
        <v>0</v>
      </c>
      <c r="AT87" s="24">
        <v>0</v>
      </c>
      <c r="AU87" s="24"/>
      <c r="AV87" s="24" t="s">
        <v>247</v>
      </c>
      <c r="AW87" s="24" t="s">
        <v>209</v>
      </c>
      <c r="AX87" s="24" t="s">
        <v>183</v>
      </c>
      <c r="AY87" s="24" t="s">
        <v>184</v>
      </c>
      <c r="AZ87" s="24" t="s">
        <v>171</v>
      </c>
      <c r="BA87" s="24" t="s">
        <v>185</v>
      </c>
      <c r="BB87" s="24" t="s">
        <v>164</v>
      </c>
    </row>
    <row r="88" spans="1:54" x14ac:dyDescent="0.25">
      <c r="A88" s="26"/>
      <c r="B88" s="24" t="s">
        <v>167</v>
      </c>
      <c r="C88" s="26">
        <v>360</v>
      </c>
      <c r="D88" s="27">
        <v>46218</v>
      </c>
      <c r="E88" s="24" t="s">
        <v>219</v>
      </c>
      <c r="F88" s="24" t="s">
        <v>263</v>
      </c>
      <c r="G88" s="24" t="s">
        <v>277</v>
      </c>
      <c r="H88" s="24" t="s">
        <v>200</v>
      </c>
      <c r="I88" s="24">
        <v>270</v>
      </c>
      <c r="J88" s="24">
        <v>12.3</v>
      </c>
      <c r="K88" s="24" t="s">
        <v>168</v>
      </c>
      <c r="L88" s="25">
        <v>3321</v>
      </c>
      <c r="M88" s="25">
        <v>12.3</v>
      </c>
      <c r="N88" s="24">
        <v>12.3</v>
      </c>
      <c r="O88" s="24">
        <v>3918.78</v>
      </c>
      <c r="P88" s="24" t="s">
        <v>248</v>
      </c>
      <c r="Q88" s="24" t="s">
        <v>248</v>
      </c>
      <c r="R88" s="24"/>
      <c r="S88" s="24"/>
      <c r="T88" s="24" t="s">
        <v>240</v>
      </c>
      <c r="U88" s="24">
        <v>1</v>
      </c>
      <c r="V88" s="24"/>
      <c r="W88" s="24">
        <v>9</v>
      </c>
      <c r="X88" s="24">
        <v>298.89</v>
      </c>
      <c r="Y88" s="24">
        <v>9</v>
      </c>
      <c r="Z88" s="24">
        <v>298.89</v>
      </c>
      <c r="AA88" s="24">
        <v>0</v>
      </c>
      <c r="AB88" s="24">
        <v>0</v>
      </c>
      <c r="AC88" s="24">
        <v>39201019</v>
      </c>
      <c r="AD88" s="24" t="s">
        <v>193</v>
      </c>
      <c r="AE88" s="27">
        <v>46218</v>
      </c>
      <c r="AF88" s="24">
        <v>0</v>
      </c>
      <c r="AG88" s="24">
        <v>0</v>
      </c>
      <c r="AH88" s="24"/>
      <c r="AI88" s="24">
        <v>0</v>
      </c>
      <c r="AJ88" s="24"/>
      <c r="AK88" s="24"/>
      <c r="AL88" s="24"/>
      <c r="AM88" s="24">
        <v>0</v>
      </c>
      <c r="AN88" s="24">
        <v>0</v>
      </c>
      <c r="AO88" s="24">
        <v>0</v>
      </c>
      <c r="AP88" s="24">
        <v>0</v>
      </c>
      <c r="AQ88" s="24">
        <v>0</v>
      </c>
      <c r="AR88" s="24">
        <v>0</v>
      </c>
      <c r="AS88" s="24">
        <v>0</v>
      </c>
      <c r="AT88" s="24">
        <v>0</v>
      </c>
      <c r="AU88" s="24"/>
      <c r="AV88" s="24" t="s">
        <v>247</v>
      </c>
      <c r="AW88" s="24" t="s">
        <v>209</v>
      </c>
      <c r="AX88" s="24" t="s">
        <v>199</v>
      </c>
      <c r="AY88" s="24" t="s">
        <v>200</v>
      </c>
      <c r="AZ88" s="24" t="s">
        <v>169</v>
      </c>
      <c r="BA88" s="24" t="s">
        <v>201</v>
      </c>
      <c r="BB88" s="24" t="s">
        <v>158</v>
      </c>
    </row>
    <row r="89" spans="1:54" x14ac:dyDescent="0.25">
      <c r="A89" s="26"/>
      <c r="B89" s="24" t="s">
        <v>167</v>
      </c>
      <c r="C89" s="26">
        <v>361</v>
      </c>
      <c r="D89" s="27">
        <v>46218</v>
      </c>
      <c r="E89" s="24" t="s">
        <v>217</v>
      </c>
      <c r="F89" s="24" t="s">
        <v>607</v>
      </c>
      <c r="G89" s="24" t="s">
        <v>242</v>
      </c>
      <c r="H89" s="24" t="s">
        <v>187</v>
      </c>
      <c r="I89" s="24">
        <v>154.74</v>
      </c>
      <c r="J89" s="24">
        <v>733.5</v>
      </c>
      <c r="K89" s="24" t="s">
        <v>168</v>
      </c>
      <c r="L89" s="25">
        <v>113501.79</v>
      </c>
      <c r="M89" s="25">
        <v>733.5</v>
      </c>
      <c r="N89" s="24">
        <v>758.5</v>
      </c>
      <c r="O89" s="24">
        <v>133932.10999999999</v>
      </c>
      <c r="P89" s="24" t="s">
        <v>243</v>
      </c>
      <c r="Q89" s="24" t="s">
        <v>243</v>
      </c>
      <c r="R89" s="24"/>
      <c r="S89" s="24"/>
      <c r="T89" s="24" t="s">
        <v>240</v>
      </c>
      <c r="U89" s="24">
        <v>1</v>
      </c>
      <c r="V89" s="24"/>
      <c r="W89" s="24">
        <v>9</v>
      </c>
      <c r="X89" s="24">
        <v>10215.16</v>
      </c>
      <c r="Y89" s="24">
        <v>9</v>
      </c>
      <c r="Z89" s="24">
        <v>10215.16</v>
      </c>
      <c r="AA89" s="24">
        <v>0</v>
      </c>
      <c r="AB89" s="24">
        <v>0</v>
      </c>
      <c r="AC89" s="24">
        <v>39269080</v>
      </c>
      <c r="AD89" s="24">
        <v>3937</v>
      </c>
      <c r="AE89" s="27">
        <v>46218</v>
      </c>
      <c r="AF89" s="24">
        <v>0</v>
      </c>
      <c r="AG89" s="24">
        <v>0</v>
      </c>
      <c r="AH89" s="24"/>
      <c r="AI89" s="24">
        <v>0</v>
      </c>
      <c r="AJ89" s="24"/>
      <c r="AK89" s="24"/>
      <c r="AL89" s="24"/>
      <c r="AM89" s="24">
        <v>0</v>
      </c>
      <c r="AN89" s="24">
        <v>0</v>
      </c>
      <c r="AO89" s="24">
        <v>0</v>
      </c>
      <c r="AP89" s="24">
        <v>0</v>
      </c>
      <c r="AQ89" s="24">
        <v>0</v>
      </c>
      <c r="AR89" s="24">
        <v>0</v>
      </c>
      <c r="AS89" s="24">
        <v>0</v>
      </c>
      <c r="AT89" s="24">
        <v>0</v>
      </c>
      <c r="AU89" s="24"/>
      <c r="AV89" s="24" t="s">
        <v>259</v>
      </c>
      <c r="AW89" s="24" t="s">
        <v>209</v>
      </c>
      <c r="AX89" s="24" t="s">
        <v>186</v>
      </c>
      <c r="AY89" s="24" t="s">
        <v>187</v>
      </c>
      <c r="AZ89" s="24" t="s">
        <v>169</v>
      </c>
      <c r="BA89" s="24" t="s">
        <v>180</v>
      </c>
      <c r="BB89" s="24" t="s">
        <v>155</v>
      </c>
    </row>
    <row r="90" spans="1:54" x14ac:dyDescent="0.25">
      <c r="A90" s="26"/>
      <c r="B90" s="24" t="s">
        <v>167</v>
      </c>
      <c r="C90" s="26" t="s">
        <v>411</v>
      </c>
      <c r="D90" s="27">
        <v>46218</v>
      </c>
      <c r="E90" s="24" t="s">
        <v>261</v>
      </c>
      <c r="F90" s="24" t="s">
        <v>307</v>
      </c>
      <c r="G90" s="24" t="s">
        <v>308</v>
      </c>
      <c r="H90" s="24" t="s">
        <v>302</v>
      </c>
      <c r="I90" s="24">
        <v>177</v>
      </c>
      <c r="J90" s="24">
        <v>1963</v>
      </c>
      <c r="K90" s="24" t="s">
        <v>168</v>
      </c>
      <c r="L90" s="25">
        <v>347451</v>
      </c>
      <c r="M90" s="25">
        <v>1963</v>
      </c>
      <c r="N90" s="24">
        <v>1963</v>
      </c>
      <c r="O90" s="24">
        <v>347451</v>
      </c>
      <c r="P90" s="24" t="s">
        <v>248</v>
      </c>
      <c r="Q90" s="24" t="s">
        <v>248</v>
      </c>
      <c r="R90" s="24"/>
      <c r="S90" s="24"/>
      <c r="T90" s="24" t="s">
        <v>240</v>
      </c>
      <c r="U90" s="24">
        <v>1</v>
      </c>
      <c r="V90" s="24" t="s">
        <v>251</v>
      </c>
      <c r="W90" s="24">
        <v>0</v>
      </c>
      <c r="X90" s="24">
        <v>0</v>
      </c>
      <c r="Y90" s="24">
        <v>0</v>
      </c>
      <c r="Z90" s="24">
        <v>0</v>
      </c>
      <c r="AA90" s="24">
        <v>5</v>
      </c>
      <c r="AB90" s="24">
        <v>17372.55</v>
      </c>
      <c r="AC90" s="24">
        <v>540263</v>
      </c>
      <c r="AD90" s="24" t="s">
        <v>193</v>
      </c>
      <c r="AE90" s="27">
        <v>46218</v>
      </c>
      <c r="AF90" s="24">
        <v>0</v>
      </c>
      <c r="AG90" s="24">
        <v>0</v>
      </c>
      <c r="AH90" s="24"/>
      <c r="AI90" s="24">
        <v>0</v>
      </c>
      <c r="AJ90" s="24"/>
      <c r="AK90" s="24"/>
      <c r="AL90" s="24"/>
      <c r="AM90" s="24">
        <v>0</v>
      </c>
      <c r="AN90" s="24">
        <v>0</v>
      </c>
      <c r="AO90" s="24">
        <v>0</v>
      </c>
      <c r="AP90" s="24">
        <v>0</v>
      </c>
      <c r="AQ90" s="24">
        <v>0</v>
      </c>
      <c r="AR90" s="24">
        <v>0</v>
      </c>
      <c r="AS90" s="24">
        <v>0</v>
      </c>
      <c r="AT90" s="24">
        <v>0</v>
      </c>
      <c r="AU90" s="24"/>
      <c r="AV90" s="24" t="s">
        <v>255</v>
      </c>
      <c r="AW90" s="24" t="s">
        <v>209</v>
      </c>
      <c r="AX90" s="24" t="s">
        <v>301</v>
      </c>
      <c r="AY90" s="24" t="s">
        <v>302</v>
      </c>
      <c r="AZ90" s="24" t="s">
        <v>169</v>
      </c>
      <c r="BA90" s="24" t="s">
        <v>170</v>
      </c>
      <c r="BB90" s="24" t="s">
        <v>572</v>
      </c>
    </row>
    <row r="91" spans="1:54" x14ac:dyDescent="0.25">
      <c r="A91" s="26"/>
      <c r="B91" s="24" t="s">
        <v>167</v>
      </c>
      <c r="C91" s="26" t="s">
        <v>412</v>
      </c>
      <c r="D91" s="27">
        <v>46218</v>
      </c>
      <c r="E91" s="24" t="s">
        <v>211</v>
      </c>
      <c r="F91" s="24" t="s">
        <v>307</v>
      </c>
      <c r="G91" s="24" t="s">
        <v>249</v>
      </c>
      <c r="H91" s="24" t="s">
        <v>214</v>
      </c>
      <c r="I91" s="24">
        <v>2</v>
      </c>
      <c r="J91" s="24">
        <v>1985</v>
      </c>
      <c r="K91" s="24" t="s">
        <v>168</v>
      </c>
      <c r="L91" s="25">
        <v>371592</v>
      </c>
      <c r="M91" s="25">
        <v>1985</v>
      </c>
      <c r="N91" s="24">
        <v>1985</v>
      </c>
      <c r="O91" s="24">
        <v>371592</v>
      </c>
      <c r="P91" s="24" t="s">
        <v>207</v>
      </c>
      <c r="Q91" s="24" t="s">
        <v>207</v>
      </c>
      <c r="R91" s="24"/>
      <c r="S91" s="24"/>
      <c r="T91" s="24" t="s">
        <v>253</v>
      </c>
      <c r="U91" s="24">
        <v>93.6</v>
      </c>
      <c r="V91" s="24" t="s">
        <v>251</v>
      </c>
      <c r="W91" s="24"/>
      <c r="X91" s="24"/>
      <c r="Y91" s="24"/>
      <c r="Z91" s="24"/>
      <c r="AA91" s="24">
        <v>18</v>
      </c>
      <c r="AB91" s="24">
        <v>714.6</v>
      </c>
      <c r="AC91" s="24">
        <v>63053200</v>
      </c>
      <c r="AD91" s="24">
        <v>23</v>
      </c>
      <c r="AE91" s="27">
        <v>46218</v>
      </c>
      <c r="AF91" s="24">
        <v>3970</v>
      </c>
      <c r="AG91" s="24">
        <v>371592</v>
      </c>
      <c r="AH91" s="24" t="s">
        <v>254</v>
      </c>
      <c r="AI91" s="24">
        <v>3970</v>
      </c>
      <c r="AJ91" s="24"/>
      <c r="AK91" s="24"/>
      <c r="AL91" s="24">
        <v>6220250</v>
      </c>
      <c r="AM91" s="24">
        <v>0</v>
      </c>
      <c r="AN91" s="24">
        <v>0</v>
      </c>
      <c r="AO91" s="24">
        <v>0</v>
      </c>
      <c r="AP91" s="24">
        <v>0</v>
      </c>
      <c r="AQ91" s="24">
        <v>0</v>
      </c>
      <c r="AR91" s="24">
        <v>0</v>
      </c>
      <c r="AS91" s="24">
        <v>0</v>
      </c>
      <c r="AT91" s="24">
        <v>0</v>
      </c>
      <c r="AU91" s="24"/>
      <c r="AV91" s="24" t="s">
        <v>255</v>
      </c>
      <c r="AW91" s="24" t="s">
        <v>209</v>
      </c>
      <c r="AX91" s="24" t="s">
        <v>190</v>
      </c>
      <c r="AY91" s="24" t="s">
        <v>191</v>
      </c>
      <c r="AZ91" s="24" t="s">
        <v>192</v>
      </c>
      <c r="BA91" s="24" t="s">
        <v>152</v>
      </c>
      <c r="BB91" s="24" t="s">
        <v>162</v>
      </c>
    </row>
    <row r="92" spans="1:54" x14ac:dyDescent="0.25">
      <c r="A92" s="26"/>
      <c r="B92" s="24" t="s">
        <v>167</v>
      </c>
      <c r="C92" s="26">
        <v>364</v>
      </c>
      <c r="D92" s="27">
        <v>46219</v>
      </c>
      <c r="E92" s="24" t="s">
        <v>217</v>
      </c>
      <c r="F92" s="24" t="s">
        <v>608</v>
      </c>
      <c r="G92" s="24" t="s">
        <v>239</v>
      </c>
      <c r="H92" s="24" t="s">
        <v>431</v>
      </c>
      <c r="I92" s="24">
        <v>214.8</v>
      </c>
      <c r="J92" s="24">
        <v>2441.1</v>
      </c>
      <c r="K92" s="24" t="s">
        <v>168</v>
      </c>
      <c r="L92" s="25">
        <v>524348.28</v>
      </c>
      <c r="M92" s="25">
        <v>2441.1</v>
      </c>
      <c r="N92" s="24">
        <v>2441.1</v>
      </c>
      <c r="O92" s="24">
        <v>6153546.9400000004</v>
      </c>
      <c r="P92" s="24" t="s">
        <v>207</v>
      </c>
      <c r="Q92" s="24" t="s">
        <v>207</v>
      </c>
      <c r="R92" s="24"/>
      <c r="S92" s="24"/>
      <c r="T92" s="24" t="s">
        <v>240</v>
      </c>
      <c r="U92" s="24">
        <v>1</v>
      </c>
      <c r="V92" s="24"/>
      <c r="W92" s="24">
        <v>9</v>
      </c>
      <c r="X92" s="24">
        <v>47191.35</v>
      </c>
      <c r="Y92" s="24">
        <v>9</v>
      </c>
      <c r="Z92" s="24">
        <v>47191.35</v>
      </c>
      <c r="AA92" s="24">
        <v>0</v>
      </c>
      <c r="AB92" s="24">
        <v>0</v>
      </c>
      <c r="AC92" s="24">
        <v>39232999</v>
      </c>
      <c r="AD92" s="24" t="s">
        <v>193</v>
      </c>
      <c r="AE92" s="27">
        <v>46219</v>
      </c>
      <c r="AF92" s="24">
        <v>0</v>
      </c>
      <c r="AG92" s="24">
        <v>0</v>
      </c>
      <c r="AH92" s="24"/>
      <c r="AI92" s="24">
        <v>0</v>
      </c>
      <c r="AJ92" s="24"/>
      <c r="AK92" s="24"/>
      <c r="AL92" s="24"/>
      <c r="AM92" s="24">
        <v>0</v>
      </c>
      <c r="AN92" s="24">
        <v>0</v>
      </c>
      <c r="AO92" s="24">
        <v>0</v>
      </c>
      <c r="AP92" s="24">
        <v>0</v>
      </c>
      <c r="AQ92" s="24">
        <v>0</v>
      </c>
      <c r="AR92" s="24">
        <v>0</v>
      </c>
      <c r="AS92" s="24">
        <v>0</v>
      </c>
      <c r="AT92" s="24">
        <v>0</v>
      </c>
      <c r="AU92" s="24"/>
      <c r="AV92" s="24" t="s">
        <v>259</v>
      </c>
      <c r="AW92" s="24" t="s">
        <v>209</v>
      </c>
      <c r="AX92" s="24" t="s">
        <v>190</v>
      </c>
      <c r="AY92" s="24" t="s">
        <v>191</v>
      </c>
      <c r="AZ92" s="24" t="s">
        <v>192</v>
      </c>
      <c r="BA92" s="24" t="s">
        <v>152</v>
      </c>
      <c r="BB92" s="24" t="s">
        <v>152</v>
      </c>
    </row>
    <row r="93" spans="1:54" x14ac:dyDescent="0.25">
      <c r="A93" s="26"/>
      <c r="B93" s="24" t="s">
        <v>167</v>
      </c>
      <c r="C93" s="26">
        <v>364</v>
      </c>
      <c r="D93" s="27">
        <v>46219</v>
      </c>
      <c r="E93" s="24" t="s">
        <v>217</v>
      </c>
      <c r="F93" s="24" t="s">
        <v>608</v>
      </c>
      <c r="G93" s="24" t="s">
        <v>239</v>
      </c>
      <c r="H93" s="24" t="s">
        <v>432</v>
      </c>
      <c r="I93" s="24">
        <v>262.68</v>
      </c>
      <c r="J93" s="24">
        <v>8430</v>
      </c>
      <c r="K93" s="24" t="s">
        <v>168</v>
      </c>
      <c r="L93" s="25">
        <v>2214392.4</v>
      </c>
      <c r="M93" s="25">
        <v>8430</v>
      </c>
      <c r="N93" s="24">
        <v>8430</v>
      </c>
      <c r="O93" s="24">
        <v>0</v>
      </c>
      <c r="P93" s="24" t="s">
        <v>207</v>
      </c>
      <c r="Q93" s="24" t="s">
        <v>207</v>
      </c>
      <c r="R93" s="24"/>
      <c r="S93" s="24"/>
      <c r="T93" s="24" t="s">
        <v>240</v>
      </c>
      <c r="U93" s="24">
        <v>1</v>
      </c>
      <c r="V93" s="24"/>
      <c r="W93" s="24">
        <v>9</v>
      </c>
      <c r="X93" s="24">
        <v>199295.32</v>
      </c>
      <c r="Y93" s="24">
        <v>9</v>
      </c>
      <c r="Z93" s="24">
        <v>199295.32</v>
      </c>
      <c r="AA93" s="24">
        <v>0</v>
      </c>
      <c r="AB93" s="24">
        <v>0</v>
      </c>
      <c r="AC93" s="24">
        <v>39232999</v>
      </c>
      <c r="AD93" s="24" t="s">
        <v>193</v>
      </c>
      <c r="AE93" s="27">
        <v>46219</v>
      </c>
      <c r="AF93" s="24">
        <v>0</v>
      </c>
      <c r="AG93" s="24">
        <v>0</v>
      </c>
      <c r="AH93" s="24"/>
      <c r="AI93" s="24">
        <v>0</v>
      </c>
      <c r="AJ93" s="24"/>
      <c r="AK93" s="24"/>
      <c r="AL93" s="24"/>
      <c r="AM93" s="24">
        <v>0</v>
      </c>
      <c r="AN93" s="24">
        <v>0</v>
      </c>
      <c r="AO93" s="24">
        <v>0</v>
      </c>
      <c r="AP93" s="24">
        <v>0</v>
      </c>
      <c r="AQ93" s="24">
        <v>0</v>
      </c>
      <c r="AR93" s="24">
        <v>0</v>
      </c>
      <c r="AS93" s="24">
        <v>0</v>
      </c>
      <c r="AT93" s="24">
        <v>0</v>
      </c>
      <c r="AU93" s="24"/>
      <c r="AV93" s="24" t="s">
        <v>259</v>
      </c>
      <c r="AW93" s="24" t="s">
        <v>209</v>
      </c>
      <c r="AX93" s="24" t="s">
        <v>190</v>
      </c>
      <c r="AY93" s="24" t="s">
        <v>191</v>
      </c>
      <c r="AZ93" s="24" t="s">
        <v>192</v>
      </c>
      <c r="BA93" s="24" t="s">
        <v>152</v>
      </c>
      <c r="BB93" s="24" t="s">
        <v>152</v>
      </c>
    </row>
    <row r="94" spans="1:54" x14ac:dyDescent="0.25">
      <c r="A94" s="26"/>
      <c r="B94" s="24" t="s">
        <v>167</v>
      </c>
      <c r="C94" s="26">
        <v>364</v>
      </c>
      <c r="D94" s="27">
        <v>46219</v>
      </c>
      <c r="E94" s="24" t="s">
        <v>217</v>
      </c>
      <c r="F94" s="24" t="s">
        <v>608</v>
      </c>
      <c r="G94" s="24" t="s">
        <v>239</v>
      </c>
      <c r="H94" s="24" t="s">
        <v>428</v>
      </c>
      <c r="I94" s="24">
        <v>252.67</v>
      </c>
      <c r="J94" s="24">
        <v>1022</v>
      </c>
      <c r="K94" s="24" t="s">
        <v>168</v>
      </c>
      <c r="L94" s="25">
        <v>258228.74</v>
      </c>
      <c r="M94" s="25">
        <v>1022</v>
      </c>
      <c r="N94" s="24">
        <v>1022</v>
      </c>
      <c r="O94" s="24">
        <v>0</v>
      </c>
      <c r="P94" s="24" t="s">
        <v>207</v>
      </c>
      <c r="Q94" s="24" t="s">
        <v>207</v>
      </c>
      <c r="R94" s="24"/>
      <c r="S94" s="24"/>
      <c r="T94" s="24" t="s">
        <v>240</v>
      </c>
      <c r="U94" s="24">
        <v>1</v>
      </c>
      <c r="V94" s="24"/>
      <c r="W94" s="24">
        <v>9</v>
      </c>
      <c r="X94" s="24">
        <v>23240.59</v>
      </c>
      <c r="Y94" s="24">
        <v>9</v>
      </c>
      <c r="Z94" s="24">
        <v>23240.59</v>
      </c>
      <c r="AA94" s="24">
        <v>0</v>
      </c>
      <c r="AB94" s="24">
        <v>0</v>
      </c>
      <c r="AC94" s="24">
        <v>39232999</v>
      </c>
      <c r="AD94" s="24" t="s">
        <v>193</v>
      </c>
      <c r="AE94" s="27">
        <v>46219</v>
      </c>
      <c r="AF94" s="24">
        <v>0</v>
      </c>
      <c r="AG94" s="24">
        <v>0</v>
      </c>
      <c r="AH94" s="24"/>
      <c r="AI94" s="24">
        <v>0</v>
      </c>
      <c r="AJ94" s="24"/>
      <c r="AK94" s="24"/>
      <c r="AL94" s="24"/>
      <c r="AM94" s="24">
        <v>0</v>
      </c>
      <c r="AN94" s="24">
        <v>0</v>
      </c>
      <c r="AO94" s="24">
        <v>0</v>
      </c>
      <c r="AP94" s="24">
        <v>0</v>
      </c>
      <c r="AQ94" s="24">
        <v>0</v>
      </c>
      <c r="AR94" s="24">
        <v>0</v>
      </c>
      <c r="AS94" s="24">
        <v>0</v>
      </c>
      <c r="AT94" s="24">
        <v>0</v>
      </c>
      <c r="AU94" s="24"/>
      <c r="AV94" s="24" t="s">
        <v>259</v>
      </c>
      <c r="AW94" s="24" t="s">
        <v>209</v>
      </c>
      <c r="AX94" s="24" t="s">
        <v>190</v>
      </c>
      <c r="AY94" s="24" t="s">
        <v>191</v>
      </c>
      <c r="AZ94" s="24" t="s">
        <v>192</v>
      </c>
      <c r="BA94" s="24" t="s">
        <v>152</v>
      </c>
      <c r="BB94" s="24" t="s">
        <v>152</v>
      </c>
    </row>
    <row r="95" spans="1:54" x14ac:dyDescent="0.25">
      <c r="A95" s="26"/>
      <c r="B95" s="24" t="s">
        <v>167</v>
      </c>
      <c r="C95" s="26">
        <v>364</v>
      </c>
      <c r="D95" s="27">
        <v>46219</v>
      </c>
      <c r="E95" s="24" t="s">
        <v>217</v>
      </c>
      <c r="F95" s="24" t="s">
        <v>608</v>
      </c>
      <c r="G95" s="24" t="s">
        <v>239</v>
      </c>
      <c r="H95" s="24" t="s">
        <v>429</v>
      </c>
      <c r="I95" s="24">
        <v>251.88</v>
      </c>
      <c r="J95" s="24">
        <v>801</v>
      </c>
      <c r="K95" s="24" t="s">
        <v>168</v>
      </c>
      <c r="L95" s="25">
        <v>201755.88</v>
      </c>
      <c r="M95" s="25">
        <v>801</v>
      </c>
      <c r="N95" s="24">
        <v>801</v>
      </c>
      <c r="O95" s="24">
        <v>0</v>
      </c>
      <c r="P95" s="24" t="s">
        <v>207</v>
      </c>
      <c r="Q95" s="24" t="s">
        <v>207</v>
      </c>
      <c r="R95" s="24"/>
      <c r="S95" s="24"/>
      <c r="T95" s="24" t="s">
        <v>240</v>
      </c>
      <c r="U95" s="24">
        <v>1</v>
      </c>
      <c r="V95" s="24"/>
      <c r="W95" s="24">
        <v>9</v>
      </c>
      <c r="X95" s="24">
        <v>18158.03</v>
      </c>
      <c r="Y95" s="24">
        <v>9</v>
      </c>
      <c r="Z95" s="24">
        <v>18158.03</v>
      </c>
      <c r="AA95" s="24">
        <v>0</v>
      </c>
      <c r="AB95" s="24">
        <v>0</v>
      </c>
      <c r="AC95" s="24">
        <v>39232999</v>
      </c>
      <c r="AD95" s="24" t="s">
        <v>193</v>
      </c>
      <c r="AE95" s="27">
        <v>46219</v>
      </c>
      <c r="AF95" s="24">
        <v>0</v>
      </c>
      <c r="AG95" s="24">
        <v>0</v>
      </c>
      <c r="AH95" s="24"/>
      <c r="AI95" s="24">
        <v>0</v>
      </c>
      <c r="AJ95" s="24"/>
      <c r="AK95" s="24"/>
      <c r="AL95" s="24"/>
      <c r="AM95" s="24">
        <v>0</v>
      </c>
      <c r="AN95" s="24">
        <v>0</v>
      </c>
      <c r="AO95" s="24">
        <v>0</v>
      </c>
      <c r="AP95" s="24">
        <v>0</v>
      </c>
      <c r="AQ95" s="24">
        <v>0</v>
      </c>
      <c r="AR95" s="24">
        <v>0</v>
      </c>
      <c r="AS95" s="24">
        <v>0</v>
      </c>
      <c r="AT95" s="24">
        <v>0</v>
      </c>
      <c r="AU95" s="24"/>
      <c r="AV95" s="24" t="s">
        <v>259</v>
      </c>
      <c r="AW95" s="24" t="s">
        <v>209</v>
      </c>
      <c r="AX95" s="24" t="s">
        <v>190</v>
      </c>
      <c r="AY95" s="24" t="s">
        <v>191</v>
      </c>
      <c r="AZ95" s="24" t="s">
        <v>192</v>
      </c>
      <c r="BA95" s="24" t="s">
        <v>152</v>
      </c>
      <c r="BB95" s="24" t="s">
        <v>152</v>
      </c>
    </row>
    <row r="96" spans="1:54" x14ac:dyDescent="0.25">
      <c r="A96" s="26"/>
      <c r="B96" s="24" t="s">
        <v>167</v>
      </c>
      <c r="C96" s="26">
        <v>364</v>
      </c>
      <c r="D96" s="27">
        <v>46219</v>
      </c>
      <c r="E96" s="24" t="s">
        <v>217</v>
      </c>
      <c r="F96" s="24" t="s">
        <v>608</v>
      </c>
      <c r="G96" s="24" t="s">
        <v>239</v>
      </c>
      <c r="H96" s="24" t="s">
        <v>430</v>
      </c>
      <c r="I96" s="24">
        <v>302.18</v>
      </c>
      <c r="J96" s="24">
        <v>6672</v>
      </c>
      <c r="K96" s="24" t="s">
        <v>168</v>
      </c>
      <c r="L96" s="25">
        <v>2016144.96</v>
      </c>
      <c r="M96" s="25">
        <v>6672</v>
      </c>
      <c r="N96" s="24">
        <v>6672</v>
      </c>
      <c r="O96" s="24">
        <v>0</v>
      </c>
      <c r="P96" s="24" t="s">
        <v>207</v>
      </c>
      <c r="Q96" s="24" t="s">
        <v>207</v>
      </c>
      <c r="R96" s="24"/>
      <c r="S96" s="24"/>
      <c r="T96" s="24" t="s">
        <v>240</v>
      </c>
      <c r="U96" s="24">
        <v>1</v>
      </c>
      <c r="V96" s="24"/>
      <c r="W96" s="24">
        <v>9</v>
      </c>
      <c r="X96" s="24">
        <v>181453.05</v>
      </c>
      <c r="Y96" s="24">
        <v>9</v>
      </c>
      <c r="Z96" s="24">
        <v>181453.05</v>
      </c>
      <c r="AA96" s="24">
        <v>0</v>
      </c>
      <c r="AB96" s="24">
        <v>0</v>
      </c>
      <c r="AC96" s="24">
        <v>39232999</v>
      </c>
      <c r="AD96" s="24" t="s">
        <v>193</v>
      </c>
      <c r="AE96" s="27">
        <v>46219</v>
      </c>
      <c r="AF96" s="24">
        <v>0</v>
      </c>
      <c r="AG96" s="24">
        <v>0</v>
      </c>
      <c r="AH96" s="24"/>
      <c r="AI96" s="24">
        <v>0</v>
      </c>
      <c r="AJ96" s="24"/>
      <c r="AK96" s="24"/>
      <c r="AL96" s="24"/>
      <c r="AM96" s="24">
        <v>0</v>
      </c>
      <c r="AN96" s="24">
        <v>0</v>
      </c>
      <c r="AO96" s="24">
        <v>0</v>
      </c>
      <c r="AP96" s="24">
        <v>0</v>
      </c>
      <c r="AQ96" s="24">
        <v>0</v>
      </c>
      <c r="AR96" s="24">
        <v>0</v>
      </c>
      <c r="AS96" s="24">
        <v>0</v>
      </c>
      <c r="AT96" s="24">
        <v>0</v>
      </c>
      <c r="AU96" s="24"/>
      <c r="AV96" s="24" t="s">
        <v>259</v>
      </c>
      <c r="AW96" s="24" t="s">
        <v>209</v>
      </c>
      <c r="AX96" s="24" t="s">
        <v>190</v>
      </c>
      <c r="AY96" s="24" t="s">
        <v>191</v>
      </c>
      <c r="AZ96" s="24" t="s">
        <v>192</v>
      </c>
      <c r="BA96" s="24" t="s">
        <v>152</v>
      </c>
      <c r="BB96" s="24" t="s">
        <v>152</v>
      </c>
    </row>
    <row r="97" spans="1:54" x14ac:dyDescent="0.25">
      <c r="A97" s="26"/>
      <c r="B97" s="24" t="s">
        <v>167</v>
      </c>
      <c r="C97" s="26">
        <v>365</v>
      </c>
      <c r="D97" s="27">
        <v>46219</v>
      </c>
      <c r="E97" s="24" t="s">
        <v>205</v>
      </c>
      <c r="F97" s="24" t="s">
        <v>609</v>
      </c>
      <c r="G97" s="24" t="s">
        <v>242</v>
      </c>
      <c r="H97" s="24" t="s">
        <v>187</v>
      </c>
      <c r="I97" s="24">
        <v>154.74</v>
      </c>
      <c r="J97" s="24">
        <v>554.1</v>
      </c>
      <c r="K97" s="24" t="s">
        <v>168</v>
      </c>
      <c r="L97" s="25">
        <v>85741.43</v>
      </c>
      <c r="M97" s="25">
        <v>554.1</v>
      </c>
      <c r="N97" s="24">
        <v>580.1</v>
      </c>
      <c r="O97" s="24">
        <v>186576.33</v>
      </c>
      <c r="P97" s="24" t="s">
        <v>243</v>
      </c>
      <c r="Q97" s="24" t="s">
        <v>243</v>
      </c>
      <c r="R97" s="24"/>
      <c r="S97" s="24"/>
      <c r="T97" s="24" t="s">
        <v>240</v>
      </c>
      <c r="U97" s="24">
        <v>1</v>
      </c>
      <c r="V97" s="24"/>
      <c r="W97" s="24">
        <v>9</v>
      </c>
      <c r="X97" s="24">
        <v>7716.73</v>
      </c>
      <c r="Y97" s="24">
        <v>9</v>
      </c>
      <c r="Z97" s="24">
        <v>7716.73</v>
      </c>
      <c r="AA97" s="24">
        <v>0</v>
      </c>
      <c r="AB97" s="24">
        <v>0</v>
      </c>
      <c r="AC97" s="24">
        <v>39269080</v>
      </c>
      <c r="AD97" s="24" t="s">
        <v>193</v>
      </c>
      <c r="AE97" s="27">
        <v>46219</v>
      </c>
      <c r="AF97" s="24">
        <v>0</v>
      </c>
      <c r="AG97" s="24">
        <v>0</v>
      </c>
      <c r="AH97" s="24"/>
      <c r="AI97" s="24">
        <v>0</v>
      </c>
      <c r="AJ97" s="24"/>
      <c r="AK97" s="24"/>
      <c r="AL97" s="24"/>
      <c r="AM97" s="24">
        <v>0</v>
      </c>
      <c r="AN97" s="24">
        <v>0</v>
      </c>
      <c r="AO97" s="24">
        <v>0</v>
      </c>
      <c r="AP97" s="24">
        <v>0</v>
      </c>
      <c r="AQ97" s="24">
        <v>0</v>
      </c>
      <c r="AR97" s="24">
        <v>0</v>
      </c>
      <c r="AS97" s="24">
        <v>0</v>
      </c>
      <c r="AT97" s="24">
        <v>0</v>
      </c>
      <c r="AU97" s="24"/>
      <c r="AV97" s="24" t="s">
        <v>241</v>
      </c>
      <c r="AW97" s="24" t="s">
        <v>209</v>
      </c>
      <c r="AX97" s="24" t="s">
        <v>186</v>
      </c>
      <c r="AY97" s="24" t="s">
        <v>187</v>
      </c>
      <c r="AZ97" s="24" t="s">
        <v>169</v>
      </c>
      <c r="BA97" s="24" t="s">
        <v>180</v>
      </c>
      <c r="BB97" s="24" t="s">
        <v>155</v>
      </c>
    </row>
    <row r="98" spans="1:54" x14ac:dyDescent="0.25">
      <c r="A98" s="26"/>
      <c r="B98" s="24" t="s">
        <v>167</v>
      </c>
      <c r="C98" s="26">
        <v>365</v>
      </c>
      <c r="D98" s="27">
        <v>46219</v>
      </c>
      <c r="E98" s="24" t="s">
        <v>205</v>
      </c>
      <c r="F98" s="24" t="s">
        <v>609</v>
      </c>
      <c r="G98" s="24" t="s">
        <v>244</v>
      </c>
      <c r="H98" s="24" t="s">
        <v>179</v>
      </c>
      <c r="I98" s="24">
        <v>158.74</v>
      </c>
      <c r="J98" s="24">
        <v>105</v>
      </c>
      <c r="K98" s="24" t="s">
        <v>168</v>
      </c>
      <c r="L98" s="25">
        <v>16667.7</v>
      </c>
      <c r="M98" s="25">
        <v>105</v>
      </c>
      <c r="N98" s="24">
        <v>110</v>
      </c>
      <c r="O98" s="24">
        <v>0</v>
      </c>
      <c r="P98" s="24" t="s">
        <v>243</v>
      </c>
      <c r="Q98" s="24" t="s">
        <v>243</v>
      </c>
      <c r="R98" s="24"/>
      <c r="S98" s="24"/>
      <c r="T98" s="24" t="s">
        <v>240</v>
      </c>
      <c r="U98" s="24">
        <v>1</v>
      </c>
      <c r="V98" s="24"/>
      <c r="W98" s="24">
        <v>9</v>
      </c>
      <c r="X98" s="24">
        <v>1500.09</v>
      </c>
      <c r="Y98" s="24">
        <v>9</v>
      </c>
      <c r="Z98" s="24">
        <v>1500.09</v>
      </c>
      <c r="AA98" s="24">
        <v>0</v>
      </c>
      <c r="AB98" s="24">
        <v>0</v>
      </c>
      <c r="AC98" s="24">
        <v>39269080</v>
      </c>
      <c r="AD98" s="24" t="s">
        <v>193</v>
      </c>
      <c r="AE98" s="27">
        <v>46219</v>
      </c>
      <c r="AF98" s="24">
        <v>0</v>
      </c>
      <c r="AG98" s="24">
        <v>0</v>
      </c>
      <c r="AH98" s="24"/>
      <c r="AI98" s="24">
        <v>0</v>
      </c>
      <c r="AJ98" s="24"/>
      <c r="AK98" s="24"/>
      <c r="AL98" s="24"/>
      <c r="AM98" s="24">
        <v>0</v>
      </c>
      <c r="AN98" s="24">
        <v>0</v>
      </c>
      <c r="AO98" s="24">
        <v>0</v>
      </c>
      <c r="AP98" s="24">
        <v>0</v>
      </c>
      <c r="AQ98" s="24">
        <v>0</v>
      </c>
      <c r="AR98" s="24">
        <v>0</v>
      </c>
      <c r="AS98" s="24">
        <v>0</v>
      </c>
      <c r="AT98" s="24">
        <v>0</v>
      </c>
      <c r="AU98" s="24"/>
      <c r="AV98" s="24" t="s">
        <v>241</v>
      </c>
      <c r="AW98" s="24" t="s">
        <v>209</v>
      </c>
      <c r="AX98" s="24" t="s">
        <v>178</v>
      </c>
      <c r="AY98" s="24" t="s">
        <v>179</v>
      </c>
      <c r="AZ98" s="24" t="s">
        <v>169</v>
      </c>
      <c r="BA98" s="24" t="s">
        <v>180</v>
      </c>
      <c r="BB98" s="24" t="s">
        <v>156</v>
      </c>
    </row>
    <row r="99" spans="1:54" x14ac:dyDescent="0.25">
      <c r="A99" s="26"/>
      <c r="B99" s="24" t="s">
        <v>167</v>
      </c>
      <c r="C99" s="26">
        <v>365</v>
      </c>
      <c r="D99" s="27">
        <v>46219</v>
      </c>
      <c r="E99" s="24" t="s">
        <v>205</v>
      </c>
      <c r="F99" s="24" t="s">
        <v>609</v>
      </c>
      <c r="G99" s="24" t="s">
        <v>242</v>
      </c>
      <c r="H99" s="24" t="s">
        <v>273</v>
      </c>
      <c r="I99" s="24">
        <v>154.74</v>
      </c>
      <c r="J99" s="24">
        <v>360</v>
      </c>
      <c r="K99" s="24" t="s">
        <v>168</v>
      </c>
      <c r="L99" s="25">
        <v>55706.400000000001</v>
      </c>
      <c r="M99" s="25">
        <v>360</v>
      </c>
      <c r="N99" s="24">
        <v>360</v>
      </c>
      <c r="O99" s="24">
        <v>0</v>
      </c>
      <c r="P99" s="24" t="s">
        <v>243</v>
      </c>
      <c r="Q99" s="24" t="s">
        <v>243</v>
      </c>
      <c r="R99" s="24"/>
      <c r="S99" s="24"/>
      <c r="T99" s="24" t="s">
        <v>240</v>
      </c>
      <c r="U99" s="24">
        <v>1</v>
      </c>
      <c r="V99" s="24"/>
      <c r="W99" s="24">
        <v>9</v>
      </c>
      <c r="X99" s="24">
        <v>5013.58</v>
      </c>
      <c r="Y99" s="24">
        <v>9</v>
      </c>
      <c r="Z99" s="24">
        <v>5013.58</v>
      </c>
      <c r="AA99" s="24">
        <v>0</v>
      </c>
      <c r="AB99" s="24">
        <v>0</v>
      </c>
      <c r="AC99" s="24">
        <v>39269080</v>
      </c>
      <c r="AD99" s="24" t="s">
        <v>193</v>
      </c>
      <c r="AE99" s="27">
        <v>46219</v>
      </c>
      <c r="AF99" s="24">
        <v>0</v>
      </c>
      <c r="AG99" s="24">
        <v>0</v>
      </c>
      <c r="AH99" s="24"/>
      <c r="AI99" s="24">
        <v>0</v>
      </c>
      <c r="AJ99" s="24"/>
      <c r="AK99" s="24"/>
      <c r="AL99" s="24"/>
      <c r="AM99" s="24">
        <v>0</v>
      </c>
      <c r="AN99" s="24">
        <v>0</v>
      </c>
      <c r="AO99" s="24">
        <v>0</v>
      </c>
      <c r="AP99" s="24">
        <v>0</v>
      </c>
      <c r="AQ99" s="24">
        <v>0</v>
      </c>
      <c r="AR99" s="24">
        <v>0</v>
      </c>
      <c r="AS99" s="24">
        <v>0</v>
      </c>
      <c r="AT99" s="24">
        <v>0</v>
      </c>
      <c r="AU99" s="24"/>
      <c r="AV99" s="24" t="s">
        <v>241</v>
      </c>
      <c r="AW99" s="24" t="s">
        <v>209</v>
      </c>
      <c r="AX99" s="24" t="s">
        <v>245</v>
      </c>
      <c r="AY99" s="24" t="s">
        <v>153</v>
      </c>
      <c r="AZ99" s="24" t="s">
        <v>192</v>
      </c>
      <c r="BA99" s="24" t="s">
        <v>153</v>
      </c>
      <c r="BB99" s="24" t="s">
        <v>153</v>
      </c>
    </row>
    <row r="100" spans="1:54" x14ac:dyDescent="0.25">
      <c r="A100" s="26"/>
      <c r="B100" s="24" t="s">
        <v>167</v>
      </c>
      <c r="C100" s="26" t="s">
        <v>425</v>
      </c>
      <c r="D100" s="27">
        <v>46219</v>
      </c>
      <c r="E100" s="24" t="s">
        <v>222</v>
      </c>
      <c r="F100" s="24" t="s">
        <v>610</v>
      </c>
      <c r="G100" s="24" t="s">
        <v>249</v>
      </c>
      <c r="H100" s="24" t="s">
        <v>214</v>
      </c>
      <c r="I100" s="24">
        <v>6.7</v>
      </c>
      <c r="J100" s="24">
        <v>1960</v>
      </c>
      <c r="K100" s="24" t="s">
        <v>232</v>
      </c>
      <c r="L100" s="25">
        <v>1227842</v>
      </c>
      <c r="M100" s="25">
        <v>5437</v>
      </c>
      <c r="N100" s="24">
        <v>5633</v>
      </c>
      <c r="O100" s="24">
        <v>1227842</v>
      </c>
      <c r="P100" s="24" t="s">
        <v>207</v>
      </c>
      <c r="Q100" s="24" t="s">
        <v>207</v>
      </c>
      <c r="R100" s="24"/>
      <c r="S100" s="24"/>
      <c r="T100" s="24" t="s">
        <v>253</v>
      </c>
      <c r="U100" s="24">
        <v>93.5</v>
      </c>
      <c r="V100" s="24" t="s">
        <v>260</v>
      </c>
      <c r="W100" s="24"/>
      <c r="X100" s="24"/>
      <c r="Y100" s="24"/>
      <c r="Z100" s="24"/>
      <c r="AA100" s="24">
        <v>18</v>
      </c>
      <c r="AB100" s="24">
        <v>2363.7600000000002</v>
      </c>
      <c r="AC100" s="24">
        <v>63053200</v>
      </c>
      <c r="AD100" s="24"/>
      <c r="AE100" s="27">
        <v>46219</v>
      </c>
      <c r="AF100" s="24">
        <v>13132</v>
      </c>
      <c r="AG100" s="24">
        <v>1227842</v>
      </c>
      <c r="AH100" s="24" t="s">
        <v>254</v>
      </c>
      <c r="AI100" s="24">
        <v>13132</v>
      </c>
      <c r="AJ100" s="24"/>
      <c r="AK100" s="24"/>
      <c r="AL100" s="24">
        <v>6220250</v>
      </c>
      <c r="AM100" s="24">
        <v>0</v>
      </c>
      <c r="AN100" s="24">
        <v>0</v>
      </c>
      <c r="AO100" s="24">
        <v>0</v>
      </c>
      <c r="AP100" s="24">
        <v>0</v>
      </c>
      <c r="AQ100" s="24">
        <v>0</v>
      </c>
      <c r="AR100" s="24">
        <v>0</v>
      </c>
      <c r="AS100" s="24">
        <v>0</v>
      </c>
      <c r="AT100" s="24">
        <v>0</v>
      </c>
      <c r="AU100" s="24"/>
      <c r="AV100" s="24" t="s">
        <v>288</v>
      </c>
      <c r="AW100" s="24" t="s">
        <v>225</v>
      </c>
      <c r="AX100" s="24" t="s">
        <v>190</v>
      </c>
      <c r="AY100" s="24" t="s">
        <v>191</v>
      </c>
      <c r="AZ100" s="24" t="s">
        <v>192</v>
      </c>
      <c r="BA100" s="24" t="s">
        <v>152</v>
      </c>
      <c r="BB100" s="24" t="s">
        <v>162</v>
      </c>
    </row>
    <row r="101" spans="1:54" x14ac:dyDescent="0.25">
      <c r="A101" s="26"/>
      <c r="B101" s="24" t="s">
        <v>167</v>
      </c>
      <c r="C101" s="26">
        <v>367</v>
      </c>
      <c r="D101" s="27">
        <v>46220</v>
      </c>
      <c r="E101" s="24" t="s">
        <v>219</v>
      </c>
      <c r="F101" s="24" t="s">
        <v>175</v>
      </c>
      <c r="G101" s="24" t="s">
        <v>244</v>
      </c>
      <c r="H101" s="24" t="s">
        <v>293</v>
      </c>
      <c r="I101" s="24">
        <v>134.74</v>
      </c>
      <c r="J101" s="24">
        <v>177</v>
      </c>
      <c r="K101" s="24" t="s">
        <v>168</v>
      </c>
      <c r="L101" s="25">
        <v>23848.98</v>
      </c>
      <c r="M101" s="25">
        <v>177</v>
      </c>
      <c r="N101" s="24">
        <v>177</v>
      </c>
      <c r="O101" s="24">
        <v>28141.8</v>
      </c>
      <c r="P101" s="24" t="s">
        <v>243</v>
      </c>
      <c r="Q101" s="24" t="s">
        <v>243</v>
      </c>
      <c r="R101" s="24"/>
      <c r="S101" s="24"/>
      <c r="T101" s="24" t="s">
        <v>240</v>
      </c>
      <c r="U101" s="24">
        <v>1</v>
      </c>
      <c r="V101" s="24"/>
      <c r="W101" s="24">
        <v>9</v>
      </c>
      <c r="X101" s="24">
        <v>2146.41</v>
      </c>
      <c r="Y101" s="24">
        <v>9</v>
      </c>
      <c r="Z101" s="24">
        <v>2146.41</v>
      </c>
      <c r="AA101" s="24">
        <v>0</v>
      </c>
      <c r="AB101" s="24">
        <v>0</v>
      </c>
      <c r="AC101" s="24">
        <v>39269080</v>
      </c>
      <c r="AD101" s="24" t="s">
        <v>193</v>
      </c>
      <c r="AE101" s="27">
        <v>46220</v>
      </c>
      <c r="AF101" s="24">
        <v>0</v>
      </c>
      <c r="AG101" s="24">
        <v>0</v>
      </c>
      <c r="AH101" s="24"/>
      <c r="AI101" s="24">
        <v>0</v>
      </c>
      <c r="AJ101" s="24"/>
      <c r="AK101" s="24"/>
      <c r="AL101" s="24"/>
      <c r="AM101" s="24">
        <v>0</v>
      </c>
      <c r="AN101" s="24">
        <v>0</v>
      </c>
      <c r="AO101" s="24">
        <v>0</v>
      </c>
      <c r="AP101" s="24">
        <v>0</v>
      </c>
      <c r="AQ101" s="24">
        <v>0</v>
      </c>
      <c r="AR101" s="24">
        <v>0</v>
      </c>
      <c r="AS101" s="24">
        <v>0</v>
      </c>
      <c r="AT101" s="24">
        <v>0</v>
      </c>
      <c r="AU101" s="24"/>
      <c r="AV101" s="24" t="s">
        <v>247</v>
      </c>
      <c r="AW101" s="24" t="s">
        <v>209</v>
      </c>
      <c r="AX101" s="24" t="s">
        <v>245</v>
      </c>
      <c r="AY101" s="24" t="s">
        <v>153</v>
      </c>
      <c r="AZ101" s="24" t="s">
        <v>192</v>
      </c>
      <c r="BA101" s="24" t="s">
        <v>153</v>
      </c>
      <c r="BB101" s="24" t="s">
        <v>153</v>
      </c>
    </row>
    <row r="102" spans="1:54" x14ac:dyDescent="0.25">
      <c r="A102" s="24"/>
      <c r="B102" s="24" t="s">
        <v>167</v>
      </c>
      <c r="C102" s="26">
        <v>368</v>
      </c>
      <c r="D102" s="27">
        <v>46220</v>
      </c>
      <c r="E102" s="24" t="s">
        <v>234</v>
      </c>
      <c r="F102" s="24" t="s">
        <v>611</v>
      </c>
      <c r="G102" s="24" t="s">
        <v>239</v>
      </c>
      <c r="H102" s="24" t="s">
        <v>435</v>
      </c>
      <c r="I102" s="24">
        <v>147.80000000000001</v>
      </c>
      <c r="J102" s="24">
        <v>19488</v>
      </c>
      <c r="K102" s="24" t="s">
        <v>168</v>
      </c>
      <c r="L102" s="24">
        <v>2880326.4</v>
      </c>
      <c r="M102" s="24">
        <v>19488</v>
      </c>
      <c r="N102" s="24">
        <v>19488</v>
      </c>
      <c r="O102" s="24">
        <v>3398785.16</v>
      </c>
      <c r="P102" s="24" t="s">
        <v>207</v>
      </c>
      <c r="Q102" s="24" t="s">
        <v>207</v>
      </c>
      <c r="R102" s="24"/>
      <c r="S102" s="24"/>
      <c r="T102" s="24" t="s">
        <v>240</v>
      </c>
      <c r="U102" s="24">
        <v>1</v>
      </c>
      <c r="V102" s="24"/>
      <c r="W102" s="24">
        <v>9</v>
      </c>
      <c r="X102" s="24">
        <v>259229.38</v>
      </c>
      <c r="Y102" s="24">
        <v>9</v>
      </c>
      <c r="Z102" s="24">
        <v>259229.38</v>
      </c>
      <c r="AA102" s="24">
        <v>0</v>
      </c>
      <c r="AB102" s="24">
        <v>0</v>
      </c>
      <c r="AC102" s="24">
        <v>39232999</v>
      </c>
      <c r="AD102" s="24" t="s">
        <v>193</v>
      </c>
      <c r="AE102" s="27">
        <v>46220</v>
      </c>
      <c r="AF102" s="24">
        <v>0</v>
      </c>
      <c r="AG102" s="24">
        <v>0</v>
      </c>
      <c r="AH102" s="24"/>
      <c r="AI102" s="24">
        <v>0</v>
      </c>
      <c r="AJ102" s="24"/>
      <c r="AK102" s="24"/>
      <c r="AL102" s="24"/>
      <c r="AM102" s="24">
        <v>0</v>
      </c>
      <c r="AN102" s="24">
        <v>0</v>
      </c>
      <c r="AO102" s="24">
        <v>0</v>
      </c>
      <c r="AP102" s="24">
        <v>0</v>
      </c>
      <c r="AQ102" s="24">
        <v>0</v>
      </c>
      <c r="AR102" s="24">
        <v>0</v>
      </c>
      <c r="AS102" s="24">
        <v>0</v>
      </c>
      <c r="AT102" s="24">
        <v>0</v>
      </c>
      <c r="AU102" s="24"/>
      <c r="AV102" s="24" t="s">
        <v>264</v>
      </c>
      <c r="AW102" s="24" t="s">
        <v>209</v>
      </c>
      <c r="AX102" s="24" t="s">
        <v>190</v>
      </c>
      <c r="AY102" s="24" t="s">
        <v>191</v>
      </c>
      <c r="AZ102" s="24" t="s">
        <v>192</v>
      </c>
      <c r="BA102" s="24" t="s">
        <v>152</v>
      </c>
      <c r="BB102" s="24" t="s">
        <v>152</v>
      </c>
    </row>
    <row r="103" spans="1:54" x14ac:dyDescent="0.25">
      <c r="A103" s="26"/>
      <c r="B103" s="24" t="s">
        <v>167</v>
      </c>
      <c r="C103" s="26">
        <v>369</v>
      </c>
      <c r="D103" s="27">
        <v>46220</v>
      </c>
      <c r="E103" s="24" t="s">
        <v>219</v>
      </c>
      <c r="F103" s="24" t="s">
        <v>263</v>
      </c>
      <c r="G103" s="24" t="s">
        <v>277</v>
      </c>
      <c r="H103" s="24" t="s">
        <v>200</v>
      </c>
      <c r="I103" s="24">
        <v>277</v>
      </c>
      <c r="J103" s="24">
        <v>10</v>
      </c>
      <c r="K103" s="24" t="s">
        <v>168</v>
      </c>
      <c r="L103" s="25">
        <v>2770</v>
      </c>
      <c r="M103" s="25">
        <v>10</v>
      </c>
      <c r="N103" s="24">
        <v>10</v>
      </c>
      <c r="O103" s="24">
        <v>3268.6</v>
      </c>
      <c r="P103" s="24" t="s">
        <v>248</v>
      </c>
      <c r="Q103" s="24" t="s">
        <v>248</v>
      </c>
      <c r="R103" s="24"/>
      <c r="S103" s="24"/>
      <c r="T103" s="24" t="s">
        <v>240</v>
      </c>
      <c r="U103" s="24">
        <v>1</v>
      </c>
      <c r="V103" s="24"/>
      <c r="W103" s="24">
        <v>9</v>
      </c>
      <c r="X103" s="24">
        <v>249.3</v>
      </c>
      <c r="Y103" s="24">
        <v>9</v>
      </c>
      <c r="Z103" s="24">
        <v>249.3</v>
      </c>
      <c r="AA103" s="24">
        <v>0</v>
      </c>
      <c r="AB103" s="24">
        <v>0</v>
      </c>
      <c r="AC103" s="24">
        <v>39201019</v>
      </c>
      <c r="AD103" s="24" t="s">
        <v>193</v>
      </c>
      <c r="AE103" s="27">
        <v>46220</v>
      </c>
      <c r="AF103" s="24">
        <v>0</v>
      </c>
      <c r="AG103" s="24">
        <v>0</v>
      </c>
      <c r="AH103" s="24"/>
      <c r="AI103" s="24">
        <v>0</v>
      </c>
      <c r="AJ103" s="24"/>
      <c r="AK103" s="24"/>
      <c r="AL103" s="24"/>
      <c r="AM103" s="24">
        <v>0</v>
      </c>
      <c r="AN103" s="24">
        <v>0</v>
      </c>
      <c r="AO103" s="24">
        <v>0</v>
      </c>
      <c r="AP103" s="24">
        <v>0</v>
      </c>
      <c r="AQ103" s="24">
        <v>0</v>
      </c>
      <c r="AR103" s="24">
        <v>0</v>
      </c>
      <c r="AS103" s="24">
        <v>0</v>
      </c>
      <c r="AT103" s="24">
        <v>0</v>
      </c>
      <c r="AU103" s="24"/>
      <c r="AV103" s="24" t="s">
        <v>247</v>
      </c>
      <c r="AW103" s="24" t="s">
        <v>209</v>
      </c>
      <c r="AX103" s="24" t="s">
        <v>199</v>
      </c>
      <c r="AY103" s="24" t="s">
        <v>200</v>
      </c>
      <c r="AZ103" s="24" t="s">
        <v>169</v>
      </c>
      <c r="BA103" s="24" t="s">
        <v>201</v>
      </c>
      <c r="BB103" s="24" t="s">
        <v>158</v>
      </c>
    </row>
    <row r="104" spans="1:54" x14ac:dyDescent="0.25">
      <c r="A104" s="26"/>
      <c r="B104" s="24" t="s">
        <v>167</v>
      </c>
      <c r="C104" s="26">
        <v>370</v>
      </c>
      <c r="D104" s="27">
        <v>46221</v>
      </c>
      <c r="E104" s="24" t="s">
        <v>219</v>
      </c>
      <c r="F104" s="24" t="s">
        <v>263</v>
      </c>
      <c r="G104" s="24" t="s">
        <v>277</v>
      </c>
      <c r="H104" s="24" t="s">
        <v>200</v>
      </c>
      <c r="I104" s="24">
        <v>260</v>
      </c>
      <c r="J104" s="24">
        <v>12</v>
      </c>
      <c r="K104" s="24" t="s">
        <v>168</v>
      </c>
      <c r="L104" s="25">
        <v>3120</v>
      </c>
      <c r="M104" s="25">
        <v>12</v>
      </c>
      <c r="N104" s="24">
        <v>12</v>
      </c>
      <c r="O104" s="24">
        <v>3681.6</v>
      </c>
      <c r="P104" s="24" t="s">
        <v>248</v>
      </c>
      <c r="Q104" s="24" t="s">
        <v>248</v>
      </c>
      <c r="R104" s="24"/>
      <c r="S104" s="24"/>
      <c r="T104" s="24" t="s">
        <v>240</v>
      </c>
      <c r="U104" s="24">
        <v>1</v>
      </c>
      <c r="V104" s="24"/>
      <c r="W104" s="24">
        <v>9</v>
      </c>
      <c r="X104" s="24">
        <v>280.8</v>
      </c>
      <c r="Y104" s="24">
        <v>9</v>
      </c>
      <c r="Z104" s="24">
        <v>280.8</v>
      </c>
      <c r="AA104" s="24">
        <v>0</v>
      </c>
      <c r="AB104" s="24">
        <v>0</v>
      </c>
      <c r="AC104" s="24">
        <v>39201019</v>
      </c>
      <c r="AD104" s="24" t="s">
        <v>193</v>
      </c>
      <c r="AE104" s="27">
        <v>46221</v>
      </c>
      <c r="AF104" s="24">
        <v>0</v>
      </c>
      <c r="AG104" s="24">
        <v>0</v>
      </c>
      <c r="AH104" s="24"/>
      <c r="AI104" s="24">
        <v>0</v>
      </c>
      <c r="AJ104" s="24"/>
      <c r="AK104" s="24"/>
      <c r="AL104" s="24"/>
      <c r="AM104" s="24">
        <v>0</v>
      </c>
      <c r="AN104" s="24">
        <v>0</v>
      </c>
      <c r="AO104" s="24">
        <v>0</v>
      </c>
      <c r="AP104" s="24">
        <v>0</v>
      </c>
      <c r="AQ104" s="24">
        <v>0</v>
      </c>
      <c r="AR104" s="24">
        <v>0</v>
      </c>
      <c r="AS104" s="24">
        <v>0</v>
      </c>
      <c r="AT104" s="24">
        <v>0</v>
      </c>
      <c r="AU104" s="24"/>
      <c r="AV104" s="24" t="s">
        <v>247</v>
      </c>
      <c r="AW104" s="24" t="s">
        <v>209</v>
      </c>
      <c r="AX104" s="24" t="s">
        <v>199</v>
      </c>
      <c r="AY104" s="24" t="s">
        <v>200</v>
      </c>
      <c r="AZ104" s="24" t="s">
        <v>169</v>
      </c>
      <c r="BA104" s="24" t="s">
        <v>201</v>
      </c>
      <c r="BB104" s="24" t="s">
        <v>158</v>
      </c>
    </row>
    <row r="105" spans="1:54" x14ac:dyDescent="0.25">
      <c r="A105" s="26"/>
      <c r="B105" s="24" t="s">
        <v>167</v>
      </c>
      <c r="C105" s="26">
        <v>372</v>
      </c>
      <c r="D105" s="27">
        <v>46221</v>
      </c>
      <c r="E105" s="24" t="s">
        <v>219</v>
      </c>
      <c r="F105" s="24" t="s">
        <v>175</v>
      </c>
      <c r="G105" s="24" t="s">
        <v>308</v>
      </c>
      <c r="H105" s="24" t="s">
        <v>302</v>
      </c>
      <c r="I105" s="24">
        <v>177</v>
      </c>
      <c r="J105" s="24">
        <v>121.3</v>
      </c>
      <c r="K105" s="24" t="s">
        <v>168</v>
      </c>
      <c r="L105" s="25">
        <v>21470.1</v>
      </c>
      <c r="M105" s="25">
        <v>121.3</v>
      </c>
      <c r="N105" s="24">
        <v>121.3</v>
      </c>
      <c r="O105" s="24">
        <v>520675.53</v>
      </c>
      <c r="P105" s="24" t="s">
        <v>248</v>
      </c>
      <c r="Q105" s="24" t="s">
        <v>161</v>
      </c>
      <c r="R105" s="24"/>
      <c r="S105" s="24"/>
      <c r="T105" s="24" t="s">
        <v>240</v>
      </c>
      <c r="U105" s="24">
        <v>1</v>
      </c>
      <c r="V105" s="24"/>
      <c r="W105" s="24">
        <v>2.5</v>
      </c>
      <c r="X105" s="24">
        <v>536.75</v>
      </c>
      <c r="Y105" s="24">
        <v>2.5</v>
      </c>
      <c r="Z105" s="24">
        <v>536.75</v>
      </c>
      <c r="AA105" s="24">
        <v>0</v>
      </c>
      <c r="AB105" s="24">
        <v>0</v>
      </c>
      <c r="AC105" s="24">
        <v>54026930</v>
      </c>
      <c r="AD105" s="24" t="s">
        <v>193</v>
      </c>
      <c r="AE105" s="27">
        <v>46221</v>
      </c>
      <c r="AF105" s="24">
        <v>0</v>
      </c>
      <c r="AG105" s="24">
        <v>0</v>
      </c>
      <c r="AH105" s="24"/>
      <c r="AI105" s="24">
        <v>0</v>
      </c>
      <c r="AJ105" s="24"/>
      <c r="AK105" s="24"/>
      <c r="AL105" s="24"/>
      <c r="AM105" s="24">
        <v>0</v>
      </c>
      <c r="AN105" s="24">
        <v>0</v>
      </c>
      <c r="AO105" s="24">
        <v>0</v>
      </c>
      <c r="AP105" s="24">
        <v>0</v>
      </c>
      <c r="AQ105" s="24">
        <v>0</v>
      </c>
      <c r="AR105" s="24">
        <v>0</v>
      </c>
      <c r="AS105" s="24">
        <v>0</v>
      </c>
      <c r="AT105" s="24">
        <v>0</v>
      </c>
      <c r="AU105" s="24"/>
      <c r="AV105" s="24" t="s">
        <v>247</v>
      </c>
      <c r="AW105" s="24" t="s">
        <v>209</v>
      </c>
      <c r="AX105" s="24" t="s">
        <v>301</v>
      </c>
      <c r="AY105" s="24" t="s">
        <v>302</v>
      </c>
      <c r="AZ105" s="24" t="s">
        <v>169</v>
      </c>
      <c r="BA105" s="24" t="s">
        <v>170</v>
      </c>
      <c r="BB105" s="24" t="s">
        <v>157</v>
      </c>
    </row>
    <row r="106" spans="1:54" x14ac:dyDescent="0.25">
      <c r="A106" s="26"/>
      <c r="B106" s="24" t="s">
        <v>167</v>
      </c>
      <c r="C106" s="26">
        <v>372</v>
      </c>
      <c r="D106" s="27">
        <v>46221</v>
      </c>
      <c r="E106" s="24" t="s">
        <v>219</v>
      </c>
      <c r="F106" s="24" t="s">
        <v>175</v>
      </c>
      <c r="G106" s="24" t="s">
        <v>271</v>
      </c>
      <c r="H106" s="24" t="s">
        <v>161</v>
      </c>
      <c r="I106" s="24">
        <v>451</v>
      </c>
      <c r="J106" s="24">
        <v>108</v>
      </c>
      <c r="K106" s="24" t="s">
        <v>168</v>
      </c>
      <c r="L106" s="25">
        <v>48708</v>
      </c>
      <c r="M106" s="25">
        <v>108</v>
      </c>
      <c r="N106" s="24">
        <v>108</v>
      </c>
      <c r="O106" s="24">
        <v>0</v>
      </c>
      <c r="P106" s="24" t="s">
        <v>248</v>
      </c>
      <c r="Q106" s="24" t="s">
        <v>276</v>
      </c>
      <c r="R106" s="24"/>
      <c r="S106" s="24"/>
      <c r="T106" s="24" t="s">
        <v>240</v>
      </c>
      <c r="U106" s="24">
        <v>1</v>
      </c>
      <c r="V106" s="24"/>
      <c r="W106" s="24">
        <v>9</v>
      </c>
      <c r="X106" s="24">
        <v>4383.72</v>
      </c>
      <c r="Y106" s="24">
        <v>9</v>
      </c>
      <c r="Z106" s="24">
        <v>4383.72</v>
      </c>
      <c r="AA106" s="24">
        <v>0</v>
      </c>
      <c r="AB106" s="24">
        <v>0</v>
      </c>
      <c r="AC106" s="24">
        <v>39199090</v>
      </c>
      <c r="AD106" s="24" t="s">
        <v>193</v>
      </c>
      <c r="AE106" s="27">
        <v>46221</v>
      </c>
      <c r="AF106" s="24">
        <v>0</v>
      </c>
      <c r="AG106" s="24">
        <v>0</v>
      </c>
      <c r="AH106" s="24"/>
      <c r="AI106" s="24">
        <v>0</v>
      </c>
      <c r="AJ106" s="24"/>
      <c r="AK106" s="24"/>
      <c r="AL106" s="24"/>
      <c r="AM106" s="24">
        <v>0</v>
      </c>
      <c r="AN106" s="24">
        <v>0</v>
      </c>
      <c r="AO106" s="24">
        <v>0</v>
      </c>
      <c r="AP106" s="24">
        <v>0</v>
      </c>
      <c r="AQ106" s="24">
        <v>0</v>
      </c>
      <c r="AR106" s="24">
        <v>0</v>
      </c>
      <c r="AS106" s="24">
        <v>0</v>
      </c>
      <c r="AT106" s="24">
        <v>0</v>
      </c>
      <c r="AU106" s="24"/>
      <c r="AV106" s="24" t="s">
        <v>247</v>
      </c>
      <c r="AW106" s="24" t="s">
        <v>209</v>
      </c>
      <c r="AX106" s="24" t="s">
        <v>196</v>
      </c>
      <c r="AY106" s="24" t="s">
        <v>161</v>
      </c>
      <c r="AZ106" s="24" t="s">
        <v>169</v>
      </c>
      <c r="BA106" s="24" t="s">
        <v>197</v>
      </c>
      <c r="BB106" s="24" t="s">
        <v>161</v>
      </c>
    </row>
    <row r="107" spans="1:54" x14ac:dyDescent="0.25">
      <c r="A107" s="26"/>
      <c r="B107" s="24" t="s">
        <v>167</v>
      </c>
      <c r="C107" s="26">
        <v>372</v>
      </c>
      <c r="D107" s="27">
        <v>46221</v>
      </c>
      <c r="E107" s="24" t="s">
        <v>219</v>
      </c>
      <c r="F107" s="24" t="s">
        <v>175</v>
      </c>
      <c r="G107" s="24" t="s">
        <v>269</v>
      </c>
      <c r="H107" s="24" t="s">
        <v>174</v>
      </c>
      <c r="I107" s="24">
        <v>181.15</v>
      </c>
      <c r="J107" s="24">
        <v>1461</v>
      </c>
      <c r="K107" s="24" t="s">
        <v>168</v>
      </c>
      <c r="L107" s="25">
        <v>264660.15000000002</v>
      </c>
      <c r="M107" s="25">
        <v>1461</v>
      </c>
      <c r="N107" s="24">
        <v>1461</v>
      </c>
      <c r="O107" s="24">
        <v>0</v>
      </c>
      <c r="P107" s="24" t="s">
        <v>248</v>
      </c>
      <c r="Q107" s="24" t="s">
        <v>267</v>
      </c>
      <c r="R107" s="24"/>
      <c r="S107" s="24"/>
      <c r="T107" s="24" t="s">
        <v>240</v>
      </c>
      <c r="U107" s="24">
        <v>1</v>
      </c>
      <c r="V107" s="24"/>
      <c r="W107" s="24">
        <v>9</v>
      </c>
      <c r="X107" s="24">
        <v>23819.41</v>
      </c>
      <c r="Y107" s="24">
        <v>9</v>
      </c>
      <c r="Z107" s="24">
        <v>23819.41</v>
      </c>
      <c r="AA107" s="24">
        <v>0</v>
      </c>
      <c r="AB107" s="24">
        <v>0</v>
      </c>
      <c r="AC107" s="24">
        <v>392310</v>
      </c>
      <c r="AD107" s="24" t="s">
        <v>193</v>
      </c>
      <c r="AE107" s="27">
        <v>46221</v>
      </c>
      <c r="AF107" s="24">
        <v>0</v>
      </c>
      <c r="AG107" s="24">
        <v>0</v>
      </c>
      <c r="AH107" s="24"/>
      <c r="AI107" s="24">
        <v>0</v>
      </c>
      <c r="AJ107" s="24"/>
      <c r="AK107" s="24"/>
      <c r="AL107" s="24"/>
      <c r="AM107" s="24">
        <v>0</v>
      </c>
      <c r="AN107" s="24">
        <v>0</v>
      </c>
      <c r="AO107" s="24">
        <v>0</v>
      </c>
      <c r="AP107" s="24">
        <v>0</v>
      </c>
      <c r="AQ107" s="24">
        <v>0</v>
      </c>
      <c r="AR107" s="24">
        <v>0</v>
      </c>
      <c r="AS107" s="24">
        <v>0</v>
      </c>
      <c r="AT107" s="24">
        <v>0</v>
      </c>
      <c r="AU107" s="24"/>
      <c r="AV107" s="24" t="s">
        <v>247</v>
      </c>
      <c r="AW107" s="24" t="s">
        <v>209</v>
      </c>
      <c r="AX107" s="24" t="s">
        <v>173</v>
      </c>
      <c r="AY107" s="24" t="s">
        <v>174</v>
      </c>
      <c r="AZ107" s="24" t="s">
        <v>169</v>
      </c>
      <c r="BA107" s="24" t="s">
        <v>176</v>
      </c>
      <c r="BB107" s="24" t="s">
        <v>159</v>
      </c>
    </row>
    <row r="108" spans="1:54" x14ac:dyDescent="0.25">
      <c r="A108" s="26"/>
      <c r="B108" s="24" t="s">
        <v>167</v>
      </c>
      <c r="C108" s="26">
        <v>372</v>
      </c>
      <c r="D108" s="27">
        <v>46221</v>
      </c>
      <c r="E108" s="24" t="s">
        <v>219</v>
      </c>
      <c r="F108" s="24" t="s">
        <v>175</v>
      </c>
      <c r="G108" s="24" t="s">
        <v>257</v>
      </c>
      <c r="H108" s="24" t="s">
        <v>179</v>
      </c>
      <c r="I108" s="24">
        <v>156.74</v>
      </c>
      <c r="J108" s="24">
        <v>694</v>
      </c>
      <c r="K108" s="24" t="s">
        <v>168</v>
      </c>
      <c r="L108" s="25">
        <v>108777.56</v>
      </c>
      <c r="M108" s="25">
        <v>694</v>
      </c>
      <c r="N108" s="24">
        <v>694</v>
      </c>
      <c r="O108" s="24">
        <v>0</v>
      </c>
      <c r="P108" s="24" t="s">
        <v>248</v>
      </c>
      <c r="Q108" s="24" t="s">
        <v>243</v>
      </c>
      <c r="R108" s="24"/>
      <c r="S108" s="24"/>
      <c r="T108" s="24" t="s">
        <v>240</v>
      </c>
      <c r="U108" s="24">
        <v>1</v>
      </c>
      <c r="V108" s="24"/>
      <c r="W108" s="24">
        <v>9</v>
      </c>
      <c r="X108" s="24">
        <v>9789.98</v>
      </c>
      <c r="Y108" s="24">
        <v>9</v>
      </c>
      <c r="Z108" s="24">
        <v>9789.98</v>
      </c>
      <c r="AA108" s="24">
        <v>0</v>
      </c>
      <c r="AB108" s="24">
        <v>0</v>
      </c>
      <c r="AC108" s="24">
        <v>39269080</v>
      </c>
      <c r="AD108" s="24" t="s">
        <v>193</v>
      </c>
      <c r="AE108" s="27">
        <v>46221</v>
      </c>
      <c r="AF108" s="24">
        <v>0</v>
      </c>
      <c r="AG108" s="24">
        <v>0</v>
      </c>
      <c r="AH108" s="24"/>
      <c r="AI108" s="24">
        <v>0</v>
      </c>
      <c r="AJ108" s="24"/>
      <c r="AK108" s="24"/>
      <c r="AL108" s="24"/>
      <c r="AM108" s="24">
        <v>0</v>
      </c>
      <c r="AN108" s="24">
        <v>0</v>
      </c>
      <c r="AO108" s="24">
        <v>0</v>
      </c>
      <c r="AP108" s="24">
        <v>0</v>
      </c>
      <c r="AQ108" s="24">
        <v>0</v>
      </c>
      <c r="AR108" s="24">
        <v>0</v>
      </c>
      <c r="AS108" s="24">
        <v>0</v>
      </c>
      <c r="AT108" s="24">
        <v>0</v>
      </c>
      <c r="AU108" s="24"/>
      <c r="AV108" s="24" t="s">
        <v>247</v>
      </c>
      <c r="AW108" s="24" t="s">
        <v>209</v>
      </c>
      <c r="AX108" s="24" t="s">
        <v>178</v>
      </c>
      <c r="AY108" s="24" t="s">
        <v>179</v>
      </c>
      <c r="AZ108" s="24" t="s">
        <v>169</v>
      </c>
      <c r="BA108" s="24" t="s">
        <v>180</v>
      </c>
      <c r="BB108" s="24" t="s">
        <v>156</v>
      </c>
    </row>
    <row r="109" spans="1:54" x14ac:dyDescent="0.25">
      <c r="A109" s="26"/>
      <c r="B109" s="24" t="s">
        <v>167</v>
      </c>
      <c r="C109" s="26">
        <v>375</v>
      </c>
      <c r="D109" s="27">
        <v>46221</v>
      </c>
      <c r="E109" s="24" t="s">
        <v>234</v>
      </c>
      <c r="F109" s="24" t="s">
        <v>612</v>
      </c>
      <c r="G109" s="24" t="s">
        <v>239</v>
      </c>
      <c r="H109" s="24" t="s">
        <v>446</v>
      </c>
      <c r="I109" s="24">
        <v>246.4</v>
      </c>
      <c r="J109" s="24">
        <v>849</v>
      </c>
      <c r="K109" s="24" t="s">
        <v>168</v>
      </c>
      <c r="L109" s="25">
        <v>209193.60000000001</v>
      </c>
      <c r="M109" s="25">
        <v>849</v>
      </c>
      <c r="N109" s="24">
        <v>849</v>
      </c>
      <c r="O109" s="24">
        <v>5263822.9000000004</v>
      </c>
      <c r="P109" s="24" t="s">
        <v>207</v>
      </c>
      <c r="Q109" s="24" t="s">
        <v>207</v>
      </c>
      <c r="R109" s="24"/>
      <c r="S109" s="24"/>
      <c r="T109" s="24" t="s">
        <v>240</v>
      </c>
      <c r="U109" s="24">
        <v>1</v>
      </c>
      <c r="V109" s="24"/>
      <c r="W109" s="24">
        <v>9</v>
      </c>
      <c r="X109" s="24">
        <v>18827.419999999998</v>
      </c>
      <c r="Y109" s="24">
        <v>9</v>
      </c>
      <c r="Z109" s="24">
        <v>18827.419999999998</v>
      </c>
      <c r="AA109" s="24">
        <v>0</v>
      </c>
      <c r="AB109" s="24">
        <v>0</v>
      </c>
      <c r="AC109" s="24">
        <v>39232999</v>
      </c>
      <c r="AD109" s="24" t="s">
        <v>193</v>
      </c>
      <c r="AE109" s="27">
        <v>46221</v>
      </c>
      <c r="AF109" s="24">
        <v>0</v>
      </c>
      <c r="AG109" s="24">
        <v>0</v>
      </c>
      <c r="AH109" s="24"/>
      <c r="AI109" s="24">
        <v>0</v>
      </c>
      <c r="AJ109" s="24"/>
      <c r="AK109" s="24"/>
      <c r="AL109" s="24"/>
      <c r="AM109" s="24">
        <v>0</v>
      </c>
      <c r="AN109" s="24">
        <v>0</v>
      </c>
      <c r="AO109" s="24">
        <v>0</v>
      </c>
      <c r="AP109" s="24">
        <v>0</v>
      </c>
      <c r="AQ109" s="24">
        <v>0</v>
      </c>
      <c r="AR109" s="24">
        <v>0</v>
      </c>
      <c r="AS109" s="24">
        <v>0</v>
      </c>
      <c r="AT109" s="24">
        <v>0</v>
      </c>
      <c r="AU109" s="24"/>
      <c r="AV109" s="24" t="s">
        <v>264</v>
      </c>
      <c r="AW109" s="24" t="s">
        <v>209</v>
      </c>
      <c r="AX109" s="24" t="s">
        <v>194</v>
      </c>
      <c r="AY109" s="24" t="s">
        <v>195</v>
      </c>
      <c r="AZ109" s="24" t="s">
        <v>192</v>
      </c>
      <c r="BA109" s="24" t="s">
        <v>152</v>
      </c>
      <c r="BB109" s="24" t="s">
        <v>152</v>
      </c>
    </row>
    <row r="110" spans="1:54" x14ac:dyDescent="0.25">
      <c r="A110" s="26"/>
      <c r="B110" s="24" t="s">
        <v>167</v>
      </c>
      <c r="C110" s="26">
        <v>375</v>
      </c>
      <c r="D110" s="27">
        <v>46221</v>
      </c>
      <c r="E110" s="24" t="s">
        <v>234</v>
      </c>
      <c r="F110" s="24" t="s">
        <v>612</v>
      </c>
      <c r="G110" s="24" t="s">
        <v>239</v>
      </c>
      <c r="H110" s="24" t="s">
        <v>447</v>
      </c>
      <c r="I110" s="24">
        <v>242.67</v>
      </c>
      <c r="J110" s="24">
        <v>3262</v>
      </c>
      <c r="K110" s="24" t="s">
        <v>168</v>
      </c>
      <c r="L110" s="25">
        <v>791589.54</v>
      </c>
      <c r="M110" s="25">
        <v>3262</v>
      </c>
      <c r="N110" s="24">
        <v>3262</v>
      </c>
      <c r="O110" s="24">
        <v>0</v>
      </c>
      <c r="P110" s="24" t="s">
        <v>207</v>
      </c>
      <c r="Q110" s="24" t="s">
        <v>207</v>
      </c>
      <c r="R110" s="24"/>
      <c r="S110" s="24"/>
      <c r="T110" s="24" t="s">
        <v>240</v>
      </c>
      <c r="U110" s="24">
        <v>1</v>
      </c>
      <c r="V110" s="24"/>
      <c r="W110" s="24">
        <v>9</v>
      </c>
      <c r="X110" s="24">
        <v>71243.06</v>
      </c>
      <c r="Y110" s="24">
        <v>9</v>
      </c>
      <c r="Z110" s="24">
        <v>71243.06</v>
      </c>
      <c r="AA110" s="24">
        <v>0</v>
      </c>
      <c r="AB110" s="24">
        <v>0</v>
      </c>
      <c r="AC110" s="24">
        <v>39232999</v>
      </c>
      <c r="AD110" s="24" t="s">
        <v>193</v>
      </c>
      <c r="AE110" s="27">
        <v>46221</v>
      </c>
      <c r="AF110" s="24">
        <v>0</v>
      </c>
      <c r="AG110" s="24">
        <v>0</v>
      </c>
      <c r="AH110" s="24"/>
      <c r="AI110" s="24">
        <v>0</v>
      </c>
      <c r="AJ110" s="24"/>
      <c r="AK110" s="24"/>
      <c r="AL110" s="24"/>
      <c r="AM110" s="24">
        <v>0</v>
      </c>
      <c r="AN110" s="24">
        <v>0</v>
      </c>
      <c r="AO110" s="24">
        <v>0</v>
      </c>
      <c r="AP110" s="24">
        <v>0</v>
      </c>
      <c r="AQ110" s="24">
        <v>0</v>
      </c>
      <c r="AR110" s="24">
        <v>0</v>
      </c>
      <c r="AS110" s="24">
        <v>0</v>
      </c>
      <c r="AT110" s="24">
        <v>0</v>
      </c>
      <c r="AU110" s="24"/>
      <c r="AV110" s="24" t="s">
        <v>264</v>
      </c>
      <c r="AW110" s="24" t="s">
        <v>209</v>
      </c>
      <c r="AX110" s="24" t="s">
        <v>190</v>
      </c>
      <c r="AY110" s="24" t="s">
        <v>191</v>
      </c>
      <c r="AZ110" s="24" t="s">
        <v>192</v>
      </c>
      <c r="BA110" s="24" t="s">
        <v>152</v>
      </c>
      <c r="BB110" s="24" t="s">
        <v>152</v>
      </c>
    </row>
    <row r="111" spans="1:54" x14ac:dyDescent="0.25">
      <c r="A111" s="26"/>
      <c r="B111" s="24" t="s">
        <v>167</v>
      </c>
      <c r="C111" s="26">
        <v>375</v>
      </c>
      <c r="D111" s="27">
        <v>46221</v>
      </c>
      <c r="E111" s="24" t="s">
        <v>234</v>
      </c>
      <c r="F111" s="24" t="s">
        <v>612</v>
      </c>
      <c r="G111" s="24" t="s">
        <v>239</v>
      </c>
      <c r="H111" s="24" t="s">
        <v>448</v>
      </c>
      <c r="I111" s="24">
        <v>227.75</v>
      </c>
      <c r="J111" s="24">
        <v>2825</v>
      </c>
      <c r="K111" s="24" t="s">
        <v>168</v>
      </c>
      <c r="L111" s="25">
        <v>643393.75</v>
      </c>
      <c r="M111" s="25">
        <v>2825</v>
      </c>
      <c r="N111" s="24">
        <v>2825</v>
      </c>
      <c r="O111" s="24">
        <v>0</v>
      </c>
      <c r="P111" s="24" t="s">
        <v>207</v>
      </c>
      <c r="Q111" s="24" t="s">
        <v>207</v>
      </c>
      <c r="R111" s="24"/>
      <c r="S111" s="24"/>
      <c r="T111" s="24" t="s">
        <v>240</v>
      </c>
      <c r="U111" s="24">
        <v>1</v>
      </c>
      <c r="V111" s="24"/>
      <c r="W111" s="24">
        <v>9</v>
      </c>
      <c r="X111" s="24">
        <v>57905.440000000002</v>
      </c>
      <c r="Y111" s="24">
        <v>9</v>
      </c>
      <c r="Z111" s="24">
        <v>57905.440000000002</v>
      </c>
      <c r="AA111" s="24">
        <v>0</v>
      </c>
      <c r="AB111" s="24">
        <v>0</v>
      </c>
      <c r="AC111" s="24">
        <v>39232999</v>
      </c>
      <c r="AD111" s="24" t="s">
        <v>193</v>
      </c>
      <c r="AE111" s="27">
        <v>46221</v>
      </c>
      <c r="AF111" s="24">
        <v>0</v>
      </c>
      <c r="AG111" s="24">
        <v>0</v>
      </c>
      <c r="AH111" s="24"/>
      <c r="AI111" s="24">
        <v>0</v>
      </c>
      <c r="AJ111" s="24"/>
      <c r="AK111" s="24"/>
      <c r="AL111" s="24"/>
      <c r="AM111" s="24">
        <v>0</v>
      </c>
      <c r="AN111" s="24">
        <v>0</v>
      </c>
      <c r="AO111" s="24">
        <v>0</v>
      </c>
      <c r="AP111" s="24">
        <v>0</v>
      </c>
      <c r="AQ111" s="24">
        <v>0</v>
      </c>
      <c r="AR111" s="24">
        <v>0</v>
      </c>
      <c r="AS111" s="24">
        <v>0</v>
      </c>
      <c r="AT111" s="24">
        <v>0</v>
      </c>
      <c r="AU111" s="24"/>
      <c r="AV111" s="24" t="s">
        <v>264</v>
      </c>
      <c r="AW111" s="24" t="s">
        <v>209</v>
      </c>
      <c r="AX111" s="24" t="s">
        <v>190</v>
      </c>
      <c r="AY111" s="24" t="s">
        <v>191</v>
      </c>
      <c r="AZ111" s="24" t="s">
        <v>192</v>
      </c>
      <c r="BA111" s="24" t="s">
        <v>152</v>
      </c>
      <c r="BB111" s="24" t="s">
        <v>152</v>
      </c>
    </row>
    <row r="112" spans="1:54" x14ac:dyDescent="0.25">
      <c r="A112" s="26"/>
      <c r="B112" s="24" t="s">
        <v>167</v>
      </c>
      <c r="C112" s="26">
        <v>375</v>
      </c>
      <c r="D112" s="27">
        <v>46221</v>
      </c>
      <c r="E112" s="24" t="s">
        <v>234</v>
      </c>
      <c r="F112" s="24" t="s">
        <v>612</v>
      </c>
      <c r="G112" s="24" t="s">
        <v>239</v>
      </c>
      <c r="H112" s="24" t="s">
        <v>449</v>
      </c>
      <c r="I112" s="24">
        <v>229.74</v>
      </c>
      <c r="J112" s="24">
        <v>4438</v>
      </c>
      <c r="K112" s="24" t="s">
        <v>168</v>
      </c>
      <c r="L112" s="25">
        <v>1019586.12</v>
      </c>
      <c r="M112" s="25">
        <v>4438</v>
      </c>
      <c r="N112" s="24">
        <v>4438</v>
      </c>
      <c r="O112" s="24">
        <v>0</v>
      </c>
      <c r="P112" s="24" t="s">
        <v>207</v>
      </c>
      <c r="Q112" s="24" t="s">
        <v>207</v>
      </c>
      <c r="R112" s="24"/>
      <c r="S112" s="24"/>
      <c r="T112" s="24" t="s">
        <v>240</v>
      </c>
      <c r="U112" s="24">
        <v>1</v>
      </c>
      <c r="V112" s="24"/>
      <c r="W112" s="24">
        <v>9</v>
      </c>
      <c r="X112" s="24">
        <v>91762.75</v>
      </c>
      <c r="Y112" s="24">
        <v>9</v>
      </c>
      <c r="Z112" s="24">
        <v>91762.75</v>
      </c>
      <c r="AA112" s="24">
        <v>0</v>
      </c>
      <c r="AB112" s="24">
        <v>0</v>
      </c>
      <c r="AC112" s="24">
        <v>39232999</v>
      </c>
      <c r="AD112" s="24" t="s">
        <v>193</v>
      </c>
      <c r="AE112" s="27">
        <v>46221</v>
      </c>
      <c r="AF112" s="24">
        <v>0</v>
      </c>
      <c r="AG112" s="24">
        <v>0</v>
      </c>
      <c r="AH112" s="24"/>
      <c r="AI112" s="24">
        <v>0</v>
      </c>
      <c r="AJ112" s="24"/>
      <c r="AK112" s="24"/>
      <c r="AL112" s="24"/>
      <c r="AM112" s="24">
        <v>0</v>
      </c>
      <c r="AN112" s="24">
        <v>0</v>
      </c>
      <c r="AO112" s="24">
        <v>0</v>
      </c>
      <c r="AP112" s="24">
        <v>0</v>
      </c>
      <c r="AQ112" s="24">
        <v>0</v>
      </c>
      <c r="AR112" s="24">
        <v>0</v>
      </c>
      <c r="AS112" s="24">
        <v>0</v>
      </c>
      <c r="AT112" s="24">
        <v>0</v>
      </c>
      <c r="AU112" s="24"/>
      <c r="AV112" s="24" t="s">
        <v>264</v>
      </c>
      <c r="AW112" s="24" t="s">
        <v>209</v>
      </c>
      <c r="AX112" s="24" t="s">
        <v>190</v>
      </c>
      <c r="AY112" s="24" t="s">
        <v>191</v>
      </c>
      <c r="AZ112" s="24" t="s">
        <v>192</v>
      </c>
      <c r="BA112" s="24" t="s">
        <v>152</v>
      </c>
      <c r="BB112" s="24" t="s">
        <v>152</v>
      </c>
    </row>
    <row r="113" spans="1:54" x14ac:dyDescent="0.25">
      <c r="A113" s="26"/>
      <c r="B113" s="24" t="s">
        <v>167</v>
      </c>
      <c r="C113" s="26">
        <v>375</v>
      </c>
      <c r="D113" s="27">
        <v>46221</v>
      </c>
      <c r="E113" s="24" t="s">
        <v>234</v>
      </c>
      <c r="F113" s="24" t="s">
        <v>612</v>
      </c>
      <c r="G113" s="24" t="s">
        <v>239</v>
      </c>
      <c r="H113" s="24" t="s">
        <v>440</v>
      </c>
      <c r="I113" s="24">
        <v>228.94</v>
      </c>
      <c r="J113" s="24">
        <v>2424</v>
      </c>
      <c r="K113" s="24" t="s">
        <v>168</v>
      </c>
      <c r="L113" s="25">
        <v>554950.56000000006</v>
      </c>
      <c r="M113" s="25">
        <v>2424</v>
      </c>
      <c r="N113" s="24">
        <v>2424</v>
      </c>
      <c r="O113" s="24">
        <v>0</v>
      </c>
      <c r="P113" s="24" t="s">
        <v>207</v>
      </c>
      <c r="Q113" s="24" t="s">
        <v>207</v>
      </c>
      <c r="R113" s="24"/>
      <c r="S113" s="24"/>
      <c r="T113" s="24" t="s">
        <v>240</v>
      </c>
      <c r="U113" s="24">
        <v>1</v>
      </c>
      <c r="V113" s="24"/>
      <c r="W113" s="24">
        <v>9</v>
      </c>
      <c r="X113" s="24">
        <v>49945.55</v>
      </c>
      <c r="Y113" s="24">
        <v>9</v>
      </c>
      <c r="Z113" s="24">
        <v>49945.55</v>
      </c>
      <c r="AA113" s="24">
        <v>0</v>
      </c>
      <c r="AB113" s="24">
        <v>0</v>
      </c>
      <c r="AC113" s="24">
        <v>39232999</v>
      </c>
      <c r="AD113" s="24" t="s">
        <v>193</v>
      </c>
      <c r="AE113" s="27">
        <v>46221</v>
      </c>
      <c r="AF113" s="24">
        <v>0</v>
      </c>
      <c r="AG113" s="24">
        <v>0</v>
      </c>
      <c r="AH113" s="24"/>
      <c r="AI113" s="24">
        <v>0</v>
      </c>
      <c r="AJ113" s="24"/>
      <c r="AK113" s="24"/>
      <c r="AL113" s="24"/>
      <c r="AM113" s="24">
        <v>0</v>
      </c>
      <c r="AN113" s="24">
        <v>0</v>
      </c>
      <c r="AO113" s="24">
        <v>0</v>
      </c>
      <c r="AP113" s="24">
        <v>0</v>
      </c>
      <c r="AQ113" s="24">
        <v>0</v>
      </c>
      <c r="AR113" s="24">
        <v>0</v>
      </c>
      <c r="AS113" s="24">
        <v>0</v>
      </c>
      <c r="AT113" s="24">
        <v>0</v>
      </c>
      <c r="AU113" s="24"/>
      <c r="AV113" s="24" t="s">
        <v>264</v>
      </c>
      <c r="AW113" s="24" t="s">
        <v>209</v>
      </c>
      <c r="AX113" s="24" t="s">
        <v>190</v>
      </c>
      <c r="AY113" s="24" t="s">
        <v>191</v>
      </c>
      <c r="AZ113" s="24" t="s">
        <v>192</v>
      </c>
      <c r="BA113" s="24" t="s">
        <v>152</v>
      </c>
      <c r="BB113" s="24" t="s">
        <v>152</v>
      </c>
    </row>
    <row r="114" spans="1:54" x14ac:dyDescent="0.25">
      <c r="A114" s="26"/>
      <c r="B114" s="24" t="s">
        <v>167</v>
      </c>
      <c r="C114" s="26">
        <v>375</v>
      </c>
      <c r="D114" s="27">
        <v>46221</v>
      </c>
      <c r="E114" s="24" t="s">
        <v>234</v>
      </c>
      <c r="F114" s="24" t="s">
        <v>612</v>
      </c>
      <c r="G114" s="24" t="s">
        <v>239</v>
      </c>
      <c r="H114" s="24" t="s">
        <v>441</v>
      </c>
      <c r="I114" s="24">
        <v>213.46</v>
      </c>
      <c r="J114" s="24">
        <v>840</v>
      </c>
      <c r="K114" s="24" t="s">
        <v>168</v>
      </c>
      <c r="L114" s="25">
        <v>179306.4</v>
      </c>
      <c r="M114" s="25">
        <v>840</v>
      </c>
      <c r="N114" s="24">
        <v>840</v>
      </c>
      <c r="O114" s="24">
        <v>0</v>
      </c>
      <c r="P114" s="24" t="s">
        <v>207</v>
      </c>
      <c r="Q114" s="24" t="s">
        <v>207</v>
      </c>
      <c r="R114" s="24"/>
      <c r="S114" s="24"/>
      <c r="T114" s="24" t="s">
        <v>240</v>
      </c>
      <c r="U114" s="24">
        <v>1</v>
      </c>
      <c r="V114" s="24"/>
      <c r="W114" s="24">
        <v>9</v>
      </c>
      <c r="X114" s="24">
        <v>16137.58</v>
      </c>
      <c r="Y114" s="24">
        <v>9</v>
      </c>
      <c r="Z114" s="24">
        <v>16137.58</v>
      </c>
      <c r="AA114" s="24">
        <v>0</v>
      </c>
      <c r="AB114" s="24">
        <v>0</v>
      </c>
      <c r="AC114" s="24">
        <v>39232999</v>
      </c>
      <c r="AD114" s="24" t="s">
        <v>193</v>
      </c>
      <c r="AE114" s="27">
        <v>46221</v>
      </c>
      <c r="AF114" s="24">
        <v>0</v>
      </c>
      <c r="AG114" s="24">
        <v>0</v>
      </c>
      <c r="AH114" s="24"/>
      <c r="AI114" s="24">
        <v>0</v>
      </c>
      <c r="AJ114" s="24"/>
      <c r="AK114" s="24"/>
      <c r="AL114" s="24"/>
      <c r="AM114" s="24">
        <v>0</v>
      </c>
      <c r="AN114" s="24">
        <v>0</v>
      </c>
      <c r="AO114" s="24">
        <v>0</v>
      </c>
      <c r="AP114" s="24">
        <v>0</v>
      </c>
      <c r="AQ114" s="24">
        <v>0</v>
      </c>
      <c r="AR114" s="24">
        <v>0</v>
      </c>
      <c r="AS114" s="24">
        <v>0</v>
      </c>
      <c r="AT114" s="24">
        <v>0</v>
      </c>
      <c r="AU114" s="24"/>
      <c r="AV114" s="24" t="s">
        <v>264</v>
      </c>
      <c r="AW114" s="24" t="s">
        <v>209</v>
      </c>
      <c r="AX114" s="24" t="s">
        <v>190</v>
      </c>
      <c r="AY114" s="24" t="s">
        <v>191</v>
      </c>
      <c r="AZ114" s="24" t="s">
        <v>192</v>
      </c>
      <c r="BA114" s="24" t="s">
        <v>152</v>
      </c>
      <c r="BB114" s="24" t="s">
        <v>152</v>
      </c>
    </row>
    <row r="115" spans="1:54" x14ac:dyDescent="0.25">
      <c r="A115" s="26"/>
      <c r="B115" s="24" t="s">
        <v>167</v>
      </c>
      <c r="C115" s="26">
        <v>375</v>
      </c>
      <c r="D115" s="27">
        <v>46221</v>
      </c>
      <c r="E115" s="24" t="s">
        <v>234</v>
      </c>
      <c r="F115" s="24" t="s">
        <v>612</v>
      </c>
      <c r="G115" s="24" t="s">
        <v>239</v>
      </c>
      <c r="H115" s="24" t="s">
        <v>442</v>
      </c>
      <c r="I115" s="24">
        <v>194.46</v>
      </c>
      <c r="J115" s="24">
        <v>4973</v>
      </c>
      <c r="K115" s="24" t="s">
        <v>168</v>
      </c>
      <c r="L115" s="25">
        <v>967049.58</v>
      </c>
      <c r="M115" s="25">
        <v>4973</v>
      </c>
      <c r="N115" s="24">
        <v>4973</v>
      </c>
      <c r="O115" s="24">
        <v>0</v>
      </c>
      <c r="P115" s="24" t="s">
        <v>207</v>
      </c>
      <c r="Q115" s="24" t="s">
        <v>207</v>
      </c>
      <c r="R115" s="24"/>
      <c r="S115" s="24"/>
      <c r="T115" s="24" t="s">
        <v>240</v>
      </c>
      <c r="U115" s="24">
        <v>1</v>
      </c>
      <c r="V115" s="24"/>
      <c r="W115" s="24">
        <v>9</v>
      </c>
      <c r="X115" s="24">
        <v>87034.46</v>
      </c>
      <c r="Y115" s="24">
        <v>9</v>
      </c>
      <c r="Z115" s="24">
        <v>87034.46</v>
      </c>
      <c r="AA115" s="24">
        <v>0</v>
      </c>
      <c r="AB115" s="24">
        <v>0</v>
      </c>
      <c r="AC115" s="24">
        <v>39232999</v>
      </c>
      <c r="AD115" s="24" t="s">
        <v>193</v>
      </c>
      <c r="AE115" s="27">
        <v>46221</v>
      </c>
      <c r="AF115" s="24">
        <v>0</v>
      </c>
      <c r="AG115" s="24">
        <v>0</v>
      </c>
      <c r="AH115" s="24"/>
      <c r="AI115" s="24">
        <v>0</v>
      </c>
      <c r="AJ115" s="24"/>
      <c r="AK115" s="24"/>
      <c r="AL115" s="24"/>
      <c r="AM115" s="24">
        <v>0</v>
      </c>
      <c r="AN115" s="24">
        <v>0</v>
      </c>
      <c r="AO115" s="24">
        <v>0</v>
      </c>
      <c r="AP115" s="24">
        <v>0</v>
      </c>
      <c r="AQ115" s="24">
        <v>0</v>
      </c>
      <c r="AR115" s="24">
        <v>0</v>
      </c>
      <c r="AS115" s="24">
        <v>0</v>
      </c>
      <c r="AT115" s="24">
        <v>0</v>
      </c>
      <c r="AU115" s="24"/>
      <c r="AV115" s="24" t="s">
        <v>264</v>
      </c>
      <c r="AW115" s="24" t="s">
        <v>209</v>
      </c>
      <c r="AX115" s="24" t="s">
        <v>190</v>
      </c>
      <c r="AY115" s="24" t="s">
        <v>191</v>
      </c>
      <c r="AZ115" s="24" t="s">
        <v>192</v>
      </c>
      <c r="BA115" s="24" t="s">
        <v>152</v>
      </c>
      <c r="BB115" s="24" t="s">
        <v>152</v>
      </c>
    </row>
    <row r="116" spans="1:54" x14ac:dyDescent="0.25">
      <c r="A116" s="26"/>
      <c r="B116" s="24" t="s">
        <v>167</v>
      </c>
      <c r="C116" s="26">
        <v>375</v>
      </c>
      <c r="D116" s="27">
        <v>46221</v>
      </c>
      <c r="E116" s="24" t="s">
        <v>234</v>
      </c>
      <c r="F116" s="24" t="s">
        <v>612</v>
      </c>
      <c r="G116" s="24" t="s">
        <v>613</v>
      </c>
      <c r="H116" s="24" t="s">
        <v>445</v>
      </c>
      <c r="I116" s="24">
        <v>229.84</v>
      </c>
      <c r="J116" s="24">
        <v>416.8</v>
      </c>
      <c r="K116" s="24" t="s">
        <v>168</v>
      </c>
      <c r="L116" s="25">
        <v>95797.31</v>
      </c>
      <c r="M116" s="25">
        <v>416.8</v>
      </c>
      <c r="N116" s="24">
        <v>416.8</v>
      </c>
      <c r="O116" s="24">
        <v>0</v>
      </c>
      <c r="P116" s="24" t="s">
        <v>207</v>
      </c>
      <c r="Q116" s="24" t="s">
        <v>207</v>
      </c>
      <c r="R116" s="24"/>
      <c r="S116" s="24"/>
      <c r="T116" s="24" t="s">
        <v>240</v>
      </c>
      <c r="U116" s="24">
        <v>1</v>
      </c>
      <c r="V116" s="24"/>
      <c r="W116" s="24">
        <v>9</v>
      </c>
      <c r="X116" s="24">
        <v>8621.76</v>
      </c>
      <c r="Y116" s="24">
        <v>9</v>
      </c>
      <c r="Z116" s="24">
        <v>8621.76</v>
      </c>
      <c r="AA116" s="24">
        <v>0</v>
      </c>
      <c r="AB116" s="24">
        <v>0</v>
      </c>
      <c r="AC116" s="24">
        <v>39232999</v>
      </c>
      <c r="AD116" s="24" t="s">
        <v>193</v>
      </c>
      <c r="AE116" s="27">
        <v>46221</v>
      </c>
      <c r="AF116" s="24">
        <v>0</v>
      </c>
      <c r="AG116" s="24">
        <v>0</v>
      </c>
      <c r="AH116" s="24"/>
      <c r="AI116" s="24">
        <v>0</v>
      </c>
      <c r="AJ116" s="24"/>
      <c r="AK116" s="24"/>
      <c r="AL116" s="24"/>
      <c r="AM116" s="24">
        <v>0</v>
      </c>
      <c r="AN116" s="24">
        <v>0</v>
      </c>
      <c r="AO116" s="24">
        <v>0</v>
      </c>
      <c r="AP116" s="24">
        <v>0</v>
      </c>
      <c r="AQ116" s="24">
        <v>0</v>
      </c>
      <c r="AR116" s="24">
        <v>0</v>
      </c>
      <c r="AS116" s="24">
        <v>0</v>
      </c>
      <c r="AT116" s="24">
        <v>0</v>
      </c>
      <c r="AU116" s="24"/>
      <c r="AV116" s="24" t="s">
        <v>264</v>
      </c>
      <c r="AW116" s="24" t="s">
        <v>209</v>
      </c>
      <c r="AX116" s="24" t="s">
        <v>614</v>
      </c>
      <c r="AY116" s="24" t="s">
        <v>445</v>
      </c>
      <c r="AZ116" s="24" t="s">
        <v>192</v>
      </c>
      <c r="BA116" s="24" t="s">
        <v>443</v>
      </c>
      <c r="BB116" s="24" t="s">
        <v>444</v>
      </c>
    </row>
    <row r="117" spans="1:54" x14ac:dyDescent="0.25">
      <c r="A117" s="26"/>
      <c r="B117" s="24" t="s">
        <v>167</v>
      </c>
      <c r="C117" s="26" t="s">
        <v>450</v>
      </c>
      <c r="D117" s="27">
        <v>46221</v>
      </c>
      <c r="E117" s="24" t="s">
        <v>261</v>
      </c>
      <c r="F117" s="24" t="s">
        <v>615</v>
      </c>
      <c r="G117" s="24" t="s">
        <v>277</v>
      </c>
      <c r="H117" s="24" t="s">
        <v>200</v>
      </c>
      <c r="I117" s="24">
        <v>350</v>
      </c>
      <c r="J117" s="24">
        <v>10.7</v>
      </c>
      <c r="K117" s="24" t="s">
        <v>168</v>
      </c>
      <c r="L117" s="25">
        <v>3745</v>
      </c>
      <c r="M117" s="25">
        <v>10.7</v>
      </c>
      <c r="N117" s="24">
        <v>10.7</v>
      </c>
      <c r="O117" s="24">
        <v>3745</v>
      </c>
      <c r="P117" s="24" t="s">
        <v>248</v>
      </c>
      <c r="Q117" s="24" t="s">
        <v>248</v>
      </c>
      <c r="R117" s="24"/>
      <c r="S117" s="24"/>
      <c r="T117" s="24" t="s">
        <v>240</v>
      </c>
      <c r="U117" s="24">
        <v>1</v>
      </c>
      <c r="V117" s="24" t="s">
        <v>251</v>
      </c>
      <c r="W117" s="24">
        <v>0</v>
      </c>
      <c r="X117" s="24">
        <v>0</v>
      </c>
      <c r="Y117" s="24">
        <v>0</v>
      </c>
      <c r="Z117" s="24">
        <v>0</v>
      </c>
      <c r="AA117" s="24">
        <v>18</v>
      </c>
      <c r="AB117" s="24">
        <v>674.1</v>
      </c>
      <c r="AC117" s="24">
        <v>39201019</v>
      </c>
      <c r="AD117" s="24" t="s">
        <v>193</v>
      </c>
      <c r="AE117" s="27">
        <v>46221</v>
      </c>
      <c r="AF117" s="24">
        <v>0</v>
      </c>
      <c r="AG117" s="24">
        <v>0</v>
      </c>
      <c r="AH117" s="24"/>
      <c r="AI117" s="24">
        <v>0</v>
      </c>
      <c r="AJ117" s="24"/>
      <c r="AK117" s="24"/>
      <c r="AL117" s="24"/>
      <c r="AM117" s="24">
        <v>0</v>
      </c>
      <c r="AN117" s="24">
        <v>0</v>
      </c>
      <c r="AO117" s="24">
        <v>0</v>
      </c>
      <c r="AP117" s="24">
        <v>0</v>
      </c>
      <c r="AQ117" s="24">
        <v>0</v>
      </c>
      <c r="AR117" s="24">
        <v>0</v>
      </c>
      <c r="AS117" s="24">
        <v>0</v>
      </c>
      <c r="AT117" s="24">
        <v>0</v>
      </c>
      <c r="AU117" s="24"/>
      <c r="AV117" s="24" t="s">
        <v>255</v>
      </c>
      <c r="AW117" s="24" t="s">
        <v>209</v>
      </c>
      <c r="AX117" s="24" t="s">
        <v>199</v>
      </c>
      <c r="AY117" s="24" t="s">
        <v>200</v>
      </c>
      <c r="AZ117" s="24" t="s">
        <v>169</v>
      </c>
      <c r="BA117" s="24" t="s">
        <v>201</v>
      </c>
      <c r="BB117" s="24" t="s">
        <v>158</v>
      </c>
    </row>
    <row r="118" spans="1:54" x14ac:dyDescent="0.25">
      <c r="A118" s="26"/>
      <c r="B118" s="24" t="s">
        <v>167</v>
      </c>
      <c r="C118" s="26">
        <v>376</v>
      </c>
      <c r="D118" s="27">
        <v>46222</v>
      </c>
      <c r="E118" s="24" t="s">
        <v>219</v>
      </c>
      <c r="F118" s="24" t="s">
        <v>263</v>
      </c>
      <c r="G118" s="24" t="s">
        <v>277</v>
      </c>
      <c r="H118" s="24" t="s">
        <v>455</v>
      </c>
      <c r="I118" s="24">
        <v>225</v>
      </c>
      <c r="J118" s="24">
        <v>2.1</v>
      </c>
      <c r="K118" s="24" t="s">
        <v>168</v>
      </c>
      <c r="L118" s="25">
        <v>472.5</v>
      </c>
      <c r="M118" s="25">
        <v>2.1</v>
      </c>
      <c r="N118" s="24">
        <v>2.1</v>
      </c>
      <c r="O118" s="24">
        <v>557.54</v>
      </c>
      <c r="P118" s="24" t="s">
        <v>248</v>
      </c>
      <c r="Q118" s="24" t="s">
        <v>248</v>
      </c>
      <c r="R118" s="24"/>
      <c r="S118" s="24"/>
      <c r="T118" s="24" t="s">
        <v>240</v>
      </c>
      <c r="U118" s="24">
        <v>1</v>
      </c>
      <c r="V118" s="24"/>
      <c r="W118" s="24">
        <v>9</v>
      </c>
      <c r="X118" s="24">
        <v>42.52</v>
      </c>
      <c r="Y118" s="24">
        <v>9</v>
      </c>
      <c r="Z118" s="24">
        <v>42.52</v>
      </c>
      <c r="AA118" s="24">
        <v>0</v>
      </c>
      <c r="AB118" s="24">
        <v>0</v>
      </c>
      <c r="AC118" s="24">
        <v>39201019</v>
      </c>
      <c r="AD118" s="24" t="s">
        <v>256</v>
      </c>
      <c r="AE118" s="27">
        <v>46222</v>
      </c>
      <c r="AF118" s="24">
        <v>0</v>
      </c>
      <c r="AG118" s="24">
        <v>0</v>
      </c>
      <c r="AH118" s="24"/>
      <c r="AI118" s="24">
        <v>0</v>
      </c>
      <c r="AJ118" s="24"/>
      <c r="AK118" s="24"/>
      <c r="AL118" s="24"/>
      <c r="AM118" s="24">
        <v>0</v>
      </c>
      <c r="AN118" s="24">
        <v>0</v>
      </c>
      <c r="AO118" s="24">
        <v>0</v>
      </c>
      <c r="AP118" s="24">
        <v>0</v>
      </c>
      <c r="AQ118" s="24">
        <v>0</v>
      </c>
      <c r="AR118" s="24">
        <v>0</v>
      </c>
      <c r="AS118" s="24">
        <v>0</v>
      </c>
      <c r="AT118" s="24">
        <v>0</v>
      </c>
      <c r="AU118" s="24"/>
      <c r="AV118" s="24" t="s">
        <v>247</v>
      </c>
      <c r="AW118" s="24" t="s">
        <v>209</v>
      </c>
      <c r="AX118" s="24" t="s">
        <v>199</v>
      </c>
      <c r="AY118" s="24" t="s">
        <v>200</v>
      </c>
      <c r="AZ118" s="24" t="s">
        <v>169</v>
      </c>
      <c r="BA118" s="24" t="s">
        <v>201</v>
      </c>
      <c r="BB118" s="24" t="s">
        <v>158</v>
      </c>
    </row>
    <row r="119" spans="1:54" x14ac:dyDescent="0.25">
      <c r="A119" s="26"/>
      <c r="B119" s="24" t="s">
        <v>167</v>
      </c>
      <c r="C119" s="26">
        <v>377</v>
      </c>
      <c r="D119" s="27">
        <v>46222</v>
      </c>
      <c r="E119" s="24" t="s">
        <v>219</v>
      </c>
      <c r="F119" s="24" t="s">
        <v>265</v>
      </c>
      <c r="G119" s="24" t="s">
        <v>242</v>
      </c>
      <c r="H119" s="24" t="s">
        <v>286</v>
      </c>
      <c r="I119" s="24">
        <v>154.74</v>
      </c>
      <c r="J119" s="24">
        <v>1951.5</v>
      </c>
      <c r="K119" s="24" t="s">
        <v>168</v>
      </c>
      <c r="L119" s="25">
        <v>301975.11</v>
      </c>
      <c r="M119" s="25">
        <v>1951.5</v>
      </c>
      <c r="N119" s="24">
        <v>1951.5</v>
      </c>
      <c r="O119" s="24">
        <v>356330.63</v>
      </c>
      <c r="P119" s="24" t="s">
        <v>243</v>
      </c>
      <c r="Q119" s="24" t="s">
        <v>243</v>
      </c>
      <c r="R119" s="24"/>
      <c r="S119" s="24"/>
      <c r="T119" s="24" t="s">
        <v>240</v>
      </c>
      <c r="U119" s="24">
        <v>1</v>
      </c>
      <c r="V119" s="24"/>
      <c r="W119" s="24">
        <v>9</v>
      </c>
      <c r="X119" s="24">
        <v>27177.759999999998</v>
      </c>
      <c r="Y119" s="24">
        <v>9</v>
      </c>
      <c r="Z119" s="24">
        <v>27177.759999999998</v>
      </c>
      <c r="AA119" s="24">
        <v>0</v>
      </c>
      <c r="AB119" s="24">
        <v>0</v>
      </c>
      <c r="AC119" s="24">
        <v>39269080</v>
      </c>
      <c r="AD119" s="24" t="s">
        <v>256</v>
      </c>
      <c r="AE119" s="27">
        <v>46222</v>
      </c>
      <c r="AF119" s="24">
        <v>0</v>
      </c>
      <c r="AG119" s="24">
        <v>0</v>
      </c>
      <c r="AH119" s="24"/>
      <c r="AI119" s="24">
        <v>0</v>
      </c>
      <c r="AJ119" s="24"/>
      <c r="AK119" s="24"/>
      <c r="AL119" s="24"/>
      <c r="AM119" s="24">
        <v>0</v>
      </c>
      <c r="AN119" s="24">
        <v>0</v>
      </c>
      <c r="AO119" s="24">
        <v>0</v>
      </c>
      <c r="AP119" s="24">
        <v>0</v>
      </c>
      <c r="AQ119" s="24">
        <v>0</v>
      </c>
      <c r="AR119" s="24">
        <v>0</v>
      </c>
      <c r="AS119" s="24">
        <v>0</v>
      </c>
      <c r="AT119" s="24">
        <v>0</v>
      </c>
      <c r="AU119" s="24"/>
      <c r="AV119" s="24" t="s">
        <v>247</v>
      </c>
      <c r="AW119" s="24" t="s">
        <v>209</v>
      </c>
      <c r="AX119" s="24" t="s">
        <v>186</v>
      </c>
      <c r="AY119" s="24" t="s">
        <v>187</v>
      </c>
      <c r="AZ119" s="24" t="s">
        <v>169</v>
      </c>
      <c r="BA119" s="24" t="s">
        <v>180</v>
      </c>
      <c r="BB119" s="24" t="s">
        <v>155</v>
      </c>
    </row>
    <row r="120" spans="1:54" x14ac:dyDescent="0.25">
      <c r="A120" s="26"/>
      <c r="B120" s="24" t="s">
        <v>167</v>
      </c>
      <c r="C120" s="26">
        <v>379</v>
      </c>
      <c r="D120" s="27">
        <v>46223</v>
      </c>
      <c r="E120" s="24" t="s">
        <v>234</v>
      </c>
      <c r="F120" s="24" t="s">
        <v>616</v>
      </c>
      <c r="G120" s="24" t="s">
        <v>239</v>
      </c>
      <c r="H120" s="24" t="s">
        <v>459</v>
      </c>
      <c r="I120" s="24">
        <v>250.84</v>
      </c>
      <c r="J120" s="24">
        <v>2883</v>
      </c>
      <c r="K120" s="24" t="s">
        <v>168</v>
      </c>
      <c r="L120" s="25">
        <v>723171.72</v>
      </c>
      <c r="M120" s="25">
        <v>2883</v>
      </c>
      <c r="N120" s="24">
        <v>2883</v>
      </c>
      <c r="O120" s="24">
        <v>5127953.67</v>
      </c>
      <c r="P120" s="24" t="s">
        <v>207</v>
      </c>
      <c r="Q120" s="24" t="s">
        <v>207</v>
      </c>
      <c r="R120" s="24"/>
      <c r="S120" s="24"/>
      <c r="T120" s="24" t="s">
        <v>240</v>
      </c>
      <c r="U120" s="24">
        <v>1</v>
      </c>
      <c r="V120" s="24"/>
      <c r="W120" s="24">
        <v>9</v>
      </c>
      <c r="X120" s="24">
        <v>65085.45</v>
      </c>
      <c r="Y120" s="24">
        <v>9</v>
      </c>
      <c r="Z120" s="24">
        <v>65085.45</v>
      </c>
      <c r="AA120" s="24">
        <v>0</v>
      </c>
      <c r="AB120" s="24">
        <v>0</v>
      </c>
      <c r="AC120" s="24">
        <v>39232999</v>
      </c>
      <c r="AD120" s="24" t="s">
        <v>193</v>
      </c>
      <c r="AE120" s="27">
        <v>46223</v>
      </c>
      <c r="AF120" s="24">
        <v>0</v>
      </c>
      <c r="AG120" s="24">
        <v>0</v>
      </c>
      <c r="AH120" s="24"/>
      <c r="AI120" s="24">
        <v>0</v>
      </c>
      <c r="AJ120" s="24"/>
      <c r="AK120" s="24"/>
      <c r="AL120" s="24"/>
      <c r="AM120" s="24">
        <v>0</v>
      </c>
      <c r="AN120" s="24">
        <v>0</v>
      </c>
      <c r="AO120" s="24">
        <v>0</v>
      </c>
      <c r="AP120" s="24">
        <v>0</v>
      </c>
      <c r="AQ120" s="24">
        <v>0</v>
      </c>
      <c r="AR120" s="24">
        <v>0</v>
      </c>
      <c r="AS120" s="24">
        <v>0</v>
      </c>
      <c r="AT120" s="24">
        <v>0</v>
      </c>
      <c r="AU120" s="24"/>
      <c r="AV120" s="24" t="s">
        <v>264</v>
      </c>
      <c r="AW120" s="24" t="s">
        <v>209</v>
      </c>
      <c r="AX120" s="24" t="s">
        <v>194</v>
      </c>
      <c r="AY120" s="24" t="s">
        <v>195</v>
      </c>
      <c r="AZ120" s="24" t="s">
        <v>192</v>
      </c>
      <c r="BA120" s="24" t="s">
        <v>152</v>
      </c>
      <c r="BB120" s="24" t="s">
        <v>152</v>
      </c>
    </row>
    <row r="121" spans="1:54" x14ac:dyDescent="0.25">
      <c r="A121" s="26"/>
      <c r="B121" s="24" t="s">
        <v>167</v>
      </c>
      <c r="C121" s="26">
        <v>379</v>
      </c>
      <c r="D121" s="27">
        <v>46223</v>
      </c>
      <c r="E121" s="24" t="s">
        <v>234</v>
      </c>
      <c r="F121" s="24" t="s">
        <v>616</v>
      </c>
      <c r="G121" s="24" t="s">
        <v>239</v>
      </c>
      <c r="H121" s="24" t="s">
        <v>460</v>
      </c>
      <c r="I121" s="24">
        <v>198.08</v>
      </c>
      <c r="J121" s="24">
        <v>1775</v>
      </c>
      <c r="K121" s="24" t="s">
        <v>168</v>
      </c>
      <c r="L121" s="25">
        <v>351592</v>
      </c>
      <c r="M121" s="25">
        <v>1775</v>
      </c>
      <c r="N121" s="24">
        <v>1775</v>
      </c>
      <c r="O121" s="24">
        <v>0</v>
      </c>
      <c r="P121" s="24" t="s">
        <v>207</v>
      </c>
      <c r="Q121" s="24" t="s">
        <v>207</v>
      </c>
      <c r="R121" s="24"/>
      <c r="S121" s="24"/>
      <c r="T121" s="24" t="s">
        <v>240</v>
      </c>
      <c r="U121" s="24">
        <v>1</v>
      </c>
      <c r="V121" s="24"/>
      <c r="W121" s="24">
        <v>9</v>
      </c>
      <c r="X121" s="24">
        <v>31643.279999999999</v>
      </c>
      <c r="Y121" s="24">
        <v>9</v>
      </c>
      <c r="Z121" s="24">
        <v>31643.279999999999</v>
      </c>
      <c r="AA121" s="24">
        <v>0</v>
      </c>
      <c r="AB121" s="24">
        <v>0</v>
      </c>
      <c r="AC121" s="24">
        <v>39232999</v>
      </c>
      <c r="AD121" s="24" t="s">
        <v>193</v>
      </c>
      <c r="AE121" s="27">
        <v>46223</v>
      </c>
      <c r="AF121" s="24">
        <v>0</v>
      </c>
      <c r="AG121" s="24">
        <v>0</v>
      </c>
      <c r="AH121" s="24"/>
      <c r="AI121" s="24">
        <v>0</v>
      </c>
      <c r="AJ121" s="24"/>
      <c r="AK121" s="24"/>
      <c r="AL121" s="24"/>
      <c r="AM121" s="24">
        <v>0</v>
      </c>
      <c r="AN121" s="24">
        <v>0</v>
      </c>
      <c r="AO121" s="24">
        <v>0</v>
      </c>
      <c r="AP121" s="24">
        <v>0</v>
      </c>
      <c r="AQ121" s="24">
        <v>0</v>
      </c>
      <c r="AR121" s="24">
        <v>0</v>
      </c>
      <c r="AS121" s="24">
        <v>0</v>
      </c>
      <c r="AT121" s="24">
        <v>0</v>
      </c>
      <c r="AU121" s="24"/>
      <c r="AV121" s="24" t="s">
        <v>264</v>
      </c>
      <c r="AW121" s="24" t="s">
        <v>209</v>
      </c>
      <c r="AX121" s="24" t="s">
        <v>190</v>
      </c>
      <c r="AY121" s="24" t="s">
        <v>191</v>
      </c>
      <c r="AZ121" s="24" t="s">
        <v>192</v>
      </c>
      <c r="BA121" s="24" t="s">
        <v>152</v>
      </c>
      <c r="BB121" s="24" t="s">
        <v>152</v>
      </c>
    </row>
    <row r="122" spans="1:54" x14ac:dyDescent="0.25">
      <c r="A122" s="26"/>
      <c r="B122" s="24" t="s">
        <v>167</v>
      </c>
      <c r="C122" s="26">
        <v>379</v>
      </c>
      <c r="D122" s="27">
        <v>46223</v>
      </c>
      <c r="E122" s="24" t="s">
        <v>234</v>
      </c>
      <c r="F122" s="24" t="s">
        <v>616</v>
      </c>
      <c r="G122" s="24" t="s">
        <v>239</v>
      </c>
      <c r="H122" s="24" t="s">
        <v>461</v>
      </c>
      <c r="I122" s="24">
        <v>235.52</v>
      </c>
      <c r="J122" s="24">
        <v>2018</v>
      </c>
      <c r="K122" s="24" t="s">
        <v>168</v>
      </c>
      <c r="L122" s="25">
        <v>475279.35999999999</v>
      </c>
      <c r="M122" s="25">
        <v>2018</v>
      </c>
      <c r="N122" s="24">
        <v>2018</v>
      </c>
      <c r="O122" s="24">
        <v>0</v>
      </c>
      <c r="P122" s="24" t="s">
        <v>207</v>
      </c>
      <c r="Q122" s="24" t="s">
        <v>207</v>
      </c>
      <c r="R122" s="24"/>
      <c r="S122" s="24"/>
      <c r="T122" s="24" t="s">
        <v>240</v>
      </c>
      <c r="U122" s="24">
        <v>1</v>
      </c>
      <c r="V122" s="24"/>
      <c r="W122" s="24">
        <v>9</v>
      </c>
      <c r="X122" s="24">
        <v>42775.14</v>
      </c>
      <c r="Y122" s="24">
        <v>9</v>
      </c>
      <c r="Z122" s="24">
        <v>42775.14</v>
      </c>
      <c r="AA122" s="24">
        <v>0</v>
      </c>
      <c r="AB122" s="24">
        <v>0</v>
      </c>
      <c r="AC122" s="24">
        <v>39232999</v>
      </c>
      <c r="AD122" s="24" t="s">
        <v>193</v>
      </c>
      <c r="AE122" s="27">
        <v>46223</v>
      </c>
      <c r="AF122" s="24">
        <v>0</v>
      </c>
      <c r="AG122" s="24">
        <v>0</v>
      </c>
      <c r="AH122" s="24"/>
      <c r="AI122" s="24">
        <v>0</v>
      </c>
      <c r="AJ122" s="24"/>
      <c r="AK122" s="24"/>
      <c r="AL122" s="24"/>
      <c r="AM122" s="24">
        <v>0</v>
      </c>
      <c r="AN122" s="24">
        <v>0</v>
      </c>
      <c r="AO122" s="24">
        <v>0</v>
      </c>
      <c r="AP122" s="24">
        <v>0</v>
      </c>
      <c r="AQ122" s="24">
        <v>0</v>
      </c>
      <c r="AR122" s="24">
        <v>0</v>
      </c>
      <c r="AS122" s="24">
        <v>0</v>
      </c>
      <c r="AT122" s="24">
        <v>0</v>
      </c>
      <c r="AU122" s="24"/>
      <c r="AV122" s="24" t="s">
        <v>264</v>
      </c>
      <c r="AW122" s="24" t="s">
        <v>209</v>
      </c>
      <c r="AX122" s="24" t="s">
        <v>190</v>
      </c>
      <c r="AY122" s="24" t="s">
        <v>191</v>
      </c>
      <c r="AZ122" s="24" t="s">
        <v>192</v>
      </c>
      <c r="BA122" s="24" t="s">
        <v>152</v>
      </c>
      <c r="BB122" s="24" t="s">
        <v>152</v>
      </c>
    </row>
    <row r="123" spans="1:54" x14ac:dyDescent="0.25">
      <c r="A123" s="26"/>
      <c r="B123" s="24" t="s">
        <v>167</v>
      </c>
      <c r="C123" s="26">
        <v>379</v>
      </c>
      <c r="D123" s="27">
        <v>46223</v>
      </c>
      <c r="E123" s="24" t="s">
        <v>234</v>
      </c>
      <c r="F123" s="24" t="s">
        <v>616</v>
      </c>
      <c r="G123" s="24" t="s">
        <v>239</v>
      </c>
      <c r="H123" s="24" t="s">
        <v>462</v>
      </c>
      <c r="I123" s="24">
        <v>218.4</v>
      </c>
      <c r="J123" s="24">
        <v>7277</v>
      </c>
      <c r="K123" s="24" t="s">
        <v>168</v>
      </c>
      <c r="L123" s="25">
        <v>1589296.8</v>
      </c>
      <c r="M123" s="25">
        <v>7277</v>
      </c>
      <c r="N123" s="24">
        <v>7277</v>
      </c>
      <c r="O123" s="24">
        <v>0</v>
      </c>
      <c r="P123" s="24" t="s">
        <v>207</v>
      </c>
      <c r="Q123" s="24" t="s">
        <v>207</v>
      </c>
      <c r="R123" s="24"/>
      <c r="S123" s="24"/>
      <c r="T123" s="24" t="s">
        <v>240</v>
      </c>
      <c r="U123" s="24">
        <v>1</v>
      </c>
      <c r="V123" s="24"/>
      <c r="W123" s="24">
        <v>9</v>
      </c>
      <c r="X123" s="24">
        <v>143036.71</v>
      </c>
      <c r="Y123" s="24">
        <v>9</v>
      </c>
      <c r="Z123" s="24">
        <v>143036.71</v>
      </c>
      <c r="AA123" s="24">
        <v>0</v>
      </c>
      <c r="AB123" s="24">
        <v>0</v>
      </c>
      <c r="AC123" s="24">
        <v>39232999</v>
      </c>
      <c r="AD123" s="24" t="s">
        <v>193</v>
      </c>
      <c r="AE123" s="27">
        <v>46223</v>
      </c>
      <c r="AF123" s="24">
        <v>0</v>
      </c>
      <c r="AG123" s="24">
        <v>0</v>
      </c>
      <c r="AH123" s="24"/>
      <c r="AI123" s="24">
        <v>0</v>
      </c>
      <c r="AJ123" s="24"/>
      <c r="AK123" s="24"/>
      <c r="AL123" s="24"/>
      <c r="AM123" s="24">
        <v>0</v>
      </c>
      <c r="AN123" s="24">
        <v>0</v>
      </c>
      <c r="AO123" s="24">
        <v>0</v>
      </c>
      <c r="AP123" s="24">
        <v>0</v>
      </c>
      <c r="AQ123" s="24">
        <v>0</v>
      </c>
      <c r="AR123" s="24">
        <v>0</v>
      </c>
      <c r="AS123" s="24">
        <v>0</v>
      </c>
      <c r="AT123" s="24">
        <v>0</v>
      </c>
      <c r="AU123" s="24"/>
      <c r="AV123" s="24" t="s">
        <v>264</v>
      </c>
      <c r="AW123" s="24" t="s">
        <v>209</v>
      </c>
      <c r="AX123" s="24" t="s">
        <v>190</v>
      </c>
      <c r="AY123" s="24" t="s">
        <v>191</v>
      </c>
      <c r="AZ123" s="24" t="s">
        <v>192</v>
      </c>
      <c r="BA123" s="24" t="s">
        <v>152</v>
      </c>
      <c r="BB123" s="24" t="s">
        <v>152</v>
      </c>
    </row>
    <row r="124" spans="1:54" x14ac:dyDescent="0.25">
      <c r="A124" s="26"/>
      <c r="B124" s="24" t="s">
        <v>167</v>
      </c>
      <c r="C124" s="26">
        <v>379</v>
      </c>
      <c r="D124" s="27">
        <v>46223</v>
      </c>
      <c r="E124" s="24" t="s">
        <v>234</v>
      </c>
      <c r="F124" s="24" t="s">
        <v>616</v>
      </c>
      <c r="G124" s="24" t="s">
        <v>239</v>
      </c>
      <c r="H124" s="24" t="s">
        <v>463</v>
      </c>
      <c r="I124" s="24">
        <v>219.31</v>
      </c>
      <c r="J124" s="24">
        <v>1607</v>
      </c>
      <c r="K124" s="24" t="s">
        <v>168</v>
      </c>
      <c r="L124" s="25">
        <v>352431.17</v>
      </c>
      <c r="M124" s="25">
        <v>1607</v>
      </c>
      <c r="N124" s="24">
        <v>1607</v>
      </c>
      <c r="O124" s="24">
        <v>0</v>
      </c>
      <c r="P124" s="24" t="s">
        <v>207</v>
      </c>
      <c r="Q124" s="24" t="s">
        <v>207</v>
      </c>
      <c r="R124" s="24"/>
      <c r="S124" s="24"/>
      <c r="T124" s="24" t="s">
        <v>240</v>
      </c>
      <c r="U124" s="24">
        <v>1</v>
      </c>
      <c r="V124" s="24"/>
      <c r="W124" s="24">
        <v>9</v>
      </c>
      <c r="X124" s="24">
        <v>31718.81</v>
      </c>
      <c r="Y124" s="24">
        <v>9</v>
      </c>
      <c r="Z124" s="24">
        <v>31718.81</v>
      </c>
      <c r="AA124" s="24">
        <v>0</v>
      </c>
      <c r="AB124" s="24">
        <v>0</v>
      </c>
      <c r="AC124" s="24">
        <v>39232999</v>
      </c>
      <c r="AD124" s="24" t="s">
        <v>193</v>
      </c>
      <c r="AE124" s="27">
        <v>46223</v>
      </c>
      <c r="AF124" s="24">
        <v>0</v>
      </c>
      <c r="AG124" s="24">
        <v>0</v>
      </c>
      <c r="AH124" s="24"/>
      <c r="AI124" s="24">
        <v>0</v>
      </c>
      <c r="AJ124" s="24"/>
      <c r="AK124" s="24"/>
      <c r="AL124" s="24"/>
      <c r="AM124" s="24">
        <v>0</v>
      </c>
      <c r="AN124" s="24">
        <v>0</v>
      </c>
      <c r="AO124" s="24">
        <v>0</v>
      </c>
      <c r="AP124" s="24">
        <v>0</v>
      </c>
      <c r="AQ124" s="24">
        <v>0</v>
      </c>
      <c r="AR124" s="24">
        <v>0</v>
      </c>
      <c r="AS124" s="24">
        <v>0</v>
      </c>
      <c r="AT124" s="24">
        <v>0</v>
      </c>
      <c r="AU124" s="24"/>
      <c r="AV124" s="24" t="s">
        <v>264</v>
      </c>
      <c r="AW124" s="24" t="s">
        <v>209</v>
      </c>
      <c r="AX124" s="24" t="s">
        <v>190</v>
      </c>
      <c r="AY124" s="24" t="s">
        <v>191</v>
      </c>
      <c r="AZ124" s="24" t="s">
        <v>192</v>
      </c>
      <c r="BA124" s="24" t="s">
        <v>152</v>
      </c>
      <c r="BB124" s="24" t="s">
        <v>152</v>
      </c>
    </row>
    <row r="125" spans="1:54" x14ac:dyDescent="0.25">
      <c r="A125" s="26"/>
      <c r="B125" s="24" t="s">
        <v>167</v>
      </c>
      <c r="C125" s="26">
        <v>379</v>
      </c>
      <c r="D125" s="27">
        <v>46223</v>
      </c>
      <c r="E125" s="24" t="s">
        <v>234</v>
      </c>
      <c r="F125" s="24" t="s">
        <v>616</v>
      </c>
      <c r="G125" s="24" t="s">
        <v>239</v>
      </c>
      <c r="H125" s="24" t="s">
        <v>464</v>
      </c>
      <c r="I125" s="24">
        <v>197.4</v>
      </c>
      <c r="J125" s="24">
        <v>4326</v>
      </c>
      <c r="K125" s="24" t="s">
        <v>168</v>
      </c>
      <c r="L125" s="25">
        <v>853952.4</v>
      </c>
      <c r="M125" s="25">
        <v>4326</v>
      </c>
      <c r="N125" s="24">
        <v>4326</v>
      </c>
      <c r="O125" s="24">
        <v>0</v>
      </c>
      <c r="P125" s="24" t="s">
        <v>207</v>
      </c>
      <c r="Q125" s="24" t="s">
        <v>207</v>
      </c>
      <c r="R125" s="24"/>
      <c r="S125" s="24"/>
      <c r="T125" s="24" t="s">
        <v>240</v>
      </c>
      <c r="U125" s="24">
        <v>1</v>
      </c>
      <c r="V125" s="24"/>
      <c r="W125" s="24">
        <v>9</v>
      </c>
      <c r="X125" s="24">
        <v>76855.72</v>
      </c>
      <c r="Y125" s="24">
        <v>9</v>
      </c>
      <c r="Z125" s="24">
        <v>76855.72</v>
      </c>
      <c r="AA125" s="24">
        <v>0</v>
      </c>
      <c r="AB125" s="24">
        <v>0</v>
      </c>
      <c r="AC125" s="24">
        <v>39232999</v>
      </c>
      <c r="AD125" s="24" t="s">
        <v>193</v>
      </c>
      <c r="AE125" s="27">
        <v>46223</v>
      </c>
      <c r="AF125" s="24">
        <v>0</v>
      </c>
      <c r="AG125" s="24">
        <v>0</v>
      </c>
      <c r="AH125" s="24"/>
      <c r="AI125" s="24">
        <v>0</v>
      </c>
      <c r="AJ125" s="24"/>
      <c r="AK125" s="24"/>
      <c r="AL125" s="24"/>
      <c r="AM125" s="24">
        <v>0</v>
      </c>
      <c r="AN125" s="24">
        <v>0</v>
      </c>
      <c r="AO125" s="24">
        <v>0</v>
      </c>
      <c r="AP125" s="24">
        <v>0</v>
      </c>
      <c r="AQ125" s="24">
        <v>0</v>
      </c>
      <c r="AR125" s="24">
        <v>0</v>
      </c>
      <c r="AS125" s="24">
        <v>0</v>
      </c>
      <c r="AT125" s="24">
        <v>0</v>
      </c>
      <c r="AU125" s="24"/>
      <c r="AV125" s="24" t="s">
        <v>264</v>
      </c>
      <c r="AW125" s="24" t="s">
        <v>209</v>
      </c>
      <c r="AX125" s="24" t="s">
        <v>190</v>
      </c>
      <c r="AY125" s="24" t="s">
        <v>191</v>
      </c>
      <c r="AZ125" s="24" t="s">
        <v>192</v>
      </c>
      <c r="BA125" s="24" t="s">
        <v>152</v>
      </c>
      <c r="BB125" s="24" t="s">
        <v>152</v>
      </c>
    </row>
    <row r="126" spans="1:54" x14ac:dyDescent="0.25">
      <c r="A126" s="26"/>
      <c r="B126" s="24" t="s">
        <v>167</v>
      </c>
      <c r="C126" s="26">
        <v>381</v>
      </c>
      <c r="D126" s="27">
        <v>46223</v>
      </c>
      <c r="E126" s="24" t="s">
        <v>219</v>
      </c>
      <c r="F126" s="24" t="s">
        <v>263</v>
      </c>
      <c r="G126" s="24" t="s">
        <v>277</v>
      </c>
      <c r="H126" s="24" t="s">
        <v>200</v>
      </c>
      <c r="I126" s="24">
        <v>292</v>
      </c>
      <c r="J126" s="24">
        <v>9.6999999999999993</v>
      </c>
      <c r="K126" s="24" t="s">
        <v>168</v>
      </c>
      <c r="L126" s="25">
        <v>2832.4</v>
      </c>
      <c r="M126" s="25">
        <v>9.6999999999999993</v>
      </c>
      <c r="N126" s="24">
        <v>9.6999999999999993</v>
      </c>
      <c r="O126" s="24">
        <v>3342.24</v>
      </c>
      <c r="P126" s="24" t="s">
        <v>248</v>
      </c>
      <c r="Q126" s="24" t="s">
        <v>248</v>
      </c>
      <c r="R126" s="24"/>
      <c r="S126" s="24"/>
      <c r="T126" s="24" t="s">
        <v>240</v>
      </c>
      <c r="U126" s="24">
        <v>1</v>
      </c>
      <c r="V126" s="24"/>
      <c r="W126" s="24">
        <v>9</v>
      </c>
      <c r="X126" s="24">
        <v>254.92</v>
      </c>
      <c r="Y126" s="24">
        <v>9</v>
      </c>
      <c r="Z126" s="24">
        <v>254.92</v>
      </c>
      <c r="AA126" s="24">
        <v>0</v>
      </c>
      <c r="AB126" s="24">
        <v>0</v>
      </c>
      <c r="AC126" s="24">
        <v>39201019</v>
      </c>
      <c r="AD126" s="24" t="s">
        <v>193</v>
      </c>
      <c r="AE126" s="27">
        <v>46223</v>
      </c>
      <c r="AF126" s="24">
        <v>0</v>
      </c>
      <c r="AG126" s="24">
        <v>0</v>
      </c>
      <c r="AH126" s="24"/>
      <c r="AI126" s="24">
        <v>0</v>
      </c>
      <c r="AJ126" s="24"/>
      <c r="AK126" s="24"/>
      <c r="AL126" s="24"/>
      <c r="AM126" s="24">
        <v>0</v>
      </c>
      <c r="AN126" s="24">
        <v>0</v>
      </c>
      <c r="AO126" s="24">
        <v>0</v>
      </c>
      <c r="AP126" s="24">
        <v>0</v>
      </c>
      <c r="AQ126" s="24">
        <v>0</v>
      </c>
      <c r="AR126" s="24">
        <v>0</v>
      </c>
      <c r="AS126" s="24">
        <v>0</v>
      </c>
      <c r="AT126" s="24">
        <v>0</v>
      </c>
      <c r="AU126" s="24"/>
      <c r="AV126" s="24" t="s">
        <v>247</v>
      </c>
      <c r="AW126" s="24" t="s">
        <v>209</v>
      </c>
      <c r="AX126" s="24" t="s">
        <v>199</v>
      </c>
      <c r="AY126" s="24" t="s">
        <v>200</v>
      </c>
      <c r="AZ126" s="24" t="s">
        <v>169</v>
      </c>
      <c r="BA126" s="24" t="s">
        <v>201</v>
      </c>
      <c r="BB126" s="24" t="s">
        <v>158</v>
      </c>
    </row>
    <row r="127" spans="1:54" x14ac:dyDescent="0.25">
      <c r="A127" s="26"/>
      <c r="B127" s="24" t="s">
        <v>167</v>
      </c>
      <c r="C127" s="26">
        <v>382</v>
      </c>
      <c r="D127" s="27">
        <v>46224</v>
      </c>
      <c r="E127" s="24" t="s">
        <v>219</v>
      </c>
      <c r="F127" s="24" t="s">
        <v>263</v>
      </c>
      <c r="G127" s="24" t="s">
        <v>309</v>
      </c>
      <c r="H127" s="24" t="s">
        <v>470</v>
      </c>
      <c r="I127" s="24">
        <v>320</v>
      </c>
      <c r="J127" s="24">
        <v>25</v>
      </c>
      <c r="K127" s="24" t="s">
        <v>168</v>
      </c>
      <c r="L127" s="25">
        <v>8000</v>
      </c>
      <c r="M127" s="25">
        <v>25</v>
      </c>
      <c r="N127" s="24">
        <v>25</v>
      </c>
      <c r="O127" s="24">
        <v>9440</v>
      </c>
      <c r="P127" s="24" t="s">
        <v>580</v>
      </c>
      <c r="Q127" s="24" t="s">
        <v>580</v>
      </c>
      <c r="R127" s="24"/>
      <c r="S127" s="24"/>
      <c r="T127" s="24" t="s">
        <v>240</v>
      </c>
      <c r="U127" s="24">
        <v>1</v>
      </c>
      <c r="V127" s="24"/>
      <c r="W127" s="24">
        <v>9</v>
      </c>
      <c r="X127" s="24">
        <v>720</v>
      </c>
      <c r="Y127" s="24">
        <v>9</v>
      </c>
      <c r="Z127" s="24">
        <v>720</v>
      </c>
      <c r="AA127" s="24">
        <v>0</v>
      </c>
      <c r="AB127" s="24">
        <v>0</v>
      </c>
      <c r="AC127" s="24">
        <v>32151990</v>
      </c>
      <c r="AD127" s="24" t="s">
        <v>193</v>
      </c>
      <c r="AE127" s="27">
        <v>46224</v>
      </c>
      <c r="AF127" s="24">
        <v>0</v>
      </c>
      <c r="AG127" s="24">
        <v>0</v>
      </c>
      <c r="AH127" s="24"/>
      <c r="AI127" s="24">
        <v>0</v>
      </c>
      <c r="AJ127" s="24"/>
      <c r="AK127" s="24"/>
      <c r="AL127" s="24"/>
      <c r="AM127" s="24">
        <v>0</v>
      </c>
      <c r="AN127" s="24">
        <v>0</v>
      </c>
      <c r="AO127" s="24">
        <v>0</v>
      </c>
      <c r="AP127" s="24">
        <v>0</v>
      </c>
      <c r="AQ127" s="24">
        <v>0</v>
      </c>
      <c r="AR127" s="24">
        <v>0</v>
      </c>
      <c r="AS127" s="24">
        <v>0</v>
      </c>
      <c r="AT127" s="24">
        <v>0</v>
      </c>
      <c r="AU127" s="24"/>
      <c r="AV127" s="24" t="s">
        <v>247</v>
      </c>
      <c r="AW127" s="24" t="s">
        <v>209</v>
      </c>
      <c r="AX127" s="24" t="s">
        <v>617</v>
      </c>
      <c r="AY127" s="24" t="s">
        <v>470</v>
      </c>
      <c r="AZ127" s="24" t="s">
        <v>204</v>
      </c>
      <c r="BA127" s="24" t="s">
        <v>160</v>
      </c>
      <c r="BB127" s="24" t="s">
        <v>160</v>
      </c>
    </row>
    <row r="128" spans="1:54" x14ac:dyDescent="0.25">
      <c r="A128" s="26"/>
      <c r="B128" s="24" t="s">
        <v>167</v>
      </c>
      <c r="C128" s="26">
        <v>383</v>
      </c>
      <c r="D128" s="27">
        <v>46224</v>
      </c>
      <c r="E128" s="24" t="s">
        <v>219</v>
      </c>
      <c r="F128" s="24" t="s">
        <v>263</v>
      </c>
      <c r="G128" s="24" t="s">
        <v>277</v>
      </c>
      <c r="H128" s="24" t="s">
        <v>200</v>
      </c>
      <c r="I128" s="24">
        <v>300</v>
      </c>
      <c r="J128" s="24">
        <v>1.1499999999999999</v>
      </c>
      <c r="K128" s="24" t="s">
        <v>168</v>
      </c>
      <c r="L128" s="25">
        <v>345</v>
      </c>
      <c r="M128" s="25">
        <v>1.1499999999999999</v>
      </c>
      <c r="N128" s="24">
        <v>1.1499999999999999</v>
      </c>
      <c r="O128" s="24">
        <v>407.1</v>
      </c>
      <c r="P128" s="24" t="s">
        <v>248</v>
      </c>
      <c r="Q128" s="24" t="s">
        <v>248</v>
      </c>
      <c r="R128" s="24"/>
      <c r="S128" s="24"/>
      <c r="T128" s="24" t="s">
        <v>240</v>
      </c>
      <c r="U128" s="24">
        <v>1</v>
      </c>
      <c r="V128" s="24"/>
      <c r="W128" s="24">
        <v>9</v>
      </c>
      <c r="X128" s="24">
        <v>31.05</v>
      </c>
      <c r="Y128" s="24">
        <v>9</v>
      </c>
      <c r="Z128" s="24">
        <v>31.05</v>
      </c>
      <c r="AA128" s="24">
        <v>0</v>
      </c>
      <c r="AB128" s="24">
        <v>0</v>
      </c>
      <c r="AC128" s="24">
        <v>39201019</v>
      </c>
      <c r="AD128" s="24" t="s">
        <v>193</v>
      </c>
      <c r="AE128" s="27">
        <v>46224</v>
      </c>
      <c r="AF128" s="24">
        <v>0</v>
      </c>
      <c r="AG128" s="24">
        <v>0</v>
      </c>
      <c r="AH128" s="24"/>
      <c r="AI128" s="24">
        <v>0</v>
      </c>
      <c r="AJ128" s="24"/>
      <c r="AK128" s="24"/>
      <c r="AL128" s="24"/>
      <c r="AM128" s="24">
        <v>0</v>
      </c>
      <c r="AN128" s="24">
        <v>0</v>
      </c>
      <c r="AO128" s="24">
        <v>0</v>
      </c>
      <c r="AP128" s="24">
        <v>0</v>
      </c>
      <c r="AQ128" s="24">
        <v>0</v>
      </c>
      <c r="AR128" s="24">
        <v>0</v>
      </c>
      <c r="AS128" s="24">
        <v>0</v>
      </c>
      <c r="AT128" s="24">
        <v>0</v>
      </c>
      <c r="AU128" s="24"/>
      <c r="AV128" s="24" t="s">
        <v>247</v>
      </c>
      <c r="AW128" s="24" t="s">
        <v>209</v>
      </c>
      <c r="AX128" s="24" t="s">
        <v>199</v>
      </c>
      <c r="AY128" s="24" t="s">
        <v>200</v>
      </c>
      <c r="AZ128" s="24" t="s">
        <v>169</v>
      </c>
      <c r="BA128" s="24" t="s">
        <v>201</v>
      </c>
      <c r="BB128" s="24" t="s">
        <v>158</v>
      </c>
    </row>
    <row r="129" spans="1:54" x14ac:dyDescent="0.25">
      <c r="A129" s="26"/>
      <c r="B129" s="24" t="s">
        <v>167</v>
      </c>
      <c r="C129" s="26">
        <v>384</v>
      </c>
      <c r="D129" s="27">
        <v>46224</v>
      </c>
      <c r="E129" s="24" t="s">
        <v>205</v>
      </c>
      <c r="F129" s="24" t="s">
        <v>268</v>
      </c>
      <c r="G129" s="24" t="s">
        <v>242</v>
      </c>
      <c r="H129" s="24" t="s">
        <v>273</v>
      </c>
      <c r="I129" s="24">
        <v>154.74</v>
      </c>
      <c r="J129" s="24">
        <v>243</v>
      </c>
      <c r="K129" s="24" t="s">
        <v>168</v>
      </c>
      <c r="L129" s="25">
        <v>37601.82</v>
      </c>
      <c r="M129" s="25">
        <v>243</v>
      </c>
      <c r="N129" s="24">
        <v>243</v>
      </c>
      <c r="O129" s="24">
        <v>53931.08</v>
      </c>
      <c r="P129" s="24" t="s">
        <v>207</v>
      </c>
      <c r="Q129" s="24" t="s">
        <v>243</v>
      </c>
      <c r="R129" s="24"/>
      <c r="S129" s="24"/>
      <c r="T129" s="24" t="s">
        <v>240</v>
      </c>
      <c r="U129" s="24">
        <v>1</v>
      </c>
      <c r="V129" s="24"/>
      <c r="W129" s="24">
        <v>9</v>
      </c>
      <c r="X129" s="24">
        <v>3384.16</v>
      </c>
      <c r="Y129" s="24">
        <v>9</v>
      </c>
      <c r="Z129" s="24">
        <v>3384.16</v>
      </c>
      <c r="AA129" s="24">
        <v>0</v>
      </c>
      <c r="AB129" s="24">
        <v>0</v>
      </c>
      <c r="AC129" s="24">
        <v>39269080</v>
      </c>
      <c r="AD129" s="24" t="s">
        <v>193</v>
      </c>
      <c r="AE129" s="27">
        <v>46224</v>
      </c>
      <c r="AF129" s="24">
        <v>0</v>
      </c>
      <c r="AG129" s="24">
        <v>0</v>
      </c>
      <c r="AH129" s="24"/>
      <c r="AI129" s="24">
        <v>0</v>
      </c>
      <c r="AJ129" s="24"/>
      <c r="AK129" s="24"/>
      <c r="AL129" s="24"/>
      <c r="AM129" s="24">
        <v>0</v>
      </c>
      <c r="AN129" s="24">
        <v>0</v>
      </c>
      <c r="AO129" s="24">
        <v>0</v>
      </c>
      <c r="AP129" s="24">
        <v>0</v>
      </c>
      <c r="AQ129" s="24">
        <v>0</v>
      </c>
      <c r="AR129" s="24">
        <v>0</v>
      </c>
      <c r="AS129" s="24">
        <v>0</v>
      </c>
      <c r="AT129" s="24">
        <v>0</v>
      </c>
      <c r="AU129" s="24"/>
      <c r="AV129" s="24" t="s">
        <v>241</v>
      </c>
      <c r="AW129" s="24" t="s">
        <v>209</v>
      </c>
      <c r="AX129" s="24" t="s">
        <v>245</v>
      </c>
      <c r="AY129" s="24" t="s">
        <v>153</v>
      </c>
      <c r="AZ129" s="24" t="s">
        <v>192</v>
      </c>
      <c r="BA129" s="24" t="s">
        <v>153</v>
      </c>
      <c r="BB129" s="24" t="s">
        <v>153</v>
      </c>
    </row>
    <row r="130" spans="1:54" x14ac:dyDescent="0.25">
      <c r="A130" s="26"/>
      <c r="B130" s="24" t="s">
        <v>167</v>
      </c>
      <c r="C130" s="26">
        <v>384</v>
      </c>
      <c r="D130" s="27">
        <v>46224</v>
      </c>
      <c r="E130" s="24" t="s">
        <v>205</v>
      </c>
      <c r="F130" s="24" t="s">
        <v>268</v>
      </c>
      <c r="G130" s="24" t="s">
        <v>269</v>
      </c>
      <c r="H130" s="24" t="s">
        <v>468</v>
      </c>
      <c r="I130" s="24">
        <v>175</v>
      </c>
      <c r="J130" s="24">
        <v>46.3</v>
      </c>
      <c r="K130" s="24" t="s">
        <v>168</v>
      </c>
      <c r="L130" s="25">
        <v>8102.5</v>
      </c>
      <c r="M130" s="25">
        <v>46.3</v>
      </c>
      <c r="N130" s="24">
        <v>46.3</v>
      </c>
      <c r="O130" s="24">
        <v>0</v>
      </c>
      <c r="P130" s="24" t="s">
        <v>207</v>
      </c>
      <c r="Q130" s="24" t="s">
        <v>267</v>
      </c>
      <c r="R130" s="24"/>
      <c r="S130" s="24"/>
      <c r="T130" s="24" t="s">
        <v>240</v>
      </c>
      <c r="U130" s="24">
        <v>1</v>
      </c>
      <c r="V130" s="24"/>
      <c r="W130" s="24">
        <v>9</v>
      </c>
      <c r="X130" s="24">
        <v>729.22</v>
      </c>
      <c r="Y130" s="24">
        <v>9</v>
      </c>
      <c r="Z130" s="24">
        <v>729.22</v>
      </c>
      <c r="AA130" s="24">
        <v>0</v>
      </c>
      <c r="AB130" s="24">
        <v>0</v>
      </c>
      <c r="AC130" s="24">
        <v>392310</v>
      </c>
      <c r="AD130" s="24" t="s">
        <v>193</v>
      </c>
      <c r="AE130" s="27">
        <v>46224</v>
      </c>
      <c r="AF130" s="24">
        <v>0</v>
      </c>
      <c r="AG130" s="24">
        <v>0</v>
      </c>
      <c r="AH130" s="24"/>
      <c r="AI130" s="24">
        <v>0</v>
      </c>
      <c r="AJ130" s="24"/>
      <c r="AK130" s="24"/>
      <c r="AL130" s="24"/>
      <c r="AM130" s="24">
        <v>0</v>
      </c>
      <c r="AN130" s="24">
        <v>0</v>
      </c>
      <c r="AO130" s="24">
        <v>0</v>
      </c>
      <c r="AP130" s="24">
        <v>0</v>
      </c>
      <c r="AQ130" s="24">
        <v>0</v>
      </c>
      <c r="AR130" s="24">
        <v>0</v>
      </c>
      <c r="AS130" s="24">
        <v>0</v>
      </c>
      <c r="AT130" s="24">
        <v>0</v>
      </c>
      <c r="AU130" s="24"/>
      <c r="AV130" s="24" t="s">
        <v>241</v>
      </c>
      <c r="AW130" s="24" t="s">
        <v>209</v>
      </c>
      <c r="AX130" s="24" t="s">
        <v>173</v>
      </c>
      <c r="AY130" s="24" t="s">
        <v>174</v>
      </c>
      <c r="AZ130" s="24" t="s">
        <v>169</v>
      </c>
      <c r="BA130" s="24" t="s">
        <v>176</v>
      </c>
      <c r="BB130" s="24" t="s">
        <v>159</v>
      </c>
    </row>
    <row r="131" spans="1:54" x14ac:dyDescent="0.25">
      <c r="A131" s="26"/>
      <c r="B131" s="24" t="s">
        <v>167</v>
      </c>
      <c r="C131" s="26">
        <v>385</v>
      </c>
      <c r="D131" s="27">
        <v>46224</v>
      </c>
      <c r="E131" s="24" t="s">
        <v>219</v>
      </c>
      <c r="F131" s="24" t="s">
        <v>618</v>
      </c>
      <c r="G131" s="24" t="s">
        <v>239</v>
      </c>
      <c r="H131" s="24" t="s">
        <v>473</v>
      </c>
      <c r="I131" s="24">
        <v>294.24</v>
      </c>
      <c r="J131" s="24">
        <v>1963</v>
      </c>
      <c r="K131" s="24" t="s">
        <v>168</v>
      </c>
      <c r="L131" s="25">
        <v>577593.12</v>
      </c>
      <c r="M131" s="25">
        <v>1963</v>
      </c>
      <c r="N131" s="24">
        <v>1963</v>
      </c>
      <c r="O131" s="24">
        <v>5994748.21</v>
      </c>
      <c r="P131" s="24" t="s">
        <v>207</v>
      </c>
      <c r="Q131" s="24" t="s">
        <v>207</v>
      </c>
      <c r="R131" s="24"/>
      <c r="S131" s="24"/>
      <c r="T131" s="24" t="s">
        <v>240</v>
      </c>
      <c r="U131" s="24">
        <v>1</v>
      </c>
      <c r="V131" s="24"/>
      <c r="W131" s="24">
        <v>9</v>
      </c>
      <c r="X131" s="24">
        <v>51983.38</v>
      </c>
      <c r="Y131" s="24">
        <v>9</v>
      </c>
      <c r="Z131" s="24">
        <v>51983.38</v>
      </c>
      <c r="AA131" s="24">
        <v>0</v>
      </c>
      <c r="AB131" s="24">
        <v>0</v>
      </c>
      <c r="AC131" s="24">
        <v>39232999</v>
      </c>
      <c r="AD131" s="24" t="s">
        <v>193</v>
      </c>
      <c r="AE131" s="27">
        <v>46224</v>
      </c>
      <c r="AF131" s="24">
        <v>0</v>
      </c>
      <c r="AG131" s="24">
        <v>0</v>
      </c>
      <c r="AH131" s="24"/>
      <c r="AI131" s="24">
        <v>0</v>
      </c>
      <c r="AJ131" s="24"/>
      <c r="AK131" s="24"/>
      <c r="AL131" s="24"/>
      <c r="AM131" s="24">
        <v>0</v>
      </c>
      <c r="AN131" s="24">
        <v>0</v>
      </c>
      <c r="AO131" s="24">
        <v>0</v>
      </c>
      <c r="AP131" s="24">
        <v>0</v>
      </c>
      <c r="AQ131" s="24">
        <v>0</v>
      </c>
      <c r="AR131" s="24">
        <v>0</v>
      </c>
      <c r="AS131" s="24">
        <v>0</v>
      </c>
      <c r="AT131" s="24">
        <v>0</v>
      </c>
      <c r="AU131" s="24"/>
      <c r="AV131" s="24" t="s">
        <v>247</v>
      </c>
      <c r="AW131" s="24" t="s">
        <v>209</v>
      </c>
      <c r="AX131" s="24" t="s">
        <v>194</v>
      </c>
      <c r="AY131" s="24" t="s">
        <v>195</v>
      </c>
      <c r="AZ131" s="24" t="s">
        <v>192</v>
      </c>
      <c r="BA131" s="24" t="s">
        <v>152</v>
      </c>
      <c r="BB131" s="24" t="s">
        <v>152</v>
      </c>
    </row>
    <row r="132" spans="1:54" x14ac:dyDescent="0.25">
      <c r="A132" s="26"/>
      <c r="B132" s="24" t="s">
        <v>167</v>
      </c>
      <c r="C132" s="26">
        <v>385</v>
      </c>
      <c r="D132" s="27">
        <v>46224</v>
      </c>
      <c r="E132" s="24" t="s">
        <v>219</v>
      </c>
      <c r="F132" s="24" t="s">
        <v>618</v>
      </c>
      <c r="G132" s="24" t="s">
        <v>239</v>
      </c>
      <c r="H132" s="24" t="s">
        <v>474</v>
      </c>
      <c r="I132" s="24">
        <v>286.48</v>
      </c>
      <c r="J132" s="24">
        <v>793</v>
      </c>
      <c r="K132" s="24" t="s">
        <v>168</v>
      </c>
      <c r="L132" s="25">
        <v>227178.64</v>
      </c>
      <c r="M132" s="25">
        <v>793</v>
      </c>
      <c r="N132" s="24">
        <v>793</v>
      </c>
      <c r="O132" s="24">
        <v>0</v>
      </c>
      <c r="P132" s="24" t="s">
        <v>207</v>
      </c>
      <c r="Q132" s="24" t="s">
        <v>207</v>
      </c>
      <c r="R132" s="24"/>
      <c r="S132" s="24"/>
      <c r="T132" s="24" t="s">
        <v>240</v>
      </c>
      <c r="U132" s="24">
        <v>1</v>
      </c>
      <c r="V132" s="24"/>
      <c r="W132" s="24">
        <v>9</v>
      </c>
      <c r="X132" s="24">
        <v>20446.080000000002</v>
      </c>
      <c r="Y132" s="24">
        <v>9</v>
      </c>
      <c r="Z132" s="24">
        <v>20446.080000000002</v>
      </c>
      <c r="AA132" s="24">
        <v>0</v>
      </c>
      <c r="AB132" s="24">
        <v>0</v>
      </c>
      <c r="AC132" s="24">
        <v>39232999</v>
      </c>
      <c r="AD132" s="24" t="s">
        <v>193</v>
      </c>
      <c r="AE132" s="27">
        <v>46224</v>
      </c>
      <c r="AF132" s="24">
        <v>0</v>
      </c>
      <c r="AG132" s="24">
        <v>0</v>
      </c>
      <c r="AH132" s="24"/>
      <c r="AI132" s="24">
        <v>0</v>
      </c>
      <c r="AJ132" s="24"/>
      <c r="AK132" s="24"/>
      <c r="AL132" s="24"/>
      <c r="AM132" s="24">
        <v>0</v>
      </c>
      <c r="AN132" s="24">
        <v>0</v>
      </c>
      <c r="AO132" s="24">
        <v>0</v>
      </c>
      <c r="AP132" s="24">
        <v>0</v>
      </c>
      <c r="AQ132" s="24">
        <v>0</v>
      </c>
      <c r="AR132" s="24">
        <v>0</v>
      </c>
      <c r="AS132" s="24">
        <v>0</v>
      </c>
      <c r="AT132" s="24">
        <v>0</v>
      </c>
      <c r="AU132" s="24"/>
      <c r="AV132" s="24" t="s">
        <v>247</v>
      </c>
      <c r="AW132" s="24" t="s">
        <v>209</v>
      </c>
      <c r="AX132" s="24" t="s">
        <v>194</v>
      </c>
      <c r="AY132" s="24" t="s">
        <v>195</v>
      </c>
      <c r="AZ132" s="24" t="s">
        <v>192</v>
      </c>
      <c r="BA132" s="24" t="s">
        <v>152</v>
      </c>
      <c r="BB132" s="24" t="s">
        <v>152</v>
      </c>
    </row>
    <row r="133" spans="1:54" x14ac:dyDescent="0.25">
      <c r="A133" s="26"/>
      <c r="B133" s="24" t="s">
        <v>167</v>
      </c>
      <c r="C133" s="26">
        <v>385</v>
      </c>
      <c r="D133" s="27">
        <v>46224</v>
      </c>
      <c r="E133" s="24" t="s">
        <v>219</v>
      </c>
      <c r="F133" s="24" t="s">
        <v>618</v>
      </c>
      <c r="G133" s="24" t="s">
        <v>239</v>
      </c>
      <c r="H133" s="24" t="s">
        <v>475</v>
      </c>
      <c r="I133" s="24">
        <v>249.54</v>
      </c>
      <c r="J133" s="24">
        <v>4118</v>
      </c>
      <c r="K133" s="24" t="s">
        <v>168</v>
      </c>
      <c r="L133" s="25">
        <v>1027605.72</v>
      </c>
      <c r="M133" s="25">
        <v>4118</v>
      </c>
      <c r="N133" s="24">
        <v>4118</v>
      </c>
      <c r="O133" s="24">
        <v>0</v>
      </c>
      <c r="P133" s="24" t="s">
        <v>207</v>
      </c>
      <c r="Q133" s="24" t="s">
        <v>207</v>
      </c>
      <c r="R133" s="24"/>
      <c r="S133" s="24"/>
      <c r="T133" s="24" t="s">
        <v>240</v>
      </c>
      <c r="U133" s="24">
        <v>1</v>
      </c>
      <c r="V133" s="24"/>
      <c r="W133" s="24">
        <v>9</v>
      </c>
      <c r="X133" s="24">
        <v>92484.51</v>
      </c>
      <c r="Y133" s="24">
        <v>9</v>
      </c>
      <c r="Z133" s="24">
        <v>92484.51</v>
      </c>
      <c r="AA133" s="24">
        <v>0</v>
      </c>
      <c r="AB133" s="24">
        <v>0</v>
      </c>
      <c r="AC133" s="24">
        <v>39232999</v>
      </c>
      <c r="AD133" s="24" t="s">
        <v>193</v>
      </c>
      <c r="AE133" s="27">
        <v>46224</v>
      </c>
      <c r="AF133" s="24">
        <v>0</v>
      </c>
      <c r="AG133" s="24">
        <v>0</v>
      </c>
      <c r="AH133" s="24"/>
      <c r="AI133" s="24">
        <v>0</v>
      </c>
      <c r="AJ133" s="24"/>
      <c r="AK133" s="24"/>
      <c r="AL133" s="24"/>
      <c r="AM133" s="24">
        <v>0</v>
      </c>
      <c r="AN133" s="24">
        <v>0</v>
      </c>
      <c r="AO133" s="24">
        <v>0</v>
      </c>
      <c r="AP133" s="24">
        <v>0</v>
      </c>
      <c r="AQ133" s="24">
        <v>0</v>
      </c>
      <c r="AR133" s="24">
        <v>0</v>
      </c>
      <c r="AS133" s="24">
        <v>0</v>
      </c>
      <c r="AT133" s="24">
        <v>0</v>
      </c>
      <c r="AU133" s="24"/>
      <c r="AV133" s="24" t="s">
        <v>247</v>
      </c>
      <c r="AW133" s="24" t="s">
        <v>209</v>
      </c>
      <c r="AX133" s="24" t="s">
        <v>194</v>
      </c>
      <c r="AY133" s="24" t="s">
        <v>195</v>
      </c>
      <c r="AZ133" s="24" t="s">
        <v>192</v>
      </c>
      <c r="BA133" s="24" t="s">
        <v>152</v>
      </c>
      <c r="BB133" s="24" t="s">
        <v>152</v>
      </c>
    </row>
    <row r="134" spans="1:54" x14ac:dyDescent="0.25">
      <c r="A134" s="26"/>
      <c r="B134" s="24" t="s">
        <v>167</v>
      </c>
      <c r="C134" s="26">
        <v>385</v>
      </c>
      <c r="D134" s="27">
        <v>46224</v>
      </c>
      <c r="E134" s="24" t="s">
        <v>219</v>
      </c>
      <c r="F134" s="24" t="s">
        <v>618</v>
      </c>
      <c r="G134" s="24" t="s">
        <v>239</v>
      </c>
      <c r="H134" s="24" t="s">
        <v>476</v>
      </c>
      <c r="I134" s="24">
        <v>263.87</v>
      </c>
      <c r="J134" s="24">
        <v>420</v>
      </c>
      <c r="K134" s="24" t="s">
        <v>168</v>
      </c>
      <c r="L134" s="25">
        <v>110825.4</v>
      </c>
      <c r="M134" s="25">
        <v>420</v>
      </c>
      <c r="N134" s="24">
        <v>420</v>
      </c>
      <c r="O134" s="24">
        <v>0</v>
      </c>
      <c r="P134" s="24" t="s">
        <v>207</v>
      </c>
      <c r="Q134" s="24" t="s">
        <v>207</v>
      </c>
      <c r="R134" s="24"/>
      <c r="S134" s="24"/>
      <c r="T134" s="24" t="s">
        <v>240</v>
      </c>
      <c r="U134" s="24">
        <v>1</v>
      </c>
      <c r="V134" s="24"/>
      <c r="W134" s="24">
        <v>9</v>
      </c>
      <c r="X134" s="24">
        <v>9974.2900000000009</v>
      </c>
      <c r="Y134" s="24">
        <v>9</v>
      </c>
      <c r="Z134" s="24">
        <v>9974.2900000000009</v>
      </c>
      <c r="AA134" s="24">
        <v>0</v>
      </c>
      <c r="AB134" s="24">
        <v>0</v>
      </c>
      <c r="AC134" s="24">
        <v>39232999</v>
      </c>
      <c r="AD134" s="24" t="s">
        <v>193</v>
      </c>
      <c r="AE134" s="27">
        <v>46224</v>
      </c>
      <c r="AF134" s="24">
        <v>0</v>
      </c>
      <c r="AG134" s="24">
        <v>0</v>
      </c>
      <c r="AH134" s="24"/>
      <c r="AI134" s="24">
        <v>0</v>
      </c>
      <c r="AJ134" s="24"/>
      <c r="AK134" s="24"/>
      <c r="AL134" s="24"/>
      <c r="AM134" s="24">
        <v>0</v>
      </c>
      <c r="AN134" s="24">
        <v>0</v>
      </c>
      <c r="AO134" s="24">
        <v>0</v>
      </c>
      <c r="AP134" s="24">
        <v>0</v>
      </c>
      <c r="AQ134" s="24">
        <v>0</v>
      </c>
      <c r="AR134" s="24">
        <v>0</v>
      </c>
      <c r="AS134" s="24">
        <v>0</v>
      </c>
      <c r="AT134" s="24">
        <v>0</v>
      </c>
      <c r="AU134" s="24"/>
      <c r="AV134" s="24" t="s">
        <v>247</v>
      </c>
      <c r="AW134" s="24" t="s">
        <v>209</v>
      </c>
      <c r="AX134" s="24" t="s">
        <v>190</v>
      </c>
      <c r="AY134" s="24" t="s">
        <v>191</v>
      </c>
      <c r="AZ134" s="24" t="s">
        <v>192</v>
      </c>
      <c r="BA134" s="24" t="s">
        <v>152</v>
      </c>
      <c r="BB134" s="24" t="s">
        <v>152</v>
      </c>
    </row>
    <row r="135" spans="1:54" x14ac:dyDescent="0.25">
      <c r="A135" s="26"/>
      <c r="B135" s="24" t="s">
        <v>167</v>
      </c>
      <c r="C135" s="26">
        <v>385</v>
      </c>
      <c r="D135" s="27">
        <v>46224</v>
      </c>
      <c r="E135" s="24" t="s">
        <v>219</v>
      </c>
      <c r="F135" s="24" t="s">
        <v>618</v>
      </c>
      <c r="G135" s="24" t="s">
        <v>239</v>
      </c>
      <c r="H135" s="24" t="s">
        <v>477</v>
      </c>
      <c r="I135" s="24">
        <v>249.98</v>
      </c>
      <c r="J135" s="24">
        <v>386</v>
      </c>
      <c r="K135" s="24" t="s">
        <v>168</v>
      </c>
      <c r="L135" s="25">
        <v>96492.28</v>
      </c>
      <c r="M135" s="25">
        <v>386</v>
      </c>
      <c r="N135" s="24">
        <v>386</v>
      </c>
      <c r="O135" s="24">
        <v>0</v>
      </c>
      <c r="P135" s="24" t="s">
        <v>207</v>
      </c>
      <c r="Q135" s="24" t="s">
        <v>207</v>
      </c>
      <c r="R135" s="24"/>
      <c r="S135" s="24"/>
      <c r="T135" s="24" t="s">
        <v>240</v>
      </c>
      <c r="U135" s="24">
        <v>1</v>
      </c>
      <c r="V135" s="24"/>
      <c r="W135" s="24">
        <v>9</v>
      </c>
      <c r="X135" s="24">
        <v>8684.31</v>
      </c>
      <c r="Y135" s="24">
        <v>9</v>
      </c>
      <c r="Z135" s="24">
        <v>8684.31</v>
      </c>
      <c r="AA135" s="24">
        <v>0</v>
      </c>
      <c r="AB135" s="24">
        <v>0</v>
      </c>
      <c r="AC135" s="24">
        <v>39232999</v>
      </c>
      <c r="AD135" s="24" t="s">
        <v>193</v>
      </c>
      <c r="AE135" s="27">
        <v>46224</v>
      </c>
      <c r="AF135" s="24">
        <v>0</v>
      </c>
      <c r="AG135" s="24">
        <v>0</v>
      </c>
      <c r="AH135" s="24"/>
      <c r="AI135" s="24">
        <v>0</v>
      </c>
      <c r="AJ135" s="24"/>
      <c r="AK135" s="24"/>
      <c r="AL135" s="24"/>
      <c r="AM135" s="24">
        <v>0</v>
      </c>
      <c r="AN135" s="24">
        <v>0</v>
      </c>
      <c r="AO135" s="24">
        <v>0</v>
      </c>
      <c r="AP135" s="24">
        <v>0</v>
      </c>
      <c r="AQ135" s="24">
        <v>0</v>
      </c>
      <c r="AR135" s="24">
        <v>0</v>
      </c>
      <c r="AS135" s="24">
        <v>0</v>
      </c>
      <c r="AT135" s="24">
        <v>0</v>
      </c>
      <c r="AU135" s="24"/>
      <c r="AV135" s="24" t="s">
        <v>247</v>
      </c>
      <c r="AW135" s="24" t="s">
        <v>209</v>
      </c>
      <c r="AX135" s="24" t="s">
        <v>190</v>
      </c>
      <c r="AY135" s="24" t="s">
        <v>191</v>
      </c>
      <c r="AZ135" s="24" t="s">
        <v>192</v>
      </c>
      <c r="BA135" s="24" t="s">
        <v>152</v>
      </c>
      <c r="BB135" s="24" t="s">
        <v>152</v>
      </c>
    </row>
    <row r="136" spans="1:54" x14ac:dyDescent="0.25">
      <c r="A136" s="26"/>
      <c r="B136" s="24" t="s">
        <v>167</v>
      </c>
      <c r="C136" s="26">
        <v>385</v>
      </c>
      <c r="D136" s="27">
        <v>46224</v>
      </c>
      <c r="E136" s="24" t="s">
        <v>219</v>
      </c>
      <c r="F136" s="24" t="s">
        <v>618</v>
      </c>
      <c r="G136" s="24" t="s">
        <v>239</v>
      </c>
      <c r="H136" s="24" t="s">
        <v>478</v>
      </c>
      <c r="I136" s="24">
        <v>292.5</v>
      </c>
      <c r="J136" s="24">
        <v>1970</v>
      </c>
      <c r="K136" s="24" t="s">
        <v>168</v>
      </c>
      <c r="L136" s="25">
        <v>576225</v>
      </c>
      <c r="M136" s="25">
        <v>1970</v>
      </c>
      <c r="N136" s="24">
        <v>1970</v>
      </c>
      <c r="O136" s="24">
        <v>0</v>
      </c>
      <c r="P136" s="24" t="s">
        <v>207</v>
      </c>
      <c r="Q136" s="24" t="s">
        <v>207</v>
      </c>
      <c r="R136" s="24"/>
      <c r="S136" s="24"/>
      <c r="T136" s="24" t="s">
        <v>240</v>
      </c>
      <c r="U136" s="24">
        <v>1</v>
      </c>
      <c r="V136" s="24"/>
      <c r="W136" s="24">
        <v>9</v>
      </c>
      <c r="X136" s="24">
        <v>51860.25</v>
      </c>
      <c r="Y136" s="24">
        <v>9</v>
      </c>
      <c r="Z136" s="24">
        <v>51860.25</v>
      </c>
      <c r="AA136" s="24">
        <v>0</v>
      </c>
      <c r="AB136" s="24">
        <v>0</v>
      </c>
      <c r="AC136" s="24">
        <v>39232999</v>
      </c>
      <c r="AD136" s="24" t="s">
        <v>193</v>
      </c>
      <c r="AE136" s="27">
        <v>46224</v>
      </c>
      <c r="AF136" s="24">
        <v>0</v>
      </c>
      <c r="AG136" s="24">
        <v>0</v>
      </c>
      <c r="AH136" s="24"/>
      <c r="AI136" s="24">
        <v>0</v>
      </c>
      <c r="AJ136" s="24"/>
      <c r="AK136" s="24"/>
      <c r="AL136" s="24"/>
      <c r="AM136" s="24">
        <v>0</v>
      </c>
      <c r="AN136" s="24">
        <v>0</v>
      </c>
      <c r="AO136" s="24">
        <v>0</v>
      </c>
      <c r="AP136" s="24">
        <v>0</v>
      </c>
      <c r="AQ136" s="24">
        <v>0</v>
      </c>
      <c r="AR136" s="24">
        <v>0</v>
      </c>
      <c r="AS136" s="24">
        <v>0</v>
      </c>
      <c r="AT136" s="24">
        <v>0</v>
      </c>
      <c r="AU136" s="24"/>
      <c r="AV136" s="24" t="s">
        <v>247</v>
      </c>
      <c r="AW136" s="24" t="s">
        <v>209</v>
      </c>
      <c r="AX136" s="24" t="s">
        <v>190</v>
      </c>
      <c r="AY136" s="24" t="s">
        <v>191</v>
      </c>
      <c r="AZ136" s="24" t="s">
        <v>192</v>
      </c>
      <c r="BA136" s="24" t="s">
        <v>152</v>
      </c>
      <c r="BB136" s="24" t="s">
        <v>152</v>
      </c>
    </row>
    <row r="137" spans="1:54" x14ac:dyDescent="0.25">
      <c r="A137" s="26"/>
      <c r="B137" s="24" t="s">
        <v>167</v>
      </c>
      <c r="C137" s="26">
        <v>385</v>
      </c>
      <c r="D137" s="27">
        <v>46224</v>
      </c>
      <c r="E137" s="24" t="s">
        <v>219</v>
      </c>
      <c r="F137" s="24" t="s">
        <v>618</v>
      </c>
      <c r="G137" s="24" t="s">
        <v>239</v>
      </c>
      <c r="H137" s="24" t="s">
        <v>479</v>
      </c>
      <c r="I137" s="24">
        <v>281.97000000000003</v>
      </c>
      <c r="J137" s="24">
        <v>401</v>
      </c>
      <c r="K137" s="24" t="s">
        <v>168</v>
      </c>
      <c r="L137" s="25">
        <v>113069.97</v>
      </c>
      <c r="M137" s="25">
        <v>401</v>
      </c>
      <c r="N137" s="24">
        <v>401</v>
      </c>
      <c r="O137" s="24">
        <v>0</v>
      </c>
      <c r="P137" s="24" t="s">
        <v>207</v>
      </c>
      <c r="Q137" s="24" t="s">
        <v>207</v>
      </c>
      <c r="R137" s="24"/>
      <c r="S137" s="24"/>
      <c r="T137" s="24" t="s">
        <v>240</v>
      </c>
      <c r="U137" s="24">
        <v>1</v>
      </c>
      <c r="V137" s="24"/>
      <c r="W137" s="24">
        <v>9</v>
      </c>
      <c r="X137" s="24">
        <v>10176.299999999999</v>
      </c>
      <c r="Y137" s="24">
        <v>9</v>
      </c>
      <c r="Z137" s="24">
        <v>10176.299999999999</v>
      </c>
      <c r="AA137" s="24">
        <v>0</v>
      </c>
      <c r="AB137" s="24">
        <v>0</v>
      </c>
      <c r="AC137" s="24">
        <v>39232999</v>
      </c>
      <c r="AD137" s="24" t="s">
        <v>193</v>
      </c>
      <c r="AE137" s="27">
        <v>46224</v>
      </c>
      <c r="AF137" s="24">
        <v>0</v>
      </c>
      <c r="AG137" s="24">
        <v>0</v>
      </c>
      <c r="AH137" s="24"/>
      <c r="AI137" s="24">
        <v>0</v>
      </c>
      <c r="AJ137" s="24"/>
      <c r="AK137" s="24"/>
      <c r="AL137" s="24"/>
      <c r="AM137" s="24">
        <v>0</v>
      </c>
      <c r="AN137" s="24">
        <v>0</v>
      </c>
      <c r="AO137" s="24">
        <v>0</v>
      </c>
      <c r="AP137" s="24">
        <v>0</v>
      </c>
      <c r="AQ137" s="24">
        <v>0</v>
      </c>
      <c r="AR137" s="24">
        <v>0</v>
      </c>
      <c r="AS137" s="24">
        <v>0</v>
      </c>
      <c r="AT137" s="24">
        <v>0</v>
      </c>
      <c r="AU137" s="24"/>
      <c r="AV137" s="24" t="s">
        <v>247</v>
      </c>
      <c r="AW137" s="24" t="s">
        <v>209</v>
      </c>
      <c r="AX137" s="24" t="s">
        <v>190</v>
      </c>
      <c r="AY137" s="24" t="s">
        <v>191</v>
      </c>
      <c r="AZ137" s="24" t="s">
        <v>192</v>
      </c>
      <c r="BA137" s="24" t="s">
        <v>152</v>
      </c>
      <c r="BB137" s="24" t="s">
        <v>152</v>
      </c>
    </row>
    <row r="138" spans="1:54" x14ac:dyDescent="0.25">
      <c r="A138" s="24"/>
      <c r="B138" s="24" t="s">
        <v>167</v>
      </c>
      <c r="C138" s="26">
        <v>385</v>
      </c>
      <c r="D138" s="27">
        <v>46224</v>
      </c>
      <c r="E138" s="24" t="s">
        <v>219</v>
      </c>
      <c r="F138" s="24" t="s">
        <v>618</v>
      </c>
      <c r="G138" s="24" t="s">
        <v>239</v>
      </c>
      <c r="H138" s="24" t="s">
        <v>480</v>
      </c>
      <c r="I138" s="24">
        <v>241.79</v>
      </c>
      <c r="J138" s="24">
        <v>846</v>
      </c>
      <c r="K138" s="24" t="s">
        <v>168</v>
      </c>
      <c r="L138" s="24">
        <v>204554.34</v>
      </c>
      <c r="M138" s="24">
        <v>846</v>
      </c>
      <c r="N138" s="24">
        <v>846</v>
      </c>
      <c r="O138" s="24">
        <v>0</v>
      </c>
      <c r="P138" s="24" t="s">
        <v>207</v>
      </c>
      <c r="Q138" s="24" t="s">
        <v>207</v>
      </c>
      <c r="R138" s="24"/>
      <c r="S138" s="24"/>
      <c r="T138" s="24" t="s">
        <v>240</v>
      </c>
      <c r="U138" s="24">
        <v>1</v>
      </c>
      <c r="V138" s="24"/>
      <c r="W138" s="24">
        <v>9</v>
      </c>
      <c r="X138" s="24">
        <v>18409.89</v>
      </c>
      <c r="Y138" s="24">
        <v>9</v>
      </c>
      <c r="Z138" s="24">
        <v>18409.89</v>
      </c>
      <c r="AA138" s="24">
        <v>0</v>
      </c>
      <c r="AB138" s="24">
        <v>0</v>
      </c>
      <c r="AC138" s="24">
        <v>39232999</v>
      </c>
      <c r="AD138" s="24" t="s">
        <v>193</v>
      </c>
      <c r="AE138" s="27">
        <v>46224</v>
      </c>
      <c r="AF138" s="24">
        <v>0</v>
      </c>
      <c r="AG138" s="24">
        <v>0</v>
      </c>
      <c r="AH138" s="24"/>
      <c r="AI138" s="24">
        <v>0</v>
      </c>
      <c r="AJ138" s="24"/>
      <c r="AK138" s="24"/>
      <c r="AL138" s="24"/>
      <c r="AM138" s="24">
        <v>0</v>
      </c>
      <c r="AN138" s="24">
        <v>0</v>
      </c>
      <c r="AO138" s="24">
        <v>0</v>
      </c>
      <c r="AP138" s="24">
        <v>0</v>
      </c>
      <c r="AQ138" s="24">
        <v>0</v>
      </c>
      <c r="AR138" s="24">
        <v>0</v>
      </c>
      <c r="AS138" s="24">
        <v>0</v>
      </c>
      <c r="AT138" s="24">
        <v>0</v>
      </c>
      <c r="AU138" s="24"/>
      <c r="AV138" s="24" t="s">
        <v>247</v>
      </c>
      <c r="AW138" s="24" t="s">
        <v>209</v>
      </c>
      <c r="AX138" s="24" t="s">
        <v>190</v>
      </c>
      <c r="AY138" s="24" t="s">
        <v>191</v>
      </c>
      <c r="AZ138" s="24" t="s">
        <v>192</v>
      </c>
      <c r="BA138" s="24" t="s">
        <v>152</v>
      </c>
      <c r="BB138" s="24" t="s">
        <v>152</v>
      </c>
    </row>
    <row r="139" spans="1:54" x14ac:dyDescent="0.25">
      <c r="A139" s="24"/>
      <c r="B139" s="24" t="s">
        <v>167</v>
      </c>
      <c r="C139" s="26">
        <v>385</v>
      </c>
      <c r="D139" s="27">
        <v>46224</v>
      </c>
      <c r="E139" s="24" t="s">
        <v>219</v>
      </c>
      <c r="F139" s="24" t="s">
        <v>618</v>
      </c>
      <c r="G139" s="24" t="s">
        <v>239</v>
      </c>
      <c r="H139" s="24" t="s">
        <v>481</v>
      </c>
      <c r="I139" s="24">
        <v>240.96</v>
      </c>
      <c r="J139" s="24">
        <v>5094</v>
      </c>
      <c r="K139" s="24" t="s">
        <v>168</v>
      </c>
      <c r="L139" s="24">
        <v>1227450.24</v>
      </c>
      <c r="M139" s="24">
        <v>5094</v>
      </c>
      <c r="N139" s="24">
        <v>5094</v>
      </c>
      <c r="O139" s="24">
        <v>0</v>
      </c>
      <c r="P139" s="24" t="s">
        <v>207</v>
      </c>
      <c r="Q139" s="24" t="s">
        <v>207</v>
      </c>
      <c r="R139" s="24"/>
      <c r="S139" s="24"/>
      <c r="T139" s="24" t="s">
        <v>240</v>
      </c>
      <c r="U139" s="24">
        <v>1</v>
      </c>
      <c r="V139" s="24"/>
      <c r="W139" s="24">
        <v>9</v>
      </c>
      <c r="X139" s="24">
        <v>110470.52</v>
      </c>
      <c r="Y139" s="24">
        <v>9</v>
      </c>
      <c r="Z139" s="24">
        <v>110470.52</v>
      </c>
      <c r="AA139" s="24">
        <v>0</v>
      </c>
      <c r="AB139" s="24">
        <v>0</v>
      </c>
      <c r="AC139" s="24">
        <v>39232999</v>
      </c>
      <c r="AD139" s="24" t="s">
        <v>193</v>
      </c>
      <c r="AE139" s="27">
        <v>46224</v>
      </c>
      <c r="AF139" s="24">
        <v>0</v>
      </c>
      <c r="AG139" s="24">
        <v>0</v>
      </c>
      <c r="AH139" s="24"/>
      <c r="AI139" s="24">
        <v>0</v>
      </c>
      <c r="AJ139" s="24"/>
      <c r="AK139" s="24"/>
      <c r="AL139" s="24"/>
      <c r="AM139" s="24">
        <v>0</v>
      </c>
      <c r="AN139" s="24">
        <v>0</v>
      </c>
      <c r="AO139" s="24">
        <v>0</v>
      </c>
      <c r="AP139" s="24">
        <v>0</v>
      </c>
      <c r="AQ139" s="24">
        <v>0</v>
      </c>
      <c r="AR139" s="24">
        <v>0</v>
      </c>
      <c r="AS139" s="24">
        <v>0</v>
      </c>
      <c r="AT139" s="24">
        <v>0</v>
      </c>
      <c r="AU139" s="24"/>
      <c r="AV139" s="24" t="s">
        <v>247</v>
      </c>
      <c r="AW139" s="24" t="s">
        <v>209</v>
      </c>
      <c r="AX139" s="24" t="s">
        <v>190</v>
      </c>
      <c r="AY139" s="24" t="s">
        <v>191</v>
      </c>
      <c r="AZ139" s="24" t="s">
        <v>192</v>
      </c>
      <c r="BA139" s="24" t="s">
        <v>152</v>
      </c>
      <c r="BB139" s="24" t="s">
        <v>152</v>
      </c>
    </row>
    <row r="140" spans="1:54" x14ac:dyDescent="0.25">
      <c r="A140" s="24"/>
      <c r="B140" s="24" t="s">
        <v>167</v>
      </c>
      <c r="C140" s="26">
        <v>385</v>
      </c>
      <c r="D140" s="27">
        <v>46224</v>
      </c>
      <c r="E140" s="24" t="s">
        <v>219</v>
      </c>
      <c r="F140" s="24" t="s">
        <v>618</v>
      </c>
      <c r="G140" s="24" t="s">
        <v>239</v>
      </c>
      <c r="H140" s="24" t="s">
        <v>482</v>
      </c>
      <c r="I140" s="24">
        <v>242.21</v>
      </c>
      <c r="J140" s="24">
        <v>3378</v>
      </c>
      <c r="K140" s="24" t="s">
        <v>168</v>
      </c>
      <c r="L140" s="24">
        <v>818185.38</v>
      </c>
      <c r="M140" s="24">
        <v>3378</v>
      </c>
      <c r="N140" s="24">
        <v>3378</v>
      </c>
      <c r="O140" s="24">
        <v>0</v>
      </c>
      <c r="P140" s="24" t="s">
        <v>207</v>
      </c>
      <c r="Q140" s="24" t="s">
        <v>207</v>
      </c>
      <c r="R140" s="24"/>
      <c r="S140" s="24"/>
      <c r="T140" s="24" t="s">
        <v>240</v>
      </c>
      <c r="U140" s="24">
        <v>1</v>
      </c>
      <c r="V140" s="24"/>
      <c r="W140" s="24">
        <v>9</v>
      </c>
      <c r="X140" s="24">
        <v>73636.679999999993</v>
      </c>
      <c r="Y140" s="24">
        <v>9</v>
      </c>
      <c r="Z140" s="24">
        <v>73636.679999999993</v>
      </c>
      <c r="AA140" s="24">
        <v>0</v>
      </c>
      <c r="AB140" s="24">
        <v>0</v>
      </c>
      <c r="AC140" s="24">
        <v>39232999</v>
      </c>
      <c r="AD140" s="24" t="s">
        <v>193</v>
      </c>
      <c r="AE140" s="27">
        <v>46224</v>
      </c>
      <c r="AF140" s="24">
        <v>0</v>
      </c>
      <c r="AG140" s="24">
        <v>0</v>
      </c>
      <c r="AH140" s="24"/>
      <c r="AI140" s="24">
        <v>0</v>
      </c>
      <c r="AJ140" s="24"/>
      <c r="AK140" s="24"/>
      <c r="AL140" s="24"/>
      <c r="AM140" s="24">
        <v>0</v>
      </c>
      <c r="AN140" s="24">
        <v>0</v>
      </c>
      <c r="AO140" s="24">
        <v>0</v>
      </c>
      <c r="AP140" s="24">
        <v>0</v>
      </c>
      <c r="AQ140" s="24">
        <v>0</v>
      </c>
      <c r="AR140" s="24">
        <v>0</v>
      </c>
      <c r="AS140" s="24">
        <v>0</v>
      </c>
      <c r="AT140" s="24">
        <v>0</v>
      </c>
      <c r="AU140" s="24"/>
      <c r="AV140" s="24" t="s">
        <v>247</v>
      </c>
      <c r="AW140" s="24" t="s">
        <v>209</v>
      </c>
      <c r="AX140" s="24" t="s">
        <v>190</v>
      </c>
      <c r="AY140" s="24" t="s">
        <v>191</v>
      </c>
      <c r="AZ140" s="24" t="s">
        <v>192</v>
      </c>
      <c r="BA140" s="24" t="s">
        <v>152</v>
      </c>
      <c r="BB140" s="24" t="s">
        <v>152</v>
      </c>
    </row>
    <row r="141" spans="1:54" x14ac:dyDescent="0.25">
      <c r="A141" s="26"/>
      <c r="B141" s="24" t="s">
        <v>167</v>
      </c>
      <c r="C141" s="26">
        <v>385</v>
      </c>
      <c r="D141" s="27">
        <v>46224</v>
      </c>
      <c r="E141" s="24" t="s">
        <v>219</v>
      </c>
      <c r="F141" s="24" t="s">
        <v>618</v>
      </c>
      <c r="G141" s="24" t="s">
        <v>239</v>
      </c>
      <c r="H141" s="24" t="s">
        <v>483</v>
      </c>
      <c r="I141" s="24">
        <v>236.25</v>
      </c>
      <c r="J141" s="24">
        <v>428</v>
      </c>
      <c r="K141" s="24" t="s">
        <v>168</v>
      </c>
      <c r="L141" s="25">
        <v>101115</v>
      </c>
      <c r="M141" s="25">
        <v>428</v>
      </c>
      <c r="N141" s="24">
        <v>428</v>
      </c>
      <c r="O141" s="24">
        <v>0</v>
      </c>
      <c r="P141" s="24" t="s">
        <v>207</v>
      </c>
      <c r="Q141" s="24" t="s">
        <v>207</v>
      </c>
      <c r="R141" s="24"/>
      <c r="S141" s="24"/>
      <c r="T141" s="24" t="s">
        <v>240</v>
      </c>
      <c r="U141" s="24">
        <v>1</v>
      </c>
      <c r="V141" s="24"/>
      <c r="W141" s="24">
        <v>9</v>
      </c>
      <c r="X141" s="24">
        <v>9100.35</v>
      </c>
      <c r="Y141" s="24">
        <v>9</v>
      </c>
      <c r="Z141" s="24">
        <v>9100.35</v>
      </c>
      <c r="AA141" s="24">
        <v>0</v>
      </c>
      <c r="AB141" s="24">
        <v>0</v>
      </c>
      <c r="AC141" s="24">
        <v>39232999</v>
      </c>
      <c r="AD141" s="24" t="s">
        <v>193</v>
      </c>
      <c r="AE141" s="27">
        <v>46224</v>
      </c>
      <c r="AF141" s="24">
        <v>0</v>
      </c>
      <c r="AG141" s="24">
        <v>0</v>
      </c>
      <c r="AH141" s="24"/>
      <c r="AI141" s="24">
        <v>0</v>
      </c>
      <c r="AJ141" s="24"/>
      <c r="AK141" s="24"/>
      <c r="AL141" s="24"/>
      <c r="AM141" s="24">
        <v>0</v>
      </c>
      <c r="AN141" s="24">
        <v>0</v>
      </c>
      <c r="AO141" s="24">
        <v>0</v>
      </c>
      <c r="AP141" s="24">
        <v>0</v>
      </c>
      <c r="AQ141" s="24">
        <v>0</v>
      </c>
      <c r="AR141" s="24">
        <v>0</v>
      </c>
      <c r="AS141" s="24">
        <v>0</v>
      </c>
      <c r="AT141" s="24">
        <v>0</v>
      </c>
      <c r="AU141" s="24"/>
      <c r="AV141" s="24" t="s">
        <v>247</v>
      </c>
      <c r="AW141" s="24" t="s">
        <v>209</v>
      </c>
      <c r="AX141" s="24" t="s">
        <v>190</v>
      </c>
      <c r="AY141" s="24" t="s">
        <v>191</v>
      </c>
      <c r="AZ141" s="24" t="s">
        <v>192</v>
      </c>
      <c r="BA141" s="24" t="s">
        <v>152</v>
      </c>
      <c r="BB141" s="24" t="s">
        <v>152</v>
      </c>
    </row>
    <row r="142" spans="1:54" x14ac:dyDescent="0.25">
      <c r="A142" s="26"/>
      <c r="B142" s="24" t="s">
        <v>167</v>
      </c>
      <c r="C142" s="26">
        <v>386</v>
      </c>
      <c r="D142" s="27">
        <v>46224</v>
      </c>
      <c r="E142" s="24" t="s">
        <v>219</v>
      </c>
      <c r="F142" s="24" t="s">
        <v>266</v>
      </c>
      <c r="G142" s="24" t="s">
        <v>242</v>
      </c>
      <c r="H142" s="24" t="s">
        <v>187</v>
      </c>
      <c r="I142" s="24">
        <v>154.74</v>
      </c>
      <c r="J142" s="24">
        <v>1325.6</v>
      </c>
      <c r="K142" s="24" t="s">
        <v>168</v>
      </c>
      <c r="L142" s="25">
        <v>205123.34</v>
      </c>
      <c r="M142" s="25">
        <v>1325.6</v>
      </c>
      <c r="N142" s="24">
        <v>1389.6</v>
      </c>
      <c r="O142" s="24">
        <v>242045.54</v>
      </c>
      <c r="P142" s="24" t="s">
        <v>243</v>
      </c>
      <c r="Q142" s="24" t="s">
        <v>243</v>
      </c>
      <c r="R142" s="24"/>
      <c r="S142" s="24"/>
      <c r="T142" s="24" t="s">
        <v>240</v>
      </c>
      <c r="U142" s="24">
        <v>1</v>
      </c>
      <c r="V142" s="24"/>
      <c r="W142" s="24">
        <v>9</v>
      </c>
      <c r="X142" s="24">
        <v>18461.099999999999</v>
      </c>
      <c r="Y142" s="24">
        <v>9</v>
      </c>
      <c r="Z142" s="24">
        <v>18461.099999999999</v>
      </c>
      <c r="AA142" s="24">
        <v>0</v>
      </c>
      <c r="AB142" s="24">
        <v>0</v>
      </c>
      <c r="AC142" s="24">
        <v>39269080</v>
      </c>
      <c r="AD142" s="24" t="s">
        <v>193</v>
      </c>
      <c r="AE142" s="27">
        <v>46224</v>
      </c>
      <c r="AF142" s="24">
        <v>0</v>
      </c>
      <c r="AG142" s="24">
        <v>0</v>
      </c>
      <c r="AH142" s="24"/>
      <c r="AI142" s="24">
        <v>0</v>
      </c>
      <c r="AJ142" s="24"/>
      <c r="AK142" s="24"/>
      <c r="AL142" s="24"/>
      <c r="AM142" s="24">
        <v>0</v>
      </c>
      <c r="AN142" s="24">
        <v>0</v>
      </c>
      <c r="AO142" s="24">
        <v>0</v>
      </c>
      <c r="AP142" s="24">
        <v>0</v>
      </c>
      <c r="AQ142" s="24">
        <v>0</v>
      </c>
      <c r="AR142" s="24">
        <v>0</v>
      </c>
      <c r="AS142" s="24">
        <v>0</v>
      </c>
      <c r="AT142" s="24">
        <v>0</v>
      </c>
      <c r="AU142" s="24"/>
      <c r="AV142" s="24" t="s">
        <v>247</v>
      </c>
      <c r="AW142" s="24" t="s">
        <v>209</v>
      </c>
      <c r="AX142" s="24" t="s">
        <v>186</v>
      </c>
      <c r="AY142" s="24" t="s">
        <v>187</v>
      </c>
      <c r="AZ142" s="24" t="s">
        <v>169</v>
      </c>
      <c r="BA142" s="24" t="s">
        <v>180</v>
      </c>
      <c r="BB142" s="24" t="s">
        <v>155</v>
      </c>
    </row>
    <row r="143" spans="1:54" x14ac:dyDescent="0.25">
      <c r="A143" s="26"/>
      <c r="B143" s="24" t="s">
        <v>167</v>
      </c>
      <c r="C143" s="26">
        <v>389</v>
      </c>
      <c r="D143" s="27">
        <v>46225</v>
      </c>
      <c r="E143" s="24" t="s">
        <v>219</v>
      </c>
      <c r="F143" s="24" t="s">
        <v>263</v>
      </c>
      <c r="G143" s="24" t="s">
        <v>277</v>
      </c>
      <c r="H143" s="24" t="s">
        <v>200</v>
      </c>
      <c r="I143" s="24">
        <v>335</v>
      </c>
      <c r="J143" s="24">
        <v>2.65</v>
      </c>
      <c r="K143" s="24" t="s">
        <v>168</v>
      </c>
      <c r="L143" s="25">
        <v>887.75</v>
      </c>
      <c r="M143" s="25">
        <v>2.65</v>
      </c>
      <c r="N143" s="24">
        <v>2.65</v>
      </c>
      <c r="O143" s="24">
        <v>1047.55</v>
      </c>
      <c r="P143" s="24" t="s">
        <v>248</v>
      </c>
      <c r="Q143" s="24" t="s">
        <v>248</v>
      </c>
      <c r="R143" s="24"/>
      <c r="S143" s="24"/>
      <c r="T143" s="24" t="s">
        <v>240</v>
      </c>
      <c r="U143" s="24">
        <v>1</v>
      </c>
      <c r="V143" s="24"/>
      <c r="W143" s="24">
        <v>9</v>
      </c>
      <c r="X143" s="24">
        <v>79.900000000000006</v>
      </c>
      <c r="Y143" s="24">
        <v>9</v>
      </c>
      <c r="Z143" s="24">
        <v>79.900000000000006</v>
      </c>
      <c r="AA143" s="24">
        <v>0</v>
      </c>
      <c r="AB143" s="24">
        <v>0</v>
      </c>
      <c r="AC143" s="24">
        <v>39201019</v>
      </c>
      <c r="AD143" s="24" t="s">
        <v>193</v>
      </c>
      <c r="AE143" s="27">
        <v>46225</v>
      </c>
      <c r="AF143" s="24">
        <v>0</v>
      </c>
      <c r="AG143" s="24">
        <v>0</v>
      </c>
      <c r="AH143" s="24"/>
      <c r="AI143" s="24">
        <v>0</v>
      </c>
      <c r="AJ143" s="24"/>
      <c r="AK143" s="24"/>
      <c r="AL143" s="24"/>
      <c r="AM143" s="24">
        <v>0</v>
      </c>
      <c r="AN143" s="24">
        <v>0</v>
      </c>
      <c r="AO143" s="24">
        <v>0</v>
      </c>
      <c r="AP143" s="24">
        <v>0</v>
      </c>
      <c r="AQ143" s="24">
        <v>0</v>
      </c>
      <c r="AR143" s="24">
        <v>0</v>
      </c>
      <c r="AS143" s="24">
        <v>0</v>
      </c>
      <c r="AT143" s="24">
        <v>0</v>
      </c>
      <c r="AU143" s="24"/>
      <c r="AV143" s="24" t="s">
        <v>247</v>
      </c>
      <c r="AW143" s="24" t="s">
        <v>209</v>
      </c>
      <c r="AX143" s="24" t="s">
        <v>199</v>
      </c>
      <c r="AY143" s="24" t="s">
        <v>200</v>
      </c>
      <c r="AZ143" s="24" t="s">
        <v>169</v>
      </c>
      <c r="BA143" s="24" t="s">
        <v>201</v>
      </c>
      <c r="BB143" s="24" t="s">
        <v>158</v>
      </c>
    </row>
    <row r="144" spans="1:54" x14ac:dyDescent="0.25">
      <c r="A144" s="26"/>
      <c r="B144" s="24" t="s">
        <v>167</v>
      </c>
      <c r="C144" s="26">
        <v>392</v>
      </c>
      <c r="D144" s="27">
        <v>46225</v>
      </c>
      <c r="E144" s="24" t="s">
        <v>489</v>
      </c>
      <c r="F144" s="24" t="s">
        <v>619</v>
      </c>
      <c r="G144" s="24" t="s">
        <v>246</v>
      </c>
      <c r="H144" s="24" t="s">
        <v>491</v>
      </c>
      <c r="I144" s="24">
        <v>159.74</v>
      </c>
      <c r="J144" s="24">
        <v>63.2</v>
      </c>
      <c r="K144" s="24" t="s">
        <v>168</v>
      </c>
      <c r="L144" s="25">
        <v>10095.57</v>
      </c>
      <c r="M144" s="25">
        <v>63.2</v>
      </c>
      <c r="N144" s="24">
        <v>63.2</v>
      </c>
      <c r="O144" s="24">
        <v>41394.31</v>
      </c>
      <c r="P144" s="24" t="s">
        <v>182</v>
      </c>
      <c r="Q144" s="24" t="s">
        <v>182</v>
      </c>
      <c r="R144" s="24"/>
      <c r="S144" s="24"/>
      <c r="T144" s="24" t="s">
        <v>240</v>
      </c>
      <c r="U144" s="24">
        <v>1</v>
      </c>
      <c r="V144" s="24"/>
      <c r="W144" s="24">
        <v>9</v>
      </c>
      <c r="X144" s="24">
        <v>908.6</v>
      </c>
      <c r="Y144" s="24">
        <v>9</v>
      </c>
      <c r="Z144" s="24">
        <v>908.6</v>
      </c>
      <c r="AA144" s="24">
        <v>0</v>
      </c>
      <c r="AB144" s="24">
        <v>0</v>
      </c>
      <c r="AC144" s="24">
        <v>39269080</v>
      </c>
      <c r="AD144" s="24" t="s">
        <v>193</v>
      </c>
      <c r="AE144" s="27">
        <v>46225</v>
      </c>
      <c r="AF144" s="24">
        <v>0</v>
      </c>
      <c r="AG144" s="24">
        <v>0</v>
      </c>
      <c r="AH144" s="24"/>
      <c r="AI144" s="24">
        <v>0</v>
      </c>
      <c r="AJ144" s="24"/>
      <c r="AK144" s="24"/>
      <c r="AL144" s="24"/>
      <c r="AM144" s="24">
        <v>0</v>
      </c>
      <c r="AN144" s="24">
        <v>0</v>
      </c>
      <c r="AO144" s="24">
        <v>0</v>
      </c>
      <c r="AP144" s="24">
        <v>0</v>
      </c>
      <c r="AQ144" s="24">
        <v>0</v>
      </c>
      <c r="AR144" s="24">
        <v>0</v>
      </c>
      <c r="AS144" s="24">
        <v>0</v>
      </c>
      <c r="AT144" s="24">
        <v>0</v>
      </c>
      <c r="AU144" s="24"/>
      <c r="AV144" s="24" t="s">
        <v>620</v>
      </c>
      <c r="AW144" s="24" t="s">
        <v>209</v>
      </c>
      <c r="AX144" s="24" t="s">
        <v>181</v>
      </c>
      <c r="AY144" s="24" t="s">
        <v>182</v>
      </c>
      <c r="AZ144" s="24" t="s">
        <v>169</v>
      </c>
      <c r="BA144" s="24" t="s">
        <v>182</v>
      </c>
      <c r="BB144" s="24" t="s">
        <v>154</v>
      </c>
    </row>
    <row r="145" spans="1:54" x14ac:dyDescent="0.25">
      <c r="A145" s="26"/>
      <c r="B145" s="24" t="s">
        <v>167</v>
      </c>
      <c r="C145" s="26">
        <v>392</v>
      </c>
      <c r="D145" s="27">
        <v>46225</v>
      </c>
      <c r="E145" s="24" t="s">
        <v>489</v>
      </c>
      <c r="F145" s="24" t="s">
        <v>619</v>
      </c>
      <c r="G145" s="24" t="s">
        <v>246</v>
      </c>
      <c r="H145" s="24" t="s">
        <v>493</v>
      </c>
      <c r="I145" s="24">
        <v>156.74</v>
      </c>
      <c r="J145" s="24">
        <v>159.4</v>
      </c>
      <c r="K145" s="24" t="s">
        <v>168</v>
      </c>
      <c r="L145" s="25">
        <v>24984.36</v>
      </c>
      <c r="M145" s="25">
        <v>159.4</v>
      </c>
      <c r="N145" s="24">
        <v>159.4</v>
      </c>
      <c r="O145" s="24">
        <v>0</v>
      </c>
      <c r="P145" s="24" t="s">
        <v>182</v>
      </c>
      <c r="Q145" s="24" t="s">
        <v>182</v>
      </c>
      <c r="R145" s="24"/>
      <c r="S145" s="24"/>
      <c r="T145" s="24" t="s">
        <v>240</v>
      </c>
      <c r="U145" s="24">
        <v>1</v>
      </c>
      <c r="V145" s="24"/>
      <c r="W145" s="24">
        <v>9</v>
      </c>
      <c r="X145" s="24">
        <v>2248.59</v>
      </c>
      <c r="Y145" s="24">
        <v>9</v>
      </c>
      <c r="Z145" s="24">
        <v>2248.59</v>
      </c>
      <c r="AA145" s="24">
        <v>0</v>
      </c>
      <c r="AB145" s="24">
        <v>0</v>
      </c>
      <c r="AC145" s="24">
        <v>39269080</v>
      </c>
      <c r="AD145" s="24" t="s">
        <v>193</v>
      </c>
      <c r="AE145" s="27">
        <v>46225</v>
      </c>
      <c r="AF145" s="24">
        <v>0</v>
      </c>
      <c r="AG145" s="24">
        <v>0</v>
      </c>
      <c r="AH145" s="24"/>
      <c r="AI145" s="24">
        <v>0</v>
      </c>
      <c r="AJ145" s="24"/>
      <c r="AK145" s="24"/>
      <c r="AL145" s="24"/>
      <c r="AM145" s="24">
        <v>0</v>
      </c>
      <c r="AN145" s="24">
        <v>0</v>
      </c>
      <c r="AO145" s="24">
        <v>0</v>
      </c>
      <c r="AP145" s="24">
        <v>0</v>
      </c>
      <c r="AQ145" s="24">
        <v>0</v>
      </c>
      <c r="AR145" s="24">
        <v>0</v>
      </c>
      <c r="AS145" s="24">
        <v>0</v>
      </c>
      <c r="AT145" s="24">
        <v>0</v>
      </c>
      <c r="AU145" s="24"/>
      <c r="AV145" s="24" t="s">
        <v>620</v>
      </c>
      <c r="AW145" s="24" t="s">
        <v>209</v>
      </c>
      <c r="AX145" s="24" t="s">
        <v>181</v>
      </c>
      <c r="AY145" s="24" t="s">
        <v>182</v>
      </c>
      <c r="AZ145" s="24" t="s">
        <v>169</v>
      </c>
      <c r="BA145" s="24" t="s">
        <v>182</v>
      </c>
      <c r="BB145" s="24" t="s">
        <v>154</v>
      </c>
    </row>
    <row r="146" spans="1:54" x14ac:dyDescent="0.25">
      <c r="A146" s="26"/>
      <c r="B146" s="24" t="s">
        <v>167</v>
      </c>
      <c r="C146" s="26" t="s">
        <v>487</v>
      </c>
      <c r="D146" s="27">
        <v>46225</v>
      </c>
      <c r="E146" s="24" t="s">
        <v>486</v>
      </c>
      <c r="F146" s="24" t="s">
        <v>621</v>
      </c>
      <c r="G146" s="24" t="s">
        <v>249</v>
      </c>
      <c r="H146" s="24" t="s">
        <v>214</v>
      </c>
      <c r="I146" s="24">
        <v>3.2532102272727301</v>
      </c>
      <c r="J146" s="24">
        <v>10680</v>
      </c>
      <c r="K146" s="24" t="s">
        <v>232</v>
      </c>
      <c r="L146" s="25">
        <v>3324990.9959999998</v>
      </c>
      <c r="M146" s="25">
        <v>13323</v>
      </c>
      <c r="N146" s="24">
        <v>20473</v>
      </c>
      <c r="O146" s="24">
        <v>4974444.72</v>
      </c>
      <c r="P146" s="24" t="s">
        <v>207</v>
      </c>
      <c r="Q146" s="24" t="s">
        <v>207</v>
      </c>
      <c r="R146" s="24"/>
      <c r="S146" s="24"/>
      <c r="T146" s="24" t="s">
        <v>250</v>
      </c>
      <c r="U146" s="24">
        <v>108.6</v>
      </c>
      <c r="V146" s="24" t="s">
        <v>260</v>
      </c>
      <c r="W146" s="24"/>
      <c r="X146" s="24"/>
      <c r="Y146" s="24"/>
      <c r="Z146" s="24"/>
      <c r="AA146" s="24">
        <v>18</v>
      </c>
      <c r="AB146" s="24">
        <v>6253.97</v>
      </c>
      <c r="AC146" s="24">
        <v>63053200</v>
      </c>
      <c r="AD146" s="24"/>
      <c r="AE146" s="27">
        <v>46225</v>
      </c>
      <c r="AF146" s="24">
        <v>41677.769999999997</v>
      </c>
      <c r="AG146" s="24">
        <v>4526205.8219999997</v>
      </c>
      <c r="AH146" s="24" t="s">
        <v>252</v>
      </c>
      <c r="AI146" s="24">
        <v>45805.2</v>
      </c>
      <c r="AJ146" s="24"/>
      <c r="AK146" s="24"/>
      <c r="AL146" s="24">
        <v>6220250</v>
      </c>
      <c r="AM146" s="24">
        <v>4104.53</v>
      </c>
      <c r="AN146" s="24">
        <v>22.9</v>
      </c>
      <c r="AO146" s="24">
        <v>0</v>
      </c>
      <c r="AP146" s="24">
        <v>0</v>
      </c>
      <c r="AQ146" s="24">
        <v>0</v>
      </c>
      <c r="AR146" s="24">
        <v>0</v>
      </c>
      <c r="AS146" s="24">
        <v>0</v>
      </c>
      <c r="AT146" s="24">
        <v>0</v>
      </c>
      <c r="AU146" s="24" t="s">
        <v>622</v>
      </c>
      <c r="AV146" s="24" t="s">
        <v>623</v>
      </c>
      <c r="AW146" s="24" t="s">
        <v>488</v>
      </c>
      <c r="AX146" s="24" t="s">
        <v>190</v>
      </c>
      <c r="AY146" s="24" t="s">
        <v>191</v>
      </c>
      <c r="AZ146" s="24" t="s">
        <v>192</v>
      </c>
      <c r="BA146" s="24" t="s">
        <v>152</v>
      </c>
      <c r="BB146" s="24" t="s">
        <v>162</v>
      </c>
    </row>
    <row r="147" spans="1:54" x14ac:dyDescent="0.25">
      <c r="A147" s="26"/>
      <c r="B147" s="24" t="s">
        <v>167</v>
      </c>
      <c r="C147" s="26" t="s">
        <v>487</v>
      </c>
      <c r="D147" s="27">
        <v>46225</v>
      </c>
      <c r="E147" s="24" t="s">
        <v>486</v>
      </c>
      <c r="F147" s="24" t="s">
        <v>621</v>
      </c>
      <c r="G147" s="24" t="s">
        <v>249</v>
      </c>
      <c r="H147" s="24" t="s">
        <v>214</v>
      </c>
      <c r="I147" s="24">
        <v>3.2532102272727301</v>
      </c>
      <c r="J147" s="24">
        <v>3400</v>
      </c>
      <c r="K147" s="24" t="s">
        <v>232</v>
      </c>
      <c r="L147" s="25">
        <v>1201214.8259999999</v>
      </c>
      <c r="M147" s="25">
        <v>6478</v>
      </c>
      <c r="N147" s="24">
        <v>20473</v>
      </c>
      <c r="O147" s="24">
        <v>0</v>
      </c>
      <c r="P147" s="24" t="s">
        <v>207</v>
      </c>
      <c r="Q147" s="24" t="s">
        <v>207</v>
      </c>
      <c r="R147" s="24"/>
      <c r="S147" s="24"/>
      <c r="T147" s="24" t="s">
        <v>250</v>
      </c>
      <c r="U147" s="24">
        <v>108.6</v>
      </c>
      <c r="V147" s="24" t="s">
        <v>260</v>
      </c>
      <c r="W147" s="24"/>
      <c r="X147" s="24"/>
      <c r="Y147" s="24"/>
      <c r="Z147" s="24"/>
      <c r="AA147" s="24">
        <v>18</v>
      </c>
      <c r="AB147" s="24">
        <v>1990.96</v>
      </c>
      <c r="AC147" s="24">
        <v>63053200</v>
      </c>
      <c r="AD147" s="24"/>
      <c r="AE147" s="27">
        <v>46225</v>
      </c>
      <c r="AF147" s="24">
        <v>0</v>
      </c>
      <c r="AG147" s="24">
        <v>0</v>
      </c>
      <c r="AH147" s="24" t="s">
        <v>252</v>
      </c>
      <c r="AI147" s="24">
        <v>45805.2</v>
      </c>
      <c r="AJ147" s="24"/>
      <c r="AK147" s="24"/>
      <c r="AL147" s="24">
        <v>6220250</v>
      </c>
      <c r="AM147" s="24">
        <v>0</v>
      </c>
      <c r="AN147" s="24">
        <v>0</v>
      </c>
      <c r="AO147" s="24">
        <v>0</v>
      </c>
      <c r="AP147" s="24">
        <v>0</v>
      </c>
      <c r="AQ147" s="24">
        <v>0</v>
      </c>
      <c r="AR147" s="24">
        <v>0</v>
      </c>
      <c r="AS147" s="24">
        <v>0</v>
      </c>
      <c r="AT147" s="24">
        <v>0</v>
      </c>
      <c r="AU147" s="24"/>
      <c r="AV147" s="24" t="s">
        <v>623</v>
      </c>
      <c r="AW147" s="24" t="s">
        <v>488</v>
      </c>
      <c r="AX147" s="24" t="s">
        <v>194</v>
      </c>
      <c r="AY147" s="24" t="s">
        <v>195</v>
      </c>
      <c r="AZ147" s="24" t="s">
        <v>192</v>
      </c>
      <c r="BA147" s="24" t="s">
        <v>152</v>
      </c>
      <c r="BB147" s="24" t="s">
        <v>162</v>
      </c>
    </row>
    <row r="148" spans="1:54" x14ac:dyDescent="0.25">
      <c r="A148" s="24"/>
      <c r="B148" s="24" t="s">
        <v>167</v>
      </c>
      <c r="C148" s="26">
        <v>393</v>
      </c>
      <c r="D148" s="27">
        <v>46226</v>
      </c>
      <c r="E148" s="24" t="s">
        <v>501</v>
      </c>
      <c r="F148" s="24" t="s">
        <v>624</v>
      </c>
      <c r="G148" s="24" t="s">
        <v>625</v>
      </c>
      <c r="H148" s="24" t="s">
        <v>503</v>
      </c>
      <c r="I148" s="24">
        <v>692</v>
      </c>
      <c r="J148" s="24">
        <v>500</v>
      </c>
      <c r="K148" s="24" t="s">
        <v>232</v>
      </c>
      <c r="L148" s="24">
        <v>346000</v>
      </c>
      <c r="M148" s="24">
        <v>1390</v>
      </c>
      <c r="N148" s="24">
        <v>1390</v>
      </c>
      <c r="O148" s="24">
        <v>408280</v>
      </c>
      <c r="P148" s="24" t="s">
        <v>207</v>
      </c>
      <c r="Q148" s="24" t="s">
        <v>207</v>
      </c>
      <c r="R148" s="24"/>
      <c r="S148" s="24"/>
      <c r="T148" s="24" t="s">
        <v>240</v>
      </c>
      <c r="U148" s="24">
        <v>1</v>
      </c>
      <c r="V148" s="24"/>
      <c r="W148" s="24">
        <v>0</v>
      </c>
      <c r="X148" s="24">
        <v>0</v>
      </c>
      <c r="Y148" s="24">
        <v>0</v>
      </c>
      <c r="Z148" s="24">
        <v>0</v>
      </c>
      <c r="AA148" s="24">
        <v>18</v>
      </c>
      <c r="AB148" s="24">
        <v>62280</v>
      </c>
      <c r="AC148" s="24">
        <v>39232999</v>
      </c>
      <c r="AD148" s="24" t="s">
        <v>193</v>
      </c>
      <c r="AE148" s="27">
        <v>46226</v>
      </c>
      <c r="AF148" s="24">
        <v>0</v>
      </c>
      <c r="AG148" s="24">
        <v>0</v>
      </c>
      <c r="AH148" s="24"/>
      <c r="AI148" s="24">
        <v>0</v>
      </c>
      <c r="AJ148" s="24"/>
      <c r="AK148" s="24"/>
      <c r="AL148" s="24"/>
      <c r="AM148" s="24">
        <v>0</v>
      </c>
      <c r="AN148" s="24">
        <v>0</v>
      </c>
      <c r="AO148" s="24">
        <v>0</v>
      </c>
      <c r="AP148" s="24">
        <v>0</v>
      </c>
      <c r="AQ148" s="24">
        <v>0</v>
      </c>
      <c r="AR148" s="24">
        <v>0</v>
      </c>
      <c r="AS148" s="24">
        <v>0</v>
      </c>
      <c r="AT148" s="24">
        <v>0</v>
      </c>
      <c r="AU148" s="24"/>
      <c r="AV148" s="24" t="s">
        <v>626</v>
      </c>
      <c r="AW148" s="24" t="s">
        <v>209</v>
      </c>
      <c r="AX148" s="24" t="s">
        <v>194</v>
      </c>
      <c r="AY148" s="24" t="s">
        <v>195</v>
      </c>
      <c r="AZ148" s="24" t="s">
        <v>192</v>
      </c>
      <c r="BA148" s="24" t="s">
        <v>152</v>
      </c>
      <c r="BB148" s="24" t="s">
        <v>152</v>
      </c>
    </row>
    <row r="149" spans="1:54" x14ac:dyDescent="0.25">
      <c r="A149" s="26"/>
      <c r="B149" s="24" t="s">
        <v>167</v>
      </c>
      <c r="C149" s="26">
        <v>394</v>
      </c>
      <c r="D149" s="27">
        <v>46226</v>
      </c>
      <c r="E149" s="24" t="s">
        <v>219</v>
      </c>
      <c r="F149" s="24" t="s">
        <v>175</v>
      </c>
      <c r="G149" s="24" t="s">
        <v>242</v>
      </c>
      <c r="H149" s="24" t="s">
        <v>187</v>
      </c>
      <c r="I149" s="24">
        <v>154.74</v>
      </c>
      <c r="J149" s="24">
        <v>888.5</v>
      </c>
      <c r="K149" s="24" t="s">
        <v>168</v>
      </c>
      <c r="L149" s="25">
        <v>137486.49</v>
      </c>
      <c r="M149" s="25">
        <v>888.5</v>
      </c>
      <c r="N149" s="24">
        <v>938.5</v>
      </c>
      <c r="O149" s="24">
        <v>162234.04999999999</v>
      </c>
      <c r="P149" s="24" t="s">
        <v>243</v>
      </c>
      <c r="Q149" s="24" t="s">
        <v>243</v>
      </c>
      <c r="R149" s="24"/>
      <c r="S149" s="24"/>
      <c r="T149" s="24" t="s">
        <v>240</v>
      </c>
      <c r="U149" s="24">
        <v>1</v>
      </c>
      <c r="V149" s="24"/>
      <c r="W149" s="24">
        <v>9</v>
      </c>
      <c r="X149" s="24">
        <v>12373.78</v>
      </c>
      <c r="Y149" s="24">
        <v>9</v>
      </c>
      <c r="Z149" s="24">
        <v>12373.78</v>
      </c>
      <c r="AA149" s="24">
        <v>0</v>
      </c>
      <c r="AB149" s="24">
        <v>0</v>
      </c>
      <c r="AC149" s="24">
        <v>39269080</v>
      </c>
      <c r="AD149" s="24" t="s">
        <v>193</v>
      </c>
      <c r="AE149" s="27">
        <v>46226</v>
      </c>
      <c r="AF149" s="24">
        <v>0</v>
      </c>
      <c r="AG149" s="24">
        <v>0</v>
      </c>
      <c r="AH149" s="24"/>
      <c r="AI149" s="24">
        <v>0</v>
      </c>
      <c r="AJ149" s="24"/>
      <c r="AK149" s="24"/>
      <c r="AL149" s="24"/>
      <c r="AM149" s="24">
        <v>0</v>
      </c>
      <c r="AN149" s="24">
        <v>0</v>
      </c>
      <c r="AO149" s="24">
        <v>0</v>
      </c>
      <c r="AP149" s="24">
        <v>0</v>
      </c>
      <c r="AQ149" s="24">
        <v>0</v>
      </c>
      <c r="AR149" s="24">
        <v>0</v>
      </c>
      <c r="AS149" s="24">
        <v>0</v>
      </c>
      <c r="AT149" s="24">
        <v>0</v>
      </c>
      <c r="AU149" s="24"/>
      <c r="AV149" s="24" t="s">
        <v>247</v>
      </c>
      <c r="AW149" s="24" t="s">
        <v>209</v>
      </c>
      <c r="AX149" s="24" t="s">
        <v>186</v>
      </c>
      <c r="AY149" s="24" t="s">
        <v>187</v>
      </c>
      <c r="AZ149" s="24" t="s">
        <v>169</v>
      </c>
      <c r="BA149" s="24" t="s">
        <v>180</v>
      </c>
      <c r="BB149" s="24" t="s">
        <v>155</v>
      </c>
    </row>
    <row r="150" spans="1:54" x14ac:dyDescent="0.25">
      <c r="A150" s="26"/>
      <c r="B150" s="24" t="s">
        <v>167</v>
      </c>
      <c r="C150" s="26">
        <v>396</v>
      </c>
      <c r="D150" s="27">
        <v>46226</v>
      </c>
      <c r="E150" s="24" t="s">
        <v>219</v>
      </c>
      <c r="F150" s="24" t="s">
        <v>263</v>
      </c>
      <c r="G150" s="24" t="s">
        <v>277</v>
      </c>
      <c r="H150" s="24" t="s">
        <v>200</v>
      </c>
      <c r="I150" s="24">
        <v>285</v>
      </c>
      <c r="J150" s="24">
        <v>17.5</v>
      </c>
      <c r="K150" s="24" t="s">
        <v>168</v>
      </c>
      <c r="L150" s="25">
        <v>4987.5</v>
      </c>
      <c r="M150" s="25">
        <v>17.5</v>
      </c>
      <c r="N150" s="24">
        <v>17.5</v>
      </c>
      <c r="O150" s="24">
        <v>5885.26</v>
      </c>
      <c r="P150" s="24" t="s">
        <v>248</v>
      </c>
      <c r="Q150" s="24" t="s">
        <v>248</v>
      </c>
      <c r="R150" s="24"/>
      <c r="S150" s="24"/>
      <c r="T150" s="24" t="s">
        <v>240</v>
      </c>
      <c r="U150" s="24">
        <v>1</v>
      </c>
      <c r="V150" s="24"/>
      <c r="W150" s="24">
        <v>9</v>
      </c>
      <c r="X150" s="24">
        <v>448.88</v>
      </c>
      <c r="Y150" s="24">
        <v>9</v>
      </c>
      <c r="Z150" s="24">
        <v>448.88</v>
      </c>
      <c r="AA150" s="24">
        <v>0</v>
      </c>
      <c r="AB150" s="24">
        <v>0</v>
      </c>
      <c r="AC150" s="24">
        <v>39201019</v>
      </c>
      <c r="AD150" s="24" t="s">
        <v>193</v>
      </c>
      <c r="AE150" s="27">
        <v>46226</v>
      </c>
      <c r="AF150" s="24">
        <v>0</v>
      </c>
      <c r="AG150" s="24">
        <v>0</v>
      </c>
      <c r="AH150" s="24"/>
      <c r="AI150" s="24">
        <v>0</v>
      </c>
      <c r="AJ150" s="24"/>
      <c r="AK150" s="24"/>
      <c r="AL150" s="24"/>
      <c r="AM150" s="24">
        <v>0</v>
      </c>
      <c r="AN150" s="24">
        <v>0</v>
      </c>
      <c r="AO150" s="24">
        <v>0</v>
      </c>
      <c r="AP150" s="24">
        <v>0</v>
      </c>
      <c r="AQ150" s="24">
        <v>0</v>
      </c>
      <c r="AR150" s="24">
        <v>0</v>
      </c>
      <c r="AS150" s="24">
        <v>0</v>
      </c>
      <c r="AT150" s="24">
        <v>0</v>
      </c>
      <c r="AU150" s="24"/>
      <c r="AV150" s="24" t="s">
        <v>247</v>
      </c>
      <c r="AW150" s="24" t="s">
        <v>209</v>
      </c>
      <c r="AX150" s="24" t="s">
        <v>199</v>
      </c>
      <c r="AY150" s="24" t="s">
        <v>200</v>
      </c>
      <c r="AZ150" s="24" t="s">
        <v>169</v>
      </c>
      <c r="BA150" s="24" t="s">
        <v>201</v>
      </c>
      <c r="BB150" s="24" t="s">
        <v>158</v>
      </c>
    </row>
    <row r="151" spans="1:54" x14ac:dyDescent="0.25">
      <c r="A151" s="26"/>
      <c r="B151" s="24" t="s">
        <v>167</v>
      </c>
      <c r="C151" s="26">
        <v>398</v>
      </c>
      <c r="D151" s="27">
        <v>46226</v>
      </c>
      <c r="E151" s="24" t="s">
        <v>205</v>
      </c>
      <c r="F151" s="24" t="s">
        <v>627</v>
      </c>
      <c r="G151" s="24" t="s">
        <v>277</v>
      </c>
      <c r="H151" s="24" t="s">
        <v>200</v>
      </c>
      <c r="I151" s="24">
        <v>265</v>
      </c>
      <c r="J151" s="24">
        <v>37.700000000000003</v>
      </c>
      <c r="K151" s="24" t="s">
        <v>168</v>
      </c>
      <c r="L151" s="25">
        <v>9990.5</v>
      </c>
      <c r="M151" s="25">
        <v>37.700000000000003</v>
      </c>
      <c r="N151" s="24">
        <v>37.700000000000003</v>
      </c>
      <c r="O151" s="24">
        <v>11788.78</v>
      </c>
      <c r="P151" s="24" t="s">
        <v>248</v>
      </c>
      <c r="Q151" s="24" t="s">
        <v>248</v>
      </c>
      <c r="R151" s="24"/>
      <c r="S151" s="24"/>
      <c r="T151" s="24" t="s">
        <v>240</v>
      </c>
      <c r="U151" s="24">
        <v>1</v>
      </c>
      <c r="V151" s="24"/>
      <c r="W151" s="24">
        <v>9</v>
      </c>
      <c r="X151" s="24">
        <v>899.14</v>
      </c>
      <c r="Y151" s="24">
        <v>9</v>
      </c>
      <c r="Z151" s="24">
        <v>899.14</v>
      </c>
      <c r="AA151" s="24">
        <v>0</v>
      </c>
      <c r="AB151" s="24">
        <v>0</v>
      </c>
      <c r="AC151" s="24">
        <v>39201019</v>
      </c>
      <c r="AD151" s="24" t="s">
        <v>193</v>
      </c>
      <c r="AE151" s="27">
        <v>46226</v>
      </c>
      <c r="AF151" s="24">
        <v>0</v>
      </c>
      <c r="AG151" s="24">
        <v>0</v>
      </c>
      <c r="AH151" s="24"/>
      <c r="AI151" s="24">
        <v>0</v>
      </c>
      <c r="AJ151" s="24"/>
      <c r="AK151" s="24"/>
      <c r="AL151" s="24"/>
      <c r="AM151" s="24">
        <v>0</v>
      </c>
      <c r="AN151" s="24">
        <v>0</v>
      </c>
      <c r="AO151" s="24">
        <v>0</v>
      </c>
      <c r="AP151" s="24">
        <v>0</v>
      </c>
      <c r="AQ151" s="24">
        <v>0</v>
      </c>
      <c r="AR151" s="24">
        <v>0</v>
      </c>
      <c r="AS151" s="24">
        <v>0</v>
      </c>
      <c r="AT151" s="24">
        <v>0</v>
      </c>
      <c r="AU151" s="24"/>
      <c r="AV151" s="24" t="s">
        <v>241</v>
      </c>
      <c r="AW151" s="24" t="s">
        <v>209</v>
      </c>
      <c r="AX151" s="24" t="s">
        <v>199</v>
      </c>
      <c r="AY151" s="24" t="s">
        <v>200</v>
      </c>
      <c r="AZ151" s="24" t="s">
        <v>169</v>
      </c>
      <c r="BA151" s="24" t="s">
        <v>201</v>
      </c>
      <c r="BB151" s="24" t="s">
        <v>158</v>
      </c>
    </row>
    <row r="152" spans="1:54" x14ac:dyDescent="0.25">
      <c r="A152" s="26"/>
      <c r="B152" s="24" t="s">
        <v>167</v>
      </c>
      <c r="C152" s="26">
        <v>399</v>
      </c>
      <c r="D152" s="27">
        <v>46226</v>
      </c>
      <c r="E152" s="24" t="s">
        <v>205</v>
      </c>
      <c r="F152" s="24" t="s">
        <v>628</v>
      </c>
      <c r="G152" s="24" t="s">
        <v>242</v>
      </c>
      <c r="H152" s="24" t="s">
        <v>273</v>
      </c>
      <c r="I152" s="24">
        <v>154.74</v>
      </c>
      <c r="J152" s="24">
        <v>132</v>
      </c>
      <c r="K152" s="24" t="s">
        <v>168</v>
      </c>
      <c r="L152" s="25">
        <v>20425.68</v>
      </c>
      <c r="M152" s="25">
        <v>132</v>
      </c>
      <c r="N152" s="24">
        <v>132</v>
      </c>
      <c r="O152" s="24">
        <v>84288.47</v>
      </c>
      <c r="P152" s="24" t="s">
        <v>243</v>
      </c>
      <c r="Q152" s="24" t="s">
        <v>243</v>
      </c>
      <c r="R152" s="24"/>
      <c r="S152" s="24"/>
      <c r="T152" s="24" t="s">
        <v>240</v>
      </c>
      <c r="U152" s="24">
        <v>1</v>
      </c>
      <c r="V152" s="24"/>
      <c r="W152" s="24">
        <v>9</v>
      </c>
      <c r="X152" s="24">
        <v>1838.31</v>
      </c>
      <c r="Y152" s="24">
        <v>9</v>
      </c>
      <c r="Z152" s="24">
        <v>1838.31</v>
      </c>
      <c r="AA152" s="24">
        <v>0</v>
      </c>
      <c r="AB152" s="24">
        <v>0</v>
      </c>
      <c r="AC152" s="24">
        <v>39269080</v>
      </c>
      <c r="AD152" s="24" t="s">
        <v>193</v>
      </c>
      <c r="AE152" s="27">
        <v>46226</v>
      </c>
      <c r="AF152" s="24">
        <v>0</v>
      </c>
      <c r="AG152" s="24">
        <v>0</v>
      </c>
      <c r="AH152" s="24"/>
      <c r="AI152" s="24">
        <v>0</v>
      </c>
      <c r="AJ152" s="24"/>
      <c r="AK152" s="24"/>
      <c r="AL152" s="24"/>
      <c r="AM152" s="24">
        <v>0</v>
      </c>
      <c r="AN152" s="24">
        <v>0</v>
      </c>
      <c r="AO152" s="24">
        <v>0</v>
      </c>
      <c r="AP152" s="24">
        <v>0</v>
      </c>
      <c r="AQ152" s="24">
        <v>0</v>
      </c>
      <c r="AR152" s="24">
        <v>0</v>
      </c>
      <c r="AS152" s="24">
        <v>0</v>
      </c>
      <c r="AT152" s="24">
        <v>0</v>
      </c>
      <c r="AU152" s="24"/>
      <c r="AV152" s="24" t="s">
        <v>241</v>
      </c>
      <c r="AW152" s="24" t="s">
        <v>209</v>
      </c>
      <c r="AX152" s="24" t="s">
        <v>245</v>
      </c>
      <c r="AY152" s="24" t="s">
        <v>153</v>
      </c>
      <c r="AZ152" s="24" t="s">
        <v>192</v>
      </c>
      <c r="BA152" s="24" t="s">
        <v>153</v>
      </c>
      <c r="BB152" s="24" t="s">
        <v>153</v>
      </c>
    </row>
    <row r="153" spans="1:54" x14ac:dyDescent="0.25">
      <c r="A153" s="26"/>
      <c r="B153" s="24" t="s">
        <v>167</v>
      </c>
      <c r="C153" s="26">
        <v>399</v>
      </c>
      <c r="D153" s="27">
        <v>46226</v>
      </c>
      <c r="E153" s="24" t="s">
        <v>205</v>
      </c>
      <c r="F153" s="24" t="s">
        <v>628</v>
      </c>
      <c r="G153" s="24" t="s">
        <v>279</v>
      </c>
      <c r="H153" s="24" t="s">
        <v>365</v>
      </c>
      <c r="I153" s="24">
        <v>158.74</v>
      </c>
      <c r="J153" s="24">
        <v>78</v>
      </c>
      <c r="K153" s="24" t="s">
        <v>168</v>
      </c>
      <c r="L153" s="25">
        <v>12381.72</v>
      </c>
      <c r="M153" s="25">
        <v>78</v>
      </c>
      <c r="N153" s="24">
        <v>88</v>
      </c>
      <c r="O153" s="24">
        <v>0</v>
      </c>
      <c r="P153" s="24" t="s">
        <v>243</v>
      </c>
      <c r="Q153" s="24" t="s">
        <v>243</v>
      </c>
      <c r="R153" s="24"/>
      <c r="S153" s="24"/>
      <c r="T153" s="24" t="s">
        <v>240</v>
      </c>
      <c r="U153" s="24">
        <v>1</v>
      </c>
      <c r="V153" s="24"/>
      <c r="W153" s="24">
        <v>9</v>
      </c>
      <c r="X153" s="24">
        <v>1114.3499999999999</v>
      </c>
      <c r="Y153" s="24">
        <v>9</v>
      </c>
      <c r="Z153" s="24">
        <v>1114.3499999999999</v>
      </c>
      <c r="AA153" s="24">
        <v>0</v>
      </c>
      <c r="AB153" s="24">
        <v>0</v>
      </c>
      <c r="AC153" s="24">
        <v>39269080</v>
      </c>
      <c r="AD153" s="24" t="s">
        <v>193</v>
      </c>
      <c r="AE153" s="27">
        <v>46226</v>
      </c>
      <c r="AF153" s="24">
        <v>0</v>
      </c>
      <c r="AG153" s="24">
        <v>0</v>
      </c>
      <c r="AH153" s="24"/>
      <c r="AI153" s="24">
        <v>0</v>
      </c>
      <c r="AJ153" s="24"/>
      <c r="AK153" s="24"/>
      <c r="AL153" s="24"/>
      <c r="AM153" s="24">
        <v>0</v>
      </c>
      <c r="AN153" s="24">
        <v>0</v>
      </c>
      <c r="AO153" s="24">
        <v>0</v>
      </c>
      <c r="AP153" s="24">
        <v>0</v>
      </c>
      <c r="AQ153" s="24">
        <v>0</v>
      </c>
      <c r="AR153" s="24">
        <v>0</v>
      </c>
      <c r="AS153" s="24">
        <v>0</v>
      </c>
      <c r="AT153" s="24">
        <v>0</v>
      </c>
      <c r="AU153" s="24"/>
      <c r="AV153" s="24" t="s">
        <v>241</v>
      </c>
      <c r="AW153" s="24" t="s">
        <v>209</v>
      </c>
      <c r="AX153" s="24" t="s">
        <v>178</v>
      </c>
      <c r="AY153" s="24" t="s">
        <v>179</v>
      </c>
      <c r="AZ153" s="24" t="s">
        <v>169</v>
      </c>
      <c r="BA153" s="24" t="s">
        <v>180</v>
      </c>
      <c r="BB153" s="24" t="s">
        <v>156</v>
      </c>
    </row>
    <row r="154" spans="1:54" x14ac:dyDescent="0.25">
      <c r="A154" s="26"/>
      <c r="B154" s="24" t="s">
        <v>167</v>
      </c>
      <c r="C154" s="26">
        <v>399</v>
      </c>
      <c r="D154" s="27">
        <v>46226</v>
      </c>
      <c r="E154" s="24" t="s">
        <v>205</v>
      </c>
      <c r="F154" s="24" t="s">
        <v>628</v>
      </c>
      <c r="G154" s="24" t="s">
        <v>279</v>
      </c>
      <c r="H154" s="24" t="s">
        <v>498</v>
      </c>
      <c r="I154" s="24">
        <v>161.74</v>
      </c>
      <c r="J154" s="24">
        <v>238.8</v>
      </c>
      <c r="K154" s="24" t="s">
        <v>168</v>
      </c>
      <c r="L154" s="25">
        <v>38623.51</v>
      </c>
      <c r="M154" s="25">
        <v>238.8</v>
      </c>
      <c r="N154" s="24">
        <v>240.8</v>
      </c>
      <c r="O154" s="24">
        <v>0</v>
      </c>
      <c r="P154" s="24" t="s">
        <v>243</v>
      </c>
      <c r="Q154" s="24" t="s">
        <v>243</v>
      </c>
      <c r="R154" s="24"/>
      <c r="S154" s="24"/>
      <c r="T154" s="24" t="s">
        <v>240</v>
      </c>
      <c r="U154" s="24">
        <v>1</v>
      </c>
      <c r="V154" s="24"/>
      <c r="W154" s="24">
        <v>9</v>
      </c>
      <c r="X154" s="24">
        <v>3476.12</v>
      </c>
      <c r="Y154" s="24">
        <v>9</v>
      </c>
      <c r="Z154" s="24">
        <v>3476.12</v>
      </c>
      <c r="AA154" s="24">
        <v>0</v>
      </c>
      <c r="AB154" s="24">
        <v>0</v>
      </c>
      <c r="AC154" s="24">
        <v>39269080</v>
      </c>
      <c r="AD154" s="24" t="s">
        <v>193</v>
      </c>
      <c r="AE154" s="27">
        <v>46226</v>
      </c>
      <c r="AF154" s="24">
        <v>0</v>
      </c>
      <c r="AG154" s="24">
        <v>0</v>
      </c>
      <c r="AH154" s="24"/>
      <c r="AI154" s="24">
        <v>0</v>
      </c>
      <c r="AJ154" s="24"/>
      <c r="AK154" s="24"/>
      <c r="AL154" s="24"/>
      <c r="AM154" s="24">
        <v>0</v>
      </c>
      <c r="AN154" s="24">
        <v>0</v>
      </c>
      <c r="AO154" s="24">
        <v>0</v>
      </c>
      <c r="AP154" s="24">
        <v>0</v>
      </c>
      <c r="AQ154" s="24">
        <v>0</v>
      </c>
      <c r="AR154" s="24">
        <v>0</v>
      </c>
      <c r="AS154" s="24">
        <v>0</v>
      </c>
      <c r="AT154" s="24">
        <v>0</v>
      </c>
      <c r="AU154" s="24"/>
      <c r="AV154" s="24" t="s">
        <v>241</v>
      </c>
      <c r="AW154" s="24" t="s">
        <v>209</v>
      </c>
      <c r="AX154" s="24" t="s">
        <v>178</v>
      </c>
      <c r="AY154" s="24" t="s">
        <v>179</v>
      </c>
      <c r="AZ154" s="24" t="s">
        <v>169</v>
      </c>
      <c r="BA154" s="24" t="s">
        <v>180</v>
      </c>
      <c r="BB154" s="24" t="s">
        <v>156</v>
      </c>
    </row>
    <row r="155" spans="1:54" x14ac:dyDescent="0.25">
      <c r="A155" s="26"/>
      <c r="B155" s="24" t="s">
        <v>167</v>
      </c>
      <c r="C155" s="26">
        <v>401</v>
      </c>
      <c r="D155" s="27">
        <v>46227</v>
      </c>
      <c r="E155" s="24" t="s">
        <v>219</v>
      </c>
      <c r="F155" s="24" t="s">
        <v>629</v>
      </c>
      <c r="G155" s="24" t="s">
        <v>239</v>
      </c>
      <c r="H155" s="24" t="s">
        <v>512</v>
      </c>
      <c r="I155" s="24">
        <v>275.95999999999998</v>
      </c>
      <c r="J155" s="24">
        <v>1653</v>
      </c>
      <c r="K155" s="24" t="s">
        <v>168</v>
      </c>
      <c r="L155" s="25">
        <v>456161.88</v>
      </c>
      <c r="M155" s="25">
        <v>1653</v>
      </c>
      <c r="N155" s="24">
        <v>1653</v>
      </c>
      <c r="O155" s="24">
        <v>6767535.3099999996</v>
      </c>
      <c r="P155" s="24" t="s">
        <v>207</v>
      </c>
      <c r="Q155" s="24" t="s">
        <v>207</v>
      </c>
      <c r="R155" s="24"/>
      <c r="S155" s="24"/>
      <c r="T155" s="24" t="s">
        <v>240</v>
      </c>
      <c r="U155" s="24">
        <v>1</v>
      </c>
      <c r="V155" s="24"/>
      <c r="W155" s="24">
        <v>9</v>
      </c>
      <c r="X155" s="24">
        <v>41054.57</v>
      </c>
      <c r="Y155" s="24">
        <v>9</v>
      </c>
      <c r="Z155" s="24">
        <v>41054.57</v>
      </c>
      <c r="AA155" s="24">
        <v>0</v>
      </c>
      <c r="AB155" s="24">
        <v>0</v>
      </c>
      <c r="AC155" s="24">
        <v>39232999</v>
      </c>
      <c r="AD155" s="24" t="s">
        <v>193</v>
      </c>
      <c r="AE155" s="27">
        <v>46227</v>
      </c>
      <c r="AF155" s="24">
        <v>0</v>
      </c>
      <c r="AG155" s="24">
        <v>0</v>
      </c>
      <c r="AH155" s="24"/>
      <c r="AI155" s="24">
        <v>0</v>
      </c>
      <c r="AJ155" s="24"/>
      <c r="AK155" s="24"/>
      <c r="AL155" s="24"/>
      <c r="AM155" s="24">
        <v>0</v>
      </c>
      <c r="AN155" s="24">
        <v>0</v>
      </c>
      <c r="AO155" s="24">
        <v>0</v>
      </c>
      <c r="AP155" s="24">
        <v>0</v>
      </c>
      <c r="AQ155" s="24">
        <v>0</v>
      </c>
      <c r="AR155" s="24">
        <v>0</v>
      </c>
      <c r="AS155" s="24">
        <v>0</v>
      </c>
      <c r="AT155" s="24">
        <v>0</v>
      </c>
      <c r="AU155" s="24"/>
      <c r="AV155" s="24" t="s">
        <v>247</v>
      </c>
      <c r="AW155" s="24" t="s">
        <v>209</v>
      </c>
      <c r="AX155" s="24" t="s">
        <v>194</v>
      </c>
      <c r="AY155" s="24" t="s">
        <v>195</v>
      </c>
      <c r="AZ155" s="24" t="s">
        <v>192</v>
      </c>
      <c r="BA155" s="24" t="s">
        <v>152</v>
      </c>
      <c r="BB155" s="24" t="s">
        <v>152</v>
      </c>
    </row>
    <row r="156" spans="1:54" x14ac:dyDescent="0.25">
      <c r="A156" s="26"/>
      <c r="B156" s="24" t="s">
        <v>167</v>
      </c>
      <c r="C156" s="26">
        <v>401</v>
      </c>
      <c r="D156" s="27">
        <v>46227</v>
      </c>
      <c r="E156" s="24" t="s">
        <v>219</v>
      </c>
      <c r="F156" s="24" t="s">
        <v>629</v>
      </c>
      <c r="G156" s="24" t="s">
        <v>239</v>
      </c>
      <c r="H156" s="24" t="s">
        <v>513</v>
      </c>
      <c r="I156" s="24">
        <v>291.70999999999998</v>
      </c>
      <c r="J156" s="24">
        <v>12853</v>
      </c>
      <c r="K156" s="24" t="s">
        <v>168</v>
      </c>
      <c r="L156" s="25">
        <v>3749348.63</v>
      </c>
      <c r="M156" s="25">
        <v>12853</v>
      </c>
      <c r="N156" s="24">
        <v>12853</v>
      </c>
      <c r="O156" s="24">
        <v>0</v>
      </c>
      <c r="P156" s="24" t="s">
        <v>207</v>
      </c>
      <c r="Q156" s="24" t="s">
        <v>207</v>
      </c>
      <c r="R156" s="24"/>
      <c r="S156" s="24"/>
      <c r="T156" s="24" t="s">
        <v>240</v>
      </c>
      <c r="U156" s="24">
        <v>1</v>
      </c>
      <c r="V156" s="24"/>
      <c r="W156" s="24">
        <v>9</v>
      </c>
      <c r="X156" s="24">
        <v>337441.38</v>
      </c>
      <c r="Y156" s="24">
        <v>9</v>
      </c>
      <c r="Z156" s="24">
        <v>337441.38</v>
      </c>
      <c r="AA156" s="24">
        <v>0</v>
      </c>
      <c r="AB156" s="24">
        <v>0</v>
      </c>
      <c r="AC156" s="24">
        <v>39232999</v>
      </c>
      <c r="AD156" s="24" t="s">
        <v>193</v>
      </c>
      <c r="AE156" s="27">
        <v>46227</v>
      </c>
      <c r="AF156" s="24">
        <v>0</v>
      </c>
      <c r="AG156" s="24">
        <v>0</v>
      </c>
      <c r="AH156" s="24"/>
      <c r="AI156" s="24">
        <v>0</v>
      </c>
      <c r="AJ156" s="24"/>
      <c r="AK156" s="24"/>
      <c r="AL156" s="24"/>
      <c r="AM156" s="24">
        <v>0</v>
      </c>
      <c r="AN156" s="24">
        <v>0</v>
      </c>
      <c r="AO156" s="24">
        <v>0</v>
      </c>
      <c r="AP156" s="24">
        <v>0</v>
      </c>
      <c r="AQ156" s="24">
        <v>0</v>
      </c>
      <c r="AR156" s="24">
        <v>0</v>
      </c>
      <c r="AS156" s="24">
        <v>0</v>
      </c>
      <c r="AT156" s="24">
        <v>0</v>
      </c>
      <c r="AU156" s="24"/>
      <c r="AV156" s="24" t="s">
        <v>247</v>
      </c>
      <c r="AW156" s="24" t="s">
        <v>209</v>
      </c>
      <c r="AX156" s="24" t="s">
        <v>190</v>
      </c>
      <c r="AY156" s="24" t="s">
        <v>191</v>
      </c>
      <c r="AZ156" s="24" t="s">
        <v>192</v>
      </c>
      <c r="BA156" s="24" t="s">
        <v>152</v>
      </c>
      <c r="BB156" s="24" t="s">
        <v>152</v>
      </c>
    </row>
    <row r="157" spans="1:54" x14ac:dyDescent="0.25">
      <c r="A157" s="26"/>
      <c r="B157" s="24" t="s">
        <v>167</v>
      </c>
      <c r="C157" s="26">
        <v>401</v>
      </c>
      <c r="D157" s="27">
        <v>46227</v>
      </c>
      <c r="E157" s="24" t="s">
        <v>219</v>
      </c>
      <c r="F157" s="24" t="s">
        <v>629</v>
      </c>
      <c r="G157" s="24" t="s">
        <v>239</v>
      </c>
      <c r="H157" s="24" t="s">
        <v>514</v>
      </c>
      <c r="I157" s="24">
        <v>293.10000000000002</v>
      </c>
      <c r="J157" s="24">
        <v>5219</v>
      </c>
      <c r="K157" s="24" t="s">
        <v>168</v>
      </c>
      <c r="L157" s="25">
        <v>1529688.9</v>
      </c>
      <c r="M157" s="25">
        <v>5219</v>
      </c>
      <c r="N157" s="24">
        <v>5219</v>
      </c>
      <c r="O157" s="24">
        <v>0</v>
      </c>
      <c r="P157" s="24" t="s">
        <v>207</v>
      </c>
      <c r="Q157" s="24" t="s">
        <v>207</v>
      </c>
      <c r="R157" s="24"/>
      <c r="S157" s="24"/>
      <c r="T157" s="24" t="s">
        <v>240</v>
      </c>
      <c r="U157" s="24">
        <v>1</v>
      </c>
      <c r="V157" s="24"/>
      <c r="W157" s="24">
        <v>9</v>
      </c>
      <c r="X157" s="24">
        <v>137672</v>
      </c>
      <c r="Y157" s="24">
        <v>9</v>
      </c>
      <c r="Z157" s="24">
        <v>137672</v>
      </c>
      <c r="AA157" s="24">
        <v>0</v>
      </c>
      <c r="AB157" s="24">
        <v>0</v>
      </c>
      <c r="AC157" s="24">
        <v>39232999</v>
      </c>
      <c r="AD157" s="24" t="s">
        <v>193</v>
      </c>
      <c r="AE157" s="27">
        <v>46227</v>
      </c>
      <c r="AF157" s="24">
        <v>0</v>
      </c>
      <c r="AG157" s="24">
        <v>0</v>
      </c>
      <c r="AH157" s="24"/>
      <c r="AI157" s="24">
        <v>0</v>
      </c>
      <c r="AJ157" s="24"/>
      <c r="AK157" s="24"/>
      <c r="AL157" s="24"/>
      <c r="AM157" s="24">
        <v>0</v>
      </c>
      <c r="AN157" s="24">
        <v>0</v>
      </c>
      <c r="AO157" s="24">
        <v>0</v>
      </c>
      <c r="AP157" s="24">
        <v>0</v>
      </c>
      <c r="AQ157" s="24">
        <v>0</v>
      </c>
      <c r="AR157" s="24">
        <v>0</v>
      </c>
      <c r="AS157" s="24">
        <v>0</v>
      </c>
      <c r="AT157" s="24">
        <v>0</v>
      </c>
      <c r="AU157" s="24"/>
      <c r="AV157" s="24" t="s">
        <v>247</v>
      </c>
      <c r="AW157" s="24" t="s">
        <v>209</v>
      </c>
      <c r="AX157" s="24" t="s">
        <v>190</v>
      </c>
      <c r="AY157" s="24" t="s">
        <v>191</v>
      </c>
      <c r="AZ157" s="24" t="s">
        <v>192</v>
      </c>
      <c r="BA157" s="24" t="s">
        <v>152</v>
      </c>
      <c r="BB157" s="24" t="s">
        <v>152</v>
      </c>
    </row>
    <row r="158" spans="1:54" x14ac:dyDescent="0.25">
      <c r="A158" s="26"/>
      <c r="B158" s="24" t="s">
        <v>167</v>
      </c>
      <c r="C158" s="26">
        <v>403</v>
      </c>
      <c r="D158" s="27">
        <v>46227</v>
      </c>
      <c r="E158" s="24" t="s">
        <v>219</v>
      </c>
      <c r="F158" s="24" t="s">
        <v>630</v>
      </c>
      <c r="G158" s="24" t="s">
        <v>239</v>
      </c>
      <c r="H158" s="24" t="s">
        <v>516</v>
      </c>
      <c r="I158" s="24">
        <v>241.08</v>
      </c>
      <c r="J158" s="24">
        <v>20711</v>
      </c>
      <c r="K158" s="24" t="s">
        <v>168</v>
      </c>
      <c r="L158" s="25">
        <v>4993007.88</v>
      </c>
      <c r="M158" s="25">
        <v>20711</v>
      </c>
      <c r="N158" s="24">
        <v>20711</v>
      </c>
      <c r="O158" s="24">
        <v>5891749.2999999998</v>
      </c>
      <c r="P158" s="24" t="s">
        <v>207</v>
      </c>
      <c r="Q158" s="24" t="s">
        <v>207</v>
      </c>
      <c r="R158" s="24"/>
      <c r="S158" s="24"/>
      <c r="T158" s="24" t="s">
        <v>240</v>
      </c>
      <c r="U158" s="24">
        <v>1</v>
      </c>
      <c r="V158" s="24"/>
      <c r="W158" s="24">
        <v>9</v>
      </c>
      <c r="X158" s="24">
        <v>449370.71</v>
      </c>
      <c r="Y158" s="24">
        <v>9</v>
      </c>
      <c r="Z158" s="24">
        <v>449370.71</v>
      </c>
      <c r="AA158" s="24">
        <v>0</v>
      </c>
      <c r="AB158" s="24">
        <v>0</v>
      </c>
      <c r="AC158" s="24">
        <v>39232999</v>
      </c>
      <c r="AD158" s="24" t="s">
        <v>193</v>
      </c>
      <c r="AE158" s="27">
        <v>46227</v>
      </c>
      <c r="AF158" s="24">
        <v>0</v>
      </c>
      <c r="AG158" s="24">
        <v>0</v>
      </c>
      <c r="AH158" s="24"/>
      <c r="AI158" s="24">
        <v>0</v>
      </c>
      <c r="AJ158" s="24"/>
      <c r="AK158" s="24"/>
      <c r="AL158" s="24"/>
      <c r="AM158" s="24">
        <v>0</v>
      </c>
      <c r="AN158" s="24">
        <v>0</v>
      </c>
      <c r="AO158" s="24">
        <v>0</v>
      </c>
      <c r="AP158" s="24">
        <v>0</v>
      </c>
      <c r="AQ158" s="24">
        <v>0</v>
      </c>
      <c r="AR158" s="24">
        <v>0</v>
      </c>
      <c r="AS158" s="24">
        <v>0</v>
      </c>
      <c r="AT158" s="24">
        <v>0</v>
      </c>
      <c r="AU158" s="24"/>
      <c r="AV158" s="24" t="s">
        <v>247</v>
      </c>
      <c r="AW158" s="24" t="s">
        <v>209</v>
      </c>
      <c r="AX158" s="24" t="s">
        <v>190</v>
      </c>
      <c r="AY158" s="24" t="s">
        <v>191</v>
      </c>
      <c r="AZ158" s="24" t="s">
        <v>192</v>
      </c>
      <c r="BA158" s="24" t="s">
        <v>152</v>
      </c>
      <c r="BB158" s="24" t="s">
        <v>152</v>
      </c>
    </row>
    <row r="159" spans="1:54" x14ac:dyDescent="0.25">
      <c r="A159" s="26"/>
      <c r="B159" s="24" t="s">
        <v>167</v>
      </c>
      <c r="C159" s="26">
        <v>404</v>
      </c>
      <c r="D159" s="27">
        <v>46227</v>
      </c>
      <c r="E159" s="24" t="s">
        <v>217</v>
      </c>
      <c r="F159" s="24" t="s">
        <v>631</v>
      </c>
      <c r="G159" s="24" t="s">
        <v>239</v>
      </c>
      <c r="H159" s="24" t="s">
        <v>509</v>
      </c>
      <c r="I159" s="24">
        <v>229.9</v>
      </c>
      <c r="J159" s="24">
        <v>11190</v>
      </c>
      <c r="K159" s="24" t="s">
        <v>168</v>
      </c>
      <c r="L159" s="25">
        <v>2572581</v>
      </c>
      <c r="M159" s="25">
        <v>11190</v>
      </c>
      <c r="N159" s="24">
        <v>11190</v>
      </c>
      <c r="O159" s="24">
        <v>5220454.4000000004</v>
      </c>
      <c r="P159" s="24" t="s">
        <v>207</v>
      </c>
      <c r="Q159" s="24" t="s">
        <v>207</v>
      </c>
      <c r="R159" s="24"/>
      <c r="S159" s="24"/>
      <c r="T159" s="24" t="s">
        <v>240</v>
      </c>
      <c r="U159" s="24">
        <v>1</v>
      </c>
      <c r="V159" s="24"/>
      <c r="W159" s="24">
        <v>9</v>
      </c>
      <c r="X159" s="24">
        <v>231532.29</v>
      </c>
      <c r="Y159" s="24">
        <v>9</v>
      </c>
      <c r="Z159" s="24">
        <v>231532.29</v>
      </c>
      <c r="AA159" s="24">
        <v>0</v>
      </c>
      <c r="AB159" s="24">
        <v>0</v>
      </c>
      <c r="AC159" s="24">
        <v>39232999</v>
      </c>
      <c r="AD159" s="24" t="s">
        <v>193</v>
      </c>
      <c r="AE159" s="27">
        <v>46227</v>
      </c>
      <c r="AF159" s="24">
        <v>0</v>
      </c>
      <c r="AG159" s="24">
        <v>0</v>
      </c>
      <c r="AH159" s="24"/>
      <c r="AI159" s="24">
        <v>0</v>
      </c>
      <c r="AJ159" s="24"/>
      <c r="AK159" s="24"/>
      <c r="AL159" s="24"/>
      <c r="AM159" s="24">
        <v>0</v>
      </c>
      <c r="AN159" s="24">
        <v>0</v>
      </c>
      <c r="AO159" s="24">
        <v>0</v>
      </c>
      <c r="AP159" s="24">
        <v>0</v>
      </c>
      <c r="AQ159" s="24">
        <v>0</v>
      </c>
      <c r="AR159" s="24">
        <v>0</v>
      </c>
      <c r="AS159" s="24">
        <v>0</v>
      </c>
      <c r="AT159" s="24">
        <v>0</v>
      </c>
      <c r="AU159" s="24"/>
      <c r="AV159" s="24" t="s">
        <v>259</v>
      </c>
      <c r="AW159" s="24" t="s">
        <v>209</v>
      </c>
      <c r="AX159" s="24" t="s">
        <v>190</v>
      </c>
      <c r="AY159" s="24" t="s">
        <v>191</v>
      </c>
      <c r="AZ159" s="24" t="s">
        <v>192</v>
      </c>
      <c r="BA159" s="24" t="s">
        <v>152</v>
      </c>
      <c r="BB159" s="24" t="s">
        <v>152</v>
      </c>
    </row>
    <row r="160" spans="1:54" x14ac:dyDescent="0.25">
      <c r="A160" s="26"/>
      <c r="B160" s="24" t="s">
        <v>167</v>
      </c>
      <c r="C160" s="26">
        <v>404</v>
      </c>
      <c r="D160" s="27">
        <v>46227</v>
      </c>
      <c r="E160" s="24" t="s">
        <v>217</v>
      </c>
      <c r="F160" s="24" t="s">
        <v>631</v>
      </c>
      <c r="G160" s="24" t="s">
        <v>239</v>
      </c>
      <c r="H160" s="24" t="s">
        <v>510</v>
      </c>
      <c r="I160" s="24">
        <v>226.1</v>
      </c>
      <c r="J160" s="24">
        <v>8189</v>
      </c>
      <c r="K160" s="24" t="s">
        <v>168</v>
      </c>
      <c r="L160" s="25">
        <v>1851532.9</v>
      </c>
      <c r="M160" s="25">
        <v>8189</v>
      </c>
      <c r="N160" s="24">
        <v>8189</v>
      </c>
      <c r="O160" s="24">
        <v>0</v>
      </c>
      <c r="P160" s="24" t="s">
        <v>207</v>
      </c>
      <c r="Q160" s="24" t="s">
        <v>207</v>
      </c>
      <c r="R160" s="24"/>
      <c r="S160" s="24"/>
      <c r="T160" s="24" t="s">
        <v>240</v>
      </c>
      <c r="U160" s="24">
        <v>1</v>
      </c>
      <c r="V160" s="24"/>
      <c r="W160" s="24">
        <v>9</v>
      </c>
      <c r="X160" s="24">
        <v>166637.96</v>
      </c>
      <c r="Y160" s="24">
        <v>9</v>
      </c>
      <c r="Z160" s="24">
        <v>166637.96</v>
      </c>
      <c r="AA160" s="24">
        <v>0</v>
      </c>
      <c r="AB160" s="24">
        <v>0</v>
      </c>
      <c r="AC160" s="24">
        <v>39232999</v>
      </c>
      <c r="AD160" s="24" t="s">
        <v>193</v>
      </c>
      <c r="AE160" s="27">
        <v>46227</v>
      </c>
      <c r="AF160" s="24">
        <v>0</v>
      </c>
      <c r="AG160" s="24">
        <v>0</v>
      </c>
      <c r="AH160" s="24"/>
      <c r="AI160" s="24">
        <v>0</v>
      </c>
      <c r="AJ160" s="24"/>
      <c r="AK160" s="24"/>
      <c r="AL160" s="24"/>
      <c r="AM160" s="24">
        <v>0</v>
      </c>
      <c r="AN160" s="24">
        <v>0</v>
      </c>
      <c r="AO160" s="24">
        <v>0</v>
      </c>
      <c r="AP160" s="24">
        <v>0</v>
      </c>
      <c r="AQ160" s="24">
        <v>0</v>
      </c>
      <c r="AR160" s="24">
        <v>0</v>
      </c>
      <c r="AS160" s="24">
        <v>0</v>
      </c>
      <c r="AT160" s="24">
        <v>0</v>
      </c>
      <c r="AU160" s="24"/>
      <c r="AV160" s="24" t="s">
        <v>259</v>
      </c>
      <c r="AW160" s="24" t="s">
        <v>209</v>
      </c>
      <c r="AX160" s="24" t="s">
        <v>190</v>
      </c>
      <c r="AY160" s="24" t="s">
        <v>191</v>
      </c>
      <c r="AZ160" s="24" t="s">
        <v>192</v>
      </c>
      <c r="BA160" s="24" t="s">
        <v>152</v>
      </c>
      <c r="BB160" s="24" t="s">
        <v>152</v>
      </c>
    </row>
    <row r="161" spans="1:54" x14ac:dyDescent="0.25">
      <c r="A161" s="26"/>
      <c r="B161" s="24" t="s">
        <v>167</v>
      </c>
      <c r="C161" s="26">
        <v>405</v>
      </c>
      <c r="D161" s="27">
        <v>46227</v>
      </c>
      <c r="E161" s="24" t="s">
        <v>219</v>
      </c>
      <c r="F161" s="24" t="s">
        <v>632</v>
      </c>
      <c r="G161" s="24" t="s">
        <v>239</v>
      </c>
      <c r="H161" s="24" t="s">
        <v>518</v>
      </c>
      <c r="I161" s="24">
        <v>226.88</v>
      </c>
      <c r="J161" s="24">
        <v>18467</v>
      </c>
      <c r="K161" s="24" t="s">
        <v>168</v>
      </c>
      <c r="L161" s="25">
        <v>4189792.96</v>
      </c>
      <c r="M161" s="25">
        <v>18467</v>
      </c>
      <c r="N161" s="24">
        <v>18467</v>
      </c>
      <c r="O161" s="24">
        <v>4943955.7</v>
      </c>
      <c r="P161" s="24" t="s">
        <v>207</v>
      </c>
      <c r="Q161" s="24" t="s">
        <v>207</v>
      </c>
      <c r="R161" s="24"/>
      <c r="S161" s="24"/>
      <c r="T161" s="24" t="s">
        <v>240</v>
      </c>
      <c r="U161" s="24">
        <v>1</v>
      </c>
      <c r="V161" s="24"/>
      <c r="W161" s="24">
        <v>9</v>
      </c>
      <c r="X161" s="24">
        <v>377081.37</v>
      </c>
      <c r="Y161" s="24">
        <v>9</v>
      </c>
      <c r="Z161" s="24">
        <v>377081.37</v>
      </c>
      <c r="AA161" s="24">
        <v>0</v>
      </c>
      <c r="AB161" s="24">
        <v>0</v>
      </c>
      <c r="AC161" s="24">
        <v>39232999</v>
      </c>
      <c r="AD161" s="24" t="s">
        <v>193</v>
      </c>
      <c r="AE161" s="27">
        <v>46227</v>
      </c>
      <c r="AF161" s="24">
        <v>0</v>
      </c>
      <c r="AG161" s="24">
        <v>0</v>
      </c>
      <c r="AH161" s="24"/>
      <c r="AI161" s="24">
        <v>0</v>
      </c>
      <c r="AJ161" s="24"/>
      <c r="AK161" s="24"/>
      <c r="AL161" s="24"/>
      <c r="AM161" s="24">
        <v>0</v>
      </c>
      <c r="AN161" s="24">
        <v>0</v>
      </c>
      <c r="AO161" s="24">
        <v>0</v>
      </c>
      <c r="AP161" s="24">
        <v>0</v>
      </c>
      <c r="AQ161" s="24">
        <v>0</v>
      </c>
      <c r="AR161" s="24">
        <v>0</v>
      </c>
      <c r="AS161" s="24">
        <v>0</v>
      </c>
      <c r="AT161" s="24">
        <v>0</v>
      </c>
      <c r="AU161" s="24"/>
      <c r="AV161" s="24" t="s">
        <v>247</v>
      </c>
      <c r="AW161" s="24" t="s">
        <v>209</v>
      </c>
      <c r="AX161" s="24" t="s">
        <v>194</v>
      </c>
      <c r="AY161" s="24" t="s">
        <v>195</v>
      </c>
      <c r="AZ161" s="24" t="s">
        <v>192</v>
      </c>
      <c r="BA161" s="24" t="s">
        <v>152</v>
      </c>
      <c r="BB161" s="24" t="s">
        <v>152</v>
      </c>
    </row>
    <row r="162" spans="1:54" x14ac:dyDescent="0.25">
      <c r="A162" s="26"/>
      <c r="B162" s="24" t="s">
        <v>167</v>
      </c>
      <c r="C162" s="26">
        <v>406</v>
      </c>
      <c r="D162" s="27">
        <v>46227</v>
      </c>
      <c r="E162" s="24" t="s">
        <v>205</v>
      </c>
      <c r="F162" s="24" t="s">
        <v>633</v>
      </c>
      <c r="G162" s="24" t="s">
        <v>242</v>
      </c>
      <c r="H162" s="24" t="s">
        <v>273</v>
      </c>
      <c r="I162" s="24">
        <v>154.74</v>
      </c>
      <c r="J162" s="24">
        <v>86</v>
      </c>
      <c r="K162" s="24" t="s">
        <v>168</v>
      </c>
      <c r="L162" s="25">
        <v>13307.64</v>
      </c>
      <c r="M162" s="25">
        <v>86</v>
      </c>
      <c r="N162" s="24">
        <v>86</v>
      </c>
      <c r="O162" s="24">
        <v>79086.3</v>
      </c>
      <c r="P162" s="24" t="s">
        <v>243</v>
      </c>
      <c r="Q162" s="24" t="s">
        <v>243</v>
      </c>
      <c r="R162" s="24"/>
      <c r="S162" s="24"/>
      <c r="T162" s="24" t="s">
        <v>240</v>
      </c>
      <c r="U162" s="24">
        <v>1</v>
      </c>
      <c r="V162" s="24"/>
      <c r="W162" s="24">
        <v>9</v>
      </c>
      <c r="X162" s="24">
        <v>1197.69</v>
      </c>
      <c r="Y162" s="24">
        <v>9</v>
      </c>
      <c r="Z162" s="24">
        <v>1197.69</v>
      </c>
      <c r="AA162" s="24">
        <v>0</v>
      </c>
      <c r="AB162" s="24">
        <v>0</v>
      </c>
      <c r="AC162" s="24">
        <v>39269080</v>
      </c>
      <c r="AD162" s="24" t="s">
        <v>193</v>
      </c>
      <c r="AE162" s="27">
        <v>46227</v>
      </c>
      <c r="AF162" s="24">
        <v>0</v>
      </c>
      <c r="AG162" s="24">
        <v>0</v>
      </c>
      <c r="AH162" s="24"/>
      <c r="AI162" s="24">
        <v>0</v>
      </c>
      <c r="AJ162" s="24"/>
      <c r="AK162" s="24"/>
      <c r="AL162" s="24"/>
      <c r="AM162" s="24">
        <v>0</v>
      </c>
      <c r="AN162" s="24">
        <v>0</v>
      </c>
      <c r="AO162" s="24">
        <v>0</v>
      </c>
      <c r="AP162" s="24">
        <v>0</v>
      </c>
      <c r="AQ162" s="24">
        <v>0</v>
      </c>
      <c r="AR162" s="24">
        <v>0</v>
      </c>
      <c r="AS162" s="24">
        <v>0</v>
      </c>
      <c r="AT162" s="24">
        <v>0</v>
      </c>
      <c r="AU162" s="24"/>
      <c r="AV162" s="24" t="s">
        <v>241</v>
      </c>
      <c r="AW162" s="24" t="s">
        <v>209</v>
      </c>
      <c r="AX162" s="24" t="s">
        <v>245</v>
      </c>
      <c r="AY162" s="24" t="s">
        <v>153</v>
      </c>
      <c r="AZ162" s="24" t="s">
        <v>192</v>
      </c>
      <c r="BA162" s="24" t="s">
        <v>153</v>
      </c>
      <c r="BB162" s="24" t="s">
        <v>153</v>
      </c>
    </row>
    <row r="163" spans="1:54" x14ac:dyDescent="0.25">
      <c r="A163" s="26"/>
      <c r="B163" s="24" t="s">
        <v>167</v>
      </c>
      <c r="C163" s="26">
        <v>406</v>
      </c>
      <c r="D163" s="27">
        <v>46227</v>
      </c>
      <c r="E163" s="24" t="s">
        <v>205</v>
      </c>
      <c r="F163" s="24" t="s">
        <v>633</v>
      </c>
      <c r="G163" s="24" t="s">
        <v>244</v>
      </c>
      <c r="H163" s="24" t="s">
        <v>365</v>
      </c>
      <c r="I163" s="24">
        <v>158.74</v>
      </c>
      <c r="J163" s="24">
        <v>210</v>
      </c>
      <c r="K163" s="24" t="s">
        <v>168</v>
      </c>
      <c r="L163" s="25">
        <v>33335.4</v>
      </c>
      <c r="M163" s="25">
        <v>210</v>
      </c>
      <c r="N163" s="24">
        <v>220</v>
      </c>
      <c r="O163" s="24">
        <v>0</v>
      </c>
      <c r="P163" s="24" t="s">
        <v>243</v>
      </c>
      <c r="Q163" s="24" t="s">
        <v>243</v>
      </c>
      <c r="R163" s="24"/>
      <c r="S163" s="24"/>
      <c r="T163" s="24" t="s">
        <v>240</v>
      </c>
      <c r="U163" s="24">
        <v>1</v>
      </c>
      <c r="V163" s="24"/>
      <c r="W163" s="24">
        <v>9</v>
      </c>
      <c r="X163" s="24">
        <v>3000.19</v>
      </c>
      <c r="Y163" s="24">
        <v>9</v>
      </c>
      <c r="Z163" s="24">
        <v>3000.19</v>
      </c>
      <c r="AA163" s="24">
        <v>0</v>
      </c>
      <c r="AB163" s="24">
        <v>0</v>
      </c>
      <c r="AC163" s="24">
        <v>39269080</v>
      </c>
      <c r="AD163" s="24" t="s">
        <v>193</v>
      </c>
      <c r="AE163" s="27">
        <v>46227</v>
      </c>
      <c r="AF163" s="24">
        <v>0</v>
      </c>
      <c r="AG163" s="24">
        <v>0</v>
      </c>
      <c r="AH163" s="24"/>
      <c r="AI163" s="24">
        <v>0</v>
      </c>
      <c r="AJ163" s="24"/>
      <c r="AK163" s="24"/>
      <c r="AL163" s="24"/>
      <c r="AM163" s="24">
        <v>0</v>
      </c>
      <c r="AN163" s="24">
        <v>0</v>
      </c>
      <c r="AO163" s="24">
        <v>0</v>
      </c>
      <c r="AP163" s="24">
        <v>0</v>
      </c>
      <c r="AQ163" s="24">
        <v>0</v>
      </c>
      <c r="AR163" s="24">
        <v>0</v>
      </c>
      <c r="AS163" s="24">
        <v>0</v>
      </c>
      <c r="AT163" s="24">
        <v>0</v>
      </c>
      <c r="AU163" s="24"/>
      <c r="AV163" s="24" t="s">
        <v>241</v>
      </c>
      <c r="AW163" s="24" t="s">
        <v>209</v>
      </c>
      <c r="AX163" s="24" t="s">
        <v>178</v>
      </c>
      <c r="AY163" s="24" t="s">
        <v>179</v>
      </c>
      <c r="AZ163" s="24" t="s">
        <v>169</v>
      </c>
      <c r="BA163" s="24" t="s">
        <v>180</v>
      </c>
      <c r="BB163" s="24" t="s">
        <v>156</v>
      </c>
    </row>
    <row r="164" spans="1:54" x14ac:dyDescent="0.25">
      <c r="A164" s="26"/>
      <c r="B164" s="24" t="s">
        <v>167</v>
      </c>
      <c r="C164" s="26">
        <v>406</v>
      </c>
      <c r="D164" s="27">
        <v>46227</v>
      </c>
      <c r="E164" s="24" t="s">
        <v>205</v>
      </c>
      <c r="F164" s="24" t="s">
        <v>633</v>
      </c>
      <c r="G164" s="24" t="s">
        <v>244</v>
      </c>
      <c r="H164" s="24" t="s">
        <v>507</v>
      </c>
      <c r="I164" s="24">
        <v>161.74</v>
      </c>
      <c r="J164" s="24">
        <v>126</v>
      </c>
      <c r="K164" s="24" t="s">
        <v>168</v>
      </c>
      <c r="L164" s="25">
        <v>20379.240000000002</v>
      </c>
      <c r="M164" s="25">
        <v>126</v>
      </c>
      <c r="N164" s="24">
        <v>133</v>
      </c>
      <c r="O164" s="24">
        <v>0</v>
      </c>
      <c r="P164" s="24" t="s">
        <v>243</v>
      </c>
      <c r="Q164" s="24" t="s">
        <v>243</v>
      </c>
      <c r="R164" s="24"/>
      <c r="S164" s="24"/>
      <c r="T164" s="24" t="s">
        <v>240</v>
      </c>
      <c r="U164" s="24">
        <v>1</v>
      </c>
      <c r="V164" s="24"/>
      <c r="W164" s="24">
        <v>9</v>
      </c>
      <c r="X164" s="24">
        <v>1834.13</v>
      </c>
      <c r="Y164" s="24">
        <v>9</v>
      </c>
      <c r="Z164" s="24">
        <v>1834.13</v>
      </c>
      <c r="AA164" s="24">
        <v>0</v>
      </c>
      <c r="AB164" s="24">
        <v>0</v>
      </c>
      <c r="AC164" s="24">
        <v>39269080</v>
      </c>
      <c r="AD164" s="24" t="s">
        <v>193</v>
      </c>
      <c r="AE164" s="27">
        <v>46227</v>
      </c>
      <c r="AF164" s="24">
        <v>0</v>
      </c>
      <c r="AG164" s="24">
        <v>0</v>
      </c>
      <c r="AH164" s="24"/>
      <c r="AI164" s="24">
        <v>0</v>
      </c>
      <c r="AJ164" s="24"/>
      <c r="AK164" s="24"/>
      <c r="AL164" s="24"/>
      <c r="AM164" s="24">
        <v>0</v>
      </c>
      <c r="AN164" s="24">
        <v>0</v>
      </c>
      <c r="AO164" s="24">
        <v>0</v>
      </c>
      <c r="AP164" s="24">
        <v>0</v>
      </c>
      <c r="AQ164" s="24">
        <v>0</v>
      </c>
      <c r="AR164" s="24">
        <v>0</v>
      </c>
      <c r="AS164" s="24">
        <v>0</v>
      </c>
      <c r="AT164" s="24">
        <v>0</v>
      </c>
      <c r="AU164" s="24"/>
      <c r="AV164" s="24" t="s">
        <v>241</v>
      </c>
      <c r="AW164" s="24" t="s">
        <v>209</v>
      </c>
      <c r="AX164" s="24" t="s">
        <v>178</v>
      </c>
      <c r="AY164" s="24" t="s">
        <v>179</v>
      </c>
      <c r="AZ164" s="24" t="s">
        <v>169</v>
      </c>
      <c r="BA164" s="24" t="s">
        <v>180</v>
      </c>
      <c r="BB164" s="24" t="s">
        <v>156</v>
      </c>
    </row>
    <row r="165" spans="1:54" x14ac:dyDescent="0.25">
      <c r="A165" s="26"/>
      <c r="B165" s="24" t="s">
        <v>167</v>
      </c>
      <c r="C165" s="26">
        <v>408</v>
      </c>
      <c r="D165" s="27">
        <v>46228</v>
      </c>
      <c r="E165" s="24" t="s">
        <v>219</v>
      </c>
      <c r="F165" s="24" t="s">
        <v>175</v>
      </c>
      <c r="G165" s="24" t="s">
        <v>244</v>
      </c>
      <c r="H165" s="24" t="s">
        <v>531</v>
      </c>
      <c r="I165" s="24">
        <v>159.74</v>
      </c>
      <c r="J165" s="24">
        <v>83</v>
      </c>
      <c r="K165" s="24" t="s">
        <v>168</v>
      </c>
      <c r="L165" s="25">
        <v>13258.42</v>
      </c>
      <c r="M165" s="25">
        <v>83</v>
      </c>
      <c r="N165" s="24">
        <v>83</v>
      </c>
      <c r="O165" s="24">
        <v>53407.73</v>
      </c>
      <c r="P165" s="24" t="s">
        <v>207</v>
      </c>
      <c r="Q165" s="24" t="s">
        <v>243</v>
      </c>
      <c r="R165" s="24"/>
      <c r="S165" s="24"/>
      <c r="T165" s="24" t="s">
        <v>240</v>
      </c>
      <c r="U165" s="24">
        <v>1</v>
      </c>
      <c r="V165" s="24"/>
      <c r="W165" s="24">
        <v>9</v>
      </c>
      <c r="X165" s="24">
        <v>1193.26</v>
      </c>
      <c r="Y165" s="24">
        <v>9</v>
      </c>
      <c r="Z165" s="24">
        <v>1193.26</v>
      </c>
      <c r="AA165" s="24">
        <v>0</v>
      </c>
      <c r="AB165" s="24">
        <v>0</v>
      </c>
      <c r="AC165" s="24">
        <v>39269080</v>
      </c>
      <c r="AD165" s="24" t="s">
        <v>193</v>
      </c>
      <c r="AE165" s="27">
        <v>46228</v>
      </c>
      <c r="AF165" s="24">
        <v>0</v>
      </c>
      <c r="AG165" s="24">
        <v>0</v>
      </c>
      <c r="AH165" s="24"/>
      <c r="AI165" s="24">
        <v>0</v>
      </c>
      <c r="AJ165" s="24"/>
      <c r="AK165" s="24"/>
      <c r="AL165" s="24"/>
      <c r="AM165" s="24">
        <v>0</v>
      </c>
      <c r="AN165" s="24">
        <v>0</v>
      </c>
      <c r="AO165" s="24">
        <v>0</v>
      </c>
      <c r="AP165" s="24">
        <v>0</v>
      </c>
      <c r="AQ165" s="24">
        <v>0</v>
      </c>
      <c r="AR165" s="24">
        <v>0</v>
      </c>
      <c r="AS165" s="24">
        <v>0</v>
      </c>
      <c r="AT165" s="24">
        <v>0</v>
      </c>
      <c r="AU165" s="24"/>
      <c r="AV165" s="24" t="s">
        <v>247</v>
      </c>
      <c r="AW165" s="24" t="s">
        <v>209</v>
      </c>
      <c r="AX165" s="24" t="s">
        <v>245</v>
      </c>
      <c r="AY165" s="24" t="s">
        <v>153</v>
      </c>
      <c r="AZ165" s="24" t="s">
        <v>192</v>
      </c>
      <c r="BA165" s="24" t="s">
        <v>153</v>
      </c>
      <c r="BB165" s="24" t="s">
        <v>153</v>
      </c>
    </row>
    <row r="166" spans="1:54" x14ac:dyDescent="0.25">
      <c r="A166" s="26"/>
      <c r="B166" s="24" t="s">
        <v>167</v>
      </c>
      <c r="C166" s="26">
        <v>408</v>
      </c>
      <c r="D166" s="27">
        <v>46228</v>
      </c>
      <c r="E166" s="24" t="s">
        <v>219</v>
      </c>
      <c r="F166" s="24" t="s">
        <v>175</v>
      </c>
      <c r="G166" s="24" t="s">
        <v>244</v>
      </c>
      <c r="H166" s="24" t="s">
        <v>530</v>
      </c>
      <c r="I166" s="24">
        <v>134.74</v>
      </c>
      <c r="J166" s="24">
        <v>85</v>
      </c>
      <c r="K166" s="24" t="s">
        <v>168</v>
      </c>
      <c r="L166" s="25">
        <v>11452.9</v>
      </c>
      <c r="M166" s="25">
        <v>85</v>
      </c>
      <c r="N166" s="24">
        <v>85</v>
      </c>
      <c r="O166" s="24">
        <v>0</v>
      </c>
      <c r="P166" s="24" t="s">
        <v>207</v>
      </c>
      <c r="Q166" s="24" t="s">
        <v>243</v>
      </c>
      <c r="R166" s="24"/>
      <c r="S166" s="24"/>
      <c r="T166" s="24" t="s">
        <v>240</v>
      </c>
      <c r="U166" s="24">
        <v>1</v>
      </c>
      <c r="V166" s="24"/>
      <c r="W166" s="24">
        <v>9</v>
      </c>
      <c r="X166" s="24">
        <v>1030.76</v>
      </c>
      <c r="Y166" s="24">
        <v>9</v>
      </c>
      <c r="Z166" s="24">
        <v>1030.76</v>
      </c>
      <c r="AA166" s="24">
        <v>0</v>
      </c>
      <c r="AB166" s="24">
        <v>0</v>
      </c>
      <c r="AC166" s="24">
        <v>39269080</v>
      </c>
      <c r="AD166" s="24" t="s">
        <v>193</v>
      </c>
      <c r="AE166" s="27">
        <v>46228</v>
      </c>
      <c r="AF166" s="24">
        <v>0</v>
      </c>
      <c r="AG166" s="24">
        <v>0</v>
      </c>
      <c r="AH166" s="24"/>
      <c r="AI166" s="24">
        <v>0</v>
      </c>
      <c r="AJ166" s="24"/>
      <c r="AK166" s="24"/>
      <c r="AL166" s="24"/>
      <c r="AM166" s="24">
        <v>0</v>
      </c>
      <c r="AN166" s="24">
        <v>0</v>
      </c>
      <c r="AO166" s="24">
        <v>0</v>
      </c>
      <c r="AP166" s="24">
        <v>0</v>
      </c>
      <c r="AQ166" s="24">
        <v>0</v>
      </c>
      <c r="AR166" s="24">
        <v>0</v>
      </c>
      <c r="AS166" s="24">
        <v>0</v>
      </c>
      <c r="AT166" s="24">
        <v>0</v>
      </c>
      <c r="AU166" s="24"/>
      <c r="AV166" s="24" t="s">
        <v>247</v>
      </c>
      <c r="AW166" s="24" t="s">
        <v>209</v>
      </c>
      <c r="AX166" s="24" t="s">
        <v>245</v>
      </c>
      <c r="AY166" s="24" t="s">
        <v>153</v>
      </c>
      <c r="AZ166" s="24" t="s">
        <v>192</v>
      </c>
      <c r="BA166" s="24" t="s">
        <v>153</v>
      </c>
      <c r="BB166" s="24" t="s">
        <v>153</v>
      </c>
    </row>
    <row r="167" spans="1:54" x14ac:dyDescent="0.25">
      <c r="A167" s="26"/>
      <c r="B167" s="24" t="s">
        <v>167</v>
      </c>
      <c r="C167" s="26">
        <v>408</v>
      </c>
      <c r="D167" s="27">
        <v>46228</v>
      </c>
      <c r="E167" s="24" t="s">
        <v>219</v>
      </c>
      <c r="F167" s="24" t="s">
        <v>175</v>
      </c>
      <c r="G167" s="24" t="s">
        <v>242</v>
      </c>
      <c r="H167" s="24" t="s">
        <v>187</v>
      </c>
      <c r="I167" s="24">
        <v>154.74</v>
      </c>
      <c r="J167" s="24">
        <v>132.80000000000001</v>
      </c>
      <c r="K167" s="24" t="s">
        <v>168</v>
      </c>
      <c r="L167" s="25">
        <v>20549.47</v>
      </c>
      <c r="M167" s="25">
        <v>132.80000000000001</v>
      </c>
      <c r="N167" s="24">
        <v>138.80000000000001</v>
      </c>
      <c r="O167" s="24">
        <v>0</v>
      </c>
      <c r="P167" s="24" t="s">
        <v>207</v>
      </c>
      <c r="Q167" s="24" t="s">
        <v>243</v>
      </c>
      <c r="R167" s="24"/>
      <c r="S167" s="24"/>
      <c r="T167" s="24" t="s">
        <v>240</v>
      </c>
      <c r="U167" s="24">
        <v>1</v>
      </c>
      <c r="V167" s="24"/>
      <c r="W167" s="24">
        <v>9</v>
      </c>
      <c r="X167" s="24">
        <v>1849.45</v>
      </c>
      <c r="Y167" s="24">
        <v>9</v>
      </c>
      <c r="Z167" s="24">
        <v>1849.45</v>
      </c>
      <c r="AA167" s="24">
        <v>0</v>
      </c>
      <c r="AB167" s="24">
        <v>0</v>
      </c>
      <c r="AC167" s="24">
        <v>39269080</v>
      </c>
      <c r="AD167" s="24" t="s">
        <v>193</v>
      </c>
      <c r="AE167" s="27">
        <v>46228</v>
      </c>
      <c r="AF167" s="24">
        <v>0</v>
      </c>
      <c r="AG167" s="24">
        <v>0</v>
      </c>
      <c r="AH167" s="24"/>
      <c r="AI167" s="24">
        <v>0</v>
      </c>
      <c r="AJ167" s="24"/>
      <c r="AK167" s="24"/>
      <c r="AL167" s="24"/>
      <c r="AM167" s="24">
        <v>0</v>
      </c>
      <c r="AN167" s="24">
        <v>0</v>
      </c>
      <c r="AO167" s="24">
        <v>0</v>
      </c>
      <c r="AP167" s="24">
        <v>0</v>
      </c>
      <c r="AQ167" s="24">
        <v>0</v>
      </c>
      <c r="AR167" s="24">
        <v>0</v>
      </c>
      <c r="AS167" s="24">
        <v>0</v>
      </c>
      <c r="AT167" s="24">
        <v>0</v>
      </c>
      <c r="AU167" s="24"/>
      <c r="AV167" s="24" t="s">
        <v>247</v>
      </c>
      <c r="AW167" s="24" t="s">
        <v>209</v>
      </c>
      <c r="AX167" s="24" t="s">
        <v>186</v>
      </c>
      <c r="AY167" s="24" t="s">
        <v>187</v>
      </c>
      <c r="AZ167" s="24" t="s">
        <v>169</v>
      </c>
      <c r="BA167" s="24" t="s">
        <v>180</v>
      </c>
      <c r="BB167" s="24" t="s">
        <v>155</v>
      </c>
    </row>
    <row r="168" spans="1:54" x14ac:dyDescent="0.25">
      <c r="A168" s="26"/>
      <c r="B168" s="24" t="s">
        <v>167</v>
      </c>
      <c r="C168" s="26">
        <v>409</v>
      </c>
      <c r="D168" s="27">
        <v>46228</v>
      </c>
      <c r="E168" s="24" t="s">
        <v>219</v>
      </c>
      <c r="F168" s="24" t="s">
        <v>611</v>
      </c>
      <c r="G168" s="24" t="s">
        <v>239</v>
      </c>
      <c r="H168" s="24" t="s">
        <v>518</v>
      </c>
      <c r="I168" s="24">
        <v>226.7</v>
      </c>
      <c r="J168" s="24">
        <v>18482</v>
      </c>
      <c r="K168" s="24" t="s">
        <v>168</v>
      </c>
      <c r="L168" s="25">
        <v>4189869.4</v>
      </c>
      <c r="M168" s="25">
        <v>18482</v>
      </c>
      <c r="N168" s="24">
        <v>18482</v>
      </c>
      <c r="O168" s="24">
        <v>4944045.9000000004</v>
      </c>
      <c r="P168" s="24" t="s">
        <v>207</v>
      </c>
      <c r="Q168" s="24" t="s">
        <v>207</v>
      </c>
      <c r="R168" s="24"/>
      <c r="S168" s="24"/>
      <c r="T168" s="24" t="s">
        <v>240</v>
      </c>
      <c r="U168" s="24">
        <v>1</v>
      </c>
      <c r="V168" s="24"/>
      <c r="W168" s="24">
        <v>9</v>
      </c>
      <c r="X168" s="24">
        <v>377088.25</v>
      </c>
      <c r="Y168" s="24">
        <v>9</v>
      </c>
      <c r="Z168" s="24">
        <v>377088.25</v>
      </c>
      <c r="AA168" s="24">
        <v>0</v>
      </c>
      <c r="AB168" s="24">
        <v>0</v>
      </c>
      <c r="AC168" s="24">
        <v>39232999</v>
      </c>
      <c r="AD168" s="24" t="s">
        <v>193</v>
      </c>
      <c r="AE168" s="27">
        <v>46228</v>
      </c>
      <c r="AF168" s="24">
        <v>0</v>
      </c>
      <c r="AG168" s="24">
        <v>0</v>
      </c>
      <c r="AH168" s="24"/>
      <c r="AI168" s="24">
        <v>0</v>
      </c>
      <c r="AJ168" s="24"/>
      <c r="AK168" s="24"/>
      <c r="AL168" s="24"/>
      <c r="AM168" s="24">
        <v>0</v>
      </c>
      <c r="AN168" s="24">
        <v>0</v>
      </c>
      <c r="AO168" s="24">
        <v>0</v>
      </c>
      <c r="AP168" s="24">
        <v>0</v>
      </c>
      <c r="AQ168" s="24">
        <v>0</v>
      </c>
      <c r="AR168" s="24">
        <v>0</v>
      </c>
      <c r="AS168" s="24">
        <v>0</v>
      </c>
      <c r="AT168" s="24">
        <v>0</v>
      </c>
      <c r="AU168" s="24"/>
      <c r="AV168" s="24" t="s">
        <v>247</v>
      </c>
      <c r="AW168" s="24" t="s">
        <v>209</v>
      </c>
      <c r="AX168" s="24" t="s">
        <v>194</v>
      </c>
      <c r="AY168" s="24" t="s">
        <v>195</v>
      </c>
      <c r="AZ168" s="24" t="s">
        <v>192</v>
      </c>
      <c r="BA168" s="24" t="s">
        <v>152</v>
      </c>
      <c r="BB168" s="24" t="s">
        <v>152</v>
      </c>
    </row>
    <row r="169" spans="1:54" x14ac:dyDescent="0.25">
      <c r="A169" s="24"/>
      <c r="B169" s="24" t="s">
        <v>167</v>
      </c>
      <c r="C169" s="26">
        <v>410</v>
      </c>
      <c r="D169" s="27">
        <v>46228</v>
      </c>
      <c r="E169" s="24" t="s">
        <v>525</v>
      </c>
      <c r="F169" s="24" t="s">
        <v>634</v>
      </c>
      <c r="G169" s="24" t="s">
        <v>578</v>
      </c>
      <c r="H169" s="24" t="s">
        <v>338</v>
      </c>
      <c r="I169" s="24">
        <v>385</v>
      </c>
      <c r="J169" s="24">
        <v>45</v>
      </c>
      <c r="K169" s="24" t="s">
        <v>232</v>
      </c>
      <c r="L169" s="24">
        <v>17325</v>
      </c>
      <c r="M169" s="24">
        <v>65</v>
      </c>
      <c r="N169" s="24">
        <v>65</v>
      </c>
      <c r="O169" s="24">
        <v>20443.5</v>
      </c>
      <c r="P169" s="24" t="s">
        <v>207</v>
      </c>
      <c r="Q169" s="24" t="s">
        <v>207</v>
      </c>
      <c r="R169" s="24"/>
      <c r="S169" s="24"/>
      <c r="T169" s="24" t="s">
        <v>240</v>
      </c>
      <c r="U169" s="24">
        <v>1</v>
      </c>
      <c r="V169" s="24"/>
      <c r="W169" s="24">
        <v>9</v>
      </c>
      <c r="X169" s="24">
        <v>1559.25</v>
      </c>
      <c r="Y169" s="24">
        <v>9</v>
      </c>
      <c r="Z169" s="24">
        <v>1559.25</v>
      </c>
      <c r="AA169" s="24">
        <v>0</v>
      </c>
      <c r="AB169" s="24">
        <v>0</v>
      </c>
      <c r="AC169" s="24">
        <v>39232999</v>
      </c>
      <c r="AD169" s="24" t="s">
        <v>193</v>
      </c>
      <c r="AE169" s="27">
        <v>46228</v>
      </c>
      <c r="AF169" s="24">
        <v>0</v>
      </c>
      <c r="AG169" s="24">
        <v>0</v>
      </c>
      <c r="AH169" s="24"/>
      <c r="AI169" s="24">
        <v>0</v>
      </c>
      <c r="AJ169" s="24"/>
      <c r="AK169" s="24"/>
      <c r="AL169" s="24"/>
      <c r="AM169" s="24">
        <v>0</v>
      </c>
      <c r="AN169" s="24">
        <v>0</v>
      </c>
      <c r="AO169" s="24">
        <v>0</v>
      </c>
      <c r="AP169" s="24">
        <v>0</v>
      </c>
      <c r="AQ169" s="24">
        <v>0</v>
      </c>
      <c r="AR169" s="24">
        <v>0</v>
      </c>
      <c r="AS169" s="24">
        <v>0</v>
      </c>
      <c r="AT169" s="24">
        <v>0</v>
      </c>
      <c r="AU169" s="24"/>
      <c r="AV169" s="24" t="s">
        <v>247</v>
      </c>
      <c r="AW169" s="24" t="s">
        <v>209</v>
      </c>
      <c r="AX169" s="24" t="s">
        <v>245</v>
      </c>
      <c r="AY169" s="24" t="s">
        <v>153</v>
      </c>
      <c r="AZ169" s="24" t="s">
        <v>192</v>
      </c>
      <c r="BA169" s="24" t="s">
        <v>153</v>
      </c>
      <c r="BB169" s="24" t="s">
        <v>153</v>
      </c>
    </row>
    <row r="170" spans="1:54" x14ac:dyDescent="0.25">
      <c r="A170" s="26"/>
      <c r="B170" s="24" t="s">
        <v>167</v>
      </c>
      <c r="C170" s="26">
        <v>411</v>
      </c>
      <c r="D170" s="27">
        <v>46228</v>
      </c>
      <c r="E170" s="24" t="s">
        <v>274</v>
      </c>
      <c r="F170" s="24" t="s">
        <v>278</v>
      </c>
      <c r="G170" s="24" t="s">
        <v>309</v>
      </c>
      <c r="H170" s="24" t="s">
        <v>304</v>
      </c>
      <c r="I170" s="24">
        <v>225</v>
      </c>
      <c r="J170" s="24">
        <v>25</v>
      </c>
      <c r="K170" s="24" t="s">
        <v>168</v>
      </c>
      <c r="L170" s="25">
        <v>5625</v>
      </c>
      <c r="M170" s="25">
        <v>25</v>
      </c>
      <c r="N170" s="24">
        <v>25</v>
      </c>
      <c r="O170" s="24">
        <v>29765.5</v>
      </c>
      <c r="P170" s="24" t="s">
        <v>580</v>
      </c>
      <c r="Q170" s="24" t="s">
        <v>580</v>
      </c>
      <c r="R170" s="24"/>
      <c r="S170" s="24"/>
      <c r="T170" s="24" t="s">
        <v>240</v>
      </c>
      <c r="U170" s="24">
        <v>1</v>
      </c>
      <c r="V170" s="24"/>
      <c r="W170" s="24">
        <v>9</v>
      </c>
      <c r="X170" s="24">
        <v>506.25</v>
      </c>
      <c r="Y170" s="24">
        <v>9</v>
      </c>
      <c r="Z170" s="24">
        <v>506.25</v>
      </c>
      <c r="AA170" s="24">
        <v>0</v>
      </c>
      <c r="AB170" s="24">
        <v>0</v>
      </c>
      <c r="AC170" s="24">
        <v>32151990</v>
      </c>
      <c r="AD170" s="24" t="s">
        <v>193</v>
      </c>
      <c r="AE170" s="27">
        <v>46228</v>
      </c>
      <c r="AF170" s="24">
        <v>0</v>
      </c>
      <c r="AG170" s="24">
        <v>0</v>
      </c>
      <c r="AH170" s="24"/>
      <c r="AI170" s="24">
        <v>0</v>
      </c>
      <c r="AJ170" s="24"/>
      <c r="AK170" s="24"/>
      <c r="AL170" s="24"/>
      <c r="AM170" s="24">
        <v>0</v>
      </c>
      <c r="AN170" s="24">
        <v>0</v>
      </c>
      <c r="AO170" s="24">
        <v>0</v>
      </c>
      <c r="AP170" s="24">
        <v>0</v>
      </c>
      <c r="AQ170" s="24">
        <v>0</v>
      </c>
      <c r="AR170" s="24">
        <v>0</v>
      </c>
      <c r="AS170" s="24">
        <v>0</v>
      </c>
      <c r="AT170" s="24">
        <v>0</v>
      </c>
      <c r="AU170" s="24"/>
      <c r="AV170" s="24" t="s">
        <v>247</v>
      </c>
      <c r="AW170" s="24" t="s">
        <v>209</v>
      </c>
      <c r="AX170" s="24" t="s">
        <v>303</v>
      </c>
      <c r="AY170" s="24" t="s">
        <v>304</v>
      </c>
      <c r="AZ170" s="24" t="s">
        <v>204</v>
      </c>
      <c r="BA170" s="24" t="s">
        <v>160</v>
      </c>
      <c r="BB170" s="24" t="s">
        <v>160</v>
      </c>
    </row>
    <row r="171" spans="1:54" x14ac:dyDescent="0.25">
      <c r="A171" s="26"/>
      <c r="B171" s="24" t="s">
        <v>167</v>
      </c>
      <c r="C171" s="26">
        <v>411</v>
      </c>
      <c r="D171" s="27">
        <v>46228</v>
      </c>
      <c r="E171" s="24" t="s">
        <v>274</v>
      </c>
      <c r="F171" s="24" t="s">
        <v>278</v>
      </c>
      <c r="G171" s="24" t="s">
        <v>165</v>
      </c>
      <c r="H171" s="24" t="s">
        <v>203</v>
      </c>
      <c r="I171" s="24">
        <v>112</v>
      </c>
      <c r="J171" s="24">
        <v>175</v>
      </c>
      <c r="K171" s="24" t="s">
        <v>168</v>
      </c>
      <c r="L171" s="25">
        <v>19600</v>
      </c>
      <c r="M171" s="25">
        <v>175</v>
      </c>
      <c r="N171" s="24">
        <v>175</v>
      </c>
      <c r="O171" s="24">
        <v>0</v>
      </c>
      <c r="P171" s="24" t="s">
        <v>580</v>
      </c>
      <c r="Q171" s="24" t="s">
        <v>165</v>
      </c>
      <c r="R171" s="24"/>
      <c r="S171" s="24"/>
      <c r="T171" s="24" t="s">
        <v>240</v>
      </c>
      <c r="U171" s="24">
        <v>1</v>
      </c>
      <c r="V171" s="24"/>
      <c r="W171" s="24">
        <v>9</v>
      </c>
      <c r="X171" s="24">
        <v>1764</v>
      </c>
      <c r="Y171" s="24">
        <v>9</v>
      </c>
      <c r="Z171" s="24">
        <v>1764</v>
      </c>
      <c r="AA171" s="24">
        <v>0</v>
      </c>
      <c r="AB171" s="24">
        <v>0</v>
      </c>
      <c r="AC171" s="24">
        <v>38140011</v>
      </c>
      <c r="AD171" s="24" t="s">
        <v>193</v>
      </c>
      <c r="AE171" s="27">
        <v>46228</v>
      </c>
      <c r="AF171" s="24">
        <v>0</v>
      </c>
      <c r="AG171" s="24">
        <v>0</v>
      </c>
      <c r="AH171" s="24"/>
      <c r="AI171" s="24">
        <v>0</v>
      </c>
      <c r="AJ171" s="24"/>
      <c r="AK171" s="24"/>
      <c r="AL171" s="24"/>
      <c r="AM171" s="24">
        <v>0</v>
      </c>
      <c r="AN171" s="24">
        <v>0</v>
      </c>
      <c r="AO171" s="24">
        <v>0</v>
      </c>
      <c r="AP171" s="24">
        <v>0</v>
      </c>
      <c r="AQ171" s="24">
        <v>0</v>
      </c>
      <c r="AR171" s="24">
        <v>0</v>
      </c>
      <c r="AS171" s="24">
        <v>0</v>
      </c>
      <c r="AT171" s="24">
        <v>0</v>
      </c>
      <c r="AU171" s="24"/>
      <c r="AV171" s="24" t="s">
        <v>247</v>
      </c>
      <c r="AW171" s="24" t="s">
        <v>209</v>
      </c>
      <c r="AX171" s="24" t="s">
        <v>202</v>
      </c>
      <c r="AY171" s="24" t="s">
        <v>203</v>
      </c>
      <c r="AZ171" s="24" t="s">
        <v>204</v>
      </c>
      <c r="BA171" s="24" t="s">
        <v>160</v>
      </c>
      <c r="BB171" s="24" t="s">
        <v>165</v>
      </c>
    </row>
    <row r="172" spans="1:54" x14ac:dyDescent="0.25">
      <c r="A172" s="26"/>
      <c r="B172" s="24" t="s">
        <v>167</v>
      </c>
      <c r="C172" s="26">
        <v>412</v>
      </c>
      <c r="D172" s="27">
        <v>46228</v>
      </c>
      <c r="E172" s="24" t="s">
        <v>219</v>
      </c>
      <c r="F172" s="24" t="s">
        <v>263</v>
      </c>
      <c r="G172" s="24" t="s">
        <v>277</v>
      </c>
      <c r="H172" s="24" t="s">
        <v>200</v>
      </c>
      <c r="I172" s="24">
        <v>275</v>
      </c>
      <c r="J172" s="24">
        <v>12.8</v>
      </c>
      <c r="K172" s="24" t="s">
        <v>168</v>
      </c>
      <c r="L172" s="25">
        <v>3520</v>
      </c>
      <c r="M172" s="25">
        <v>12.8</v>
      </c>
      <c r="N172" s="24">
        <v>12.8</v>
      </c>
      <c r="O172" s="24">
        <v>4153.6000000000004</v>
      </c>
      <c r="P172" s="24" t="s">
        <v>248</v>
      </c>
      <c r="Q172" s="24" t="s">
        <v>248</v>
      </c>
      <c r="R172" s="24"/>
      <c r="S172" s="24"/>
      <c r="T172" s="24" t="s">
        <v>240</v>
      </c>
      <c r="U172" s="24">
        <v>1</v>
      </c>
      <c r="V172" s="24"/>
      <c r="W172" s="24">
        <v>9</v>
      </c>
      <c r="X172" s="24">
        <v>316.8</v>
      </c>
      <c r="Y172" s="24">
        <v>9</v>
      </c>
      <c r="Z172" s="24">
        <v>316.8</v>
      </c>
      <c r="AA172" s="24">
        <v>0</v>
      </c>
      <c r="AB172" s="24">
        <v>0</v>
      </c>
      <c r="AC172" s="24">
        <v>39201019</v>
      </c>
      <c r="AD172" s="24" t="s">
        <v>193</v>
      </c>
      <c r="AE172" s="27">
        <v>46228</v>
      </c>
      <c r="AF172" s="24">
        <v>0</v>
      </c>
      <c r="AG172" s="24">
        <v>0</v>
      </c>
      <c r="AH172" s="24"/>
      <c r="AI172" s="24">
        <v>0</v>
      </c>
      <c r="AJ172" s="24"/>
      <c r="AK172" s="24"/>
      <c r="AL172" s="24"/>
      <c r="AM172" s="24">
        <v>0</v>
      </c>
      <c r="AN172" s="24">
        <v>0</v>
      </c>
      <c r="AO172" s="24">
        <v>0</v>
      </c>
      <c r="AP172" s="24">
        <v>0</v>
      </c>
      <c r="AQ172" s="24">
        <v>0</v>
      </c>
      <c r="AR172" s="24">
        <v>0</v>
      </c>
      <c r="AS172" s="24">
        <v>0</v>
      </c>
      <c r="AT172" s="24">
        <v>0</v>
      </c>
      <c r="AU172" s="24"/>
      <c r="AV172" s="24" t="s">
        <v>247</v>
      </c>
      <c r="AW172" s="24" t="s">
        <v>209</v>
      </c>
      <c r="AX172" s="24" t="s">
        <v>199</v>
      </c>
      <c r="AY172" s="24" t="s">
        <v>200</v>
      </c>
      <c r="AZ172" s="24" t="s">
        <v>169</v>
      </c>
      <c r="BA172" s="24" t="s">
        <v>201</v>
      </c>
      <c r="BB172" s="24" t="s">
        <v>158</v>
      </c>
    </row>
    <row r="173" spans="1:54" x14ac:dyDescent="0.25">
      <c r="A173" s="26"/>
      <c r="B173" s="24" t="s">
        <v>167</v>
      </c>
      <c r="C173" s="26">
        <v>413</v>
      </c>
      <c r="D173" s="27">
        <v>46228</v>
      </c>
      <c r="E173" s="24" t="s">
        <v>219</v>
      </c>
      <c r="F173" s="24" t="s">
        <v>266</v>
      </c>
      <c r="G173" s="24" t="s">
        <v>242</v>
      </c>
      <c r="H173" s="24" t="s">
        <v>187</v>
      </c>
      <c r="I173" s="24">
        <v>154.74</v>
      </c>
      <c r="J173" s="24">
        <v>379</v>
      </c>
      <c r="K173" s="24" t="s">
        <v>168</v>
      </c>
      <c r="L173" s="25">
        <v>58646.46</v>
      </c>
      <c r="M173" s="25">
        <v>379</v>
      </c>
      <c r="N173" s="24">
        <v>405</v>
      </c>
      <c r="O173" s="24">
        <v>69202.820000000007</v>
      </c>
      <c r="P173" s="24" t="s">
        <v>243</v>
      </c>
      <c r="Q173" s="24" t="s">
        <v>243</v>
      </c>
      <c r="R173" s="24"/>
      <c r="S173" s="24"/>
      <c r="T173" s="24" t="s">
        <v>240</v>
      </c>
      <c r="U173" s="24">
        <v>1</v>
      </c>
      <c r="V173" s="24"/>
      <c r="W173" s="24">
        <v>9</v>
      </c>
      <c r="X173" s="24">
        <v>5278.18</v>
      </c>
      <c r="Y173" s="24">
        <v>9</v>
      </c>
      <c r="Z173" s="24">
        <v>5278.18</v>
      </c>
      <c r="AA173" s="24">
        <v>0</v>
      </c>
      <c r="AB173" s="24">
        <v>0</v>
      </c>
      <c r="AC173" s="24">
        <v>39269080</v>
      </c>
      <c r="AD173" s="24" t="s">
        <v>193</v>
      </c>
      <c r="AE173" s="27">
        <v>46228</v>
      </c>
      <c r="AF173" s="24">
        <v>0</v>
      </c>
      <c r="AG173" s="24">
        <v>0</v>
      </c>
      <c r="AH173" s="24"/>
      <c r="AI173" s="24">
        <v>0</v>
      </c>
      <c r="AJ173" s="24"/>
      <c r="AK173" s="24"/>
      <c r="AL173" s="24"/>
      <c r="AM173" s="24">
        <v>0</v>
      </c>
      <c r="AN173" s="24">
        <v>0</v>
      </c>
      <c r="AO173" s="24">
        <v>0</v>
      </c>
      <c r="AP173" s="24">
        <v>0</v>
      </c>
      <c r="AQ173" s="24">
        <v>0</v>
      </c>
      <c r="AR173" s="24">
        <v>0</v>
      </c>
      <c r="AS173" s="24">
        <v>0</v>
      </c>
      <c r="AT173" s="24">
        <v>0</v>
      </c>
      <c r="AU173" s="24"/>
      <c r="AV173" s="24" t="s">
        <v>247</v>
      </c>
      <c r="AW173" s="24" t="s">
        <v>209</v>
      </c>
      <c r="AX173" s="24" t="s">
        <v>186</v>
      </c>
      <c r="AY173" s="24" t="s">
        <v>187</v>
      </c>
      <c r="AZ173" s="24" t="s">
        <v>169</v>
      </c>
      <c r="BA173" s="24" t="s">
        <v>180</v>
      </c>
      <c r="BB173" s="24" t="s">
        <v>155</v>
      </c>
    </row>
    <row r="174" spans="1:54" x14ac:dyDescent="0.25">
      <c r="A174" s="24"/>
      <c r="B174" s="24" t="s">
        <v>167</v>
      </c>
      <c r="C174" s="26">
        <v>415</v>
      </c>
      <c r="D174" s="27">
        <v>46228</v>
      </c>
      <c r="E174" s="24" t="s">
        <v>370</v>
      </c>
      <c r="F174" s="24" t="s">
        <v>635</v>
      </c>
      <c r="G174" s="24" t="s">
        <v>242</v>
      </c>
      <c r="H174" s="24" t="s">
        <v>187</v>
      </c>
      <c r="I174" s="24">
        <v>154.74</v>
      </c>
      <c r="J174" s="24">
        <v>1849.7</v>
      </c>
      <c r="K174" s="24" t="s">
        <v>168</v>
      </c>
      <c r="L174" s="24">
        <v>286222.58</v>
      </c>
      <c r="M174" s="24">
        <v>1849.7</v>
      </c>
      <c r="N174" s="24">
        <v>1946.7</v>
      </c>
      <c r="O174" s="24">
        <v>337742.64</v>
      </c>
      <c r="P174" s="24" t="s">
        <v>243</v>
      </c>
      <c r="Q174" s="24" t="s">
        <v>243</v>
      </c>
      <c r="R174" s="24"/>
      <c r="S174" s="24"/>
      <c r="T174" s="24" t="s">
        <v>240</v>
      </c>
      <c r="U174" s="24">
        <v>1</v>
      </c>
      <c r="V174" s="24"/>
      <c r="W174" s="24">
        <v>9</v>
      </c>
      <c r="X174" s="24">
        <v>25760.03</v>
      </c>
      <c r="Y174" s="24">
        <v>9</v>
      </c>
      <c r="Z174" s="24">
        <v>25760.03</v>
      </c>
      <c r="AA174" s="24">
        <v>0</v>
      </c>
      <c r="AB174" s="24">
        <v>0</v>
      </c>
      <c r="AC174" s="24">
        <v>39269080</v>
      </c>
      <c r="AD174" s="24">
        <v>2554</v>
      </c>
      <c r="AE174" s="27">
        <v>46228</v>
      </c>
      <c r="AF174" s="24">
        <v>0</v>
      </c>
      <c r="AG174" s="24">
        <v>0</v>
      </c>
      <c r="AH174" s="24"/>
      <c r="AI174" s="24">
        <v>0</v>
      </c>
      <c r="AJ174" s="24"/>
      <c r="AK174" s="24"/>
      <c r="AL174" s="24"/>
      <c r="AM174" s="24">
        <v>0</v>
      </c>
      <c r="AN174" s="24">
        <v>0</v>
      </c>
      <c r="AO174" s="24">
        <v>0</v>
      </c>
      <c r="AP174" s="24">
        <v>0</v>
      </c>
      <c r="AQ174" s="24">
        <v>0</v>
      </c>
      <c r="AR174" s="24">
        <v>0</v>
      </c>
      <c r="AS174" s="24">
        <v>0</v>
      </c>
      <c r="AT174" s="24">
        <v>0</v>
      </c>
      <c r="AU174" s="24"/>
      <c r="AV174" s="24" t="s">
        <v>598</v>
      </c>
      <c r="AW174" s="24" t="s">
        <v>209</v>
      </c>
      <c r="AX174" s="24" t="s">
        <v>186</v>
      </c>
      <c r="AY174" s="24" t="s">
        <v>187</v>
      </c>
      <c r="AZ174" s="24" t="s">
        <v>169</v>
      </c>
      <c r="BA174" s="24" t="s">
        <v>180</v>
      </c>
      <c r="BB174" s="24" t="s">
        <v>155</v>
      </c>
    </row>
    <row r="175" spans="1:54" ht="15" customHeight="1" x14ac:dyDescent="0.25">
      <c r="A175" s="24"/>
      <c r="B175" s="24" t="s">
        <v>167</v>
      </c>
      <c r="C175" s="26" t="s">
        <v>524</v>
      </c>
      <c r="D175" s="27">
        <v>46228</v>
      </c>
      <c r="E175" s="24" t="s">
        <v>294</v>
      </c>
      <c r="F175" s="24" t="s">
        <v>307</v>
      </c>
      <c r="G175" s="24" t="s">
        <v>269</v>
      </c>
      <c r="H175" s="24" t="s">
        <v>238</v>
      </c>
      <c r="I175" s="24">
        <v>271</v>
      </c>
      <c r="J175" s="24">
        <v>136</v>
      </c>
      <c r="K175" s="24" t="s">
        <v>168</v>
      </c>
      <c r="L175" s="24">
        <v>36856</v>
      </c>
      <c r="M175" s="24">
        <v>136</v>
      </c>
      <c r="N175" s="24">
        <v>136</v>
      </c>
      <c r="O175" s="24">
        <v>36856</v>
      </c>
      <c r="P175" s="24" t="s">
        <v>248</v>
      </c>
      <c r="Q175" s="24" t="s">
        <v>248</v>
      </c>
      <c r="R175" s="24"/>
      <c r="S175" s="24"/>
      <c r="T175" s="24" t="s">
        <v>240</v>
      </c>
      <c r="U175" s="24">
        <v>1</v>
      </c>
      <c r="V175" s="24" t="s">
        <v>251</v>
      </c>
      <c r="W175" s="24">
        <v>0</v>
      </c>
      <c r="X175" s="24">
        <v>0</v>
      </c>
      <c r="Y175" s="24">
        <v>0</v>
      </c>
      <c r="Z175" s="24">
        <v>0</v>
      </c>
      <c r="AA175" s="24">
        <v>18</v>
      </c>
      <c r="AB175" s="24">
        <v>6634.08</v>
      </c>
      <c r="AC175" s="24">
        <v>392310</v>
      </c>
      <c r="AD175" s="24" t="s">
        <v>193</v>
      </c>
      <c r="AE175" s="27">
        <v>46228</v>
      </c>
      <c r="AF175" s="24">
        <v>0</v>
      </c>
      <c r="AG175" s="24">
        <v>0</v>
      </c>
      <c r="AH175" s="24"/>
      <c r="AI175" s="24">
        <v>0</v>
      </c>
      <c r="AJ175" s="24"/>
      <c r="AK175" s="24"/>
      <c r="AL175" s="24"/>
      <c r="AM175" s="24">
        <v>0</v>
      </c>
      <c r="AN175" s="24">
        <v>0</v>
      </c>
      <c r="AO175" s="24">
        <v>0</v>
      </c>
      <c r="AP175" s="24">
        <v>0</v>
      </c>
      <c r="AQ175" s="24">
        <v>0</v>
      </c>
      <c r="AR175" s="24">
        <v>0</v>
      </c>
      <c r="AS175" s="24">
        <v>0</v>
      </c>
      <c r="AT175" s="24">
        <v>0</v>
      </c>
      <c r="AU175" s="24"/>
      <c r="AV175" s="24" t="s">
        <v>255</v>
      </c>
      <c r="AW175" s="24" t="s">
        <v>209</v>
      </c>
      <c r="AX175" s="24" t="s">
        <v>237</v>
      </c>
      <c r="AY175" s="24" t="s">
        <v>238</v>
      </c>
      <c r="AZ175" s="24" t="s">
        <v>169</v>
      </c>
      <c r="BA175" s="24" t="s">
        <v>176</v>
      </c>
      <c r="BB175" s="24" t="s">
        <v>159</v>
      </c>
    </row>
    <row r="176" spans="1:54" x14ac:dyDescent="0.25">
      <c r="A176" s="26"/>
      <c r="B176" s="24" t="s">
        <v>167</v>
      </c>
      <c r="C176" s="26" t="s">
        <v>521</v>
      </c>
      <c r="D176" s="27">
        <v>46228</v>
      </c>
      <c r="E176" s="24" t="s">
        <v>211</v>
      </c>
      <c r="F176" s="24" t="s">
        <v>307</v>
      </c>
      <c r="G176" s="24" t="s">
        <v>249</v>
      </c>
      <c r="H176" s="24" t="s">
        <v>214</v>
      </c>
      <c r="I176" s="24">
        <v>2</v>
      </c>
      <c r="J176" s="24">
        <v>1018</v>
      </c>
      <c r="K176" s="24" t="s">
        <v>168</v>
      </c>
      <c r="L176" s="25">
        <v>188330</v>
      </c>
      <c r="M176" s="25">
        <v>1018</v>
      </c>
      <c r="N176" s="24">
        <v>1018</v>
      </c>
      <c r="O176" s="24">
        <v>188330</v>
      </c>
      <c r="P176" s="24" t="s">
        <v>207</v>
      </c>
      <c r="Q176" s="24" t="s">
        <v>207</v>
      </c>
      <c r="R176" s="24"/>
      <c r="S176" s="24"/>
      <c r="T176" s="24" t="s">
        <v>253</v>
      </c>
      <c r="U176" s="24">
        <v>92.5</v>
      </c>
      <c r="V176" s="24" t="s">
        <v>251</v>
      </c>
      <c r="W176" s="24"/>
      <c r="X176" s="24"/>
      <c r="Y176" s="24"/>
      <c r="Z176" s="24"/>
      <c r="AA176" s="24">
        <v>18</v>
      </c>
      <c r="AB176" s="24">
        <v>366.48</v>
      </c>
      <c r="AC176" s="24">
        <v>63053200</v>
      </c>
      <c r="AD176" s="24">
        <v>25</v>
      </c>
      <c r="AE176" s="27">
        <v>46228</v>
      </c>
      <c r="AF176" s="24">
        <v>2036</v>
      </c>
      <c r="AG176" s="24">
        <v>188330</v>
      </c>
      <c r="AH176" s="24" t="s">
        <v>254</v>
      </c>
      <c r="AI176" s="24">
        <v>2036</v>
      </c>
      <c r="AJ176" s="24"/>
      <c r="AK176" s="24"/>
      <c r="AL176" s="24">
        <v>6220250</v>
      </c>
      <c r="AM176" s="24">
        <v>0</v>
      </c>
      <c r="AN176" s="24">
        <v>0</v>
      </c>
      <c r="AO176" s="24">
        <v>0</v>
      </c>
      <c r="AP176" s="24">
        <v>0</v>
      </c>
      <c r="AQ176" s="24">
        <v>0</v>
      </c>
      <c r="AR176" s="24">
        <v>0</v>
      </c>
      <c r="AS176" s="24">
        <v>0</v>
      </c>
      <c r="AT176" s="24">
        <v>0</v>
      </c>
      <c r="AU176" s="24"/>
      <c r="AV176" s="24" t="s">
        <v>255</v>
      </c>
      <c r="AW176" s="24" t="s">
        <v>209</v>
      </c>
      <c r="AX176" s="24" t="s">
        <v>190</v>
      </c>
      <c r="AY176" s="24" t="s">
        <v>191</v>
      </c>
      <c r="AZ176" s="24" t="s">
        <v>192</v>
      </c>
      <c r="BA176" s="24" t="s">
        <v>152</v>
      </c>
      <c r="BB176" s="24" t="s">
        <v>162</v>
      </c>
    </row>
    <row r="177" spans="1:54" x14ac:dyDescent="0.25">
      <c r="A177" s="26"/>
      <c r="B177" s="24" t="s">
        <v>167</v>
      </c>
      <c r="C177" s="26" t="s">
        <v>522</v>
      </c>
      <c r="D177" s="27">
        <v>46228</v>
      </c>
      <c r="E177" s="24" t="s">
        <v>211</v>
      </c>
      <c r="F177" s="24" t="s">
        <v>307</v>
      </c>
      <c r="G177" s="24" t="s">
        <v>636</v>
      </c>
      <c r="H177" s="24" t="s">
        <v>187</v>
      </c>
      <c r="I177" s="24">
        <v>1.1499999999999999</v>
      </c>
      <c r="J177" s="24">
        <v>268</v>
      </c>
      <c r="K177" s="24" t="s">
        <v>168</v>
      </c>
      <c r="L177" s="25">
        <v>27614.719999999899</v>
      </c>
      <c r="M177" s="25">
        <v>268</v>
      </c>
      <c r="N177" s="24">
        <v>275</v>
      </c>
      <c r="O177" s="24">
        <v>27614.719999999899</v>
      </c>
      <c r="P177" s="24" t="s">
        <v>243</v>
      </c>
      <c r="Q177" s="24" t="s">
        <v>243</v>
      </c>
      <c r="R177" s="24"/>
      <c r="S177" s="24"/>
      <c r="T177" s="24" t="s">
        <v>253</v>
      </c>
      <c r="U177" s="24">
        <v>89.6</v>
      </c>
      <c r="V177" s="24" t="s">
        <v>251</v>
      </c>
      <c r="W177" s="24"/>
      <c r="X177" s="24"/>
      <c r="Y177" s="24"/>
      <c r="Z177" s="24"/>
      <c r="AA177" s="24">
        <v>18</v>
      </c>
      <c r="AB177" s="24">
        <v>55.48</v>
      </c>
      <c r="AC177" s="24">
        <v>39269080</v>
      </c>
      <c r="AD177" s="24" t="s">
        <v>193</v>
      </c>
      <c r="AE177" s="27">
        <v>46228</v>
      </c>
      <c r="AF177" s="24">
        <v>308.2</v>
      </c>
      <c r="AG177" s="24">
        <v>27614.719999999899</v>
      </c>
      <c r="AH177" s="24" t="s">
        <v>254</v>
      </c>
      <c r="AI177" s="24">
        <v>308.2</v>
      </c>
      <c r="AJ177" s="24"/>
      <c r="AK177" s="24"/>
      <c r="AL177" s="24">
        <v>6220250</v>
      </c>
      <c r="AM177" s="24">
        <v>0</v>
      </c>
      <c r="AN177" s="24">
        <v>0</v>
      </c>
      <c r="AO177" s="24">
        <v>0</v>
      </c>
      <c r="AP177" s="24">
        <v>0</v>
      </c>
      <c r="AQ177" s="24">
        <v>0</v>
      </c>
      <c r="AR177" s="24">
        <v>0</v>
      </c>
      <c r="AS177" s="24">
        <v>0</v>
      </c>
      <c r="AT177" s="24">
        <v>0</v>
      </c>
      <c r="AU177" s="24"/>
      <c r="AV177" s="24" t="s">
        <v>255</v>
      </c>
      <c r="AW177" s="24" t="s">
        <v>209</v>
      </c>
      <c r="AX177" s="24" t="s">
        <v>186</v>
      </c>
      <c r="AY177" s="24" t="s">
        <v>187</v>
      </c>
      <c r="AZ177" s="24" t="s">
        <v>169</v>
      </c>
      <c r="BA177" s="24" t="s">
        <v>180</v>
      </c>
      <c r="BB177" s="24" t="s">
        <v>573</v>
      </c>
    </row>
    <row r="178" spans="1:54" x14ac:dyDescent="0.25">
      <c r="A178" s="26"/>
      <c r="B178" s="24" t="s">
        <v>167</v>
      </c>
      <c r="C178" s="26" t="s">
        <v>523</v>
      </c>
      <c r="D178" s="27">
        <v>46228</v>
      </c>
      <c r="E178" s="24" t="s">
        <v>261</v>
      </c>
      <c r="F178" s="24" t="s">
        <v>307</v>
      </c>
      <c r="G178" s="24" t="s">
        <v>279</v>
      </c>
      <c r="H178" s="24" t="s">
        <v>179</v>
      </c>
      <c r="I178" s="24">
        <v>148.47</v>
      </c>
      <c r="J178" s="24">
        <v>410.8</v>
      </c>
      <c r="K178" s="24" t="s">
        <v>168</v>
      </c>
      <c r="L178" s="25">
        <v>60991.476000000002</v>
      </c>
      <c r="M178" s="25">
        <v>410.8</v>
      </c>
      <c r="N178" s="24">
        <v>414.8</v>
      </c>
      <c r="O178" s="24">
        <v>60991</v>
      </c>
      <c r="P178" s="24" t="s">
        <v>243</v>
      </c>
      <c r="Q178" s="24" t="s">
        <v>243</v>
      </c>
      <c r="R178" s="24"/>
      <c r="S178" s="24"/>
      <c r="T178" s="24" t="s">
        <v>240</v>
      </c>
      <c r="U178" s="24">
        <v>1</v>
      </c>
      <c r="V178" s="24" t="s">
        <v>251</v>
      </c>
      <c r="W178" s="24">
        <v>0</v>
      </c>
      <c r="X178" s="24">
        <v>0</v>
      </c>
      <c r="Y178" s="24">
        <v>0</v>
      </c>
      <c r="Z178" s="24">
        <v>0</v>
      </c>
      <c r="AA178" s="24">
        <v>18</v>
      </c>
      <c r="AB178" s="24">
        <v>10978.47</v>
      </c>
      <c r="AC178" s="24">
        <v>39269080</v>
      </c>
      <c r="AD178" s="24" t="s">
        <v>193</v>
      </c>
      <c r="AE178" s="27">
        <v>46228</v>
      </c>
      <c r="AF178" s="24">
        <v>0</v>
      </c>
      <c r="AG178" s="24">
        <v>0</v>
      </c>
      <c r="AH178" s="24"/>
      <c r="AI178" s="24">
        <v>0</v>
      </c>
      <c r="AJ178" s="24"/>
      <c r="AK178" s="24"/>
      <c r="AL178" s="24"/>
      <c r="AM178" s="24">
        <v>0</v>
      </c>
      <c r="AN178" s="24">
        <v>0</v>
      </c>
      <c r="AO178" s="24">
        <v>0</v>
      </c>
      <c r="AP178" s="24">
        <v>0</v>
      </c>
      <c r="AQ178" s="24">
        <v>0</v>
      </c>
      <c r="AR178" s="24">
        <v>0</v>
      </c>
      <c r="AS178" s="24">
        <v>0</v>
      </c>
      <c r="AT178" s="24">
        <v>0</v>
      </c>
      <c r="AU178" s="24"/>
      <c r="AV178" s="24" t="s">
        <v>255</v>
      </c>
      <c r="AW178" s="24" t="s">
        <v>209</v>
      </c>
      <c r="AX178" s="24" t="s">
        <v>178</v>
      </c>
      <c r="AY178" s="24" t="s">
        <v>179</v>
      </c>
      <c r="AZ178" s="24" t="s">
        <v>169</v>
      </c>
      <c r="BA178" s="24" t="s">
        <v>180</v>
      </c>
      <c r="BB178" s="24" t="s">
        <v>574</v>
      </c>
    </row>
    <row r="179" spans="1:54" x14ac:dyDescent="0.25">
      <c r="A179" s="26"/>
      <c r="B179" s="24" t="s">
        <v>167</v>
      </c>
      <c r="C179" s="26">
        <v>417</v>
      </c>
      <c r="D179" s="27">
        <v>46229</v>
      </c>
      <c r="E179" s="24" t="s">
        <v>219</v>
      </c>
      <c r="F179" s="24" t="s">
        <v>175</v>
      </c>
      <c r="G179" s="24" t="s">
        <v>242</v>
      </c>
      <c r="H179" s="24" t="s">
        <v>187</v>
      </c>
      <c r="I179" s="24">
        <v>154.74</v>
      </c>
      <c r="J179" s="24">
        <v>760.4</v>
      </c>
      <c r="K179" s="24" t="s">
        <v>168</v>
      </c>
      <c r="L179" s="25">
        <v>117664.3</v>
      </c>
      <c r="M179" s="25">
        <v>760.4</v>
      </c>
      <c r="N179" s="24">
        <v>760.4</v>
      </c>
      <c r="O179" s="24">
        <v>193913.96</v>
      </c>
      <c r="P179" s="24" t="s">
        <v>207</v>
      </c>
      <c r="Q179" s="24" t="s">
        <v>243</v>
      </c>
      <c r="R179" s="24"/>
      <c r="S179" s="24"/>
      <c r="T179" s="24" t="s">
        <v>240</v>
      </c>
      <c r="U179" s="24">
        <v>1</v>
      </c>
      <c r="V179" s="24"/>
      <c r="W179" s="24">
        <v>9</v>
      </c>
      <c r="X179" s="24">
        <v>10589.79</v>
      </c>
      <c r="Y179" s="24">
        <v>9</v>
      </c>
      <c r="Z179" s="24">
        <v>10589.79</v>
      </c>
      <c r="AA179" s="24">
        <v>0</v>
      </c>
      <c r="AB179" s="24">
        <v>0</v>
      </c>
      <c r="AC179" s="24">
        <v>39269080</v>
      </c>
      <c r="AD179" s="24" t="s">
        <v>193</v>
      </c>
      <c r="AE179" s="27">
        <v>46229</v>
      </c>
      <c r="AF179" s="24">
        <v>0</v>
      </c>
      <c r="AG179" s="24">
        <v>0</v>
      </c>
      <c r="AH179" s="24"/>
      <c r="AI179" s="24">
        <v>0</v>
      </c>
      <c r="AJ179" s="24"/>
      <c r="AK179" s="24"/>
      <c r="AL179" s="24"/>
      <c r="AM179" s="24">
        <v>0</v>
      </c>
      <c r="AN179" s="24">
        <v>0</v>
      </c>
      <c r="AO179" s="24">
        <v>0</v>
      </c>
      <c r="AP179" s="24">
        <v>0</v>
      </c>
      <c r="AQ179" s="24">
        <v>0</v>
      </c>
      <c r="AR179" s="24">
        <v>0</v>
      </c>
      <c r="AS179" s="24">
        <v>0</v>
      </c>
      <c r="AT179" s="24">
        <v>0</v>
      </c>
      <c r="AU179" s="24"/>
      <c r="AV179" s="24" t="s">
        <v>247</v>
      </c>
      <c r="AW179" s="24" t="s">
        <v>209</v>
      </c>
      <c r="AX179" s="24" t="s">
        <v>186</v>
      </c>
      <c r="AY179" s="24" t="s">
        <v>187</v>
      </c>
      <c r="AZ179" s="24" t="s">
        <v>169</v>
      </c>
      <c r="BA179" s="24" t="s">
        <v>180</v>
      </c>
      <c r="BB179" s="24" t="s">
        <v>155</v>
      </c>
    </row>
    <row r="180" spans="1:54" x14ac:dyDescent="0.25">
      <c r="A180" s="26"/>
      <c r="B180" s="24" t="s">
        <v>167</v>
      </c>
      <c r="C180" s="26">
        <v>417</v>
      </c>
      <c r="D180" s="27">
        <v>46229</v>
      </c>
      <c r="E180" s="24" t="s">
        <v>219</v>
      </c>
      <c r="F180" s="24" t="s">
        <v>175</v>
      </c>
      <c r="G180" s="24" t="s">
        <v>279</v>
      </c>
      <c r="H180" s="24" t="s">
        <v>179</v>
      </c>
      <c r="I180" s="24">
        <v>158.74</v>
      </c>
      <c r="J180" s="24">
        <v>294</v>
      </c>
      <c r="K180" s="24" t="s">
        <v>168</v>
      </c>
      <c r="L180" s="25">
        <v>46669.56</v>
      </c>
      <c r="M180" s="25">
        <v>294</v>
      </c>
      <c r="N180" s="24">
        <v>294</v>
      </c>
      <c r="O180" s="24">
        <v>0</v>
      </c>
      <c r="P180" s="24" t="s">
        <v>207</v>
      </c>
      <c r="Q180" s="24" t="s">
        <v>243</v>
      </c>
      <c r="R180" s="24"/>
      <c r="S180" s="24"/>
      <c r="T180" s="24" t="s">
        <v>240</v>
      </c>
      <c r="U180" s="24">
        <v>1</v>
      </c>
      <c r="V180" s="24"/>
      <c r="W180" s="24">
        <v>9</v>
      </c>
      <c r="X180" s="24">
        <v>4200.26</v>
      </c>
      <c r="Y180" s="24">
        <v>9</v>
      </c>
      <c r="Z180" s="24">
        <v>4200.26</v>
      </c>
      <c r="AA180" s="24">
        <v>0</v>
      </c>
      <c r="AB180" s="24">
        <v>0</v>
      </c>
      <c r="AC180" s="24">
        <v>39269080</v>
      </c>
      <c r="AD180" s="24" t="s">
        <v>193</v>
      </c>
      <c r="AE180" s="27">
        <v>46229</v>
      </c>
      <c r="AF180" s="24">
        <v>0</v>
      </c>
      <c r="AG180" s="24">
        <v>0</v>
      </c>
      <c r="AH180" s="24"/>
      <c r="AI180" s="24">
        <v>0</v>
      </c>
      <c r="AJ180" s="24"/>
      <c r="AK180" s="24"/>
      <c r="AL180" s="24"/>
      <c r="AM180" s="24">
        <v>0</v>
      </c>
      <c r="AN180" s="24">
        <v>0</v>
      </c>
      <c r="AO180" s="24">
        <v>0</v>
      </c>
      <c r="AP180" s="24">
        <v>0</v>
      </c>
      <c r="AQ180" s="24">
        <v>0</v>
      </c>
      <c r="AR180" s="24">
        <v>0</v>
      </c>
      <c r="AS180" s="24">
        <v>0</v>
      </c>
      <c r="AT180" s="24">
        <v>0</v>
      </c>
      <c r="AU180" s="24"/>
      <c r="AV180" s="24" t="s">
        <v>247</v>
      </c>
      <c r="AW180" s="24" t="s">
        <v>209</v>
      </c>
      <c r="AX180" s="24" t="s">
        <v>178</v>
      </c>
      <c r="AY180" s="24" t="s">
        <v>179</v>
      </c>
      <c r="AZ180" s="24" t="s">
        <v>169</v>
      </c>
      <c r="BA180" s="24" t="s">
        <v>180</v>
      </c>
      <c r="BB180" s="24" t="s">
        <v>156</v>
      </c>
    </row>
    <row r="181" spans="1:54" x14ac:dyDescent="0.25">
      <c r="A181" s="26"/>
      <c r="B181" s="24" t="s">
        <v>167</v>
      </c>
      <c r="C181" s="26">
        <v>419</v>
      </c>
      <c r="D181" s="27">
        <v>46230</v>
      </c>
      <c r="E181" s="24" t="s">
        <v>219</v>
      </c>
      <c r="F181" s="24" t="s">
        <v>282</v>
      </c>
      <c r="G181" s="24" t="s">
        <v>277</v>
      </c>
      <c r="H181" s="24" t="s">
        <v>540</v>
      </c>
      <c r="I181" s="24">
        <v>270</v>
      </c>
      <c r="J181" s="24">
        <v>14.7</v>
      </c>
      <c r="K181" s="24" t="s">
        <v>168</v>
      </c>
      <c r="L181" s="25">
        <v>3969</v>
      </c>
      <c r="M181" s="25">
        <v>14.7</v>
      </c>
      <c r="N181" s="24">
        <v>14.7</v>
      </c>
      <c r="O181" s="24">
        <v>4683.42</v>
      </c>
      <c r="P181" s="24" t="s">
        <v>248</v>
      </c>
      <c r="Q181" s="24" t="s">
        <v>248</v>
      </c>
      <c r="R181" s="24"/>
      <c r="S181" s="24"/>
      <c r="T181" s="24" t="s">
        <v>240</v>
      </c>
      <c r="U181" s="24">
        <v>1</v>
      </c>
      <c r="V181" s="24"/>
      <c r="W181" s="24">
        <v>9</v>
      </c>
      <c r="X181" s="24">
        <v>357.21</v>
      </c>
      <c r="Y181" s="24">
        <v>9</v>
      </c>
      <c r="Z181" s="24">
        <v>357.21</v>
      </c>
      <c r="AA181" s="24">
        <v>0</v>
      </c>
      <c r="AB181" s="24">
        <v>0</v>
      </c>
      <c r="AC181" s="24">
        <v>39201019</v>
      </c>
      <c r="AD181" s="24" t="s">
        <v>256</v>
      </c>
      <c r="AE181" s="27">
        <v>46230</v>
      </c>
      <c r="AF181" s="24">
        <v>0</v>
      </c>
      <c r="AG181" s="24">
        <v>0</v>
      </c>
      <c r="AH181" s="24"/>
      <c r="AI181" s="24">
        <v>0</v>
      </c>
      <c r="AJ181" s="24"/>
      <c r="AK181" s="24"/>
      <c r="AL181" s="24"/>
      <c r="AM181" s="24">
        <v>0</v>
      </c>
      <c r="AN181" s="24">
        <v>0</v>
      </c>
      <c r="AO181" s="24">
        <v>0</v>
      </c>
      <c r="AP181" s="24">
        <v>0</v>
      </c>
      <c r="AQ181" s="24">
        <v>0</v>
      </c>
      <c r="AR181" s="24">
        <v>0</v>
      </c>
      <c r="AS181" s="24">
        <v>0</v>
      </c>
      <c r="AT181" s="24">
        <v>0</v>
      </c>
      <c r="AU181" s="24"/>
      <c r="AV181" s="24" t="s">
        <v>247</v>
      </c>
      <c r="AW181" s="24" t="s">
        <v>209</v>
      </c>
      <c r="AX181" s="24" t="s">
        <v>199</v>
      </c>
      <c r="AY181" s="24" t="s">
        <v>200</v>
      </c>
      <c r="AZ181" s="24" t="s">
        <v>169</v>
      </c>
      <c r="BA181" s="24" t="s">
        <v>201</v>
      </c>
      <c r="BB181" s="24" t="s">
        <v>158</v>
      </c>
    </row>
    <row r="182" spans="1:54" x14ac:dyDescent="0.25">
      <c r="A182" s="24"/>
      <c r="B182" s="24" t="s">
        <v>167</v>
      </c>
      <c r="C182" s="26" t="s">
        <v>542</v>
      </c>
      <c r="D182" s="27">
        <v>46230</v>
      </c>
      <c r="E182" s="24" t="s">
        <v>541</v>
      </c>
      <c r="F182" s="24" t="s">
        <v>637</v>
      </c>
      <c r="G182" s="24" t="s">
        <v>249</v>
      </c>
      <c r="H182" s="24" t="s">
        <v>214</v>
      </c>
      <c r="I182" s="24">
        <v>2.3133414000000001</v>
      </c>
      <c r="J182" s="24">
        <v>19608</v>
      </c>
      <c r="K182" s="24" t="s">
        <v>168</v>
      </c>
      <c r="L182" s="24">
        <v>4302152.9440000001</v>
      </c>
      <c r="M182" s="24">
        <v>19608</v>
      </c>
      <c r="N182" s="24">
        <v>20280</v>
      </c>
      <c r="O182" s="24">
        <v>4329612</v>
      </c>
      <c r="P182" s="24" t="s">
        <v>207</v>
      </c>
      <c r="Q182" s="24" t="s">
        <v>207</v>
      </c>
      <c r="R182" s="24"/>
      <c r="S182" s="24"/>
      <c r="T182" s="24" t="s">
        <v>253</v>
      </c>
      <c r="U182" s="24">
        <v>95.45</v>
      </c>
      <c r="V182" s="24" t="s">
        <v>260</v>
      </c>
      <c r="W182" s="24"/>
      <c r="X182" s="24"/>
      <c r="Y182" s="24"/>
      <c r="Z182" s="24"/>
      <c r="AA182" s="24">
        <v>18</v>
      </c>
      <c r="AB182" s="24">
        <v>8164.8</v>
      </c>
      <c r="AC182" s="24">
        <v>63053200</v>
      </c>
      <c r="AD182" s="24"/>
      <c r="AE182" s="27">
        <v>46230</v>
      </c>
      <c r="AF182" s="24">
        <v>45072.32</v>
      </c>
      <c r="AG182" s="24">
        <v>4302152.9440000001</v>
      </c>
      <c r="AH182" s="24" t="s">
        <v>252</v>
      </c>
      <c r="AI182" s="24">
        <v>45360</v>
      </c>
      <c r="AJ182" s="24"/>
      <c r="AK182" s="24"/>
      <c r="AL182" s="24">
        <v>6220250</v>
      </c>
      <c r="AM182" s="24">
        <v>265</v>
      </c>
      <c r="AN182" s="24">
        <v>22.68</v>
      </c>
      <c r="AO182" s="24">
        <v>0</v>
      </c>
      <c r="AP182" s="24">
        <v>0</v>
      </c>
      <c r="AQ182" s="24">
        <v>0</v>
      </c>
      <c r="AR182" s="24">
        <v>0</v>
      </c>
      <c r="AS182" s="24">
        <v>0</v>
      </c>
      <c r="AT182" s="24">
        <v>0</v>
      </c>
      <c r="AU182" s="24" t="s">
        <v>638</v>
      </c>
      <c r="AV182" s="24" t="s">
        <v>639</v>
      </c>
      <c r="AW182" s="24" t="s">
        <v>543</v>
      </c>
      <c r="AX182" s="24" t="s">
        <v>190</v>
      </c>
      <c r="AY182" s="24" t="s">
        <v>191</v>
      </c>
      <c r="AZ182" s="24" t="s">
        <v>192</v>
      </c>
      <c r="BA182" s="24" t="s">
        <v>152</v>
      </c>
      <c r="BB182" s="24" t="s">
        <v>162</v>
      </c>
    </row>
    <row r="183" spans="1:54" x14ac:dyDescent="0.25">
      <c r="A183" s="26"/>
      <c r="B183" s="24" t="s">
        <v>167</v>
      </c>
      <c r="C183" s="26">
        <v>420</v>
      </c>
      <c r="D183" s="27">
        <v>46231</v>
      </c>
      <c r="E183" s="24" t="s">
        <v>219</v>
      </c>
      <c r="F183" s="24" t="s">
        <v>175</v>
      </c>
      <c r="G183" s="24" t="s">
        <v>257</v>
      </c>
      <c r="H183" s="24" t="s">
        <v>550</v>
      </c>
      <c r="I183" s="24">
        <v>134.74</v>
      </c>
      <c r="J183" s="24">
        <v>69</v>
      </c>
      <c r="K183" s="24" t="s">
        <v>168</v>
      </c>
      <c r="L183" s="25">
        <v>9297.06</v>
      </c>
      <c r="M183" s="25">
        <v>69</v>
      </c>
      <c r="N183" s="24">
        <v>69</v>
      </c>
      <c r="O183" s="24">
        <v>10970.54</v>
      </c>
      <c r="P183" s="24" t="s">
        <v>207</v>
      </c>
      <c r="Q183" s="24" t="s">
        <v>243</v>
      </c>
      <c r="R183" s="24"/>
      <c r="S183" s="24"/>
      <c r="T183" s="24" t="s">
        <v>240</v>
      </c>
      <c r="U183" s="24">
        <v>1</v>
      </c>
      <c r="V183" s="24"/>
      <c r="W183" s="24">
        <v>9</v>
      </c>
      <c r="X183" s="24">
        <v>836.74</v>
      </c>
      <c r="Y183" s="24">
        <v>9</v>
      </c>
      <c r="Z183" s="24">
        <v>836.74</v>
      </c>
      <c r="AA183" s="24">
        <v>0</v>
      </c>
      <c r="AB183" s="24">
        <v>0</v>
      </c>
      <c r="AC183" s="24">
        <v>39269080</v>
      </c>
      <c r="AD183" s="24" t="s">
        <v>193</v>
      </c>
      <c r="AE183" s="27">
        <v>46231</v>
      </c>
      <c r="AF183" s="24">
        <v>0</v>
      </c>
      <c r="AG183" s="24">
        <v>0</v>
      </c>
      <c r="AH183" s="24"/>
      <c r="AI183" s="24">
        <v>0</v>
      </c>
      <c r="AJ183" s="24"/>
      <c r="AK183" s="24"/>
      <c r="AL183" s="24"/>
      <c r="AM183" s="24">
        <v>0</v>
      </c>
      <c r="AN183" s="24">
        <v>0</v>
      </c>
      <c r="AO183" s="24">
        <v>0</v>
      </c>
      <c r="AP183" s="24">
        <v>0</v>
      </c>
      <c r="AQ183" s="24">
        <v>0</v>
      </c>
      <c r="AR183" s="24">
        <v>0</v>
      </c>
      <c r="AS183" s="24">
        <v>0</v>
      </c>
      <c r="AT183" s="24">
        <v>0</v>
      </c>
      <c r="AU183" s="24"/>
      <c r="AV183" s="24" t="s">
        <v>247</v>
      </c>
      <c r="AW183" s="24" t="s">
        <v>209</v>
      </c>
      <c r="AX183" s="24" t="s">
        <v>245</v>
      </c>
      <c r="AY183" s="24" t="s">
        <v>153</v>
      </c>
      <c r="AZ183" s="24" t="s">
        <v>192</v>
      </c>
      <c r="BA183" s="24" t="s">
        <v>153</v>
      </c>
      <c r="BB183" s="24" t="s">
        <v>153</v>
      </c>
    </row>
    <row r="184" spans="1:54" x14ac:dyDescent="0.25">
      <c r="A184" s="26"/>
      <c r="B184" s="24" t="s">
        <v>167</v>
      </c>
      <c r="C184" s="26">
        <v>421</v>
      </c>
      <c r="D184" s="27">
        <v>46231</v>
      </c>
      <c r="E184" s="24" t="s">
        <v>205</v>
      </c>
      <c r="F184" s="24" t="s">
        <v>198</v>
      </c>
      <c r="G184" s="24" t="s">
        <v>239</v>
      </c>
      <c r="H184" s="24" t="s">
        <v>640</v>
      </c>
      <c r="I184" s="24">
        <v>206.78</v>
      </c>
      <c r="J184" s="24">
        <v>1752</v>
      </c>
      <c r="K184" s="24" t="s">
        <v>168</v>
      </c>
      <c r="L184" s="25">
        <v>362278.56</v>
      </c>
      <c r="M184" s="25">
        <v>1752</v>
      </c>
      <c r="N184" s="24">
        <v>1752</v>
      </c>
      <c r="O184" s="24">
        <v>2321384.71</v>
      </c>
      <c r="P184" s="24" t="s">
        <v>207</v>
      </c>
      <c r="Q184" s="24" t="s">
        <v>207</v>
      </c>
      <c r="R184" s="24"/>
      <c r="S184" s="24"/>
      <c r="T184" s="24" t="s">
        <v>240</v>
      </c>
      <c r="U184" s="24">
        <v>1</v>
      </c>
      <c r="V184" s="24"/>
      <c r="W184" s="24">
        <v>9</v>
      </c>
      <c r="X184" s="24">
        <v>32605.07</v>
      </c>
      <c r="Y184" s="24">
        <v>9</v>
      </c>
      <c r="Z184" s="24">
        <v>32605.07</v>
      </c>
      <c r="AA184" s="24">
        <v>0</v>
      </c>
      <c r="AB184" s="24">
        <v>0</v>
      </c>
      <c r="AC184" s="24">
        <v>39232999</v>
      </c>
      <c r="AD184" s="24" t="s">
        <v>193</v>
      </c>
      <c r="AE184" s="27">
        <v>46231</v>
      </c>
      <c r="AF184" s="24">
        <v>0</v>
      </c>
      <c r="AG184" s="24">
        <v>0</v>
      </c>
      <c r="AH184" s="24"/>
      <c r="AI184" s="24">
        <v>0</v>
      </c>
      <c r="AJ184" s="24"/>
      <c r="AK184" s="24"/>
      <c r="AL184" s="24"/>
      <c r="AM184" s="24">
        <v>0</v>
      </c>
      <c r="AN184" s="24">
        <v>0</v>
      </c>
      <c r="AO184" s="24">
        <v>0</v>
      </c>
      <c r="AP184" s="24">
        <v>0</v>
      </c>
      <c r="AQ184" s="24">
        <v>0</v>
      </c>
      <c r="AR184" s="24">
        <v>0</v>
      </c>
      <c r="AS184" s="24">
        <v>0</v>
      </c>
      <c r="AT184" s="24">
        <v>0</v>
      </c>
      <c r="AU184" s="24"/>
      <c r="AV184" s="24" t="s">
        <v>241</v>
      </c>
      <c r="AW184" s="24" t="s">
        <v>209</v>
      </c>
      <c r="AX184" s="24" t="s">
        <v>190</v>
      </c>
      <c r="AY184" s="24" t="s">
        <v>191</v>
      </c>
      <c r="AZ184" s="24" t="s">
        <v>192</v>
      </c>
      <c r="BA184" s="24" t="s">
        <v>152</v>
      </c>
      <c r="BB184" s="24" t="s">
        <v>152</v>
      </c>
    </row>
    <row r="185" spans="1:54" x14ac:dyDescent="0.25">
      <c r="A185" s="26"/>
      <c r="B185" s="24" t="s">
        <v>167</v>
      </c>
      <c r="C185" s="26">
        <v>421</v>
      </c>
      <c r="D185" s="27">
        <v>46231</v>
      </c>
      <c r="E185" s="24" t="s">
        <v>205</v>
      </c>
      <c r="F185" s="24" t="s">
        <v>198</v>
      </c>
      <c r="G185" s="24" t="s">
        <v>239</v>
      </c>
      <c r="H185" s="24" t="s">
        <v>641</v>
      </c>
      <c r="I185" s="24">
        <v>196.25</v>
      </c>
      <c r="J185" s="24">
        <v>1685</v>
      </c>
      <c r="K185" s="24" t="s">
        <v>642</v>
      </c>
      <c r="L185" s="25">
        <v>330681.25</v>
      </c>
      <c r="M185" s="25">
        <v>1685</v>
      </c>
      <c r="N185" s="24">
        <v>1685</v>
      </c>
      <c r="O185" s="24">
        <v>0</v>
      </c>
      <c r="P185" s="24" t="s">
        <v>207</v>
      </c>
      <c r="Q185" s="24" t="s">
        <v>207</v>
      </c>
      <c r="R185" s="24"/>
      <c r="S185" s="24"/>
      <c r="T185" s="24" t="s">
        <v>240</v>
      </c>
      <c r="U185" s="24">
        <v>1</v>
      </c>
      <c r="V185" s="24"/>
      <c r="W185" s="24">
        <v>9</v>
      </c>
      <c r="X185" s="24">
        <v>29761.31</v>
      </c>
      <c r="Y185" s="24">
        <v>9</v>
      </c>
      <c r="Z185" s="24">
        <v>29761.31</v>
      </c>
      <c r="AA185" s="24">
        <v>0</v>
      </c>
      <c r="AB185" s="24">
        <v>0</v>
      </c>
      <c r="AC185" s="24">
        <v>39232999</v>
      </c>
      <c r="AD185" s="24" t="s">
        <v>193</v>
      </c>
      <c r="AE185" s="27">
        <v>46231</v>
      </c>
      <c r="AF185" s="24">
        <v>0</v>
      </c>
      <c r="AG185" s="24">
        <v>0</v>
      </c>
      <c r="AH185" s="24"/>
      <c r="AI185" s="24">
        <v>0</v>
      </c>
      <c r="AJ185" s="24"/>
      <c r="AK185" s="24"/>
      <c r="AL185" s="24"/>
      <c r="AM185" s="24">
        <v>0</v>
      </c>
      <c r="AN185" s="24">
        <v>0</v>
      </c>
      <c r="AO185" s="24">
        <v>0</v>
      </c>
      <c r="AP185" s="24">
        <v>0</v>
      </c>
      <c r="AQ185" s="24">
        <v>0</v>
      </c>
      <c r="AR185" s="24">
        <v>0</v>
      </c>
      <c r="AS185" s="24">
        <v>0</v>
      </c>
      <c r="AT185" s="24">
        <v>0</v>
      </c>
      <c r="AU185" s="24"/>
      <c r="AV185" s="24" t="s">
        <v>241</v>
      </c>
      <c r="AW185" s="24" t="s">
        <v>209</v>
      </c>
      <c r="AX185" s="24" t="s">
        <v>190</v>
      </c>
      <c r="AY185" s="24" t="s">
        <v>191</v>
      </c>
      <c r="AZ185" s="24" t="s">
        <v>192</v>
      </c>
      <c r="BA185" s="24" t="s">
        <v>152</v>
      </c>
      <c r="BB185" s="24" t="s">
        <v>152</v>
      </c>
    </row>
    <row r="186" spans="1:54" x14ac:dyDescent="0.25">
      <c r="A186" s="26"/>
      <c r="B186" s="24" t="s">
        <v>167</v>
      </c>
      <c r="C186" s="26">
        <v>421</v>
      </c>
      <c r="D186" s="27">
        <v>46231</v>
      </c>
      <c r="E186" s="24" t="s">
        <v>205</v>
      </c>
      <c r="F186" s="24" t="s">
        <v>198</v>
      </c>
      <c r="G186" s="24" t="s">
        <v>239</v>
      </c>
      <c r="H186" s="24" t="s">
        <v>643</v>
      </c>
      <c r="I186" s="24">
        <v>233.23</v>
      </c>
      <c r="J186" s="24">
        <v>3232</v>
      </c>
      <c r="K186" s="24" t="s">
        <v>168</v>
      </c>
      <c r="L186" s="25">
        <v>753799.36</v>
      </c>
      <c r="M186" s="25">
        <v>3232</v>
      </c>
      <c r="N186" s="24">
        <v>3232</v>
      </c>
      <c r="O186" s="24">
        <v>0</v>
      </c>
      <c r="P186" s="24" t="s">
        <v>207</v>
      </c>
      <c r="Q186" s="24" t="s">
        <v>207</v>
      </c>
      <c r="R186" s="24"/>
      <c r="S186" s="24"/>
      <c r="T186" s="24" t="s">
        <v>240</v>
      </c>
      <c r="U186" s="24">
        <v>1</v>
      </c>
      <c r="V186" s="24"/>
      <c r="W186" s="24">
        <v>9</v>
      </c>
      <c r="X186" s="24">
        <v>67841.94</v>
      </c>
      <c r="Y186" s="24">
        <v>9</v>
      </c>
      <c r="Z186" s="24">
        <v>67841.94</v>
      </c>
      <c r="AA186" s="24">
        <v>0</v>
      </c>
      <c r="AB186" s="24">
        <v>0</v>
      </c>
      <c r="AC186" s="24">
        <v>39232999</v>
      </c>
      <c r="AD186" s="24" t="s">
        <v>193</v>
      </c>
      <c r="AE186" s="27">
        <v>46231</v>
      </c>
      <c r="AF186" s="24">
        <v>0</v>
      </c>
      <c r="AG186" s="24">
        <v>0</v>
      </c>
      <c r="AH186" s="24"/>
      <c r="AI186" s="24">
        <v>0</v>
      </c>
      <c r="AJ186" s="24"/>
      <c r="AK186" s="24"/>
      <c r="AL186" s="24"/>
      <c r="AM186" s="24">
        <v>0</v>
      </c>
      <c r="AN186" s="24">
        <v>0</v>
      </c>
      <c r="AO186" s="24">
        <v>0</v>
      </c>
      <c r="AP186" s="24">
        <v>0</v>
      </c>
      <c r="AQ186" s="24">
        <v>0</v>
      </c>
      <c r="AR186" s="24">
        <v>0</v>
      </c>
      <c r="AS186" s="24">
        <v>0</v>
      </c>
      <c r="AT186" s="24">
        <v>0</v>
      </c>
      <c r="AU186" s="24"/>
      <c r="AV186" s="24" t="s">
        <v>241</v>
      </c>
      <c r="AW186" s="24" t="s">
        <v>209</v>
      </c>
      <c r="AX186" s="24" t="s">
        <v>190</v>
      </c>
      <c r="AY186" s="24" t="s">
        <v>191</v>
      </c>
      <c r="AZ186" s="24" t="s">
        <v>192</v>
      </c>
      <c r="BA186" s="24" t="s">
        <v>152</v>
      </c>
      <c r="BB186" s="24" t="s">
        <v>152</v>
      </c>
    </row>
    <row r="187" spans="1:54" x14ac:dyDescent="0.25">
      <c r="A187" s="26"/>
      <c r="B187" s="24" t="s">
        <v>167</v>
      </c>
      <c r="C187" s="26">
        <v>421</v>
      </c>
      <c r="D187" s="27">
        <v>46231</v>
      </c>
      <c r="E187" s="24" t="s">
        <v>205</v>
      </c>
      <c r="F187" s="24" t="s">
        <v>198</v>
      </c>
      <c r="G187" s="24" t="s">
        <v>239</v>
      </c>
      <c r="H187" s="24" t="s">
        <v>644</v>
      </c>
      <c r="I187" s="24">
        <v>213.94</v>
      </c>
      <c r="J187" s="24">
        <v>2433</v>
      </c>
      <c r="K187" s="24" t="s">
        <v>168</v>
      </c>
      <c r="L187" s="25">
        <v>520516.02</v>
      </c>
      <c r="M187" s="25">
        <v>2433</v>
      </c>
      <c r="N187" s="24">
        <v>2433</v>
      </c>
      <c r="O187" s="24">
        <v>0</v>
      </c>
      <c r="P187" s="24" t="s">
        <v>207</v>
      </c>
      <c r="Q187" s="24" t="s">
        <v>207</v>
      </c>
      <c r="R187" s="24"/>
      <c r="S187" s="24"/>
      <c r="T187" s="24" t="s">
        <v>240</v>
      </c>
      <c r="U187" s="24">
        <v>1</v>
      </c>
      <c r="V187" s="24"/>
      <c r="W187" s="24">
        <v>9</v>
      </c>
      <c r="X187" s="24">
        <v>46846.44</v>
      </c>
      <c r="Y187" s="24">
        <v>9</v>
      </c>
      <c r="Z187" s="24">
        <v>46846.44</v>
      </c>
      <c r="AA187" s="24">
        <v>0</v>
      </c>
      <c r="AB187" s="24">
        <v>0</v>
      </c>
      <c r="AC187" s="24">
        <v>39232999</v>
      </c>
      <c r="AD187" s="24" t="s">
        <v>193</v>
      </c>
      <c r="AE187" s="27">
        <v>46231</v>
      </c>
      <c r="AF187" s="24">
        <v>0</v>
      </c>
      <c r="AG187" s="24">
        <v>0</v>
      </c>
      <c r="AH187" s="24"/>
      <c r="AI187" s="24">
        <v>0</v>
      </c>
      <c r="AJ187" s="24"/>
      <c r="AK187" s="24"/>
      <c r="AL187" s="24"/>
      <c r="AM187" s="24">
        <v>0</v>
      </c>
      <c r="AN187" s="24">
        <v>0</v>
      </c>
      <c r="AO187" s="24">
        <v>0</v>
      </c>
      <c r="AP187" s="24">
        <v>0</v>
      </c>
      <c r="AQ187" s="24">
        <v>0</v>
      </c>
      <c r="AR187" s="24">
        <v>0</v>
      </c>
      <c r="AS187" s="24">
        <v>0</v>
      </c>
      <c r="AT187" s="24">
        <v>0</v>
      </c>
      <c r="AU187" s="24"/>
      <c r="AV187" s="24" t="s">
        <v>241</v>
      </c>
      <c r="AW187" s="24" t="s">
        <v>209</v>
      </c>
      <c r="AX187" s="24" t="s">
        <v>190</v>
      </c>
      <c r="AY187" s="24" t="s">
        <v>191</v>
      </c>
      <c r="AZ187" s="24" t="s">
        <v>192</v>
      </c>
      <c r="BA187" s="24" t="s">
        <v>152</v>
      </c>
      <c r="BB187" s="24" t="s">
        <v>152</v>
      </c>
    </row>
    <row r="188" spans="1:54" x14ac:dyDescent="0.25">
      <c r="A188" s="26"/>
      <c r="B188" s="24" t="s">
        <v>167</v>
      </c>
      <c r="C188" s="26">
        <v>422</v>
      </c>
      <c r="D188" s="27">
        <v>46231</v>
      </c>
      <c r="E188" s="24" t="s">
        <v>205</v>
      </c>
      <c r="F188" s="24" t="s">
        <v>198</v>
      </c>
      <c r="G188" s="24" t="s">
        <v>242</v>
      </c>
      <c r="H188" s="24" t="s">
        <v>546</v>
      </c>
      <c r="I188" s="24">
        <v>154.74</v>
      </c>
      <c r="J188" s="24">
        <v>273</v>
      </c>
      <c r="K188" s="24" t="s">
        <v>168</v>
      </c>
      <c r="L188" s="25">
        <v>42244.02</v>
      </c>
      <c r="M188" s="25">
        <v>273</v>
      </c>
      <c r="N188" s="24">
        <v>273</v>
      </c>
      <c r="O188" s="24">
        <v>49847.94</v>
      </c>
      <c r="P188" s="24" t="s">
        <v>207</v>
      </c>
      <c r="Q188" s="24" t="s">
        <v>243</v>
      </c>
      <c r="R188" s="24"/>
      <c r="S188" s="24"/>
      <c r="T188" s="24" t="s">
        <v>240</v>
      </c>
      <c r="U188" s="24">
        <v>1</v>
      </c>
      <c r="V188" s="24"/>
      <c r="W188" s="24">
        <v>9</v>
      </c>
      <c r="X188" s="24">
        <v>3801.96</v>
      </c>
      <c r="Y188" s="24">
        <v>9</v>
      </c>
      <c r="Z188" s="24">
        <v>3801.96</v>
      </c>
      <c r="AA188" s="24">
        <v>0</v>
      </c>
      <c r="AB188" s="24">
        <v>0</v>
      </c>
      <c r="AC188" s="24">
        <v>39269080</v>
      </c>
      <c r="AD188" s="24" t="s">
        <v>193</v>
      </c>
      <c r="AE188" s="27">
        <v>46231</v>
      </c>
      <c r="AF188" s="24">
        <v>0</v>
      </c>
      <c r="AG188" s="24">
        <v>0</v>
      </c>
      <c r="AH188" s="24"/>
      <c r="AI188" s="24">
        <v>0</v>
      </c>
      <c r="AJ188" s="24"/>
      <c r="AK188" s="24"/>
      <c r="AL188" s="24"/>
      <c r="AM188" s="24">
        <v>0</v>
      </c>
      <c r="AN188" s="24">
        <v>0</v>
      </c>
      <c r="AO188" s="24">
        <v>0</v>
      </c>
      <c r="AP188" s="24">
        <v>0</v>
      </c>
      <c r="AQ188" s="24">
        <v>0</v>
      </c>
      <c r="AR188" s="24">
        <v>0</v>
      </c>
      <c r="AS188" s="24">
        <v>0</v>
      </c>
      <c r="AT188" s="24">
        <v>0</v>
      </c>
      <c r="AU188" s="24"/>
      <c r="AV188" s="24" t="s">
        <v>241</v>
      </c>
      <c r="AW188" s="24" t="s">
        <v>209</v>
      </c>
      <c r="AX188" s="24" t="s">
        <v>245</v>
      </c>
      <c r="AY188" s="24" t="s">
        <v>153</v>
      </c>
      <c r="AZ188" s="24" t="s">
        <v>192</v>
      </c>
      <c r="BA188" s="24" t="s">
        <v>153</v>
      </c>
      <c r="BB188" s="24" t="s">
        <v>153</v>
      </c>
    </row>
    <row r="189" spans="1:54" x14ac:dyDescent="0.25">
      <c r="A189" s="26"/>
      <c r="B189" s="24" t="s">
        <v>167</v>
      </c>
      <c r="C189" s="26">
        <v>423</v>
      </c>
      <c r="D189" s="27">
        <v>46231</v>
      </c>
      <c r="E189" s="24" t="s">
        <v>219</v>
      </c>
      <c r="F189" s="24" t="s">
        <v>175</v>
      </c>
      <c r="G189" s="24" t="s">
        <v>645</v>
      </c>
      <c r="H189" s="24" t="s">
        <v>552</v>
      </c>
      <c r="I189" s="24">
        <v>187</v>
      </c>
      <c r="J189" s="24">
        <v>250</v>
      </c>
      <c r="K189" s="24" t="s">
        <v>168</v>
      </c>
      <c r="L189" s="25">
        <v>46750</v>
      </c>
      <c r="M189" s="25">
        <v>250</v>
      </c>
      <c r="N189" s="24">
        <v>250</v>
      </c>
      <c r="O189" s="24">
        <v>55165</v>
      </c>
      <c r="P189" s="24" t="s">
        <v>267</v>
      </c>
      <c r="Q189" s="24" t="s">
        <v>646</v>
      </c>
      <c r="R189" s="24"/>
      <c r="S189" s="24"/>
      <c r="T189" s="24" t="s">
        <v>240</v>
      </c>
      <c r="U189" s="24">
        <v>1</v>
      </c>
      <c r="V189" s="24"/>
      <c r="W189" s="24">
        <v>9</v>
      </c>
      <c r="X189" s="24">
        <v>4207.5</v>
      </c>
      <c r="Y189" s="24">
        <v>9</v>
      </c>
      <c r="Z189" s="24">
        <v>4207.5</v>
      </c>
      <c r="AA189" s="24">
        <v>0</v>
      </c>
      <c r="AB189" s="24">
        <v>0</v>
      </c>
      <c r="AC189" s="24">
        <v>39232100</v>
      </c>
      <c r="AD189" s="24" t="s">
        <v>193</v>
      </c>
      <c r="AE189" s="27">
        <v>46231</v>
      </c>
      <c r="AF189" s="24">
        <v>0</v>
      </c>
      <c r="AG189" s="24">
        <v>0</v>
      </c>
      <c r="AH189" s="24"/>
      <c r="AI189" s="24">
        <v>0</v>
      </c>
      <c r="AJ189" s="24"/>
      <c r="AK189" s="24"/>
      <c r="AL189" s="24"/>
      <c r="AM189" s="24">
        <v>0</v>
      </c>
      <c r="AN189" s="24">
        <v>0</v>
      </c>
      <c r="AO189" s="24">
        <v>0</v>
      </c>
      <c r="AP189" s="24">
        <v>0</v>
      </c>
      <c r="AQ189" s="24">
        <v>0</v>
      </c>
      <c r="AR189" s="24">
        <v>0</v>
      </c>
      <c r="AS189" s="24">
        <v>0</v>
      </c>
      <c r="AT189" s="24">
        <v>0</v>
      </c>
      <c r="AU189" s="24"/>
      <c r="AV189" s="24" t="s">
        <v>247</v>
      </c>
      <c r="AW189" s="24" t="s">
        <v>209</v>
      </c>
      <c r="AX189" s="24" t="s">
        <v>173</v>
      </c>
      <c r="AY189" s="24" t="s">
        <v>174</v>
      </c>
      <c r="AZ189" s="24" t="s">
        <v>169</v>
      </c>
      <c r="BA189" s="24" t="s">
        <v>176</v>
      </c>
      <c r="BB189" s="24" t="s">
        <v>159</v>
      </c>
    </row>
    <row r="190" spans="1:54" x14ac:dyDescent="0.25">
      <c r="A190" s="26"/>
      <c r="B190" s="24" t="s">
        <v>167</v>
      </c>
      <c r="C190" s="26" t="s">
        <v>547</v>
      </c>
      <c r="D190" s="27">
        <v>46231</v>
      </c>
      <c r="E190" s="24" t="s">
        <v>261</v>
      </c>
      <c r="F190" s="24" t="s">
        <v>307</v>
      </c>
      <c r="G190" s="24" t="s">
        <v>308</v>
      </c>
      <c r="H190" s="24" t="s">
        <v>302</v>
      </c>
      <c r="I190" s="24">
        <v>137</v>
      </c>
      <c r="J190" s="24">
        <v>2019.7</v>
      </c>
      <c r="K190" s="24" t="s">
        <v>168</v>
      </c>
      <c r="L190" s="25">
        <v>276698.90000000002</v>
      </c>
      <c r="M190" s="25">
        <v>2019.7</v>
      </c>
      <c r="N190" s="24">
        <v>2019.7</v>
      </c>
      <c r="O190" s="24">
        <v>276698.90000000002</v>
      </c>
      <c r="P190" s="24" t="s">
        <v>248</v>
      </c>
      <c r="Q190" s="24" t="s">
        <v>248</v>
      </c>
      <c r="R190" s="24"/>
      <c r="S190" s="24"/>
      <c r="T190" s="24" t="s">
        <v>240</v>
      </c>
      <c r="U190" s="24">
        <v>1</v>
      </c>
      <c r="V190" s="24" t="s">
        <v>251</v>
      </c>
      <c r="W190" s="24">
        <v>0</v>
      </c>
      <c r="X190" s="24">
        <v>0</v>
      </c>
      <c r="Y190" s="24">
        <v>0</v>
      </c>
      <c r="Z190" s="24">
        <v>0</v>
      </c>
      <c r="AA190" s="24">
        <v>5</v>
      </c>
      <c r="AB190" s="24">
        <v>13834.94</v>
      </c>
      <c r="AC190" s="24">
        <v>540263</v>
      </c>
      <c r="AD190" s="24" t="s">
        <v>193</v>
      </c>
      <c r="AE190" s="27">
        <v>46231</v>
      </c>
      <c r="AF190" s="24">
        <v>0</v>
      </c>
      <c r="AG190" s="24">
        <v>0</v>
      </c>
      <c r="AH190" s="24"/>
      <c r="AI190" s="24">
        <v>0</v>
      </c>
      <c r="AJ190" s="24"/>
      <c r="AK190" s="24"/>
      <c r="AL190" s="24"/>
      <c r="AM190" s="24">
        <v>0</v>
      </c>
      <c r="AN190" s="24">
        <v>0</v>
      </c>
      <c r="AO190" s="24">
        <v>0</v>
      </c>
      <c r="AP190" s="24">
        <v>0</v>
      </c>
      <c r="AQ190" s="24">
        <v>0</v>
      </c>
      <c r="AR190" s="24">
        <v>0</v>
      </c>
      <c r="AS190" s="24">
        <v>0</v>
      </c>
      <c r="AT190" s="24">
        <v>0</v>
      </c>
      <c r="AU190" s="24"/>
      <c r="AV190" s="24" t="s">
        <v>255</v>
      </c>
      <c r="AW190" s="24" t="s">
        <v>209</v>
      </c>
      <c r="AX190" s="24" t="s">
        <v>301</v>
      </c>
      <c r="AY190" s="24" t="s">
        <v>302</v>
      </c>
      <c r="AZ190" s="24" t="s">
        <v>169</v>
      </c>
      <c r="BA190" s="24" t="s">
        <v>170</v>
      </c>
      <c r="BB190" s="24" t="s">
        <v>572</v>
      </c>
    </row>
    <row r="191" spans="1:54" x14ac:dyDescent="0.25">
      <c r="A191" s="26"/>
      <c r="B191" s="24" t="s">
        <v>167</v>
      </c>
      <c r="C191" s="26" t="s">
        <v>548</v>
      </c>
      <c r="D191" s="27">
        <v>46231</v>
      </c>
      <c r="E191" s="24" t="s">
        <v>211</v>
      </c>
      <c r="F191" s="24" t="s">
        <v>307</v>
      </c>
      <c r="G191" s="24" t="s">
        <v>647</v>
      </c>
      <c r="H191" s="24" t="s">
        <v>214</v>
      </c>
      <c r="I191" s="24">
        <v>2</v>
      </c>
      <c r="J191" s="24">
        <v>5588</v>
      </c>
      <c r="K191" s="24" t="s">
        <v>168</v>
      </c>
      <c r="L191" s="25">
        <v>1046073.6</v>
      </c>
      <c r="M191" s="25">
        <v>5588</v>
      </c>
      <c r="N191" s="24">
        <v>5588</v>
      </c>
      <c r="O191" s="24">
        <v>1046073.6</v>
      </c>
      <c r="P191" s="24" t="s">
        <v>207</v>
      </c>
      <c r="Q191" s="24" t="s">
        <v>207</v>
      </c>
      <c r="R191" s="24"/>
      <c r="S191" s="24"/>
      <c r="T191" s="24" t="s">
        <v>253</v>
      </c>
      <c r="U191" s="24">
        <v>93.6</v>
      </c>
      <c r="V191" s="24" t="s">
        <v>251</v>
      </c>
      <c r="W191" s="24"/>
      <c r="X191" s="24"/>
      <c r="Y191" s="24"/>
      <c r="Z191" s="24"/>
      <c r="AA191" s="24">
        <v>18</v>
      </c>
      <c r="AB191" s="24">
        <v>2011.68</v>
      </c>
      <c r="AC191" s="24">
        <v>39232999</v>
      </c>
      <c r="AD191" s="24">
        <v>26</v>
      </c>
      <c r="AE191" s="27">
        <v>46231</v>
      </c>
      <c r="AF191" s="24">
        <v>11176</v>
      </c>
      <c r="AG191" s="24">
        <v>1046073.6</v>
      </c>
      <c r="AH191" s="24" t="s">
        <v>254</v>
      </c>
      <c r="AI191" s="24">
        <v>11176</v>
      </c>
      <c r="AJ191" s="24"/>
      <c r="AK191" s="24"/>
      <c r="AL191" s="24">
        <v>6220250</v>
      </c>
      <c r="AM191" s="24">
        <v>0</v>
      </c>
      <c r="AN191" s="24">
        <v>0</v>
      </c>
      <c r="AO191" s="24">
        <v>0</v>
      </c>
      <c r="AP191" s="24">
        <v>0</v>
      </c>
      <c r="AQ191" s="24">
        <v>0</v>
      </c>
      <c r="AR191" s="24">
        <v>0</v>
      </c>
      <c r="AS191" s="24">
        <v>0</v>
      </c>
      <c r="AT191" s="24">
        <v>0</v>
      </c>
      <c r="AU191" s="24"/>
      <c r="AV191" s="24" t="s">
        <v>255</v>
      </c>
      <c r="AW191" s="24" t="s">
        <v>209</v>
      </c>
      <c r="AX191" s="24" t="s">
        <v>190</v>
      </c>
      <c r="AY191" s="24" t="s">
        <v>191</v>
      </c>
      <c r="AZ191" s="24" t="s">
        <v>192</v>
      </c>
      <c r="BA191" s="24" t="s">
        <v>152</v>
      </c>
      <c r="BB191" s="24" t="s">
        <v>162</v>
      </c>
    </row>
    <row r="192" spans="1:54" x14ac:dyDescent="0.25">
      <c r="A192" s="26"/>
      <c r="B192" s="24" t="s">
        <v>167</v>
      </c>
      <c r="C192" s="26">
        <v>424</v>
      </c>
      <c r="D192" s="27">
        <v>46232</v>
      </c>
      <c r="E192" s="24" t="s">
        <v>219</v>
      </c>
      <c r="F192" s="24" t="s">
        <v>175</v>
      </c>
      <c r="G192" s="24" t="s">
        <v>257</v>
      </c>
      <c r="H192" s="24" t="s">
        <v>556</v>
      </c>
      <c r="I192" s="24">
        <v>134.74</v>
      </c>
      <c r="J192" s="24">
        <v>35</v>
      </c>
      <c r="K192" s="24" t="s">
        <v>168</v>
      </c>
      <c r="L192" s="25">
        <v>4715.8999999999996</v>
      </c>
      <c r="M192" s="25">
        <v>35</v>
      </c>
      <c r="N192" s="24">
        <v>35</v>
      </c>
      <c r="O192" s="24">
        <v>5564.76</v>
      </c>
      <c r="P192" s="24" t="s">
        <v>207</v>
      </c>
      <c r="Q192" s="24" t="s">
        <v>243</v>
      </c>
      <c r="R192" s="24"/>
      <c r="S192" s="24"/>
      <c r="T192" s="24" t="s">
        <v>240</v>
      </c>
      <c r="U192" s="24">
        <v>1</v>
      </c>
      <c r="V192" s="24"/>
      <c r="W192" s="24">
        <v>9</v>
      </c>
      <c r="X192" s="24">
        <v>424.43</v>
      </c>
      <c r="Y192" s="24">
        <v>9</v>
      </c>
      <c r="Z192" s="24">
        <v>424.43</v>
      </c>
      <c r="AA192" s="24">
        <v>0</v>
      </c>
      <c r="AB192" s="24">
        <v>0</v>
      </c>
      <c r="AC192" s="24">
        <v>39269080</v>
      </c>
      <c r="AD192" s="24" t="s">
        <v>193</v>
      </c>
      <c r="AE192" s="27">
        <v>46232</v>
      </c>
      <c r="AF192" s="24">
        <v>0</v>
      </c>
      <c r="AG192" s="24">
        <v>0</v>
      </c>
      <c r="AH192" s="24"/>
      <c r="AI192" s="24">
        <v>0</v>
      </c>
      <c r="AJ192" s="24"/>
      <c r="AK192" s="24"/>
      <c r="AL192" s="24"/>
      <c r="AM192" s="24">
        <v>0</v>
      </c>
      <c r="AN192" s="24">
        <v>0</v>
      </c>
      <c r="AO192" s="24">
        <v>0</v>
      </c>
      <c r="AP192" s="24">
        <v>0</v>
      </c>
      <c r="AQ192" s="24">
        <v>0</v>
      </c>
      <c r="AR192" s="24">
        <v>0</v>
      </c>
      <c r="AS192" s="24">
        <v>0</v>
      </c>
      <c r="AT192" s="24">
        <v>0</v>
      </c>
      <c r="AU192" s="24"/>
      <c r="AV192" s="24" t="s">
        <v>247</v>
      </c>
      <c r="AW192" s="24" t="s">
        <v>209</v>
      </c>
      <c r="AX192" s="24" t="s">
        <v>245</v>
      </c>
      <c r="AY192" s="24" t="s">
        <v>153</v>
      </c>
      <c r="AZ192" s="24" t="s">
        <v>192</v>
      </c>
      <c r="BA192" s="24" t="s">
        <v>153</v>
      </c>
      <c r="BB192" s="24" t="s">
        <v>153</v>
      </c>
    </row>
    <row r="193" spans="1:54" x14ac:dyDescent="0.25">
      <c r="A193" s="26"/>
      <c r="B193" s="24" t="s">
        <v>167</v>
      </c>
      <c r="C193" s="26">
        <v>425</v>
      </c>
      <c r="D193" s="27">
        <v>46233</v>
      </c>
      <c r="E193" s="24" t="s">
        <v>219</v>
      </c>
      <c r="F193" s="24" t="s">
        <v>175</v>
      </c>
      <c r="G193" s="24" t="s">
        <v>242</v>
      </c>
      <c r="H193" s="24" t="s">
        <v>187</v>
      </c>
      <c r="I193" s="24">
        <v>154.74</v>
      </c>
      <c r="J193" s="24">
        <v>133</v>
      </c>
      <c r="K193" s="24" t="s">
        <v>168</v>
      </c>
      <c r="L193" s="25">
        <v>20580.419999999998</v>
      </c>
      <c r="M193" s="25">
        <v>133</v>
      </c>
      <c r="N193" s="24">
        <v>139</v>
      </c>
      <c r="O193" s="24">
        <v>190332.64</v>
      </c>
      <c r="P193" s="24" t="s">
        <v>207</v>
      </c>
      <c r="Q193" s="24" t="s">
        <v>243</v>
      </c>
      <c r="R193" s="24"/>
      <c r="S193" s="24"/>
      <c r="T193" s="24" t="s">
        <v>240</v>
      </c>
      <c r="U193" s="24">
        <v>1</v>
      </c>
      <c r="V193" s="24"/>
      <c r="W193" s="24">
        <v>9</v>
      </c>
      <c r="X193" s="24">
        <v>1852.24</v>
      </c>
      <c r="Y193" s="24">
        <v>9</v>
      </c>
      <c r="Z193" s="24">
        <v>1852.24</v>
      </c>
      <c r="AA193" s="24">
        <v>0</v>
      </c>
      <c r="AB193" s="24">
        <v>0</v>
      </c>
      <c r="AC193" s="24">
        <v>39269080</v>
      </c>
      <c r="AD193" s="24" t="s">
        <v>193</v>
      </c>
      <c r="AE193" s="27">
        <v>46233</v>
      </c>
      <c r="AF193" s="24">
        <v>0</v>
      </c>
      <c r="AG193" s="24">
        <v>0</v>
      </c>
      <c r="AH193" s="24"/>
      <c r="AI193" s="24">
        <v>0</v>
      </c>
      <c r="AJ193" s="24"/>
      <c r="AK193" s="24"/>
      <c r="AL193" s="24"/>
      <c r="AM193" s="24">
        <v>0</v>
      </c>
      <c r="AN193" s="24">
        <v>0</v>
      </c>
      <c r="AO193" s="24">
        <v>0</v>
      </c>
      <c r="AP193" s="24">
        <v>0</v>
      </c>
      <c r="AQ193" s="24">
        <v>0</v>
      </c>
      <c r="AR193" s="24">
        <v>0</v>
      </c>
      <c r="AS193" s="24">
        <v>0</v>
      </c>
      <c r="AT193" s="24">
        <v>0</v>
      </c>
      <c r="AU193" s="24"/>
      <c r="AV193" s="24" t="s">
        <v>247</v>
      </c>
      <c r="AW193" s="24" t="s">
        <v>209</v>
      </c>
      <c r="AX193" s="24" t="s">
        <v>186</v>
      </c>
      <c r="AY193" s="24" t="s">
        <v>187</v>
      </c>
      <c r="AZ193" s="24" t="s">
        <v>169</v>
      </c>
      <c r="BA193" s="24" t="s">
        <v>180</v>
      </c>
      <c r="BB193" s="24" t="s">
        <v>155</v>
      </c>
    </row>
    <row r="194" spans="1:54" x14ac:dyDescent="0.25">
      <c r="A194" s="26"/>
      <c r="B194" s="24" t="s">
        <v>167</v>
      </c>
      <c r="C194" s="26">
        <v>425</v>
      </c>
      <c r="D194" s="27">
        <v>46233</v>
      </c>
      <c r="E194" s="24" t="s">
        <v>219</v>
      </c>
      <c r="F194" s="24" t="s">
        <v>175</v>
      </c>
      <c r="G194" s="24" t="s">
        <v>257</v>
      </c>
      <c r="H194" s="24" t="s">
        <v>236</v>
      </c>
      <c r="I194" s="24">
        <v>158.74</v>
      </c>
      <c r="J194" s="24">
        <v>244</v>
      </c>
      <c r="K194" s="24" t="s">
        <v>168</v>
      </c>
      <c r="L194" s="25">
        <v>38732.559999999998</v>
      </c>
      <c r="M194" s="25">
        <v>244</v>
      </c>
      <c r="N194" s="24">
        <v>246</v>
      </c>
      <c r="O194" s="24">
        <v>0</v>
      </c>
      <c r="P194" s="24" t="s">
        <v>207</v>
      </c>
      <c r="Q194" s="24" t="s">
        <v>243</v>
      </c>
      <c r="R194" s="24"/>
      <c r="S194" s="24"/>
      <c r="T194" s="24" t="s">
        <v>240</v>
      </c>
      <c r="U194" s="24">
        <v>1</v>
      </c>
      <c r="V194" s="24"/>
      <c r="W194" s="24">
        <v>9</v>
      </c>
      <c r="X194" s="24">
        <v>3485.93</v>
      </c>
      <c r="Y194" s="24">
        <v>9</v>
      </c>
      <c r="Z194" s="24">
        <v>3485.93</v>
      </c>
      <c r="AA194" s="24">
        <v>0</v>
      </c>
      <c r="AB194" s="24">
        <v>0</v>
      </c>
      <c r="AC194" s="24">
        <v>39269080</v>
      </c>
      <c r="AD194" s="24" t="s">
        <v>193</v>
      </c>
      <c r="AE194" s="27">
        <v>46233</v>
      </c>
      <c r="AF194" s="24">
        <v>0</v>
      </c>
      <c r="AG194" s="24">
        <v>0</v>
      </c>
      <c r="AH194" s="24"/>
      <c r="AI194" s="24">
        <v>0</v>
      </c>
      <c r="AJ194" s="24"/>
      <c r="AK194" s="24"/>
      <c r="AL194" s="24"/>
      <c r="AM194" s="24">
        <v>0</v>
      </c>
      <c r="AN194" s="24">
        <v>0</v>
      </c>
      <c r="AO194" s="24">
        <v>0</v>
      </c>
      <c r="AP194" s="24">
        <v>0</v>
      </c>
      <c r="AQ194" s="24">
        <v>0</v>
      </c>
      <c r="AR194" s="24">
        <v>0</v>
      </c>
      <c r="AS194" s="24">
        <v>0</v>
      </c>
      <c r="AT194" s="24">
        <v>0</v>
      </c>
      <c r="AU194" s="24"/>
      <c r="AV194" s="24" t="s">
        <v>247</v>
      </c>
      <c r="AW194" s="24" t="s">
        <v>209</v>
      </c>
      <c r="AX194" s="24" t="s">
        <v>178</v>
      </c>
      <c r="AY194" s="24" t="s">
        <v>179</v>
      </c>
      <c r="AZ194" s="24" t="s">
        <v>169</v>
      </c>
      <c r="BA194" s="24" t="s">
        <v>180</v>
      </c>
      <c r="BB194" s="24" t="s">
        <v>156</v>
      </c>
    </row>
    <row r="195" spans="1:54" x14ac:dyDescent="0.25">
      <c r="A195" s="26"/>
      <c r="B195" s="24" t="s">
        <v>167</v>
      </c>
      <c r="C195" s="26">
        <v>425</v>
      </c>
      <c r="D195" s="27">
        <v>46233</v>
      </c>
      <c r="E195" s="24" t="s">
        <v>219</v>
      </c>
      <c r="F195" s="24" t="s">
        <v>175</v>
      </c>
      <c r="G195" s="24" t="s">
        <v>578</v>
      </c>
      <c r="H195" s="24" t="s">
        <v>394</v>
      </c>
      <c r="I195" s="24">
        <v>134.74</v>
      </c>
      <c r="J195" s="24">
        <v>689</v>
      </c>
      <c r="K195" s="24" t="s">
        <v>168</v>
      </c>
      <c r="L195" s="25">
        <v>92835.86</v>
      </c>
      <c r="M195" s="25">
        <v>689</v>
      </c>
      <c r="N195" s="24">
        <v>689</v>
      </c>
      <c r="O195" s="24">
        <v>0</v>
      </c>
      <c r="P195" s="24" t="s">
        <v>207</v>
      </c>
      <c r="Q195" s="24" t="s">
        <v>207</v>
      </c>
      <c r="R195" s="24"/>
      <c r="S195" s="24"/>
      <c r="T195" s="24" t="s">
        <v>240</v>
      </c>
      <c r="U195" s="24">
        <v>1</v>
      </c>
      <c r="V195" s="24"/>
      <c r="W195" s="24">
        <v>9</v>
      </c>
      <c r="X195" s="24">
        <v>8355.23</v>
      </c>
      <c r="Y195" s="24">
        <v>9</v>
      </c>
      <c r="Z195" s="24">
        <v>8355.23</v>
      </c>
      <c r="AA195" s="24">
        <v>0</v>
      </c>
      <c r="AB195" s="24">
        <v>0</v>
      </c>
      <c r="AC195" s="24">
        <v>39232999</v>
      </c>
      <c r="AD195" s="24" t="s">
        <v>193</v>
      </c>
      <c r="AE195" s="27">
        <v>46233</v>
      </c>
      <c r="AF195" s="24">
        <v>0</v>
      </c>
      <c r="AG195" s="24">
        <v>0</v>
      </c>
      <c r="AH195" s="24"/>
      <c r="AI195" s="24">
        <v>0</v>
      </c>
      <c r="AJ195" s="24"/>
      <c r="AK195" s="24"/>
      <c r="AL195" s="24"/>
      <c r="AM195" s="24">
        <v>0</v>
      </c>
      <c r="AN195" s="24">
        <v>0</v>
      </c>
      <c r="AO195" s="24">
        <v>0</v>
      </c>
      <c r="AP195" s="24">
        <v>0</v>
      </c>
      <c r="AQ195" s="24">
        <v>0</v>
      </c>
      <c r="AR195" s="24">
        <v>0</v>
      </c>
      <c r="AS195" s="24">
        <v>0</v>
      </c>
      <c r="AT195" s="24">
        <v>0</v>
      </c>
      <c r="AU195" s="24"/>
      <c r="AV195" s="24" t="s">
        <v>247</v>
      </c>
      <c r="AW195" s="24" t="s">
        <v>209</v>
      </c>
      <c r="AX195" s="24" t="s">
        <v>245</v>
      </c>
      <c r="AY195" s="24" t="s">
        <v>153</v>
      </c>
      <c r="AZ195" s="24" t="s">
        <v>192</v>
      </c>
      <c r="BA195" s="24" t="s">
        <v>153</v>
      </c>
      <c r="BB195" s="24" t="s">
        <v>153</v>
      </c>
    </row>
    <row r="196" spans="1:54" x14ac:dyDescent="0.25">
      <c r="A196" s="26"/>
      <c r="B196" s="24" t="s">
        <v>167</v>
      </c>
      <c r="C196" s="26">
        <v>425</v>
      </c>
      <c r="D196" s="27">
        <v>46233</v>
      </c>
      <c r="E196" s="24" t="s">
        <v>219</v>
      </c>
      <c r="F196" s="24" t="s">
        <v>175</v>
      </c>
      <c r="G196" s="24" t="s">
        <v>242</v>
      </c>
      <c r="H196" s="24" t="s">
        <v>273</v>
      </c>
      <c r="I196" s="24">
        <v>150</v>
      </c>
      <c r="J196" s="24">
        <v>61</v>
      </c>
      <c r="K196" s="24" t="s">
        <v>168</v>
      </c>
      <c r="L196" s="25">
        <v>9150</v>
      </c>
      <c r="M196" s="25">
        <v>61</v>
      </c>
      <c r="N196" s="24">
        <v>61</v>
      </c>
      <c r="O196" s="24">
        <v>0</v>
      </c>
      <c r="P196" s="24" t="s">
        <v>207</v>
      </c>
      <c r="Q196" s="24" t="s">
        <v>207</v>
      </c>
      <c r="R196" s="24"/>
      <c r="S196" s="24"/>
      <c r="T196" s="24" t="s">
        <v>240</v>
      </c>
      <c r="U196" s="24">
        <v>1</v>
      </c>
      <c r="V196" s="24"/>
      <c r="W196" s="24">
        <v>9</v>
      </c>
      <c r="X196" s="24">
        <v>823.5</v>
      </c>
      <c r="Y196" s="24">
        <v>9</v>
      </c>
      <c r="Z196" s="24">
        <v>823.5</v>
      </c>
      <c r="AA196" s="24">
        <v>0</v>
      </c>
      <c r="AB196" s="24">
        <v>0</v>
      </c>
      <c r="AC196" s="24">
        <v>39269080</v>
      </c>
      <c r="AD196" s="24" t="s">
        <v>193</v>
      </c>
      <c r="AE196" s="27">
        <v>46233</v>
      </c>
      <c r="AF196" s="24">
        <v>0</v>
      </c>
      <c r="AG196" s="24">
        <v>0</v>
      </c>
      <c r="AH196" s="24"/>
      <c r="AI196" s="24">
        <v>0</v>
      </c>
      <c r="AJ196" s="24"/>
      <c r="AK196" s="24"/>
      <c r="AL196" s="24"/>
      <c r="AM196" s="24">
        <v>0</v>
      </c>
      <c r="AN196" s="24">
        <v>0</v>
      </c>
      <c r="AO196" s="24">
        <v>0</v>
      </c>
      <c r="AP196" s="24">
        <v>0</v>
      </c>
      <c r="AQ196" s="24">
        <v>0</v>
      </c>
      <c r="AR196" s="24">
        <v>0</v>
      </c>
      <c r="AS196" s="24">
        <v>0</v>
      </c>
      <c r="AT196" s="24">
        <v>0</v>
      </c>
      <c r="AU196" s="24"/>
      <c r="AV196" s="24" t="s">
        <v>247</v>
      </c>
      <c r="AW196" s="24" t="s">
        <v>209</v>
      </c>
      <c r="AX196" s="24" t="s">
        <v>245</v>
      </c>
      <c r="AY196" s="24" t="s">
        <v>153</v>
      </c>
      <c r="AZ196" s="24" t="s">
        <v>192</v>
      </c>
      <c r="BA196" s="24" t="s">
        <v>153</v>
      </c>
      <c r="BB196" s="24" t="s">
        <v>153</v>
      </c>
    </row>
    <row r="197" spans="1:54" x14ac:dyDescent="0.25">
      <c r="A197" s="26"/>
      <c r="B197" s="24" t="s">
        <v>167</v>
      </c>
      <c r="C197" s="26">
        <v>427</v>
      </c>
      <c r="D197" s="27">
        <v>46233</v>
      </c>
      <c r="E197" s="24" t="s">
        <v>219</v>
      </c>
      <c r="F197" s="24" t="s">
        <v>175</v>
      </c>
      <c r="G197" s="24" t="s">
        <v>648</v>
      </c>
      <c r="H197" s="24" t="s">
        <v>564</v>
      </c>
      <c r="I197" s="24">
        <v>132</v>
      </c>
      <c r="J197" s="24">
        <v>341.9</v>
      </c>
      <c r="K197" s="24" t="s">
        <v>168</v>
      </c>
      <c r="L197" s="25">
        <v>45130.8</v>
      </c>
      <c r="M197" s="25">
        <v>341.9</v>
      </c>
      <c r="N197" s="24">
        <v>341.9</v>
      </c>
      <c r="O197" s="24">
        <v>47387.34</v>
      </c>
      <c r="P197" s="24" t="s">
        <v>262</v>
      </c>
      <c r="Q197" s="24" t="s">
        <v>248</v>
      </c>
      <c r="R197" s="24"/>
      <c r="S197" s="24"/>
      <c r="T197" s="24" t="s">
        <v>240</v>
      </c>
      <c r="U197" s="24">
        <v>1</v>
      </c>
      <c r="V197" s="24"/>
      <c r="W197" s="24">
        <v>2.5</v>
      </c>
      <c r="X197" s="24">
        <v>1128.27</v>
      </c>
      <c r="Y197" s="24">
        <v>2.5</v>
      </c>
      <c r="Z197" s="24">
        <v>1128.27</v>
      </c>
      <c r="AA197" s="24">
        <v>0</v>
      </c>
      <c r="AB197" s="24">
        <v>0</v>
      </c>
      <c r="AC197" s="24">
        <v>54026930</v>
      </c>
      <c r="AD197" s="24" t="s">
        <v>193</v>
      </c>
      <c r="AE197" s="27">
        <v>46233</v>
      </c>
      <c r="AF197" s="24">
        <v>0</v>
      </c>
      <c r="AG197" s="24">
        <v>0</v>
      </c>
      <c r="AH197" s="24"/>
      <c r="AI197" s="24">
        <v>0</v>
      </c>
      <c r="AJ197" s="24"/>
      <c r="AK197" s="24"/>
      <c r="AL197" s="24"/>
      <c r="AM197" s="24">
        <v>0</v>
      </c>
      <c r="AN197" s="24">
        <v>0</v>
      </c>
      <c r="AO197" s="24">
        <v>0</v>
      </c>
      <c r="AP197" s="24">
        <v>0</v>
      </c>
      <c r="AQ197" s="24">
        <v>0</v>
      </c>
      <c r="AR197" s="24">
        <v>0</v>
      </c>
      <c r="AS197" s="24">
        <v>0</v>
      </c>
      <c r="AT197" s="24">
        <v>0</v>
      </c>
      <c r="AU197" s="24"/>
      <c r="AV197" s="24" t="s">
        <v>247</v>
      </c>
      <c r="AW197" s="24" t="s">
        <v>209</v>
      </c>
      <c r="AX197" s="24" t="s">
        <v>299</v>
      </c>
      <c r="AY197" s="24" t="s">
        <v>300</v>
      </c>
      <c r="AZ197" s="24" t="s">
        <v>169</v>
      </c>
      <c r="BA197" s="24" t="s">
        <v>170</v>
      </c>
      <c r="BB197" s="24" t="s">
        <v>157</v>
      </c>
    </row>
    <row r="198" spans="1:54" x14ac:dyDescent="0.25">
      <c r="A198" s="26"/>
      <c r="B198" s="24" t="s">
        <v>167</v>
      </c>
      <c r="C198" s="26">
        <v>428</v>
      </c>
      <c r="D198" s="27">
        <v>46233</v>
      </c>
      <c r="E198" s="24" t="s">
        <v>205</v>
      </c>
      <c r="F198" s="24" t="s">
        <v>287</v>
      </c>
      <c r="G198" s="24" t="s">
        <v>242</v>
      </c>
      <c r="H198" s="24" t="s">
        <v>187</v>
      </c>
      <c r="I198" s="24">
        <v>154.74</v>
      </c>
      <c r="J198" s="24">
        <v>370.5</v>
      </c>
      <c r="K198" s="24" t="s">
        <v>168</v>
      </c>
      <c r="L198" s="25">
        <v>57331.17</v>
      </c>
      <c r="M198" s="25">
        <v>370.5</v>
      </c>
      <c r="N198" s="24">
        <v>370.5</v>
      </c>
      <c r="O198" s="24">
        <v>219611.37</v>
      </c>
      <c r="P198" s="24" t="s">
        <v>243</v>
      </c>
      <c r="Q198" s="24" t="s">
        <v>243</v>
      </c>
      <c r="R198" s="24"/>
      <c r="S198" s="24"/>
      <c r="T198" s="24" t="s">
        <v>240</v>
      </c>
      <c r="U198" s="24">
        <v>1</v>
      </c>
      <c r="V198" s="24"/>
      <c r="W198" s="24">
        <v>9</v>
      </c>
      <c r="X198" s="24">
        <v>5159.8100000000004</v>
      </c>
      <c r="Y198" s="24">
        <v>9</v>
      </c>
      <c r="Z198" s="24">
        <v>5159.8100000000004</v>
      </c>
      <c r="AA198" s="24">
        <v>0</v>
      </c>
      <c r="AB198" s="24">
        <v>0</v>
      </c>
      <c r="AC198" s="24">
        <v>39269080</v>
      </c>
      <c r="AD198" s="24" t="s">
        <v>193</v>
      </c>
      <c r="AE198" s="27">
        <v>46233</v>
      </c>
      <c r="AF198" s="24">
        <v>0</v>
      </c>
      <c r="AG198" s="24">
        <v>0</v>
      </c>
      <c r="AH198" s="24"/>
      <c r="AI198" s="24">
        <v>0</v>
      </c>
      <c r="AJ198" s="24"/>
      <c r="AK198" s="24"/>
      <c r="AL198" s="24"/>
      <c r="AM198" s="24">
        <v>0</v>
      </c>
      <c r="AN198" s="24">
        <v>0</v>
      </c>
      <c r="AO198" s="24">
        <v>0</v>
      </c>
      <c r="AP198" s="24">
        <v>0</v>
      </c>
      <c r="AQ198" s="24">
        <v>0</v>
      </c>
      <c r="AR198" s="24">
        <v>0</v>
      </c>
      <c r="AS198" s="24">
        <v>0</v>
      </c>
      <c r="AT198" s="24">
        <v>0</v>
      </c>
      <c r="AU198" s="24"/>
      <c r="AV198" s="24" t="s">
        <v>241</v>
      </c>
      <c r="AW198" s="24" t="s">
        <v>209</v>
      </c>
      <c r="AX198" s="24" t="s">
        <v>186</v>
      </c>
      <c r="AY198" s="24" t="s">
        <v>187</v>
      </c>
      <c r="AZ198" s="24" t="s">
        <v>169</v>
      </c>
      <c r="BA198" s="24" t="s">
        <v>180</v>
      </c>
      <c r="BB198" s="24" t="s">
        <v>155</v>
      </c>
    </row>
    <row r="199" spans="1:54" x14ac:dyDescent="0.25">
      <c r="A199" s="26"/>
      <c r="B199" s="24" t="s">
        <v>167</v>
      </c>
      <c r="C199" s="26">
        <v>428</v>
      </c>
      <c r="D199" s="27">
        <v>46233</v>
      </c>
      <c r="E199" s="24" t="s">
        <v>205</v>
      </c>
      <c r="F199" s="24" t="s">
        <v>287</v>
      </c>
      <c r="G199" s="24" t="s">
        <v>257</v>
      </c>
      <c r="H199" s="24" t="s">
        <v>559</v>
      </c>
      <c r="I199" s="24">
        <v>158.74</v>
      </c>
      <c r="J199" s="24">
        <v>307</v>
      </c>
      <c r="K199" s="24" t="s">
        <v>168</v>
      </c>
      <c r="L199" s="25">
        <v>48733.18</v>
      </c>
      <c r="M199" s="25">
        <v>307</v>
      </c>
      <c r="N199" s="24">
        <v>307</v>
      </c>
      <c r="O199" s="24">
        <v>0</v>
      </c>
      <c r="P199" s="24" t="s">
        <v>243</v>
      </c>
      <c r="Q199" s="24" t="s">
        <v>243</v>
      </c>
      <c r="R199" s="24"/>
      <c r="S199" s="24"/>
      <c r="T199" s="24" t="s">
        <v>240</v>
      </c>
      <c r="U199" s="24">
        <v>1</v>
      </c>
      <c r="V199" s="24"/>
      <c r="W199" s="24">
        <v>9</v>
      </c>
      <c r="X199" s="24">
        <v>4385.99</v>
      </c>
      <c r="Y199" s="24">
        <v>9</v>
      </c>
      <c r="Z199" s="24">
        <v>4385.99</v>
      </c>
      <c r="AA199" s="24">
        <v>0</v>
      </c>
      <c r="AB199" s="24">
        <v>0</v>
      </c>
      <c r="AC199" s="24">
        <v>39269080</v>
      </c>
      <c r="AD199" s="24" t="s">
        <v>193</v>
      </c>
      <c r="AE199" s="27">
        <v>46233</v>
      </c>
      <c r="AF199" s="24">
        <v>0</v>
      </c>
      <c r="AG199" s="24">
        <v>0</v>
      </c>
      <c r="AH199" s="24"/>
      <c r="AI199" s="24">
        <v>0</v>
      </c>
      <c r="AJ199" s="24"/>
      <c r="AK199" s="24"/>
      <c r="AL199" s="24"/>
      <c r="AM199" s="24">
        <v>0</v>
      </c>
      <c r="AN199" s="24">
        <v>0</v>
      </c>
      <c r="AO199" s="24">
        <v>0</v>
      </c>
      <c r="AP199" s="24">
        <v>0</v>
      </c>
      <c r="AQ199" s="24">
        <v>0</v>
      </c>
      <c r="AR199" s="24">
        <v>0</v>
      </c>
      <c r="AS199" s="24">
        <v>0</v>
      </c>
      <c r="AT199" s="24">
        <v>0</v>
      </c>
      <c r="AU199" s="24"/>
      <c r="AV199" s="24" t="s">
        <v>241</v>
      </c>
      <c r="AW199" s="24" t="s">
        <v>209</v>
      </c>
      <c r="AX199" s="24" t="s">
        <v>178</v>
      </c>
      <c r="AY199" s="24" t="s">
        <v>179</v>
      </c>
      <c r="AZ199" s="24" t="s">
        <v>169</v>
      </c>
      <c r="BA199" s="24" t="s">
        <v>180</v>
      </c>
      <c r="BB199" s="24" t="s">
        <v>156</v>
      </c>
    </row>
    <row r="200" spans="1:54" x14ac:dyDescent="0.25">
      <c r="A200" s="26"/>
      <c r="B200" s="24" t="s">
        <v>167</v>
      </c>
      <c r="C200" s="26">
        <v>428</v>
      </c>
      <c r="D200" s="27">
        <v>46233</v>
      </c>
      <c r="E200" s="24" t="s">
        <v>205</v>
      </c>
      <c r="F200" s="24" t="s">
        <v>287</v>
      </c>
      <c r="G200" s="24" t="s">
        <v>257</v>
      </c>
      <c r="H200" s="24" t="s">
        <v>560</v>
      </c>
      <c r="I200" s="24">
        <v>161.74</v>
      </c>
      <c r="J200" s="24">
        <v>294</v>
      </c>
      <c r="K200" s="24" t="s">
        <v>168</v>
      </c>
      <c r="L200" s="25">
        <v>47551.56</v>
      </c>
      <c r="M200" s="25">
        <v>294</v>
      </c>
      <c r="N200" s="24">
        <v>294</v>
      </c>
      <c r="O200" s="24">
        <v>0</v>
      </c>
      <c r="P200" s="24" t="s">
        <v>243</v>
      </c>
      <c r="Q200" s="24" t="s">
        <v>243</v>
      </c>
      <c r="R200" s="24"/>
      <c r="S200" s="24"/>
      <c r="T200" s="24" t="s">
        <v>240</v>
      </c>
      <c r="U200" s="24">
        <v>1</v>
      </c>
      <c r="V200" s="24"/>
      <c r="W200" s="24">
        <v>9</v>
      </c>
      <c r="X200" s="24">
        <v>4279.6400000000003</v>
      </c>
      <c r="Y200" s="24">
        <v>9</v>
      </c>
      <c r="Z200" s="24">
        <v>4279.6400000000003</v>
      </c>
      <c r="AA200" s="24">
        <v>0</v>
      </c>
      <c r="AB200" s="24">
        <v>0</v>
      </c>
      <c r="AC200" s="24">
        <v>39269080</v>
      </c>
      <c r="AD200" s="24" t="s">
        <v>193</v>
      </c>
      <c r="AE200" s="27">
        <v>46233</v>
      </c>
      <c r="AF200" s="24">
        <v>0</v>
      </c>
      <c r="AG200" s="24">
        <v>0</v>
      </c>
      <c r="AH200" s="24"/>
      <c r="AI200" s="24">
        <v>0</v>
      </c>
      <c r="AJ200" s="24"/>
      <c r="AK200" s="24"/>
      <c r="AL200" s="24"/>
      <c r="AM200" s="24">
        <v>0</v>
      </c>
      <c r="AN200" s="24">
        <v>0</v>
      </c>
      <c r="AO200" s="24">
        <v>0</v>
      </c>
      <c r="AP200" s="24">
        <v>0</v>
      </c>
      <c r="AQ200" s="24">
        <v>0</v>
      </c>
      <c r="AR200" s="24">
        <v>0</v>
      </c>
      <c r="AS200" s="24">
        <v>0</v>
      </c>
      <c r="AT200" s="24">
        <v>0</v>
      </c>
      <c r="AU200" s="24"/>
      <c r="AV200" s="24" t="s">
        <v>241</v>
      </c>
      <c r="AW200" s="24" t="s">
        <v>209</v>
      </c>
      <c r="AX200" s="24" t="s">
        <v>178</v>
      </c>
      <c r="AY200" s="24" t="s">
        <v>179</v>
      </c>
      <c r="AZ200" s="24" t="s">
        <v>169</v>
      </c>
      <c r="BA200" s="24" t="s">
        <v>180</v>
      </c>
      <c r="BB200" s="24" t="s">
        <v>156</v>
      </c>
    </row>
    <row r="201" spans="1:54" x14ac:dyDescent="0.25">
      <c r="A201" s="26"/>
      <c r="B201" s="24" t="s">
        <v>167</v>
      </c>
      <c r="C201" s="26">
        <v>428</v>
      </c>
      <c r="D201" s="27">
        <v>46233</v>
      </c>
      <c r="E201" s="24" t="s">
        <v>205</v>
      </c>
      <c r="F201" s="24" t="s">
        <v>287</v>
      </c>
      <c r="G201" s="24" t="s">
        <v>242</v>
      </c>
      <c r="H201" s="24" t="s">
        <v>273</v>
      </c>
      <c r="I201" s="24">
        <v>154.74</v>
      </c>
      <c r="J201" s="24">
        <v>210</v>
      </c>
      <c r="K201" s="24" t="s">
        <v>168</v>
      </c>
      <c r="L201" s="25">
        <v>32495.4</v>
      </c>
      <c r="M201" s="25">
        <v>210</v>
      </c>
      <c r="N201" s="24">
        <v>210</v>
      </c>
      <c r="O201" s="24">
        <v>0</v>
      </c>
      <c r="P201" s="24" t="s">
        <v>243</v>
      </c>
      <c r="Q201" s="24" t="s">
        <v>243</v>
      </c>
      <c r="R201" s="24"/>
      <c r="S201" s="24"/>
      <c r="T201" s="24" t="s">
        <v>240</v>
      </c>
      <c r="U201" s="24">
        <v>1</v>
      </c>
      <c r="V201" s="24"/>
      <c r="W201" s="24">
        <v>9</v>
      </c>
      <c r="X201" s="24">
        <v>2924.59</v>
      </c>
      <c r="Y201" s="24">
        <v>9</v>
      </c>
      <c r="Z201" s="24">
        <v>2924.59</v>
      </c>
      <c r="AA201" s="24">
        <v>0</v>
      </c>
      <c r="AB201" s="24">
        <v>0</v>
      </c>
      <c r="AC201" s="24">
        <v>39269080</v>
      </c>
      <c r="AD201" s="24" t="s">
        <v>193</v>
      </c>
      <c r="AE201" s="27">
        <v>46233</v>
      </c>
      <c r="AF201" s="24">
        <v>0</v>
      </c>
      <c r="AG201" s="24">
        <v>0</v>
      </c>
      <c r="AH201" s="24"/>
      <c r="AI201" s="24">
        <v>0</v>
      </c>
      <c r="AJ201" s="24"/>
      <c r="AK201" s="24"/>
      <c r="AL201" s="24"/>
      <c r="AM201" s="24">
        <v>0</v>
      </c>
      <c r="AN201" s="24">
        <v>0</v>
      </c>
      <c r="AO201" s="24">
        <v>0</v>
      </c>
      <c r="AP201" s="24">
        <v>0</v>
      </c>
      <c r="AQ201" s="24">
        <v>0</v>
      </c>
      <c r="AR201" s="24">
        <v>0</v>
      </c>
      <c r="AS201" s="24">
        <v>0</v>
      </c>
      <c r="AT201" s="24">
        <v>0</v>
      </c>
      <c r="AU201" s="24"/>
      <c r="AV201" s="24" t="s">
        <v>241</v>
      </c>
      <c r="AW201" s="24" t="s">
        <v>209</v>
      </c>
      <c r="AX201" s="24" t="s">
        <v>245</v>
      </c>
      <c r="AY201" s="24" t="s">
        <v>153</v>
      </c>
      <c r="AZ201" s="24" t="s">
        <v>192</v>
      </c>
      <c r="BA201" s="24" t="s">
        <v>153</v>
      </c>
      <c r="BB201" s="24" t="s">
        <v>153</v>
      </c>
    </row>
    <row r="202" spans="1:54" x14ac:dyDescent="0.25">
      <c r="A202" s="26"/>
      <c r="B202" s="24" t="s">
        <v>167</v>
      </c>
      <c r="C202" s="26">
        <v>430</v>
      </c>
      <c r="D202" s="27">
        <v>46233</v>
      </c>
      <c r="E202" s="24" t="s">
        <v>219</v>
      </c>
      <c r="F202" s="24" t="s">
        <v>263</v>
      </c>
      <c r="G202" s="24" t="s">
        <v>277</v>
      </c>
      <c r="H202" s="24" t="s">
        <v>200</v>
      </c>
      <c r="I202" s="24">
        <v>278</v>
      </c>
      <c r="J202" s="24">
        <v>21.3</v>
      </c>
      <c r="K202" s="24" t="s">
        <v>168</v>
      </c>
      <c r="L202" s="25">
        <v>5921.4</v>
      </c>
      <c r="M202" s="25">
        <v>21.3</v>
      </c>
      <c r="N202" s="24">
        <v>21.3</v>
      </c>
      <c r="O202" s="24">
        <v>6987.26</v>
      </c>
      <c r="P202" s="24" t="s">
        <v>248</v>
      </c>
      <c r="Q202" s="24" t="s">
        <v>248</v>
      </c>
      <c r="R202" s="24"/>
      <c r="S202" s="24"/>
      <c r="T202" s="24" t="s">
        <v>240</v>
      </c>
      <c r="U202" s="24">
        <v>1</v>
      </c>
      <c r="V202" s="24"/>
      <c r="W202" s="24">
        <v>9</v>
      </c>
      <c r="X202" s="24">
        <v>532.92999999999995</v>
      </c>
      <c r="Y202" s="24">
        <v>9</v>
      </c>
      <c r="Z202" s="24">
        <v>532.92999999999995</v>
      </c>
      <c r="AA202" s="24">
        <v>0</v>
      </c>
      <c r="AB202" s="24">
        <v>0</v>
      </c>
      <c r="AC202" s="24">
        <v>39201019</v>
      </c>
      <c r="AD202" s="24" t="s">
        <v>193</v>
      </c>
      <c r="AE202" s="27">
        <v>46233</v>
      </c>
      <c r="AF202" s="24">
        <v>0</v>
      </c>
      <c r="AG202" s="24">
        <v>0</v>
      </c>
      <c r="AH202" s="24"/>
      <c r="AI202" s="24">
        <v>0</v>
      </c>
      <c r="AJ202" s="24"/>
      <c r="AK202" s="24"/>
      <c r="AL202" s="24"/>
      <c r="AM202" s="24">
        <v>0</v>
      </c>
      <c r="AN202" s="24">
        <v>0</v>
      </c>
      <c r="AO202" s="24">
        <v>0</v>
      </c>
      <c r="AP202" s="24">
        <v>0</v>
      </c>
      <c r="AQ202" s="24">
        <v>0</v>
      </c>
      <c r="AR202" s="24">
        <v>0</v>
      </c>
      <c r="AS202" s="24">
        <v>0</v>
      </c>
      <c r="AT202" s="24">
        <v>0</v>
      </c>
      <c r="AU202" s="24"/>
      <c r="AV202" s="24" t="s">
        <v>247</v>
      </c>
      <c r="AW202" s="24" t="s">
        <v>209</v>
      </c>
      <c r="AX202" s="24" t="s">
        <v>199</v>
      </c>
      <c r="AY202" s="24" t="s">
        <v>200</v>
      </c>
      <c r="AZ202" s="24" t="s">
        <v>169</v>
      </c>
      <c r="BA202" s="24" t="s">
        <v>201</v>
      </c>
      <c r="BB202" s="24" t="s">
        <v>158</v>
      </c>
    </row>
    <row r="203" spans="1:54" x14ac:dyDescent="0.25">
      <c r="A203" s="24"/>
      <c r="B203" s="24" t="s">
        <v>167</v>
      </c>
      <c r="C203" s="26">
        <v>431</v>
      </c>
      <c r="D203" s="27">
        <v>46233</v>
      </c>
      <c r="E203" s="24" t="s">
        <v>295</v>
      </c>
      <c r="F203" s="24" t="s">
        <v>307</v>
      </c>
      <c r="G203" s="24" t="s">
        <v>647</v>
      </c>
      <c r="H203" s="24" t="s">
        <v>567</v>
      </c>
      <c r="I203" s="24">
        <v>509</v>
      </c>
      <c r="J203" s="24">
        <v>3600</v>
      </c>
      <c r="K203" s="24" t="s">
        <v>232</v>
      </c>
      <c r="L203" s="24">
        <v>1832400</v>
      </c>
      <c r="M203" s="24">
        <v>8692</v>
      </c>
      <c r="N203" s="24">
        <v>8692</v>
      </c>
      <c r="O203" s="24">
        <v>2162232</v>
      </c>
      <c r="P203" s="24" t="s">
        <v>207</v>
      </c>
      <c r="Q203" s="24" t="s">
        <v>207</v>
      </c>
      <c r="R203" s="24"/>
      <c r="S203" s="24"/>
      <c r="T203" s="24" t="s">
        <v>240</v>
      </c>
      <c r="U203" s="24">
        <v>1</v>
      </c>
      <c r="V203" s="24"/>
      <c r="W203" s="24">
        <v>9</v>
      </c>
      <c r="X203" s="24">
        <v>164916</v>
      </c>
      <c r="Y203" s="24">
        <v>9</v>
      </c>
      <c r="Z203" s="24">
        <v>164916</v>
      </c>
      <c r="AA203" s="24">
        <v>0</v>
      </c>
      <c r="AB203" s="24">
        <v>0</v>
      </c>
      <c r="AC203" s="24">
        <v>39232999</v>
      </c>
      <c r="AD203" s="24" t="s">
        <v>193</v>
      </c>
      <c r="AE203" s="27">
        <v>46233</v>
      </c>
      <c r="AF203" s="24">
        <v>0</v>
      </c>
      <c r="AG203" s="24">
        <v>0</v>
      </c>
      <c r="AH203" s="24"/>
      <c r="AI203" s="24">
        <v>0</v>
      </c>
      <c r="AJ203" s="24"/>
      <c r="AK203" s="24"/>
      <c r="AL203" s="24"/>
      <c r="AM203" s="24">
        <v>0</v>
      </c>
      <c r="AN203" s="24">
        <v>0</v>
      </c>
      <c r="AO203" s="24">
        <v>0</v>
      </c>
      <c r="AP203" s="24">
        <v>0</v>
      </c>
      <c r="AQ203" s="24">
        <v>0</v>
      </c>
      <c r="AR203" s="24">
        <v>0</v>
      </c>
      <c r="AS203" s="24">
        <v>0</v>
      </c>
      <c r="AT203" s="24">
        <v>0</v>
      </c>
      <c r="AU203" s="24"/>
      <c r="AV203" s="24" t="s">
        <v>247</v>
      </c>
      <c r="AW203" s="24" t="s">
        <v>209</v>
      </c>
      <c r="AX203" s="24" t="s">
        <v>194</v>
      </c>
      <c r="AY203" s="24" t="s">
        <v>195</v>
      </c>
      <c r="AZ203" s="24" t="s">
        <v>192</v>
      </c>
      <c r="BA203" s="24" t="s">
        <v>152</v>
      </c>
      <c r="BB203" s="24" t="s">
        <v>152</v>
      </c>
    </row>
    <row r="204" spans="1:54" x14ac:dyDescent="0.25">
      <c r="A204" s="26"/>
      <c r="B204" s="24" t="s">
        <v>167</v>
      </c>
      <c r="C204" s="26" t="s">
        <v>561</v>
      </c>
      <c r="D204" s="27">
        <v>46233</v>
      </c>
      <c r="E204" s="24" t="s">
        <v>211</v>
      </c>
      <c r="F204" s="24" t="s">
        <v>649</v>
      </c>
      <c r="G204" s="24" t="s">
        <v>600</v>
      </c>
      <c r="H204" s="24" t="s">
        <v>187</v>
      </c>
      <c r="I204" s="24">
        <v>1.1499999999999999</v>
      </c>
      <c r="J204" s="24">
        <v>966</v>
      </c>
      <c r="K204" s="24" t="s">
        <v>168</v>
      </c>
      <c r="L204" s="25">
        <v>99536.639999999999</v>
      </c>
      <c r="M204" s="25">
        <v>966</v>
      </c>
      <c r="N204" s="24">
        <v>1006</v>
      </c>
      <c r="O204" s="24">
        <v>99536.639999999999</v>
      </c>
      <c r="P204" s="24" t="s">
        <v>243</v>
      </c>
      <c r="Q204" s="24" t="s">
        <v>243</v>
      </c>
      <c r="R204" s="24"/>
      <c r="S204" s="24"/>
      <c r="T204" s="24" t="s">
        <v>253</v>
      </c>
      <c r="U204" s="24">
        <v>89.6</v>
      </c>
      <c r="V204" s="24" t="s">
        <v>251</v>
      </c>
      <c r="W204" s="24"/>
      <c r="X204" s="24"/>
      <c r="Y204" s="24"/>
      <c r="Z204" s="24"/>
      <c r="AA204" s="24">
        <v>18</v>
      </c>
      <c r="AB204" s="24">
        <v>199.96</v>
      </c>
      <c r="AC204" s="24">
        <v>39269080</v>
      </c>
      <c r="AD204" s="24"/>
      <c r="AE204" s="27">
        <v>46233</v>
      </c>
      <c r="AF204" s="24">
        <v>1110.9000000000001</v>
      </c>
      <c r="AG204" s="24">
        <v>99536.639999999999</v>
      </c>
      <c r="AH204" s="24" t="s">
        <v>254</v>
      </c>
      <c r="AI204" s="24">
        <v>1110.9000000000001</v>
      </c>
      <c r="AJ204" s="24"/>
      <c r="AK204" s="24"/>
      <c r="AL204" s="24">
        <v>6220250</v>
      </c>
      <c r="AM204" s="24">
        <v>0</v>
      </c>
      <c r="AN204" s="24">
        <v>0</v>
      </c>
      <c r="AO204" s="24">
        <v>0</v>
      </c>
      <c r="AP204" s="24">
        <v>0</v>
      </c>
      <c r="AQ204" s="24">
        <v>0</v>
      </c>
      <c r="AR204" s="24">
        <v>0</v>
      </c>
      <c r="AS204" s="24">
        <v>0</v>
      </c>
      <c r="AT204" s="24">
        <v>0</v>
      </c>
      <c r="AU204" s="24"/>
      <c r="AV204" s="24" t="s">
        <v>255</v>
      </c>
      <c r="AW204" s="24" t="s">
        <v>209</v>
      </c>
      <c r="AX204" s="24" t="s">
        <v>186</v>
      </c>
      <c r="AY204" s="24" t="s">
        <v>187</v>
      </c>
      <c r="AZ204" s="24" t="s">
        <v>169</v>
      </c>
      <c r="BA204" s="24" t="s">
        <v>180</v>
      </c>
      <c r="BB204" s="24" t="s">
        <v>573</v>
      </c>
    </row>
    <row r="205" spans="1:54" x14ac:dyDescent="0.25">
      <c r="A205" s="24"/>
      <c r="B205" s="24" t="s">
        <v>167</v>
      </c>
      <c r="C205" s="26">
        <v>432</v>
      </c>
      <c r="D205" s="27">
        <v>46234</v>
      </c>
      <c r="E205" s="24" t="s">
        <v>234</v>
      </c>
      <c r="F205" s="24" t="s">
        <v>650</v>
      </c>
      <c r="G205" s="24" t="s">
        <v>647</v>
      </c>
      <c r="H205" s="24" t="s">
        <v>570</v>
      </c>
      <c r="I205" s="24">
        <v>197.17</v>
      </c>
      <c r="J205" s="24">
        <v>19663</v>
      </c>
      <c r="K205" s="24" t="s">
        <v>168</v>
      </c>
      <c r="L205" s="24">
        <v>3876953.71</v>
      </c>
      <c r="M205" s="24">
        <v>19663</v>
      </c>
      <c r="N205" s="24">
        <v>19663</v>
      </c>
      <c r="O205" s="24">
        <v>4574805.37</v>
      </c>
      <c r="P205" s="24" t="s">
        <v>207</v>
      </c>
      <c r="Q205" s="24" t="s">
        <v>207</v>
      </c>
      <c r="R205" s="24"/>
      <c r="S205" s="24"/>
      <c r="T205" s="24" t="s">
        <v>240</v>
      </c>
      <c r="U205" s="24">
        <v>1</v>
      </c>
      <c r="V205" s="24"/>
      <c r="W205" s="24">
        <v>9</v>
      </c>
      <c r="X205" s="24">
        <v>348925.83</v>
      </c>
      <c r="Y205" s="24">
        <v>9</v>
      </c>
      <c r="Z205" s="24">
        <v>348925.83</v>
      </c>
      <c r="AA205" s="24">
        <v>0</v>
      </c>
      <c r="AB205" s="24">
        <v>0</v>
      </c>
      <c r="AC205" s="24">
        <v>39232999</v>
      </c>
      <c r="AD205" s="24" t="s">
        <v>193</v>
      </c>
      <c r="AE205" s="27">
        <v>46234</v>
      </c>
      <c r="AF205" s="24">
        <v>0</v>
      </c>
      <c r="AG205" s="24">
        <v>0</v>
      </c>
      <c r="AH205" s="24"/>
      <c r="AI205" s="24">
        <v>0</v>
      </c>
      <c r="AJ205" s="24"/>
      <c r="AK205" s="24"/>
      <c r="AL205" s="24"/>
      <c r="AM205" s="24">
        <v>0</v>
      </c>
      <c r="AN205" s="24">
        <v>0</v>
      </c>
      <c r="AO205" s="24">
        <v>0</v>
      </c>
      <c r="AP205" s="24">
        <v>0</v>
      </c>
      <c r="AQ205" s="24">
        <v>0</v>
      </c>
      <c r="AR205" s="24">
        <v>0</v>
      </c>
      <c r="AS205" s="24">
        <v>0</v>
      </c>
      <c r="AT205" s="24">
        <v>0</v>
      </c>
      <c r="AU205" s="24"/>
      <c r="AV205" s="24" t="s">
        <v>264</v>
      </c>
      <c r="AW205" s="24" t="s">
        <v>209</v>
      </c>
      <c r="AX205" s="24" t="s">
        <v>190</v>
      </c>
      <c r="AY205" s="24" t="s">
        <v>191</v>
      </c>
      <c r="AZ205" s="24" t="s">
        <v>192</v>
      </c>
      <c r="BA205" s="24" t="s">
        <v>152</v>
      </c>
      <c r="BB205" s="24" t="s">
        <v>152</v>
      </c>
    </row>
    <row r="206" spans="1:54" x14ac:dyDescent="0.25">
      <c r="A206" s="26"/>
      <c r="B206" s="24" t="s">
        <v>167</v>
      </c>
      <c r="C206" s="26">
        <v>433</v>
      </c>
      <c r="D206" s="27">
        <v>46234</v>
      </c>
      <c r="E206" s="24" t="s">
        <v>219</v>
      </c>
      <c r="F206" s="24" t="s">
        <v>263</v>
      </c>
      <c r="G206" s="24" t="s">
        <v>242</v>
      </c>
      <c r="H206" s="24" t="s">
        <v>273</v>
      </c>
      <c r="I206" s="24">
        <v>150</v>
      </c>
      <c r="J206" s="24">
        <v>80</v>
      </c>
      <c r="K206" s="24" t="s">
        <v>168</v>
      </c>
      <c r="L206" s="25">
        <v>12000</v>
      </c>
      <c r="M206" s="25">
        <v>80</v>
      </c>
      <c r="N206" s="24">
        <v>80</v>
      </c>
      <c r="O206" s="24">
        <v>14160</v>
      </c>
      <c r="P206" s="24" t="s">
        <v>207</v>
      </c>
      <c r="Q206" s="24" t="s">
        <v>243</v>
      </c>
      <c r="R206" s="24"/>
      <c r="S206" s="24"/>
      <c r="T206" s="24" t="s">
        <v>240</v>
      </c>
      <c r="U206" s="24">
        <v>1</v>
      </c>
      <c r="V206" s="24"/>
      <c r="W206" s="24">
        <v>9</v>
      </c>
      <c r="X206" s="24">
        <v>1080</v>
      </c>
      <c r="Y206" s="24">
        <v>9</v>
      </c>
      <c r="Z206" s="24">
        <v>1080</v>
      </c>
      <c r="AA206" s="24">
        <v>0</v>
      </c>
      <c r="AB206" s="24">
        <v>0</v>
      </c>
      <c r="AC206" s="24">
        <v>39269080</v>
      </c>
      <c r="AD206" s="24" t="s">
        <v>193</v>
      </c>
      <c r="AE206" s="27">
        <v>46234</v>
      </c>
      <c r="AF206" s="24">
        <v>0</v>
      </c>
      <c r="AG206" s="24">
        <v>0</v>
      </c>
      <c r="AH206" s="24"/>
      <c r="AI206" s="24">
        <v>0</v>
      </c>
      <c r="AJ206" s="24"/>
      <c r="AK206" s="24"/>
      <c r="AL206" s="24"/>
      <c r="AM206" s="24">
        <v>0</v>
      </c>
      <c r="AN206" s="24">
        <v>0</v>
      </c>
      <c r="AO206" s="24">
        <v>0</v>
      </c>
      <c r="AP206" s="24">
        <v>0</v>
      </c>
      <c r="AQ206" s="24">
        <v>0</v>
      </c>
      <c r="AR206" s="24">
        <v>0</v>
      </c>
      <c r="AS206" s="24">
        <v>0</v>
      </c>
      <c r="AT206" s="24">
        <v>0</v>
      </c>
      <c r="AU206" s="24"/>
      <c r="AV206" s="24" t="s">
        <v>247</v>
      </c>
      <c r="AW206" s="24" t="s">
        <v>209</v>
      </c>
      <c r="AX206" s="24" t="s">
        <v>245</v>
      </c>
      <c r="AY206" s="24" t="s">
        <v>153</v>
      </c>
      <c r="AZ206" s="24" t="s">
        <v>192</v>
      </c>
      <c r="BA206" s="24" t="s">
        <v>153</v>
      </c>
      <c r="BB206" s="24" t="s">
        <v>153</v>
      </c>
    </row>
    <row r="207" spans="1:54" x14ac:dyDescent="0.25">
      <c r="G207" s="3"/>
      <c r="I207" s="3"/>
      <c r="J207" s="3"/>
    </row>
    <row r="208" spans="1:54" x14ac:dyDescent="0.25">
      <c r="G208" s="3"/>
      <c r="I208" s="3"/>
      <c r="J208" s="3"/>
    </row>
    <row r="209" spans="7:10" x14ac:dyDescent="0.25">
      <c r="G209" s="3"/>
      <c r="I209" s="3"/>
      <c r="J209" s="3"/>
    </row>
    <row r="210" spans="7:10" x14ac:dyDescent="0.25">
      <c r="G210" s="3"/>
      <c r="I210" s="3"/>
      <c r="J210" s="3"/>
    </row>
    <row r="211" spans="7:10" x14ac:dyDescent="0.25">
      <c r="G211" s="3"/>
      <c r="I211" s="3"/>
      <c r="J211" s="3"/>
    </row>
    <row r="212" spans="7:10" x14ac:dyDescent="0.25">
      <c r="G212" s="3"/>
      <c r="I212" s="3"/>
      <c r="J212" s="3"/>
    </row>
    <row r="213" spans="7:10" x14ac:dyDescent="0.25">
      <c r="G213" s="3"/>
      <c r="I213" s="3"/>
      <c r="J213" s="3"/>
    </row>
    <row r="214" spans="7:10" x14ac:dyDescent="0.25">
      <c r="G214" s="3"/>
      <c r="I214" s="3"/>
      <c r="J214" s="3"/>
    </row>
    <row r="215" spans="7:10" x14ac:dyDescent="0.25">
      <c r="G215" s="3"/>
      <c r="I215" s="3"/>
      <c r="J215" s="3"/>
    </row>
    <row r="216" spans="7:10" x14ac:dyDescent="0.25">
      <c r="G216" s="3"/>
      <c r="I216" s="3"/>
      <c r="J216" s="3"/>
    </row>
    <row r="217" spans="7:10" x14ac:dyDescent="0.25">
      <c r="G217" s="3"/>
      <c r="I217" s="3"/>
      <c r="J217" s="3"/>
    </row>
    <row r="218" spans="7:10" x14ac:dyDescent="0.25">
      <c r="G218" s="3"/>
      <c r="I218" s="3"/>
      <c r="J218" s="3"/>
    </row>
    <row r="219" spans="7:10" x14ac:dyDescent="0.25">
      <c r="G219" s="3"/>
      <c r="I219" s="3"/>
      <c r="J219" s="3"/>
    </row>
    <row r="220" spans="7:10" x14ac:dyDescent="0.25">
      <c r="G220" s="3"/>
      <c r="I220" s="3"/>
      <c r="J220" s="3"/>
    </row>
    <row r="221" spans="7:10" x14ac:dyDescent="0.25">
      <c r="G221" s="3"/>
      <c r="I221" s="3"/>
      <c r="J221" s="3"/>
    </row>
    <row r="222" spans="7:10" x14ac:dyDescent="0.25">
      <c r="G222" s="3"/>
      <c r="I222" s="3"/>
      <c r="J222" s="3"/>
    </row>
    <row r="223" spans="7:10" x14ac:dyDescent="0.25">
      <c r="G223" s="3"/>
      <c r="I223" s="3"/>
      <c r="J223" s="3"/>
    </row>
    <row r="224" spans="7:10" x14ac:dyDescent="0.25">
      <c r="G224" s="3"/>
      <c r="I224" s="3"/>
      <c r="J224" s="3"/>
    </row>
    <row r="225" spans="7:10" x14ac:dyDescent="0.25">
      <c r="G225" s="3"/>
      <c r="I225" s="3"/>
      <c r="J225" s="3"/>
    </row>
    <row r="226" spans="7:10" x14ac:dyDescent="0.25">
      <c r="G226" s="3"/>
      <c r="I226" s="3"/>
      <c r="J226" s="3"/>
    </row>
    <row r="227" spans="7:10" x14ac:dyDescent="0.25">
      <c r="G227" s="3"/>
      <c r="I227" s="3"/>
      <c r="J227" s="3"/>
    </row>
    <row r="228" spans="7:10" x14ac:dyDescent="0.25">
      <c r="G228" s="3"/>
      <c r="I228" s="3"/>
      <c r="J228" s="3"/>
    </row>
    <row r="229" spans="7:10" x14ac:dyDescent="0.25">
      <c r="G229" s="3"/>
      <c r="I229" s="3"/>
      <c r="J229" s="3"/>
    </row>
    <row r="230" spans="7:10" x14ac:dyDescent="0.25">
      <c r="G230" s="3"/>
      <c r="I230" s="3"/>
      <c r="J230" s="3"/>
    </row>
    <row r="231" spans="7:10" x14ac:dyDescent="0.25">
      <c r="G231" s="3"/>
      <c r="I231" s="3"/>
      <c r="J231" s="3"/>
    </row>
    <row r="232" spans="7:10" x14ac:dyDescent="0.25">
      <c r="G232" s="3"/>
      <c r="I232" s="3"/>
      <c r="J232" s="3"/>
    </row>
    <row r="233" spans="7:10" x14ac:dyDescent="0.25">
      <c r="G233" s="3"/>
      <c r="I233" s="3"/>
      <c r="J233" s="3"/>
    </row>
    <row r="234" spans="7:10" x14ac:dyDescent="0.25">
      <c r="G234" s="3"/>
      <c r="I234" s="3"/>
      <c r="J234" s="3"/>
    </row>
    <row r="235" spans="7:10" x14ac:dyDescent="0.25">
      <c r="G235" s="3"/>
      <c r="I235" s="3"/>
      <c r="J235" s="3"/>
    </row>
    <row r="236" spans="7:10" x14ac:dyDescent="0.25">
      <c r="G236" s="3"/>
      <c r="I236" s="3"/>
      <c r="J236" s="3"/>
    </row>
    <row r="237" spans="7:10" x14ac:dyDescent="0.25">
      <c r="G237" s="3"/>
      <c r="I237" s="3"/>
      <c r="J237" s="3"/>
    </row>
    <row r="238" spans="7:10" x14ac:dyDescent="0.25">
      <c r="G238" s="3"/>
      <c r="I238" s="3"/>
      <c r="J238" s="3"/>
    </row>
    <row r="239" spans="7:10" x14ac:dyDescent="0.25">
      <c r="G239" s="3"/>
      <c r="I239" s="3"/>
      <c r="J239" s="3"/>
    </row>
    <row r="240" spans="7:10" x14ac:dyDescent="0.25">
      <c r="G240" s="3"/>
      <c r="I240" s="3"/>
      <c r="J240" s="3"/>
    </row>
    <row r="241" spans="7:10" x14ac:dyDescent="0.25">
      <c r="G241" s="3"/>
      <c r="I241" s="3"/>
      <c r="J241" s="3"/>
    </row>
    <row r="242" spans="7:10" x14ac:dyDescent="0.25">
      <c r="G242" s="3"/>
      <c r="I242" s="3"/>
      <c r="J242" s="3"/>
    </row>
    <row r="243" spans="7:10" x14ac:dyDescent="0.25">
      <c r="G243" s="3"/>
      <c r="I243" s="3"/>
      <c r="J243" s="3"/>
    </row>
    <row r="244" spans="7:10" x14ac:dyDescent="0.25">
      <c r="G244" s="3"/>
      <c r="I244" s="3"/>
      <c r="J244" s="3"/>
    </row>
    <row r="245" spans="7:10" x14ac:dyDescent="0.25">
      <c r="G245" s="3"/>
      <c r="I245" s="3"/>
      <c r="J245" s="3"/>
    </row>
    <row r="246" spans="7:10" x14ac:dyDescent="0.25">
      <c r="G246" s="17"/>
      <c r="I246" s="3"/>
      <c r="J246" s="3"/>
    </row>
    <row r="247" spans="7:10" x14ac:dyDescent="0.25">
      <c r="G247" s="17"/>
      <c r="I247" s="3"/>
      <c r="J247" s="3"/>
    </row>
    <row r="248" spans="7:10" x14ac:dyDescent="0.25">
      <c r="G248" s="17"/>
      <c r="I248" s="3"/>
      <c r="J248" s="3"/>
    </row>
    <row r="249" spans="7:10" x14ac:dyDescent="0.25">
      <c r="G249" s="17"/>
      <c r="I249" s="3"/>
      <c r="J249" s="3"/>
    </row>
    <row r="250" spans="7:10" x14ac:dyDescent="0.25">
      <c r="G250" s="17"/>
      <c r="I250" s="3"/>
      <c r="J250" s="3"/>
    </row>
    <row r="251" spans="7:10" x14ac:dyDescent="0.25">
      <c r="G251" s="17"/>
      <c r="I251" s="3"/>
      <c r="J251" s="3"/>
    </row>
    <row r="252" spans="7:10" x14ac:dyDescent="0.25">
      <c r="G252" s="17"/>
      <c r="I252" s="3"/>
      <c r="J252" s="3"/>
    </row>
    <row r="253" spans="7:10" x14ac:dyDescent="0.25">
      <c r="G253" s="17"/>
      <c r="I253" s="3"/>
      <c r="J253" s="3"/>
    </row>
    <row r="254" spans="7:10" x14ac:dyDescent="0.25">
      <c r="G254" s="17"/>
      <c r="I254" s="3"/>
      <c r="J254" s="3"/>
    </row>
    <row r="255" spans="7:10" x14ac:dyDescent="0.25">
      <c r="G255" s="17"/>
      <c r="I255" s="3"/>
      <c r="J255" s="3"/>
    </row>
    <row r="256" spans="7:10" x14ac:dyDescent="0.25">
      <c r="G256" s="17"/>
      <c r="I256" s="3"/>
      <c r="J256" s="3"/>
    </row>
    <row r="257" spans="7:10" x14ac:dyDescent="0.25">
      <c r="G257" s="17"/>
      <c r="I257" s="3"/>
      <c r="J257" s="3"/>
    </row>
    <row r="258" spans="7:10" x14ac:dyDescent="0.25">
      <c r="G258" s="17"/>
      <c r="I258" s="3"/>
      <c r="J258" s="3"/>
    </row>
    <row r="259" spans="7:10" x14ac:dyDescent="0.25">
      <c r="G259" s="17"/>
      <c r="I259" s="3"/>
      <c r="J259" s="3"/>
    </row>
    <row r="260" spans="7:10" x14ac:dyDescent="0.25">
      <c r="G260" s="17"/>
      <c r="I260" s="3"/>
      <c r="J260" s="3"/>
    </row>
    <row r="261" spans="7:10" x14ac:dyDescent="0.25">
      <c r="G261" s="17"/>
      <c r="I261" s="3"/>
      <c r="J261" s="3"/>
    </row>
    <row r="262" spans="7:10" x14ac:dyDescent="0.25">
      <c r="G262" s="17"/>
      <c r="I262" s="3"/>
      <c r="J262" s="3"/>
    </row>
    <row r="263" spans="7:10" x14ac:dyDescent="0.25">
      <c r="G263" s="17"/>
      <c r="I263" s="3"/>
      <c r="J263" s="3"/>
    </row>
    <row r="264" spans="7:10" x14ac:dyDescent="0.25">
      <c r="G264" s="17"/>
      <c r="I264" s="3"/>
      <c r="J264" s="3"/>
    </row>
    <row r="265" spans="7:10" x14ac:dyDescent="0.25">
      <c r="G265" s="17"/>
      <c r="I265" s="3"/>
      <c r="J265" s="3"/>
    </row>
    <row r="266" spans="7:10" x14ac:dyDescent="0.25">
      <c r="G266" s="17"/>
      <c r="I266" s="3"/>
      <c r="J266" s="3"/>
    </row>
    <row r="267" spans="7:10" x14ac:dyDescent="0.25">
      <c r="G267" s="17"/>
      <c r="I267" s="3"/>
      <c r="J267" s="3"/>
    </row>
    <row r="268" spans="7:10" x14ac:dyDescent="0.25">
      <c r="G268" s="17"/>
      <c r="I268" s="3"/>
      <c r="J268" s="3"/>
    </row>
    <row r="269" spans="7:10" x14ac:dyDescent="0.25">
      <c r="G269" s="17"/>
      <c r="I269" s="3"/>
      <c r="J269" s="3"/>
    </row>
    <row r="270" spans="7:10" x14ac:dyDescent="0.25">
      <c r="G270" s="17"/>
      <c r="I270" s="3"/>
      <c r="J270" s="3"/>
    </row>
    <row r="271" spans="7:10" x14ac:dyDescent="0.25">
      <c r="G271" s="17"/>
      <c r="I271" s="3"/>
      <c r="J271" s="3"/>
    </row>
    <row r="272" spans="7:10" x14ac:dyDescent="0.25">
      <c r="G272" s="17"/>
      <c r="I272" s="3"/>
      <c r="J272" s="3"/>
    </row>
    <row r="273" spans="7:10" x14ac:dyDescent="0.25">
      <c r="G273" s="17"/>
      <c r="I273" s="3"/>
      <c r="J273" s="3"/>
    </row>
    <row r="274" spans="7:10" x14ac:dyDescent="0.25">
      <c r="G274" s="17"/>
      <c r="I274" s="3"/>
      <c r="J274" s="3"/>
    </row>
    <row r="275" spans="7:10" x14ac:dyDescent="0.25">
      <c r="G275" s="17"/>
      <c r="I275" s="3"/>
      <c r="J275" s="3"/>
    </row>
    <row r="276" spans="7:10" x14ac:dyDescent="0.25">
      <c r="G276" s="17"/>
      <c r="I276" s="3"/>
      <c r="J276" s="3"/>
    </row>
    <row r="277" spans="7:10" x14ac:dyDescent="0.25">
      <c r="G277" s="17"/>
      <c r="I277" s="3"/>
      <c r="J277" s="3"/>
    </row>
    <row r="278" spans="7:10" x14ac:dyDescent="0.25">
      <c r="G278" s="17"/>
      <c r="I278" s="3"/>
      <c r="J278" s="3"/>
    </row>
    <row r="279" spans="7:10" x14ac:dyDescent="0.25">
      <c r="G279" s="17"/>
      <c r="I279" s="3"/>
      <c r="J279" s="3"/>
    </row>
    <row r="280" spans="7:10" x14ac:dyDescent="0.25">
      <c r="G280" s="17"/>
      <c r="I280" s="3"/>
      <c r="J280" s="3"/>
    </row>
    <row r="281" spans="7:10" x14ac:dyDescent="0.25">
      <c r="G281" s="17"/>
      <c r="I281" s="3"/>
      <c r="J281" s="3"/>
    </row>
    <row r="282" spans="7:10" x14ac:dyDescent="0.25">
      <c r="G282" s="17"/>
      <c r="I282" s="3"/>
      <c r="J282" s="3"/>
    </row>
    <row r="283" spans="7:10" x14ac:dyDescent="0.25">
      <c r="G283" s="17"/>
      <c r="I283" s="3"/>
      <c r="J283" s="3"/>
    </row>
    <row r="284" spans="7:10" x14ac:dyDescent="0.25">
      <c r="G284" s="17"/>
      <c r="I284" s="3"/>
      <c r="J284" s="3"/>
    </row>
    <row r="285" spans="7:10" x14ac:dyDescent="0.25">
      <c r="G285" s="17"/>
      <c r="I285" s="3"/>
      <c r="J285" s="3"/>
    </row>
    <row r="286" spans="7:10" x14ac:dyDescent="0.25">
      <c r="G286" s="17"/>
      <c r="I286" s="3"/>
      <c r="J286" s="3"/>
    </row>
    <row r="287" spans="7:10" x14ac:dyDescent="0.25">
      <c r="G287" s="17"/>
      <c r="I287" s="3"/>
      <c r="J287" s="3"/>
    </row>
    <row r="288" spans="7:10" x14ac:dyDescent="0.25">
      <c r="G288" s="17"/>
      <c r="I288" s="3"/>
      <c r="J288" s="3"/>
    </row>
    <row r="289" spans="7:10" x14ac:dyDescent="0.25">
      <c r="G289" s="17"/>
      <c r="I289" s="3"/>
      <c r="J289" s="3"/>
    </row>
    <row r="290" spans="7:10" x14ac:dyDescent="0.25">
      <c r="G290" s="17"/>
      <c r="I290" s="3"/>
      <c r="J290" s="3"/>
    </row>
    <row r="291" spans="7:10" x14ac:dyDescent="0.25">
      <c r="G291" s="17"/>
      <c r="I291" s="3"/>
      <c r="J291" s="3"/>
    </row>
    <row r="292" spans="7:10" x14ac:dyDescent="0.25">
      <c r="G292" s="17"/>
      <c r="I292" s="3"/>
      <c r="J292" s="3"/>
    </row>
    <row r="293" spans="7:10" x14ac:dyDescent="0.25">
      <c r="G293" s="17"/>
      <c r="I293" s="3"/>
      <c r="J293" s="3"/>
    </row>
    <row r="294" spans="7:10" x14ac:dyDescent="0.25">
      <c r="G294" s="17"/>
      <c r="I294" s="3"/>
      <c r="J294" s="3"/>
    </row>
    <row r="295" spans="7:10" x14ac:dyDescent="0.25">
      <c r="G295" s="17"/>
      <c r="I295" s="3"/>
      <c r="J295" s="3"/>
    </row>
    <row r="296" spans="7:10" x14ac:dyDescent="0.25">
      <c r="G296" s="17"/>
      <c r="I296" s="3"/>
      <c r="J296" s="3"/>
    </row>
    <row r="297" spans="7:10" x14ac:dyDescent="0.25">
      <c r="G297" s="17"/>
      <c r="I297" s="3"/>
      <c r="J297" s="3"/>
    </row>
    <row r="298" spans="7:10" x14ac:dyDescent="0.25">
      <c r="G298" s="17"/>
      <c r="I298" s="3"/>
      <c r="J298" s="3"/>
    </row>
    <row r="299" spans="7:10" x14ac:dyDescent="0.25">
      <c r="G299" s="17"/>
      <c r="I299" s="3"/>
      <c r="J299" s="3"/>
    </row>
    <row r="300" spans="7:10" x14ac:dyDescent="0.25">
      <c r="G300" s="17"/>
      <c r="I300" s="3"/>
      <c r="J300" s="3"/>
    </row>
    <row r="301" spans="7:10" x14ac:dyDescent="0.25">
      <c r="G301" s="17"/>
      <c r="I301" s="3"/>
      <c r="J301" s="3"/>
    </row>
    <row r="302" spans="7:10" x14ac:dyDescent="0.25">
      <c r="G302" s="17"/>
      <c r="I302" s="3"/>
      <c r="J302" s="3"/>
    </row>
    <row r="303" spans="7:10" x14ac:dyDescent="0.25">
      <c r="G303" s="17"/>
      <c r="I303" s="3"/>
      <c r="J303" s="3"/>
    </row>
    <row r="304" spans="7:10" x14ac:dyDescent="0.25">
      <c r="G304" s="17"/>
      <c r="I304" s="3"/>
      <c r="J304" s="3"/>
    </row>
    <row r="305" spans="7:10" x14ac:dyDescent="0.25">
      <c r="G305" s="17"/>
      <c r="I305" s="3"/>
      <c r="J305" s="3"/>
    </row>
    <row r="306" spans="7:10" x14ac:dyDescent="0.25">
      <c r="G306" s="17"/>
      <c r="I306" s="3"/>
      <c r="J306" s="3"/>
    </row>
    <row r="307" spans="7:10" x14ac:dyDescent="0.25">
      <c r="G307" s="17"/>
      <c r="I307" s="3"/>
      <c r="J307" s="3"/>
    </row>
    <row r="308" spans="7:10" x14ac:dyDescent="0.25">
      <c r="G308" s="17"/>
      <c r="I308" s="3"/>
      <c r="J308" s="3"/>
    </row>
    <row r="309" spans="7:10" x14ac:dyDescent="0.25">
      <c r="G309" s="17"/>
      <c r="I309" s="3"/>
      <c r="J309" s="3"/>
    </row>
    <row r="310" spans="7:10" x14ac:dyDescent="0.25">
      <c r="G310" s="17"/>
      <c r="I310" s="3"/>
      <c r="J310" s="3"/>
    </row>
    <row r="311" spans="7:10" x14ac:dyDescent="0.25">
      <c r="G311" s="17"/>
      <c r="I311" s="3"/>
      <c r="J311" s="3"/>
    </row>
    <row r="312" spans="7:10" x14ac:dyDescent="0.25">
      <c r="G312" s="17"/>
      <c r="I312" s="3"/>
      <c r="J312" s="3"/>
    </row>
    <row r="313" spans="7:10" x14ac:dyDescent="0.25">
      <c r="G313" s="17"/>
      <c r="I313" s="3"/>
      <c r="J313" s="3"/>
    </row>
    <row r="314" spans="7:10" x14ac:dyDescent="0.25">
      <c r="G314" s="17"/>
      <c r="I314" s="3"/>
      <c r="J314" s="3"/>
    </row>
    <row r="315" spans="7:10" x14ac:dyDescent="0.25">
      <c r="G315" s="17"/>
      <c r="I315" s="3"/>
      <c r="J315" s="3"/>
    </row>
    <row r="316" spans="7:10" x14ac:dyDescent="0.25">
      <c r="G316" s="17"/>
      <c r="I316" s="3"/>
      <c r="J316" s="3"/>
    </row>
    <row r="317" spans="7:10" x14ac:dyDescent="0.25">
      <c r="G317" s="17"/>
      <c r="I317" s="3"/>
      <c r="J317" s="3"/>
    </row>
  </sheetData>
  <autoFilter ref="B1:BB206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2"/>
  <sheetViews>
    <sheetView topLeftCell="I125" workbookViewId="0">
      <selection activeCell="P195" sqref="P195"/>
    </sheetView>
  </sheetViews>
  <sheetFormatPr defaultRowHeight="15" x14ac:dyDescent="0.25"/>
  <cols>
    <col min="1" max="1" width="7" style="6" customWidth="1"/>
    <col min="2" max="2" width="12.28515625" style="8" customWidth="1"/>
    <col min="3" max="3" width="32.140625" style="6" customWidth="1"/>
    <col min="4" max="4" width="14.5703125" style="6" customWidth="1"/>
    <col min="5" max="5" width="12.85546875" style="6" customWidth="1"/>
    <col min="6" max="6" width="37.140625" style="6" customWidth="1"/>
    <col min="7" max="7" width="17.42578125" style="2" customWidth="1"/>
    <col min="8" max="8" width="12.42578125" style="2" customWidth="1"/>
    <col min="9" max="9" width="12.140625" style="6" customWidth="1"/>
    <col min="10" max="10" width="16.5703125" style="6" customWidth="1"/>
    <col min="11" max="11" width="18.85546875" style="8" customWidth="1"/>
    <col min="12" max="12" width="23.28515625" style="8" customWidth="1"/>
    <col min="13" max="13" width="30.5703125" style="8" customWidth="1"/>
    <col min="14" max="15" width="14.7109375" style="8" customWidth="1"/>
    <col min="16" max="16" width="24.140625" style="8" customWidth="1"/>
    <col min="17" max="31" width="14.7109375" style="6" customWidth="1"/>
    <col min="32" max="32" width="14" style="8" customWidth="1"/>
    <col min="33" max="16384" width="9.140625" style="6"/>
  </cols>
  <sheetData>
    <row r="1" spans="1:3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1" t="s">
        <v>7</v>
      </c>
      <c r="J1" s="1" t="s">
        <v>8</v>
      </c>
      <c r="K1" s="4" t="s">
        <v>9</v>
      </c>
      <c r="L1" s="1" t="s">
        <v>140</v>
      </c>
      <c r="M1" s="1" t="s">
        <v>11</v>
      </c>
      <c r="N1" s="1" t="s">
        <v>12</v>
      </c>
      <c r="O1" s="3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4" t="s">
        <v>30</v>
      </c>
      <c r="AG1" s="1" t="s">
        <v>31</v>
      </c>
    </row>
    <row r="2" spans="1:33" x14ac:dyDescent="0.25">
      <c r="A2" s="23"/>
      <c r="B2" s="31">
        <v>46204</v>
      </c>
      <c r="C2" s="32" t="s">
        <v>654</v>
      </c>
      <c r="D2" s="32" t="s">
        <v>655</v>
      </c>
      <c r="E2" s="32" t="s">
        <v>656</v>
      </c>
      <c r="F2" s="32" t="s">
        <v>657</v>
      </c>
      <c r="G2" s="32" t="s">
        <v>658</v>
      </c>
      <c r="H2" s="31">
        <v>46204</v>
      </c>
      <c r="I2" s="32" t="s">
        <v>169</v>
      </c>
      <c r="J2" s="32" t="s">
        <v>180</v>
      </c>
      <c r="K2" s="32" t="s">
        <v>155</v>
      </c>
      <c r="L2" s="32" t="s">
        <v>210</v>
      </c>
      <c r="M2" s="32" t="s">
        <v>187</v>
      </c>
      <c r="N2" s="32">
        <v>1321</v>
      </c>
      <c r="O2" s="32">
        <v>195164.54</v>
      </c>
      <c r="P2" s="32" t="s">
        <v>187</v>
      </c>
      <c r="Q2" s="32">
        <v>230099</v>
      </c>
      <c r="R2" s="32">
        <v>9</v>
      </c>
      <c r="S2" s="32">
        <v>17564.810000000001</v>
      </c>
      <c r="T2" s="32">
        <v>9</v>
      </c>
      <c r="U2" s="32">
        <v>17564.810000000001</v>
      </c>
      <c r="V2" s="32">
        <v>0</v>
      </c>
      <c r="W2" s="32">
        <v>0</v>
      </c>
      <c r="X2" s="32">
        <v>0</v>
      </c>
      <c r="Y2" s="32">
        <v>35129.620000000003</v>
      </c>
      <c r="Z2" s="32">
        <v>0</v>
      </c>
      <c r="AA2" s="32" t="s">
        <v>177</v>
      </c>
      <c r="AB2" s="32" t="s">
        <v>168</v>
      </c>
      <c r="AC2" s="32">
        <v>39269080</v>
      </c>
      <c r="AD2" s="32" t="s">
        <v>208</v>
      </c>
      <c r="AE2" s="32">
        <v>1</v>
      </c>
      <c r="AF2" s="32">
        <v>1321</v>
      </c>
      <c r="AG2" s="32" t="s">
        <v>209</v>
      </c>
    </row>
    <row r="3" spans="1:33" x14ac:dyDescent="0.25">
      <c r="A3" s="23"/>
      <c r="B3" s="31">
        <v>46204</v>
      </c>
      <c r="C3" s="32" t="s">
        <v>659</v>
      </c>
      <c r="D3" s="32" t="s">
        <v>655</v>
      </c>
      <c r="E3" s="32" t="s">
        <v>662</v>
      </c>
      <c r="F3" s="32" t="s">
        <v>657</v>
      </c>
      <c r="G3" s="32" t="s">
        <v>663</v>
      </c>
      <c r="H3" s="31">
        <v>46203</v>
      </c>
      <c r="I3" s="32" t="s">
        <v>169</v>
      </c>
      <c r="J3" s="32" t="s">
        <v>180</v>
      </c>
      <c r="K3" s="32" t="s">
        <v>155</v>
      </c>
      <c r="L3" s="32" t="s">
        <v>210</v>
      </c>
      <c r="M3" s="32" t="s">
        <v>187</v>
      </c>
      <c r="N3" s="32">
        <v>1082</v>
      </c>
      <c r="O3" s="32">
        <v>132004</v>
      </c>
      <c r="P3" s="32" t="s">
        <v>187</v>
      </c>
      <c r="Q3" s="32">
        <v>216954.38</v>
      </c>
      <c r="R3" s="32">
        <v>9</v>
      </c>
      <c r="S3" s="32">
        <v>11880.36</v>
      </c>
      <c r="T3" s="32">
        <v>9</v>
      </c>
      <c r="U3" s="32">
        <v>11880.36</v>
      </c>
      <c r="V3" s="32">
        <v>0</v>
      </c>
      <c r="W3" s="32">
        <v>0</v>
      </c>
      <c r="X3" s="32">
        <v>0</v>
      </c>
      <c r="Y3" s="32">
        <v>23760.720000000001</v>
      </c>
      <c r="Z3" s="32">
        <v>0</v>
      </c>
      <c r="AA3" s="32" t="s">
        <v>177</v>
      </c>
      <c r="AB3" s="32" t="s">
        <v>168</v>
      </c>
      <c r="AC3" s="32">
        <v>39269080</v>
      </c>
      <c r="AD3" s="32" t="s">
        <v>208</v>
      </c>
      <c r="AE3" s="32">
        <v>1</v>
      </c>
      <c r="AF3" s="32">
        <v>1082</v>
      </c>
      <c r="AG3" s="32" t="s">
        <v>209</v>
      </c>
    </row>
    <row r="4" spans="1:33" x14ac:dyDescent="0.25">
      <c r="A4" s="23"/>
      <c r="B4" s="31">
        <v>46204</v>
      </c>
      <c r="C4" s="32" t="s">
        <v>659</v>
      </c>
      <c r="D4" s="32" t="s">
        <v>655</v>
      </c>
      <c r="E4" s="32" t="s">
        <v>662</v>
      </c>
      <c r="F4" s="32" t="s">
        <v>657</v>
      </c>
      <c r="G4" s="32" t="s">
        <v>663</v>
      </c>
      <c r="H4" s="31">
        <v>46203</v>
      </c>
      <c r="I4" s="32" t="s">
        <v>169</v>
      </c>
      <c r="J4" s="32" t="s">
        <v>180</v>
      </c>
      <c r="K4" s="32" t="s">
        <v>155</v>
      </c>
      <c r="L4" s="32" t="s">
        <v>210</v>
      </c>
      <c r="M4" s="32" t="s">
        <v>187</v>
      </c>
      <c r="N4" s="32">
        <v>487</v>
      </c>
      <c r="O4" s="32">
        <v>52011.6</v>
      </c>
      <c r="P4" s="32" t="s">
        <v>187</v>
      </c>
      <c r="Q4" s="32">
        <v>0</v>
      </c>
      <c r="R4" s="32">
        <v>9</v>
      </c>
      <c r="S4" s="32">
        <v>4681.04</v>
      </c>
      <c r="T4" s="32">
        <v>9</v>
      </c>
      <c r="U4" s="32">
        <v>4681.04</v>
      </c>
      <c r="V4" s="32">
        <v>0</v>
      </c>
      <c r="W4" s="32">
        <v>0</v>
      </c>
      <c r="X4" s="32">
        <v>0</v>
      </c>
      <c r="Y4" s="32">
        <v>9362.08</v>
      </c>
      <c r="Z4" s="32">
        <v>0</v>
      </c>
      <c r="AA4" s="32" t="s">
        <v>177</v>
      </c>
      <c r="AB4" s="32" t="s">
        <v>168</v>
      </c>
      <c r="AC4" s="32">
        <v>39269080</v>
      </c>
      <c r="AD4" s="32" t="s">
        <v>208</v>
      </c>
      <c r="AE4" s="32">
        <v>1</v>
      </c>
      <c r="AF4" s="32">
        <v>487</v>
      </c>
      <c r="AG4" s="32" t="s">
        <v>209</v>
      </c>
    </row>
    <row r="5" spans="1:33" x14ac:dyDescent="0.25">
      <c r="A5" s="23"/>
      <c r="B5" s="31">
        <v>46205</v>
      </c>
      <c r="C5" s="32" t="s">
        <v>665</v>
      </c>
      <c r="D5" s="32" t="s">
        <v>655</v>
      </c>
      <c r="E5" s="32" t="s">
        <v>666</v>
      </c>
      <c r="F5" s="32" t="s">
        <v>657</v>
      </c>
      <c r="G5" s="32" t="s">
        <v>667</v>
      </c>
      <c r="H5" s="31">
        <v>46204</v>
      </c>
      <c r="I5" s="32" t="s">
        <v>169</v>
      </c>
      <c r="J5" s="32" t="s">
        <v>180</v>
      </c>
      <c r="K5" s="32" t="s">
        <v>155</v>
      </c>
      <c r="L5" s="32" t="s">
        <v>210</v>
      </c>
      <c r="M5" s="32" t="s">
        <v>187</v>
      </c>
      <c r="N5" s="32">
        <v>755</v>
      </c>
      <c r="O5" s="32">
        <v>124499.5</v>
      </c>
      <c r="P5" s="32" t="s">
        <v>187</v>
      </c>
      <c r="Q5" s="32">
        <v>464791.18</v>
      </c>
      <c r="R5" s="32">
        <v>9</v>
      </c>
      <c r="S5" s="32">
        <v>11204.96</v>
      </c>
      <c r="T5" s="32">
        <v>9</v>
      </c>
      <c r="U5" s="32">
        <v>11204.96</v>
      </c>
      <c r="V5" s="32">
        <v>0</v>
      </c>
      <c r="W5" s="32">
        <v>0</v>
      </c>
      <c r="X5" s="32">
        <v>0</v>
      </c>
      <c r="Y5" s="32">
        <v>22409.919999999998</v>
      </c>
      <c r="Z5" s="32">
        <v>0</v>
      </c>
      <c r="AA5" s="32" t="s">
        <v>189</v>
      </c>
      <c r="AB5" s="32" t="s">
        <v>168</v>
      </c>
      <c r="AC5" s="32">
        <v>39269080</v>
      </c>
      <c r="AD5" s="32" t="s">
        <v>208</v>
      </c>
      <c r="AE5" s="32">
        <v>1</v>
      </c>
      <c r="AF5" s="32">
        <v>755</v>
      </c>
      <c r="AG5" s="32" t="s">
        <v>209</v>
      </c>
    </row>
    <row r="6" spans="1:33" x14ac:dyDescent="0.25">
      <c r="A6" s="23"/>
      <c r="B6" s="31">
        <v>46205</v>
      </c>
      <c r="C6" s="32" t="s">
        <v>665</v>
      </c>
      <c r="D6" s="32" t="s">
        <v>655</v>
      </c>
      <c r="E6" s="32" t="s">
        <v>666</v>
      </c>
      <c r="F6" s="32" t="s">
        <v>657</v>
      </c>
      <c r="G6" s="32" t="s">
        <v>667</v>
      </c>
      <c r="H6" s="31">
        <v>46204</v>
      </c>
      <c r="I6" s="32" t="s">
        <v>169</v>
      </c>
      <c r="J6" s="32" t="s">
        <v>180</v>
      </c>
      <c r="K6" s="32" t="s">
        <v>155</v>
      </c>
      <c r="L6" s="32" t="s">
        <v>210</v>
      </c>
      <c r="M6" s="32" t="s">
        <v>187</v>
      </c>
      <c r="N6" s="32">
        <v>1666</v>
      </c>
      <c r="O6" s="32">
        <v>269725.40000000002</v>
      </c>
      <c r="P6" s="32" t="s">
        <v>187</v>
      </c>
      <c r="Q6" s="32">
        <v>0</v>
      </c>
      <c r="R6" s="32">
        <v>9</v>
      </c>
      <c r="S6" s="32">
        <v>24275.29</v>
      </c>
      <c r="T6" s="32">
        <v>9</v>
      </c>
      <c r="U6" s="32">
        <v>24275.29</v>
      </c>
      <c r="V6" s="32">
        <v>0</v>
      </c>
      <c r="W6" s="32">
        <v>0</v>
      </c>
      <c r="X6" s="32">
        <v>0</v>
      </c>
      <c r="Y6" s="32">
        <v>48550.58</v>
      </c>
      <c r="Z6" s="32">
        <v>0</v>
      </c>
      <c r="AA6" s="32" t="s">
        <v>189</v>
      </c>
      <c r="AB6" s="32" t="s">
        <v>168</v>
      </c>
      <c r="AC6" s="32">
        <v>39269080</v>
      </c>
      <c r="AD6" s="32" t="s">
        <v>208</v>
      </c>
      <c r="AE6" s="32">
        <v>1</v>
      </c>
      <c r="AF6" s="32">
        <v>1666</v>
      </c>
      <c r="AG6" s="32" t="s">
        <v>209</v>
      </c>
    </row>
    <row r="7" spans="1:33" x14ac:dyDescent="0.25">
      <c r="A7" s="23"/>
      <c r="B7" s="31">
        <v>46205</v>
      </c>
      <c r="C7" s="32" t="s">
        <v>654</v>
      </c>
      <c r="D7" s="32" t="s">
        <v>655</v>
      </c>
      <c r="E7" s="32" t="s">
        <v>668</v>
      </c>
      <c r="F7" s="32" t="s">
        <v>657</v>
      </c>
      <c r="G7" s="32" t="s">
        <v>669</v>
      </c>
      <c r="H7" s="31">
        <v>46205</v>
      </c>
      <c r="I7" s="32" t="s">
        <v>169</v>
      </c>
      <c r="J7" s="32" t="s">
        <v>176</v>
      </c>
      <c r="K7" s="32" t="s">
        <v>159</v>
      </c>
      <c r="L7" s="32" t="s">
        <v>159</v>
      </c>
      <c r="M7" s="32" t="s">
        <v>174</v>
      </c>
      <c r="N7" s="32">
        <v>334</v>
      </c>
      <c r="O7" s="32">
        <v>60504.1</v>
      </c>
      <c r="P7" s="32" t="s">
        <v>174</v>
      </c>
      <c r="Q7" s="32">
        <v>691442.6</v>
      </c>
      <c r="R7" s="32">
        <v>9</v>
      </c>
      <c r="S7" s="32">
        <v>5445.37</v>
      </c>
      <c r="T7" s="32">
        <v>9</v>
      </c>
      <c r="U7" s="32">
        <v>5445.37</v>
      </c>
      <c r="V7" s="32">
        <v>0</v>
      </c>
      <c r="W7" s="32">
        <v>0</v>
      </c>
      <c r="X7" s="32">
        <v>0</v>
      </c>
      <c r="Y7" s="32">
        <v>10890.74</v>
      </c>
      <c r="Z7" s="32">
        <v>0</v>
      </c>
      <c r="AA7" s="32" t="s">
        <v>177</v>
      </c>
      <c r="AB7" s="32" t="s">
        <v>168</v>
      </c>
      <c r="AC7" s="32">
        <v>39200000</v>
      </c>
      <c r="AD7" s="32" t="s">
        <v>208</v>
      </c>
      <c r="AE7" s="32">
        <v>1</v>
      </c>
      <c r="AF7" s="32">
        <v>334</v>
      </c>
      <c r="AG7" s="32" t="s">
        <v>209</v>
      </c>
    </row>
    <row r="8" spans="1:33" x14ac:dyDescent="0.25">
      <c r="A8" s="23"/>
      <c r="B8" s="31">
        <v>46205</v>
      </c>
      <c r="C8" s="32" t="s">
        <v>654</v>
      </c>
      <c r="D8" s="32" t="s">
        <v>655</v>
      </c>
      <c r="E8" s="32" t="s">
        <v>668</v>
      </c>
      <c r="F8" s="32" t="s">
        <v>657</v>
      </c>
      <c r="G8" s="32" t="s">
        <v>669</v>
      </c>
      <c r="H8" s="31">
        <v>46205</v>
      </c>
      <c r="I8" s="32" t="s">
        <v>169</v>
      </c>
      <c r="J8" s="32" t="s">
        <v>180</v>
      </c>
      <c r="K8" s="32" t="s">
        <v>155</v>
      </c>
      <c r="L8" s="32" t="s">
        <v>210</v>
      </c>
      <c r="M8" s="32" t="s">
        <v>187</v>
      </c>
      <c r="N8" s="32">
        <v>646</v>
      </c>
      <c r="O8" s="32">
        <v>98670.04</v>
      </c>
      <c r="P8" s="32" t="s">
        <v>187</v>
      </c>
      <c r="Q8" s="32">
        <v>0</v>
      </c>
      <c r="R8" s="32">
        <v>9</v>
      </c>
      <c r="S8" s="32">
        <v>8880.2999999999993</v>
      </c>
      <c r="T8" s="32">
        <v>9</v>
      </c>
      <c r="U8" s="32">
        <v>8880.2999999999993</v>
      </c>
      <c r="V8" s="32">
        <v>0</v>
      </c>
      <c r="W8" s="32">
        <v>0</v>
      </c>
      <c r="X8" s="32">
        <v>0</v>
      </c>
      <c r="Y8" s="32">
        <v>17760.599999999999</v>
      </c>
      <c r="Z8" s="32">
        <v>0</v>
      </c>
      <c r="AA8" s="32" t="s">
        <v>177</v>
      </c>
      <c r="AB8" s="32" t="s">
        <v>168</v>
      </c>
      <c r="AC8" s="32">
        <v>39269080</v>
      </c>
      <c r="AD8" s="32" t="s">
        <v>208</v>
      </c>
      <c r="AE8" s="32">
        <v>1</v>
      </c>
      <c r="AF8" s="32">
        <v>646</v>
      </c>
      <c r="AG8" s="32" t="s">
        <v>209</v>
      </c>
    </row>
    <row r="9" spans="1:33" x14ac:dyDescent="0.25">
      <c r="A9" s="23"/>
      <c r="B9" s="31">
        <v>46205</v>
      </c>
      <c r="C9" s="32" t="s">
        <v>654</v>
      </c>
      <c r="D9" s="32" t="s">
        <v>655</v>
      </c>
      <c r="E9" s="32" t="s">
        <v>668</v>
      </c>
      <c r="F9" s="32" t="s">
        <v>657</v>
      </c>
      <c r="G9" s="32" t="s">
        <v>669</v>
      </c>
      <c r="H9" s="31">
        <v>46205</v>
      </c>
      <c r="I9" s="32" t="s">
        <v>169</v>
      </c>
      <c r="J9" s="32" t="s">
        <v>180</v>
      </c>
      <c r="K9" s="32" t="s">
        <v>156</v>
      </c>
      <c r="L9" s="32" t="s">
        <v>218</v>
      </c>
      <c r="M9" s="32" t="s">
        <v>179</v>
      </c>
      <c r="N9" s="32">
        <v>2683</v>
      </c>
      <c r="O9" s="32">
        <v>415167.42</v>
      </c>
      <c r="P9" s="32" t="s">
        <v>179</v>
      </c>
      <c r="Q9" s="32">
        <v>0</v>
      </c>
      <c r="R9" s="32">
        <v>9</v>
      </c>
      <c r="S9" s="32">
        <v>37365.07</v>
      </c>
      <c r="T9" s="32">
        <v>9</v>
      </c>
      <c r="U9" s="32">
        <v>37365.07</v>
      </c>
      <c r="V9" s="32">
        <v>0</v>
      </c>
      <c r="W9" s="32">
        <v>0</v>
      </c>
      <c r="X9" s="32">
        <v>0</v>
      </c>
      <c r="Y9" s="32">
        <v>74730.14</v>
      </c>
      <c r="Z9" s="32">
        <v>0</v>
      </c>
      <c r="AA9" s="32" t="s">
        <v>177</v>
      </c>
      <c r="AB9" s="32" t="s">
        <v>168</v>
      </c>
      <c r="AC9" s="32">
        <v>63053300</v>
      </c>
      <c r="AD9" s="32" t="s">
        <v>208</v>
      </c>
      <c r="AE9" s="32">
        <v>1</v>
      </c>
      <c r="AF9" s="32">
        <v>2683</v>
      </c>
      <c r="AG9" s="32" t="s">
        <v>209</v>
      </c>
    </row>
    <row r="10" spans="1:33" x14ac:dyDescent="0.25">
      <c r="A10" s="23"/>
      <c r="B10" s="31">
        <v>46205</v>
      </c>
      <c r="C10" s="32" t="s">
        <v>654</v>
      </c>
      <c r="D10" s="32" t="s">
        <v>655</v>
      </c>
      <c r="E10" s="32" t="s">
        <v>668</v>
      </c>
      <c r="F10" s="32" t="s">
        <v>657</v>
      </c>
      <c r="G10" s="32" t="s">
        <v>669</v>
      </c>
      <c r="H10" s="31">
        <v>46205</v>
      </c>
      <c r="I10" s="32" t="s">
        <v>169</v>
      </c>
      <c r="J10" s="32" t="s">
        <v>182</v>
      </c>
      <c r="K10" s="32" t="s">
        <v>154</v>
      </c>
      <c r="L10" s="32" t="s">
        <v>154</v>
      </c>
      <c r="M10" s="32" t="s">
        <v>182</v>
      </c>
      <c r="N10" s="32">
        <v>38.200000000000003</v>
      </c>
      <c r="O10" s="32">
        <v>5834.6679999999997</v>
      </c>
      <c r="P10" s="32" t="s">
        <v>182</v>
      </c>
      <c r="Q10" s="32">
        <v>0</v>
      </c>
      <c r="R10" s="32">
        <v>9</v>
      </c>
      <c r="S10" s="32">
        <v>525.12</v>
      </c>
      <c r="T10" s="32">
        <v>9</v>
      </c>
      <c r="U10" s="32">
        <v>525.12</v>
      </c>
      <c r="V10" s="32">
        <v>0</v>
      </c>
      <c r="W10" s="32">
        <v>0</v>
      </c>
      <c r="X10" s="32">
        <v>0</v>
      </c>
      <c r="Y10" s="32">
        <v>1050.24</v>
      </c>
      <c r="Z10" s="32">
        <v>0</v>
      </c>
      <c r="AA10" s="32" t="s">
        <v>177</v>
      </c>
      <c r="AB10" s="32" t="s">
        <v>168</v>
      </c>
      <c r="AC10" s="32">
        <v>3926908</v>
      </c>
      <c r="AD10" s="32" t="s">
        <v>208</v>
      </c>
      <c r="AE10" s="32">
        <v>1</v>
      </c>
      <c r="AF10" s="32">
        <v>38.200000000000003</v>
      </c>
      <c r="AG10" s="32" t="s">
        <v>209</v>
      </c>
    </row>
    <row r="11" spans="1:33" x14ac:dyDescent="0.25">
      <c r="A11" s="23"/>
      <c r="B11" s="31">
        <v>46205</v>
      </c>
      <c r="C11" s="32" t="s">
        <v>654</v>
      </c>
      <c r="D11" s="32" t="s">
        <v>655</v>
      </c>
      <c r="E11" s="32" t="s">
        <v>668</v>
      </c>
      <c r="F11" s="32" t="s">
        <v>657</v>
      </c>
      <c r="G11" s="32" t="s">
        <v>669</v>
      </c>
      <c r="H11" s="31">
        <v>46205</v>
      </c>
      <c r="I11" s="32" t="s">
        <v>169</v>
      </c>
      <c r="J11" s="32" t="s">
        <v>182</v>
      </c>
      <c r="K11" s="32" t="s">
        <v>154</v>
      </c>
      <c r="L11" s="32" t="s">
        <v>154</v>
      </c>
      <c r="M11" s="32" t="s">
        <v>182</v>
      </c>
      <c r="N11" s="32">
        <v>42</v>
      </c>
      <c r="O11" s="32">
        <v>6289.08</v>
      </c>
      <c r="P11" s="32" t="s">
        <v>182</v>
      </c>
      <c r="Q11" s="32">
        <v>0</v>
      </c>
      <c r="R11" s="32">
        <v>9</v>
      </c>
      <c r="S11" s="32">
        <v>566.02</v>
      </c>
      <c r="T11" s="32">
        <v>9</v>
      </c>
      <c r="U11" s="32">
        <v>566.02</v>
      </c>
      <c r="V11" s="32">
        <v>0</v>
      </c>
      <c r="W11" s="32">
        <v>0</v>
      </c>
      <c r="X11" s="32">
        <v>0</v>
      </c>
      <c r="Y11" s="32">
        <v>1132.04</v>
      </c>
      <c r="Z11" s="32">
        <v>0</v>
      </c>
      <c r="AA11" s="32" t="s">
        <v>177</v>
      </c>
      <c r="AB11" s="32" t="s">
        <v>168</v>
      </c>
      <c r="AC11" s="32">
        <v>3926908</v>
      </c>
      <c r="AD11" s="32" t="s">
        <v>208</v>
      </c>
      <c r="AE11" s="32">
        <v>1</v>
      </c>
      <c r="AF11" s="32">
        <v>42</v>
      </c>
      <c r="AG11" s="32" t="s">
        <v>209</v>
      </c>
    </row>
    <row r="12" spans="1:33" x14ac:dyDescent="0.25">
      <c r="A12" s="23"/>
      <c r="B12" s="31">
        <v>46206</v>
      </c>
      <c r="C12" s="32" t="s">
        <v>670</v>
      </c>
      <c r="D12" s="32" t="s">
        <v>655</v>
      </c>
      <c r="E12" s="32" t="s">
        <v>671</v>
      </c>
      <c r="F12" s="32" t="s">
        <v>657</v>
      </c>
      <c r="G12" s="32" t="s">
        <v>672</v>
      </c>
      <c r="H12" s="31">
        <v>46203</v>
      </c>
      <c r="I12" s="32" t="s">
        <v>169</v>
      </c>
      <c r="J12" s="32" t="s">
        <v>180</v>
      </c>
      <c r="K12" s="32" t="s">
        <v>156</v>
      </c>
      <c r="L12" s="32" t="s">
        <v>218</v>
      </c>
      <c r="M12" s="32" t="s">
        <v>179</v>
      </c>
      <c r="N12" s="32">
        <v>186</v>
      </c>
      <c r="O12" s="32">
        <v>28781.64</v>
      </c>
      <c r="P12" s="32" t="s">
        <v>179</v>
      </c>
      <c r="Q12" s="32">
        <v>33933.56</v>
      </c>
      <c r="R12" s="32">
        <v>9</v>
      </c>
      <c r="S12" s="32">
        <v>2590.35</v>
      </c>
      <c r="T12" s="32">
        <v>9</v>
      </c>
      <c r="U12" s="32">
        <v>2590.35</v>
      </c>
      <c r="V12" s="32">
        <v>0</v>
      </c>
      <c r="W12" s="32">
        <v>0</v>
      </c>
      <c r="X12" s="32">
        <v>0</v>
      </c>
      <c r="Y12" s="32">
        <v>5180.7</v>
      </c>
      <c r="Z12" s="32">
        <v>0</v>
      </c>
      <c r="AA12" s="32" t="s">
        <v>189</v>
      </c>
      <c r="AB12" s="32" t="s">
        <v>168</v>
      </c>
      <c r="AC12" s="32">
        <v>63053300</v>
      </c>
      <c r="AD12" s="32" t="s">
        <v>208</v>
      </c>
      <c r="AE12" s="32">
        <v>1</v>
      </c>
      <c r="AF12" s="32">
        <v>186</v>
      </c>
      <c r="AG12" s="32" t="s">
        <v>209</v>
      </c>
    </row>
    <row r="13" spans="1:33" x14ac:dyDescent="0.25">
      <c r="A13" s="23"/>
      <c r="B13" s="31">
        <v>46206</v>
      </c>
      <c r="C13" s="32" t="s">
        <v>673</v>
      </c>
      <c r="D13" s="32" t="s">
        <v>655</v>
      </c>
      <c r="E13" s="32" t="s">
        <v>674</v>
      </c>
      <c r="F13" s="32" t="s">
        <v>675</v>
      </c>
      <c r="G13" s="32" t="s">
        <v>674</v>
      </c>
      <c r="H13" s="31">
        <v>46206</v>
      </c>
      <c r="I13" s="32" t="s">
        <v>192</v>
      </c>
      <c r="J13" s="32" t="s">
        <v>152</v>
      </c>
      <c r="K13" s="32" t="s">
        <v>163</v>
      </c>
      <c r="L13" s="32" t="s">
        <v>207</v>
      </c>
      <c r="M13" s="32" t="s">
        <v>191</v>
      </c>
      <c r="N13" s="32">
        <v>19758</v>
      </c>
      <c r="O13" s="32">
        <v>5116986.6549999993</v>
      </c>
      <c r="P13" s="32" t="s">
        <v>191</v>
      </c>
      <c r="Q13" s="32">
        <v>5116987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 t="s">
        <v>215</v>
      </c>
      <c r="AB13" s="32" t="s">
        <v>168</v>
      </c>
      <c r="AC13" s="32">
        <v>63053200</v>
      </c>
      <c r="AD13" s="32" t="s">
        <v>216</v>
      </c>
      <c r="AE13" s="32">
        <v>93.5</v>
      </c>
      <c r="AF13" s="32">
        <v>19758</v>
      </c>
      <c r="AG13" s="32" t="s">
        <v>209</v>
      </c>
    </row>
    <row r="14" spans="1:33" x14ac:dyDescent="0.25">
      <c r="A14" s="23"/>
      <c r="B14" s="31">
        <v>46206</v>
      </c>
      <c r="C14" s="32" t="s">
        <v>676</v>
      </c>
      <c r="D14" s="32" t="s">
        <v>655</v>
      </c>
      <c r="E14" s="32" t="s">
        <v>677</v>
      </c>
      <c r="F14" s="32" t="s">
        <v>657</v>
      </c>
      <c r="G14" s="32" t="s">
        <v>678</v>
      </c>
      <c r="H14" s="31">
        <v>46206</v>
      </c>
      <c r="I14" s="32" t="s">
        <v>171</v>
      </c>
      <c r="J14" s="32" t="s">
        <v>185</v>
      </c>
      <c r="K14" s="32" t="s">
        <v>166</v>
      </c>
      <c r="L14" s="32" t="s">
        <v>166</v>
      </c>
      <c r="M14" s="32" t="s">
        <v>359</v>
      </c>
      <c r="N14" s="32">
        <v>49500</v>
      </c>
      <c r="O14" s="32">
        <v>3821053.5</v>
      </c>
      <c r="P14" s="32" t="s">
        <v>359</v>
      </c>
      <c r="Q14" s="32">
        <v>4505022.09</v>
      </c>
      <c r="R14" s="32">
        <v>9</v>
      </c>
      <c r="S14" s="32">
        <v>343894.82</v>
      </c>
      <c r="T14" s="32">
        <v>9</v>
      </c>
      <c r="U14" s="32">
        <v>343894.82</v>
      </c>
      <c r="V14" s="32">
        <v>0</v>
      </c>
      <c r="W14" s="32">
        <v>0</v>
      </c>
      <c r="X14" s="32">
        <v>0</v>
      </c>
      <c r="Y14" s="32">
        <v>687789.64</v>
      </c>
      <c r="Z14" s="32">
        <v>0</v>
      </c>
      <c r="AA14" s="32" t="s">
        <v>172</v>
      </c>
      <c r="AB14" s="32" t="s">
        <v>168</v>
      </c>
      <c r="AC14" s="32">
        <v>39021000</v>
      </c>
      <c r="AD14" s="32" t="s">
        <v>208</v>
      </c>
      <c r="AE14" s="32">
        <v>1</v>
      </c>
      <c r="AF14" s="32">
        <v>49500</v>
      </c>
      <c r="AG14" s="32" t="s">
        <v>209</v>
      </c>
    </row>
    <row r="15" spans="1:33" x14ac:dyDescent="0.25">
      <c r="A15" s="23"/>
      <c r="B15" s="31">
        <v>46206</v>
      </c>
      <c r="C15" s="32" t="s">
        <v>654</v>
      </c>
      <c r="D15" s="32" t="s">
        <v>655</v>
      </c>
      <c r="E15" s="32" t="s">
        <v>679</v>
      </c>
      <c r="F15" s="32" t="s">
        <v>657</v>
      </c>
      <c r="G15" s="32" t="s">
        <v>680</v>
      </c>
      <c r="H15" s="31">
        <v>46206</v>
      </c>
      <c r="I15" s="32" t="s">
        <v>169</v>
      </c>
      <c r="J15" s="32" t="s">
        <v>176</v>
      </c>
      <c r="K15" s="32" t="s">
        <v>159</v>
      </c>
      <c r="L15" s="32" t="s">
        <v>159</v>
      </c>
      <c r="M15" s="32" t="s">
        <v>174</v>
      </c>
      <c r="N15" s="32">
        <v>1485.8</v>
      </c>
      <c r="O15" s="32">
        <v>269152.67</v>
      </c>
      <c r="P15" s="32" t="s">
        <v>174</v>
      </c>
      <c r="Q15" s="32">
        <v>957235</v>
      </c>
      <c r="R15" s="32">
        <v>9</v>
      </c>
      <c r="S15" s="32">
        <v>24223.74</v>
      </c>
      <c r="T15" s="32">
        <v>9</v>
      </c>
      <c r="U15" s="32">
        <v>24223.74</v>
      </c>
      <c r="V15" s="32">
        <v>0</v>
      </c>
      <c r="W15" s="32">
        <v>0</v>
      </c>
      <c r="X15" s="32">
        <v>0</v>
      </c>
      <c r="Y15" s="32">
        <v>48447.48</v>
      </c>
      <c r="Z15" s="32">
        <v>0</v>
      </c>
      <c r="AA15" s="32" t="s">
        <v>177</v>
      </c>
      <c r="AB15" s="32" t="s">
        <v>168</v>
      </c>
      <c r="AC15" s="32">
        <v>39200000</v>
      </c>
      <c r="AD15" s="32" t="s">
        <v>208</v>
      </c>
      <c r="AE15" s="32">
        <v>1</v>
      </c>
      <c r="AF15" s="32">
        <v>1485.8</v>
      </c>
      <c r="AG15" s="32" t="s">
        <v>209</v>
      </c>
    </row>
    <row r="16" spans="1:33" x14ac:dyDescent="0.25">
      <c r="A16" s="23"/>
      <c r="B16" s="31">
        <v>46206</v>
      </c>
      <c r="C16" s="32" t="s">
        <v>654</v>
      </c>
      <c r="D16" s="32" t="s">
        <v>655</v>
      </c>
      <c r="E16" s="32" t="s">
        <v>679</v>
      </c>
      <c r="F16" s="32" t="s">
        <v>657</v>
      </c>
      <c r="G16" s="32" t="s">
        <v>680</v>
      </c>
      <c r="H16" s="31">
        <v>46206</v>
      </c>
      <c r="I16" s="32" t="s">
        <v>169</v>
      </c>
      <c r="J16" s="32" t="s">
        <v>176</v>
      </c>
      <c r="K16" s="32" t="s">
        <v>159</v>
      </c>
      <c r="L16" s="32" t="s">
        <v>159</v>
      </c>
      <c r="M16" s="32" t="s">
        <v>174</v>
      </c>
      <c r="N16" s="32">
        <v>585</v>
      </c>
      <c r="O16" s="32">
        <v>117672.75</v>
      </c>
      <c r="P16" s="32" t="s">
        <v>174</v>
      </c>
      <c r="Q16" s="32">
        <v>0</v>
      </c>
      <c r="R16" s="32">
        <v>9</v>
      </c>
      <c r="S16" s="32">
        <v>10590.55</v>
      </c>
      <c r="T16" s="32">
        <v>9</v>
      </c>
      <c r="U16" s="32">
        <v>10590.55</v>
      </c>
      <c r="V16" s="32">
        <v>0</v>
      </c>
      <c r="W16" s="32">
        <v>0</v>
      </c>
      <c r="X16" s="32">
        <v>0</v>
      </c>
      <c r="Y16" s="32">
        <v>21181.1</v>
      </c>
      <c r="Z16" s="32">
        <v>0</v>
      </c>
      <c r="AA16" s="32" t="s">
        <v>177</v>
      </c>
      <c r="AB16" s="32" t="s">
        <v>168</v>
      </c>
      <c r="AC16" s="32">
        <v>39200000</v>
      </c>
      <c r="AD16" s="32" t="s">
        <v>208</v>
      </c>
      <c r="AE16" s="32">
        <v>1</v>
      </c>
      <c r="AF16" s="32">
        <v>585</v>
      </c>
      <c r="AG16" s="32" t="s">
        <v>209</v>
      </c>
    </row>
    <row r="17" spans="1:33" x14ac:dyDescent="0.25">
      <c r="A17" s="23"/>
      <c r="B17" s="31">
        <v>46206</v>
      </c>
      <c r="C17" s="32" t="s">
        <v>654</v>
      </c>
      <c r="D17" s="32" t="s">
        <v>655</v>
      </c>
      <c r="E17" s="32" t="s">
        <v>679</v>
      </c>
      <c r="F17" s="32" t="s">
        <v>657</v>
      </c>
      <c r="G17" s="32" t="s">
        <v>680</v>
      </c>
      <c r="H17" s="31">
        <v>46206</v>
      </c>
      <c r="I17" s="32" t="s">
        <v>169</v>
      </c>
      <c r="J17" s="32" t="s">
        <v>176</v>
      </c>
      <c r="K17" s="32" t="s">
        <v>159</v>
      </c>
      <c r="L17" s="32" t="s">
        <v>159</v>
      </c>
      <c r="M17" s="32" t="s">
        <v>174</v>
      </c>
      <c r="N17" s="32">
        <v>1447.9</v>
      </c>
      <c r="O17" s="32">
        <v>297036.685</v>
      </c>
      <c r="P17" s="32" t="s">
        <v>174</v>
      </c>
      <c r="Q17" s="32">
        <v>0</v>
      </c>
      <c r="R17" s="32">
        <v>9</v>
      </c>
      <c r="S17" s="32">
        <v>26733.3</v>
      </c>
      <c r="T17" s="32">
        <v>9</v>
      </c>
      <c r="U17" s="32">
        <v>26733.3</v>
      </c>
      <c r="V17" s="32">
        <v>0</v>
      </c>
      <c r="W17" s="32">
        <v>0</v>
      </c>
      <c r="X17" s="32">
        <v>0</v>
      </c>
      <c r="Y17" s="32">
        <v>53466.6</v>
      </c>
      <c r="Z17" s="32">
        <v>0</v>
      </c>
      <c r="AA17" s="32" t="s">
        <v>177</v>
      </c>
      <c r="AB17" s="32" t="s">
        <v>168</v>
      </c>
      <c r="AC17" s="32">
        <v>39200000</v>
      </c>
      <c r="AD17" s="32" t="s">
        <v>208</v>
      </c>
      <c r="AE17" s="32">
        <v>1</v>
      </c>
      <c r="AF17" s="32">
        <v>1447.9</v>
      </c>
      <c r="AG17" s="32" t="s">
        <v>209</v>
      </c>
    </row>
    <row r="18" spans="1:33" x14ac:dyDescent="0.25">
      <c r="A18" s="23"/>
      <c r="B18" s="31">
        <v>46206</v>
      </c>
      <c r="C18" s="32" t="s">
        <v>654</v>
      </c>
      <c r="D18" s="32" t="s">
        <v>655</v>
      </c>
      <c r="E18" s="32" t="s">
        <v>679</v>
      </c>
      <c r="F18" s="32" t="s">
        <v>657</v>
      </c>
      <c r="G18" s="32" t="s">
        <v>680</v>
      </c>
      <c r="H18" s="31">
        <v>46206</v>
      </c>
      <c r="I18" s="32" t="s">
        <v>169</v>
      </c>
      <c r="J18" s="32" t="s">
        <v>180</v>
      </c>
      <c r="K18" s="32" t="s">
        <v>155</v>
      </c>
      <c r="L18" s="32" t="s">
        <v>210</v>
      </c>
      <c r="M18" s="32" t="s">
        <v>187</v>
      </c>
      <c r="N18" s="32">
        <v>644</v>
      </c>
      <c r="O18" s="32">
        <v>98364.56</v>
      </c>
      <c r="P18" s="32" t="s">
        <v>187</v>
      </c>
      <c r="Q18" s="32">
        <v>0</v>
      </c>
      <c r="R18" s="32">
        <v>9</v>
      </c>
      <c r="S18" s="32">
        <v>8852.81</v>
      </c>
      <c r="T18" s="32">
        <v>9</v>
      </c>
      <c r="U18" s="32">
        <v>8852.81</v>
      </c>
      <c r="V18" s="32">
        <v>0</v>
      </c>
      <c r="W18" s="32">
        <v>0</v>
      </c>
      <c r="X18" s="32">
        <v>0</v>
      </c>
      <c r="Y18" s="32">
        <v>17705.62</v>
      </c>
      <c r="Z18" s="32">
        <v>0</v>
      </c>
      <c r="AA18" s="32" t="s">
        <v>177</v>
      </c>
      <c r="AB18" s="32" t="s">
        <v>168</v>
      </c>
      <c r="AC18" s="32">
        <v>39269080</v>
      </c>
      <c r="AD18" s="32" t="s">
        <v>208</v>
      </c>
      <c r="AE18" s="32">
        <v>1</v>
      </c>
      <c r="AF18" s="32">
        <v>644</v>
      </c>
      <c r="AG18" s="32" t="s">
        <v>209</v>
      </c>
    </row>
    <row r="19" spans="1:33" x14ac:dyDescent="0.25">
      <c r="A19" s="23"/>
      <c r="B19" s="31">
        <v>46206</v>
      </c>
      <c r="C19" s="32" t="s">
        <v>654</v>
      </c>
      <c r="D19" s="32" t="s">
        <v>655</v>
      </c>
      <c r="E19" s="32" t="s">
        <v>679</v>
      </c>
      <c r="F19" s="32" t="s">
        <v>657</v>
      </c>
      <c r="G19" s="32" t="s">
        <v>680</v>
      </c>
      <c r="H19" s="31">
        <v>46206</v>
      </c>
      <c r="I19" s="32" t="s">
        <v>169</v>
      </c>
      <c r="J19" s="32" t="s">
        <v>182</v>
      </c>
      <c r="K19" s="32" t="s">
        <v>154</v>
      </c>
      <c r="L19" s="32" t="s">
        <v>154</v>
      </c>
      <c r="M19" s="32" t="s">
        <v>182</v>
      </c>
      <c r="N19" s="32">
        <v>59.6</v>
      </c>
      <c r="O19" s="32">
        <v>9103.3040000000001</v>
      </c>
      <c r="P19" s="32" t="s">
        <v>182</v>
      </c>
      <c r="Q19" s="32">
        <v>0</v>
      </c>
      <c r="R19" s="32">
        <v>9</v>
      </c>
      <c r="S19" s="32">
        <v>819.3</v>
      </c>
      <c r="T19" s="32">
        <v>9</v>
      </c>
      <c r="U19" s="32">
        <v>819.3</v>
      </c>
      <c r="V19" s="32">
        <v>0</v>
      </c>
      <c r="W19" s="32">
        <v>0</v>
      </c>
      <c r="X19" s="32">
        <v>0</v>
      </c>
      <c r="Y19" s="32">
        <v>1638.6</v>
      </c>
      <c r="Z19" s="32">
        <v>0</v>
      </c>
      <c r="AA19" s="32" t="s">
        <v>177</v>
      </c>
      <c r="AB19" s="32" t="s">
        <v>168</v>
      </c>
      <c r="AC19" s="32">
        <v>3926908</v>
      </c>
      <c r="AD19" s="32" t="s">
        <v>208</v>
      </c>
      <c r="AE19" s="32">
        <v>1</v>
      </c>
      <c r="AF19" s="32">
        <v>59.6</v>
      </c>
      <c r="AG19" s="32" t="s">
        <v>209</v>
      </c>
    </row>
    <row r="20" spans="1:33" x14ac:dyDescent="0.25">
      <c r="A20" s="23"/>
      <c r="B20" s="31">
        <v>46206</v>
      </c>
      <c r="C20" s="32" t="s">
        <v>654</v>
      </c>
      <c r="D20" s="32" t="s">
        <v>655</v>
      </c>
      <c r="E20" s="32" t="s">
        <v>679</v>
      </c>
      <c r="F20" s="32" t="s">
        <v>657</v>
      </c>
      <c r="G20" s="32" t="s">
        <v>680</v>
      </c>
      <c r="H20" s="31">
        <v>46206</v>
      </c>
      <c r="I20" s="32" t="s">
        <v>169</v>
      </c>
      <c r="J20" s="32" t="s">
        <v>182</v>
      </c>
      <c r="K20" s="32" t="s">
        <v>154</v>
      </c>
      <c r="L20" s="32" t="s">
        <v>154</v>
      </c>
      <c r="M20" s="32" t="s">
        <v>182</v>
      </c>
      <c r="N20" s="32">
        <v>72.599999999999994</v>
      </c>
      <c r="O20" s="32">
        <v>10871.124</v>
      </c>
      <c r="P20" s="32" t="s">
        <v>182</v>
      </c>
      <c r="Q20" s="32">
        <v>0</v>
      </c>
      <c r="R20" s="32">
        <v>9</v>
      </c>
      <c r="S20" s="32">
        <v>978.4</v>
      </c>
      <c r="T20" s="32">
        <v>9</v>
      </c>
      <c r="U20" s="32">
        <v>978.4</v>
      </c>
      <c r="V20" s="32">
        <v>0</v>
      </c>
      <c r="W20" s="32">
        <v>0</v>
      </c>
      <c r="X20" s="32">
        <v>0</v>
      </c>
      <c r="Y20" s="32">
        <v>1956.8</v>
      </c>
      <c r="Z20" s="32">
        <v>0</v>
      </c>
      <c r="AA20" s="32" t="s">
        <v>177</v>
      </c>
      <c r="AB20" s="32" t="s">
        <v>168</v>
      </c>
      <c r="AC20" s="32">
        <v>3926908</v>
      </c>
      <c r="AD20" s="32" t="s">
        <v>208</v>
      </c>
      <c r="AE20" s="32">
        <v>1</v>
      </c>
      <c r="AF20" s="32">
        <v>72.599999999999994</v>
      </c>
      <c r="AG20" s="32" t="s">
        <v>209</v>
      </c>
    </row>
    <row r="21" spans="1:33" x14ac:dyDescent="0.25">
      <c r="A21" s="23"/>
      <c r="B21" s="31">
        <v>46206</v>
      </c>
      <c r="C21" s="32" t="s">
        <v>654</v>
      </c>
      <c r="D21" s="32" t="s">
        <v>655</v>
      </c>
      <c r="E21" s="32" t="s">
        <v>679</v>
      </c>
      <c r="F21" s="32" t="s">
        <v>657</v>
      </c>
      <c r="G21" s="32" t="s">
        <v>680</v>
      </c>
      <c r="H21" s="31">
        <v>46206</v>
      </c>
      <c r="I21" s="32" t="s">
        <v>169</v>
      </c>
      <c r="J21" s="32" t="s">
        <v>170</v>
      </c>
      <c r="K21" s="32" t="s">
        <v>157</v>
      </c>
      <c r="L21" s="32" t="s">
        <v>233</v>
      </c>
      <c r="M21" s="32" t="s">
        <v>681</v>
      </c>
      <c r="N21" s="32">
        <v>66.400000000000006</v>
      </c>
      <c r="O21" s="32">
        <v>10905.536</v>
      </c>
      <c r="P21" s="32" t="s">
        <v>681</v>
      </c>
      <c r="Q21" s="32">
        <v>0</v>
      </c>
      <c r="R21" s="32">
        <v>2.5</v>
      </c>
      <c r="S21" s="32">
        <v>272.64</v>
      </c>
      <c r="T21" s="32">
        <v>2.5</v>
      </c>
      <c r="U21" s="32">
        <v>272.64</v>
      </c>
      <c r="V21" s="32">
        <v>0</v>
      </c>
      <c r="W21" s="32">
        <v>0</v>
      </c>
      <c r="X21" s="32">
        <v>0</v>
      </c>
      <c r="Y21" s="32">
        <v>545.28</v>
      </c>
      <c r="Z21" s="32">
        <v>0</v>
      </c>
      <c r="AA21" s="32" t="s">
        <v>177</v>
      </c>
      <c r="AB21" s="32" t="s">
        <v>168</v>
      </c>
      <c r="AC21" s="32">
        <v>540269</v>
      </c>
      <c r="AD21" s="32" t="s">
        <v>208</v>
      </c>
      <c r="AE21" s="32">
        <v>1</v>
      </c>
      <c r="AF21" s="32">
        <v>66.400000000000006</v>
      </c>
      <c r="AG21" s="32" t="s">
        <v>209</v>
      </c>
    </row>
    <row r="22" spans="1:33" x14ac:dyDescent="0.25">
      <c r="A22" s="23"/>
      <c r="B22" s="31">
        <v>46206</v>
      </c>
      <c r="C22" s="32" t="s">
        <v>654</v>
      </c>
      <c r="D22" s="32" t="s">
        <v>655</v>
      </c>
      <c r="E22" s="32" t="s">
        <v>682</v>
      </c>
      <c r="F22" s="32" t="s">
        <v>657</v>
      </c>
      <c r="G22" s="32" t="s">
        <v>683</v>
      </c>
      <c r="H22" s="31">
        <v>46206</v>
      </c>
      <c r="I22" s="32" t="s">
        <v>169</v>
      </c>
      <c r="J22" s="32" t="s">
        <v>180</v>
      </c>
      <c r="K22" s="32" t="s">
        <v>156</v>
      </c>
      <c r="L22" s="32" t="s">
        <v>218</v>
      </c>
      <c r="M22" s="32" t="s">
        <v>179</v>
      </c>
      <c r="N22" s="32">
        <v>1928</v>
      </c>
      <c r="O22" s="32">
        <v>298338.71999999997</v>
      </c>
      <c r="P22" s="32" t="s">
        <v>179</v>
      </c>
      <c r="Q22" s="32">
        <v>573600.39</v>
      </c>
      <c r="R22" s="32">
        <v>9</v>
      </c>
      <c r="S22" s="32">
        <v>26850.48</v>
      </c>
      <c r="T22" s="32">
        <v>9</v>
      </c>
      <c r="U22" s="32">
        <v>26850.48</v>
      </c>
      <c r="V22" s="32">
        <v>0</v>
      </c>
      <c r="W22" s="32">
        <v>0</v>
      </c>
      <c r="X22" s="32">
        <v>0</v>
      </c>
      <c r="Y22" s="32">
        <v>53700.959999999999</v>
      </c>
      <c r="Z22" s="32">
        <v>0</v>
      </c>
      <c r="AA22" s="32" t="s">
        <v>177</v>
      </c>
      <c r="AB22" s="32" t="s">
        <v>168</v>
      </c>
      <c r="AC22" s="32">
        <v>63053300</v>
      </c>
      <c r="AD22" s="32" t="s">
        <v>208</v>
      </c>
      <c r="AE22" s="32">
        <v>1</v>
      </c>
      <c r="AF22" s="32">
        <v>1928</v>
      </c>
      <c r="AG22" s="32" t="s">
        <v>209</v>
      </c>
    </row>
    <row r="23" spans="1:33" x14ac:dyDescent="0.25">
      <c r="A23" s="23"/>
      <c r="B23" s="31">
        <v>46206</v>
      </c>
      <c r="C23" s="32" t="s">
        <v>654</v>
      </c>
      <c r="D23" s="32" t="s">
        <v>655</v>
      </c>
      <c r="E23" s="32" t="s">
        <v>682</v>
      </c>
      <c r="F23" s="32" t="s">
        <v>657</v>
      </c>
      <c r="G23" s="32" t="s">
        <v>683</v>
      </c>
      <c r="H23" s="31">
        <v>46206</v>
      </c>
      <c r="I23" s="32" t="s">
        <v>169</v>
      </c>
      <c r="J23" s="32" t="s">
        <v>170</v>
      </c>
      <c r="K23" s="32" t="s">
        <v>157</v>
      </c>
      <c r="L23" s="32" t="s">
        <v>233</v>
      </c>
      <c r="M23" s="32" t="s">
        <v>684</v>
      </c>
      <c r="N23" s="32">
        <v>445.7</v>
      </c>
      <c r="O23" s="32">
        <v>71196.118000000002</v>
      </c>
      <c r="P23" s="32" t="s">
        <v>684</v>
      </c>
      <c r="Q23" s="32">
        <v>0</v>
      </c>
      <c r="R23" s="32">
        <v>2.5</v>
      </c>
      <c r="S23" s="32">
        <v>1779.9</v>
      </c>
      <c r="T23" s="32">
        <v>2.5</v>
      </c>
      <c r="U23" s="32">
        <v>1779.9</v>
      </c>
      <c r="V23" s="32">
        <v>0</v>
      </c>
      <c r="W23" s="32">
        <v>0</v>
      </c>
      <c r="X23" s="32">
        <v>0</v>
      </c>
      <c r="Y23" s="32">
        <v>3559.8</v>
      </c>
      <c r="Z23" s="32">
        <v>0</v>
      </c>
      <c r="AA23" s="32" t="s">
        <v>177</v>
      </c>
      <c r="AB23" s="32" t="s">
        <v>188</v>
      </c>
      <c r="AC23" s="32">
        <v>54026930</v>
      </c>
      <c r="AD23" s="32" t="s">
        <v>208</v>
      </c>
      <c r="AE23" s="32">
        <v>1</v>
      </c>
      <c r="AF23" s="32">
        <v>445.7</v>
      </c>
      <c r="AG23" s="32" t="s">
        <v>209</v>
      </c>
    </row>
    <row r="24" spans="1:33" x14ac:dyDescent="0.25">
      <c r="A24" s="23"/>
      <c r="B24" s="31">
        <v>46206</v>
      </c>
      <c r="C24" s="32" t="s">
        <v>654</v>
      </c>
      <c r="D24" s="32" t="s">
        <v>655</v>
      </c>
      <c r="E24" s="32" t="s">
        <v>682</v>
      </c>
      <c r="F24" s="32" t="s">
        <v>657</v>
      </c>
      <c r="G24" s="32" t="s">
        <v>683</v>
      </c>
      <c r="H24" s="31">
        <v>46206</v>
      </c>
      <c r="I24" s="32" t="s">
        <v>169</v>
      </c>
      <c r="J24" s="32" t="s">
        <v>170</v>
      </c>
      <c r="K24" s="32" t="s">
        <v>157</v>
      </c>
      <c r="L24" s="32" t="s">
        <v>233</v>
      </c>
      <c r="M24" s="32" t="s">
        <v>685</v>
      </c>
      <c r="N24" s="32">
        <v>878.3</v>
      </c>
      <c r="O24" s="32">
        <v>140299.64199999999</v>
      </c>
      <c r="P24" s="32" t="s">
        <v>685</v>
      </c>
      <c r="Q24" s="32">
        <v>0</v>
      </c>
      <c r="R24" s="32">
        <v>2.5</v>
      </c>
      <c r="S24" s="32">
        <v>3507.49</v>
      </c>
      <c r="T24" s="32">
        <v>2.5</v>
      </c>
      <c r="U24" s="32">
        <v>3507.49</v>
      </c>
      <c r="V24" s="32">
        <v>0</v>
      </c>
      <c r="W24" s="32">
        <v>0</v>
      </c>
      <c r="X24" s="32">
        <v>0</v>
      </c>
      <c r="Y24" s="32">
        <v>7014.98</v>
      </c>
      <c r="Z24" s="32">
        <v>0</v>
      </c>
      <c r="AA24" s="32" t="s">
        <v>177</v>
      </c>
      <c r="AB24" s="32" t="s">
        <v>188</v>
      </c>
      <c r="AC24" s="32">
        <v>540263</v>
      </c>
      <c r="AD24" s="32" t="s">
        <v>208</v>
      </c>
      <c r="AE24" s="32">
        <v>1</v>
      </c>
      <c r="AF24" s="32">
        <v>878.3</v>
      </c>
      <c r="AG24" s="32" t="s">
        <v>209</v>
      </c>
    </row>
    <row r="25" spans="1:33" x14ac:dyDescent="0.25">
      <c r="A25" s="23"/>
      <c r="B25" s="31">
        <v>46206</v>
      </c>
      <c r="C25" s="32" t="s">
        <v>654</v>
      </c>
      <c r="D25" s="32" t="s">
        <v>655</v>
      </c>
      <c r="E25" s="32" t="s">
        <v>686</v>
      </c>
      <c r="F25" s="32" t="s">
        <v>657</v>
      </c>
      <c r="G25" s="32" t="s">
        <v>687</v>
      </c>
      <c r="H25" s="31">
        <v>46206</v>
      </c>
      <c r="I25" s="32" t="s">
        <v>169</v>
      </c>
      <c r="J25" s="32" t="s">
        <v>180</v>
      </c>
      <c r="K25" s="32" t="s">
        <v>155</v>
      </c>
      <c r="L25" s="32" t="s">
        <v>210</v>
      </c>
      <c r="M25" s="32" t="s">
        <v>187</v>
      </c>
      <c r="N25" s="32">
        <v>378</v>
      </c>
      <c r="O25" s="32">
        <v>55845.72</v>
      </c>
      <c r="P25" s="32" t="s">
        <v>187</v>
      </c>
      <c r="Q25" s="32">
        <v>65842.09</v>
      </c>
      <c r="R25" s="32">
        <v>9</v>
      </c>
      <c r="S25" s="32">
        <v>5026.1099999999997</v>
      </c>
      <c r="T25" s="32">
        <v>9</v>
      </c>
      <c r="U25" s="32">
        <v>5026.1099999999997</v>
      </c>
      <c r="V25" s="32">
        <v>0</v>
      </c>
      <c r="W25" s="32">
        <v>0</v>
      </c>
      <c r="X25" s="32">
        <v>0</v>
      </c>
      <c r="Y25" s="32">
        <v>10052.219999999999</v>
      </c>
      <c r="Z25" s="32">
        <v>0</v>
      </c>
      <c r="AA25" s="32" t="s">
        <v>177</v>
      </c>
      <c r="AB25" s="32" t="s">
        <v>168</v>
      </c>
      <c r="AC25" s="32">
        <v>39269080</v>
      </c>
      <c r="AD25" s="32" t="s">
        <v>208</v>
      </c>
      <c r="AE25" s="32">
        <v>1</v>
      </c>
      <c r="AF25" s="32">
        <v>378</v>
      </c>
      <c r="AG25" s="32" t="s">
        <v>209</v>
      </c>
    </row>
    <row r="26" spans="1:33" x14ac:dyDescent="0.25">
      <c r="A26" s="23"/>
      <c r="B26" s="31">
        <v>46206</v>
      </c>
      <c r="C26" s="32" t="s">
        <v>689</v>
      </c>
      <c r="D26" s="32" t="s">
        <v>660</v>
      </c>
      <c r="E26" s="32" t="s">
        <v>690</v>
      </c>
      <c r="F26" s="32" t="s">
        <v>691</v>
      </c>
      <c r="G26" s="32" t="s">
        <v>692</v>
      </c>
      <c r="H26" s="31">
        <v>46204</v>
      </c>
      <c r="I26" s="32" t="s">
        <v>204</v>
      </c>
      <c r="J26" s="32" t="s">
        <v>693</v>
      </c>
      <c r="K26" s="32" t="s">
        <v>159</v>
      </c>
      <c r="L26" s="32" t="s">
        <v>159</v>
      </c>
      <c r="M26" s="32" t="s">
        <v>694</v>
      </c>
      <c r="N26" s="32">
        <v>3.0979999999999999</v>
      </c>
      <c r="O26" s="32">
        <v>10625</v>
      </c>
      <c r="P26" s="32" t="s">
        <v>694</v>
      </c>
      <c r="Q26" s="32">
        <v>31159</v>
      </c>
      <c r="R26" s="32">
        <v>0</v>
      </c>
      <c r="S26" s="32">
        <v>0</v>
      </c>
      <c r="T26" s="32">
        <v>0</v>
      </c>
      <c r="U26" s="32">
        <v>0</v>
      </c>
      <c r="V26" s="32">
        <v>5</v>
      </c>
      <c r="W26" s="32">
        <v>531.25</v>
      </c>
      <c r="X26" s="32">
        <v>17.5</v>
      </c>
      <c r="Y26" s="32">
        <v>548.75</v>
      </c>
      <c r="Z26" s="32">
        <v>0</v>
      </c>
      <c r="AA26" s="32" t="s">
        <v>695</v>
      </c>
      <c r="AB26" s="32" t="s">
        <v>696</v>
      </c>
      <c r="AC26" s="32">
        <v>58079010</v>
      </c>
      <c r="AD26" s="32" t="s">
        <v>208</v>
      </c>
      <c r="AE26" s="32">
        <v>1</v>
      </c>
      <c r="AF26" s="32">
        <v>3.0979999999999999</v>
      </c>
      <c r="AG26" s="32" t="s">
        <v>209</v>
      </c>
    </row>
    <row r="27" spans="1:33" x14ac:dyDescent="0.25">
      <c r="A27" s="23"/>
      <c r="B27" s="31">
        <v>46206</v>
      </c>
      <c r="C27" s="32" t="s">
        <v>689</v>
      </c>
      <c r="D27" s="32" t="s">
        <v>660</v>
      </c>
      <c r="E27" s="32" t="s">
        <v>690</v>
      </c>
      <c r="F27" s="32" t="s">
        <v>691</v>
      </c>
      <c r="G27" s="32" t="s">
        <v>692</v>
      </c>
      <c r="H27" s="31">
        <v>46204</v>
      </c>
      <c r="I27" s="32" t="s">
        <v>204</v>
      </c>
      <c r="J27" s="32" t="s">
        <v>693</v>
      </c>
      <c r="K27" s="32" t="s">
        <v>159</v>
      </c>
      <c r="L27" s="32" t="s">
        <v>159</v>
      </c>
      <c r="M27" s="32" t="s">
        <v>694</v>
      </c>
      <c r="N27" s="32">
        <v>7.83</v>
      </c>
      <c r="O27" s="32">
        <v>18700</v>
      </c>
      <c r="P27" s="32" t="s">
        <v>694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5</v>
      </c>
      <c r="W27" s="32">
        <v>935</v>
      </c>
      <c r="X27" s="32">
        <v>17.5</v>
      </c>
      <c r="Y27" s="32">
        <v>952.5</v>
      </c>
      <c r="Z27" s="32">
        <v>0</v>
      </c>
      <c r="AA27" s="32" t="s">
        <v>695</v>
      </c>
      <c r="AB27" s="32" t="s">
        <v>696</v>
      </c>
      <c r="AC27" s="32">
        <v>58079010</v>
      </c>
      <c r="AD27" s="32" t="s">
        <v>208</v>
      </c>
      <c r="AE27" s="32">
        <v>1</v>
      </c>
      <c r="AF27" s="32">
        <v>7.83</v>
      </c>
      <c r="AG27" s="32" t="s">
        <v>209</v>
      </c>
    </row>
    <row r="28" spans="1:33" x14ac:dyDescent="0.25">
      <c r="A28" s="23"/>
      <c r="B28" s="31">
        <v>46207</v>
      </c>
      <c r="C28" s="32" t="s">
        <v>654</v>
      </c>
      <c r="D28" s="32" t="s">
        <v>655</v>
      </c>
      <c r="E28" s="32" t="s">
        <v>697</v>
      </c>
      <c r="F28" s="32" t="s">
        <v>657</v>
      </c>
      <c r="G28" s="32" t="s">
        <v>698</v>
      </c>
      <c r="H28" s="31">
        <v>46207</v>
      </c>
      <c r="I28" s="32" t="s">
        <v>169</v>
      </c>
      <c r="J28" s="32" t="s">
        <v>180</v>
      </c>
      <c r="K28" s="32" t="s">
        <v>155</v>
      </c>
      <c r="L28" s="32" t="s">
        <v>210</v>
      </c>
      <c r="M28" s="32" t="s">
        <v>187</v>
      </c>
      <c r="N28" s="32">
        <v>624</v>
      </c>
      <c r="O28" s="32">
        <v>92189.759999999995</v>
      </c>
      <c r="P28" s="32" t="s">
        <v>187</v>
      </c>
      <c r="Q28" s="32">
        <v>167436.92000000001</v>
      </c>
      <c r="R28" s="32">
        <v>9</v>
      </c>
      <c r="S28" s="32">
        <v>8297.08</v>
      </c>
      <c r="T28" s="32">
        <v>9</v>
      </c>
      <c r="U28" s="32">
        <v>8297.08</v>
      </c>
      <c r="V28" s="32">
        <v>0</v>
      </c>
      <c r="W28" s="32">
        <v>0</v>
      </c>
      <c r="X28" s="32">
        <v>0</v>
      </c>
      <c r="Y28" s="32">
        <v>16594.16</v>
      </c>
      <c r="Z28" s="32">
        <v>0</v>
      </c>
      <c r="AA28" s="32" t="s">
        <v>177</v>
      </c>
      <c r="AB28" s="32" t="s">
        <v>168</v>
      </c>
      <c r="AC28" s="32">
        <v>39269080</v>
      </c>
      <c r="AD28" s="32" t="s">
        <v>208</v>
      </c>
      <c r="AE28" s="32">
        <v>1</v>
      </c>
      <c r="AF28" s="32">
        <v>624</v>
      </c>
      <c r="AG28" s="32" t="s">
        <v>209</v>
      </c>
    </row>
    <row r="29" spans="1:33" x14ac:dyDescent="0.25">
      <c r="A29" s="23"/>
      <c r="B29" s="31">
        <v>46207</v>
      </c>
      <c r="C29" s="32" t="s">
        <v>654</v>
      </c>
      <c r="D29" s="32" t="s">
        <v>655</v>
      </c>
      <c r="E29" s="32" t="s">
        <v>697</v>
      </c>
      <c r="F29" s="32" t="s">
        <v>657</v>
      </c>
      <c r="G29" s="32" t="s">
        <v>698</v>
      </c>
      <c r="H29" s="31">
        <v>46207</v>
      </c>
      <c r="I29" s="32" t="s">
        <v>169</v>
      </c>
      <c r="J29" s="32" t="s">
        <v>180</v>
      </c>
      <c r="K29" s="32" t="s">
        <v>156</v>
      </c>
      <c r="L29" s="32" t="s">
        <v>218</v>
      </c>
      <c r="M29" s="32" t="s">
        <v>179</v>
      </c>
      <c r="N29" s="32">
        <v>322</v>
      </c>
      <c r="O29" s="32">
        <v>49826.28</v>
      </c>
      <c r="P29" s="32" t="s">
        <v>179</v>
      </c>
      <c r="Q29" s="32">
        <v>0</v>
      </c>
      <c r="R29" s="32">
        <v>9</v>
      </c>
      <c r="S29" s="32">
        <v>4484.37</v>
      </c>
      <c r="T29" s="32">
        <v>9</v>
      </c>
      <c r="U29" s="32">
        <v>4484.37</v>
      </c>
      <c r="V29" s="32">
        <v>0</v>
      </c>
      <c r="W29" s="32">
        <v>0</v>
      </c>
      <c r="X29" s="32">
        <v>0</v>
      </c>
      <c r="Y29" s="32">
        <v>8968.74</v>
      </c>
      <c r="Z29" s="32">
        <v>0</v>
      </c>
      <c r="AA29" s="32" t="s">
        <v>177</v>
      </c>
      <c r="AB29" s="32" t="s">
        <v>168</v>
      </c>
      <c r="AC29" s="32">
        <v>63053300</v>
      </c>
      <c r="AD29" s="32" t="s">
        <v>208</v>
      </c>
      <c r="AE29" s="32">
        <v>1</v>
      </c>
      <c r="AF29" s="32">
        <v>322</v>
      </c>
      <c r="AG29" s="32" t="s">
        <v>209</v>
      </c>
    </row>
    <row r="30" spans="1:33" x14ac:dyDescent="0.25">
      <c r="A30" s="23"/>
      <c r="B30" s="31">
        <v>46207</v>
      </c>
      <c r="C30" s="32" t="s">
        <v>654</v>
      </c>
      <c r="D30" s="32" t="s">
        <v>655</v>
      </c>
      <c r="E30" s="32" t="s">
        <v>699</v>
      </c>
      <c r="F30" s="32" t="s">
        <v>657</v>
      </c>
      <c r="G30" s="32" t="s">
        <v>700</v>
      </c>
      <c r="H30" s="31">
        <v>46207</v>
      </c>
      <c r="I30" s="32" t="s">
        <v>169</v>
      </c>
      <c r="J30" s="32" t="s">
        <v>180</v>
      </c>
      <c r="K30" s="32" t="s">
        <v>155</v>
      </c>
      <c r="L30" s="32" t="s">
        <v>210</v>
      </c>
      <c r="M30" s="32" t="s">
        <v>187</v>
      </c>
      <c r="N30" s="32">
        <v>653</v>
      </c>
      <c r="O30" s="32">
        <v>97616.97</v>
      </c>
      <c r="P30" s="32" t="s">
        <v>187</v>
      </c>
      <c r="Q30" s="32">
        <v>349682.86</v>
      </c>
      <c r="R30" s="32">
        <v>9</v>
      </c>
      <c r="S30" s="32">
        <v>8785.5300000000007</v>
      </c>
      <c r="T30" s="32">
        <v>9</v>
      </c>
      <c r="U30" s="32">
        <v>8785.5300000000007</v>
      </c>
      <c r="V30" s="32">
        <v>0</v>
      </c>
      <c r="W30" s="32">
        <v>0</v>
      </c>
      <c r="X30" s="32">
        <v>0</v>
      </c>
      <c r="Y30" s="32">
        <v>17571.060000000001</v>
      </c>
      <c r="Z30" s="32">
        <v>0</v>
      </c>
      <c r="AA30" s="32" t="s">
        <v>177</v>
      </c>
      <c r="AB30" s="32" t="s">
        <v>168</v>
      </c>
      <c r="AC30" s="32">
        <v>39269080</v>
      </c>
      <c r="AD30" s="32" t="s">
        <v>208</v>
      </c>
      <c r="AE30" s="32">
        <v>1</v>
      </c>
      <c r="AF30" s="32">
        <v>653</v>
      </c>
      <c r="AG30" s="32" t="s">
        <v>209</v>
      </c>
    </row>
    <row r="31" spans="1:33" x14ac:dyDescent="0.25">
      <c r="A31" s="23"/>
      <c r="B31" s="31">
        <v>46207</v>
      </c>
      <c r="C31" s="32" t="s">
        <v>654</v>
      </c>
      <c r="D31" s="32" t="s">
        <v>655</v>
      </c>
      <c r="E31" s="32" t="s">
        <v>699</v>
      </c>
      <c r="F31" s="32" t="s">
        <v>657</v>
      </c>
      <c r="G31" s="32" t="s">
        <v>700</v>
      </c>
      <c r="H31" s="31">
        <v>46207</v>
      </c>
      <c r="I31" s="32" t="s">
        <v>169</v>
      </c>
      <c r="J31" s="32" t="s">
        <v>180</v>
      </c>
      <c r="K31" s="32" t="s">
        <v>156</v>
      </c>
      <c r="L31" s="32" t="s">
        <v>218</v>
      </c>
      <c r="M31" s="32" t="s">
        <v>179</v>
      </c>
      <c r="N31" s="32">
        <v>633</v>
      </c>
      <c r="O31" s="32">
        <v>95893.17</v>
      </c>
      <c r="P31" s="32" t="s">
        <v>179</v>
      </c>
      <c r="Q31" s="32">
        <v>0</v>
      </c>
      <c r="R31" s="32">
        <v>9</v>
      </c>
      <c r="S31" s="32">
        <v>8630.39</v>
      </c>
      <c r="T31" s="32">
        <v>9</v>
      </c>
      <c r="U31" s="32">
        <v>8630.39</v>
      </c>
      <c r="V31" s="32">
        <v>0</v>
      </c>
      <c r="W31" s="32">
        <v>0</v>
      </c>
      <c r="X31" s="32">
        <v>0</v>
      </c>
      <c r="Y31" s="32">
        <v>17260.78</v>
      </c>
      <c r="Z31" s="32">
        <v>0</v>
      </c>
      <c r="AA31" s="32" t="s">
        <v>177</v>
      </c>
      <c r="AB31" s="32" t="s">
        <v>168</v>
      </c>
      <c r="AC31" s="32">
        <v>63053300</v>
      </c>
      <c r="AD31" s="32" t="s">
        <v>208</v>
      </c>
      <c r="AE31" s="32">
        <v>1</v>
      </c>
      <c r="AF31" s="32">
        <v>633</v>
      </c>
      <c r="AG31" s="32" t="s">
        <v>209</v>
      </c>
    </row>
    <row r="32" spans="1:33" x14ac:dyDescent="0.25">
      <c r="A32" s="23"/>
      <c r="B32" s="31">
        <v>46207</v>
      </c>
      <c r="C32" s="32" t="s">
        <v>654</v>
      </c>
      <c r="D32" s="32" t="s">
        <v>655</v>
      </c>
      <c r="E32" s="32" t="s">
        <v>699</v>
      </c>
      <c r="F32" s="32" t="s">
        <v>657</v>
      </c>
      <c r="G32" s="32" t="s">
        <v>700</v>
      </c>
      <c r="H32" s="31">
        <v>46207</v>
      </c>
      <c r="I32" s="32" t="s">
        <v>169</v>
      </c>
      <c r="J32" s="32" t="s">
        <v>176</v>
      </c>
      <c r="K32" s="32" t="s">
        <v>159</v>
      </c>
      <c r="L32" s="32" t="s">
        <v>159</v>
      </c>
      <c r="M32" s="32" t="s">
        <v>174</v>
      </c>
      <c r="N32" s="32">
        <v>334</v>
      </c>
      <c r="O32" s="32">
        <v>61048.52</v>
      </c>
      <c r="P32" s="32" t="s">
        <v>174</v>
      </c>
      <c r="Q32" s="32">
        <v>0</v>
      </c>
      <c r="R32" s="32">
        <v>9</v>
      </c>
      <c r="S32" s="32">
        <v>5494.37</v>
      </c>
      <c r="T32" s="32">
        <v>9</v>
      </c>
      <c r="U32" s="32">
        <v>5494.37</v>
      </c>
      <c r="V32" s="32">
        <v>0</v>
      </c>
      <c r="W32" s="32">
        <v>0</v>
      </c>
      <c r="X32" s="32">
        <v>0</v>
      </c>
      <c r="Y32" s="32">
        <v>10988.74</v>
      </c>
      <c r="Z32" s="32">
        <v>0</v>
      </c>
      <c r="AA32" s="32" t="s">
        <v>177</v>
      </c>
      <c r="AB32" s="32" t="s">
        <v>168</v>
      </c>
      <c r="AC32" s="32">
        <v>39200000</v>
      </c>
      <c r="AD32" s="32" t="s">
        <v>208</v>
      </c>
      <c r="AE32" s="32">
        <v>1</v>
      </c>
      <c r="AF32" s="32">
        <v>334</v>
      </c>
      <c r="AG32" s="32" t="s">
        <v>209</v>
      </c>
    </row>
    <row r="33" spans="1:33" x14ac:dyDescent="0.25">
      <c r="A33" s="23"/>
      <c r="B33" s="31">
        <v>46207</v>
      </c>
      <c r="C33" s="32" t="s">
        <v>654</v>
      </c>
      <c r="D33" s="32" t="s">
        <v>655</v>
      </c>
      <c r="E33" s="32" t="s">
        <v>699</v>
      </c>
      <c r="F33" s="32" t="s">
        <v>657</v>
      </c>
      <c r="G33" s="32" t="s">
        <v>700</v>
      </c>
      <c r="H33" s="31">
        <v>46207</v>
      </c>
      <c r="I33" s="32" t="s">
        <v>169</v>
      </c>
      <c r="J33" s="32" t="s">
        <v>182</v>
      </c>
      <c r="K33" s="32" t="s">
        <v>154</v>
      </c>
      <c r="L33" s="32" t="s">
        <v>154</v>
      </c>
      <c r="M33" s="32" t="s">
        <v>182</v>
      </c>
      <c r="N33" s="32">
        <v>108.2</v>
      </c>
      <c r="O33" s="32">
        <v>15850.21</v>
      </c>
      <c r="P33" s="32" t="s">
        <v>182</v>
      </c>
      <c r="Q33" s="32">
        <v>0</v>
      </c>
      <c r="R33" s="32">
        <v>9</v>
      </c>
      <c r="S33" s="32">
        <v>1426.52</v>
      </c>
      <c r="T33" s="32">
        <v>9</v>
      </c>
      <c r="U33" s="32">
        <v>1426.52</v>
      </c>
      <c r="V33" s="32">
        <v>0</v>
      </c>
      <c r="W33" s="32">
        <v>0</v>
      </c>
      <c r="X33" s="32">
        <v>0</v>
      </c>
      <c r="Y33" s="32">
        <v>2853.04</v>
      </c>
      <c r="Z33" s="32">
        <v>0</v>
      </c>
      <c r="AA33" s="32" t="s">
        <v>177</v>
      </c>
      <c r="AB33" s="32" t="s">
        <v>168</v>
      </c>
      <c r="AC33" s="32">
        <v>3926908</v>
      </c>
      <c r="AD33" s="32" t="s">
        <v>208</v>
      </c>
      <c r="AE33" s="32">
        <v>1</v>
      </c>
      <c r="AF33" s="32">
        <v>108.2</v>
      </c>
      <c r="AG33" s="32" t="s">
        <v>209</v>
      </c>
    </row>
    <row r="34" spans="1:33" x14ac:dyDescent="0.25">
      <c r="A34" s="23"/>
      <c r="B34" s="31">
        <v>46207</v>
      </c>
      <c r="C34" s="32" t="s">
        <v>654</v>
      </c>
      <c r="D34" s="32" t="s">
        <v>655</v>
      </c>
      <c r="E34" s="32" t="s">
        <v>699</v>
      </c>
      <c r="F34" s="32" t="s">
        <v>657</v>
      </c>
      <c r="G34" s="32" t="s">
        <v>700</v>
      </c>
      <c r="H34" s="31">
        <v>46207</v>
      </c>
      <c r="I34" s="32" t="s">
        <v>169</v>
      </c>
      <c r="J34" s="32" t="s">
        <v>182</v>
      </c>
      <c r="K34" s="32" t="s">
        <v>154</v>
      </c>
      <c r="L34" s="32" t="s">
        <v>154</v>
      </c>
      <c r="M34" s="32" t="s">
        <v>182</v>
      </c>
      <c r="N34" s="32">
        <v>151.19999999999999</v>
      </c>
      <c r="O34" s="32">
        <v>22602.880000000001</v>
      </c>
      <c r="P34" s="32" t="s">
        <v>182</v>
      </c>
      <c r="Q34" s="32">
        <v>0</v>
      </c>
      <c r="R34" s="32">
        <v>9</v>
      </c>
      <c r="S34" s="32">
        <v>2034.26</v>
      </c>
      <c r="T34" s="32">
        <v>9</v>
      </c>
      <c r="U34" s="32">
        <v>2034.26</v>
      </c>
      <c r="V34" s="32">
        <v>0</v>
      </c>
      <c r="W34" s="32">
        <v>0</v>
      </c>
      <c r="X34" s="32">
        <v>0</v>
      </c>
      <c r="Y34" s="32">
        <v>4068.52</v>
      </c>
      <c r="Z34" s="32">
        <v>0</v>
      </c>
      <c r="AA34" s="32" t="s">
        <v>177</v>
      </c>
      <c r="AB34" s="32" t="s">
        <v>168</v>
      </c>
      <c r="AC34" s="32">
        <v>3926908</v>
      </c>
      <c r="AD34" s="32" t="s">
        <v>208</v>
      </c>
      <c r="AE34" s="32">
        <v>1</v>
      </c>
      <c r="AF34" s="32">
        <v>151.19999999999999</v>
      </c>
      <c r="AG34" s="32" t="s">
        <v>209</v>
      </c>
    </row>
    <row r="35" spans="1:33" x14ac:dyDescent="0.25">
      <c r="A35" s="23"/>
      <c r="B35" s="31">
        <v>46207</v>
      </c>
      <c r="C35" s="32" t="s">
        <v>654</v>
      </c>
      <c r="D35" s="32" t="s">
        <v>655</v>
      </c>
      <c r="E35" s="32" t="s">
        <v>699</v>
      </c>
      <c r="F35" s="32" t="s">
        <v>657</v>
      </c>
      <c r="G35" s="32" t="s">
        <v>700</v>
      </c>
      <c r="H35" s="31">
        <v>46207</v>
      </c>
      <c r="I35" s="32" t="s">
        <v>169</v>
      </c>
      <c r="J35" s="32" t="s">
        <v>170</v>
      </c>
      <c r="K35" s="32" t="s">
        <v>157</v>
      </c>
      <c r="L35" s="32" t="s">
        <v>233</v>
      </c>
      <c r="M35" s="32" t="s">
        <v>681</v>
      </c>
      <c r="N35" s="32">
        <v>25</v>
      </c>
      <c r="O35" s="32">
        <v>4024.77</v>
      </c>
      <c r="P35" s="32" t="s">
        <v>681</v>
      </c>
      <c r="Q35" s="32">
        <v>0</v>
      </c>
      <c r="R35" s="32">
        <v>2.5</v>
      </c>
      <c r="S35" s="32">
        <v>100.62</v>
      </c>
      <c r="T35" s="32">
        <v>2.5</v>
      </c>
      <c r="U35" s="32">
        <v>100.62</v>
      </c>
      <c r="V35" s="32">
        <v>0</v>
      </c>
      <c r="W35" s="32">
        <v>0</v>
      </c>
      <c r="X35" s="32">
        <v>0</v>
      </c>
      <c r="Y35" s="32">
        <v>201.24</v>
      </c>
      <c r="Z35" s="32">
        <v>0</v>
      </c>
      <c r="AA35" s="32" t="s">
        <v>177</v>
      </c>
      <c r="AB35" s="32" t="s">
        <v>168</v>
      </c>
      <c r="AC35" s="32">
        <v>540269</v>
      </c>
      <c r="AD35" s="32" t="s">
        <v>208</v>
      </c>
      <c r="AE35" s="32">
        <v>1</v>
      </c>
      <c r="AF35" s="32">
        <v>25</v>
      </c>
      <c r="AG35" s="32" t="s">
        <v>209</v>
      </c>
    </row>
    <row r="36" spans="1:33" x14ac:dyDescent="0.25">
      <c r="A36" s="23"/>
      <c r="B36" s="31">
        <v>46207</v>
      </c>
      <c r="C36" s="32" t="s">
        <v>654</v>
      </c>
      <c r="D36" s="32" t="s">
        <v>655</v>
      </c>
      <c r="E36" s="32" t="s">
        <v>701</v>
      </c>
      <c r="F36" s="32" t="s">
        <v>657</v>
      </c>
      <c r="G36" s="32" t="s">
        <v>702</v>
      </c>
      <c r="H36" s="31">
        <v>46207</v>
      </c>
      <c r="I36" s="32" t="s">
        <v>171</v>
      </c>
      <c r="J36" s="32" t="s">
        <v>185</v>
      </c>
      <c r="K36" s="32" t="s">
        <v>166</v>
      </c>
      <c r="L36" s="32" t="s">
        <v>166</v>
      </c>
      <c r="M36" s="32" t="s">
        <v>703</v>
      </c>
      <c r="N36" s="32">
        <v>4125</v>
      </c>
      <c r="O36" s="32">
        <v>618750</v>
      </c>
      <c r="P36" s="32" t="s">
        <v>703</v>
      </c>
      <c r="Q36" s="32">
        <v>911020.66</v>
      </c>
      <c r="R36" s="32">
        <v>9</v>
      </c>
      <c r="S36" s="32">
        <v>55687.5</v>
      </c>
      <c r="T36" s="32">
        <v>9</v>
      </c>
      <c r="U36" s="32">
        <v>55687.5</v>
      </c>
      <c r="V36" s="32">
        <v>0</v>
      </c>
      <c r="W36" s="32">
        <v>0</v>
      </c>
      <c r="X36" s="32">
        <v>0</v>
      </c>
      <c r="Y36" s="32">
        <v>111375</v>
      </c>
      <c r="Z36" s="32">
        <v>0</v>
      </c>
      <c r="AA36" s="32" t="s">
        <v>177</v>
      </c>
      <c r="AB36" s="32" t="s">
        <v>168</v>
      </c>
      <c r="AC36" s="32">
        <v>39021000</v>
      </c>
      <c r="AD36" s="32" t="s">
        <v>208</v>
      </c>
      <c r="AE36" s="32">
        <v>1</v>
      </c>
      <c r="AF36" s="32">
        <v>4125</v>
      </c>
      <c r="AG36" s="32" t="s">
        <v>209</v>
      </c>
    </row>
    <row r="37" spans="1:33" x14ac:dyDescent="0.25">
      <c r="A37" s="23"/>
      <c r="B37" s="31">
        <v>46207</v>
      </c>
      <c r="C37" s="32" t="s">
        <v>654</v>
      </c>
      <c r="D37" s="32" t="s">
        <v>655</v>
      </c>
      <c r="E37" s="32" t="s">
        <v>701</v>
      </c>
      <c r="F37" s="32" t="s">
        <v>657</v>
      </c>
      <c r="G37" s="32" t="s">
        <v>702</v>
      </c>
      <c r="H37" s="31">
        <v>46207</v>
      </c>
      <c r="I37" s="32" t="s">
        <v>171</v>
      </c>
      <c r="J37" s="32" t="s">
        <v>185</v>
      </c>
      <c r="K37" s="32" t="s">
        <v>704</v>
      </c>
      <c r="L37" s="32" t="s">
        <v>705</v>
      </c>
      <c r="M37" s="32" t="s">
        <v>706</v>
      </c>
      <c r="N37" s="32">
        <v>1125</v>
      </c>
      <c r="O37" s="32">
        <v>153956.25</v>
      </c>
      <c r="P37" s="32" t="s">
        <v>706</v>
      </c>
      <c r="Q37" s="32">
        <v>0</v>
      </c>
      <c r="R37" s="32">
        <v>9</v>
      </c>
      <c r="S37" s="32">
        <v>13856.06</v>
      </c>
      <c r="T37" s="32">
        <v>9</v>
      </c>
      <c r="U37" s="32">
        <v>13856.06</v>
      </c>
      <c r="V37" s="32">
        <v>0</v>
      </c>
      <c r="W37" s="32">
        <v>0</v>
      </c>
      <c r="X37" s="32">
        <v>0</v>
      </c>
      <c r="Y37" s="32">
        <v>27712.12</v>
      </c>
      <c r="Z37" s="32">
        <v>0</v>
      </c>
      <c r="AA37" s="32" t="s">
        <v>177</v>
      </c>
      <c r="AB37" s="32" t="s">
        <v>168</v>
      </c>
      <c r="AC37" s="32">
        <v>39014010</v>
      </c>
      <c r="AD37" s="32" t="s">
        <v>208</v>
      </c>
      <c r="AE37" s="32">
        <v>1</v>
      </c>
      <c r="AF37" s="32">
        <v>1125</v>
      </c>
      <c r="AG37" s="32" t="s">
        <v>209</v>
      </c>
    </row>
    <row r="38" spans="1:33" x14ac:dyDescent="0.25">
      <c r="A38" s="23"/>
      <c r="B38" s="31">
        <v>46208</v>
      </c>
      <c r="C38" s="32" t="s">
        <v>676</v>
      </c>
      <c r="D38" s="32" t="s">
        <v>655</v>
      </c>
      <c r="E38" s="32" t="s">
        <v>707</v>
      </c>
      <c r="F38" s="32" t="s">
        <v>657</v>
      </c>
      <c r="G38" s="32" t="s">
        <v>708</v>
      </c>
      <c r="H38" s="31">
        <v>46207</v>
      </c>
      <c r="I38" s="32" t="s">
        <v>169</v>
      </c>
      <c r="J38" s="32" t="s">
        <v>170</v>
      </c>
      <c r="K38" s="32" t="s">
        <v>157</v>
      </c>
      <c r="L38" s="32" t="s">
        <v>233</v>
      </c>
      <c r="M38" s="32" t="s">
        <v>709</v>
      </c>
      <c r="N38" s="32">
        <v>3250</v>
      </c>
      <c r="O38" s="32">
        <v>491237.5</v>
      </c>
      <c r="P38" s="32" t="s">
        <v>709</v>
      </c>
      <c r="Q38" s="32">
        <v>515308.14</v>
      </c>
      <c r="R38" s="32">
        <v>2.5</v>
      </c>
      <c r="S38" s="32">
        <v>12280.94</v>
      </c>
      <c r="T38" s="32">
        <v>2.5</v>
      </c>
      <c r="U38" s="32">
        <v>12280.94</v>
      </c>
      <c r="V38" s="32">
        <v>0</v>
      </c>
      <c r="W38" s="32">
        <v>0</v>
      </c>
      <c r="X38" s="32">
        <v>0</v>
      </c>
      <c r="Y38" s="32">
        <v>24561.88</v>
      </c>
      <c r="Z38" s="32">
        <v>0</v>
      </c>
      <c r="AA38" s="32" t="s">
        <v>172</v>
      </c>
      <c r="AB38" s="32" t="s">
        <v>168</v>
      </c>
      <c r="AC38" s="32">
        <v>54026930</v>
      </c>
      <c r="AD38" s="32" t="s">
        <v>208</v>
      </c>
      <c r="AE38" s="32">
        <v>1</v>
      </c>
      <c r="AF38" s="32">
        <v>3250</v>
      </c>
      <c r="AG38" s="32" t="s">
        <v>209</v>
      </c>
    </row>
    <row r="39" spans="1:33" x14ac:dyDescent="0.25">
      <c r="A39" s="23"/>
      <c r="B39" s="31">
        <v>46208</v>
      </c>
      <c r="C39" s="32" t="s">
        <v>654</v>
      </c>
      <c r="D39" s="32" t="s">
        <v>655</v>
      </c>
      <c r="E39" s="32" t="s">
        <v>710</v>
      </c>
      <c r="F39" s="32" t="s">
        <v>657</v>
      </c>
      <c r="G39" s="32" t="s">
        <v>711</v>
      </c>
      <c r="H39" s="31">
        <v>46208</v>
      </c>
      <c r="I39" s="32" t="s">
        <v>169</v>
      </c>
      <c r="J39" s="32" t="s">
        <v>180</v>
      </c>
      <c r="K39" s="32" t="s">
        <v>155</v>
      </c>
      <c r="L39" s="32" t="s">
        <v>210</v>
      </c>
      <c r="M39" s="32" t="s">
        <v>187</v>
      </c>
      <c r="N39" s="32">
        <v>419</v>
      </c>
      <c r="O39" s="32">
        <v>60541.31</v>
      </c>
      <c r="P39" s="32" t="s">
        <v>187</v>
      </c>
      <c r="Q39" s="32">
        <v>240398.2</v>
      </c>
      <c r="R39" s="32">
        <v>9</v>
      </c>
      <c r="S39" s="32">
        <v>5448.72</v>
      </c>
      <c r="T39" s="32">
        <v>9</v>
      </c>
      <c r="U39" s="32">
        <v>5448.72</v>
      </c>
      <c r="V39" s="32">
        <v>0</v>
      </c>
      <c r="W39" s="32">
        <v>0</v>
      </c>
      <c r="X39" s="32">
        <v>0</v>
      </c>
      <c r="Y39" s="32">
        <v>10897.44</v>
      </c>
      <c r="Z39" s="32">
        <v>0</v>
      </c>
      <c r="AA39" s="32" t="s">
        <v>177</v>
      </c>
      <c r="AB39" s="32" t="s">
        <v>168</v>
      </c>
      <c r="AC39" s="32">
        <v>39269080</v>
      </c>
      <c r="AD39" s="32" t="s">
        <v>208</v>
      </c>
      <c r="AE39" s="32">
        <v>1</v>
      </c>
      <c r="AF39" s="32">
        <v>419</v>
      </c>
      <c r="AG39" s="32" t="s">
        <v>209</v>
      </c>
    </row>
    <row r="40" spans="1:33" x14ac:dyDescent="0.25">
      <c r="A40" s="23"/>
      <c r="B40" s="31">
        <v>46208</v>
      </c>
      <c r="C40" s="32" t="s">
        <v>654</v>
      </c>
      <c r="D40" s="32" t="s">
        <v>655</v>
      </c>
      <c r="E40" s="32" t="s">
        <v>710</v>
      </c>
      <c r="F40" s="32" t="s">
        <v>657</v>
      </c>
      <c r="G40" s="32" t="s">
        <v>711</v>
      </c>
      <c r="H40" s="31">
        <v>46208</v>
      </c>
      <c r="I40" s="32" t="s">
        <v>169</v>
      </c>
      <c r="J40" s="32" t="s">
        <v>180</v>
      </c>
      <c r="K40" s="32" t="s">
        <v>155</v>
      </c>
      <c r="L40" s="32" t="s">
        <v>210</v>
      </c>
      <c r="M40" s="32" t="s">
        <v>187</v>
      </c>
      <c r="N40" s="32">
        <v>667</v>
      </c>
      <c r="O40" s="32">
        <v>99709.83</v>
      </c>
      <c r="P40" s="32" t="s">
        <v>187</v>
      </c>
      <c r="Q40" s="32">
        <v>0</v>
      </c>
      <c r="R40" s="32">
        <v>9</v>
      </c>
      <c r="S40" s="32">
        <v>8973.8799999999992</v>
      </c>
      <c r="T40" s="32">
        <v>9</v>
      </c>
      <c r="U40" s="32">
        <v>8973.8799999999992</v>
      </c>
      <c r="V40" s="32">
        <v>0</v>
      </c>
      <c r="W40" s="32">
        <v>0</v>
      </c>
      <c r="X40" s="32">
        <v>0</v>
      </c>
      <c r="Y40" s="32">
        <v>17947.759999999998</v>
      </c>
      <c r="Z40" s="32">
        <v>0</v>
      </c>
      <c r="AA40" s="32" t="s">
        <v>177</v>
      </c>
      <c r="AB40" s="32" t="s">
        <v>168</v>
      </c>
      <c r="AC40" s="32">
        <v>39269080</v>
      </c>
      <c r="AD40" s="32" t="s">
        <v>208</v>
      </c>
      <c r="AE40" s="32">
        <v>1</v>
      </c>
      <c r="AF40" s="32">
        <v>667</v>
      </c>
      <c r="AG40" s="32" t="s">
        <v>209</v>
      </c>
    </row>
    <row r="41" spans="1:33" x14ac:dyDescent="0.25">
      <c r="A41" s="23"/>
      <c r="B41" s="31">
        <v>46208</v>
      </c>
      <c r="C41" s="32" t="s">
        <v>654</v>
      </c>
      <c r="D41" s="32" t="s">
        <v>655</v>
      </c>
      <c r="E41" s="32" t="s">
        <v>710</v>
      </c>
      <c r="F41" s="32" t="s">
        <v>657</v>
      </c>
      <c r="G41" s="32" t="s">
        <v>711</v>
      </c>
      <c r="H41" s="31">
        <v>46208</v>
      </c>
      <c r="I41" s="32" t="s">
        <v>169</v>
      </c>
      <c r="J41" s="32" t="s">
        <v>182</v>
      </c>
      <c r="K41" s="32" t="s">
        <v>154</v>
      </c>
      <c r="L41" s="32" t="s">
        <v>154</v>
      </c>
      <c r="M41" s="32" t="s">
        <v>182</v>
      </c>
      <c r="N41" s="32">
        <v>170.7</v>
      </c>
      <c r="O41" s="32">
        <v>25517.94</v>
      </c>
      <c r="P41" s="32" t="s">
        <v>182</v>
      </c>
      <c r="Q41" s="32">
        <v>0</v>
      </c>
      <c r="R41" s="32">
        <v>9</v>
      </c>
      <c r="S41" s="32">
        <v>2296.61</v>
      </c>
      <c r="T41" s="32">
        <v>9</v>
      </c>
      <c r="U41" s="32">
        <v>2296.61</v>
      </c>
      <c r="V41" s="32">
        <v>0</v>
      </c>
      <c r="W41" s="32">
        <v>0</v>
      </c>
      <c r="X41" s="32">
        <v>0</v>
      </c>
      <c r="Y41" s="32">
        <v>4593.22</v>
      </c>
      <c r="Z41" s="32">
        <v>0</v>
      </c>
      <c r="AA41" s="32" t="s">
        <v>177</v>
      </c>
      <c r="AB41" s="32" t="s">
        <v>168</v>
      </c>
      <c r="AC41" s="32">
        <v>3926908</v>
      </c>
      <c r="AD41" s="32" t="s">
        <v>208</v>
      </c>
      <c r="AE41" s="32">
        <v>1</v>
      </c>
      <c r="AF41" s="32">
        <v>170.7</v>
      </c>
      <c r="AG41" s="32" t="s">
        <v>209</v>
      </c>
    </row>
    <row r="42" spans="1:33" x14ac:dyDescent="0.25">
      <c r="A42" s="23"/>
      <c r="B42" s="31">
        <v>46208</v>
      </c>
      <c r="C42" s="32" t="s">
        <v>654</v>
      </c>
      <c r="D42" s="32" t="s">
        <v>655</v>
      </c>
      <c r="E42" s="32" t="s">
        <v>710</v>
      </c>
      <c r="F42" s="32" t="s">
        <v>657</v>
      </c>
      <c r="G42" s="32" t="s">
        <v>711</v>
      </c>
      <c r="H42" s="31">
        <v>46208</v>
      </c>
      <c r="I42" s="32" t="s">
        <v>169</v>
      </c>
      <c r="J42" s="32" t="s">
        <v>182</v>
      </c>
      <c r="K42" s="32" t="s">
        <v>154</v>
      </c>
      <c r="L42" s="32" t="s">
        <v>154</v>
      </c>
      <c r="M42" s="32" t="s">
        <v>182</v>
      </c>
      <c r="N42" s="32">
        <v>96</v>
      </c>
      <c r="O42" s="32">
        <v>14063.04</v>
      </c>
      <c r="P42" s="32" t="s">
        <v>182</v>
      </c>
      <c r="Q42" s="32">
        <v>0</v>
      </c>
      <c r="R42" s="32">
        <v>9</v>
      </c>
      <c r="S42" s="32">
        <v>1265.67</v>
      </c>
      <c r="T42" s="32">
        <v>9</v>
      </c>
      <c r="U42" s="32">
        <v>1265.67</v>
      </c>
      <c r="V42" s="32">
        <v>0</v>
      </c>
      <c r="W42" s="32">
        <v>0</v>
      </c>
      <c r="X42" s="32">
        <v>0</v>
      </c>
      <c r="Y42" s="32">
        <v>2531.34</v>
      </c>
      <c r="Z42" s="32">
        <v>0</v>
      </c>
      <c r="AA42" s="32" t="s">
        <v>177</v>
      </c>
      <c r="AB42" s="32" t="s">
        <v>168</v>
      </c>
      <c r="AC42" s="32">
        <v>3926908</v>
      </c>
      <c r="AD42" s="32" t="s">
        <v>208</v>
      </c>
      <c r="AE42" s="32">
        <v>1</v>
      </c>
      <c r="AF42" s="32">
        <v>96</v>
      </c>
      <c r="AG42" s="32" t="s">
        <v>209</v>
      </c>
    </row>
    <row r="43" spans="1:33" x14ac:dyDescent="0.25">
      <c r="A43" s="23"/>
      <c r="B43" s="31">
        <v>46208</v>
      </c>
      <c r="C43" s="32" t="s">
        <v>654</v>
      </c>
      <c r="D43" s="32" t="s">
        <v>655</v>
      </c>
      <c r="E43" s="32" t="s">
        <v>710</v>
      </c>
      <c r="F43" s="32" t="s">
        <v>657</v>
      </c>
      <c r="G43" s="32" t="s">
        <v>711</v>
      </c>
      <c r="H43" s="31">
        <v>46208</v>
      </c>
      <c r="I43" s="32" t="s">
        <v>169</v>
      </c>
      <c r="J43" s="32" t="s">
        <v>170</v>
      </c>
      <c r="K43" s="32" t="s">
        <v>157</v>
      </c>
      <c r="L43" s="32" t="s">
        <v>233</v>
      </c>
      <c r="M43" s="32" t="s">
        <v>681</v>
      </c>
      <c r="N43" s="32">
        <v>28.4</v>
      </c>
      <c r="O43" s="32">
        <v>4572.12</v>
      </c>
      <c r="P43" s="32" t="s">
        <v>681</v>
      </c>
      <c r="Q43" s="32">
        <v>0</v>
      </c>
      <c r="R43" s="32">
        <v>2.5</v>
      </c>
      <c r="S43" s="32">
        <v>114.3</v>
      </c>
      <c r="T43" s="32">
        <v>2.5</v>
      </c>
      <c r="U43" s="32">
        <v>114.3</v>
      </c>
      <c r="V43" s="32">
        <v>0</v>
      </c>
      <c r="W43" s="32">
        <v>0</v>
      </c>
      <c r="X43" s="32">
        <v>0</v>
      </c>
      <c r="Y43" s="32">
        <v>228.6</v>
      </c>
      <c r="Z43" s="32">
        <v>0</v>
      </c>
      <c r="AA43" s="32" t="s">
        <v>177</v>
      </c>
      <c r="AB43" s="32" t="s">
        <v>168</v>
      </c>
      <c r="AC43" s="32">
        <v>540269</v>
      </c>
      <c r="AD43" s="32" t="s">
        <v>208</v>
      </c>
      <c r="AE43" s="32">
        <v>1</v>
      </c>
      <c r="AF43" s="32">
        <v>28.4</v>
      </c>
      <c r="AG43" s="32" t="s">
        <v>209</v>
      </c>
    </row>
    <row r="44" spans="1:33" x14ac:dyDescent="0.25">
      <c r="A44" s="23"/>
      <c r="B44" s="31">
        <v>46208</v>
      </c>
      <c r="C44" s="32" t="s">
        <v>654</v>
      </c>
      <c r="D44" s="32" t="s">
        <v>655</v>
      </c>
      <c r="E44" s="32" t="s">
        <v>712</v>
      </c>
      <c r="F44" s="32" t="s">
        <v>657</v>
      </c>
      <c r="G44" s="32" t="s">
        <v>713</v>
      </c>
      <c r="H44" s="31">
        <v>46208</v>
      </c>
      <c r="I44" s="32" t="s">
        <v>192</v>
      </c>
      <c r="J44" s="32" t="s">
        <v>153</v>
      </c>
      <c r="K44" s="32" t="s">
        <v>153</v>
      </c>
      <c r="L44" s="32" t="s">
        <v>218</v>
      </c>
      <c r="M44" s="32" t="s">
        <v>153</v>
      </c>
      <c r="N44" s="32">
        <v>243</v>
      </c>
      <c r="O44" s="32">
        <v>35111.07</v>
      </c>
      <c r="P44" s="32" t="s">
        <v>153</v>
      </c>
      <c r="Q44" s="32">
        <v>70867.149999999994</v>
      </c>
      <c r="R44" s="32">
        <v>9</v>
      </c>
      <c r="S44" s="32">
        <v>3160</v>
      </c>
      <c r="T44" s="32">
        <v>9</v>
      </c>
      <c r="U44" s="32">
        <v>3160</v>
      </c>
      <c r="V44" s="32">
        <v>0</v>
      </c>
      <c r="W44" s="32">
        <v>0</v>
      </c>
      <c r="X44" s="32">
        <v>0</v>
      </c>
      <c r="Y44" s="32">
        <v>6320</v>
      </c>
      <c r="Z44" s="32">
        <v>0</v>
      </c>
      <c r="AA44" s="32" t="s">
        <v>177</v>
      </c>
      <c r="AB44" s="32" t="s">
        <v>168</v>
      </c>
      <c r="AC44" s="32">
        <v>39269080</v>
      </c>
      <c r="AD44" s="32" t="s">
        <v>208</v>
      </c>
      <c r="AE44" s="32">
        <v>1</v>
      </c>
      <c r="AF44" s="32">
        <v>243</v>
      </c>
      <c r="AG44" s="32" t="s">
        <v>209</v>
      </c>
    </row>
    <row r="45" spans="1:33" x14ac:dyDescent="0.25">
      <c r="A45" s="23"/>
      <c r="B45" s="31">
        <v>46208</v>
      </c>
      <c r="C45" s="32" t="s">
        <v>654</v>
      </c>
      <c r="D45" s="32" t="s">
        <v>655</v>
      </c>
      <c r="E45" s="32" t="s">
        <v>712</v>
      </c>
      <c r="F45" s="32" t="s">
        <v>657</v>
      </c>
      <c r="G45" s="32" t="s">
        <v>713</v>
      </c>
      <c r="H45" s="31">
        <v>46208</v>
      </c>
      <c r="I45" s="32" t="s">
        <v>169</v>
      </c>
      <c r="J45" s="32" t="s">
        <v>180</v>
      </c>
      <c r="K45" s="32" t="s">
        <v>156</v>
      </c>
      <c r="L45" s="32" t="s">
        <v>218</v>
      </c>
      <c r="M45" s="32" t="s">
        <v>179</v>
      </c>
      <c r="N45" s="32">
        <v>173</v>
      </c>
      <c r="O45" s="32">
        <v>24996.77</v>
      </c>
      <c r="P45" s="32" t="s">
        <v>179</v>
      </c>
      <c r="Q45" s="32">
        <v>0</v>
      </c>
      <c r="R45" s="32">
        <v>9</v>
      </c>
      <c r="S45" s="32">
        <v>2249.71</v>
      </c>
      <c r="T45" s="32">
        <v>9</v>
      </c>
      <c r="U45" s="32">
        <v>2249.71</v>
      </c>
      <c r="V45" s="32">
        <v>0</v>
      </c>
      <c r="W45" s="32">
        <v>0</v>
      </c>
      <c r="X45" s="32">
        <v>0</v>
      </c>
      <c r="Y45" s="32">
        <v>4499.42</v>
      </c>
      <c r="Z45" s="32">
        <v>0</v>
      </c>
      <c r="AA45" s="32" t="s">
        <v>177</v>
      </c>
      <c r="AB45" s="32" t="s">
        <v>168</v>
      </c>
      <c r="AC45" s="32">
        <v>63053300</v>
      </c>
      <c r="AD45" s="32" t="s">
        <v>208</v>
      </c>
      <c r="AE45" s="32">
        <v>1</v>
      </c>
      <c r="AF45" s="32">
        <v>173</v>
      </c>
      <c r="AG45" s="32" t="s">
        <v>209</v>
      </c>
    </row>
    <row r="46" spans="1:33" x14ac:dyDescent="0.25">
      <c r="A46" s="23"/>
      <c r="B46" s="31">
        <v>46208</v>
      </c>
      <c r="C46" s="32" t="s">
        <v>654</v>
      </c>
      <c r="D46" s="32" t="s">
        <v>655</v>
      </c>
      <c r="E46" s="32" t="s">
        <v>714</v>
      </c>
      <c r="F46" s="32" t="s">
        <v>657</v>
      </c>
      <c r="G46" s="32" t="s">
        <v>715</v>
      </c>
      <c r="H46" s="31">
        <v>46208</v>
      </c>
      <c r="I46" s="32" t="s">
        <v>169</v>
      </c>
      <c r="J46" s="32" t="s">
        <v>182</v>
      </c>
      <c r="K46" s="32" t="s">
        <v>154</v>
      </c>
      <c r="L46" s="32" t="s">
        <v>154</v>
      </c>
      <c r="M46" s="32" t="s">
        <v>182</v>
      </c>
      <c r="N46" s="32">
        <v>28.4</v>
      </c>
      <c r="O46" s="32">
        <v>4245.5200000000004</v>
      </c>
      <c r="P46" s="32" t="s">
        <v>182</v>
      </c>
      <c r="Q46" s="32">
        <v>5005.47</v>
      </c>
      <c r="R46" s="32">
        <v>9</v>
      </c>
      <c r="S46" s="32">
        <v>382.1</v>
      </c>
      <c r="T46" s="32">
        <v>9</v>
      </c>
      <c r="U46" s="32">
        <v>382.1</v>
      </c>
      <c r="V46" s="32">
        <v>0</v>
      </c>
      <c r="W46" s="32">
        <v>0</v>
      </c>
      <c r="X46" s="32">
        <v>0</v>
      </c>
      <c r="Y46" s="32">
        <v>764.2</v>
      </c>
      <c r="Z46" s="32">
        <v>0</v>
      </c>
      <c r="AA46" s="32" t="s">
        <v>177</v>
      </c>
      <c r="AB46" s="32" t="s">
        <v>168</v>
      </c>
      <c r="AC46" s="32">
        <v>3926908</v>
      </c>
      <c r="AD46" s="32" t="s">
        <v>208</v>
      </c>
      <c r="AE46" s="32">
        <v>1</v>
      </c>
      <c r="AF46" s="32">
        <v>28.4</v>
      </c>
      <c r="AG46" s="32" t="s">
        <v>209</v>
      </c>
    </row>
    <row r="47" spans="1:33" x14ac:dyDescent="0.25">
      <c r="A47" s="23"/>
      <c r="B47" s="31">
        <v>46209</v>
      </c>
      <c r="C47" s="32" t="s">
        <v>665</v>
      </c>
      <c r="D47" s="32" t="s">
        <v>655</v>
      </c>
      <c r="E47" s="32" t="s">
        <v>716</v>
      </c>
      <c r="F47" s="32" t="s">
        <v>657</v>
      </c>
      <c r="G47" s="32" t="s">
        <v>717</v>
      </c>
      <c r="H47" s="31">
        <v>46208</v>
      </c>
      <c r="I47" s="32" t="s">
        <v>169</v>
      </c>
      <c r="J47" s="32" t="s">
        <v>180</v>
      </c>
      <c r="K47" s="32" t="s">
        <v>155</v>
      </c>
      <c r="L47" s="32" t="s">
        <v>210</v>
      </c>
      <c r="M47" s="32" t="s">
        <v>187</v>
      </c>
      <c r="N47" s="32">
        <v>226</v>
      </c>
      <c r="O47" s="32">
        <v>37267.4</v>
      </c>
      <c r="P47" s="32" t="s">
        <v>187</v>
      </c>
      <c r="Q47" s="32">
        <v>672315.56</v>
      </c>
      <c r="R47" s="32">
        <v>9</v>
      </c>
      <c r="S47" s="32">
        <v>3354.07</v>
      </c>
      <c r="T47" s="32">
        <v>9</v>
      </c>
      <c r="U47" s="32">
        <v>3354.07</v>
      </c>
      <c r="V47" s="32">
        <v>0</v>
      </c>
      <c r="W47" s="32">
        <v>0</v>
      </c>
      <c r="X47" s="32">
        <v>0</v>
      </c>
      <c r="Y47" s="32">
        <v>6708.14</v>
      </c>
      <c r="Z47" s="32">
        <v>0</v>
      </c>
      <c r="AA47" s="32" t="s">
        <v>189</v>
      </c>
      <c r="AB47" s="32" t="s">
        <v>168</v>
      </c>
      <c r="AC47" s="32">
        <v>39269080</v>
      </c>
      <c r="AD47" s="32" t="s">
        <v>208</v>
      </c>
      <c r="AE47" s="32">
        <v>1</v>
      </c>
      <c r="AF47" s="32">
        <v>226</v>
      </c>
      <c r="AG47" s="32" t="s">
        <v>209</v>
      </c>
    </row>
    <row r="48" spans="1:33" x14ac:dyDescent="0.25">
      <c r="A48" s="23"/>
      <c r="B48" s="31">
        <v>46209</v>
      </c>
      <c r="C48" s="32" t="s">
        <v>665</v>
      </c>
      <c r="D48" s="32" t="s">
        <v>655</v>
      </c>
      <c r="E48" s="32" t="s">
        <v>716</v>
      </c>
      <c r="F48" s="32" t="s">
        <v>657</v>
      </c>
      <c r="G48" s="32" t="s">
        <v>717</v>
      </c>
      <c r="H48" s="31">
        <v>46208</v>
      </c>
      <c r="I48" s="32" t="s">
        <v>169</v>
      </c>
      <c r="J48" s="32" t="s">
        <v>180</v>
      </c>
      <c r="K48" s="32" t="s">
        <v>155</v>
      </c>
      <c r="L48" s="32" t="s">
        <v>210</v>
      </c>
      <c r="M48" s="32" t="s">
        <v>187</v>
      </c>
      <c r="N48" s="32">
        <v>3292</v>
      </c>
      <c r="O48" s="32">
        <v>532974.80000000005</v>
      </c>
      <c r="P48" s="32" t="s">
        <v>187</v>
      </c>
      <c r="Q48" s="32">
        <v>0</v>
      </c>
      <c r="R48" s="32">
        <v>9</v>
      </c>
      <c r="S48" s="32">
        <v>47967.73</v>
      </c>
      <c r="T48" s="32">
        <v>9</v>
      </c>
      <c r="U48" s="32">
        <v>47967.73</v>
      </c>
      <c r="V48" s="32">
        <v>0</v>
      </c>
      <c r="W48" s="32">
        <v>0</v>
      </c>
      <c r="X48" s="32">
        <v>0</v>
      </c>
      <c r="Y48" s="32">
        <v>95935.46</v>
      </c>
      <c r="Z48" s="32">
        <v>0</v>
      </c>
      <c r="AA48" s="32" t="s">
        <v>189</v>
      </c>
      <c r="AB48" s="32" t="s">
        <v>168</v>
      </c>
      <c r="AC48" s="32">
        <v>39269080</v>
      </c>
      <c r="AD48" s="32" t="s">
        <v>208</v>
      </c>
      <c r="AE48" s="32">
        <v>1</v>
      </c>
      <c r="AF48" s="32">
        <v>3292</v>
      </c>
      <c r="AG48" s="32" t="s">
        <v>209</v>
      </c>
    </row>
    <row r="49" spans="1:33" x14ac:dyDescent="0.25">
      <c r="A49" s="23"/>
      <c r="B49" s="31">
        <v>46209</v>
      </c>
      <c r="C49" s="32" t="s">
        <v>654</v>
      </c>
      <c r="D49" s="32" t="s">
        <v>655</v>
      </c>
      <c r="E49" s="32" t="s">
        <v>718</v>
      </c>
      <c r="F49" s="32" t="s">
        <v>657</v>
      </c>
      <c r="G49" s="32" t="s">
        <v>719</v>
      </c>
      <c r="H49" s="31">
        <v>46209</v>
      </c>
      <c r="I49" s="32" t="s">
        <v>169</v>
      </c>
      <c r="J49" s="32" t="s">
        <v>180</v>
      </c>
      <c r="K49" s="32" t="s">
        <v>155</v>
      </c>
      <c r="L49" s="32" t="s">
        <v>210</v>
      </c>
      <c r="M49" s="32" t="s">
        <v>187</v>
      </c>
      <c r="N49" s="32">
        <v>385</v>
      </c>
      <c r="O49" s="32">
        <v>55628.65</v>
      </c>
      <c r="P49" s="32" t="s">
        <v>187</v>
      </c>
      <c r="Q49" s="32">
        <v>323469.89</v>
      </c>
      <c r="R49" s="32">
        <v>9</v>
      </c>
      <c r="S49" s="32">
        <v>5006.58</v>
      </c>
      <c r="T49" s="32">
        <v>9</v>
      </c>
      <c r="U49" s="32">
        <v>5006.58</v>
      </c>
      <c r="V49" s="32">
        <v>0</v>
      </c>
      <c r="W49" s="32">
        <v>0</v>
      </c>
      <c r="X49" s="32">
        <v>0</v>
      </c>
      <c r="Y49" s="32">
        <v>10013.16</v>
      </c>
      <c r="Z49" s="32">
        <v>0</v>
      </c>
      <c r="AA49" s="32" t="s">
        <v>177</v>
      </c>
      <c r="AB49" s="32" t="s">
        <v>168</v>
      </c>
      <c r="AC49" s="32">
        <v>39269080</v>
      </c>
      <c r="AD49" s="32" t="s">
        <v>208</v>
      </c>
      <c r="AE49" s="32">
        <v>1</v>
      </c>
      <c r="AF49" s="32">
        <v>385</v>
      </c>
      <c r="AG49" s="32" t="s">
        <v>209</v>
      </c>
    </row>
    <row r="50" spans="1:33" x14ac:dyDescent="0.25">
      <c r="A50" s="23"/>
      <c r="B50" s="31">
        <v>46209</v>
      </c>
      <c r="C50" s="32" t="s">
        <v>654</v>
      </c>
      <c r="D50" s="32" t="s">
        <v>655</v>
      </c>
      <c r="E50" s="32" t="s">
        <v>718</v>
      </c>
      <c r="F50" s="32" t="s">
        <v>657</v>
      </c>
      <c r="G50" s="32" t="s">
        <v>719</v>
      </c>
      <c r="H50" s="31">
        <v>46209</v>
      </c>
      <c r="I50" s="32" t="s">
        <v>169</v>
      </c>
      <c r="J50" s="32" t="s">
        <v>180</v>
      </c>
      <c r="K50" s="32" t="s">
        <v>155</v>
      </c>
      <c r="L50" s="32" t="s">
        <v>210</v>
      </c>
      <c r="M50" s="32" t="s">
        <v>187</v>
      </c>
      <c r="N50" s="32">
        <v>870</v>
      </c>
      <c r="O50" s="32">
        <v>130056.3</v>
      </c>
      <c r="P50" s="32" t="s">
        <v>187</v>
      </c>
      <c r="Q50" s="32">
        <v>0</v>
      </c>
      <c r="R50" s="32">
        <v>9</v>
      </c>
      <c r="S50" s="32">
        <v>11705.07</v>
      </c>
      <c r="T50" s="32">
        <v>9</v>
      </c>
      <c r="U50" s="32">
        <v>11705.07</v>
      </c>
      <c r="V50" s="32">
        <v>0</v>
      </c>
      <c r="W50" s="32">
        <v>0</v>
      </c>
      <c r="X50" s="32">
        <v>0</v>
      </c>
      <c r="Y50" s="32">
        <v>23410.14</v>
      </c>
      <c r="Z50" s="32">
        <v>0</v>
      </c>
      <c r="AA50" s="32" t="s">
        <v>177</v>
      </c>
      <c r="AB50" s="32" t="s">
        <v>168</v>
      </c>
      <c r="AC50" s="32">
        <v>39269080</v>
      </c>
      <c r="AD50" s="32" t="s">
        <v>208</v>
      </c>
      <c r="AE50" s="32">
        <v>1</v>
      </c>
      <c r="AF50" s="32">
        <v>870</v>
      </c>
      <c r="AG50" s="32" t="s">
        <v>209</v>
      </c>
    </row>
    <row r="51" spans="1:33" x14ac:dyDescent="0.25">
      <c r="A51" s="23"/>
      <c r="B51" s="31">
        <v>46209</v>
      </c>
      <c r="C51" s="32" t="s">
        <v>654</v>
      </c>
      <c r="D51" s="32" t="s">
        <v>655</v>
      </c>
      <c r="E51" s="32" t="s">
        <v>718</v>
      </c>
      <c r="F51" s="32" t="s">
        <v>657</v>
      </c>
      <c r="G51" s="32" t="s">
        <v>719</v>
      </c>
      <c r="H51" s="31">
        <v>46209</v>
      </c>
      <c r="I51" s="32" t="s">
        <v>169</v>
      </c>
      <c r="J51" s="32" t="s">
        <v>180</v>
      </c>
      <c r="K51" s="32" t="s">
        <v>156</v>
      </c>
      <c r="L51" s="32" t="s">
        <v>218</v>
      </c>
      <c r="M51" s="32" t="s">
        <v>179</v>
      </c>
      <c r="N51" s="32">
        <v>141</v>
      </c>
      <c r="O51" s="32">
        <v>20937.09</v>
      </c>
      <c r="P51" s="32" t="s">
        <v>179</v>
      </c>
      <c r="Q51" s="32">
        <v>0</v>
      </c>
      <c r="R51" s="32">
        <v>9</v>
      </c>
      <c r="S51" s="32">
        <v>1884.34</v>
      </c>
      <c r="T51" s="32">
        <v>9</v>
      </c>
      <c r="U51" s="32">
        <v>1884.34</v>
      </c>
      <c r="V51" s="32">
        <v>0</v>
      </c>
      <c r="W51" s="32">
        <v>0</v>
      </c>
      <c r="X51" s="32">
        <v>0</v>
      </c>
      <c r="Y51" s="32">
        <v>3768.68</v>
      </c>
      <c r="Z51" s="32">
        <v>0</v>
      </c>
      <c r="AA51" s="32" t="s">
        <v>177</v>
      </c>
      <c r="AB51" s="32" t="s">
        <v>168</v>
      </c>
      <c r="AC51" s="32">
        <v>63053300</v>
      </c>
      <c r="AD51" s="32" t="s">
        <v>208</v>
      </c>
      <c r="AE51" s="32">
        <v>1</v>
      </c>
      <c r="AF51" s="32">
        <v>141</v>
      </c>
      <c r="AG51" s="32" t="s">
        <v>209</v>
      </c>
    </row>
    <row r="52" spans="1:33" x14ac:dyDescent="0.25">
      <c r="A52" s="23"/>
      <c r="B52" s="31">
        <v>46209</v>
      </c>
      <c r="C52" s="32" t="s">
        <v>654</v>
      </c>
      <c r="D52" s="32" t="s">
        <v>655</v>
      </c>
      <c r="E52" s="32" t="s">
        <v>718</v>
      </c>
      <c r="F52" s="32" t="s">
        <v>657</v>
      </c>
      <c r="G52" s="32" t="s">
        <v>719</v>
      </c>
      <c r="H52" s="31">
        <v>46209</v>
      </c>
      <c r="I52" s="32" t="s">
        <v>169</v>
      </c>
      <c r="J52" s="32" t="s">
        <v>180</v>
      </c>
      <c r="K52" s="32" t="s">
        <v>156</v>
      </c>
      <c r="L52" s="32" t="s">
        <v>218</v>
      </c>
      <c r="M52" s="32" t="s">
        <v>720</v>
      </c>
      <c r="N52" s="32">
        <v>305</v>
      </c>
      <c r="O52" s="32">
        <v>45289.45</v>
      </c>
      <c r="P52" s="32" t="s">
        <v>720</v>
      </c>
      <c r="Q52" s="32">
        <v>0</v>
      </c>
      <c r="R52" s="32">
        <v>9</v>
      </c>
      <c r="S52" s="32">
        <v>4076.05</v>
      </c>
      <c r="T52" s="32">
        <v>9</v>
      </c>
      <c r="U52" s="32">
        <v>4076.05</v>
      </c>
      <c r="V52" s="32">
        <v>0</v>
      </c>
      <c r="W52" s="32">
        <v>0</v>
      </c>
      <c r="X52" s="32">
        <v>0</v>
      </c>
      <c r="Y52" s="32">
        <v>8152.1</v>
      </c>
      <c r="Z52" s="32">
        <v>0</v>
      </c>
      <c r="AA52" s="32" t="s">
        <v>177</v>
      </c>
      <c r="AB52" s="32" t="s">
        <v>168</v>
      </c>
      <c r="AC52" s="32">
        <v>392690</v>
      </c>
      <c r="AD52" s="32" t="s">
        <v>208</v>
      </c>
      <c r="AE52" s="32">
        <v>1</v>
      </c>
      <c r="AF52" s="32">
        <v>305</v>
      </c>
      <c r="AG52" s="32" t="s">
        <v>209</v>
      </c>
    </row>
    <row r="53" spans="1:33" x14ac:dyDescent="0.25">
      <c r="A53" s="23"/>
      <c r="B53" s="31">
        <v>46209</v>
      </c>
      <c r="C53" s="32" t="s">
        <v>654</v>
      </c>
      <c r="D53" s="32" t="s">
        <v>655</v>
      </c>
      <c r="E53" s="32" t="s">
        <v>718</v>
      </c>
      <c r="F53" s="32" t="s">
        <v>657</v>
      </c>
      <c r="G53" s="32" t="s">
        <v>719</v>
      </c>
      <c r="H53" s="31">
        <v>46209</v>
      </c>
      <c r="I53" s="32" t="s">
        <v>169</v>
      </c>
      <c r="J53" s="32" t="s">
        <v>182</v>
      </c>
      <c r="K53" s="32" t="s">
        <v>154</v>
      </c>
      <c r="L53" s="32" t="s">
        <v>154</v>
      </c>
      <c r="M53" s="32" t="s">
        <v>182</v>
      </c>
      <c r="N53" s="32">
        <v>97.7</v>
      </c>
      <c r="O53" s="32">
        <v>14605.17</v>
      </c>
      <c r="P53" s="32" t="s">
        <v>182</v>
      </c>
      <c r="Q53" s="32">
        <v>0</v>
      </c>
      <c r="R53" s="32">
        <v>9</v>
      </c>
      <c r="S53" s="32">
        <v>1314.47</v>
      </c>
      <c r="T53" s="32">
        <v>9</v>
      </c>
      <c r="U53" s="32">
        <v>1314.47</v>
      </c>
      <c r="V53" s="32">
        <v>0</v>
      </c>
      <c r="W53" s="32">
        <v>0</v>
      </c>
      <c r="X53" s="32">
        <v>0</v>
      </c>
      <c r="Y53" s="32">
        <v>2628.94</v>
      </c>
      <c r="Z53" s="32">
        <v>0</v>
      </c>
      <c r="AA53" s="32" t="s">
        <v>177</v>
      </c>
      <c r="AB53" s="32" t="s">
        <v>168</v>
      </c>
      <c r="AC53" s="32">
        <v>3926908</v>
      </c>
      <c r="AD53" s="32" t="s">
        <v>208</v>
      </c>
      <c r="AE53" s="32">
        <v>1</v>
      </c>
      <c r="AF53" s="32">
        <v>97.7</v>
      </c>
      <c r="AG53" s="32" t="s">
        <v>209</v>
      </c>
    </row>
    <row r="54" spans="1:33" x14ac:dyDescent="0.25">
      <c r="A54" s="23"/>
      <c r="B54" s="31">
        <v>46209</v>
      </c>
      <c r="C54" s="32" t="s">
        <v>654</v>
      </c>
      <c r="D54" s="32" t="s">
        <v>655</v>
      </c>
      <c r="E54" s="32" t="s">
        <v>718</v>
      </c>
      <c r="F54" s="32" t="s">
        <v>657</v>
      </c>
      <c r="G54" s="32" t="s">
        <v>719</v>
      </c>
      <c r="H54" s="31">
        <v>46209</v>
      </c>
      <c r="I54" s="32" t="s">
        <v>169</v>
      </c>
      <c r="J54" s="32" t="s">
        <v>182</v>
      </c>
      <c r="K54" s="32" t="s">
        <v>154</v>
      </c>
      <c r="L54" s="32" t="s">
        <v>154</v>
      </c>
      <c r="M54" s="32" t="s">
        <v>182</v>
      </c>
      <c r="N54" s="32">
        <v>28.8</v>
      </c>
      <c r="O54" s="32">
        <v>4218.91</v>
      </c>
      <c r="P54" s="32" t="s">
        <v>182</v>
      </c>
      <c r="Q54" s="32">
        <v>0</v>
      </c>
      <c r="R54" s="32">
        <v>9</v>
      </c>
      <c r="S54" s="32">
        <v>379.7</v>
      </c>
      <c r="T54" s="32">
        <v>9</v>
      </c>
      <c r="U54" s="32">
        <v>379.7</v>
      </c>
      <c r="V54" s="32">
        <v>0</v>
      </c>
      <c r="W54" s="32">
        <v>0</v>
      </c>
      <c r="X54" s="32">
        <v>0</v>
      </c>
      <c r="Y54" s="32">
        <v>759.4</v>
      </c>
      <c r="Z54" s="32">
        <v>0</v>
      </c>
      <c r="AA54" s="32" t="s">
        <v>177</v>
      </c>
      <c r="AB54" s="32" t="s">
        <v>168</v>
      </c>
      <c r="AC54" s="32">
        <v>3926908</v>
      </c>
      <c r="AD54" s="32" t="s">
        <v>208</v>
      </c>
      <c r="AE54" s="32">
        <v>1</v>
      </c>
      <c r="AF54" s="32">
        <v>28.8</v>
      </c>
      <c r="AG54" s="32" t="s">
        <v>209</v>
      </c>
    </row>
    <row r="55" spans="1:33" x14ac:dyDescent="0.25">
      <c r="A55" s="23"/>
      <c r="B55" s="31">
        <v>46209</v>
      </c>
      <c r="C55" s="32" t="s">
        <v>654</v>
      </c>
      <c r="D55" s="32" t="s">
        <v>655</v>
      </c>
      <c r="E55" s="32" t="s">
        <v>718</v>
      </c>
      <c r="F55" s="32" t="s">
        <v>657</v>
      </c>
      <c r="G55" s="32" t="s">
        <v>719</v>
      </c>
      <c r="H55" s="31">
        <v>46209</v>
      </c>
      <c r="I55" s="32" t="s">
        <v>169</v>
      </c>
      <c r="J55" s="32" t="s">
        <v>170</v>
      </c>
      <c r="K55" s="32" t="s">
        <v>157</v>
      </c>
      <c r="L55" s="32" t="s">
        <v>233</v>
      </c>
      <c r="M55" s="32" t="s">
        <v>681</v>
      </c>
      <c r="N55" s="32">
        <v>25.3</v>
      </c>
      <c r="O55" s="32">
        <v>4073.05</v>
      </c>
      <c r="P55" s="32" t="s">
        <v>681</v>
      </c>
      <c r="Q55" s="32">
        <v>0</v>
      </c>
      <c r="R55" s="32">
        <v>2.5</v>
      </c>
      <c r="S55" s="32">
        <v>101.83</v>
      </c>
      <c r="T55" s="32">
        <v>2.5</v>
      </c>
      <c r="U55" s="32">
        <v>101.83</v>
      </c>
      <c r="V55" s="32">
        <v>0</v>
      </c>
      <c r="W55" s="32">
        <v>0</v>
      </c>
      <c r="X55" s="32">
        <v>0</v>
      </c>
      <c r="Y55" s="32">
        <v>203.66</v>
      </c>
      <c r="Z55" s="32">
        <v>0</v>
      </c>
      <c r="AA55" s="32" t="s">
        <v>177</v>
      </c>
      <c r="AB55" s="32" t="s">
        <v>168</v>
      </c>
      <c r="AC55" s="32">
        <v>540269</v>
      </c>
      <c r="AD55" s="32" t="s">
        <v>208</v>
      </c>
      <c r="AE55" s="32">
        <v>1</v>
      </c>
      <c r="AF55" s="32">
        <v>25.3</v>
      </c>
      <c r="AG55" s="32" t="s">
        <v>209</v>
      </c>
    </row>
    <row r="56" spans="1:33" x14ac:dyDescent="0.25">
      <c r="A56" s="23"/>
      <c r="B56" s="31">
        <v>46209</v>
      </c>
      <c r="C56" s="32" t="s">
        <v>654</v>
      </c>
      <c r="D56" s="32" t="s">
        <v>655</v>
      </c>
      <c r="E56" s="32" t="s">
        <v>721</v>
      </c>
      <c r="F56" s="32" t="s">
        <v>657</v>
      </c>
      <c r="G56" s="32" t="s">
        <v>722</v>
      </c>
      <c r="H56" s="31">
        <v>46209</v>
      </c>
      <c r="I56" s="32" t="s">
        <v>169</v>
      </c>
      <c r="J56" s="32" t="s">
        <v>180</v>
      </c>
      <c r="K56" s="32" t="s">
        <v>156</v>
      </c>
      <c r="L56" s="32" t="s">
        <v>218</v>
      </c>
      <c r="M56" s="32" t="s">
        <v>720</v>
      </c>
      <c r="N56" s="32">
        <v>542</v>
      </c>
      <c r="O56" s="32">
        <v>80481.58</v>
      </c>
      <c r="P56" s="32" t="s">
        <v>720</v>
      </c>
      <c r="Q56" s="32">
        <v>94887.78</v>
      </c>
      <c r="R56" s="32">
        <v>9</v>
      </c>
      <c r="S56" s="32">
        <v>7243.34</v>
      </c>
      <c r="T56" s="32">
        <v>9</v>
      </c>
      <c r="U56" s="32">
        <v>7243.34</v>
      </c>
      <c r="V56" s="32">
        <v>0</v>
      </c>
      <c r="W56" s="32">
        <v>0</v>
      </c>
      <c r="X56" s="32">
        <v>0</v>
      </c>
      <c r="Y56" s="32">
        <v>14486.68</v>
      </c>
      <c r="Z56" s="32">
        <v>0</v>
      </c>
      <c r="AA56" s="32" t="s">
        <v>177</v>
      </c>
      <c r="AB56" s="32" t="s">
        <v>168</v>
      </c>
      <c r="AC56" s="32">
        <v>392690</v>
      </c>
      <c r="AD56" s="32" t="s">
        <v>208</v>
      </c>
      <c r="AE56" s="32">
        <v>1</v>
      </c>
      <c r="AF56" s="32">
        <v>542</v>
      </c>
      <c r="AG56" s="32" t="s">
        <v>209</v>
      </c>
    </row>
    <row r="57" spans="1:33" x14ac:dyDescent="0.25">
      <c r="A57" s="23"/>
      <c r="B57" s="31">
        <v>46209</v>
      </c>
      <c r="C57" s="32" t="s">
        <v>654</v>
      </c>
      <c r="D57" s="32" t="s">
        <v>655</v>
      </c>
      <c r="E57" s="32" t="s">
        <v>723</v>
      </c>
      <c r="F57" s="32" t="s">
        <v>657</v>
      </c>
      <c r="G57" s="32" t="s">
        <v>724</v>
      </c>
      <c r="H57" s="31">
        <v>46209</v>
      </c>
      <c r="I57" s="32" t="s">
        <v>169</v>
      </c>
      <c r="J57" s="32" t="s">
        <v>170</v>
      </c>
      <c r="K57" s="32" t="s">
        <v>157</v>
      </c>
      <c r="L57" s="32" t="s">
        <v>233</v>
      </c>
      <c r="M57" s="32" t="s">
        <v>684</v>
      </c>
      <c r="N57" s="32">
        <v>418.3</v>
      </c>
      <c r="O57" s="32">
        <v>65459.77</v>
      </c>
      <c r="P57" s="32" t="s">
        <v>684</v>
      </c>
      <c r="Q57" s="32">
        <v>68667.289999999994</v>
      </c>
      <c r="R57" s="32">
        <v>2.5</v>
      </c>
      <c r="S57" s="32">
        <v>1636.49</v>
      </c>
      <c r="T57" s="32">
        <v>2.5</v>
      </c>
      <c r="U57" s="32">
        <v>1636.49</v>
      </c>
      <c r="V57" s="32">
        <v>0</v>
      </c>
      <c r="W57" s="32">
        <v>0</v>
      </c>
      <c r="X57" s="32">
        <v>0</v>
      </c>
      <c r="Y57" s="32">
        <v>3272.98</v>
      </c>
      <c r="Z57" s="32">
        <v>0</v>
      </c>
      <c r="AA57" s="32" t="s">
        <v>177</v>
      </c>
      <c r="AB57" s="32" t="s">
        <v>188</v>
      </c>
      <c r="AC57" s="32">
        <v>54026930</v>
      </c>
      <c r="AD57" s="32" t="s">
        <v>208</v>
      </c>
      <c r="AE57" s="32">
        <v>1</v>
      </c>
      <c r="AF57" s="32">
        <v>418.3</v>
      </c>
      <c r="AG57" s="32" t="s">
        <v>209</v>
      </c>
    </row>
    <row r="58" spans="1:33" x14ac:dyDescent="0.25">
      <c r="A58" s="23"/>
      <c r="B58" s="31">
        <v>46210</v>
      </c>
      <c r="C58" s="32" t="s">
        <v>676</v>
      </c>
      <c r="D58" s="32" t="s">
        <v>655</v>
      </c>
      <c r="E58" s="32" t="s">
        <v>725</v>
      </c>
      <c r="F58" s="32" t="s">
        <v>657</v>
      </c>
      <c r="G58" s="32" t="s">
        <v>726</v>
      </c>
      <c r="H58" s="31">
        <v>46209</v>
      </c>
      <c r="I58" s="32" t="s">
        <v>192</v>
      </c>
      <c r="J58" s="32" t="s">
        <v>152</v>
      </c>
      <c r="K58" s="32" t="s">
        <v>152</v>
      </c>
      <c r="L58" s="32" t="s">
        <v>207</v>
      </c>
      <c r="M58" s="32" t="s">
        <v>191</v>
      </c>
      <c r="N58" s="32">
        <v>19278.400000000001</v>
      </c>
      <c r="O58" s="32">
        <v>4570715.8600000003</v>
      </c>
      <c r="P58" s="32" t="s">
        <v>191</v>
      </c>
      <c r="Q58" s="32">
        <v>5388874</v>
      </c>
      <c r="R58" s="32">
        <v>9</v>
      </c>
      <c r="S58" s="32">
        <v>411364.43</v>
      </c>
      <c r="T58" s="32">
        <v>9</v>
      </c>
      <c r="U58" s="32">
        <v>411364.43</v>
      </c>
      <c r="V58" s="32">
        <v>0</v>
      </c>
      <c r="W58" s="32">
        <v>0</v>
      </c>
      <c r="X58" s="32">
        <v>0</v>
      </c>
      <c r="Y58" s="32">
        <v>822728.86</v>
      </c>
      <c r="Z58" s="32">
        <v>0</v>
      </c>
      <c r="AA58" s="32" t="s">
        <v>172</v>
      </c>
      <c r="AB58" s="32" t="s">
        <v>168</v>
      </c>
      <c r="AC58" s="32">
        <v>63053200</v>
      </c>
      <c r="AD58" s="32" t="s">
        <v>208</v>
      </c>
      <c r="AE58" s="32">
        <v>1</v>
      </c>
      <c r="AF58" s="32">
        <v>19278.400000000001</v>
      </c>
      <c r="AG58" s="32" t="s">
        <v>209</v>
      </c>
    </row>
    <row r="59" spans="1:33" x14ac:dyDescent="0.25">
      <c r="A59" s="23"/>
      <c r="B59" s="31">
        <v>46210</v>
      </c>
      <c r="C59" s="32" t="s">
        <v>654</v>
      </c>
      <c r="D59" s="32" t="s">
        <v>655</v>
      </c>
      <c r="E59" s="32" t="s">
        <v>727</v>
      </c>
      <c r="F59" s="32" t="s">
        <v>657</v>
      </c>
      <c r="G59" s="32" t="s">
        <v>728</v>
      </c>
      <c r="H59" s="31">
        <v>46210</v>
      </c>
      <c r="I59" s="32" t="s">
        <v>169</v>
      </c>
      <c r="J59" s="32" t="s">
        <v>180</v>
      </c>
      <c r="K59" s="32" t="s">
        <v>155</v>
      </c>
      <c r="L59" s="32" t="s">
        <v>210</v>
      </c>
      <c r="M59" s="32" t="s">
        <v>187</v>
      </c>
      <c r="N59" s="32">
        <v>1451</v>
      </c>
      <c r="O59" s="32">
        <v>209654.99</v>
      </c>
      <c r="P59" s="32" t="s">
        <v>187</v>
      </c>
      <c r="Q59" s="32">
        <v>445109.47</v>
      </c>
      <c r="R59" s="32">
        <v>9</v>
      </c>
      <c r="S59" s="32">
        <v>18868.95</v>
      </c>
      <c r="T59" s="32">
        <v>9</v>
      </c>
      <c r="U59" s="32">
        <v>18868.95</v>
      </c>
      <c r="V59" s="32">
        <v>0</v>
      </c>
      <c r="W59" s="32">
        <v>0</v>
      </c>
      <c r="X59" s="32">
        <v>0</v>
      </c>
      <c r="Y59" s="32">
        <v>37737.9</v>
      </c>
      <c r="Z59" s="32">
        <v>0</v>
      </c>
      <c r="AA59" s="32" t="s">
        <v>177</v>
      </c>
      <c r="AB59" s="32" t="s">
        <v>168</v>
      </c>
      <c r="AC59" s="32">
        <v>39269080</v>
      </c>
      <c r="AD59" s="32" t="s">
        <v>208</v>
      </c>
      <c r="AE59" s="32">
        <v>1</v>
      </c>
      <c r="AF59" s="32">
        <v>1451</v>
      </c>
      <c r="AG59" s="32" t="s">
        <v>209</v>
      </c>
    </row>
    <row r="60" spans="1:33" x14ac:dyDescent="0.25">
      <c r="A60" s="23"/>
      <c r="B60" s="31">
        <v>46210</v>
      </c>
      <c r="C60" s="32" t="s">
        <v>654</v>
      </c>
      <c r="D60" s="32" t="s">
        <v>655</v>
      </c>
      <c r="E60" s="32" t="s">
        <v>727</v>
      </c>
      <c r="F60" s="32" t="s">
        <v>657</v>
      </c>
      <c r="G60" s="32" t="s">
        <v>728</v>
      </c>
      <c r="H60" s="31">
        <v>46210</v>
      </c>
      <c r="I60" s="32" t="s">
        <v>169</v>
      </c>
      <c r="J60" s="32" t="s">
        <v>180</v>
      </c>
      <c r="K60" s="32" t="s">
        <v>156</v>
      </c>
      <c r="L60" s="32" t="s">
        <v>218</v>
      </c>
      <c r="M60" s="32" t="s">
        <v>179</v>
      </c>
      <c r="N60" s="32">
        <v>813</v>
      </c>
      <c r="O60" s="32">
        <v>167876.37</v>
      </c>
      <c r="P60" s="32" t="s">
        <v>179</v>
      </c>
      <c r="Q60" s="32">
        <v>0</v>
      </c>
      <c r="R60" s="32">
        <v>9</v>
      </c>
      <c r="S60" s="32">
        <v>15108.87</v>
      </c>
      <c r="T60" s="32">
        <v>9</v>
      </c>
      <c r="U60" s="32">
        <v>15108.87</v>
      </c>
      <c r="V60" s="32">
        <v>0</v>
      </c>
      <c r="W60" s="32">
        <v>0</v>
      </c>
      <c r="X60" s="32">
        <v>0</v>
      </c>
      <c r="Y60" s="32">
        <v>30217.74</v>
      </c>
      <c r="Z60" s="32">
        <v>0</v>
      </c>
      <c r="AA60" s="32" t="s">
        <v>177</v>
      </c>
      <c r="AB60" s="32" t="s">
        <v>168</v>
      </c>
      <c r="AC60" s="32">
        <v>63053300</v>
      </c>
      <c r="AD60" s="32" t="s">
        <v>208</v>
      </c>
      <c r="AE60" s="32">
        <v>1</v>
      </c>
      <c r="AF60" s="32">
        <v>813</v>
      </c>
      <c r="AG60" s="32" t="s">
        <v>209</v>
      </c>
    </row>
    <row r="61" spans="1:33" x14ac:dyDescent="0.25">
      <c r="A61" s="23"/>
      <c r="B61" s="31">
        <v>46210</v>
      </c>
      <c r="C61" s="32" t="s">
        <v>654</v>
      </c>
      <c r="D61" s="32" t="s">
        <v>655</v>
      </c>
      <c r="E61" s="32" t="s">
        <v>729</v>
      </c>
      <c r="F61" s="32" t="s">
        <v>657</v>
      </c>
      <c r="G61" s="32" t="s">
        <v>730</v>
      </c>
      <c r="H61" s="31">
        <v>46210</v>
      </c>
      <c r="I61" s="32" t="s">
        <v>169</v>
      </c>
      <c r="J61" s="32" t="s">
        <v>176</v>
      </c>
      <c r="K61" s="32" t="s">
        <v>159</v>
      </c>
      <c r="L61" s="32" t="s">
        <v>159</v>
      </c>
      <c r="M61" s="32" t="s">
        <v>174</v>
      </c>
      <c r="N61" s="32">
        <v>740.6</v>
      </c>
      <c r="O61" s="32">
        <v>153141.26</v>
      </c>
      <c r="P61" s="32" t="s">
        <v>174</v>
      </c>
      <c r="Q61" s="32">
        <v>649609.76</v>
      </c>
      <c r="R61" s="32">
        <v>9</v>
      </c>
      <c r="S61" s="32">
        <v>13782.71</v>
      </c>
      <c r="T61" s="32">
        <v>9</v>
      </c>
      <c r="U61" s="32">
        <v>13782.71</v>
      </c>
      <c r="V61" s="32">
        <v>0</v>
      </c>
      <c r="W61" s="32">
        <v>0</v>
      </c>
      <c r="X61" s="32">
        <v>0</v>
      </c>
      <c r="Y61" s="32">
        <v>27565.42</v>
      </c>
      <c r="Z61" s="32">
        <v>0</v>
      </c>
      <c r="AA61" s="32" t="s">
        <v>177</v>
      </c>
      <c r="AB61" s="32" t="s">
        <v>168</v>
      </c>
      <c r="AC61" s="32">
        <v>39200000</v>
      </c>
      <c r="AD61" s="32" t="s">
        <v>208</v>
      </c>
      <c r="AE61" s="32">
        <v>1</v>
      </c>
      <c r="AF61" s="32">
        <v>740.6</v>
      </c>
      <c r="AG61" s="32" t="s">
        <v>209</v>
      </c>
    </row>
    <row r="62" spans="1:33" x14ac:dyDescent="0.25">
      <c r="A62" s="23"/>
      <c r="B62" s="31">
        <v>46210</v>
      </c>
      <c r="C62" s="32" t="s">
        <v>654</v>
      </c>
      <c r="D62" s="32" t="s">
        <v>655</v>
      </c>
      <c r="E62" s="32" t="s">
        <v>729</v>
      </c>
      <c r="F62" s="32" t="s">
        <v>657</v>
      </c>
      <c r="G62" s="32" t="s">
        <v>730</v>
      </c>
      <c r="H62" s="31">
        <v>46210</v>
      </c>
      <c r="I62" s="32" t="s">
        <v>169</v>
      </c>
      <c r="J62" s="32" t="s">
        <v>180</v>
      </c>
      <c r="K62" s="32" t="s">
        <v>155</v>
      </c>
      <c r="L62" s="32" t="s">
        <v>210</v>
      </c>
      <c r="M62" s="32" t="s">
        <v>187</v>
      </c>
      <c r="N62" s="32">
        <v>575</v>
      </c>
      <c r="O62" s="32">
        <v>83081.75</v>
      </c>
      <c r="P62" s="32" t="s">
        <v>187</v>
      </c>
      <c r="Q62" s="32">
        <v>0</v>
      </c>
      <c r="R62" s="32">
        <v>9</v>
      </c>
      <c r="S62" s="32">
        <v>7477.36</v>
      </c>
      <c r="T62" s="32">
        <v>9</v>
      </c>
      <c r="U62" s="32">
        <v>7477.36</v>
      </c>
      <c r="V62" s="32">
        <v>0</v>
      </c>
      <c r="W62" s="32">
        <v>0</v>
      </c>
      <c r="X62" s="32">
        <v>0</v>
      </c>
      <c r="Y62" s="32">
        <v>14954.72</v>
      </c>
      <c r="Z62" s="32">
        <v>0</v>
      </c>
      <c r="AA62" s="32" t="s">
        <v>177</v>
      </c>
      <c r="AB62" s="32" t="s">
        <v>168</v>
      </c>
      <c r="AC62" s="32">
        <v>39269080</v>
      </c>
      <c r="AD62" s="32" t="s">
        <v>208</v>
      </c>
      <c r="AE62" s="32">
        <v>1</v>
      </c>
      <c r="AF62" s="32">
        <v>575</v>
      </c>
      <c r="AG62" s="32" t="s">
        <v>209</v>
      </c>
    </row>
    <row r="63" spans="1:33" x14ac:dyDescent="0.25">
      <c r="A63" s="23"/>
      <c r="B63" s="31">
        <v>46210</v>
      </c>
      <c r="C63" s="32" t="s">
        <v>654</v>
      </c>
      <c r="D63" s="32" t="s">
        <v>655</v>
      </c>
      <c r="E63" s="32" t="s">
        <v>729</v>
      </c>
      <c r="F63" s="32" t="s">
        <v>657</v>
      </c>
      <c r="G63" s="32" t="s">
        <v>730</v>
      </c>
      <c r="H63" s="31">
        <v>46210</v>
      </c>
      <c r="I63" s="32" t="s">
        <v>169</v>
      </c>
      <c r="J63" s="32" t="s">
        <v>180</v>
      </c>
      <c r="K63" s="32" t="s">
        <v>156</v>
      </c>
      <c r="L63" s="32" t="s">
        <v>218</v>
      </c>
      <c r="M63" s="32" t="s">
        <v>179</v>
      </c>
      <c r="N63" s="32">
        <v>1978</v>
      </c>
      <c r="O63" s="32">
        <v>299647.21999999997</v>
      </c>
      <c r="P63" s="32" t="s">
        <v>179</v>
      </c>
      <c r="Q63" s="32">
        <v>0</v>
      </c>
      <c r="R63" s="32">
        <v>9</v>
      </c>
      <c r="S63" s="32">
        <v>26968.25</v>
      </c>
      <c r="T63" s="32">
        <v>9</v>
      </c>
      <c r="U63" s="32">
        <v>26968.25</v>
      </c>
      <c r="V63" s="32">
        <v>0</v>
      </c>
      <c r="W63" s="32">
        <v>0</v>
      </c>
      <c r="X63" s="32">
        <v>0</v>
      </c>
      <c r="Y63" s="32">
        <v>53936.5</v>
      </c>
      <c r="Z63" s="32">
        <v>0</v>
      </c>
      <c r="AA63" s="32" t="s">
        <v>177</v>
      </c>
      <c r="AB63" s="32" t="s">
        <v>168</v>
      </c>
      <c r="AC63" s="32">
        <v>63053300</v>
      </c>
      <c r="AD63" s="32" t="s">
        <v>208</v>
      </c>
      <c r="AE63" s="32">
        <v>1</v>
      </c>
      <c r="AF63" s="32">
        <v>1978</v>
      </c>
      <c r="AG63" s="32" t="s">
        <v>209</v>
      </c>
    </row>
    <row r="64" spans="1:33" x14ac:dyDescent="0.25">
      <c r="A64" s="23"/>
      <c r="B64" s="31">
        <v>46210</v>
      </c>
      <c r="C64" s="32" t="s">
        <v>654</v>
      </c>
      <c r="D64" s="32" t="s">
        <v>655</v>
      </c>
      <c r="E64" s="32" t="s">
        <v>729</v>
      </c>
      <c r="F64" s="32" t="s">
        <v>657</v>
      </c>
      <c r="G64" s="32" t="s">
        <v>730</v>
      </c>
      <c r="H64" s="31">
        <v>46210</v>
      </c>
      <c r="I64" s="32" t="s">
        <v>169</v>
      </c>
      <c r="J64" s="32" t="s">
        <v>182</v>
      </c>
      <c r="K64" s="32" t="s">
        <v>154</v>
      </c>
      <c r="L64" s="32" t="s">
        <v>154</v>
      </c>
      <c r="M64" s="32" t="s">
        <v>182</v>
      </c>
      <c r="N64" s="32">
        <v>101.1</v>
      </c>
      <c r="O64" s="32">
        <v>15113.45</v>
      </c>
      <c r="P64" s="32" t="s">
        <v>182</v>
      </c>
      <c r="Q64" s="32">
        <v>0</v>
      </c>
      <c r="R64" s="32">
        <v>9</v>
      </c>
      <c r="S64" s="32">
        <v>1360.21</v>
      </c>
      <c r="T64" s="32">
        <v>9</v>
      </c>
      <c r="U64" s="32">
        <v>1360.21</v>
      </c>
      <c r="V64" s="32">
        <v>0</v>
      </c>
      <c r="W64" s="32">
        <v>0</v>
      </c>
      <c r="X64" s="32">
        <v>0</v>
      </c>
      <c r="Y64" s="32">
        <v>2720.42</v>
      </c>
      <c r="Z64" s="32">
        <v>0</v>
      </c>
      <c r="AA64" s="32" t="s">
        <v>177</v>
      </c>
      <c r="AB64" s="32" t="s">
        <v>168</v>
      </c>
      <c r="AC64" s="32">
        <v>3926908</v>
      </c>
      <c r="AD64" s="32" t="s">
        <v>208</v>
      </c>
      <c r="AE64" s="32">
        <v>1</v>
      </c>
      <c r="AF64" s="32">
        <v>101.1</v>
      </c>
      <c r="AG64" s="32" t="s">
        <v>209</v>
      </c>
    </row>
    <row r="65" spans="1:33" x14ac:dyDescent="0.25">
      <c r="A65" s="23"/>
      <c r="B65" s="31">
        <v>46211</v>
      </c>
      <c r="C65" s="32" t="s">
        <v>654</v>
      </c>
      <c r="D65" s="32" t="s">
        <v>655</v>
      </c>
      <c r="E65" s="32" t="s">
        <v>731</v>
      </c>
      <c r="F65" s="32" t="s">
        <v>657</v>
      </c>
      <c r="G65" s="32" t="s">
        <v>732</v>
      </c>
      <c r="H65" s="31">
        <v>46211</v>
      </c>
      <c r="I65" s="32" t="s">
        <v>171</v>
      </c>
      <c r="J65" s="32" t="s">
        <v>185</v>
      </c>
      <c r="K65" s="32" t="s">
        <v>733</v>
      </c>
      <c r="L65" s="32" t="s">
        <v>734</v>
      </c>
      <c r="M65" s="32" t="s">
        <v>735</v>
      </c>
      <c r="N65" s="32">
        <v>100</v>
      </c>
      <c r="O65" s="32">
        <v>15900</v>
      </c>
      <c r="P65" s="32" t="s">
        <v>735</v>
      </c>
      <c r="Q65" s="32">
        <v>18746.099999999999</v>
      </c>
      <c r="R65" s="32">
        <v>9</v>
      </c>
      <c r="S65" s="32">
        <v>1431</v>
      </c>
      <c r="T65" s="32">
        <v>9</v>
      </c>
      <c r="U65" s="32">
        <v>1431</v>
      </c>
      <c r="V65" s="32">
        <v>0</v>
      </c>
      <c r="W65" s="32">
        <v>0</v>
      </c>
      <c r="X65" s="32">
        <v>0</v>
      </c>
      <c r="Y65" s="32">
        <v>2862</v>
      </c>
      <c r="Z65" s="32">
        <v>0</v>
      </c>
      <c r="AA65" s="32" t="s">
        <v>177</v>
      </c>
      <c r="AB65" s="32" t="s">
        <v>168</v>
      </c>
      <c r="AC65" s="32">
        <v>32064990</v>
      </c>
      <c r="AD65" s="32" t="s">
        <v>208</v>
      </c>
      <c r="AE65" s="32">
        <v>1</v>
      </c>
      <c r="AF65" s="32">
        <v>100</v>
      </c>
      <c r="AG65" s="32" t="s">
        <v>209</v>
      </c>
    </row>
    <row r="66" spans="1:33" x14ac:dyDescent="0.25">
      <c r="A66" s="23"/>
      <c r="B66" s="31">
        <v>46211</v>
      </c>
      <c r="C66" s="32" t="s">
        <v>654</v>
      </c>
      <c r="D66" s="32" t="s">
        <v>655</v>
      </c>
      <c r="E66" s="32" t="s">
        <v>736</v>
      </c>
      <c r="F66" s="32" t="s">
        <v>657</v>
      </c>
      <c r="G66" s="32" t="s">
        <v>737</v>
      </c>
      <c r="H66" s="31">
        <v>46211</v>
      </c>
      <c r="I66" s="32" t="s">
        <v>171</v>
      </c>
      <c r="J66" s="32" t="s">
        <v>185</v>
      </c>
      <c r="K66" s="32" t="s">
        <v>704</v>
      </c>
      <c r="L66" s="32" t="s">
        <v>705</v>
      </c>
      <c r="M66" s="32" t="s">
        <v>706</v>
      </c>
      <c r="N66" s="32">
        <v>2000</v>
      </c>
      <c r="O66" s="32">
        <v>273700</v>
      </c>
      <c r="P66" s="32" t="s">
        <v>706</v>
      </c>
      <c r="Q66" s="32">
        <v>322692.3</v>
      </c>
      <c r="R66" s="32">
        <v>9</v>
      </c>
      <c r="S66" s="32">
        <v>24633</v>
      </c>
      <c r="T66" s="32">
        <v>9</v>
      </c>
      <c r="U66" s="32">
        <v>24633</v>
      </c>
      <c r="V66" s="32">
        <v>0</v>
      </c>
      <c r="W66" s="32">
        <v>0</v>
      </c>
      <c r="X66" s="32">
        <v>0</v>
      </c>
      <c r="Y66" s="32">
        <v>49266</v>
      </c>
      <c r="Z66" s="32">
        <v>0</v>
      </c>
      <c r="AA66" s="32" t="s">
        <v>177</v>
      </c>
      <c r="AB66" s="32" t="s">
        <v>168</v>
      </c>
      <c r="AC66" s="32">
        <v>39014010</v>
      </c>
      <c r="AD66" s="32" t="s">
        <v>208</v>
      </c>
      <c r="AE66" s="32">
        <v>1</v>
      </c>
      <c r="AF66" s="32">
        <v>2000</v>
      </c>
      <c r="AG66" s="32" t="s">
        <v>209</v>
      </c>
    </row>
    <row r="67" spans="1:33" x14ac:dyDescent="0.25">
      <c r="A67" s="23"/>
      <c r="B67" s="31">
        <v>46211</v>
      </c>
      <c r="C67" s="32" t="s">
        <v>654</v>
      </c>
      <c r="D67" s="32" t="s">
        <v>655</v>
      </c>
      <c r="E67" s="32" t="s">
        <v>738</v>
      </c>
      <c r="F67" s="32" t="s">
        <v>657</v>
      </c>
      <c r="G67" s="32" t="s">
        <v>739</v>
      </c>
      <c r="H67" s="31">
        <v>46211</v>
      </c>
      <c r="I67" s="32" t="s">
        <v>169</v>
      </c>
      <c r="J67" s="32" t="s">
        <v>201</v>
      </c>
      <c r="K67" s="32" t="s">
        <v>158</v>
      </c>
      <c r="L67" s="32" t="s">
        <v>220</v>
      </c>
      <c r="M67" s="32" t="s">
        <v>200</v>
      </c>
      <c r="N67" s="32">
        <v>91.4</v>
      </c>
      <c r="O67" s="32">
        <v>15792.09</v>
      </c>
      <c r="P67" s="32" t="s">
        <v>200</v>
      </c>
      <c r="Q67" s="32">
        <v>18618.88</v>
      </c>
      <c r="R67" s="32">
        <v>9</v>
      </c>
      <c r="S67" s="32">
        <v>1421.29</v>
      </c>
      <c r="T67" s="32">
        <v>9</v>
      </c>
      <c r="U67" s="32">
        <v>1421.29</v>
      </c>
      <c r="V67" s="32">
        <v>0</v>
      </c>
      <c r="W67" s="32">
        <v>0</v>
      </c>
      <c r="X67" s="32">
        <v>0</v>
      </c>
      <c r="Y67" s="32">
        <v>2842.58</v>
      </c>
      <c r="Z67" s="32">
        <v>0</v>
      </c>
      <c r="AA67" s="32" t="s">
        <v>177</v>
      </c>
      <c r="AB67" s="32" t="s">
        <v>168</v>
      </c>
      <c r="AC67" s="32">
        <v>3920101</v>
      </c>
      <c r="AD67" s="32" t="s">
        <v>208</v>
      </c>
      <c r="AE67" s="32">
        <v>1</v>
      </c>
      <c r="AF67" s="32">
        <v>91.4</v>
      </c>
      <c r="AG67" s="32" t="s">
        <v>209</v>
      </c>
    </row>
    <row r="68" spans="1:33" x14ac:dyDescent="0.25">
      <c r="A68" s="23"/>
      <c r="B68" s="31">
        <v>46211</v>
      </c>
      <c r="C68" s="32" t="s">
        <v>654</v>
      </c>
      <c r="D68" s="32" t="s">
        <v>655</v>
      </c>
      <c r="E68" s="32" t="s">
        <v>740</v>
      </c>
      <c r="F68" s="32" t="s">
        <v>657</v>
      </c>
      <c r="G68" s="32" t="s">
        <v>741</v>
      </c>
      <c r="H68" s="31">
        <v>46211</v>
      </c>
      <c r="I68" s="32" t="s">
        <v>169</v>
      </c>
      <c r="J68" s="32" t="s">
        <v>180</v>
      </c>
      <c r="K68" s="32" t="s">
        <v>156</v>
      </c>
      <c r="L68" s="32" t="s">
        <v>218</v>
      </c>
      <c r="M68" s="32" t="s">
        <v>720</v>
      </c>
      <c r="N68" s="32">
        <v>297</v>
      </c>
      <c r="O68" s="32">
        <v>43507.53</v>
      </c>
      <c r="P68" s="32" t="s">
        <v>720</v>
      </c>
      <c r="Q68" s="32">
        <v>707610.04</v>
      </c>
      <c r="R68" s="32">
        <v>9</v>
      </c>
      <c r="S68" s="32">
        <v>3915.68</v>
      </c>
      <c r="T68" s="32">
        <v>9</v>
      </c>
      <c r="U68" s="32">
        <v>3915.68</v>
      </c>
      <c r="V68" s="32">
        <v>0</v>
      </c>
      <c r="W68" s="32">
        <v>0</v>
      </c>
      <c r="X68" s="32">
        <v>0</v>
      </c>
      <c r="Y68" s="32">
        <v>7831.36</v>
      </c>
      <c r="Z68" s="32">
        <v>0</v>
      </c>
      <c r="AA68" s="32" t="s">
        <v>177</v>
      </c>
      <c r="AB68" s="32" t="s">
        <v>168</v>
      </c>
      <c r="AC68" s="32">
        <v>392690</v>
      </c>
      <c r="AD68" s="32" t="s">
        <v>208</v>
      </c>
      <c r="AE68" s="32">
        <v>1</v>
      </c>
      <c r="AF68" s="32">
        <v>297</v>
      </c>
      <c r="AG68" s="32" t="s">
        <v>209</v>
      </c>
    </row>
    <row r="69" spans="1:33" x14ac:dyDescent="0.25">
      <c r="A69" s="23"/>
      <c r="B69" s="31">
        <v>46211</v>
      </c>
      <c r="C69" s="32" t="s">
        <v>654</v>
      </c>
      <c r="D69" s="32" t="s">
        <v>655</v>
      </c>
      <c r="E69" s="32" t="s">
        <v>740</v>
      </c>
      <c r="F69" s="32" t="s">
        <v>657</v>
      </c>
      <c r="G69" s="32" t="s">
        <v>741</v>
      </c>
      <c r="H69" s="31">
        <v>46211</v>
      </c>
      <c r="I69" s="32" t="s">
        <v>169</v>
      </c>
      <c r="J69" s="32" t="s">
        <v>182</v>
      </c>
      <c r="K69" s="32" t="s">
        <v>154</v>
      </c>
      <c r="L69" s="32" t="s">
        <v>154</v>
      </c>
      <c r="M69" s="32" t="s">
        <v>182</v>
      </c>
      <c r="N69" s="32">
        <v>309.3</v>
      </c>
      <c r="O69" s="32">
        <v>46237.27</v>
      </c>
      <c r="P69" s="32" t="s">
        <v>182</v>
      </c>
      <c r="Q69" s="32">
        <v>0</v>
      </c>
      <c r="R69" s="32">
        <v>9</v>
      </c>
      <c r="S69" s="32">
        <v>4161.3500000000004</v>
      </c>
      <c r="T69" s="32">
        <v>9</v>
      </c>
      <c r="U69" s="32">
        <v>4161.3500000000004</v>
      </c>
      <c r="V69" s="32">
        <v>0</v>
      </c>
      <c r="W69" s="32">
        <v>0</v>
      </c>
      <c r="X69" s="32">
        <v>0</v>
      </c>
      <c r="Y69" s="32">
        <v>8322.7000000000007</v>
      </c>
      <c r="Z69" s="32">
        <v>0</v>
      </c>
      <c r="AA69" s="32" t="s">
        <v>177</v>
      </c>
      <c r="AB69" s="32" t="s">
        <v>168</v>
      </c>
      <c r="AC69" s="32">
        <v>3926908</v>
      </c>
      <c r="AD69" s="32" t="s">
        <v>208</v>
      </c>
      <c r="AE69" s="32">
        <v>1</v>
      </c>
      <c r="AF69" s="32">
        <v>309.3</v>
      </c>
      <c r="AG69" s="32" t="s">
        <v>209</v>
      </c>
    </row>
    <row r="70" spans="1:33" x14ac:dyDescent="0.25">
      <c r="A70" s="23"/>
      <c r="B70" s="31">
        <v>46211</v>
      </c>
      <c r="C70" s="32" t="s">
        <v>654</v>
      </c>
      <c r="D70" s="32" t="s">
        <v>655</v>
      </c>
      <c r="E70" s="32" t="s">
        <v>740</v>
      </c>
      <c r="F70" s="32" t="s">
        <v>657</v>
      </c>
      <c r="G70" s="32" t="s">
        <v>741</v>
      </c>
      <c r="H70" s="31">
        <v>46211</v>
      </c>
      <c r="I70" s="32" t="s">
        <v>169</v>
      </c>
      <c r="J70" s="32" t="s">
        <v>176</v>
      </c>
      <c r="K70" s="32" t="s">
        <v>159</v>
      </c>
      <c r="L70" s="32" t="s">
        <v>159</v>
      </c>
      <c r="M70" s="32" t="s">
        <v>174</v>
      </c>
      <c r="N70" s="32">
        <v>105.7</v>
      </c>
      <c r="O70" s="32">
        <v>19319.84</v>
      </c>
      <c r="P70" s="32" t="s">
        <v>174</v>
      </c>
      <c r="Q70" s="32">
        <v>0</v>
      </c>
      <c r="R70" s="32">
        <v>9</v>
      </c>
      <c r="S70" s="32">
        <v>1738.79</v>
      </c>
      <c r="T70" s="32">
        <v>9</v>
      </c>
      <c r="U70" s="32">
        <v>1738.79</v>
      </c>
      <c r="V70" s="32">
        <v>0</v>
      </c>
      <c r="W70" s="32">
        <v>0</v>
      </c>
      <c r="X70" s="32">
        <v>0</v>
      </c>
      <c r="Y70" s="32">
        <v>3477.58</v>
      </c>
      <c r="Z70" s="32">
        <v>0</v>
      </c>
      <c r="AA70" s="32" t="s">
        <v>177</v>
      </c>
      <c r="AB70" s="32" t="s">
        <v>168</v>
      </c>
      <c r="AC70" s="32">
        <v>39200000</v>
      </c>
      <c r="AD70" s="32" t="s">
        <v>208</v>
      </c>
      <c r="AE70" s="32">
        <v>1</v>
      </c>
      <c r="AF70" s="32">
        <v>105.7</v>
      </c>
      <c r="AG70" s="32" t="s">
        <v>209</v>
      </c>
    </row>
    <row r="71" spans="1:33" x14ac:dyDescent="0.25">
      <c r="A71" s="23"/>
      <c r="B71" s="31">
        <v>46211</v>
      </c>
      <c r="C71" s="32" t="s">
        <v>654</v>
      </c>
      <c r="D71" s="32" t="s">
        <v>655</v>
      </c>
      <c r="E71" s="32" t="s">
        <v>740</v>
      </c>
      <c r="F71" s="32" t="s">
        <v>657</v>
      </c>
      <c r="G71" s="32" t="s">
        <v>741</v>
      </c>
      <c r="H71" s="31">
        <v>46211</v>
      </c>
      <c r="I71" s="32" t="s">
        <v>169</v>
      </c>
      <c r="J71" s="32" t="s">
        <v>180</v>
      </c>
      <c r="K71" s="32" t="s">
        <v>155</v>
      </c>
      <c r="L71" s="32" t="s">
        <v>210</v>
      </c>
      <c r="M71" s="32" t="s">
        <v>187</v>
      </c>
      <c r="N71" s="32">
        <v>310</v>
      </c>
      <c r="O71" s="32">
        <v>44791.9</v>
      </c>
      <c r="P71" s="32" t="s">
        <v>187</v>
      </c>
      <c r="Q71" s="32">
        <v>0</v>
      </c>
      <c r="R71" s="32">
        <v>9</v>
      </c>
      <c r="S71" s="32">
        <v>4031.27</v>
      </c>
      <c r="T71" s="32">
        <v>9</v>
      </c>
      <c r="U71" s="32">
        <v>4031.27</v>
      </c>
      <c r="V71" s="32">
        <v>0</v>
      </c>
      <c r="W71" s="32">
        <v>0</v>
      </c>
      <c r="X71" s="32">
        <v>0</v>
      </c>
      <c r="Y71" s="32">
        <v>8062.54</v>
      </c>
      <c r="Z71" s="32">
        <v>0</v>
      </c>
      <c r="AA71" s="32" t="s">
        <v>177</v>
      </c>
      <c r="AB71" s="32" t="s">
        <v>168</v>
      </c>
      <c r="AC71" s="32">
        <v>39269080</v>
      </c>
      <c r="AD71" s="32" t="s">
        <v>208</v>
      </c>
      <c r="AE71" s="32">
        <v>1</v>
      </c>
      <c r="AF71" s="32">
        <v>310</v>
      </c>
      <c r="AG71" s="32" t="s">
        <v>209</v>
      </c>
    </row>
    <row r="72" spans="1:33" x14ac:dyDescent="0.25">
      <c r="A72" s="23"/>
      <c r="B72" s="31">
        <v>46211</v>
      </c>
      <c r="C72" s="32" t="s">
        <v>654</v>
      </c>
      <c r="D72" s="32" t="s">
        <v>655</v>
      </c>
      <c r="E72" s="32" t="s">
        <v>740</v>
      </c>
      <c r="F72" s="32" t="s">
        <v>657</v>
      </c>
      <c r="G72" s="32" t="s">
        <v>741</v>
      </c>
      <c r="H72" s="31">
        <v>46211</v>
      </c>
      <c r="I72" s="32" t="s">
        <v>169</v>
      </c>
      <c r="J72" s="32" t="s">
        <v>180</v>
      </c>
      <c r="K72" s="32" t="s">
        <v>156</v>
      </c>
      <c r="L72" s="32" t="s">
        <v>218</v>
      </c>
      <c r="M72" s="32" t="s">
        <v>179</v>
      </c>
      <c r="N72" s="32">
        <v>2889</v>
      </c>
      <c r="O72" s="32">
        <v>446321.61</v>
      </c>
      <c r="P72" s="32" t="s">
        <v>179</v>
      </c>
      <c r="Q72" s="32">
        <v>0</v>
      </c>
      <c r="R72" s="32">
        <v>9</v>
      </c>
      <c r="S72" s="32">
        <v>40168.94</v>
      </c>
      <c r="T72" s="32">
        <v>9</v>
      </c>
      <c r="U72" s="32">
        <v>40168.94</v>
      </c>
      <c r="V72" s="32">
        <v>0</v>
      </c>
      <c r="W72" s="32">
        <v>0</v>
      </c>
      <c r="X72" s="32">
        <v>0</v>
      </c>
      <c r="Y72" s="32">
        <v>80337.88</v>
      </c>
      <c r="Z72" s="32">
        <v>0</v>
      </c>
      <c r="AA72" s="32" t="s">
        <v>177</v>
      </c>
      <c r="AB72" s="32" t="s">
        <v>168</v>
      </c>
      <c r="AC72" s="32">
        <v>63053300</v>
      </c>
      <c r="AD72" s="32" t="s">
        <v>208</v>
      </c>
      <c r="AE72" s="32">
        <v>1</v>
      </c>
      <c r="AF72" s="32">
        <v>2889</v>
      </c>
      <c r="AG72" s="32" t="s">
        <v>209</v>
      </c>
    </row>
    <row r="73" spans="1:33" x14ac:dyDescent="0.25">
      <c r="A73" s="23"/>
      <c r="B73" s="31">
        <v>46211</v>
      </c>
      <c r="C73" s="32" t="s">
        <v>659</v>
      </c>
      <c r="D73" s="32" t="s">
        <v>655</v>
      </c>
      <c r="E73" s="32" t="s">
        <v>742</v>
      </c>
      <c r="F73" s="32" t="s">
        <v>657</v>
      </c>
      <c r="G73" s="32" t="s">
        <v>743</v>
      </c>
      <c r="H73" s="31">
        <v>46210</v>
      </c>
      <c r="I73" s="32" t="s">
        <v>192</v>
      </c>
      <c r="J73" s="32" t="s">
        <v>152</v>
      </c>
      <c r="K73" s="32" t="s">
        <v>152</v>
      </c>
      <c r="L73" s="32" t="s">
        <v>207</v>
      </c>
      <c r="M73" s="32" t="s">
        <v>191</v>
      </c>
      <c r="N73" s="32">
        <v>1022</v>
      </c>
      <c r="O73" s="32">
        <v>256440.24</v>
      </c>
      <c r="P73" s="32" t="s">
        <v>191</v>
      </c>
      <c r="Q73" s="32">
        <v>816104.72</v>
      </c>
      <c r="R73" s="32">
        <v>9</v>
      </c>
      <c r="S73" s="32">
        <v>23079.62</v>
      </c>
      <c r="T73" s="32">
        <v>9</v>
      </c>
      <c r="U73" s="32">
        <v>23079.62</v>
      </c>
      <c r="V73" s="32">
        <v>0</v>
      </c>
      <c r="W73" s="32">
        <v>0</v>
      </c>
      <c r="X73" s="32">
        <v>0</v>
      </c>
      <c r="Y73" s="32">
        <v>46159.24</v>
      </c>
      <c r="Z73" s="32">
        <v>0</v>
      </c>
      <c r="AA73" s="32" t="s">
        <v>177</v>
      </c>
      <c r="AB73" s="32" t="s">
        <v>168</v>
      </c>
      <c r="AC73" s="32">
        <v>63053200</v>
      </c>
      <c r="AD73" s="32" t="s">
        <v>208</v>
      </c>
      <c r="AE73" s="32">
        <v>1</v>
      </c>
      <c r="AF73" s="32">
        <v>1022</v>
      </c>
      <c r="AG73" s="32" t="s">
        <v>209</v>
      </c>
    </row>
    <row r="74" spans="1:33" x14ac:dyDescent="0.25">
      <c r="A74" s="23"/>
      <c r="B74" s="31">
        <v>46211</v>
      </c>
      <c r="C74" s="32" t="s">
        <v>659</v>
      </c>
      <c r="D74" s="32" t="s">
        <v>655</v>
      </c>
      <c r="E74" s="32" t="s">
        <v>742</v>
      </c>
      <c r="F74" s="32" t="s">
        <v>657</v>
      </c>
      <c r="G74" s="32" t="s">
        <v>743</v>
      </c>
      <c r="H74" s="31">
        <v>46210</v>
      </c>
      <c r="I74" s="32" t="s">
        <v>192</v>
      </c>
      <c r="J74" s="32" t="s">
        <v>152</v>
      </c>
      <c r="K74" s="32" t="s">
        <v>152</v>
      </c>
      <c r="L74" s="32" t="s">
        <v>207</v>
      </c>
      <c r="M74" s="32" t="s">
        <v>191</v>
      </c>
      <c r="N74" s="32">
        <v>401</v>
      </c>
      <c r="O74" s="32">
        <v>109288.54</v>
      </c>
      <c r="P74" s="32" t="s">
        <v>191</v>
      </c>
      <c r="Q74" s="32">
        <v>0</v>
      </c>
      <c r="R74" s="32">
        <v>9</v>
      </c>
      <c r="S74" s="32">
        <v>9835.9699999999993</v>
      </c>
      <c r="T74" s="32">
        <v>9</v>
      </c>
      <c r="U74" s="32">
        <v>9835.9699999999993</v>
      </c>
      <c r="V74" s="32">
        <v>0</v>
      </c>
      <c r="W74" s="32">
        <v>0</v>
      </c>
      <c r="X74" s="32">
        <v>0</v>
      </c>
      <c r="Y74" s="32">
        <v>19671.939999999999</v>
      </c>
      <c r="Z74" s="32">
        <v>0</v>
      </c>
      <c r="AA74" s="32" t="s">
        <v>177</v>
      </c>
      <c r="AB74" s="32" t="s">
        <v>168</v>
      </c>
      <c r="AC74" s="32">
        <v>63053200</v>
      </c>
      <c r="AD74" s="32" t="s">
        <v>208</v>
      </c>
      <c r="AE74" s="32">
        <v>1</v>
      </c>
      <c r="AF74" s="32">
        <v>401</v>
      </c>
      <c r="AG74" s="32" t="s">
        <v>209</v>
      </c>
    </row>
    <row r="75" spans="1:33" x14ac:dyDescent="0.25">
      <c r="A75" s="23"/>
      <c r="B75" s="31">
        <v>46211</v>
      </c>
      <c r="C75" s="32" t="s">
        <v>659</v>
      </c>
      <c r="D75" s="32" t="s">
        <v>655</v>
      </c>
      <c r="E75" s="32" t="s">
        <v>742</v>
      </c>
      <c r="F75" s="32" t="s">
        <v>657</v>
      </c>
      <c r="G75" s="32" t="s">
        <v>743</v>
      </c>
      <c r="H75" s="31">
        <v>46210</v>
      </c>
      <c r="I75" s="32" t="s">
        <v>169</v>
      </c>
      <c r="J75" s="32" t="s">
        <v>180</v>
      </c>
      <c r="K75" s="32" t="s">
        <v>155</v>
      </c>
      <c r="L75" s="32" t="s">
        <v>207</v>
      </c>
      <c r="M75" s="32" t="s">
        <v>187</v>
      </c>
      <c r="N75" s="32">
        <v>2676</v>
      </c>
      <c r="O75" s="32">
        <v>326472</v>
      </c>
      <c r="P75" s="32" t="s">
        <v>187</v>
      </c>
      <c r="Q75" s="32">
        <v>0</v>
      </c>
      <c r="R75" s="32">
        <v>9</v>
      </c>
      <c r="S75" s="32">
        <v>29382.48</v>
      </c>
      <c r="T75" s="32">
        <v>9</v>
      </c>
      <c r="U75" s="32">
        <v>29382.48</v>
      </c>
      <c r="V75" s="32">
        <v>0</v>
      </c>
      <c r="W75" s="32">
        <v>0</v>
      </c>
      <c r="X75" s="32">
        <v>0</v>
      </c>
      <c r="Y75" s="32">
        <v>58764.959999999999</v>
      </c>
      <c r="Z75" s="32">
        <v>0</v>
      </c>
      <c r="AA75" s="32" t="s">
        <v>177</v>
      </c>
      <c r="AB75" s="32" t="s">
        <v>168</v>
      </c>
      <c r="AC75" s="32">
        <v>39269080</v>
      </c>
      <c r="AD75" s="32" t="s">
        <v>208</v>
      </c>
      <c r="AE75" s="32">
        <v>1</v>
      </c>
      <c r="AF75" s="32">
        <v>2676</v>
      </c>
      <c r="AG75" s="32" t="s">
        <v>209</v>
      </c>
    </row>
    <row r="76" spans="1:33" x14ac:dyDescent="0.25">
      <c r="A76" s="23"/>
      <c r="B76" s="31">
        <v>46212</v>
      </c>
      <c r="C76" s="32" t="s">
        <v>673</v>
      </c>
      <c r="D76" s="32" t="s">
        <v>655</v>
      </c>
      <c r="E76" s="32" t="s">
        <v>744</v>
      </c>
      <c r="F76" s="32" t="s">
        <v>675</v>
      </c>
      <c r="G76" s="32" t="s">
        <v>744</v>
      </c>
      <c r="H76" s="31">
        <v>46212</v>
      </c>
      <c r="I76" s="32" t="s">
        <v>192</v>
      </c>
      <c r="J76" s="32" t="s">
        <v>152</v>
      </c>
      <c r="K76" s="32" t="s">
        <v>163</v>
      </c>
      <c r="L76" s="32" t="s">
        <v>207</v>
      </c>
      <c r="M76" s="32" t="s">
        <v>191</v>
      </c>
      <c r="N76" s="32">
        <v>19674</v>
      </c>
      <c r="O76" s="32">
        <v>5116986.6549999993</v>
      </c>
      <c r="P76" s="32" t="s">
        <v>191</v>
      </c>
      <c r="Q76" s="32">
        <v>5116986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0</v>
      </c>
      <c r="AA76" s="32" t="s">
        <v>215</v>
      </c>
      <c r="AB76" s="32" t="s">
        <v>168</v>
      </c>
      <c r="AC76" s="32">
        <v>63053200</v>
      </c>
      <c r="AD76" s="32" t="s">
        <v>216</v>
      </c>
      <c r="AE76" s="32">
        <v>93.5</v>
      </c>
      <c r="AF76" s="32">
        <v>19674</v>
      </c>
      <c r="AG76" s="32" t="s">
        <v>209</v>
      </c>
    </row>
    <row r="77" spans="1:33" x14ac:dyDescent="0.25">
      <c r="A77" s="23"/>
      <c r="B77" s="31">
        <v>46212</v>
      </c>
      <c r="C77" s="32" t="s">
        <v>654</v>
      </c>
      <c r="D77" s="32" t="s">
        <v>655</v>
      </c>
      <c r="E77" s="32" t="s">
        <v>745</v>
      </c>
      <c r="F77" s="32" t="s">
        <v>657</v>
      </c>
      <c r="G77" s="32" t="s">
        <v>746</v>
      </c>
      <c r="H77" s="31">
        <v>46212</v>
      </c>
      <c r="I77" s="32" t="s">
        <v>169</v>
      </c>
      <c r="J77" s="32" t="s">
        <v>180</v>
      </c>
      <c r="K77" s="32" t="s">
        <v>155</v>
      </c>
      <c r="L77" s="32" t="s">
        <v>210</v>
      </c>
      <c r="M77" s="32" t="s">
        <v>187</v>
      </c>
      <c r="N77" s="32">
        <v>295</v>
      </c>
      <c r="O77" s="32">
        <v>42624.55</v>
      </c>
      <c r="P77" s="32" t="s">
        <v>187</v>
      </c>
      <c r="Q77" s="32">
        <v>153271.56</v>
      </c>
      <c r="R77" s="32">
        <v>9</v>
      </c>
      <c r="S77" s="32">
        <v>3836.21</v>
      </c>
      <c r="T77" s="32">
        <v>9</v>
      </c>
      <c r="U77" s="32">
        <v>3836.21</v>
      </c>
      <c r="V77" s="32">
        <v>0</v>
      </c>
      <c r="W77" s="32">
        <v>0</v>
      </c>
      <c r="X77" s="32">
        <v>0</v>
      </c>
      <c r="Y77" s="32">
        <v>7672.42</v>
      </c>
      <c r="Z77" s="32">
        <v>0</v>
      </c>
      <c r="AA77" s="32" t="s">
        <v>177</v>
      </c>
      <c r="AB77" s="32" t="s">
        <v>168</v>
      </c>
      <c r="AC77" s="32">
        <v>39269080</v>
      </c>
      <c r="AD77" s="32" t="s">
        <v>208</v>
      </c>
      <c r="AE77" s="32">
        <v>1</v>
      </c>
      <c r="AF77" s="32">
        <v>295</v>
      </c>
      <c r="AG77" s="32" t="s">
        <v>209</v>
      </c>
    </row>
    <row r="78" spans="1:33" x14ac:dyDescent="0.25">
      <c r="A78" s="23"/>
      <c r="B78" s="31">
        <v>46212</v>
      </c>
      <c r="C78" s="32" t="s">
        <v>654</v>
      </c>
      <c r="D78" s="32" t="s">
        <v>655</v>
      </c>
      <c r="E78" s="32" t="s">
        <v>745</v>
      </c>
      <c r="F78" s="32" t="s">
        <v>657</v>
      </c>
      <c r="G78" s="32" t="s">
        <v>746</v>
      </c>
      <c r="H78" s="31">
        <v>46212</v>
      </c>
      <c r="I78" s="32" t="s">
        <v>169</v>
      </c>
      <c r="J78" s="32" t="s">
        <v>180</v>
      </c>
      <c r="K78" s="32" t="s">
        <v>155</v>
      </c>
      <c r="L78" s="32" t="s">
        <v>210</v>
      </c>
      <c r="M78" s="32" t="s">
        <v>187</v>
      </c>
      <c r="N78" s="32">
        <v>573</v>
      </c>
      <c r="O78" s="32">
        <v>87376.77</v>
      </c>
      <c r="P78" s="32" t="s">
        <v>187</v>
      </c>
      <c r="Q78" s="32">
        <v>0</v>
      </c>
      <c r="R78" s="32">
        <v>9</v>
      </c>
      <c r="S78" s="32">
        <v>7863.91</v>
      </c>
      <c r="T78" s="32">
        <v>9</v>
      </c>
      <c r="U78" s="32">
        <v>7863.91</v>
      </c>
      <c r="V78" s="32">
        <v>0</v>
      </c>
      <c r="W78" s="32">
        <v>0</v>
      </c>
      <c r="X78" s="32">
        <v>0</v>
      </c>
      <c r="Y78" s="32">
        <v>15727.82</v>
      </c>
      <c r="Z78" s="32">
        <v>0</v>
      </c>
      <c r="AA78" s="32" t="s">
        <v>177</v>
      </c>
      <c r="AB78" s="32" t="s">
        <v>168</v>
      </c>
      <c r="AC78" s="32">
        <v>39269080</v>
      </c>
      <c r="AD78" s="32" t="s">
        <v>208</v>
      </c>
      <c r="AE78" s="32">
        <v>1</v>
      </c>
      <c r="AF78" s="32">
        <v>573</v>
      </c>
      <c r="AG78" s="32" t="s">
        <v>209</v>
      </c>
    </row>
    <row r="79" spans="1:33" x14ac:dyDescent="0.25">
      <c r="A79" s="23"/>
      <c r="B79" s="31">
        <v>46212</v>
      </c>
      <c r="C79" s="32" t="s">
        <v>654</v>
      </c>
      <c r="D79" s="32" t="s">
        <v>655</v>
      </c>
      <c r="E79" s="32" t="s">
        <v>747</v>
      </c>
      <c r="F79" s="32" t="s">
        <v>657</v>
      </c>
      <c r="G79" s="32" t="s">
        <v>748</v>
      </c>
      <c r="H79" s="31">
        <v>46212</v>
      </c>
      <c r="I79" s="32" t="s">
        <v>171</v>
      </c>
      <c r="J79" s="32" t="s">
        <v>185</v>
      </c>
      <c r="K79" s="32" t="s">
        <v>166</v>
      </c>
      <c r="L79" s="32" t="s">
        <v>166</v>
      </c>
      <c r="M79" s="32" t="s">
        <v>749</v>
      </c>
      <c r="N79" s="32">
        <v>5000</v>
      </c>
      <c r="O79" s="32">
        <v>681655</v>
      </c>
      <c r="P79" s="32" t="s">
        <v>749</v>
      </c>
      <c r="Q79" s="32">
        <v>803671.25</v>
      </c>
      <c r="R79" s="32">
        <v>9</v>
      </c>
      <c r="S79" s="32">
        <v>61348.95</v>
      </c>
      <c r="T79" s="32">
        <v>9</v>
      </c>
      <c r="U79" s="32">
        <v>61348.95</v>
      </c>
      <c r="V79" s="32">
        <v>0</v>
      </c>
      <c r="W79" s="32">
        <v>0</v>
      </c>
      <c r="X79" s="32">
        <v>0</v>
      </c>
      <c r="Y79" s="32">
        <v>122697.9</v>
      </c>
      <c r="Z79" s="32">
        <v>0</v>
      </c>
      <c r="AA79" s="32" t="s">
        <v>177</v>
      </c>
      <c r="AB79" s="32" t="s">
        <v>168</v>
      </c>
      <c r="AC79" s="32">
        <v>39021000</v>
      </c>
      <c r="AD79" s="32" t="s">
        <v>208</v>
      </c>
      <c r="AE79" s="32">
        <v>1</v>
      </c>
      <c r="AF79" s="32">
        <v>5000</v>
      </c>
      <c r="AG79" s="32" t="s">
        <v>209</v>
      </c>
    </row>
    <row r="80" spans="1:33" x14ac:dyDescent="0.25">
      <c r="A80" s="23"/>
      <c r="B80" s="31">
        <v>46212</v>
      </c>
      <c r="C80" s="32" t="s">
        <v>654</v>
      </c>
      <c r="D80" s="32" t="s">
        <v>655</v>
      </c>
      <c r="E80" s="32" t="s">
        <v>750</v>
      </c>
      <c r="F80" s="32" t="s">
        <v>657</v>
      </c>
      <c r="G80" s="32" t="s">
        <v>751</v>
      </c>
      <c r="H80" s="31">
        <v>46212</v>
      </c>
      <c r="I80" s="32" t="s">
        <v>169</v>
      </c>
      <c r="J80" s="32" t="s">
        <v>180</v>
      </c>
      <c r="K80" s="32" t="s">
        <v>155</v>
      </c>
      <c r="L80" s="32" t="s">
        <v>210</v>
      </c>
      <c r="M80" s="32" t="s">
        <v>187</v>
      </c>
      <c r="N80" s="32">
        <v>1452</v>
      </c>
      <c r="O80" s="32">
        <v>209799.48</v>
      </c>
      <c r="P80" s="32" t="s">
        <v>187</v>
      </c>
      <c r="Q80" s="32">
        <v>247353.58</v>
      </c>
      <c r="R80" s="32">
        <v>9</v>
      </c>
      <c r="S80" s="32">
        <v>18881.95</v>
      </c>
      <c r="T80" s="32">
        <v>9</v>
      </c>
      <c r="U80" s="32">
        <v>18881.95</v>
      </c>
      <c r="V80" s="32">
        <v>0</v>
      </c>
      <c r="W80" s="32">
        <v>0</v>
      </c>
      <c r="X80" s="32">
        <v>0</v>
      </c>
      <c r="Y80" s="32">
        <v>37763.9</v>
      </c>
      <c r="Z80" s="32">
        <v>0</v>
      </c>
      <c r="AA80" s="32" t="s">
        <v>177</v>
      </c>
      <c r="AB80" s="32" t="s">
        <v>168</v>
      </c>
      <c r="AC80" s="32">
        <v>39269080</v>
      </c>
      <c r="AD80" s="32" t="s">
        <v>208</v>
      </c>
      <c r="AE80" s="32">
        <v>1</v>
      </c>
      <c r="AF80" s="32">
        <v>1452</v>
      </c>
      <c r="AG80" s="32" t="s">
        <v>209</v>
      </c>
    </row>
    <row r="81" spans="1:33" x14ac:dyDescent="0.25">
      <c r="A81" s="23"/>
      <c r="B81" s="31">
        <v>46213</v>
      </c>
      <c r="C81" s="32" t="s">
        <v>665</v>
      </c>
      <c r="D81" s="32" t="s">
        <v>655</v>
      </c>
      <c r="E81" s="32" t="s">
        <v>752</v>
      </c>
      <c r="F81" s="32" t="s">
        <v>657</v>
      </c>
      <c r="G81" s="32" t="s">
        <v>753</v>
      </c>
      <c r="H81" s="31">
        <v>46212</v>
      </c>
      <c r="I81" s="32" t="s">
        <v>169</v>
      </c>
      <c r="J81" s="32" t="s">
        <v>176</v>
      </c>
      <c r="K81" s="32" t="s">
        <v>159</v>
      </c>
      <c r="L81" s="32" t="s">
        <v>159</v>
      </c>
      <c r="M81" s="32" t="s">
        <v>174</v>
      </c>
      <c r="N81" s="32">
        <v>534</v>
      </c>
      <c r="O81" s="32">
        <v>93295.14</v>
      </c>
      <c r="P81" s="32" t="s">
        <v>174</v>
      </c>
      <c r="Q81" s="32">
        <v>386874.35</v>
      </c>
      <c r="R81" s="32">
        <v>9</v>
      </c>
      <c r="S81" s="32">
        <v>8396.56</v>
      </c>
      <c r="T81" s="32">
        <v>9</v>
      </c>
      <c r="U81" s="32">
        <v>8396.56</v>
      </c>
      <c r="V81" s="32">
        <v>0</v>
      </c>
      <c r="W81" s="32">
        <v>0</v>
      </c>
      <c r="X81" s="32">
        <v>0</v>
      </c>
      <c r="Y81" s="32">
        <v>16793.12</v>
      </c>
      <c r="Z81" s="32">
        <v>0</v>
      </c>
      <c r="AA81" s="32" t="s">
        <v>189</v>
      </c>
      <c r="AB81" s="32" t="s">
        <v>168</v>
      </c>
      <c r="AC81" s="32">
        <v>39200000</v>
      </c>
      <c r="AD81" s="32" t="s">
        <v>208</v>
      </c>
      <c r="AE81" s="32">
        <v>1</v>
      </c>
      <c r="AF81" s="32">
        <v>534</v>
      </c>
      <c r="AG81" s="32" t="s">
        <v>209</v>
      </c>
    </row>
    <row r="82" spans="1:33" x14ac:dyDescent="0.25">
      <c r="A82" s="23"/>
      <c r="B82" s="31">
        <v>46213</v>
      </c>
      <c r="C82" s="32" t="s">
        <v>665</v>
      </c>
      <c r="D82" s="32" t="s">
        <v>655</v>
      </c>
      <c r="E82" s="32" t="s">
        <v>752</v>
      </c>
      <c r="F82" s="32" t="s">
        <v>657</v>
      </c>
      <c r="G82" s="32" t="s">
        <v>753</v>
      </c>
      <c r="H82" s="31">
        <v>46212</v>
      </c>
      <c r="I82" s="32" t="s">
        <v>169</v>
      </c>
      <c r="J82" s="32" t="s">
        <v>180</v>
      </c>
      <c r="K82" s="32" t="s">
        <v>155</v>
      </c>
      <c r="L82" s="32" t="s">
        <v>210</v>
      </c>
      <c r="M82" s="32" t="s">
        <v>187</v>
      </c>
      <c r="N82" s="32">
        <v>401</v>
      </c>
      <c r="O82" s="32">
        <v>63955.49</v>
      </c>
      <c r="P82" s="32" t="s">
        <v>187</v>
      </c>
      <c r="Q82" s="32">
        <v>0</v>
      </c>
      <c r="R82" s="32">
        <v>9</v>
      </c>
      <c r="S82" s="32">
        <v>5755.99</v>
      </c>
      <c r="T82" s="32">
        <v>9</v>
      </c>
      <c r="U82" s="32">
        <v>5755.99</v>
      </c>
      <c r="V82" s="32">
        <v>0</v>
      </c>
      <c r="W82" s="32">
        <v>0</v>
      </c>
      <c r="X82" s="32">
        <v>0</v>
      </c>
      <c r="Y82" s="32">
        <v>11511.98</v>
      </c>
      <c r="Z82" s="32">
        <v>0</v>
      </c>
      <c r="AA82" s="32" t="s">
        <v>189</v>
      </c>
      <c r="AB82" s="32" t="s">
        <v>168</v>
      </c>
      <c r="AC82" s="32">
        <v>39269080</v>
      </c>
      <c r="AD82" s="32" t="s">
        <v>208</v>
      </c>
      <c r="AE82" s="32">
        <v>1</v>
      </c>
      <c r="AF82" s="32">
        <v>401</v>
      </c>
      <c r="AG82" s="32" t="s">
        <v>209</v>
      </c>
    </row>
    <row r="83" spans="1:33" x14ac:dyDescent="0.25">
      <c r="A83" s="23"/>
      <c r="B83" s="31">
        <v>46213</v>
      </c>
      <c r="C83" s="32" t="s">
        <v>665</v>
      </c>
      <c r="D83" s="32" t="s">
        <v>655</v>
      </c>
      <c r="E83" s="32" t="s">
        <v>752</v>
      </c>
      <c r="F83" s="32" t="s">
        <v>657</v>
      </c>
      <c r="G83" s="32" t="s">
        <v>753</v>
      </c>
      <c r="H83" s="31">
        <v>46212</v>
      </c>
      <c r="I83" s="32" t="s">
        <v>169</v>
      </c>
      <c r="J83" s="32" t="s">
        <v>180</v>
      </c>
      <c r="K83" s="32" t="s">
        <v>155</v>
      </c>
      <c r="L83" s="32" t="s">
        <v>210</v>
      </c>
      <c r="M83" s="32" t="s">
        <v>187</v>
      </c>
      <c r="N83" s="32">
        <v>1092</v>
      </c>
      <c r="O83" s="32">
        <v>170887.08</v>
      </c>
      <c r="P83" s="32" t="s">
        <v>187</v>
      </c>
      <c r="Q83" s="32">
        <v>0</v>
      </c>
      <c r="R83" s="32">
        <v>9</v>
      </c>
      <c r="S83" s="32">
        <v>15379.84</v>
      </c>
      <c r="T83" s="32">
        <v>9</v>
      </c>
      <c r="U83" s="32">
        <v>15379.84</v>
      </c>
      <c r="V83" s="32">
        <v>0</v>
      </c>
      <c r="W83" s="32">
        <v>0</v>
      </c>
      <c r="X83" s="32">
        <v>0</v>
      </c>
      <c r="Y83" s="32">
        <v>30759.68</v>
      </c>
      <c r="Z83" s="32">
        <v>0</v>
      </c>
      <c r="AA83" s="32" t="s">
        <v>189</v>
      </c>
      <c r="AB83" s="32" t="s">
        <v>168</v>
      </c>
      <c r="AC83" s="32">
        <v>39269080</v>
      </c>
      <c r="AD83" s="32" t="s">
        <v>208</v>
      </c>
      <c r="AE83" s="32">
        <v>1</v>
      </c>
      <c r="AF83" s="32">
        <v>1092</v>
      </c>
      <c r="AG83" s="32" t="s">
        <v>209</v>
      </c>
    </row>
    <row r="84" spans="1:33" x14ac:dyDescent="0.25">
      <c r="A84" s="23"/>
      <c r="B84" s="31">
        <v>46213</v>
      </c>
      <c r="C84" s="32" t="s">
        <v>673</v>
      </c>
      <c r="D84" s="32" t="s">
        <v>655</v>
      </c>
      <c r="E84" s="32" t="s">
        <v>754</v>
      </c>
      <c r="F84" s="32" t="s">
        <v>675</v>
      </c>
      <c r="G84" s="32" t="s">
        <v>754</v>
      </c>
      <c r="H84" s="31">
        <v>46213</v>
      </c>
      <c r="I84" s="32" t="s">
        <v>192</v>
      </c>
      <c r="J84" s="32" t="s">
        <v>152</v>
      </c>
      <c r="K84" s="32" t="s">
        <v>163</v>
      </c>
      <c r="L84" s="32" t="s">
        <v>207</v>
      </c>
      <c r="M84" s="32" t="s">
        <v>191</v>
      </c>
      <c r="N84" s="32">
        <v>19795</v>
      </c>
      <c r="O84" s="32">
        <v>5116986.6549999993</v>
      </c>
      <c r="P84" s="32" t="s">
        <v>191</v>
      </c>
      <c r="Q84" s="32">
        <v>5116986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2">
        <v>0</v>
      </c>
      <c r="Z84" s="32">
        <v>0</v>
      </c>
      <c r="AA84" s="32" t="s">
        <v>215</v>
      </c>
      <c r="AB84" s="32" t="s">
        <v>168</v>
      </c>
      <c r="AC84" s="32">
        <v>63053200</v>
      </c>
      <c r="AD84" s="32" t="s">
        <v>216</v>
      </c>
      <c r="AE84" s="32">
        <v>93.5</v>
      </c>
      <c r="AF84" s="32">
        <v>19795</v>
      </c>
      <c r="AG84" s="32" t="s">
        <v>209</v>
      </c>
    </row>
    <row r="85" spans="1:33" x14ac:dyDescent="0.25">
      <c r="A85" s="23"/>
      <c r="B85" s="31">
        <v>46213</v>
      </c>
      <c r="C85" s="32" t="s">
        <v>676</v>
      </c>
      <c r="D85" s="32" t="s">
        <v>655</v>
      </c>
      <c r="E85" s="32" t="s">
        <v>755</v>
      </c>
      <c r="F85" s="32" t="s">
        <v>657</v>
      </c>
      <c r="G85" s="32" t="s">
        <v>756</v>
      </c>
      <c r="H85" s="31">
        <v>46212</v>
      </c>
      <c r="I85" s="32" t="s">
        <v>169</v>
      </c>
      <c r="J85" s="32" t="s">
        <v>170</v>
      </c>
      <c r="K85" s="32" t="s">
        <v>157</v>
      </c>
      <c r="L85" s="32" t="s">
        <v>233</v>
      </c>
      <c r="M85" s="32" t="s">
        <v>757</v>
      </c>
      <c r="N85" s="32">
        <v>980</v>
      </c>
      <c r="O85" s="32">
        <v>151067</v>
      </c>
      <c r="P85" s="32" t="s">
        <v>757</v>
      </c>
      <c r="Q85" s="32">
        <v>313854.53000000003</v>
      </c>
      <c r="R85" s="32">
        <v>2.5</v>
      </c>
      <c r="S85" s="32">
        <v>3776.68</v>
      </c>
      <c r="T85" s="32">
        <v>2.5</v>
      </c>
      <c r="U85" s="32">
        <v>3776.68</v>
      </c>
      <c r="V85" s="32">
        <v>0</v>
      </c>
      <c r="W85" s="32">
        <v>0</v>
      </c>
      <c r="X85" s="32">
        <v>0</v>
      </c>
      <c r="Y85" s="32">
        <v>7553.36</v>
      </c>
      <c r="Z85" s="32">
        <v>0</v>
      </c>
      <c r="AA85" s="32" t="s">
        <v>172</v>
      </c>
      <c r="AB85" s="32" t="s">
        <v>168</v>
      </c>
      <c r="AC85" s="32">
        <v>54026930</v>
      </c>
      <c r="AD85" s="32" t="s">
        <v>208</v>
      </c>
      <c r="AE85" s="32">
        <v>1</v>
      </c>
      <c r="AF85" s="32">
        <v>980</v>
      </c>
      <c r="AG85" s="32" t="s">
        <v>209</v>
      </c>
    </row>
    <row r="86" spans="1:33" x14ac:dyDescent="0.25">
      <c r="A86" s="23"/>
      <c r="B86" s="31">
        <v>46213</v>
      </c>
      <c r="C86" s="32" t="s">
        <v>676</v>
      </c>
      <c r="D86" s="32" t="s">
        <v>655</v>
      </c>
      <c r="E86" s="32" t="s">
        <v>755</v>
      </c>
      <c r="F86" s="32" t="s">
        <v>657</v>
      </c>
      <c r="G86" s="32" t="s">
        <v>756</v>
      </c>
      <c r="H86" s="31">
        <v>46212</v>
      </c>
      <c r="I86" s="32" t="s">
        <v>169</v>
      </c>
      <c r="J86" s="32" t="s">
        <v>170</v>
      </c>
      <c r="K86" s="32" t="s">
        <v>157</v>
      </c>
      <c r="L86" s="32" t="s">
        <v>233</v>
      </c>
      <c r="M86" s="32" t="s">
        <v>709</v>
      </c>
      <c r="N86" s="32">
        <v>980</v>
      </c>
      <c r="O86" s="32">
        <v>148127</v>
      </c>
      <c r="P86" s="32" t="s">
        <v>709</v>
      </c>
      <c r="Q86" s="32">
        <v>0</v>
      </c>
      <c r="R86" s="32">
        <v>2.5</v>
      </c>
      <c r="S86" s="32">
        <v>3703.18</v>
      </c>
      <c r="T86" s="32">
        <v>2.5</v>
      </c>
      <c r="U86" s="32">
        <v>3703.18</v>
      </c>
      <c r="V86" s="32">
        <v>0</v>
      </c>
      <c r="W86" s="32">
        <v>0</v>
      </c>
      <c r="X86" s="32">
        <v>0</v>
      </c>
      <c r="Y86" s="32">
        <v>7406.36</v>
      </c>
      <c r="Z86" s="32">
        <v>0</v>
      </c>
      <c r="AA86" s="32" t="s">
        <v>172</v>
      </c>
      <c r="AB86" s="32" t="s">
        <v>168</v>
      </c>
      <c r="AC86" s="32">
        <v>54026930</v>
      </c>
      <c r="AD86" s="32" t="s">
        <v>208</v>
      </c>
      <c r="AE86" s="32">
        <v>1</v>
      </c>
      <c r="AF86" s="32">
        <v>980</v>
      </c>
      <c r="AG86" s="32" t="s">
        <v>209</v>
      </c>
    </row>
    <row r="87" spans="1:33" x14ac:dyDescent="0.25">
      <c r="A87" s="23"/>
      <c r="B87" s="31">
        <v>46213</v>
      </c>
      <c r="C87" s="32" t="s">
        <v>758</v>
      </c>
      <c r="D87" s="32" t="s">
        <v>660</v>
      </c>
      <c r="E87" s="32" t="s">
        <v>759</v>
      </c>
      <c r="F87" s="32" t="s">
        <v>664</v>
      </c>
      <c r="G87" s="32">
        <v>21</v>
      </c>
      <c r="H87" s="31">
        <v>46208</v>
      </c>
      <c r="I87" s="32" t="s">
        <v>169</v>
      </c>
      <c r="J87" s="32" t="s">
        <v>176</v>
      </c>
      <c r="K87" s="32" t="s">
        <v>159</v>
      </c>
      <c r="L87" s="32" t="s">
        <v>159</v>
      </c>
      <c r="M87" s="32" t="s">
        <v>238</v>
      </c>
      <c r="N87" s="32">
        <v>63.78</v>
      </c>
      <c r="O87" s="32">
        <v>13941.5</v>
      </c>
      <c r="P87" s="32" t="s">
        <v>238</v>
      </c>
      <c r="Q87" s="32">
        <v>16450.97</v>
      </c>
      <c r="R87" s="32">
        <v>9</v>
      </c>
      <c r="S87" s="32">
        <v>1254.73</v>
      </c>
      <c r="T87" s="32">
        <v>9</v>
      </c>
      <c r="U87" s="32">
        <v>1254.73</v>
      </c>
      <c r="V87" s="32">
        <v>0</v>
      </c>
      <c r="W87" s="32">
        <v>0</v>
      </c>
      <c r="X87" s="32">
        <v>0</v>
      </c>
      <c r="Y87" s="32">
        <v>2509.46</v>
      </c>
      <c r="Z87" s="32">
        <v>0</v>
      </c>
      <c r="AA87" s="32" t="s">
        <v>760</v>
      </c>
      <c r="AB87" s="32" t="s">
        <v>168</v>
      </c>
      <c r="AC87" s="32">
        <v>3920101</v>
      </c>
      <c r="AD87" s="32" t="s">
        <v>208</v>
      </c>
      <c r="AE87" s="32">
        <v>1</v>
      </c>
      <c r="AF87" s="32">
        <v>63.78</v>
      </c>
      <c r="AG87" s="32" t="s">
        <v>209</v>
      </c>
    </row>
    <row r="88" spans="1:33" x14ac:dyDescent="0.25">
      <c r="A88" s="23"/>
      <c r="B88" s="31">
        <v>46213</v>
      </c>
      <c r="C88" s="32" t="s">
        <v>654</v>
      </c>
      <c r="D88" s="32" t="s">
        <v>655</v>
      </c>
      <c r="E88" s="32" t="s">
        <v>761</v>
      </c>
      <c r="F88" s="32" t="s">
        <v>657</v>
      </c>
      <c r="G88" s="32" t="s">
        <v>762</v>
      </c>
      <c r="H88" s="31">
        <v>46213</v>
      </c>
      <c r="I88" s="32" t="s">
        <v>192</v>
      </c>
      <c r="J88" s="32" t="s">
        <v>443</v>
      </c>
      <c r="K88" s="32" t="s">
        <v>444</v>
      </c>
      <c r="L88" s="32" t="s">
        <v>207</v>
      </c>
      <c r="M88" s="32" t="s">
        <v>445</v>
      </c>
      <c r="N88" s="32">
        <v>416.8</v>
      </c>
      <c r="O88" s="32">
        <v>95797.31</v>
      </c>
      <c r="P88" s="32" t="s">
        <v>445</v>
      </c>
      <c r="Q88" s="32">
        <v>112945.03</v>
      </c>
      <c r="R88" s="32">
        <v>9</v>
      </c>
      <c r="S88" s="32">
        <v>8621.76</v>
      </c>
      <c r="T88" s="32">
        <v>9</v>
      </c>
      <c r="U88" s="32">
        <v>8621.76</v>
      </c>
      <c r="V88" s="32">
        <v>0</v>
      </c>
      <c r="W88" s="32">
        <v>0</v>
      </c>
      <c r="X88" s="32">
        <v>0</v>
      </c>
      <c r="Y88" s="32">
        <v>17243.52</v>
      </c>
      <c r="Z88" s="32">
        <v>0</v>
      </c>
      <c r="AA88" s="32" t="s">
        <v>177</v>
      </c>
      <c r="AB88" s="32" t="s">
        <v>168</v>
      </c>
      <c r="AC88" s="32">
        <v>39232990</v>
      </c>
      <c r="AD88" s="32" t="s">
        <v>208</v>
      </c>
      <c r="AE88" s="32">
        <v>1</v>
      </c>
      <c r="AF88" s="32">
        <v>416.8</v>
      </c>
      <c r="AG88" s="32" t="s">
        <v>209</v>
      </c>
    </row>
    <row r="89" spans="1:33" x14ac:dyDescent="0.25">
      <c r="A89" s="23"/>
      <c r="B89" s="31">
        <v>46213</v>
      </c>
      <c r="C89" s="32" t="s">
        <v>654</v>
      </c>
      <c r="D89" s="32" t="s">
        <v>655</v>
      </c>
      <c r="E89" s="32" t="s">
        <v>763</v>
      </c>
      <c r="F89" s="32" t="s">
        <v>657</v>
      </c>
      <c r="G89" s="32" t="s">
        <v>764</v>
      </c>
      <c r="H89" s="31">
        <v>46213</v>
      </c>
      <c r="I89" s="32" t="s">
        <v>169</v>
      </c>
      <c r="J89" s="32" t="s">
        <v>170</v>
      </c>
      <c r="K89" s="32" t="s">
        <v>157</v>
      </c>
      <c r="L89" s="32" t="s">
        <v>233</v>
      </c>
      <c r="M89" s="32" t="s">
        <v>684</v>
      </c>
      <c r="N89" s="32">
        <v>203.4</v>
      </c>
      <c r="O89" s="32">
        <v>31830.07</v>
      </c>
      <c r="P89" s="32" t="s">
        <v>684</v>
      </c>
      <c r="Q89" s="32">
        <v>33389.74</v>
      </c>
      <c r="R89" s="32">
        <v>2.5</v>
      </c>
      <c r="S89" s="32">
        <v>795.75</v>
      </c>
      <c r="T89" s="32">
        <v>2.5</v>
      </c>
      <c r="U89" s="32">
        <v>795.75</v>
      </c>
      <c r="V89" s="32">
        <v>0</v>
      </c>
      <c r="W89" s="32">
        <v>0</v>
      </c>
      <c r="X89" s="32">
        <v>0</v>
      </c>
      <c r="Y89" s="32">
        <v>1591.5</v>
      </c>
      <c r="Z89" s="32">
        <v>0</v>
      </c>
      <c r="AA89" s="32" t="s">
        <v>177</v>
      </c>
      <c r="AB89" s="32" t="s">
        <v>188</v>
      </c>
      <c r="AC89" s="32">
        <v>54026930</v>
      </c>
      <c r="AD89" s="32" t="s">
        <v>208</v>
      </c>
      <c r="AE89" s="32">
        <v>1</v>
      </c>
      <c r="AF89" s="32">
        <v>203.4</v>
      </c>
      <c r="AG89" s="32" t="s">
        <v>209</v>
      </c>
    </row>
    <row r="90" spans="1:33" x14ac:dyDescent="0.25">
      <c r="A90" s="23"/>
      <c r="B90" s="31">
        <v>46213</v>
      </c>
      <c r="C90" s="32" t="s">
        <v>654</v>
      </c>
      <c r="D90" s="32" t="s">
        <v>655</v>
      </c>
      <c r="E90" s="32" t="s">
        <v>765</v>
      </c>
      <c r="F90" s="32" t="s">
        <v>657</v>
      </c>
      <c r="G90" s="32" t="s">
        <v>766</v>
      </c>
      <c r="H90" s="31">
        <v>46213</v>
      </c>
      <c r="I90" s="32" t="s">
        <v>169</v>
      </c>
      <c r="J90" s="32" t="s">
        <v>180</v>
      </c>
      <c r="K90" s="32" t="s">
        <v>156</v>
      </c>
      <c r="L90" s="32" t="s">
        <v>218</v>
      </c>
      <c r="M90" s="32" t="s">
        <v>179</v>
      </c>
      <c r="N90" s="32">
        <v>1396</v>
      </c>
      <c r="O90" s="32">
        <v>211480.04</v>
      </c>
      <c r="P90" s="32" t="s">
        <v>179</v>
      </c>
      <c r="Q90" s="32">
        <v>1805411.03</v>
      </c>
      <c r="R90" s="32">
        <v>9</v>
      </c>
      <c r="S90" s="32">
        <v>19033.2</v>
      </c>
      <c r="T90" s="32">
        <v>9</v>
      </c>
      <c r="U90" s="32">
        <v>19033.2</v>
      </c>
      <c r="V90" s="32">
        <v>0</v>
      </c>
      <c r="W90" s="32">
        <v>0</v>
      </c>
      <c r="X90" s="32">
        <v>0</v>
      </c>
      <c r="Y90" s="32">
        <v>38066.400000000001</v>
      </c>
      <c r="Z90" s="32">
        <v>0</v>
      </c>
      <c r="AA90" s="32" t="s">
        <v>177</v>
      </c>
      <c r="AB90" s="32" t="s">
        <v>168</v>
      </c>
      <c r="AC90" s="32">
        <v>63053300</v>
      </c>
      <c r="AD90" s="32" t="s">
        <v>208</v>
      </c>
      <c r="AE90" s="32">
        <v>1</v>
      </c>
      <c r="AF90" s="32">
        <v>1396</v>
      </c>
      <c r="AG90" s="32" t="s">
        <v>209</v>
      </c>
    </row>
    <row r="91" spans="1:33" x14ac:dyDescent="0.25">
      <c r="A91" s="23"/>
      <c r="B91" s="31">
        <v>46213</v>
      </c>
      <c r="C91" s="32" t="s">
        <v>654</v>
      </c>
      <c r="D91" s="32" t="s">
        <v>655</v>
      </c>
      <c r="E91" s="32" t="s">
        <v>765</v>
      </c>
      <c r="F91" s="32" t="s">
        <v>657</v>
      </c>
      <c r="G91" s="32" t="s">
        <v>766</v>
      </c>
      <c r="H91" s="31">
        <v>46213</v>
      </c>
      <c r="I91" s="32" t="s">
        <v>169</v>
      </c>
      <c r="J91" s="32" t="s">
        <v>182</v>
      </c>
      <c r="K91" s="32" t="s">
        <v>154</v>
      </c>
      <c r="L91" s="32" t="s">
        <v>154</v>
      </c>
      <c r="M91" s="32" t="s">
        <v>182</v>
      </c>
      <c r="N91" s="32">
        <v>1479.3</v>
      </c>
      <c r="O91" s="32">
        <v>221140.557</v>
      </c>
      <c r="P91" s="32" t="s">
        <v>182</v>
      </c>
      <c r="Q91" s="32">
        <v>0</v>
      </c>
      <c r="R91" s="32">
        <v>9</v>
      </c>
      <c r="S91" s="32">
        <v>19902.650000000001</v>
      </c>
      <c r="T91" s="32">
        <v>9</v>
      </c>
      <c r="U91" s="32">
        <v>19902.650000000001</v>
      </c>
      <c r="V91" s="32">
        <v>0</v>
      </c>
      <c r="W91" s="32">
        <v>0</v>
      </c>
      <c r="X91" s="32">
        <v>0</v>
      </c>
      <c r="Y91" s="32">
        <v>39805.300000000003</v>
      </c>
      <c r="Z91" s="32">
        <v>0</v>
      </c>
      <c r="AA91" s="32" t="s">
        <v>177</v>
      </c>
      <c r="AB91" s="32" t="s">
        <v>168</v>
      </c>
      <c r="AC91" s="32">
        <v>3926908</v>
      </c>
      <c r="AD91" s="32" t="s">
        <v>208</v>
      </c>
      <c r="AE91" s="32">
        <v>1</v>
      </c>
      <c r="AF91" s="32">
        <v>1479.3</v>
      </c>
      <c r="AG91" s="32" t="s">
        <v>209</v>
      </c>
    </row>
    <row r="92" spans="1:33" x14ac:dyDescent="0.25">
      <c r="A92" s="23"/>
      <c r="B92" s="31">
        <v>46213</v>
      </c>
      <c r="C92" s="32" t="s">
        <v>654</v>
      </c>
      <c r="D92" s="32" t="s">
        <v>655</v>
      </c>
      <c r="E92" s="32" t="s">
        <v>765</v>
      </c>
      <c r="F92" s="32" t="s">
        <v>657</v>
      </c>
      <c r="G92" s="32" t="s">
        <v>766</v>
      </c>
      <c r="H92" s="31">
        <v>46213</v>
      </c>
      <c r="I92" s="32" t="s">
        <v>169</v>
      </c>
      <c r="J92" s="32" t="s">
        <v>182</v>
      </c>
      <c r="K92" s="32" t="s">
        <v>154</v>
      </c>
      <c r="L92" s="32" t="s">
        <v>154</v>
      </c>
      <c r="M92" s="32" t="s">
        <v>182</v>
      </c>
      <c r="N92" s="32">
        <v>75.2</v>
      </c>
      <c r="O92" s="32">
        <v>11016.048000000001</v>
      </c>
      <c r="P92" s="32" t="s">
        <v>182</v>
      </c>
      <c r="Q92" s="32">
        <v>0</v>
      </c>
      <c r="R92" s="32">
        <v>9</v>
      </c>
      <c r="S92" s="32">
        <v>991.44</v>
      </c>
      <c r="T92" s="32">
        <v>9</v>
      </c>
      <c r="U92" s="32">
        <v>991.44</v>
      </c>
      <c r="V92" s="32">
        <v>0</v>
      </c>
      <c r="W92" s="32">
        <v>0</v>
      </c>
      <c r="X92" s="32">
        <v>0</v>
      </c>
      <c r="Y92" s="32">
        <v>1982.88</v>
      </c>
      <c r="Z92" s="32">
        <v>0</v>
      </c>
      <c r="AA92" s="32" t="s">
        <v>177</v>
      </c>
      <c r="AB92" s="32" t="s">
        <v>168</v>
      </c>
      <c r="AC92" s="32">
        <v>3926908</v>
      </c>
      <c r="AD92" s="32" t="s">
        <v>208</v>
      </c>
      <c r="AE92" s="32">
        <v>1</v>
      </c>
      <c r="AF92" s="32">
        <v>75.2</v>
      </c>
      <c r="AG92" s="32" t="s">
        <v>209</v>
      </c>
    </row>
    <row r="93" spans="1:33" x14ac:dyDescent="0.25">
      <c r="A93" s="23"/>
      <c r="B93" s="31">
        <v>46213</v>
      </c>
      <c r="C93" s="32" t="s">
        <v>654</v>
      </c>
      <c r="D93" s="32" t="s">
        <v>655</v>
      </c>
      <c r="E93" s="32" t="s">
        <v>765</v>
      </c>
      <c r="F93" s="32" t="s">
        <v>657</v>
      </c>
      <c r="G93" s="32" t="s">
        <v>766</v>
      </c>
      <c r="H93" s="31">
        <v>46213</v>
      </c>
      <c r="I93" s="32" t="s">
        <v>169</v>
      </c>
      <c r="J93" s="32" t="s">
        <v>170</v>
      </c>
      <c r="K93" s="32" t="s">
        <v>157</v>
      </c>
      <c r="L93" s="32" t="s">
        <v>233</v>
      </c>
      <c r="M93" s="32" t="s">
        <v>684</v>
      </c>
      <c r="N93" s="32">
        <v>1128.8</v>
      </c>
      <c r="O93" s="32">
        <v>176645.91200000001</v>
      </c>
      <c r="P93" s="32" t="s">
        <v>684</v>
      </c>
      <c r="Q93" s="32">
        <v>0</v>
      </c>
      <c r="R93" s="32">
        <v>2.5</v>
      </c>
      <c r="S93" s="32">
        <v>4416.1499999999996</v>
      </c>
      <c r="T93" s="32">
        <v>2.5</v>
      </c>
      <c r="U93" s="32">
        <v>4416.1499999999996</v>
      </c>
      <c r="V93" s="32">
        <v>0</v>
      </c>
      <c r="W93" s="32">
        <v>0</v>
      </c>
      <c r="X93" s="32">
        <v>0</v>
      </c>
      <c r="Y93" s="32">
        <v>8832.2999999999993</v>
      </c>
      <c r="Z93" s="32">
        <v>0</v>
      </c>
      <c r="AA93" s="32" t="s">
        <v>177</v>
      </c>
      <c r="AB93" s="32" t="s">
        <v>188</v>
      </c>
      <c r="AC93" s="32">
        <v>54026930</v>
      </c>
      <c r="AD93" s="32" t="s">
        <v>208</v>
      </c>
      <c r="AE93" s="32">
        <v>1</v>
      </c>
      <c r="AF93" s="32">
        <v>1128.8</v>
      </c>
      <c r="AG93" s="32" t="s">
        <v>209</v>
      </c>
    </row>
    <row r="94" spans="1:33" x14ac:dyDescent="0.25">
      <c r="A94" s="23"/>
      <c r="B94" s="31">
        <v>46213</v>
      </c>
      <c r="C94" s="32" t="s">
        <v>654</v>
      </c>
      <c r="D94" s="32" t="s">
        <v>655</v>
      </c>
      <c r="E94" s="32" t="s">
        <v>765</v>
      </c>
      <c r="F94" s="32" t="s">
        <v>657</v>
      </c>
      <c r="G94" s="32" t="s">
        <v>766</v>
      </c>
      <c r="H94" s="31">
        <v>46213</v>
      </c>
      <c r="I94" s="32" t="s">
        <v>169</v>
      </c>
      <c r="J94" s="32" t="s">
        <v>170</v>
      </c>
      <c r="K94" s="32" t="s">
        <v>157</v>
      </c>
      <c r="L94" s="32" t="s">
        <v>233</v>
      </c>
      <c r="M94" s="32" t="s">
        <v>767</v>
      </c>
      <c r="N94" s="32">
        <v>312</v>
      </c>
      <c r="O94" s="32">
        <v>48824.88</v>
      </c>
      <c r="P94" s="32" t="s">
        <v>767</v>
      </c>
      <c r="Q94" s="32">
        <v>0</v>
      </c>
      <c r="R94" s="32">
        <v>2.5</v>
      </c>
      <c r="S94" s="32">
        <v>1220.6199999999999</v>
      </c>
      <c r="T94" s="32">
        <v>2.5</v>
      </c>
      <c r="U94" s="32">
        <v>1220.6199999999999</v>
      </c>
      <c r="V94" s="32">
        <v>0</v>
      </c>
      <c r="W94" s="32">
        <v>0</v>
      </c>
      <c r="X94" s="32">
        <v>0</v>
      </c>
      <c r="Y94" s="32">
        <v>2441.2399999999998</v>
      </c>
      <c r="Z94" s="32">
        <v>0</v>
      </c>
      <c r="AA94" s="32" t="s">
        <v>177</v>
      </c>
      <c r="AB94" s="32" t="s">
        <v>188</v>
      </c>
      <c r="AC94" s="32">
        <v>54026300</v>
      </c>
      <c r="AD94" s="32" t="s">
        <v>208</v>
      </c>
      <c r="AE94" s="32">
        <v>1</v>
      </c>
      <c r="AF94" s="32">
        <v>312</v>
      </c>
      <c r="AG94" s="32" t="s">
        <v>209</v>
      </c>
    </row>
    <row r="95" spans="1:33" x14ac:dyDescent="0.25">
      <c r="A95" s="23"/>
      <c r="B95" s="31">
        <v>46213</v>
      </c>
      <c r="C95" s="32" t="s">
        <v>654</v>
      </c>
      <c r="D95" s="32" t="s">
        <v>655</v>
      </c>
      <c r="E95" s="32" t="s">
        <v>765</v>
      </c>
      <c r="F95" s="32" t="s">
        <v>657</v>
      </c>
      <c r="G95" s="32" t="s">
        <v>766</v>
      </c>
      <c r="H95" s="31">
        <v>46213</v>
      </c>
      <c r="I95" s="32" t="s">
        <v>169</v>
      </c>
      <c r="J95" s="32" t="s">
        <v>170</v>
      </c>
      <c r="K95" s="32" t="s">
        <v>157</v>
      </c>
      <c r="L95" s="32" t="s">
        <v>233</v>
      </c>
      <c r="M95" s="32" t="s">
        <v>685</v>
      </c>
      <c r="N95" s="32">
        <v>862</v>
      </c>
      <c r="O95" s="32">
        <v>134894.38</v>
      </c>
      <c r="P95" s="32" t="s">
        <v>685</v>
      </c>
      <c r="Q95" s="32">
        <v>0</v>
      </c>
      <c r="R95" s="32">
        <v>2.5</v>
      </c>
      <c r="S95" s="32">
        <v>3372.36</v>
      </c>
      <c r="T95" s="32">
        <v>2.5</v>
      </c>
      <c r="U95" s="32">
        <v>3372.36</v>
      </c>
      <c r="V95" s="32">
        <v>0</v>
      </c>
      <c r="W95" s="32">
        <v>0</v>
      </c>
      <c r="X95" s="32">
        <v>0</v>
      </c>
      <c r="Y95" s="32">
        <v>6744.72</v>
      </c>
      <c r="Z95" s="32">
        <v>0</v>
      </c>
      <c r="AA95" s="32" t="s">
        <v>177</v>
      </c>
      <c r="AB95" s="32" t="s">
        <v>188</v>
      </c>
      <c r="AC95" s="32">
        <v>540263</v>
      </c>
      <c r="AD95" s="32" t="s">
        <v>208</v>
      </c>
      <c r="AE95" s="32">
        <v>1</v>
      </c>
      <c r="AF95" s="32">
        <v>862</v>
      </c>
      <c r="AG95" s="32" t="s">
        <v>209</v>
      </c>
    </row>
    <row r="96" spans="1:33" x14ac:dyDescent="0.25">
      <c r="A96" s="23"/>
      <c r="B96" s="31">
        <v>46213</v>
      </c>
      <c r="C96" s="32" t="s">
        <v>654</v>
      </c>
      <c r="D96" s="32" t="s">
        <v>655</v>
      </c>
      <c r="E96" s="32" t="s">
        <v>765</v>
      </c>
      <c r="F96" s="32" t="s">
        <v>657</v>
      </c>
      <c r="G96" s="32" t="s">
        <v>766</v>
      </c>
      <c r="H96" s="31">
        <v>46213</v>
      </c>
      <c r="I96" s="32" t="s">
        <v>169</v>
      </c>
      <c r="J96" s="32" t="s">
        <v>170</v>
      </c>
      <c r="K96" s="32" t="s">
        <v>157</v>
      </c>
      <c r="L96" s="32" t="s">
        <v>233</v>
      </c>
      <c r="M96" s="32" t="s">
        <v>681</v>
      </c>
      <c r="N96" s="32">
        <v>44.4</v>
      </c>
      <c r="O96" s="32">
        <v>7147.9560000000001</v>
      </c>
      <c r="P96" s="32" t="s">
        <v>681</v>
      </c>
      <c r="Q96" s="32">
        <v>0</v>
      </c>
      <c r="R96" s="32">
        <v>2.5</v>
      </c>
      <c r="S96" s="32">
        <v>178.7</v>
      </c>
      <c r="T96" s="32">
        <v>2.5</v>
      </c>
      <c r="U96" s="32">
        <v>178.7</v>
      </c>
      <c r="V96" s="32">
        <v>0</v>
      </c>
      <c r="W96" s="32">
        <v>0</v>
      </c>
      <c r="X96" s="32">
        <v>0</v>
      </c>
      <c r="Y96" s="32">
        <v>357.4</v>
      </c>
      <c r="Z96" s="32">
        <v>0</v>
      </c>
      <c r="AA96" s="32" t="s">
        <v>177</v>
      </c>
      <c r="AB96" s="32" t="s">
        <v>168</v>
      </c>
      <c r="AC96" s="32">
        <v>540269</v>
      </c>
      <c r="AD96" s="32" t="s">
        <v>208</v>
      </c>
      <c r="AE96" s="32">
        <v>1</v>
      </c>
      <c r="AF96" s="32">
        <v>44.4</v>
      </c>
      <c r="AG96" s="32" t="s">
        <v>209</v>
      </c>
    </row>
    <row r="97" spans="1:33" x14ac:dyDescent="0.25">
      <c r="A97" s="23"/>
      <c r="B97" s="31">
        <v>46213</v>
      </c>
      <c r="C97" s="32" t="s">
        <v>654</v>
      </c>
      <c r="D97" s="32" t="s">
        <v>655</v>
      </c>
      <c r="E97" s="32" t="s">
        <v>765</v>
      </c>
      <c r="F97" s="32" t="s">
        <v>657</v>
      </c>
      <c r="G97" s="32" t="s">
        <v>766</v>
      </c>
      <c r="H97" s="31">
        <v>46213</v>
      </c>
      <c r="I97" s="32" t="s">
        <v>169</v>
      </c>
      <c r="J97" s="32" t="s">
        <v>176</v>
      </c>
      <c r="K97" s="32" t="s">
        <v>159</v>
      </c>
      <c r="L97" s="32" t="s">
        <v>159</v>
      </c>
      <c r="M97" s="32" t="s">
        <v>174</v>
      </c>
      <c r="N97" s="32">
        <v>3036</v>
      </c>
      <c r="O97" s="32">
        <v>554920.07999999996</v>
      </c>
      <c r="P97" s="32" t="s">
        <v>174</v>
      </c>
      <c r="Q97" s="32">
        <v>0</v>
      </c>
      <c r="R97" s="32">
        <v>9</v>
      </c>
      <c r="S97" s="32">
        <v>49942.81</v>
      </c>
      <c r="T97" s="32">
        <v>9</v>
      </c>
      <c r="U97" s="32">
        <v>49942.81</v>
      </c>
      <c r="V97" s="32">
        <v>0</v>
      </c>
      <c r="W97" s="32">
        <v>0</v>
      </c>
      <c r="X97" s="32">
        <v>0</v>
      </c>
      <c r="Y97" s="32">
        <v>99885.62</v>
      </c>
      <c r="Z97" s="32">
        <v>0</v>
      </c>
      <c r="AA97" s="32" t="s">
        <v>177</v>
      </c>
      <c r="AB97" s="32" t="s">
        <v>168</v>
      </c>
      <c r="AC97" s="32">
        <v>39200000</v>
      </c>
      <c r="AD97" s="32" t="s">
        <v>208</v>
      </c>
      <c r="AE97" s="32">
        <v>1</v>
      </c>
      <c r="AF97" s="32">
        <v>3036</v>
      </c>
      <c r="AG97" s="32" t="s">
        <v>209</v>
      </c>
    </row>
    <row r="98" spans="1:33" x14ac:dyDescent="0.25">
      <c r="A98" s="23"/>
      <c r="B98" s="31">
        <v>46213</v>
      </c>
      <c r="C98" s="32" t="s">
        <v>654</v>
      </c>
      <c r="D98" s="32" t="s">
        <v>655</v>
      </c>
      <c r="E98" s="32" t="s">
        <v>765</v>
      </c>
      <c r="F98" s="32" t="s">
        <v>657</v>
      </c>
      <c r="G98" s="32" t="s">
        <v>766</v>
      </c>
      <c r="H98" s="31">
        <v>46213</v>
      </c>
      <c r="I98" s="32" t="s">
        <v>169</v>
      </c>
      <c r="J98" s="32" t="s">
        <v>180</v>
      </c>
      <c r="K98" s="32" t="s">
        <v>155</v>
      </c>
      <c r="L98" s="32" t="s">
        <v>210</v>
      </c>
      <c r="M98" s="32" t="s">
        <v>187</v>
      </c>
      <c r="N98" s="32">
        <v>255</v>
      </c>
      <c r="O98" s="32">
        <v>36844.949999999997</v>
      </c>
      <c r="P98" s="32" t="s">
        <v>187</v>
      </c>
      <c r="Q98" s="32">
        <v>0</v>
      </c>
      <c r="R98" s="32">
        <v>9</v>
      </c>
      <c r="S98" s="32">
        <v>3316.05</v>
      </c>
      <c r="T98" s="32">
        <v>9</v>
      </c>
      <c r="U98" s="32">
        <v>3316.05</v>
      </c>
      <c r="V98" s="32">
        <v>0</v>
      </c>
      <c r="W98" s="32">
        <v>0</v>
      </c>
      <c r="X98" s="32">
        <v>0</v>
      </c>
      <c r="Y98" s="32">
        <v>6632.1</v>
      </c>
      <c r="Z98" s="32">
        <v>0</v>
      </c>
      <c r="AA98" s="32" t="s">
        <v>177</v>
      </c>
      <c r="AB98" s="32" t="s">
        <v>168</v>
      </c>
      <c r="AC98" s="32">
        <v>39269080</v>
      </c>
      <c r="AD98" s="32" t="s">
        <v>208</v>
      </c>
      <c r="AE98" s="32">
        <v>1</v>
      </c>
      <c r="AF98" s="32">
        <v>255</v>
      </c>
      <c r="AG98" s="32" t="s">
        <v>209</v>
      </c>
    </row>
    <row r="99" spans="1:33" x14ac:dyDescent="0.25">
      <c r="A99" s="23"/>
      <c r="B99" s="31">
        <v>46213</v>
      </c>
      <c r="C99" s="32" t="s">
        <v>654</v>
      </c>
      <c r="D99" s="32" t="s">
        <v>655</v>
      </c>
      <c r="E99" s="32" t="s">
        <v>765</v>
      </c>
      <c r="F99" s="32" t="s">
        <v>657</v>
      </c>
      <c r="G99" s="32" t="s">
        <v>766</v>
      </c>
      <c r="H99" s="31">
        <v>46213</v>
      </c>
      <c r="I99" s="32" t="s">
        <v>169</v>
      </c>
      <c r="J99" s="32" t="s">
        <v>180</v>
      </c>
      <c r="K99" s="32" t="s">
        <v>155</v>
      </c>
      <c r="L99" s="32" t="s">
        <v>210</v>
      </c>
      <c r="M99" s="32" t="s">
        <v>187</v>
      </c>
      <c r="N99" s="32">
        <v>472</v>
      </c>
      <c r="O99" s="32">
        <v>70559.28</v>
      </c>
      <c r="P99" s="32" t="s">
        <v>187</v>
      </c>
      <c r="Q99" s="32">
        <v>0</v>
      </c>
      <c r="R99" s="32">
        <v>9</v>
      </c>
      <c r="S99" s="32">
        <v>6350.34</v>
      </c>
      <c r="T99" s="32">
        <v>9</v>
      </c>
      <c r="U99" s="32">
        <v>6350.34</v>
      </c>
      <c r="V99" s="32">
        <v>0</v>
      </c>
      <c r="W99" s="32">
        <v>0</v>
      </c>
      <c r="X99" s="32">
        <v>0</v>
      </c>
      <c r="Y99" s="32">
        <v>12700.68</v>
      </c>
      <c r="Z99" s="32">
        <v>0</v>
      </c>
      <c r="AA99" s="32" t="s">
        <v>177</v>
      </c>
      <c r="AB99" s="32" t="s">
        <v>168</v>
      </c>
      <c r="AC99" s="32">
        <v>39269080</v>
      </c>
      <c r="AD99" s="32" t="s">
        <v>208</v>
      </c>
      <c r="AE99" s="32">
        <v>1</v>
      </c>
      <c r="AF99" s="32">
        <v>472</v>
      </c>
      <c r="AG99" s="32" t="s">
        <v>209</v>
      </c>
    </row>
    <row r="100" spans="1:33" x14ac:dyDescent="0.25">
      <c r="A100" s="23"/>
      <c r="B100" s="31">
        <v>46213</v>
      </c>
      <c r="C100" s="32" t="s">
        <v>654</v>
      </c>
      <c r="D100" s="32" t="s">
        <v>655</v>
      </c>
      <c r="E100" s="32" t="s">
        <v>765</v>
      </c>
      <c r="F100" s="32" t="s">
        <v>657</v>
      </c>
      <c r="G100" s="32" t="s">
        <v>766</v>
      </c>
      <c r="H100" s="31">
        <v>46213</v>
      </c>
      <c r="I100" s="32" t="s">
        <v>169</v>
      </c>
      <c r="J100" s="32" t="s">
        <v>180</v>
      </c>
      <c r="K100" s="32" t="s">
        <v>155</v>
      </c>
      <c r="L100" s="32" t="s">
        <v>210</v>
      </c>
      <c r="M100" s="32" t="s">
        <v>187</v>
      </c>
      <c r="N100" s="32">
        <v>645</v>
      </c>
      <c r="O100" s="32">
        <v>98356.05</v>
      </c>
      <c r="P100" s="32" t="s">
        <v>187</v>
      </c>
      <c r="Q100" s="32">
        <v>0</v>
      </c>
      <c r="R100" s="32">
        <v>9</v>
      </c>
      <c r="S100" s="32">
        <v>8852.0400000000009</v>
      </c>
      <c r="T100" s="32">
        <v>9</v>
      </c>
      <c r="U100" s="32">
        <v>8852.0400000000009</v>
      </c>
      <c r="V100" s="32">
        <v>0</v>
      </c>
      <c r="W100" s="32">
        <v>0</v>
      </c>
      <c r="X100" s="32">
        <v>0</v>
      </c>
      <c r="Y100" s="32">
        <v>17704.080000000002</v>
      </c>
      <c r="Z100" s="32">
        <v>0</v>
      </c>
      <c r="AA100" s="32" t="s">
        <v>177</v>
      </c>
      <c r="AB100" s="32" t="s">
        <v>168</v>
      </c>
      <c r="AC100" s="32">
        <v>39269080</v>
      </c>
      <c r="AD100" s="32" t="s">
        <v>208</v>
      </c>
      <c r="AE100" s="32">
        <v>1</v>
      </c>
      <c r="AF100" s="32">
        <v>645</v>
      </c>
      <c r="AG100" s="32" t="s">
        <v>209</v>
      </c>
    </row>
    <row r="101" spans="1:33" x14ac:dyDescent="0.25">
      <c r="A101" s="23"/>
      <c r="B101" s="31">
        <v>46213</v>
      </c>
      <c r="C101" s="32" t="s">
        <v>654</v>
      </c>
      <c r="D101" s="32" t="s">
        <v>655</v>
      </c>
      <c r="E101" s="32" t="s">
        <v>768</v>
      </c>
      <c r="F101" s="32" t="s">
        <v>657</v>
      </c>
      <c r="G101" s="32" t="s">
        <v>769</v>
      </c>
      <c r="H101" s="31">
        <v>46213</v>
      </c>
      <c r="I101" s="32" t="s">
        <v>169</v>
      </c>
      <c r="J101" s="32" t="s">
        <v>201</v>
      </c>
      <c r="K101" s="32" t="s">
        <v>158</v>
      </c>
      <c r="L101" s="32" t="s">
        <v>220</v>
      </c>
      <c r="M101" s="32" t="s">
        <v>200</v>
      </c>
      <c r="N101" s="32">
        <v>88.8</v>
      </c>
      <c r="O101" s="32">
        <v>15342.86</v>
      </c>
      <c r="P101" s="32" t="s">
        <v>200</v>
      </c>
      <c r="Q101" s="32">
        <v>18089.240000000002</v>
      </c>
      <c r="R101" s="32">
        <v>9</v>
      </c>
      <c r="S101" s="32">
        <v>1380.86</v>
      </c>
      <c r="T101" s="32">
        <v>9</v>
      </c>
      <c r="U101" s="32">
        <v>1380.86</v>
      </c>
      <c r="V101" s="32">
        <v>0</v>
      </c>
      <c r="W101" s="32">
        <v>0</v>
      </c>
      <c r="X101" s="32">
        <v>0</v>
      </c>
      <c r="Y101" s="32">
        <v>2761.72</v>
      </c>
      <c r="Z101" s="32">
        <v>0</v>
      </c>
      <c r="AA101" s="32" t="s">
        <v>177</v>
      </c>
      <c r="AB101" s="32" t="s">
        <v>168</v>
      </c>
      <c r="AC101" s="32">
        <v>3920101</v>
      </c>
      <c r="AD101" s="32" t="s">
        <v>208</v>
      </c>
      <c r="AE101" s="32">
        <v>1</v>
      </c>
      <c r="AF101" s="32">
        <v>88.8</v>
      </c>
      <c r="AG101" s="32" t="s">
        <v>209</v>
      </c>
    </row>
    <row r="102" spans="1:33" x14ac:dyDescent="0.25">
      <c r="A102" s="23"/>
      <c r="B102" s="31">
        <v>46214</v>
      </c>
      <c r="C102" s="32" t="s">
        <v>673</v>
      </c>
      <c r="D102" s="32" t="s">
        <v>655</v>
      </c>
      <c r="E102" s="32" t="s">
        <v>770</v>
      </c>
      <c r="F102" s="32" t="s">
        <v>675</v>
      </c>
      <c r="G102" s="32" t="s">
        <v>770</v>
      </c>
      <c r="H102" s="31">
        <v>46214</v>
      </c>
      <c r="I102" s="32" t="s">
        <v>192</v>
      </c>
      <c r="J102" s="32" t="s">
        <v>152</v>
      </c>
      <c r="K102" s="32" t="s">
        <v>163</v>
      </c>
      <c r="L102" s="32" t="s">
        <v>207</v>
      </c>
      <c r="M102" s="32" t="s">
        <v>191</v>
      </c>
      <c r="N102" s="32">
        <v>17778</v>
      </c>
      <c r="O102" s="32">
        <v>4414194.84</v>
      </c>
      <c r="P102" s="32" t="s">
        <v>191</v>
      </c>
      <c r="Q102" s="32">
        <v>4414195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0</v>
      </c>
      <c r="Y102" s="32">
        <v>0</v>
      </c>
      <c r="Z102" s="32">
        <v>0</v>
      </c>
      <c r="AA102" s="32" t="s">
        <v>215</v>
      </c>
      <c r="AB102" s="32" t="s">
        <v>168</v>
      </c>
      <c r="AC102" s="32">
        <v>63053200</v>
      </c>
      <c r="AD102" s="32" t="s">
        <v>216</v>
      </c>
      <c r="AE102" s="32">
        <v>93.5</v>
      </c>
      <c r="AF102" s="32">
        <v>17778</v>
      </c>
      <c r="AG102" s="32" t="s">
        <v>209</v>
      </c>
    </row>
    <row r="103" spans="1:33" x14ac:dyDescent="0.25">
      <c r="A103" s="23"/>
      <c r="B103" s="31">
        <v>46214</v>
      </c>
      <c r="C103" s="32" t="s">
        <v>654</v>
      </c>
      <c r="D103" s="32" t="s">
        <v>655</v>
      </c>
      <c r="E103" s="32" t="s">
        <v>771</v>
      </c>
      <c r="F103" s="32" t="s">
        <v>657</v>
      </c>
      <c r="G103" s="32" t="s">
        <v>772</v>
      </c>
      <c r="H103" s="31">
        <v>46214</v>
      </c>
      <c r="I103" s="32" t="s">
        <v>169</v>
      </c>
      <c r="J103" s="32" t="s">
        <v>182</v>
      </c>
      <c r="K103" s="32" t="s">
        <v>154</v>
      </c>
      <c r="L103" s="32" t="s">
        <v>154</v>
      </c>
      <c r="M103" s="32" t="s">
        <v>182</v>
      </c>
      <c r="N103" s="32">
        <v>126.1</v>
      </c>
      <c r="O103" s="32">
        <v>18850.68</v>
      </c>
      <c r="P103" s="32" t="s">
        <v>182</v>
      </c>
      <c r="Q103" s="32">
        <v>861013.63</v>
      </c>
      <c r="R103" s="32">
        <v>9</v>
      </c>
      <c r="S103" s="32">
        <v>1696.56</v>
      </c>
      <c r="T103" s="32">
        <v>9</v>
      </c>
      <c r="U103" s="32">
        <v>1696.56</v>
      </c>
      <c r="V103" s="32">
        <v>0</v>
      </c>
      <c r="W103" s="32">
        <v>0</v>
      </c>
      <c r="X103" s="32">
        <v>0</v>
      </c>
      <c r="Y103" s="32">
        <v>3393.12</v>
      </c>
      <c r="Z103" s="32">
        <v>0</v>
      </c>
      <c r="AA103" s="32" t="s">
        <v>177</v>
      </c>
      <c r="AB103" s="32" t="s">
        <v>168</v>
      </c>
      <c r="AC103" s="32">
        <v>3926908</v>
      </c>
      <c r="AD103" s="32" t="s">
        <v>208</v>
      </c>
      <c r="AE103" s="32">
        <v>1</v>
      </c>
      <c r="AF103" s="32">
        <v>126.1</v>
      </c>
      <c r="AG103" s="32" t="s">
        <v>209</v>
      </c>
    </row>
    <row r="104" spans="1:33" x14ac:dyDescent="0.25">
      <c r="A104" s="23"/>
      <c r="B104" s="31">
        <v>46214</v>
      </c>
      <c r="C104" s="32" t="s">
        <v>654</v>
      </c>
      <c r="D104" s="32" t="s">
        <v>655</v>
      </c>
      <c r="E104" s="32" t="s">
        <v>771</v>
      </c>
      <c r="F104" s="32" t="s">
        <v>657</v>
      </c>
      <c r="G104" s="32" t="s">
        <v>772</v>
      </c>
      <c r="H104" s="31">
        <v>46214</v>
      </c>
      <c r="I104" s="32" t="s">
        <v>169</v>
      </c>
      <c r="J104" s="32" t="s">
        <v>182</v>
      </c>
      <c r="K104" s="32" t="s">
        <v>154</v>
      </c>
      <c r="L104" s="32" t="s">
        <v>154</v>
      </c>
      <c r="M104" s="32" t="s">
        <v>182</v>
      </c>
      <c r="N104" s="32">
        <v>98.4</v>
      </c>
      <c r="O104" s="32">
        <v>14414.61</v>
      </c>
      <c r="P104" s="32" t="s">
        <v>182</v>
      </c>
      <c r="Q104" s="32">
        <v>0</v>
      </c>
      <c r="R104" s="32">
        <v>9</v>
      </c>
      <c r="S104" s="32">
        <v>1297.32</v>
      </c>
      <c r="T104" s="32">
        <v>9</v>
      </c>
      <c r="U104" s="32">
        <v>1297.32</v>
      </c>
      <c r="V104" s="32">
        <v>0</v>
      </c>
      <c r="W104" s="32">
        <v>0</v>
      </c>
      <c r="X104" s="32">
        <v>0</v>
      </c>
      <c r="Y104" s="32">
        <v>2594.64</v>
      </c>
      <c r="Z104" s="32">
        <v>0</v>
      </c>
      <c r="AA104" s="32" t="s">
        <v>177</v>
      </c>
      <c r="AB104" s="32" t="s">
        <v>168</v>
      </c>
      <c r="AC104" s="32">
        <v>3926908</v>
      </c>
      <c r="AD104" s="32" t="s">
        <v>208</v>
      </c>
      <c r="AE104" s="32">
        <v>1</v>
      </c>
      <c r="AF104" s="32">
        <v>98.4</v>
      </c>
      <c r="AG104" s="32" t="s">
        <v>209</v>
      </c>
    </row>
    <row r="105" spans="1:33" x14ac:dyDescent="0.25">
      <c r="A105" s="23"/>
      <c r="B105" s="31">
        <v>46214</v>
      </c>
      <c r="C105" s="32" t="s">
        <v>654</v>
      </c>
      <c r="D105" s="32" t="s">
        <v>655</v>
      </c>
      <c r="E105" s="32" t="s">
        <v>771</v>
      </c>
      <c r="F105" s="32" t="s">
        <v>657</v>
      </c>
      <c r="G105" s="32" t="s">
        <v>772</v>
      </c>
      <c r="H105" s="31">
        <v>46214</v>
      </c>
      <c r="I105" s="32" t="s">
        <v>169</v>
      </c>
      <c r="J105" s="32" t="s">
        <v>170</v>
      </c>
      <c r="K105" s="32" t="s">
        <v>157</v>
      </c>
      <c r="L105" s="32" t="s">
        <v>308</v>
      </c>
      <c r="M105" s="32" t="s">
        <v>302</v>
      </c>
      <c r="N105" s="32">
        <v>49.1</v>
      </c>
      <c r="O105" s="32">
        <v>7757.3</v>
      </c>
      <c r="P105" s="32" t="s">
        <v>302</v>
      </c>
      <c r="Q105" s="32">
        <v>0</v>
      </c>
      <c r="R105" s="32">
        <v>2.5</v>
      </c>
      <c r="S105" s="32">
        <v>193.93</v>
      </c>
      <c r="T105" s="32">
        <v>2.5</v>
      </c>
      <c r="U105" s="32">
        <v>193.93</v>
      </c>
      <c r="V105" s="32">
        <v>0</v>
      </c>
      <c r="W105" s="32">
        <v>0</v>
      </c>
      <c r="X105" s="32">
        <v>0</v>
      </c>
      <c r="Y105" s="32">
        <v>387.86</v>
      </c>
      <c r="Z105" s="32">
        <v>0</v>
      </c>
      <c r="AA105" s="32" t="s">
        <v>177</v>
      </c>
      <c r="AB105" s="32" t="s">
        <v>168</v>
      </c>
      <c r="AC105" s="32">
        <v>540263</v>
      </c>
      <c r="AD105" s="32" t="s">
        <v>208</v>
      </c>
      <c r="AE105" s="32">
        <v>1</v>
      </c>
      <c r="AF105" s="32">
        <v>49.1</v>
      </c>
      <c r="AG105" s="32" t="s">
        <v>209</v>
      </c>
    </row>
    <row r="106" spans="1:33" x14ac:dyDescent="0.25">
      <c r="A106" s="23"/>
      <c r="B106" s="31">
        <v>46214</v>
      </c>
      <c r="C106" s="32" t="s">
        <v>654</v>
      </c>
      <c r="D106" s="32" t="s">
        <v>655</v>
      </c>
      <c r="E106" s="32" t="s">
        <v>771</v>
      </c>
      <c r="F106" s="32" t="s">
        <v>657</v>
      </c>
      <c r="G106" s="32" t="s">
        <v>772</v>
      </c>
      <c r="H106" s="31">
        <v>46214</v>
      </c>
      <c r="I106" s="32" t="s">
        <v>169</v>
      </c>
      <c r="J106" s="32" t="s">
        <v>180</v>
      </c>
      <c r="K106" s="32" t="s">
        <v>155</v>
      </c>
      <c r="L106" s="32" t="s">
        <v>210</v>
      </c>
      <c r="M106" s="32" t="s">
        <v>187</v>
      </c>
      <c r="N106" s="32">
        <v>323</v>
      </c>
      <c r="O106" s="32">
        <v>46670.27</v>
      </c>
      <c r="P106" s="32" t="s">
        <v>187</v>
      </c>
      <c r="Q106" s="32">
        <v>0</v>
      </c>
      <c r="R106" s="32">
        <v>9</v>
      </c>
      <c r="S106" s="32">
        <v>4200.32</v>
      </c>
      <c r="T106" s="32">
        <v>9</v>
      </c>
      <c r="U106" s="32">
        <v>4200.32</v>
      </c>
      <c r="V106" s="32">
        <v>0</v>
      </c>
      <c r="W106" s="32">
        <v>0</v>
      </c>
      <c r="X106" s="32">
        <v>0</v>
      </c>
      <c r="Y106" s="32">
        <v>8400.64</v>
      </c>
      <c r="Z106" s="32">
        <v>0</v>
      </c>
      <c r="AA106" s="32" t="s">
        <v>177</v>
      </c>
      <c r="AB106" s="32" t="s">
        <v>168</v>
      </c>
      <c r="AC106" s="32">
        <v>39269080</v>
      </c>
      <c r="AD106" s="32" t="s">
        <v>208</v>
      </c>
      <c r="AE106" s="32">
        <v>1</v>
      </c>
      <c r="AF106" s="32">
        <v>323</v>
      </c>
      <c r="AG106" s="32" t="s">
        <v>209</v>
      </c>
    </row>
    <row r="107" spans="1:33" x14ac:dyDescent="0.25">
      <c r="A107" s="23"/>
      <c r="B107" s="31">
        <v>46214</v>
      </c>
      <c r="C107" s="32" t="s">
        <v>654</v>
      </c>
      <c r="D107" s="32" t="s">
        <v>655</v>
      </c>
      <c r="E107" s="32" t="s">
        <v>771</v>
      </c>
      <c r="F107" s="32" t="s">
        <v>657</v>
      </c>
      <c r="G107" s="32" t="s">
        <v>772</v>
      </c>
      <c r="H107" s="31">
        <v>46214</v>
      </c>
      <c r="I107" s="32" t="s">
        <v>169</v>
      </c>
      <c r="J107" s="32" t="s">
        <v>180</v>
      </c>
      <c r="K107" s="32" t="s">
        <v>155</v>
      </c>
      <c r="L107" s="32" t="s">
        <v>210</v>
      </c>
      <c r="M107" s="32" t="s">
        <v>187</v>
      </c>
      <c r="N107" s="32">
        <v>578</v>
      </c>
      <c r="O107" s="32">
        <v>88139.22</v>
      </c>
      <c r="P107" s="32" t="s">
        <v>187</v>
      </c>
      <c r="Q107" s="32">
        <v>0</v>
      </c>
      <c r="R107" s="32">
        <v>9</v>
      </c>
      <c r="S107" s="32">
        <v>7932.53</v>
      </c>
      <c r="T107" s="32">
        <v>9</v>
      </c>
      <c r="U107" s="32">
        <v>7932.53</v>
      </c>
      <c r="V107" s="32">
        <v>0</v>
      </c>
      <c r="W107" s="32">
        <v>0</v>
      </c>
      <c r="X107" s="32">
        <v>0</v>
      </c>
      <c r="Y107" s="32">
        <v>15865.06</v>
      </c>
      <c r="Z107" s="32">
        <v>0</v>
      </c>
      <c r="AA107" s="32" t="s">
        <v>177</v>
      </c>
      <c r="AB107" s="32" t="s">
        <v>168</v>
      </c>
      <c r="AC107" s="32">
        <v>39269080</v>
      </c>
      <c r="AD107" s="32" t="s">
        <v>208</v>
      </c>
      <c r="AE107" s="32">
        <v>1</v>
      </c>
      <c r="AF107" s="32">
        <v>578</v>
      </c>
      <c r="AG107" s="32" t="s">
        <v>209</v>
      </c>
    </row>
    <row r="108" spans="1:33" x14ac:dyDescent="0.25">
      <c r="A108" s="23"/>
      <c r="B108" s="31">
        <v>46214</v>
      </c>
      <c r="C108" s="32" t="s">
        <v>654</v>
      </c>
      <c r="D108" s="32" t="s">
        <v>655</v>
      </c>
      <c r="E108" s="32" t="s">
        <v>771</v>
      </c>
      <c r="F108" s="32" t="s">
        <v>657</v>
      </c>
      <c r="G108" s="32" t="s">
        <v>772</v>
      </c>
      <c r="H108" s="31">
        <v>46214</v>
      </c>
      <c r="I108" s="32" t="s">
        <v>169</v>
      </c>
      <c r="J108" s="32" t="s">
        <v>176</v>
      </c>
      <c r="K108" s="32" t="s">
        <v>159</v>
      </c>
      <c r="L108" s="32" t="s">
        <v>159</v>
      </c>
      <c r="M108" s="32" t="s">
        <v>174</v>
      </c>
      <c r="N108" s="32">
        <v>497</v>
      </c>
      <c r="O108" s="32">
        <v>90841.66</v>
      </c>
      <c r="P108" s="32" t="s">
        <v>174</v>
      </c>
      <c r="Q108" s="32">
        <v>0</v>
      </c>
      <c r="R108" s="32">
        <v>9</v>
      </c>
      <c r="S108" s="32">
        <v>8175.75</v>
      </c>
      <c r="T108" s="32">
        <v>9</v>
      </c>
      <c r="U108" s="32">
        <v>8175.75</v>
      </c>
      <c r="V108" s="32">
        <v>0</v>
      </c>
      <c r="W108" s="32">
        <v>0</v>
      </c>
      <c r="X108" s="32">
        <v>0</v>
      </c>
      <c r="Y108" s="32">
        <v>16351.5</v>
      </c>
      <c r="Z108" s="32">
        <v>0</v>
      </c>
      <c r="AA108" s="32" t="s">
        <v>177</v>
      </c>
      <c r="AB108" s="32" t="s">
        <v>168</v>
      </c>
      <c r="AC108" s="32">
        <v>39200000</v>
      </c>
      <c r="AD108" s="32" t="s">
        <v>208</v>
      </c>
      <c r="AE108" s="32">
        <v>1</v>
      </c>
      <c r="AF108" s="32">
        <v>497</v>
      </c>
      <c r="AG108" s="32" t="s">
        <v>209</v>
      </c>
    </row>
    <row r="109" spans="1:33" x14ac:dyDescent="0.25">
      <c r="A109" s="23"/>
      <c r="B109" s="31">
        <v>46214</v>
      </c>
      <c r="C109" s="32" t="s">
        <v>654</v>
      </c>
      <c r="D109" s="32" t="s">
        <v>655</v>
      </c>
      <c r="E109" s="32" t="s">
        <v>771</v>
      </c>
      <c r="F109" s="32" t="s">
        <v>657</v>
      </c>
      <c r="G109" s="32" t="s">
        <v>772</v>
      </c>
      <c r="H109" s="31">
        <v>46214</v>
      </c>
      <c r="I109" s="32" t="s">
        <v>169</v>
      </c>
      <c r="J109" s="32" t="s">
        <v>176</v>
      </c>
      <c r="K109" s="32" t="s">
        <v>159</v>
      </c>
      <c r="L109" s="32" t="s">
        <v>159</v>
      </c>
      <c r="M109" s="32" t="s">
        <v>174</v>
      </c>
      <c r="N109" s="32">
        <v>2228</v>
      </c>
      <c r="O109" s="32">
        <v>460705.84</v>
      </c>
      <c r="P109" s="32" t="s">
        <v>174</v>
      </c>
      <c r="Q109" s="32">
        <v>0</v>
      </c>
      <c r="R109" s="32">
        <v>9</v>
      </c>
      <c r="S109" s="32">
        <v>41463.53</v>
      </c>
      <c r="T109" s="32">
        <v>9</v>
      </c>
      <c r="U109" s="32">
        <v>41463.53</v>
      </c>
      <c r="V109" s="32">
        <v>0</v>
      </c>
      <c r="W109" s="32">
        <v>0</v>
      </c>
      <c r="X109" s="32">
        <v>0</v>
      </c>
      <c r="Y109" s="32">
        <v>82927.06</v>
      </c>
      <c r="Z109" s="32">
        <v>0</v>
      </c>
      <c r="AA109" s="32" t="s">
        <v>177</v>
      </c>
      <c r="AB109" s="32" t="s">
        <v>168</v>
      </c>
      <c r="AC109" s="32">
        <v>39200000</v>
      </c>
      <c r="AD109" s="32" t="s">
        <v>208</v>
      </c>
      <c r="AE109" s="32">
        <v>1</v>
      </c>
      <c r="AF109" s="32">
        <v>2228</v>
      </c>
      <c r="AG109" s="32" t="s">
        <v>209</v>
      </c>
    </row>
    <row r="110" spans="1:33" x14ac:dyDescent="0.25">
      <c r="A110" s="23"/>
      <c r="B110" s="31">
        <v>46214</v>
      </c>
      <c r="C110" s="32" t="s">
        <v>654</v>
      </c>
      <c r="D110" s="32" t="s">
        <v>655</v>
      </c>
      <c r="E110" s="32" t="s">
        <v>771</v>
      </c>
      <c r="F110" s="32" t="s">
        <v>657</v>
      </c>
      <c r="G110" s="32" t="s">
        <v>772</v>
      </c>
      <c r="H110" s="31">
        <v>46214</v>
      </c>
      <c r="I110" s="32" t="s">
        <v>169</v>
      </c>
      <c r="J110" s="32" t="s">
        <v>170</v>
      </c>
      <c r="K110" s="32" t="s">
        <v>157</v>
      </c>
      <c r="L110" s="32" t="s">
        <v>233</v>
      </c>
      <c r="M110" s="32" t="s">
        <v>681</v>
      </c>
      <c r="N110" s="32">
        <v>26.3</v>
      </c>
      <c r="O110" s="32">
        <v>4234.07</v>
      </c>
      <c r="P110" s="32" t="s">
        <v>681</v>
      </c>
      <c r="Q110" s="32">
        <v>0</v>
      </c>
      <c r="R110" s="32">
        <v>2.5</v>
      </c>
      <c r="S110" s="32">
        <v>105.85</v>
      </c>
      <c r="T110" s="32">
        <v>2.5</v>
      </c>
      <c r="U110" s="32">
        <v>105.85</v>
      </c>
      <c r="V110" s="32">
        <v>0</v>
      </c>
      <c r="W110" s="32">
        <v>0</v>
      </c>
      <c r="X110" s="32">
        <v>0</v>
      </c>
      <c r="Y110" s="32">
        <v>211.7</v>
      </c>
      <c r="Z110" s="32">
        <v>0</v>
      </c>
      <c r="AA110" s="32" t="s">
        <v>177</v>
      </c>
      <c r="AB110" s="32" t="s">
        <v>168</v>
      </c>
      <c r="AC110" s="32">
        <v>540269</v>
      </c>
      <c r="AD110" s="32" t="s">
        <v>208</v>
      </c>
      <c r="AE110" s="32">
        <v>1</v>
      </c>
      <c r="AF110" s="32">
        <v>26.3</v>
      </c>
      <c r="AG110" s="32" t="s">
        <v>209</v>
      </c>
    </row>
    <row r="111" spans="1:33" x14ac:dyDescent="0.25">
      <c r="A111" s="23"/>
      <c r="B111" s="31">
        <v>46214</v>
      </c>
      <c r="C111" s="32" t="s">
        <v>659</v>
      </c>
      <c r="D111" s="32" t="s">
        <v>655</v>
      </c>
      <c r="E111" s="32" t="s">
        <v>773</v>
      </c>
      <c r="F111" s="32" t="s">
        <v>657</v>
      </c>
      <c r="G111" s="32" t="s">
        <v>774</v>
      </c>
      <c r="H111" s="31">
        <v>46213</v>
      </c>
      <c r="I111" s="32" t="s">
        <v>192</v>
      </c>
      <c r="J111" s="32" t="s">
        <v>152</v>
      </c>
      <c r="K111" s="32" t="s">
        <v>152</v>
      </c>
      <c r="L111" s="32" t="s">
        <v>207</v>
      </c>
      <c r="M111" s="32" t="s">
        <v>191</v>
      </c>
      <c r="N111" s="32">
        <v>7549</v>
      </c>
      <c r="O111" s="32">
        <v>1732872.95</v>
      </c>
      <c r="P111" s="32" t="s">
        <v>191</v>
      </c>
      <c r="Q111" s="32">
        <v>2043057.22</v>
      </c>
      <c r="R111" s="32">
        <v>9</v>
      </c>
      <c r="S111" s="32">
        <v>155958.57</v>
      </c>
      <c r="T111" s="32">
        <v>9</v>
      </c>
      <c r="U111" s="32">
        <v>155958.57</v>
      </c>
      <c r="V111" s="32">
        <v>0</v>
      </c>
      <c r="W111" s="32">
        <v>0</v>
      </c>
      <c r="X111" s="32">
        <v>0</v>
      </c>
      <c r="Y111" s="32">
        <v>311917.14</v>
      </c>
      <c r="Z111" s="32">
        <v>0</v>
      </c>
      <c r="AA111" s="32" t="s">
        <v>177</v>
      </c>
      <c r="AB111" s="32" t="s">
        <v>168</v>
      </c>
      <c r="AC111" s="32">
        <v>63053200</v>
      </c>
      <c r="AD111" s="32" t="s">
        <v>208</v>
      </c>
      <c r="AE111" s="32">
        <v>1</v>
      </c>
      <c r="AF111" s="32">
        <v>7549</v>
      </c>
      <c r="AG111" s="32" t="s">
        <v>209</v>
      </c>
    </row>
    <row r="112" spans="1:33" x14ac:dyDescent="0.25">
      <c r="A112" s="23"/>
      <c r="B112" s="31">
        <v>46215</v>
      </c>
      <c r="C112" s="32" t="s">
        <v>654</v>
      </c>
      <c r="D112" s="32" t="s">
        <v>655</v>
      </c>
      <c r="E112" s="32" t="s">
        <v>775</v>
      </c>
      <c r="F112" s="32" t="s">
        <v>657</v>
      </c>
      <c r="G112" s="32" t="s">
        <v>776</v>
      </c>
      <c r="H112" s="31">
        <v>46215</v>
      </c>
      <c r="I112" s="32" t="s">
        <v>169</v>
      </c>
      <c r="J112" s="32" t="s">
        <v>180</v>
      </c>
      <c r="K112" s="32" t="s">
        <v>155</v>
      </c>
      <c r="L112" s="32" t="s">
        <v>210</v>
      </c>
      <c r="M112" s="32" t="s">
        <v>187</v>
      </c>
      <c r="N112" s="32">
        <v>712</v>
      </c>
      <c r="O112" s="32">
        <v>102876.88</v>
      </c>
      <c r="P112" s="32" t="s">
        <v>187</v>
      </c>
      <c r="Q112" s="32">
        <v>121291.84</v>
      </c>
      <c r="R112" s="32">
        <v>9</v>
      </c>
      <c r="S112" s="32">
        <v>9258.92</v>
      </c>
      <c r="T112" s="32">
        <v>9</v>
      </c>
      <c r="U112" s="32">
        <v>9258.92</v>
      </c>
      <c r="V112" s="32">
        <v>0</v>
      </c>
      <c r="W112" s="32">
        <v>0</v>
      </c>
      <c r="X112" s="32">
        <v>0</v>
      </c>
      <c r="Y112" s="32">
        <v>18517.84</v>
      </c>
      <c r="Z112" s="32">
        <v>0</v>
      </c>
      <c r="AA112" s="32" t="s">
        <v>177</v>
      </c>
      <c r="AB112" s="32" t="s">
        <v>168</v>
      </c>
      <c r="AC112" s="32">
        <v>39269080</v>
      </c>
      <c r="AD112" s="32" t="s">
        <v>208</v>
      </c>
      <c r="AE112" s="32">
        <v>1</v>
      </c>
      <c r="AF112" s="32">
        <v>712</v>
      </c>
      <c r="AG112" s="32" t="s">
        <v>209</v>
      </c>
    </row>
    <row r="113" spans="1:33" x14ac:dyDescent="0.25">
      <c r="A113" s="23"/>
      <c r="B113" s="31">
        <v>46215</v>
      </c>
      <c r="C113" s="32" t="s">
        <v>654</v>
      </c>
      <c r="D113" s="32" t="s">
        <v>655</v>
      </c>
      <c r="E113" s="32" t="s">
        <v>777</v>
      </c>
      <c r="F113" s="32" t="s">
        <v>657</v>
      </c>
      <c r="G113" s="32" t="s">
        <v>778</v>
      </c>
      <c r="H113" s="31">
        <v>46215</v>
      </c>
      <c r="I113" s="32" t="s">
        <v>169</v>
      </c>
      <c r="J113" s="32" t="s">
        <v>779</v>
      </c>
      <c r="K113" s="32" t="s">
        <v>779</v>
      </c>
      <c r="L113" s="32" t="s">
        <v>780</v>
      </c>
      <c r="M113" s="32" t="s">
        <v>779</v>
      </c>
      <c r="N113" s="32">
        <v>2000</v>
      </c>
      <c r="O113" s="32">
        <v>210000</v>
      </c>
      <c r="P113" s="32" t="s">
        <v>779</v>
      </c>
      <c r="Q113" s="32">
        <v>247590</v>
      </c>
      <c r="R113" s="32">
        <v>9</v>
      </c>
      <c r="S113" s="32">
        <v>18900</v>
      </c>
      <c r="T113" s="32">
        <v>9</v>
      </c>
      <c r="U113" s="32">
        <v>18900</v>
      </c>
      <c r="V113" s="32">
        <v>0</v>
      </c>
      <c r="W113" s="32">
        <v>0</v>
      </c>
      <c r="X113" s="32">
        <v>0</v>
      </c>
      <c r="Y113" s="32">
        <v>37800</v>
      </c>
      <c r="Z113" s="32">
        <v>0</v>
      </c>
      <c r="AA113" s="32" t="s">
        <v>177</v>
      </c>
      <c r="AB113" s="32" t="s">
        <v>168</v>
      </c>
      <c r="AC113" s="32">
        <v>39021000</v>
      </c>
      <c r="AD113" s="32" t="s">
        <v>208</v>
      </c>
      <c r="AE113" s="32">
        <v>1</v>
      </c>
      <c r="AF113" s="32">
        <v>2000</v>
      </c>
      <c r="AG113" s="32" t="s">
        <v>209</v>
      </c>
    </row>
    <row r="114" spans="1:33" x14ac:dyDescent="0.25">
      <c r="A114" s="23"/>
      <c r="B114" s="31">
        <v>46215</v>
      </c>
      <c r="C114" s="32" t="s">
        <v>654</v>
      </c>
      <c r="D114" s="32" t="s">
        <v>655</v>
      </c>
      <c r="E114" s="32" t="s">
        <v>781</v>
      </c>
      <c r="F114" s="32" t="s">
        <v>657</v>
      </c>
      <c r="G114" s="32" t="s">
        <v>782</v>
      </c>
      <c r="H114" s="31">
        <v>46215</v>
      </c>
      <c r="I114" s="32" t="s">
        <v>169</v>
      </c>
      <c r="J114" s="32" t="s">
        <v>180</v>
      </c>
      <c r="K114" s="32" t="s">
        <v>155</v>
      </c>
      <c r="L114" s="32" t="s">
        <v>210</v>
      </c>
      <c r="M114" s="32" t="s">
        <v>187</v>
      </c>
      <c r="N114" s="32">
        <v>339</v>
      </c>
      <c r="O114" s="32">
        <v>48982.11</v>
      </c>
      <c r="P114" s="32" t="s">
        <v>187</v>
      </c>
      <c r="Q114" s="32">
        <v>661076.85</v>
      </c>
      <c r="R114" s="32">
        <v>9</v>
      </c>
      <c r="S114" s="32">
        <v>4408.3900000000003</v>
      </c>
      <c r="T114" s="32">
        <v>9</v>
      </c>
      <c r="U114" s="32">
        <v>4408.3900000000003</v>
      </c>
      <c r="V114" s="32">
        <v>0</v>
      </c>
      <c r="W114" s="32">
        <v>0</v>
      </c>
      <c r="X114" s="32">
        <v>0</v>
      </c>
      <c r="Y114" s="32">
        <v>8816.7800000000007</v>
      </c>
      <c r="Z114" s="32">
        <v>0</v>
      </c>
      <c r="AA114" s="32" t="s">
        <v>177</v>
      </c>
      <c r="AB114" s="32" t="s">
        <v>168</v>
      </c>
      <c r="AC114" s="32">
        <v>39269080</v>
      </c>
      <c r="AD114" s="32" t="s">
        <v>208</v>
      </c>
      <c r="AE114" s="32">
        <v>1</v>
      </c>
      <c r="AF114" s="32">
        <v>339</v>
      </c>
      <c r="AG114" s="32" t="s">
        <v>209</v>
      </c>
    </row>
    <row r="115" spans="1:33" x14ac:dyDescent="0.25">
      <c r="A115" s="23"/>
      <c r="B115" s="31">
        <v>46215</v>
      </c>
      <c r="C115" s="32" t="s">
        <v>654</v>
      </c>
      <c r="D115" s="32" t="s">
        <v>655</v>
      </c>
      <c r="E115" s="32" t="s">
        <v>781</v>
      </c>
      <c r="F115" s="32" t="s">
        <v>657</v>
      </c>
      <c r="G115" s="32" t="s">
        <v>782</v>
      </c>
      <c r="H115" s="31">
        <v>46215</v>
      </c>
      <c r="I115" s="32" t="s">
        <v>169</v>
      </c>
      <c r="J115" s="32" t="s">
        <v>180</v>
      </c>
      <c r="K115" s="32" t="s">
        <v>155</v>
      </c>
      <c r="L115" s="32" t="s">
        <v>210</v>
      </c>
      <c r="M115" s="32" t="s">
        <v>187</v>
      </c>
      <c r="N115" s="32">
        <v>662</v>
      </c>
      <c r="O115" s="32">
        <v>100948.38</v>
      </c>
      <c r="P115" s="32" t="s">
        <v>187</v>
      </c>
      <c r="Q115" s="32">
        <v>0</v>
      </c>
      <c r="R115" s="32">
        <v>9</v>
      </c>
      <c r="S115" s="32">
        <v>9085.35</v>
      </c>
      <c r="T115" s="32">
        <v>9</v>
      </c>
      <c r="U115" s="32">
        <v>9085.35</v>
      </c>
      <c r="V115" s="32">
        <v>0</v>
      </c>
      <c r="W115" s="32">
        <v>0</v>
      </c>
      <c r="X115" s="32">
        <v>0</v>
      </c>
      <c r="Y115" s="32">
        <v>18170.7</v>
      </c>
      <c r="Z115" s="32">
        <v>0</v>
      </c>
      <c r="AA115" s="32" t="s">
        <v>177</v>
      </c>
      <c r="AB115" s="32" t="s">
        <v>168</v>
      </c>
      <c r="AC115" s="32">
        <v>39269080</v>
      </c>
      <c r="AD115" s="32" t="s">
        <v>208</v>
      </c>
      <c r="AE115" s="32">
        <v>1</v>
      </c>
      <c r="AF115" s="32">
        <v>662</v>
      </c>
      <c r="AG115" s="32" t="s">
        <v>209</v>
      </c>
    </row>
    <row r="116" spans="1:33" x14ac:dyDescent="0.25">
      <c r="A116" s="23"/>
      <c r="B116" s="31">
        <v>46215</v>
      </c>
      <c r="C116" s="32" t="s">
        <v>654</v>
      </c>
      <c r="D116" s="32" t="s">
        <v>655</v>
      </c>
      <c r="E116" s="32" t="s">
        <v>781</v>
      </c>
      <c r="F116" s="32" t="s">
        <v>657</v>
      </c>
      <c r="G116" s="32" t="s">
        <v>782</v>
      </c>
      <c r="H116" s="31">
        <v>46215</v>
      </c>
      <c r="I116" s="32" t="s">
        <v>169</v>
      </c>
      <c r="J116" s="32" t="s">
        <v>180</v>
      </c>
      <c r="K116" s="32" t="s">
        <v>156</v>
      </c>
      <c r="L116" s="32" t="s">
        <v>218</v>
      </c>
      <c r="M116" s="32" t="s">
        <v>179</v>
      </c>
      <c r="N116" s="32">
        <v>2426</v>
      </c>
      <c r="O116" s="32">
        <v>374792.74</v>
      </c>
      <c r="P116" s="32" t="s">
        <v>179</v>
      </c>
      <c r="Q116" s="32">
        <v>0</v>
      </c>
      <c r="R116" s="32">
        <v>9</v>
      </c>
      <c r="S116" s="32">
        <v>33731.35</v>
      </c>
      <c r="T116" s="32">
        <v>9</v>
      </c>
      <c r="U116" s="32">
        <v>33731.35</v>
      </c>
      <c r="V116" s="32">
        <v>0</v>
      </c>
      <c r="W116" s="32">
        <v>0</v>
      </c>
      <c r="X116" s="32">
        <v>0</v>
      </c>
      <c r="Y116" s="32">
        <v>67462.7</v>
      </c>
      <c r="Z116" s="32">
        <v>0</v>
      </c>
      <c r="AA116" s="32" t="s">
        <v>177</v>
      </c>
      <c r="AB116" s="32" t="s">
        <v>168</v>
      </c>
      <c r="AC116" s="32">
        <v>63053300</v>
      </c>
      <c r="AD116" s="32" t="s">
        <v>208</v>
      </c>
      <c r="AE116" s="32">
        <v>1</v>
      </c>
      <c r="AF116" s="32">
        <v>2426</v>
      </c>
      <c r="AG116" s="32" t="s">
        <v>209</v>
      </c>
    </row>
    <row r="117" spans="1:33" x14ac:dyDescent="0.25">
      <c r="A117" s="23"/>
      <c r="B117" s="31">
        <v>46215</v>
      </c>
      <c r="C117" s="32" t="s">
        <v>654</v>
      </c>
      <c r="D117" s="32" t="s">
        <v>655</v>
      </c>
      <c r="E117" s="32" t="s">
        <v>781</v>
      </c>
      <c r="F117" s="32" t="s">
        <v>657</v>
      </c>
      <c r="G117" s="32" t="s">
        <v>782</v>
      </c>
      <c r="H117" s="31">
        <v>46215</v>
      </c>
      <c r="I117" s="32" t="s">
        <v>169</v>
      </c>
      <c r="J117" s="32" t="s">
        <v>182</v>
      </c>
      <c r="K117" s="32" t="s">
        <v>154</v>
      </c>
      <c r="L117" s="32" t="s">
        <v>154</v>
      </c>
      <c r="M117" s="32" t="s">
        <v>182</v>
      </c>
      <c r="N117" s="32">
        <v>139.6</v>
      </c>
      <c r="O117" s="32">
        <v>20868.8</v>
      </c>
      <c r="P117" s="32" t="s">
        <v>182</v>
      </c>
      <c r="Q117" s="32">
        <v>0</v>
      </c>
      <c r="R117" s="32">
        <v>9</v>
      </c>
      <c r="S117" s="32">
        <v>1878.19</v>
      </c>
      <c r="T117" s="32">
        <v>9</v>
      </c>
      <c r="U117" s="32">
        <v>1878.19</v>
      </c>
      <c r="V117" s="32">
        <v>0</v>
      </c>
      <c r="W117" s="32">
        <v>0</v>
      </c>
      <c r="X117" s="32">
        <v>0</v>
      </c>
      <c r="Y117" s="32">
        <v>3756.38</v>
      </c>
      <c r="Z117" s="32">
        <v>0</v>
      </c>
      <c r="AA117" s="32" t="s">
        <v>177</v>
      </c>
      <c r="AB117" s="32" t="s">
        <v>168</v>
      </c>
      <c r="AC117" s="32">
        <v>3926908</v>
      </c>
      <c r="AD117" s="32" t="s">
        <v>208</v>
      </c>
      <c r="AE117" s="32">
        <v>1</v>
      </c>
      <c r="AF117" s="32">
        <v>139.6</v>
      </c>
      <c r="AG117" s="32" t="s">
        <v>209</v>
      </c>
    </row>
    <row r="118" spans="1:33" x14ac:dyDescent="0.25">
      <c r="A118" s="23"/>
      <c r="B118" s="31">
        <v>46215</v>
      </c>
      <c r="C118" s="32" t="s">
        <v>654</v>
      </c>
      <c r="D118" s="32" t="s">
        <v>655</v>
      </c>
      <c r="E118" s="32" t="s">
        <v>781</v>
      </c>
      <c r="F118" s="32" t="s">
        <v>657</v>
      </c>
      <c r="G118" s="32" t="s">
        <v>782</v>
      </c>
      <c r="H118" s="31">
        <v>46215</v>
      </c>
      <c r="I118" s="32" t="s">
        <v>169</v>
      </c>
      <c r="J118" s="32" t="s">
        <v>182</v>
      </c>
      <c r="K118" s="32" t="s">
        <v>154</v>
      </c>
      <c r="L118" s="32" t="s">
        <v>154</v>
      </c>
      <c r="M118" s="32" t="s">
        <v>182</v>
      </c>
      <c r="N118" s="32">
        <v>103.2</v>
      </c>
      <c r="O118" s="32">
        <v>15117.77</v>
      </c>
      <c r="P118" s="32" t="s">
        <v>182</v>
      </c>
      <c r="Q118" s="32">
        <v>0</v>
      </c>
      <c r="R118" s="32">
        <v>9</v>
      </c>
      <c r="S118" s="32">
        <v>1360.6</v>
      </c>
      <c r="T118" s="32">
        <v>9</v>
      </c>
      <c r="U118" s="32">
        <v>1360.6</v>
      </c>
      <c r="V118" s="32">
        <v>0</v>
      </c>
      <c r="W118" s="32">
        <v>0</v>
      </c>
      <c r="X118" s="32">
        <v>0</v>
      </c>
      <c r="Y118" s="32">
        <v>2721.2</v>
      </c>
      <c r="Z118" s="32">
        <v>0</v>
      </c>
      <c r="AA118" s="32" t="s">
        <v>177</v>
      </c>
      <c r="AB118" s="32" t="s">
        <v>168</v>
      </c>
      <c r="AC118" s="32">
        <v>3926908</v>
      </c>
      <c r="AD118" s="32" t="s">
        <v>208</v>
      </c>
      <c r="AE118" s="32">
        <v>1</v>
      </c>
      <c r="AF118" s="32">
        <v>103.2</v>
      </c>
      <c r="AG118" s="32" t="s">
        <v>209</v>
      </c>
    </row>
    <row r="119" spans="1:33" x14ac:dyDescent="0.25">
      <c r="A119" s="23"/>
      <c r="B119" s="31">
        <v>46216</v>
      </c>
      <c r="C119" s="32" t="s">
        <v>665</v>
      </c>
      <c r="D119" s="32" t="s">
        <v>655</v>
      </c>
      <c r="E119" s="32" t="s">
        <v>783</v>
      </c>
      <c r="F119" s="32" t="s">
        <v>657</v>
      </c>
      <c r="G119" s="32" t="s">
        <v>784</v>
      </c>
      <c r="H119" s="31">
        <v>46215</v>
      </c>
      <c r="I119" s="32" t="s">
        <v>169</v>
      </c>
      <c r="J119" s="32" t="s">
        <v>180</v>
      </c>
      <c r="K119" s="32" t="s">
        <v>155</v>
      </c>
      <c r="L119" s="32" t="s">
        <v>210</v>
      </c>
      <c r="M119" s="32" t="s">
        <v>187</v>
      </c>
      <c r="N119" s="32">
        <v>2100</v>
      </c>
      <c r="O119" s="32">
        <v>328629</v>
      </c>
      <c r="P119" s="32" t="s">
        <v>187</v>
      </c>
      <c r="Q119" s="32">
        <v>387453.59</v>
      </c>
      <c r="R119" s="32">
        <v>9</v>
      </c>
      <c r="S119" s="32">
        <v>29576.61</v>
      </c>
      <c r="T119" s="32">
        <v>9</v>
      </c>
      <c r="U119" s="32">
        <v>29576.61</v>
      </c>
      <c r="V119" s="32">
        <v>0</v>
      </c>
      <c r="W119" s="32">
        <v>0</v>
      </c>
      <c r="X119" s="32">
        <v>0</v>
      </c>
      <c r="Y119" s="32">
        <v>59153.22</v>
      </c>
      <c r="Z119" s="32">
        <v>0</v>
      </c>
      <c r="AA119" s="32" t="s">
        <v>189</v>
      </c>
      <c r="AB119" s="32" t="s">
        <v>168</v>
      </c>
      <c r="AC119" s="32">
        <v>39269080</v>
      </c>
      <c r="AD119" s="32" t="s">
        <v>208</v>
      </c>
      <c r="AE119" s="32">
        <v>1</v>
      </c>
      <c r="AF119" s="32">
        <v>2100</v>
      </c>
      <c r="AG119" s="32" t="s">
        <v>209</v>
      </c>
    </row>
    <row r="120" spans="1:33" x14ac:dyDescent="0.25">
      <c r="A120" s="23"/>
      <c r="B120" s="31">
        <v>46216</v>
      </c>
      <c r="C120" s="32" t="s">
        <v>785</v>
      </c>
      <c r="D120" s="32" t="s">
        <v>655</v>
      </c>
      <c r="E120" s="32" t="s">
        <v>786</v>
      </c>
      <c r="F120" s="32" t="s">
        <v>657</v>
      </c>
      <c r="G120" s="32" t="s">
        <v>787</v>
      </c>
      <c r="H120" s="31">
        <v>46214</v>
      </c>
      <c r="I120" s="32" t="s">
        <v>192</v>
      </c>
      <c r="J120" s="32" t="s">
        <v>152</v>
      </c>
      <c r="K120" s="32" t="s">
        <v>152</v>
      </c>
      <c r="L120" s="32" t="s">
        <v>207</v>
      </c>
      <c r="M120" s="32" t="s">
        <v>191</v>
      </c>
      <c r="N120" s="32">
        <v>9143.9</v>
      </c>
      <c r="O120" s="32">
        <v>1660075.04</v>
      </c>
      <c r="P120" s="32" t="s">
        <v>191</v>
      </c>
      <c r="Q120" s="32">
        <v>3822863.22</v>
      </c>
      <c r="R120" s="32">
        <v>9</v>
      </c>
      <c r="S120" s="32">
        <v>149406.75</v>
      </c>
      <c r="T120" s="32">
        <v>9</v>
      </c>
      <c r="U120" s="32">
        <v>149406.75</v>
      </c>
      <c r="V120" s="32">
        <v>0</v>
      </c>
      <c r="W120" s="32">
        <v>0</v>
      </c>
      <c r="X120" s="32">
        <v>0</v>
      </c>
      <c r="Y120" s="32">
        <v>298813.5</v>
      </c>
      <c r="Z120" s="32">
        <v>0</v>
      </c>
      <c r="AA120" s="32" t="s">
        <v>189</v>
      </c>
      <c r="AB120" s="32" t="s">
        <v>168</v>
      </c>
      <c r="AC120" s="32">
        <v>63053200</v>
      </c>
      <c r="AD120" s="32" t="s">
        <v>208</v>
      </c>
      <c r="AE120" s="32">
        <v>1</v>
      </c>
      <c r="AF120" s="32">
        <v>9143.9</v>
      </c>
      <c r="AG120" s="32" t="s">
        <v>209</v>
      </c>
    </row>
    <row r="121" spans="1:33" x14ac:dyDescent="0.25">
      <c r="A121" s="23"/>
      <c r="B121" s="31">
        <v>46216</v>
      </c>
      <c r="C121" s="32" t="s">
        <v>785</v>
      </c>
      <c r="D121" s="32" t="s">
        <v>655</v>
      </c>
      <c r="E121" s="32" t="s">
        <v>786</v>
      </c>
      <c r="F121" s="32" t="s">
        <v>657</v>
      </c>
      <c r="G121" s="32" t="s">
        <v>787</v>
      </c>
      <c r="H121" s="31">
        <v>46214</v>
      </c>
      <c r="I121" s="32" t="s">
        <v>192</v>
      </c>
      <c r="J121" s="32" t="s">
        <v>152</v>
      </c>
      <c r="K121" s="32" t="s">
        <v>152</v>
      </c>
      <c r="L121" s="32" t="s">
        <v>207</v>
      </c>
      <c r="M121" s="32" t="s">
        <v>191</v>
      </c>
      <c r="N121" s="32">
        <v>845.2</v>
      </c>
      <c r="O121" s="32">
        <v>150707.60999999999</v>
      </c>
      <c r="P121" s="32" t="s">
        <v>191</v>
      </c>
      <c r="Q121" s="32">
        <v>0</v>
      </c>
      <c r="R121" s="32">
        <v>9</v>
      </c>
      <c r="S121" s="32">
        <v>13563.69</v>
      </c>
      <c r="T121" s="32">
        <v>9</v>
      </c>
      <c r="U121" s="32">
        <v>13563.69</v>
      </c>
      <c r="V121" s="32">
        <v>0</v>
      </c>
      <c r="W121" s="32">
        <v>0</v>
      </c>
      <c r="X121" s="32">
        <v>0</v>
      </c>
      <c r="Y121" s="32">
        <v>27127.38</v>
      </c>
      <c r="Z121" s="32">
        <v>0</v>
      </c>
      <c r="AA121" s="32" t="s">
        <v>189</v>
      </c>
      <c r="AB121" s="32" t="s">
        <v>168</v>
      </c>
      <c r="AC121" s="32">
        <v>63053200</v>
      </c>
      <c r="AD121" s="32" t="s">
        <v>208</v>
      </c>
      <c r="AE121" s="32">
        <v>1</v>
      </c>
      <c r="AF121" s="32">
        <v>845.2</v>
      </c>
      <c r="AG121" s="32" t="s">
        <v>209</v>
      </c>
    </row>
    <row r="122" spans="1:33" x14ac:dyDescent="0.25">
      <c r="A122" s="23"/>
      <c r="B122" s="31">
        <v>46216</v>
      </c>
      <c r="C122" s="32" t="s">
        <v>785</v>
      </c>
      <c r="D122" s="32" t="s">
        <v>655</v>
      </c>
      <c r="E122" s="32" t="s">
        <v>786</v>
      </c>
      <c r="F122" s="32" t="s">
        <v>657</v>
      </c>
      <c r="G122" s="32" t="s">
        <v>787</v>
      </c>
      <c r="H122" s="31">
        <v>46214</v>
      </c>
      <c r="I122" s="32" t="s">
        <v>192</v>
      </c>
      <c r="J122" s="32" t="s">
        <v>152</v>
      </c>
      <c r="K122" s="32" t="s">
        <v>152</v>
      </c>
      <c r="L122" s="32" t="s">
        <v>207</v>
      </c>
      <c r="M122" s="32" t="s">
        <v>191</v>
      </c>
      <c r="N122" s="32">
        <v>5936.6</v>
      </c>
      <c r="O122" s="32">
        <v>1054696.3500000001</v>
      </c>
      <c r="P122" s="32" t="s">
        <v>191</v>
      </c>
      <c r="Q122" s="32">
        <v>0</v>
      </c>
      <c r="R122" s="32">
        <v>9</v>
      </c>
      <c r="S122" s="32">
        <v>94922.67</v>
      </c>
      <c r="T122" s="32">
        <v>9</v>
      </c>
      <c r="U122" s="32">
        <v>94922.67</v>
      </c>
      <c r="V122" s="32">
        <v>0</v>
      </c>
      <c r="W122" s="32">
        <v>0</v>
      </c>
      <c r="X122" s="32">
        <v>0</v>
      </c>
      <c r="Y122" s="32">
        <v>189845.34</v>
      </c>
      <c r="Z122" s="32">
        <v>0</v>
      </c>
      <c r="AA122" s="32" t="s">
        <v>189</v>
      </c>
      <c r="AB122" s="32" t="s">
        <v>168</v>
      </c>
      <c r="AC122" s="32">
        <v>63053200</v>
      </c>
      <c r="AD122" s="32" t="s">
        <v>208</v>
      </c>
      <c r="AE122" s="32">
        <v>1</v>
      </c>
      <c r="AF122" s="32">
        <v>5936.6</v>
      </c>
      <c r="AG122" s="32" t="s">
        <v>209</v>
      </c>
    </row>
    <row r="123" spans="1:33" x14ac:dyDescent="0.25">
      <c r="A123" s="23"/>
      <c r="B123" s="31">
        <v>46216</v>
      </c>
      <c r="C123" s="32" t="s">
        <v>785</v>
      </c>
      <c r="D123" s="32" t="s">
        <v>655</v>
      </c>
      <c r="E123" s="32" t="s">
        <v>786</v>
      </c>
      <c r="F123" s="32" t="s">
        <v>657</v>
      </c>
      <c r="G123" s="32" t="s">
        <v>787</v>
      </c>
      <c r="H123" s="31">
        <v>46214</v>
      </c>
      <c r="I123" s="32" t="s">
        <v>192</v>
      </c>
      <c r="J123" s="32" t="s">
        <v>152</v>
      </c>
      <c r="K123" s="32" t="s">
        <v>152</v>
      </c>
      <c r="L123" s="32" t="s">
        <v>207</v>
      </c>
      <c r="M123" s="32" t="s">
        <v>191</v>
      </c>
      <c r="N123" s="32">
        <v>832.2</v>
      </c>
      <c r="O123" s="32">
        <v>150902.82</v>
      </c>
      <c r="P123" s="32" t="s">
        <v>191</v>
      </c>
      <c r="Q123" s="32">
        <v>0</v>
      </c>
      <c r="R123" s="32">
        <v>9</v>
      </c>
      <c r="S123" s="32">
        <v>13581.25</v>
      </c>
      <c r="T123" s="32">
        <v>9</v>
      </c>
      <c r="U123" s="32">
        <v>13581.25</v>
      </c>
      <c r="V123" s="32">
        <v>0</v>
      </c>
      <c r="W123" s="32">
        <v>0</v>
      </c>
      <c r="X123" s="32">
        <v>0</v>
      </c>
      <c r="Y123" s="32">
        <v>27162.5</v>
      </c>
      <c r="Z123" s="32">
        <v>0</v>
      </c>
      <c r="AA123" s="32" t="s">
        <v>189</v>
      </c>
      <c r="AB123" s="32" t="s">
        <v>168</v>
      </c>
      <c r="AC123" s="32">
        <v>63053200</v>
      </c>
      <c r="AD123" s="32" t="s">
        <v>208</v>
      </c>
      <c r="AE123" s="32">
        <v>1</v>
      </c>
      <c r="AF123" s="32">
        <v>832.2</v>
      </c>
      <c r="AG123" s="32" t="s">
        <v>209</v>
      </c>
    </row>
    <row r="124" spans="1:33" x14ac:dyDescent="0.25">
      <c r="A124" s="23"/>
      <c r="B124" s="31">
        <v>46216</v>
      </c>
      <c r="C124" s="32" t="s">
        <v>785</v>
      </c>
      <c r="D124" s="32" t="s">
        <v>655</v>
      </c>
      <c r="E124" s="32" t="s">
        <v>786</v>
      </c>
      <c r="F124" s="32" t="s">
        <v>657</v>
      </c>
      <c r="G124" s="32" t="s">
        <v>787</v>
      </c>
      <c r="H124" s="31">
        <v>46214</v>
      </c>
      <c r="I124" s="32" t="s">
        <v>192</v>
      </c>
      <c r="J124" s="32" t="s">
        <v>152</v>
      </c>
      <c r="K124" s="32" t="s">
        <v>152</v>
      </c>
      <c r="L124" s="32" t="s">
        <v>207</v>
      </c>
      <c r="M124" s="32" t="s">
        <v>191</v>
      </c>
      <c r="N124" s="32">
        <v>1266.7</v>
      </c>
      <c r="O124" s="32">
        <v>226080.64000000001</v>
      </c>
      <c r="P124" s="32" t="s">
        <v>191</v>
      </c>
      <c r="Q124" s="32">
        <v>0</v>
      </c>
      <c r="R124" s="32">
        <v>9</v>
      </c>
      <c r="S124" s="32">
        <v>20347.259999999998</v>
      </c>
      <c r="T124" s="32">
        <v>9</v>
      </c>
      <c r="U124" s="32">
        <v>20347.259999999998</v>
      </c>
      <c r="V124" s="32">
        <v>0</v>
      </c>
      <c r="W124" s="32">
        <v>0</v>
      </c>
      <c r="X124" s="32">
        <v>0</v>
      </c>
      <c r="Y124" s="32">
        <v>40694.519999999997</v>
      </c>
      <c r="Z124" s="32">
        <v>0</v>
      </c>
      <c r="AA124" s="32" t="s">
        <v>189</v>
      </c>
      <c r="AB124" s="32" t="s">
        <v>168</v>
      </c>
      <c r="AC124" s="32">
        <v>63053200</v>
      </c>
      <c r="AD124" s="32" t="s">
        <v>208</v>
      </c>
      <c r="AE124" s="32">
        <v>1</v>
      </c>
      <c r="AF124" s="32">
        <v>1266.7</v>
      </c>
      <c r="AG124" s="32" t="s">
        <v>209</v>
      </c>
    </row>
    <row r="125" spans="1:33" x14ac:dyDescent="0.25">
      <c r="A125" s="23"/>
      <c r="B125" s="31">
        <v>46216</v>
      </c>
      <c r="C125" s="32" t="s">
        <v>676</v>
      </c>
      <c r="D125" s="32" t="s">
        <v>655</v>
      </c>
      <c r="E125" s="32" t="s">
        <v>788</v>
      </c>
      <c r="F125" s="32" t="s">
        <v>657</v>
      </c>
      <c r="G125" s="32" t="s">
        <v>789</v>
      </c>
      <c r="H125" s="31">
        <v>46215</v>
      </c>
      <c r="I125" s="32" t="s">
        <v>169</v>
      </c>
      <c r="J125" s="32" t="s">
        <v>170</v>
      </c>
      <c r="K125" s="32" t="s">
        <v>157</v>
      </c>
      <c r="L125" s="32" t="s">
        <v>233</v>
      </c>
      <c r="M125" s="32" t="s">
        <v>790</v>
      </c>
      <c r="N125" s="32">
        <v>460</v>
      </c>
      <c r="O125" s="32">
        <v>70909</v>
      </c>
      <c r="P125" s="32" t="s">
        <v>790</v>
      </c>
      <c r="Q125" s="32">
        <v>470272.18</v>
      </c>
      <c r="R125" s="32">
        <v>2.5</v>
      </c>
      <c r="S125" s="32">
        <v>1772.72</v>
      </c>
      <c r="T125" s="32">
        <v>2.5</v>
      </c>
      <c r="U125" s="32">
        <v>1772.72</v>
      </c>
      <c r="V125" s="32">
        <v>0</v>
      </c>
      <c r="W125" s="32">
        <v>0</v>
      </c>
      <c r="X125" s="32">
        <v>0</v>
      </c>
      <c r="Y125" s="32">
        <v>3545.44</v>
      </c>
      <c r="Z125" s="32">
        <v>0</v>
      </c>
      <c r="AA125" s="32" t="s">
        <v>172</v>
      </c>
      <c r="AB125" s="32" t="s">
        <v>168</v>
      </c>
      <c r="AC125" s="32">
        <v>5402693</v>
      </c>
      <c r="AD125" s="32" t="s">
        <v>208</v>
      </c>
      <c r="AE125" s="32">
        <v>1</v>
      </c>
      <c r="AF125" s="32">
        <v>460</v>
      </c>
      <c r="AG125" s="32" t="s">
        <v>209</v>
      </c>
    </row>
    <row r="126" spans="1:33" x14ac:dyDescent="0.25">
      <c r="A126" s="23"/>
      <c r="B126" s="31">
        <v>46216</v>
      </c>
      <c r="C126" s="32" t="s">
        <v>676</v>
      </c>
      <c r="D126" s="32" t="s">
        <v>655</v>
      </c>
      <c r="E126" s="32" t="s">
        <v>788</v>
      </c>
      <c r="F126" s="32" t="s">
        <v>657</v>
      </c>
      <c r="G126" s="32" t="s">
        <v>789</v>
      </c>
      <c r="H126" s="31">
        <v>46215</v>
      </c>
      <c r="I126" s="32" t="s">
        <v>169</v>
      </c>
      <c r="J126" s="32" t="s">
        <v>170</v>
      </c>
      <c r="K126" s="32" t="s">
        <v>157</v>
      </c>
      <c r="L126" s="32" t="s">
        <v>233</v>
      </c>
      <c r="M126" s="32" t="s">
        <v>757</v>
      </c>
      <c r="N126" s="32">
        <v>1100</v>
      </c>
      <c r="O126" s="32">
        <v>169565</v>
      </c>
      <c r="P126" s="32" t="s">
        <v>757</v>
      </c>
      <c r="Q126" s="32">
        <v>0</v>
      </c>
      <c r="R126" s="32">
        <v>2.5</v>
      </c>
      <c r="S126" s="32">
        <v>4239.12</v>
      </c>
      <c r="T126" s="32">
        <v>2.5</v>
      </c>
      <c r="U126" s="32">
        <v>4239.12</v>
      </c>
      <c r="V126" s="32">
        <v>0</v>
      </c>
      <c r="W126" s="32">
        <v>0</v>
      </c>
      <c r="X126" s="32">
        <v>0</v>
      </c>
      <c r="Y126" s="32">
        <v>8478.24</v>
      </c>
      <c r="Z126" s="32">
        <v>0</v>
      </c>
      <c r="AA126" s="32" t="s">
        <v>172</v>
      </c>
      <c r="AB126" s="32" t="s">
        <v>168</v>
      </c>
      <c r="AC126" s="32">
        <v>54026930</v>
      </c>
      <c r="AD126" s="32" t="s">
        <v>208</v>
      </c>
      <c r="AE126" s="32">
        <v>1</v>
      </c>
      <c r="AF126" s="32">
        <v>1100</v>
      </c>
      <c r="AG126" s="32" t="s">
        <v>209</v>
      </c>
    </row>
    <row r="127" spans="1:33" x14ac:dyDescent="0.25">
      <c r="A127" s="23"/>
      <c r="B127" s="31">
        <v>46216</v>
      </c>
      <c r="C127" s="32" t="s">
        <v>676</v>
      </c>
      <c r="D127" s="32" t="s">
        <v>655</v>
      </c>
      <c r="E127" s="32" t="s">
        <v>788</v>
      </c>
      <c r="F127" s="32" t="s">
        <v>657</v>
      </c>
      <c r="G127" s="32" t="s">
        <v>789</v>
      </c>
      <c r="H127" s="31">
        <v>46215</v>
      </c>
      <c r="I127" s="32" t="s">
        <v>169</v>
      </c>
      <c r="J127" s="32" t="s">
        <v>170</v>
      </c>
      <c r="K127" s="32" t="s">
        <v>157</v>
      </c>
      <c r="L127" s="32" t="s">
        <v>233</v>
      </c>
      <c r="M127" s="32" t="s">
        <v>709</v>
      </c>
      <c r="N127" s="32">
        <v>1375</v>
      </c>
      <c r="O127" s="32">
        <v>207831.25</v>
      </c>
      <c r="P127" s="32" t="s">
        <v>709</v>
      </c>
      <c r="Q127" s="32">
        <v>0</v>
      </c>
      <c r="R127" s="32">
        <v>2.5</v>
      </c>
      <c r="S127" s="32">
        <v>5195.78</v>
      </c>
      <c r="T127" s="32">
        <v>2.5</v>
      </c>
      <c r="U127" s="32">
        <v>5195.78</v>
      </c>
      <c r="V127" s="32">
        <v>0</v>
      </c>
      <c r="W127" s="32">
        <v>0</v>
      </c>
      <c r="X127" s="32">
        <v>0</v>
      </c>
      <c r="Y127" s="32">
        <v>10391.56</v>
      </c>
      <c r="Z127" s="32">
        <v>0</v>
      </c>
      <c r="AA127" s="32" t="s">
        <v>172</v>
      </c>
      <c r="AB127" s="32" t="s">
        <v>168</v>
      </c>
      <c r="AC127" s="32">
        <v>54026930</v>
      </c>
      <c r="AD127" s="32" t="s">
        <v>208</v>
      </c>
      <c r="AE127" s="32">
        <v>1</v>
      </c>
      <c r="AF127" s="32">
        <v>1375</v>
      </c>
      <c r="AG127" s="32" t="s">
        <v>209</v>
      </c>
    </row>
    <row r="128" spans="1:33" x14ac:dyDescent="0.25">
      <c r="A128" s="23"/>
      <c r="B128" s="31">
        <v>46216</v>
      </c>
      <c r="C128" s="32" t="s">
        <v>676</v>
      </c>
      <c r="D128" s="32" t="s">
        <v>655</v>
      </c>
      <c r="E128" s="32" t="s">
        <v>791</v>
      </c>
      <c r="F128" s="32" t="s">
        <v>657</v>
      </c>
      <c r="G128" s="32" t="s">
        <v>792</v>
      </c>
      <c r="H128" s="31">
        <v>46215</v>
      </c>
      <c r="I128" s="32" t="s">
        <v>192</v>
      </c>
      <c r="J128" s="32" t="s">
        <v>152</v>
      </c>
      <c r="K128" s="32" t="s">
        <v>152</v>
      </c>
      <c r="L128" s="32" t="s">
        <v>207</v>
      </c>
      <c r="M128" s="32" t="s">
        <v>191</v>
      </c>
      <c r="N128" s="32">
        <v>2441.1</v>
      </c>
      <c r="O128" s="32">
        <v>520076.35</v>
      </c>
      <c r="P128" s="32" t="s">
        <v>191</v>
      </c>
      <c r="Q128" s="32">
        <v>849387.54</v>
      </c>
      <c r="R128" s="32">
        <v>9</v>
      </c>
      <c r="S128" s="32">
        <v>46806.87</v>
      </c>
      <c r="T128" s="32">
        <v>9</v>
      </c>
      <c r="U128" s="32">
        <v>46806.87</v>
      </c>
      <c r="V128" s="32">
        <v>0</v>
      </c>
      <c r="W128" s="32">
        <v>0</v>
      </c>
      <c r="X128" s="32">
        <v>0</v>
      </c>
      <c r="Y128" s="32">
        <v>93613.74</v>
      </c>
      <c r="Z128" s="32">
        <v>0</v>
      </c>
      <c r="AA128" s="32" t="s">
        <v>172</v>
      </c>
      <c r="AB128" s="32" t="s">
        <v>168</v>
      </c>
      <c r="AC128" s="32">
        <v>63053200</v>
      </c>
      <c r="AD128" s="32" t="s">
        <v>208</v>
      </c>
      <c r="AE128" s="32">
        <v>1</v>
      </c>
      <c r="AF128" s="32">
        <v>2441.1</v>
      </c>
      <c r="AG128" s="32" t="s">
        <v>209</v>
      </c>
    </row>
    <row r="129" spans="1:33" x14ac:dyDescent="0.25">
      <c r="A129" s="23"/>
      <c r="B129" s="31">
        <v>46216</v>
      </c>
      <c r="C129" s="32" t="s">
        <v>676</v>
      </c>
      <c r="D129" s="32" t="s">
        <v>655</v>
      </c>
      <c r="E129" s="32" t="s">
        <v>791</v>
      </c>
      <c r="F129" s="32" t="s">
        <v>657</v>
      </c>
      <c r="G129" s="32" t="s">
        <v>792</v>
      </c>
      <c r="H129" s="31">
        <v>46215</v>
      </c>
      <c r="I129" s="32" t="s">
        <v>192</v>
      </c>
      <c r="J129" s="32" t="s">
        <v>152</v>
      </c>
      <c r="K129" s="32" t="s">
        <v>152</v>
      </c>
      <c r="L129" s="32" t="s">
        <v>207</v>
      </c>
      <c r="M129" s="32" t="s">
        <v>191</v>
      </c>
      <c r="N129" s="32">
        <v>801</v>
      </c>
      <c r="O129" s="32">
        <v>200354.13</v>
      </c>
      <c r="P129" s="32" t="s">
        <v>191</v>
      </c>
      <c r="Q129" s="32">
        <v>0</v>
      </c>
      <c r="R129" s="32">
        <v>9</v>
      </c>
      <c r="S129" s="32">
        <v>18031.87</v>
      </c>
      <c r="T129" s="32">
        <v>9</v>
      </c>
      <c r="U129" s="32">
        <v>18031.87</v>
      </c>
      <c r="V129" s="32">
        <v>0</v>
      </c>
      <c r="W129" s="32">
        <v>0</v>
      </c>
      <c r="X129" s="32">
        <v>0</v>
      </c>
      <c r="Y129" s="32">
        <v>36063.74</v>
      </c>
      <c r="Z129" s="32">
        <v>0</v>
      </c>
      <c r="AA129" s="32" t="s">
        <v>172</v>
      </c>
      <c r="AB129" s="32" t="s">
        <v>168</v>
      </c>
      <c r="AC129" s="32">
        <v>63053200</v>
      </c>
      <c r="AD129" s="32" t="s">
        <v>208</v>
      </c>
      <c r="AE129" s="32">
        <v>1</v>
      </c>
      <c r="AF129" s="32">
        <v>801</v>
      </c>
      <c r="AG129" s="32" t="s">
        <v>209</v>
      </c>
    </row>
    <row r="130" spans="1:33" x14ac:dyDescent="0.25">
      <c r="A130" s="23"/>
      <c r="B130" s="31">
        <v>46216</v>
      </c>
      <c r="C130" s="32" t="s">
        <v>654</v>
      </c>
      <c r="D130" s="32" t="s">
        <v>655</v>
      </c>
      <c r="E130" s="32" t="s">
        <v>793</v>
      </c>
      <c r="F130" s="32" t="s">
        <v>657</v>
      </c>
      <c r="G130" s="32" t="s">
        <v>794</v>
      </c>
      <c r="H130" s="31">
        <v>46216</v>
      </c>
      <c r="I130" s="32" t="s">
        <v>169</v>
      </c>
      <c r="J130" s="32" t="s">
        <v>176</v>
      </c>
      <c r="K130" s="32" t="s">
        <v>159</v>
      </c>
      <c r="L130" s="32" t="s">
        <v>159</v>
      </c>
      <c r="M130" s="32" t="s">
        <v>174</v>
      </c>
      <c r="N130" s="32">
        <v>52</v>
      </c>
      <c r="O130" s="32">
        <v>9504.56</v>
      </c>
      <c r="P130" s="32" t="s">
        <v>174</v>
      </c>
      <c r="Q130" s="32">
        <v>11205.88</v>
      </c>
      <c r="R130" s="32">
        <v>9</v>
      </c>
      <c r="S130" s="32">
        <v>855.41</v>
      </c>
      <c r="T130" s="32">
        <v>9</v>
      </c>
      <c r="U130" s="32">
        <v>855.41</v>
      </c>
      <c r="V130" s="32">
        <v>0</v>
      </c>
      <c r="W130" s="32">
        <v>0</v>
      </c>
      <c r="X130" s="32">
        <v>0</v>
      </c>
      <c r="Y130" s="32">
        <v>1710.82</v>
      </c>
      <c r="Z130" s="32">
        <v>0</v>
      </c>
      <c r="AA130" s="32" t="s">
        <v>177</v>
      </c>
      <c r="AB130" s="32" t="s">
        <v>168</v>
      </c>
      <c r="AC130" s="32">
        <v>39200000</v>
      </c>
      <c r="AD130" s="32" t="s">
        <v>208</v>
      </c>
      <c r="AE130" s="32">
        <v>1</v>
      </c>
      <c r="AF130" s="32">
        <v>52</v>
      </c>
      <c r="AG130" s="32" t="s">
        <v>209</v>
      </c>
    </row>
    <row r="131" spans="1:33" x14ac:dyDescent="0.25">
      <c r="A131" s="23"/>
      <c r="B131" s="31">
        <v>46216</v>
      </c>
      <c r="C131" s="32" t="s">
        <v>654</v>
      </c>
      <c r="D131" s="32" t="s">
        <v>655</v>
      </c>
      <c r="E131" s="32" t="s">
        <v>795</v>
      </c>
      <c r="F131" s="32" t="s">
        <v>657</v>
      </c>
      <c r="G131" s="32" t="s">
        <v>796</v>
      </c>
      <c r="H131" s="31">
        <v>46216</v>
      </c>
      <c r="I131" s="32" t="s">
        <v>169</v>
      </c>
      <c r="J131" s="32" t="s">
        <v>180</v>
      </c>
      <c r="K131" s="32" t="s">
        <v>155</v>
      </c>
      <c r="L131" s="32" t="s">
        <v>210</v>
      </c>
      <c r="M131" s="32" t="s">
        <v>187</v>
      </c>
      <c r="N131" s="32">
        <v>320</v>
      </c>
      <c r="O131" s="32">
        <v>46236.800000000003</v>
      </c>
      <c r="P131" s="32" t="s">
        <v>187</v>
      </c>
      <c r="Q131" s="32">
        <v>1030682.9</v>
      </c>
      <c r="R131" s="32">
        <v>9</v>
      </c>
      <c r="S131" s="32">
        <v>4161.3100000000004</v>
      </c>
      <c r="T131" s="32">
        <v>9</v>
      </c>
      <c r="U131" s="32">
        <v>4161.3100000000004</v>
      </c>
      <c r="V131" s="32">
        <v>0</v>
      </c>
      <c r="W131" s="32">
        <v>0</v>
      </c>
      <c r="X131" s="32">
        <v>0</v>
      </c>
      <c r="Y131" s="32">
        <v>8322.6200000000008</v>
      </c>
      <c r="Z131" s="32">
        <v>0</v>
      </c>
      <c r="AA131" s="32" t="s">
        <v>177</v>
      </c>
      <c r="AB131" s="32" t="s">
        <v>168</v>
      </c>
      <c r="AC131" s="32">
        <v>39269080</v>
      </c>
      <c r="AD131" s="32" t="s">
        <v>208</v>
      </c>
      <c r="AE131" s="32">
        <v>1</v>
      </c>
      <c r="AF131" s="32">
        <v>320</v>
      </c>
      <c r="AG131" s="32" t="s">
        <v>209</v>
      </c>
    </row>
    <row r="132" spans="1:33" x14ac:dyDescent="0.25">
      <c r="A132" s="23"/>
      <c r="B132" s="31">
        <v>46216</v>
      </c>
      <c r="C132" s="32" t="s">
        <v>654</v>
      </c>
      <c r="D132" s="32" t="s">
        <v>655</v>
      </c>
      <c r="E132" s="32" t="s">
        <v>795</v>
      </c>
      <c r="F132" s="32" t="s">
        <v>657</v>
      </c>
      <c r="G132" s="32" t="s">
        <v>796</v>
      </c>
      <c r="H132" s="31">
        <v>46216</v>
      </c>
      <c r="I132" s="32" t="s">
        <v>169</v>
      </c>
      <c r="J132" s="32" t="s">
        <v>180</v>
      </c>
      <c r="K132" s="32" t="s">
        <v>155</v>
      </c>
      <c r="L132" s="32" t="s">
        <v>210</v>
      </c>
      <c r="M132" s="32" t="s">
        <v>187</v>
      </c>
      <c r="N132" s="32">
        <v>277</v>
      </c>
      <c r="O132" s="32">
        <v>40577.730000000003</v>
      </c>
      <c r="P132" s="32" t="s">
        <v>187</v>
      </c>
      <c r="Q132" s="32">
        <v>0</v>
      </c>
      <c r="R132" s="32">
        <v>9</v>
      </c>
      <c r="S132" s="32">
        <v>3652</v>
      </c>
      <c r="T132" s="32">
        <v>9</v>
      </c>
      <c r="U132" s="32">
        <v>3652</v>
      </c>
      <c r="V132" s="32">
        <v>0</v>
      </c>
      <c r="W132" s="32">
        <v>0</v>
      </c>
      <c r="X132" s="32">
        <v>0</v>
      </c>
      <c r="Y132" s="32">
        <v>7304</v>
      </c>
      <c r="Z132" s="32">
        <v>0</v>
      </c>
      <c r="AA132" s="32" t="s">
        <v>177</v>
      </c>
      <c r="AB132" s="32" t="s">
        <v>168</v>
      </c>
      <c r="AC132" s="32">
        <v>39269080</v>
      </c>
      <c r="AD132" s="32" t="s">
        <v>208</v>
      </c>
      <c r="AE132" s="32">
        <v>1</v>
      </c>
      <c r="AF132" s="32">
        <v>277</v>
      </c>
      <c r="AG132" s="32" t="s">
        <v>209</v>
      </c>
    </row>
    <row r="133" spans="1:33" x14ac:dyDescent="0.25">
      <c r="A133" s="23"/>
      <c r="B133" s="31">
        <v>46216</v>
      </c>
      <c r="C133" s="32" t="s">
        <v>654</v>
      </c>
      <c r="D133" s="32" t="s">
        <v>655</v>
      </c>
      <c r="E133" s="32" t="s">
        <v>795</v>
      </c>
      <c r="F133" s="32" t="s">
        <v>657</v>
      </c>
      <c r="G133" s="32" t="s">
        <v>796</v>
      </c>
      <c r="H133" s="31">
        <v>46216</v>
      </c>
      <c r="I133" s="32" t="s">
        <v>169</v>
      </c>
      <c r="J133" s="32" t="s">
        <v>180</v>
      </c>
      <c r="K133" s="32" t="s">
        <v>155</v>
      </c>
      <c r="L133" s="32" t="s">
        <v>210</v>
      </c>
      <c r="M133" s="32" t="s">
        <v>187</v>
      </c>
      <c r="N133" s="32">
        <v>736</v>
      </c>
      <c r="O133" s="32">
        <v>112232.64</v>
      </c>
      <c r="P133" s="32" t="s">
        <v>187</v>
      </c>
      <c r="Q133" s="32">
        <v>0</v>
      </c>
      <c r="R133" s="32">
        <v>9</v>
      </c>
      <c r="S133" s="32">
        <v>10100.94</v>
      </c>
      <c r="T133" s="32">
        <v>9</v>
      </c>
      <c r="U133" s="32">
        <v>10100.94</v>
      </c>
      <c r="V133" s="32">
        <v>0</v>
      </c>
      <c r="W133" s="32">
        <v>0</v>
      </c>
      <c r="X133" s="32">
        <v>0</v>
      </c>
      <c r="Y133" s="32">
        <v>20201.88</v>
      </c>
      <c r="Z133" s="32">
        <v>0</v>
      </c>
      <c r="AA133" s="32" t="s">
        <v>177</v>
      </c>
      <c r="AB133" s="32" t="s">
        <v>168</v>
      </c>
      <c r="AC133" s="32">
        <v>39269080</v>
      </c>
      <c r="AD133" s="32" t="s">
        <v>208</v>
      </c>
      <c r="AE133" s="32">
        <v>1</v>
      </c>
      <c r="AF133" s="32">
        <v>736</v>
      </c>
      <c r="AG133" s="32" t="s">
        <v>209</v>
      </c>
    </row>
    <row r="134" spans="1:33" x14ac:dyDescent="0.25">
      <c r="A134" s="23"/>
      <c r="B134" s="31">
        <v>46216</v>
      </c>
      <c r="C134" s="32" t="s">
        <v>654</v>
      </c>
      <c r="D134" s="32" t="s">
        <v>655</v>
      </c>
      <c r="E134" s="32" t="s">
        <v>795</v>
      </c>
      <c r="F134" s="32" t="s">
        <v>657</v>
      </c>
      <c r="G134" s="32" t="s">
        <v>796</v>
      </c>
      <c r="H134" s="31">
        <v>46216</v>
      </c>
      <c r="I134" s="32" t="s">
        <v>169</v>
      </c>
      <c r="J134" s="32" t="s">
        <v>180</v>
      </c>
      <c r="K134" s="32" t="s">
        <v>156</v>
      </c>
      <c r="L134" s="32" t="s">
        <v>218</v>
      </c>
      <c r="M134" s="32" t="s">
        <v>179</v>
      </c>
      <c r="N134" s="32">
        <v>3850</v>
      </c>
      <c r="O134" s="32">
        <v>583236.5</v>
      </c>
      <c r="P134" s="32" t="s">
        <v>179</v>
      </c>
      <c r="Q134" s="32">
        <v>0</v>
      </c>
      <c r="R134" s="32">
        <v>9</v>
      </c>
      <c r="S134" s="32">
        <v>52491.28</v>
      </c>
      <c r="T134" s="32">
        <v>9</v>
      </c>
      <c r="U134" s="32">
        <v>52491.28</v>
      </c>
      <c r="V134" s="32">
        <v>0</v>
      </c>
      <c r="W134" s="32">
        <v>0</v>
      </c>
      <c r="X134" s="32">
        <v>0</v>
      </c>
      <c r="Y134" s="32">
        <v>104982.56</v>
      </c>
      <c r="Z134" s="32">
        <v>0</v>
      </c>
      <c r="AA134" s="32" t="s">
        <v>177</v>
      </c>
      <c r="AB134" s="32" t="s">
        <v>168</v>
      </c>
      <c r="AC134" s="32">
        <v>63053300</v>
      </c>
      <c r="AD134" s="32" t="s">
        <v>208</v>
      </c>
      <c r="AE134" s="32">
        <v>1</v>
      </c>
      <c r="AF134" s="32">
        <v>3850</v>
      </c>
      <c r="AG134" s="32" t="s">
        <v>209</v>
      </c>
    </row>
    <row r="135" spans="1:33" x14ac:dyDescent="0.25">
      <c r="A135" s="23"/>
      <c r="B135" s="31">
        <v>46216</v>
      </c>
      <c r="C135" s="32" t="s">
        <v>654</v>
      </c>
      <c r="D135" s="32" t="s">
        <v>655</v>
      </c>
      <c r="E135" s="32" t="s">
        <v>795</v>
      </c>
      <c r="F135" s="32" t="s">
        <v>657</v>
      </c>
      <c r="G135" s="32" t="s">
        <v>796</v>
      </c>
      <c r="H135" s="31">
        <v>46216</v>
      </c>
      <c r="I135" s="32" t="s">
        <v>169</v>
      </c>
      <c r="J135" s="32" t="s">
        <v>182</v>
      </c>
      <c r="K135" s="32" t="s">
        <v>154</v>
      </c>
      <c r="L135" s="32" t="s">
        <v>154</v>
      </c>
      <c r="M135" s="32" t="s">
        <v>182</v>
      </c>
      <c r="N135" s="32">
        <v>476.8</v>
      </c>
      <c r="O135" s="32">
        <v>71276.83</v>
      </c>
      <c r="P135" s="32" t="s">
        <v>182</v>
      </c>
      <c r="Q135" s="32">
        <v>0</v>
      </c>
      <c r="R135" s="32">
        <v>9</v>
      </c>
      <c r="S135" s="32">
        <v>6414.91</v>
      </c>
      <c r="T135" s="32">
        <v>9</v>
      </c>
      <c r="U135" s="32">
        <v>6414.91</v>
      </c>
      <c r="V135" s="32">
        <v>0</v>
      </c>
      <c r="W135" s="32">
        <v>0</v>
      </c>
      <c r="X135" s="32">
        <v>0</v>
      </c>
      <c r="Y135" s="32">
        <v>12829.82</v>
      </c>
      <c r="Z135" s="32">
        <v>0</v>
      </c>
      <c r="AA135" s="32" t="s">
        <v>177</v>
      </c>
      <c r="AB135" s="32" t="s">
        <v>168</v>
      </c>
      <c r="AC135" s="32">
        <v>3926908</v>
      </c>
      <c r="AD135" s="32" t="s">
        <v>208</v>
      </c>
      <c r="AE135" s="32">
        <v>1</v>
      </c>
      <c r="AF135" s="32">
        <v>476.8</v>
      </c>
      <c r="AG135" s="32" t="s">
        <v>209</v>
      </c>
    </row>
    <row r="136" spans="1:33" x14ac:dyDescent="0.25">
      <c r="A136" s="23"/>
      <c r="B136" s="31">
        <v>46216</v>
      </c>
      <c r="C136" s="32" t="s">
        <v>654</v>
      </c>
      <c r="D136" s="32" t="s">
        <v>655</v>
      </c>
      <c r="E136" s="32" t="s">
        <v>795</v>
      </c>
      <c r="F136" s="32" t="s">
        <v>657</v>
      </c>
      <c r="G136" s="32" t="s">
        <v>796</v>
      </c>
      <c r="H136" s="31">
        <v>46216</v>
      </c>
      <c r="I136" s="32" t="s">
        <v>169</v>
      </c>
      <c r="J136" s="32" t="s">
        <v>182</v>
      </c>
      <c r="K136" s="32" t="s">
        <v>154</v>
      </c>
      <c r="L136" s="32" t="s">
        <v>154</v>
      </c>
      <c r="M136" s="32" t="s">
        <v>182</v>
      </c>
      <c r="N136" s="32">
        <v>140.9</v>
      </c>
      <c r="O136" s="32">
        <v>20640.439999999999</v>
      </c>
      <c r="P136" s="32" t="s">
        <v>182</v>
      </c>
      <c r="Q136" s="32">
        <v>0</v>
      </c>
      <c r="R136" s="32">
        <v>9</v>
      </c>
      <c r="S136" s="32">
        <v>1857.64</v>
      </c>
      <c r="T136" s="32">
        <v>9</v>
      </c>
      <c r="U136" s="32">
        <v>1857.64</v>
      </c>
      <c r="V136" s="32">
        <v>0</v>
      </c>
      <c r="W136" s="32">
        <v>0</v>
      </c>
      <c r="X136" s="32">
        <v>0</v>
      </c>
      <c r="Y136" s="32">
        <v>3715.28</v>
      </c>
      <c r="Z136" s="32">
        <v>0</v>
      </c>
      <c r="AA136" s="32" t="s">
        <v>177</v>
      </c>
      <c r="AB136" s="32" t="s">
        <v>168</v>
      </c>
      <c r="AC136" s="32">
        <v>3926908</v>
      </c>
      <c r="AD136" s="32" t="s">
        <v>208</v>
      </c>
      <c r="AE136" s="32">
        <v>1</v>
      </c>
      <c r="AF136" s="32">
        <v>140.9</v>
      </c>
      <c r="AG136" s="32" t="s">
        <v>209</v>
      </c>
    </row>
    <row r="137" spans="1:33" x14ac:dyDescent="0.25">
      <c r="A137" s="23"/>
      <c r="B137" s="31">
        <v>46216</v>
      </c>
      <c r="C137" s="32" t="s">
        <v>659</v>
      </c>
      <c r="D137" s="32" t="s">
        <v>655</v>
      </c>
      <c r="E137" s="32" t="s">
        <v>797</v>
      </c>
      <c r="F137" s="32" t="s">
        <v>657</v>
      </c>
      <c r="G137" s="32" t="s">
        <v>798</v>
      </c>
      <c r="H137" s="31">
        <v>46215</v>
      </c>
      <c r="I137" s="32" t="s">
        <v>169</v>
      </c>
      <c r="J137" s="32" t="s">
        <v>180</v>
      </c>
      <c r="K137" s="32" t="s">
        <v>155</v>
      </c>
      <c r="L137" s="32" t="s">
        <v>210</v>
      </c>
      <c r="M137" s="32" t="s">
        <v>187</v>
      </c>
      <c r="N137" s="32">
        <v>1640</v>
      </c>
      <c r="O137" s="32">
        <v>200080</v>
      </c>
      <c r="P137" s="32" t="s">
        <v>187</v>
      </c>
      <c r="Q137" s="32">
        <v>235894.32</v>
      </c>
      <c r="R137" s="32">
        <v>9</v>
      </c>
      <c r="S137" s="32">
        <v>18007.2</v>
      </c>
      <c r="T137" s="32">
        <v>9</v>
      </c>
      <c r="U137" s="32">
        <v>18007.2</v>
      </c>
      <c r="V137" s="32">
        <v>0</v>
      </c>
      <c r="W137" s="32">
        <v>0</v>
      </c>
      <c r="X137" s="32">
        <v>0</v>
      </c>
      <c r="Y137" s="32">
        <v>36014.400000000001</v>
      </c>
      <c r="Z137" s="32">
        <v>0</v>
      </c>
      <c r="AA137" s="32" t="s">
        <v>177</v>
      </c>
      <c r="AB137" s="32" t="s">
        <v>168</v>
      </c>
      <c r="AC137" s="32">
        <v>39269080</v>
      </c>
      <c r="AD137" s="32" t="s">
        <v>208</v>
      </c>
      <c r="AE137" s="32">
        <v>1</v>
      </c>
      <c r="AF137" s="32">
        <v>1640</v>
      </c>
      <c r="AG137" s="32" t="s">
        <v>209</v>
      </c>
    </row>
    <row r="138" spans="1:33" x14ac:dyDescent="0.25">
      <c r="A138" s="23"/>
      <c r="B138" s="31">
        <v>46217</v>
      </c>
      <c r="C138" s="32" t="s">
        <v>799</v>
      </c>
      <c r="D138" s="32" t="s">
        <v>800</v>
      </c>
      <c r="E138" s="32" t="s">
        <v>801</v>
      </c>
      <c r="F138" s="32" t="s">
        <v>802</v>
      </c>
      <c r="G138" s="32" t="s">
        <v>803</v>
      </c>
      <c r="H138" s="31">
        <v>46120</v>
      </c>
      <c r="I138" s="32" t="s">
        <v>171</v>
      </c>
      <c r="J138" s="32" t="s">
        <v>185</v>
      </c>
      <c r="K138" s="32" t="s">
        <v>651</v>
      </c>
      <c r="L138" s="32" t="s">
        <v>166</v>
      </c>
      <c r="M138" s="32" t="s">
        <v>804</v>
      </c>
      <c r="N138" s="32">
        <v>102000</v>
      </c>
      <c r="O138" s="32">
        <v>9639000</v>
      </c>
      <c r="P138" s="32" t="s">
        <v>804</v>
      </c>
      <c r="Q138" s="32">
        <v>9629361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  <c r="X138" s="32">
        <v>0</v>
      </c>
      <c r="Y138" s="32">
        <v>0</v>
      </c>
      <c r="Z138" s="32">
        <v>0</v>
      </c>
      <c r="AA138" s="32" t="s">
        <v>805</v>
      </c>
      <c r="AB138" s="32" t="s">
        <v>168</v>
      </c>
      <c r="AC138" s="32">
        <v>39021000</v>
      </c>
      <c r="AD138" s="32" t="s">
        <v>208</v>
      </c>
      <c r="AE138" s="32">
        <v>1</v>
      </c>
      <c r="AF138" s="32">
        <v>102000</v>
      </c>
      <c r="AG138" s="32" t="s">
        <v>209</v>
      </c>
    </row>
    <row r="139" spans="1:33" x14ac:dyDescent="0.25">
      <c r="A139" s="23"/>
      <c r="B139" s="31">
        <v>46217</v>
      </c>
      <c r="C139" s="32" t="s">
        <v>799</v>
      </c>
      <c r="D139" s="32" t="s">
        <v>800</v>
      </c>
      <c r="E139" s="32" t="s">
        <v>806</v>
      </c>
      <c r="F139" s="32" t="s">
        <v>802</v>
      </c>
      <c r="G139" s="32" t="s">
        <v>807</v>
      </c>
      <c r="H139" s="31">
        <v>46120</v>
      </c>
      <c r="I139" s="32" t="s">
        <v>171</v>
      </c>
      <c r="J139" s="32" t="s">
        <v>185</v>
      </c>
      <c r="K139" s="32" t="s">
        <v>652</v>
      </c>
      <c r="L139" s="32" t="s">
        <v>705</v>
      </c>
      <c r="M139" s="32" t="s">
        <v>423</v>
      </c>
      <c r="N139" s="32">
        <v>51000</v>
      </c>
      <c r="O139" s="32">
        <v>8976000</v>
      </c>
      <c r="P139" s="32" t="s">
        <v>423</v>
      </c>
      <c r="Q139" s="32">
        <v>8967024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  <c r="X139" s="32">
        <v>0</v>
      </c>
      <c r="Y139" s="32">
        <v>0</v>
      </c>
      <c r="Z139" s="32">
        <v>0</v>
      </c>
      <c r="AA139" s="32" t="s">
        <v>805</v>
      </c>
      <c r="AB139" s="32" t="s">
        <v>168</v>
      </c>
      <c r="AC139" s="32">
        <v>39023000</v>
      </c>
      <c r="AD139" s="32" t="s">
        <v>208</v>
      </c>
      <c r="AE139" s="32">
        <v>1</v>
      </c>
      <c r="AF139" s="32">
        <v>51000</v>
      </c>
      <c r="AG139" s="32" t="s">
        <v>209</v>
      </c>
    </row>
    <row r="140" spans="1:33" x14ac:dyDescent="0.25">
      <c r="A140" s="23"/>
      <c r="B140" s="31">
        <v>46217</v>
      </c>
      <c r="C140" s="32" t="s">
        <v>676</v>
      </c>
      <c r="D140" s="32" t="s">
        <v>655</v>
      </c>
      <c r="E140" s="32" t="s">
        <v>808</v>
      </c>
      <c r="F140" s="32" t="s">
        <v>657</v>
      </c>
      <c r="G140" s="32" t="s">
        <v>809</v>
      </c>
      <c r="H140" s="31">
        <v>46216</v>
      </c>
      <c r="I140" s="32" t="s">
        <v>192</v>
      </c>
      <c r="J140" s="32" t="s">
        <v>152</v>
      </c>
      <c r="K140" s="32" t="s">
        <v>152</v>
      </c>
      <c r="L140" s="32" t="s">
        <v>207</v>
      </c>
      <c r="M140" s="32" t="s">
        <v>191</v>
      </c>
      <c r="N140" s="32">
        <v>6672</v>
      </c>
      <c r="O140" s="32">
        <v>2004468.96</v>
      </c>
      <c r="P140" s="32" t="s">
        <v>191</v>
      </c>
      <c r="Q140" s="32">
        <v>2363268.91</v>
      </c>
      <c r="R140" s="32">
        <v>9</v>
      </c>
      <c r="S140" s="32">
        <v>180402.21</v>
      </c>
      <c r="T140" s="32">
        <v>9</v>
      </c>
      <c r="U140" s="32">
        <v>180402.21</v>
      </c>
      <c r="V140" s="32">
        <v>0</v>
      </c>
      <c r="W140" s="32">
        <v>0</v>
      </c>
      <c r="X140" s="32">
        <v>0</v>
      </c>
      <c r="Y140" s="32">
        <v>360804.42</v>
      </c>
      <c r="Z140" s="32">
        <v>0</v>
      </c>
      <c r="AA140" s="32" t="s">
        <v>172</v>
      </c>
      <c r="AB140" s="32" t="s">
        <v>168</v>
      </c>
      <c r="AC140" s="32">
        <v>63053200</v>
      </c>
      <c r="AD140" s="32" t="s">
        <v>208</v>
      </c>
      <c r="AE140" s="32">
        <v>1</v>
      </c>
      <c r="AF140" s="32">
        <v>6672</v>
      </c>
      <c r="AG140" s="32" t="s">
        <v>209</v>
      </c>
    </row>
    <row r="141" spans="1:33" x14ac:dyDescent="0.25">
      <c r="A141" s="23"/>
      <c r="B141" s="31">
        <v>46217</v>
      </c>
      <c r="C141" s="32" t="s">
        <v>654</v>
      </c>
      <c r="D141" s="32" t="s">
        <v>655</v>
      </c>
      <c r="E141" s="32" t="s">
        <v>810</v>
      </c>
      <c r="F141" s="32" t="s">
        <v>657</v>
      </c>
      <c r="G141" s="32" t="s">
        <v>811</v>
      </c>
      <c r="H141" s="31">
        <v>46217</v>
      </c>
      <c r="I141" s="32" t="s">
        <v>169</v>
      </c>
      <c r="J141" s="32" t="s">
        <v>180</v>
      </c>
      <c r="K141" s="32" t="s">
        <v>155</v>
      </c>
      <c r="L141" s="32" t="s">
        <v>210</v>
      </c>
      <c r="M141" s="32" t="s">
        <v>187</v>
      </c>
      <c r="N141" s="32">
        <v>1099</v>
      </c>
      <c r="O141" s="32">
        <v>158794.51</v>
      </c>
      <c r="P141" s="32" t="s">
        <v>187</v>
      </c>
      <c r="Q141" s="32">
        <v>187218.74</v>
      </c>
      <c r="R141" s="32">
        <v>9</v>
      </c>
      <c r="S141" s="32">
        <v>14291.51</v>
      </c>
      <c r="T141" s="32">
        <v>9</v>
      </c>
      <c r="U141" s="32">
        <v>14291.51</v>
      </c>
      <c r="V141" s="32">
        <v>0</v>
      </c>
      <c r="W141" s="32">
        <v>0</v>
      </c>
      <c r="X141" s="32">
        <v>0</v>
      </c>
      <c r="Y141" s="32">
        <v>28583.02</v>
      </c>
      <c r="Z141" s="32">
        <v>0</v>
      </c>
      <c r="AA141" s="32" t="s">
        <v>177</v>
      </c>
      <c r="AB141" s="32" t="s">
        <v>168</v>
      </c>
      <c r="AC141" s="32">
        <v>39269080</v>
      </c>
      <c r="AD141" s="32" t="s">
        <v>208</v>
      </c>
      <c r="AE141" s="32">
        <v>1</v>
      </c>
      <c r="AF141" s="32">
        <v>1099</v>
      </c>
      <c r="AG141" s="32" t="s">
        <v>209</v>
      </c>
    </row>
    <row r="142" spans="1:33" x14ac:dyDescent="0.25">
      <c r="A142" s="23"/>
      <c r="B142" s="31">
        <v>46217</v>
      </c>
      <c r="C142" s="32" t="s">
        <v>654</v>
      </c>
      <c r="D142" s="32" t="s">
        <v>655</v>
      </c>
      <c r="E142" s="32" t="s">
        <v>812</v>
      </c>
      <c r="F142" s="32" t="s">
        <v>657</v>
      </c>
      <c r="G142" s="32" t="s">
        <v>813</v>
      </c>
      <c r="H142" s="31">
        <v>46217</v>
      </c>
      <c r="I142" s="32" t="s">
        <v>171</v>
      </c>
      <c r="J142" s="32" t="s">
        <v>185</v>
      </c>
      <c r="K142" s="32" t="s">
        <v>814</v>
      </c>
      <c r="L142" s="32" t="s">
        <v>705</v>
      </c>
      <c r="M142" s="32" t="s">
        <v>815</v>
      </c>
      <c r="N142" s="32">
        <v>2000</v>
      </c>
      <c r="O142" s="32">
        <v>290000</v>
      </c>
      <c r="P142" s="32" t="s">
        <v>815</v>
      </c>
      <c r="Q142" s="32">
        <v>341910</v>
      </c>
      <c r="R142" s="32">
        <v>9</v>
      </c>
      <c r="S142" s="32">
        <v>26100</v>
      </c>
      <c r="T142" s="32">
        <v>9</v>
      </c>
      <c r="U142" s="32">
        <v>26100</v>
      </c>
      <c r="V142" s="32">
        <v>0</v>
      </c>
      <c r="W142" s="32">
        <v>0</v>
      </c>
      <c r="X142" s="32">
        <v>0</v>
      </c>
      <c r="Y142" s="32">
        <v>52200</v>
      </c>
      <c r="Z142" s="32">
        <v>0</v>
      </c>
      <c r="AA142" s="32" t="s">
        <v>177</v>
      </c>
      <c r="AB142" s="32" t="s">
        <v>168</v>
      </c>
      <c r="AC142" s="32">
        <v>390110</v>
      </c>
      <c r="AD142" s="32" t="s">
        <v>208</v>
      </c>
      <c r="AE142" s="32">
        <v>1</v>
      </c>
      <c r="AF142" s="32">
        <v>2000</v>
      </c>
      <c r="AG142" s="32" t="s">
        <v>209</v>
      </c>
    </row>
    <row r="143" spans="1:33" x14ac:dyDescent="0.25">
      <c r="B143" s="31">
        <v>46218</v>
      </c>
      <c r="C143" s="32" t="s">
        <v>665</v>
      </c>
      <c r="D143" s="32" t="s">
        <v>655</v>
      </c>
      <c r="E143" s="32" t="s">
        <v>816</v>
      </c>
      <c r="F143" s="32" t="s">
        <v>657</v>
      </c>
      <c r="G143" s="32" t="s">
        <v>817</v>
      </c>
      <c r="H143" s="31">
        <v>46217</v>
      </c>
      <c r="I143" s="32" t="s">
        <v>171</v>
      </c>
      <c r="J143" s="32" t="s">
        <v>185</v>
      </c>
      <c r="K143" s="32" t="s">
        <v>164</v>
      </c>
      <c r="L143" s="32" t="s">
        <v>270</v>
      </c>
      <c r="M143" s="32" t="s">
        <v>184</v>
      </c>
      <c r="N143" s="32">
        <v>4000</v>
      </c>
      <c r="O143" s="32">
        <v>152000</v>
      </c>
      <c r="P143" s="32" t="s">
        <v>184</v>
      </c>
      <c r="Q143" s="32">
        <v>619982.57999999996</v>
      </c>
      <c r="R143" s="32">
        <v>9</v>
      </c>
      <c r="S143" s="32">
        <v>13680</v>
      </c>
      <c r="T143" s="32">
        <v>9</v>
      </c>
      <c r="U143" s="32">
        <v>13680</v>
      </c>
      <c r="V143" s="32">
        <v>0</v>
      </c>
      <c r="W143" s="32">
        <v>0</v>
      </c>
      <c r="X143" s="32">
        <v>0</v>
      </c>
      <c r="Y143" s="32">
        <v>27360</v>
      </c>
      <c r="Z143" s="32">
        <v>0</v>
      </c>
      <c r="AA143" s="32" t="s">
        <v>189</v>
      </c>
      <c r="AB143" s="32" t="s">
        <v>168</v>
      </c>
      <c r="AC143" s="32">
        <v>32041990</v>
      </c>
      <c r="AD143" s="32" t="s">
        <v>208</v>
      </c>
      <c r="AE143" s="32">
        <v>1</v>
      </c>
      <c r="AF143" s="32">
        <v>4000</v>
      </c>
      <c r="AG143" s="32" t="s">
        <v>209</v>
      </c>
    </row>
    <row r="144" spans="1:33" x14ac:dyDescent="0.25">
      <c r="B144" s="31">
        <v>46218</v>
      </c>
      <c r="C144" s="32" t="s">
        <v>665</v>
      </c>
      <c r="D144" s="32" t="s">
        <v>655</v>
      </c>
      <c r="E144" s="32" t="s">
        <v>816</v>
      </c>
      <c r="F144" s="32" t="s">
        <v>657</v>
      </c>
      <c r="G144" s="32" t="s">
        <v>817</v>
      </c>
      <c r="H144" s="31">
        <v>46217</v>
      </c>
      <c r="I144" s="32" t="s">
        <v>169</v>
      </c>
      <c r="J144" s="32" t="s">
        <v>180</v>
      </c>
      <c r="K144" s="32" t="s">
        <v>155</v>
      </c>
      <c r="L144" s="32" t="s">
        <v>210</v>
      </c>
      <c r="M144" s="32" t="s">
        <v>187</v>
      </c>
      <c r="N144" s="32">
        <v>2389</v>
      </c>
      <c r="O144" s="32">
        <v>373854.61</v>
      </c>
      <c r="P144" s="32" t="s">
        <v>187</v>
      </c>
      <c r="Q144" s="32">
        <v>0</v>
      </c>
      <c r="R144" s="32">
        <v>9</v>
      </c>
      <c r="S144" s="32">
        <v>33646.910000000003</v>
      </c>
      <c r="T144" s="32">
        <v>9</v>
      </c>
      <c r="U144" s="32">
        <v>33646.910000000003</v>
      </c>
      <c r="V144" s="32">
        <v>0</v>
      </c>
      <c r="W144" s="32">
        <v>0</v>
      </c>
      <c r="X144" s="32">
        <v>0</v>
      </c>
      <c r="Y144" s="32">
        <v>67293.820000000007</v>
      </c>
      <c r="Z144" s="32">
        <v>0</v>
      </c>
      <c r="AA144" s="32" t="s">
        <v>189</v>
      </c>
      <c r="AB144" s="32" t="s">
        <v>168</v>
      </c>
      <c r="AC144" s="32">
        <v>39269080</v>
      </c>
      <c r="AD144" s="32" t="s">
        <v>208</v>
      </c>
      <c r="AE144" s="32">
        <v>1</v>
      </c>
      <c r="AF144" s="32">
        <v>2389</v>
      </c>
      <c r="AG144" s="32" t="s">
        <v>209</v>
      </c>
    </row>
    <row r="145" spans="2:33" x14ac:dyDescent="0.25">
      <c r="B145" s="31">
        <v>46218</v>
      </c>
      <c r="C145" s="32" t="s">
        <v>676</v>
      </c>
      <c r="D145" s="32" t="s">
        <v>655</v>
      </c>
      <c r="E145" s="32" t="s">
        <v>818</v>
      </c>
      <c r="F145" s="32" t="s">
        <v>657</v>
      </c>
      <c r="G145" s="32" t="s">
        <v>819</v>
      </c>
      <c r="H145" s="31">
        <v>46217</v>
      </c>
      <c r="I145" s="32" t="s">
        <v>169</v>
      </c>
      <c r="J145" s="32" t="s">
        <v>170</v>
      </c>
      <c r="K145" s="32" t="s">
        <v>157</v>
      </c>
      <c r="L145" s="32" t="s">
        <v>308</v>
      </c>
      <c r="M145" s="32" t="s">
        <v>302</v>
      </c>
      <c r="N145" s="32">
        <v>1190</v>
      </c>
      <c r="O145" s="32">
        <v>198313.5</v>
      </c>
      <c r="P145" s="32" t="s">
        <v>302</v>
      </c>
      <c r="Q145" s="32">
        <v>208030.87</v>
      </c>
      <c r="R145" s="32">
        <v>2.5</v>
      </c>
      <c r="S145" s="32">
        <v>4957.84</v>
      </c>
      <c r="T145" s="32">
        <v>2.5</v>
      </c>
      <c r="U145" s="32">
        <v>4957.84</v>
      </c>
      <c r="V145" s="32">
        <v>0</v>
      </c>
      <c r="W145" s="32">
        <v>0</v>
      </c>
      <c r="X145" s="32">
        <v>0</v>
      </c>
      <c r="Y145" s="32">
        <v>9915.68</v>
      </c>
      <c r="Z145" s="32">
        <v>0</v>
      </c>
      <c r="AA145" s="32" t="s">
        <v>172</v>
      </c>
      <c r="AB145" s="32" t="s">
        <v>168</v>
      </c>
      <c r="AC145" s="32">
        <v>540263</v>
      </c>
      <c r="AD145" s="32" t="s">
        <v>208</v>
      </c>
      <c r="AE145" s="32">
        <v>1</v>
      </c>
      <c r="AF145" s="32">
        <v>1190</v>
      </c>
      <c r="AG145" s="32" t="s">
        <v>209</v>
      </c>
    </row>
    <row r="146" spans="2:33" x14ac:dyDescent="0.25">
      <c r="B146" s="31">
        <v>46218</v>
      </c>
      <c r="C146" s="32" t="s">
        <v>820</v>
      </c>
      <c r="D146" s="32" t="s">
        <v>655</v>
      </c>
      <c r="E146" s="32" t="s">
        <v>821</v>
      </c>
      <c r="F146" s="32" t="s">
        <v>657</v>
      </c>
      <c r="G146" s="32" t="s">
        <v>822</v>
      </c>
      <c r="H146" s="31">
        <v>46217</v>
      </c>
      <c r="I146" s="32" t="s">
        <v>169</v>
      </c>
      <c r="J146" s="32" t="s">
        <v>170</v>
      </c>
      <c r="K146" s="32" t="s">
        <v>157</v>
      </c>
      <c r="L146" s="32" t="s">
        <v>308</v>
      </c>
      <c r="M146" s="32" t="s">
        <v>302</v>
      </c>
      <c r="N146" s="32">
        <v>5028.7</v>
      </c>
      <c r="O146" s="32">
        <v>890079.9</v>
      </c>
      <c r="P146" s="32" t="s">
        <v>302</v>
      </c>
      <c r="Q146" s="32">
        <v>934583.9</v>
      </c>
      <c r="R146" s="32">
        <v>2.5</v>
      </c>
      <c r="S146" s="32">
        <v>22252</v>
      </c>
      <c r="T146" s="32">
        <v>2.5</v>
      </c>
      <c r="U146" s="32">
        <v>22252</v>
      </c>
      <c r="V146" s="32">
        <v>0</v>
      </c>
      <c r="W146" s="32">
        <v>0</v>
      </c>
      <c r="X146" s="32">
        <v>0</v>
      </c>
      <c r="Y146" s="32">
        <v>44504</v>
      </c>
      <c r="Z146" s="32">
        <v>0</v>
      </c>
      <c r="AA146" s="32" t="s">
        <v>823</v>
      </c>
      <c r="AB146" s="32" t="s">
        <v>168</v>
      </c>
      <c r="AC146" s="32">
        <v>540263</v>
      </c>
      <c r="AD146" s="32" t="s">
        <v>208</v>
      </c>
      <c r="AE146" s="32">
        <v>1</v>
      </c>
      <c r="AF146" s="32">
        <v>5028.7</v>
      </c>
      <c r="AG146" s="32" t="s">
        <v>209</v>
      </c>
    </row>
    <row r="147" spans="2:33" x14ac:dyDescent="0.25">
      <c r="B147" s="31">
        <v>46218</v>
      </c>
      <c r="C147" s="32" t="s">
        <v>654</v>
      </c>
      <c r="D147" s="32" t="s">
        <v>655</v>
      </c>
      <c r="E147" s="32" t="s">
        <v>824</v>
      </c>
      <c r="F147" s="32" t="s">
        <v>657</v>
      </c>
      <c r="G147" s="32" t="s">
        <v>825</v>
      </c>
      <c r="H147" s="31">
        <v>46218</v>
      </c>
      <c r="I147" s="32" t="s">
        <v>169</v>
      </c>
      <c r="J147" s="32" t="s">
        <v>170</v>
      </c>
      <c r="K147" s="32" t="s">
        <v>157</v>
      </c>
      <c r="L147" s="32" t="s">
        <v>233</v>
      </c>
      <c r="M147" s="32" t="s">
        <v>685</v>
      </c>
      <c r="N147" s="32">
        <v>224</v>
      </c>
      <c r="O147" s="32">
        <v>35725.760000000002</v>
      </c>
      <c r="P147" s="32" t="s">
        <v>685</v>
      </c>
      <c r="Q147" s="32">
        <v>1117005.21</v>
      </c>
      <c r="R147" s="32">
        <v>2.5</v>
      </c>
      <c r="S147" s="32">
        <v>893.14</v>
      </c>
      <c r="T147" s="32">
        <v>2.5</v>
      </c>
      <c r="U147" s="32">
        <v>893.14</v>
      </c>
      <c r="V147" s="32">
        <v>0</v>
      </c>
      <c r="W147" s="32">
        <v>0</v>
      </c>
      <c r="X147" s="32">
        <v>0</v>
      </c>
      <c r="Y147" s="32">
        <v>1786.28</v>
      </c>
      <c r="Z147" s="32">
        <v>0</v>
      </c>
      <c r="AA147" s="32" t="s">
        <v>177</v>
      </c>
      <c r="AB147" s="32" t="s">
        <v>188</v>
      </c>
      <c r="AC147" s="32">
        <v>540263</v>
      </c>
      <c r="AD147" s="32" t="s">
        <v>208</v>
      </c>
      <c r="AE147" s="32">
        <v>1</v>
      </c>
      <c r="AF147" s="32">
        <v>224</v>
      </c>
      <c r="AG147" s="32" t="s">
        <v>209</v>
      </c>
    </row>
    <row r="148" spans="2:33" x14ac:dyDescent="0.25">
      <c r="B148" s="31">
        <v>46218</v>
      </c>
      <c r="C148" s="32" t="s">
        <v>654</v>
      </c>
      <c r="D148" s="32" t="s">
        <v>655</v>
      </c>
      <c r="E148" s="32" t="s">
        <v>824</v>
      </c>
      <c r="F148" s="32" t="s">
        <v>657</v>
      </c>
      <c r="G148" s="32" t="s">
        <v>825</v>
      </c>
      <c r="H148" s="31">
        <v>46218</v>
      </c>
      <c r="I148" s="32" t="s">
        <v>169</v>
      </c>
      <c r="J148" s="32" t="s">
        <v>201</v>
      </c>
      <c r="K148" s="32" t="s">
        <v>158</v>
      </c>
      <c r="L148" s="32" t="s">
        <v>220</v>
      </c>
      <c r="M148" s="32" t="s">
        <v>200</v>
      </c>
      <c r="N148" s="32">
        <v>673.9</v>
      </c>
      <c r="O148" s="32">
        <v>116436.442</v>
      </c>
      <c r="P148" s="32" t="s">
        <v>200</v>
      </c>
      <c r="Q148" s="32">
        <v>0</v>
      </c>
      <c r="R148" s="32">
        <v>9</v>
      </c>
      <c r="S148" s="32">
        <v>10479.280000000001</v>
      </c>
      <c r="T148" s="32">
        <v>9</v>
      </c>
      <c r="U148" s="32">
        <v>10479.280000000001</v>
      </c>
      <c r="V148" s="32">
        <v>0</v>
      </c>
      <c r="W148" s="32">
        <v>0</v>
      </c>
      <c r="X148" s="32">
        <v>0</v>
      </c>
      <c r="Y148" s="32">
        <v>20958.560000000001</v>
      </c>
      <c r="Z148" s="32">
        <v>0</v>
      </c>
      <c r="AA148" s="32" t="s">
        <v>177</v>
      </c>
      <c r="AB148" s="32" t="s">
        <v>168</v>
      </c>
      <c r="AC148" s="32">
        <v>3920101</v>
      </c>
      <c r="AD148" s="32" t="s">
        <v>208</v>
      </c>
      <c r="AE148" s="32">
        <v>1</v>
      </c>
      <c r="AF148" s="32">
        <v>673.9</v>
      </c>
      <c r="AG148" s="32" t="s">
        <v>209</v>
      </c>
    </row>
    <row r="149" spans="2:33" x14ac:dyDescent="0.25">
      <c r="B149" s="31">
        <v>46218</v>
      </c>
      <c r="C149" s="32" t="s">
        <v>654</v>
      </c>
      <c r="D149" s="32" t="s">
        <v>655</v>
      </c>
      <c r="E149" s="32" t="s">
        <v>824</v>
      </c>
      <c r="F149" s="32" t="s">
        <v>657</v>
      </c>
      <c r="G149" s="32" t="s">
        <v>825</v>
      </c>
      <c r="H149" s="31">
        <v>46218</v>
      </c>
      <c r="I149" s="32" t="s">
        <v>169</v>
      </c>
      <c r="J149" s="32" t="s">
        <v>170</v>
      </c>
      <c r="K149" s="32" t="s">
        <v>157</v>
      </c>
      <c r="L149" s="32" t="s">
        <v>308</v>
      </c>
      <c r="M149" s="32" t="s">
        <v>302</v>
      </c>
      <c r="N149" s="32">
        <v>32</v>
      </c>
      <c r="O149" s="32">
        <v>5055.68</v>
      </c>
      <c r="P149" s="32" t="s">
        <v>302</v>
      </c>
      <c r="Q149" s="32">
        <v>0</v>
      </c>
      <c r="R149" s="32">
        <v>2.5</v>
      </c>
      <c r="S149" s="32">
        <v>126.39</v>
      </c>
      <c r="T149" s="32">
        <v>2.5</v>
      </c>
      <c r="U149" s="32">
        <v>126.39</v>
      </c>
      <c r="V149" s="32">
        <v>0</v>
      </c>
      <c r="W149" s="32">
        <v>0</v>
      </c>
      <c r="X149" s="32">
        <v>0</v>
      </c>
      <c r="Y149" s="32">
        <v>252.78</v>
      </c>
      <c r="Z149" s="32">
        <v>0</v>
      </c>
      <c r="AA149" s="32" t="s">
        <v>177</v>
      </c>
      <c r="AB149" s="32" t="s">
        <v>168</v>
      </c>
      <c r="AC149" s="32">
        <v>540263</v>
      </c>
      <c r="AD149" s="32" t="s">
        <v>208</v>
      </c>
      <c r="AE149" s="32">
        <v>1</v>
      </c>
      <c r="AF149" s="32">
        <v>32</v>
      </c>
      <c r="AG149" s="32" t="s">
        <v>209</v>
      </c>
    </row>
    <row r="150" spans="2:33" x14ac:dyDescent="0.25">
      <c r="B150" s="31">
        <v>46218</v>
      </c>
      <c r="C150" s="32" t="s">
        <v>654</v>
      </c>
      <c r="D150" s="32" t="s">
        <v>655</v>
      </c>
      <c r="E150" s="32" t="s">
        <v>824</v>
      </c>
      <c r="F150" s="32" t="s">
        <v>657</v>
      </c>
      <c r="G150" s="32" t="s">
        <v>825</v>
      </c>
      <c r="H150" s="31">
        <v>46218</v>
      </c>
      <c r="I150" s="32" t="s">
        <v>169</v>
      </c>
      <c r="J150" s="32" t="s">
        <v>180</v>
      </c>
      <c r="K150" s="32" t="s">
        <v>155</v>
      </c>
      <c r="L150" s="32" t="s">
        <v>210</v>
      </c>
      <c r="M150" s="32" t="s">
        <v>187</v>
      </c>
      <c r="N150" s="32">
        <v>549</v>
      </c>
      <c r="O150" s="32">
        <v>79325.009999999995</v>
      </c>
      <c r="P150" s="32" t="s">
        <v>187</v>
      </c>
      <c r="Q150" s="32">
        <v>0</v>
      </c>
      <c r="R150" s="32">
        <v>9</v>
      </c>
      <c r="S150" s="32">
        <v>7139.25</v>
      </c>
      <c r="T150" s="32">
        <v>9</v>
      </c>
      <c r="U150" s="32">
        <v>7139.25</v>
      </c>
      <c r="V150" s="32">
        <v>0</v>
      </c>
      <c r="W150" s="32">
        <v>0</v>
      </c>
      <c r="X150" s="32">
        <v>0</v>
      </c>
      <c r="Y150" s="32">
        <v>14278.5</v>
      </c>
      <c r="Z150" s="32">
        <v>0</v>
      </c>
      <c r="AA150" s="32" t="s">
        <v>177</v>
      </c>
      <c r="AB150" s="32" t="s">
        <v>168</v>
      </c>
      <c r="AC150" s="32">
        <v>39269080</v>
      </c>
      <c r="AD150" s="32" t="s">
        <v>208</v>
      </c>
      <c r="AE150" s="32">
        <v>1</v>
      </c>
      <c r="AF150" s="32">
        <v>549</v>
      </c>
      <c r="AG150" s="32" t="s">
        <v>209</v>
      </c>
    </row>
    <row r="151" spans="2:33" x14ac:dyDescent="0.25">
      <c r="B151" s="31">
        <v>46218</v>
      </c>
      <c r="C151" s="32" t="s">
        <v>654</v>
      </c>
      <c r="D151" s="32" t="s">
        <v>655</v>
      </c>
      <c r="E151" s="32" t="s">
        <v>824</v>
      </c>
      <c r="F151" s="32" t="s">
        <v>657</v>
      </c>
      <c r="G151" s="32" t="s">
        <v>825</v>
      </c>
      <c r="H151" s="31">
        <v>46218</v>
      </c>
      <c r="I151" s="32" t="s">
        <v>169</v>
      </c>
      <c r="J151" s="32" t="s">
        <v>180</v>
      </c>
      <c r="K151" s="32" t="s">
        <v>155</v>
      </c>
      <c r="L151" s="32" t="s">
        <v>210</v>
      </c>
      <c r="M151" s="32" t="s">
        <v>187</v>
      </c>
      <c r="N151" s="32">
        <v>1281</v>
      </c>
      <c r="O151" s="32">
        <v>191496.69</v>
      </c>
      <c r="P151" s="32" t="s">
        <v>187</v>
      </c>
      <c r="Q151" s="32">
        <v>0</v>
      </c>
      <c r="R151" s="32">
        <v>9</v>
      </c>
      <c r="S151" s="32">
        <v>17234.7</v>
      </c>
      <c r="T151" s="32">
        <v>9</v>
      </c>
      <c r="U151" s="32">
        <v>17234.7</v>
      </c>
      <c r="V151" s="32">
        <v>0</v>
      </c>
      <c r="W151" s="32">
        <v>0</v>
      </c>
      <c r="X151" s="32">
        <v>0</v>
      </c>
      <c r="Y151" s="32">
        <v>34469.4</v>
      </c>
      <c r="Z151" s="32">
        <v>0</v>
      </c>
      <c r="AA151" s="32" t="s">
        <v>177</v>
      </c>
      <c r="AB151" s="32" t="s">
        <v>168</v>
      </c>
      <c r="AC151" s="32">
        <v>39269080</v>
      </c>
      <c r="AD151" s="32" t="s">
        <v>208</v>
      </c>
      <c r="AE151" s="32">
        <v>1</v>
      </c>
      <c r="AF151" s="32">
        <v>1281</v>
      </c>
      <c r="AG151" s="32" t="s">
        <v>209</v>
      </c>
    </row>
    <row r="152" spans="2:33" x14ac:dyDescent="0.25">
      <c r="B152" s="31">
        <v>46218</v>
      </c>
      <c r="C152" s="32" t="s">
        <v>654</v>
      </c>
      <c r="D152" s="32" t="s">
        <v>655</v>
      </c>
      <c r="E152" s="32" t="s">
        <v>824</v>
      </c>
      <c r="F152" s="32" t="s">
        <v>657</v>
      </c>
      <c r="G152" s="32" t="s">
        <v>825</v>
      </c>
      <c r="H152" s="31">
        <v>46218</v>
      </c>
      <c r="I152" s="32" t="s">
        <v>169</v>
      </c>
      <c r="J152" s="32" t="s">
        <v>180</v>
      </c>
      <c r="K152" s="32" t="s">
        <v>156</v>
      </c>
      <c r="L152" s="32" t="s">
        <v>218</v>
      </c>
      <c r="M152" s="32" t="s">
        <v>179</v>
      </c>
      <c r="N152" s="32">
        <v>712</v>
      </c>
      <c r="O152" s="32">
        <v>107860.88</v>
      </c>
      <c r="P152" s="32" t="s">
        <v>179</v>
      </c>
      <c r="Q152" s="32">
        <v>0</v>
      </c>
      <c r="R152" s="32">
        <v>9</v>
      </c>
      <c r="S152" s="32">
        <v>9707.48</v>
      </c>
      <c r="T152" s="32">
        <v>9</v>
      </c>
      <c r="U152" s="32">
        <v>9707.48</v>
      </c>
      <c r="V152" s="32">
        <v>0</v>
      </c>
      <c r="W152" s="32">
        <v>0</v>
      </c>
      <c r="X152" s="32">
        <v>0</v>
      </c>
      <c r="Y152" s="32">
        <v>19414.96</v>
      </c>
      <c r="Z152" s="32">
        <v>0</v>
      </c>
      <c r="AA152" s="32" t="s">
        <v>177</v>
      </c>
      <c r="AB152" s="32" t="s">
        <v>168</v>
      </c>
      <c r="AC152" s="32">
        <v>63053300</v>
      </c>
      <c r="AD152" s="32" t="s">
        <v>208</v>
      </c>
      <c r="AE152" s="32">
        <v>1</v>
      </c>
      <c r="AF152" s="32">
        <v>712</v>
      </c>
      <c r="AG152" s="32" t="s">
        <v>209</v>
      </c>
    </row>
    <row r="153" spans="2:33" x14ac:dyDescent="0.25">
      <c r="B153" s="31">
        <v>46218</v>
      </c>
      <c r="C153" s="32" t="s">
        <v>654</v>
      </c>
      <c r="D153" s="32" t="s">
        <v>655</v>
      </c>
      <c r="E153" s="32" t="s">
        <v>824</v>
      </c>
      <c r="F153" s="32" t="s">
        <v>657</v>
      </c>
      <c r="G153" s="32" t="s">
        <v>825</v>
      </c>
      <c r="H153" s="31">
        <v>46218</v>
      </c>
      <c r="I153" s="32" t="s">
        <v>169</v>
      </c>
      <c r="J153" s="32" t="s">
        <v>182</v>
      </c>
      <c r="K153" s="32" t="s">
        <v>154</v>
      </c>
      <c r="L153" s="32" t="s">
        <v>154</v>
      </c>
      <c r="M153" s="32" t="s">
        <v>182</v>
      </c>
      <c r="N153" s="32">
        <v>1290.4000000000001</v>
      </c>
      <c r="O153" s="32">
        <v>192901.89600000001</v>
      </c>
      <c r="P153" s="32" t="s">
        <v>182</v>
      </c>
      <c r="Q153" s="32">
        <v>0</v>
      </c>
      <c r="R153" s="32">
        <v>9</v>
      </c>
      <c r="S153" s="32">
        <v>17361.169999999998</v>
      </c>
      <c r="T153" s="32">
        <v>9</v>
      </c>
      <c r="U153" s="32">
        <v>17361.169999999998</v>
      </c>
      <c r="V153" s="32">
        <v>0</v>
      </c>
      <c r="W153" s="32">
        <v>0</v>
      </c>
      <c r="X153" s="32">
        <v>0</v>
      </c>
      <c r="Y153" s="32">
        <v>34722.339999999997</v>
      </c>
      <c r="Z153" s="32">
        <v>0</v>
      </c>
      <c r="AA153" s="32" t="s">
        <v>177</v>
      </c>
      <c r="AB153" s="32" t="s">
        <v>168</v>
      </c>
      <c r="AC153" s="32">
        <v>3926908</v>
      </c>
      <c r="AD153" s="32" t="s">
        <v>208</v>
      </c>
      <c r="AE153" s="32">
        <v>1</v>
      </c>
      <c r="AF153" s="32">
        <v>1290.4000000000001</v>
      </c>
      <c r="AG153" s="32" t="s">
        <v>209</v>
      </c>
    </row>
    <row r="154" spans="2:33" x14ac:dyDescent="0.25">
      <c r="B154" s="31">
        <v>46218</v>
      </c>
      <c r="C154" s="32" t="s">
        <v>654</v>
      </c>
      <c r="D154" s="32" t="s">
        <v>655</v>
      </c>
      <c r="E154" s="32" t="s">
        <v>824</v>
      </c>
      <c r="F154" s="32" t="s">
        <v>657</v>
      </c>
      <c r="G154" s="32" t="s">
        <v>825</v>
      </c>
      <c r="H154" s="31">
        <v>46218</v>
      </c>
      <c r="I154" s="32" t="s">
        <v>169</v>
      </c>
      <c r="J154" s="32" t="s">
        <v>182</v>
      </c>
      <c r="K154" s="32" t="s">
        <v>154</v>
      </c>
      <c r="L154" s="32" t="s">
        <v>154</v>
      </c>
      <c r="M154" s="32" t="s">
        <v>182</v>
      </c>
      <c r="N154" s="32">
        <v>144.6</v>
      </c>
      <c r="O154" s="32">
        <v>21182.454000000002</v>
      </c>
      <c r="P154" s="32" t="s">
        <v>182</v>
      </c>
      <c r="Q154" s="32">
        <v>0</v>
      </c>
      <c r="R154" s="32">
        <v>9</v>
      </c>
      <c r="S154" s="32">
        <v>1906.42</v>
      </c>
      <c r="T154" s="32">
        <v>9</v>
      </c>
      <c r="U154" s="32">
        <v>1906.42</v>
      </c>
      <c r="V154" s="32">
        <v>0</v>
      </c>
      <c r="W154" s="32">
        <v>0</v>
      </c>
      <c r="X154" s="32">
        <v>0</v>
      </c>
      <c r="Y154" s="32">
        <v>3812.84</v>
      </c>
      <c r="Z154" s="32">
        <v>0</v>
      </c>
      <c r="AA154" s="32" t="s">
        <v>177</v>
      </c>
      <c r="AB154" s="32" t="s">
        <v>168</v>
      </c>
      <c r="AC154" s="32">
        <v>3926908</v>
      </c>
      <c r="AD154" s="32" t="s">
        <v>208</v>
      </c>
      <c r="AE154" s="32">
        <v>1</v>
      </c>
      <c r="AF154" s="32">
        <v>144.6</v>
      </c>
      <c r="AG154" s="32" t="s">
        <v>209</v>
      </c>
    </row>
    <row r="155" spans="2:33" x14ac:dyDescent="0.25">
      <c r="B155" s="31">
        <v>46218</v>
      </c>
      <c r="C155" s="32" t="s">
        <v>654</v>
      </c>
      <c r="D155" s="32" t="s">
        <v>655</v>
      </c>
      <c r="E155" s="32" t="s">
        <v>824</v>
      </c>
      <c r="F155" s="32" t="s">
        <v>657</v>
      </c>
      <c r="G155" s="32" t="s">
        <v>825</v>
      </c>
      <c r="H155" s="31">
        <v>46218</v>
      </c>
      <c r="I155" s="32" t="s">
        <v>169</v>
      </c>
      <c r="J155" s="32" t="s">
        <v>176</v>
      </c>
      <c r="K155" s="32" t="s">
        <v>159</v>
      </c>
      <c r="L155" s="32" t="s">
        <v>159</v>
      </c>
      <c r="M155" s="32" t="s">
        <v>174</v>
      </c>
      <c r="N155" s="32">
        <v>571.70000000000005</v>
      </c>
      <c r="O155" s="32">
        <v>118216.126</v>
      </c>
      <c r="P155" s="32" t="s">
        <v>174</v>
      </c>
      <c r="Q155" s="32">
        <v>0</v>
      </c>
      <c r="R155" s="32">
        <v>9</v>
      </c>
      <c r="S155" s="32">
        <v>10639.45</v>
      </c>
      <c r="T155" s="32">
        <v>9</v>
      </c>
      <c r="U155" s="32">
        <v>10639.45</v>
      </c>
      <c r="V155" s="32">
        <v>0</v>
      </c>
      <c r="W155" s="32">
        <v>0</v>
      </c>
      <c r="X155" s="32">
        <v>0</v>
      </c>
      <c r="Y155" s="32">
        <v>21278.9</v>
      </c>
      <c r="Z155" s="32">
        <v>0</v>
      </c>
      <c r="AA155" s="32" t="s">
        <v>177</v>
      </c>
      <c r="AB155" s="32" t="s">
        <v>168</v>
      </c>
      <c r="AC155" s="32">
        <v>39200000</v>
      </c>
      <c r="AD155" s="32" t="s">
        <v>208</v>
      </c>
      <c r="AE155" s="32">
        <v>1</v>
      </c>
      <c r="AF155" s="32">
        <v>571.70000000000005</v>
      </c>
      <c r="AG155" s="32" t="s">
        <v>209</v>
      </c>
    </row>
    <row r="156" spans="2:33" x14ac:dyDescent="0.25">
      <c r="B156" s="31">
        <v>46218</v>
      </c>
      <c r="C156" s="32" t="s">
        <v>654</v>
      </c>
      <c r="D156" s="32" t="s">
        <v>655</v>
      </c>
      <c r="E156" s="32" t="s">
        <v>824</v>
      </c>
      <c r="F156" s="32" t="s">
        <v>657</v>
      </c>
      <c r="G156" s="32" t="s">
        <v>825</v>
      </c>
      <c r="H156" s="31">
        <v>46218</v>
      </c>
      <c r="I156" s="32" t="s">
        <v>169</v>
      </c>
      <c r="J156" s="32" t="s">
        <v>176</v>
      </c>
      <c r="K156" s="32" t="s">
        <v>159</v>
      </c>
      <c r="L156" s="32" t="s">
        <v>159</v>
      </c>
      <c r="M156" s="32" t="s">
        <v>174</v>
      </c>
      <c r="N156" s="32">
        <v>458</v>
      </c>
      <c r="O156" s="32">
        <v>83713.240000000005</v>
      </c>
      <c r="P156" s="32" t="s">
        <v>174</v>
      </c>
      <c r="Q156" s="32">
        <v>0</v>
      </c>
      <c r="R156" s="32">
        <v>9</v>
      </c>
      <c r="S156" s="32">
        <v>7534.19</v>
      </c>
      <c r="T156" s="32">
        <v>9</v>
      </c>
      <c r="U156" s="32">
        <v>7534.19</v>
      </c>
      <c r="V156" s="32">
        <v>0</v>
      </c>
      <c r="W156" s="32">
        <v>0</v>
      </c>
      <c r="X156" s="32">
        <v>0</v>
      </c>
      <c r="Y156" s="32">
        <v>15068.38</v>
      </c>
      <c r="Z156" s="32">
        <v>0</v>
      </c>
      <c r="AA156" s="32" t="s">
        <v>177</v>
      </c>
      <c r="AB156" s="32" t="s">
        <v>168</v>
      </c>
      <c r="AC156" s="32">
        <v>39200000</v>
      </c>
      <c r="AD156" s="32" t="s">
        <v>208</v>
      </c>
      <c r="AE156" s="32">
        <v>1</v>
      </c>
      <c r="AF156" s="32">
        <v>458</v>
      </c>
      <c r="AG156" s="32" t="s">
        <v>209</v>
      </c>
    </row>
    <row r="157" spans="2:33" x14ac:dyDescent="0.25">
      <c r="B157" s="31">
        <v>46218</v>
      </c>
      <c r="C157" s="32" t="s">
        <v>659</v>
      </c>
      <c r="D157" s="32" t="s">
        <v>655</v>
      </c>
      <c r="E157" s="32" t="s">
        <v>826</v>
      </c>
      <c r="F157" s="32" t="s">
        <v>657</v>
      </c>
      <c r="G157" s="32" t="s">
        <v>827</v>
      </c>
      <c r="H157" s="31">
        <v>46218</v>
      </c>
      <c r="I157" s="32" t="s">
        <v>192</v>
      </c>
      <c r="J157" s="32" t="s">
        <v>152</v>
      </c>
      <c r="K157" s="32" t="s">
        <v>152</v>
      </c>
      <c r="L157" s="32" t="s">
        <v>207</v>
      </c>
      <c r="M157" s="32" t="s">
        <v>191</v>
      </c>
      <c r="N157" s="32">
        <v>5437</v>
      </c>
      <c r="O157" s="32">
        <v>1264319.98</v>
      </c>
      <c r="P157" s="32" t="s">
        <v>191</v>
      </c>
      <c r="Q157" s="32">
        <v>1490633.26</v>
      </c>
      <c r="R157" s="32">
        <v>9</v>
      </c>
      <c r="S157" s="32">
        <v>113788.8</v>
      </c>
      <c r="T157" s="32">
        <v>9</v>
      </c>
      <c r="U157" s="32">
        <v>113788.8</v>
      </c>
      <c r="V157" s="32">
        <v>0</v>
      </c>
      <c r="W157" s="32">
        <v>0</v>
      </c>
      <c r="X157" s="32">
        <v>0</v>
      </c>
      <c r="Y157" s="32">
        <v>227577.60000000001</v>
      </c>
      <c r="Z157" s="32">
        <v>0</v>
      </c>
      <c r="AA157" s="32" t="s">
        <v>177</v>
      </c>
      <c r="AB157" s="32" t="s">
        <v>168</v>
      </c>
      <c r="AC157" s="32">
        <v>63053200</v>
      </c>
      <c r="AD157" s="32" t="s">
        <v>208</v>
      </c>
      <c r="AE157" s="32">
        <v>1</v>
      </c>
      <c r="AF157" s="32">
        <v>5437</v>
      </c>
      <c r="AG157" s="32" t="s">
        <v>209</v>
      </c>
    </row>
    <row r="158" spans="2:33" x14ac:dyDescent="0.25">
      <c r="B158" s="31">
        <v>46219</v>
      </c>
      <c r="C158" s="32" t="s">
        <v>665</v>
      </c>
      <c r="D158" s="32" t="s">
        <v>655</v>
      </c>
      <c r="E158" s="32" t="s">
        <v>828</v>
      </c>
      <c r="F158" s="32" t="s">
        <v>657</v>
      </c>
      <c r="G158" s="32" t="s">
        <v>829</v>
      </c>
      <c r="H158" s="31">
        <v>46218</v>
      </c>
      <c r="I158" s="32" t="s">
        <v>169</v>
      </c>
      <c r="J158" s="32" t="s">
        <v>180</v>
      </c>
      <c r="K158" s="32" t="s">
        <v>155</v>
      </c>
      <c r="L158" s="32" t="s">
        <v>210</v>
      </c>
      <c r="M158" s="32" t="s">
        <v>187</v>
      </c>
      <c r="N158" s="32">
        <v>1444</v>
      </c>
      <c r="O158" s="32">
        <v>225971.56</v>
      </c>
      <c r="P158" s="32" t="s">
        <v>187</v>
      </c>
      <c r="Q158" s="32">
        <v>319071.31</v>
      </c>
      <c r="R158" s="32">
        <v>9</v>
      </c>
      <c r="S158" s="32">
        <v>20337.439999999999</v>
      </c>
      <c r="T158" s="32">
        <v>9</v>
      </c>
      <c r="U158" s="32">
        <v>20337.439999999999</v>
      </c>
      <c r="V158" s="32">
        <v>0</v>
      </c>
      <c r="W158" s="32">
        <v>0</v>
      </c>
      <c r="X158" s="32">
        <v>0</v>
      </c>
      <c r="Y158" s="32">
        <v>40674.879999999997</v>
      </c>
      <c r="Z158" s="32">
        <v>0</v>
      </c>
      <c r="AA158" s="32" t="s">
        <v>189</v>
      </c>
      <c r="AB158" s="32" t="s">
        <v>168</v>
      </c>
      <c r="AC158" s="32">
        <v>39269080</v>
      </c>
      <c r="AD158" s="32" t="s">
        <v>208</v>
      </c>
      <c r="AE158" s="32">
        <v>1</v>
      </c>
      <c r="AF158" s="32">
        <v>1444</v>
      </c>
      <c r="AG158" s="32" t="s">
        <v>209</v>
      </c>
    </row>
    <row r="159" spans="2:33" x14ac:dyDescent="0.25">
      <c r="B159" s="31">
        <v>46219</v>
      </c>
      <c r="C159" s="32" t="s">
        <v>665</v>
      </c>
      <c r="D159" s="32" t="s">
        <v>655</v>
      </c>
      <c r="E159" s="32" t="s">
        <v>828</v>
      </c>
      <c r="F159" s="32" t="s">
        <v>657</v>
      </c>
      <c r="G159" s="32" t="s">
        <v>829</v>
      </c>
      <c r="H159" s="31">
        <v>46218</v>
      </c>
      <c r="I159" s="32" t="s">
        <v>169</v>
      </c>
      <c r="J159" s="32" t="s">
        <v>180</v>
      </c>
      <c r="K159" s="32" t="s">
        <v>155</v>
      </c>
      <c r="L159" s="32" t="s">
        <v>210</v>
      </c>
      <c r="M159" s="32" t="s">
        <v>187</v>
      </c>
      <c r="N159" s="32">
        <v>280</v>
      </c>
      <c r="O159" s="32">
        <v>44657.2</v>
      </c>
      <c r="P159" s="32" t="s">
        <v>187</v>
      </c>
      <c r="Q159" s="32">
        <v>0</v>
      </c>
      <c r="R159" s="32">
        <v>9</v>
      </c>
      <c r="S159" s="32">
        <v>4019.15</v>
      </c>
      <c r="T159" s="32">
        <v>9</v>
      </c>
      <c r="U159" s="32">
        <v>4019.15</v>
      </c>
      <c r="V159" s="32">
        <v>0</v>
      </c>
      <c r="W159" s="32">
        <v>0</v>
      </c>
      <c r="X159" s="32">
        <v>0</v>
      </c>
      <c r="Y159" s="32">
        <v>8038.3</v>
      </c>
      <c r="Z159" s="32">
        <v>0</v>
      </c>
      <c r="AA159" s="32" t="s">
        <v>189</v>
      </c>
      <c r="AB159" s="32" t="s">
        <v>168</v>
      </c>
      <c r="AC159" s="32">
        <v>39269080</v>
      </c>
      <c r="AD159" s="32" t="s">
        <v>208</v>
      </c>
      <c r="AE159" s="32">
        <v>1</v>
      </c>
      <c r="AF159" s="32">
        <v>280</v>
      </c>
      <c r="AG159" s="32" t="s">
        <v>209</v>
      </c>
    </row>
    <row r="160" spans="2:33" x14ac:dyDescent="0.25">
      <c r="B160" s="31">
        <v>46219</v>
      </c>
      <c r="C160" s="32" t="s">
        <v>654</v>
      </c>
      <c r="D160" s="32" t="s">
        <v>655</v>
      </c>
      <c r="E160" s="32" t="s">
        <v>830</v>
      </c>
      <c r="F160" s="32" t="s">
        <v>657</v>
      </c>
      <c r="G160" s="32" t="s">
        <v>831</v>
      </c>
      <c r="H160" s="31">
        <v>46219</v>
      </c>
      <c r="I160" s="32" t="s">
        <v>169</v>
      </c>
      <c r="J160" s="32" t="s">
        <v>176</v>
      </c>
      <c r="K160" s="32" t="s">
        <v>159</v>
      </c>
      <c r="L160" s="32" t="s">
        <v>159</v>
      </c>
      <c r="M160" s="32" t="s">
        <v>174</v>
      </c>
      <c r="N160" s="32">
        <v>939.1</v>
      </c>
      <c r="O160" s="32">
        <v>194187.098</v>
      </c>
      <c r="P160" s="32" t="s">
        <v>174</v>
      </c>
      <c r="Q160" s="32">
        <v>836957.43</v>
      </c>
      <c r="R160" s="32">
        <v>9</v>
      </c>
      <c r="S160" s="32">
        <v>17476.84</v>
      </c>
      <c r="T160" s="32">
        <v>9</v>
      </c>
      <c r="U160" s="32">
        <v>17476.84</v>
      </c>
      <c r="V160" s="32">
        <v>0</v>
      </c>
      <c r="W160" s="32">
        <v>0</v>
      </c>
      <c r="X160" s="32">
        <v>0</v>
      </c>
      <c r="Y160" s="32">
        <v>34953.68</v>
      </c>
      <c r="Z160" s="32">
        <v>0</v>
      </c>
      <c r="AA160" s="32" t="s">
        <v>177</v>
      </c>
      <c r="AB160" s="32" t="s">
        <v>168</v>
      </c>
      <c r="AC160" s="32">
        <v>39200000</v>
      </c>
      <c r="AD160" s="32" t="s">
        <v>208</v>
      </c>
      <c r="AE160" s="32">
        <v>1</v>
      </c>
      <c r="AF160" s="32">
        <v>939.1</v>
      </c>
      <c r="AG160" s="32" t="s">
        <v>209</v>
      </c>
    </row>
    <row r="161" spans="2:33" x14ac:dyDescent="0.25">
      <c r="B161" s="31">
        <v>46219</v>
      </c>
      <c r="C161" s="32" t="s">
        <v>654</v>
      </c>
      <c r="D161" s="32" t="s">
        <v>655</v>
      </c>
      <c r="E161" s="32" t="s">
        <v>830</v>
      </c>
      <c r="F161" s="32" t="s">
        <v>657</v>
      </c>
      <c r="G161" s="32" t="s">
        <v>831</v>
      </c>
      <c r="H161" s="31">
        <v>46219</v>
      </c>
      <c r="I161" s="32" t="s">
        <v>169</v>
      </c>
      <c r="J161" s="32" t="s">
        <v>176</v>
      </c>
      <c r="K161" s="32" t="s">
        <v>159</v>
      </c>
      <c r="L161" s="32" t="s">
        <v>159</v>
      </c>
      <c r="M161" s="32" t="s">
        <v>174</v>
      </c>
      <c r="N161" s="32">
        <v>811</v>
      </c>
      <c r="O161" s="32">
        <v>164454.57999999999</v>
      </c>
      <c r="P161" s="32" t="s">
        <v>174</v>
      </c>
      <c r="Q161" s="32">
        <v>0</v>
      </c>
      <c r="R161" s="32">
        <v>9</v>
      </c>
      <c r="S161" s="32">
        <v>14800.91</v>
      </c>
      <c r="T161" s="32">
        <v>9</v>
      </c>
      <c r="U161" s="32">
        <v>14800.91</v>
      </c>
      <c r="V161" s="32">
        <v>0</v>
      </c>
      <c r="W161" s="32">
        <v>0</v>
      </c>
      <c r="X161" s="32">
        <v>0</v>
      </c>
      <c r="Y161" s="32">
        <v>29601.82</v>
      </c>
      <c r="Z161" s="32">
        <v>0</v>
      </c>
      <c r="AA161" s="32" t="s">
        <v>177</v>
      </c>
      <c r="AB161" s="32" t="s">
        <v>168</v>
      </c>
      <c r="AC161" s="32">
        <v>39200000</v>
      </c>
      <c r="AD161" s="32" t="s">
        <v>208</v>
      </c>
      <c r="AE161" s="32">
        <v>1</v>
      </c>
      <c r="AF161" s="32">
        <v>811</v>
      </c>
      <c r="AG161" s="32" t="s">
        <v>209</v>
      </c>
    </row>
    <row r="162" spans="2:33" x14ac:dyDescent="0.25">
      <c r="B162" s="31">
        <v>46219</v>
      </c>
      <c r="C162" s="32" t="s">
        <v>654</v>
      </c>
      <c r="D162" s="32" t="s">
        <v>655</v>
      </c>
      <c r="E162" s="32" t="s">
        <v>830</v>
      </c>
      <c r="F162" s="32" t="s">
        <v>657</v>
      </c>
      <c r="G162" s="32" t="s">
        <v>831</v>
      </c>
      <c r="H162" s="31">
        <v>46219</v>
      </c>
      <c r="I162" s="32" t="s">
        <v>169</v>
      </c>
      <c r="J162" s="32" t="s">
        <v>170</v>
      </c>
      <c r="K162" s="32" t="s">
        <v>157</v>
      </c>
      <c r="L162" s="32" t="s">
        <v>233</v>
      </c>
      <c r="M162" s="32" t="s">
        <v>684</v>
      </c>
      <c r="N162" s="32">
        <v>465.4</v>
      </c>
      <c r="O162" s="32">
        <v>72830.445999999996</v>
      </c>
      <c r="P162" s="32" t="s">
        <v>684</v>
      </c>
      <c r="Q162" s="32">
        <v>0</v>
      </c>
      <c r="R162" s="32">
        <v>2.5</v>
      </c>
      <c r="S162" s="32">
        <v>1820.76</v>
      </c>
      <c r="T162" s="32">
        <v>2.5</v>
      </c>
      <c r="U162" s="32">
        <v>1820.76</v>
      </c>
      <c r="V162" s="32">
        <v>0</v>
      </c>
      <c r="W162" s="32">
        <v>0</v>
      </c>
      <c r="X162" s="32">
        <v>0</v>
      </c>
      <c r="Y162" s="32">
        <v>3641.52</v>
      </c>
      <c r="Z162" s="32">
        <v>0</v>
      </c>
      <c r="AA162" s="32" t="s">
        <v>177</v>
      </c>
      <c r="AB162" s="32" t="s">
        <v>188</v>
      </c>
      <c r="AC162" s="32">
        <v>54026930</v>
      </c>
      <c r="AD162" s="32" t="s">
        <v>208</v>
      </c>
      <c r="AE162" s="32">
        <v>1</v>
      </c>
      <c r="AF162" s="32">
        <v>465.4</v>
      </c>
      <c r="AG162" s="32" t="s">
        <v>209</v>
      </c>
    </row>
    <row r="163" spans="2:33" x14ac:dyDescent="0.25">
      <c r="B163" s="31">
        <v>46219</v>
      </c>
      <c r="C163" s="32" t="s">
        <v>654</v>
      </c>
      <c r="D163" s="32" t="s">
        <v>655</v>
      </c>
      <c r="E163" s="32" t="s">
        <v>830</v>
      </c>
      <c r="F163" s="32" t="s">
        <v>657</v>
      </c>
      <c r="G163" s="32" t="s">
        <v>831</v>
      </c>
      <c r="H163" s="31">
        <v>46219</v>
      </c>
      <c r="I163" s="32" t="s">
        <v>169</v>
      </c>
      <c r="J163" s="32" t="s">
        <v>170</v>
      </c>
      <c r="K163" s="32" t="s">
        <v>157</v>
      </c>
      <c r="L163" s="32" t="s">
        <v>233</v>
      </c>
      <c r="M163" s="32" t="s">
        <v>767</v>
      </c>
      <c r="N163" s="32">
        <v>826</v>
      </c>
      <c r="O163" s="32">
        <v>129260.74</v>
      </c>
      <c r="P163" s="32" t="s">
        <v>767</v>
      </c>
      <c r="Q163" s="32">
        <v>0</v>
      </c>
      <c r="R163" s="32">
        <v>2.5</v>
      </c>
      <c r="S163" s="32">
        <v>3231.52</v>
      </c>
      <c r="T163" s="32">
        <v>2.5</v>
      </c>
      <c r="U163" s="32">
        <v>3231.52</v>
      </c>
      <c r="V163" s="32">
        <v>0</v>
      </c>
      <c r="W163" s="32">
        <v>0</v>
      </c>
      <c r="X163" s="32">
        <v>0</v>
      </c>
      <c r="Y163" s="32">
        <v>6463.04</v>
      </c>
      <c r="Z163" s="32">
        <v>0</v>
      </c>
      <c r="AA163" s="32" t="s">
        <v>177</v>
      </c>
      <c r="AB163" s="32" t="s">
        <v>188</v>
      </c>
      <c r="AC163" s="32">
        <v>54026300</v>
      </c>
      <c r="AD163" s="32" t="s">
        <v>208</v>
      </c>
      <c r="AE163" s="32">
        <v>1</v>
      </c>
      <c r="AF163" s="32">
        <v>826</v>
      </c>
      <c r="AG163" s="32" t="s">
        <v>209</v>
      </c>
    </row>
    <row r="164" spans="2:33" x14ac:dyDescent="0.25">
      <c r="B164" s="31">
        <v>46219</v>
      </c>
      <c r="C164" s="32" t="s">
        <v>654</v>
      </c>
      <c r="D164" s="32" t="s">
        <v>655</v>
      </c>
      <c r="E164" s="32" t="s">
        <v>830</v>
      </c>
      <c r="F164" s="32" t="s">
        <v>657</v>
      </c>
      <c r="G164" s="32" t="s">
        <v>831</v>
      </c>
      <c r="H164" s="31">
        <v>46219</v>
      </c>
      <c r="I164" s="32" t="s">
        <v>169</v>
      </c>
      <c r="J164" s="32" t="s">
        <v>170</v>
      </c>
      <c r="K164" s="32" t="s">
        <v>157</v>
      </c>
      <c r="L164" s="32" t="s">
        <v>233</v>
      </c>
      <c r="M164" s="32" t="s">
        <v>291</v>
      </c>
      <c r="N164" s="32">
        <v>423.8</v>
      </c>
      <c r="O164" s="32">
        <v>67591.861999999994</v>
      </c>
      <c r="P164" s="32" t="s">
        <v>291</v>
      </c>
      <c r="Q164" s="32">
        <v>0</v>
      </c>
      <c r="R164" s="32">
        <v>2.5</v>
      </c>
      <c r="S164" s="32">
        <v>1689.8</v>
      </c>
      <c r="T164" s="32">
        <v>2.5</v>
      </c>
      <c r="U164" s="32">
        <v>1689.8</v>
      </c>
      <c r="V164" s="32">
        <v>0</v>
      </c>
      <c r="W164" s="32">
        <v>0</v>
      </c>
      <c r="X164" s="32">
        <v>0</v>
      </c>
      <c r="Y164" s="32">
        <v>3379.6</v>
      </c>
      <c r="Z164" s="32">
        <v>0</v>
      </c>
      <c r="AA164" s="32" t="s">
        <v>177</v>
      </c>
      <c r="AB164" s="32" t="s">
        <v>188</v>
      </c>
      <c r="AC164" s="32">
        <v>54026930</v>
      </c>
      <c r="AD164" s="32" t="s">
        <v>208</v>
      </c>
      <c r="AE164" s="32">
        <v>1</v>
      </c>
      <c r="AF164" s="32">
        <v>423.8</v>
      </c>
      <c r="AG164" s="32" t="s">
        <v>209</v>
      </c>
    </row>
    <row r="165" spans="2:33" x14ac:dyDescent="0.25">
      <c r="B165" s="31">
        <v>46219</v>
      </c>
      <c r="C165" s="32" t="s">
        <v>654</v>
      </c>
      <c r="D165" s="32" t="s">
        <v>655</v>
      </c>
      <c r="E165" s="32" t="s">
        <v>830</v>
      </c>
      <c r="F165" s="32" t="s">
        <v>657</v>
      </c>
      <c r="G165" s="32" t="s">
        <v>831</v>
      </c>
      <c r="H165" s="31">
        <v>46219</v>
      </c>
      <c r="I165" s="32" t="s">
        <v>169</v>
      </c>
      <c r="J165" s="32" t="s">
        <v>182</v>
      </c>
      <c r="K165" s="32" t="s">
        <v>154</v>
      </c>
      <c r="L165" s="32" t="s">
        <v>154</v>
      </c>
      <c r="M165" s="32" t="s">
        <v>182</v>
      </c>
      <c r="N165" s="32">
        <v>511.3</v>
      </c>
      <c r="O165" s="32">
        <v>76434.236999999994</v>
      </c>
      <c r="P165" s="32" t="s">
        <v>182</v>
      </c>
      <c r="Q165" s="32">
        <v>0</v>
      </c>
      <c r="R165" s="32">
        <v>9</v>
      </c>
      <c r="S165" s="32">
        <v>6879.08</v>
      </c>
      <c r="T165" s="32">
        <v>9</v>
      </c>
      <c r="U165" s="32">
        <v>6879.08</v>
      </c>
      <c r="V165" s="32">
        <v>0</v>
      </c>
      <c r="W165" s="32">
        <v>0</v>
      </c>
      <c r="X165" s="32">
        <v>0</v>
      </c>
      <c r="Y165" s="32">
        <v>13758.16</v>
      </c>
      <c r="Z165" s="32">
        <v>0</v>
      </c>
      <c r="AA165" s="32" t="s">
        <v>177</v>
      </c>
      <c r="AB165" s="32" t="s">
        <v>168</v>
      </c>
      <c r="AC165" s="32">
        <v>3926908</v>
      </c>
      <c r="AD165" s="32" t="s">
        <v>208</v>
      </c>
      <c r="AE165" s="32">
        <v>1</v>
      </c>
      <c r="AF165" s="32">
        <v>511.3</v>
      </c>
      <c r="AG165" s="32" t="s">
        <v>209</v>
      </c>
    </row>
    <row r="166" spans="2:33" x14ac:dyDescent="0.25">
      <c r="B166" s="31">
        <v>46219</v>
      </c>
      <c r="C166" s="32" t="s">
        <v>654</v>
      </c>
      <c r="D166" s="32" t="s">
        <v>655</v>
      </c>
      <c r="E166" s="32" t="s">
        <v>830</v>
      </c>
      <c r="F166" s="32" t="s">
        <v>657</v>
      </c>
      <c r="G166" s="32" t="s">
        <v>831</v>
      </c>
      <c r="H166" s="31">
        <v>46219</v>
      </c>
      <c r="I166" s="32" t="s">
        <v>169</v>
      </c>
      <c r="J166" s="32" t="s">
        <v>182</v>
      </c>
      <c r="K166" s="32" t="s">
        <v>154</v>
      </c>
      <c r="L166" s="32" t="s">
        <v>154</v>
      </c>
      <c r="M166" s="32" t="s">
        <v>182</v>
      </c>
      <c r="N166" s="32">
        <v>238</v>
      </c>
      <c r="O166" s="32">
        <v>34864.620000000003</v>
      </c>
      <c r="P166" s="32" t="s">
        <v>182</v>
      </c>
      <c r="Q166" s="32">
        <v>0</v>
      </c>
      <c r="R166" s="32">
        <v>9</v>
      </c>
      <c r="S166" s="32">
        <v>3137.82</v>
      </c>
      <c r="T166" s="32">
        <v>9</v>
      </c>
      <c r="U166" s="32">
        <v>3137.82</v>
      </c>
      <c r="V166" s="32">
        <v>0</v>
      </c>
      <c r="W166" s="32">
        <v>0</v>
      </c>
      <c r="X166" s="32">
        <v>0</v>
      </c>
      <c r="Y166" s="32">
        <v>6275.64</v>
      </c>
      <c r="Z166" s="32">
        <v>0</v>
      </c>
      <c r="AA166" s="32" t="s">
        <v>177</v>
      </c>
      <c r="AB166" s="32" t="s">
        <v>168</v>
      </c>
      <c r="AC166" s="32">
        <v>3926908</v>
      </c>
      <c r="AD166" s="32" t="s">
        <v>208</v>
      </c>
      <c r="AE166" s="32">
        <v>1</v>
      </c>
      <c r="AF166" s="32">
        <v>238</v>
      </c>
      <c r="AG166" s="32" t="s">
        <v>209</v>
      </c>
    </row>
    <row r="167" spans="2:33" x14ac:dyDescent="0.25">
      <c r="B167" s="31">
        <v>46219</v>
      </c>
      <c r="C167" s="32" t="s">
        <v>659</v>
      </c>
      <c r="D167" s="32" t="s">
        <v>655</v>
      </c>
      <c r="E167" s="32" t="s">
        <v>832</v>
      </c>
      <c r="F167" s="32" t="s">
        <v>657</v>
      </c>
      <c r="G167" s="32" t="s">
        <v>833</v>
      </c>
      <c r="H167" s="31">
        <v>46218</v>
      </c>
      <c r="I167" s="32" t="s">
        <v>171</v>
      </c>
      <c r="J167" s="32" t="s">
        <v>185</v>
      </c>
      <c r="K167" s="32" t="s">
        <v>733</v>
      </c>
      <c r="L167" s="32" t="s">
        <v>734</v>
      </c>
      <c r="M167" s="32" t="s">
        <v>834</v>
      </c>
      <c r="N167" s="32">
        <v>2500</v>
      </c>
      <c r="O167" s="32">
        <v>450000</v>
      </c>
      <c r="P167" s="32" t="s">
        <v>834</v>
      </c>
      <c r="Q167" s="32">
        <v>530550</v>
      </c>
      <c r="R167" s="32">
        <v>9</v>
      </c>
      <c r="S167" s="32">
        <v>40500</v>
      </c>
      <c r="T167" s="32">
        <v>9</v>
      </c>
      <c r="U167" s="32">
        <v>40500</v>
      </c>
      <c r="V167" s="32">
        <v>0</v>
      </c>
      <c r="W167" s="32">
        <v>0</v>
      </c>
      <c r="X167" s="32">
        <v>0</v>
      </c>
      <c r="Y167" s="32">
        <v>81000</v>
      </c>
      <c r="Z167" s="32">
        <v>0</v>
      </c>
      <c r="AA167" s="32" t="s">
        <v>177</v>
      </c>
      <c r="AB167" s="32" t="s">
        <v>168</v>
      </c>
      <c r="AC167" s="32">
        <v>38123990</v>
      </c>
      <c r="AD167" s="32" t="s">
        <v>208</v>
      </c>
      <c r="AE167" s="32">
        <v>1</v>
      </c>
      <c r="AF167" s="32">
        <v>2500</v>
      </c>
      <c r="AG167" s="32" t="s">
        <v>209</v>
      </c>
    </row>
    <row r="168" spans="2:33" x14ac:dyDescent="0.25">
      <c r="B168" s="31">
        <v>46220</v>
      </c>
      <c r="C168" s="32" t="s">
        <v>835</v>
      </c>
      <c r="D168" s="32" t="s">
        <v>655</v>
      </c>
      <c r="E168" s="32" t="s">
        <v>836</v>
      </c>
      <c r="F168" s="32" t="s">
        <v>657</v>
      </c>
      <c r="G168" s="32" t="s">
        <v>837</v>
      </c>
      <c r="H168" s="31">
        <v>46220</v>
      </c>
      <c r="I168" s="32" t="s">
        <v>171</v>
      </c>
      <c r="J168" s="32" t="s">
        <v>185</v>
      </c>
      <c r="K168" s="32" t="s">
        <v>166</v>
      </c>
      <c r="L168" s="32" t="s">
        <v>166</v>
      </c>
      <c r="M168" s="32" t="s">
        <v>838</v>
      </c>
      <c r="N168" s="32">
        <v>54000</v>
      </c>
      <c r="O168" s="32">
        <v>6696000</v>
      </c>
      <c r="P168" s="32" t="s">
        <v>838</v>
      </c>
      <c r="Q168" s="32">
        <v>7894584</v>
      </c>
      <c r="R168" s="32">
        <v>9</v>
      </c>
      <c r="S168" s="32">
        <v>602640</v>
      </c>
      <c r="T168" s="32">
        <v>9</v>
      </c>
      <c r="U168" s="32">
        <v>602640</v>
      </c>
      <c r="V168" s="32">
        <v>0</v>
      </c>
      <c r="W168" s="32">
        <v>0</v>
      </c>
      <c r="X168" s="32">
        <v>0</v>
      </c>
      <c r="Y168" s="32">
        <v>1205280</v>
      </c>
      <c r="Z168" s="32">
        <v>0</v>
      </c>
      <c r="AA168" s="32" t="s">
        <v>839</v>
      </c>
      <c r="AB168" s="32" t="s">
        <v>168</v>
      </c>
      <c r="AC168" s="32">
        <v>39021000</v>
      </c>
      <c r="AD168" s="32" t="s">
        <v>208</v>
      </c>
      <c r="AE168" s="32">
        <v>1</v>
      </c>
      <c r="AF168" s="32">
        <v>54000</v>
      </c>
      <c r="AG168" s="32" t="s">
        <v>209</v>
      </c>
    </row>
    <row r="169" spans="2:33" x14ac:dyDescent="0.25">
      <c r="B169" s="31">
        <v>46220</v>
      </c>
      <c r="C169" s="32" t="s">
        <v>665</v>
      </c>
      <c r="D169" s="32" t="s">
        <v>655</v>
      </c>
      <c r="E169" s="32" t="s">
        <v>840</v>
      </c>
      <c r="F169" s="32" t="s">
        <v>657</v>
      </c>
      <c r="G169" s="32" t="s">
        <v>841</v>
      </c>
      <c r="H169" s="31">
        <v>46219</v>
      </c>
      <c r="I169" s="32" t="s">
        <v>171</v>
      </c>
      <c r="J169" s="32" t="s">
        <v>185</v>
      </c>
      <c r="K169" s="32" t="s">
        <v>814</v>
      </c>
      <c r="L169" s="32" t="s">
        <v>705</v>
      </c>
      <c r="M169" s="32" t="s">
        <v>842</v>
      </c>
      <c r="N169" s="32">
        <v>1200</v>
      </c>
      <c r="O169" s="32">
        <v>135456</v>
      </c>
      <c r="P169" s="32" t="s">
        <v>842</v>
      </c>
      <c r="Q169" s="32">
        <v>657115.61</v>
      </c>
      <c r="R169" s="32">
        <v>9</v>
      </c>
      <c r="S169" s="32">
        <v>12191.04</v>
      </c>
      <c r="T169" s="32">
        <v>9</v>
      </c>
      <c r="U169" s="32">
        <v>12191.04</v>
      </c>
      <c r="V169" s="32">
        <v>0</v>
      </c>
      <c r="W169" s="32">
        <v>0</v>
      </c>
      <c r="X169" s="32">
        <v>0</v>
      </c>
      <c r="Y169" s="32">
        <v>24382.080000000002</v>
      </c>
      <c r="Z169" s="32">
        <v>0</v>
      </c>
      <c r="AA169" s="32" t="s">
        <v>189</v>
      </c>
      <c r="AB169" s="32" t="s">
        <v>168</v>
      </c>
      <c r="AC169" s="32">
        <v>39011020</v>
      </c>
      <c r="AD169" s="32" t="s">
        <v>208</v>
      </c>
      <c r="AE169" s="32">
        <v>1</v>
      </c>
      <c r="AF169" s="32">
        <v>1200</v>
      </c>
      <c r="AG169" s="32" t="s">
        <v>209</v>
      </c>
    </row>
    <row r="170" spans="2:33" x14ac:dyDescent="0.25">
      <c r="B170" s="31">
        <v>46220</v>
      </c>
      <c r="C170" s="32" t="s">
        <v>665</v>
      </c>
      <c r="D170" s="32" t="s">
        <v>655</v>
      </c>
      <c r="E170" s="32" t="s">
        <v>840</v>
      </c>
      <c r="F170" s="32" t="s">
        <v>657</v>
      </c>
      <c r="G170" s="32" t="s">
        <v>841</v>
      </c>
      <c r="H170" s="31">
        <v>46219</v>
      </c>
      <c r="I170" s="32" t="s">
        <v>169</v>
      </c>
      <c r="J170" s="32" t="s">
        <v>176</v>
      </c>
      <c r="K170" s="32" t="s">
        <v>159</v>
      </c>
      <c r="L170" s="32" t="s">
        <v>159</v>
      </c>
      <c r="M170" s="32" t="s">
        <v>174</v>
      </c>
      <c r="N170" s="32">
        <v>514.5</v>
      </c>
      <c r="O170" s="32">
        <v>86379.404999999999</v>
      </c>
      <c r="P170" s="32" t="s">
        <v>174</v>
      </c>
      <c r="Q170" s="32">
        <v>0</v>
      </c>
      <c r="R170" s="32">
        <v>9</v>
      </c>
      <c r="S170" s="32">
        <v>7774.15</v>
      </c>
      <c r="T170" s="32">
        <v>9</v>
      </c>
      <c r="U170" s="32">
        <v>7774.15</v>
      </c>
      <c r="V170" s="32">
        <v>0</v>
      </c>
      <c r="W170" s="32">
        <v>0</v>
      </c>
      <c r="X170" s="32">
        <v>0</v>
      </c>
      <c r="Y170" s="32">
        <v>15548.3</v>
      </c>
      <c r="Z170" s="32">
        <v>0</v>
      </c>
      <c r="AA170" s="32" t="s">
        <v>189</v>
      </c>
      <c r="AB170" s="32" t="s">
        <v>168</v>
      </c>
      <c r="AC170" s="32">
        <v>39200000</v>
      </c>
      <c r="AD170" s="32" t="s">
        <v>208</v>
      </c>
      <c r="AE170" s="32">
        <v>1</v>
      </c>
      <c r="AF170" s="32">
        <v>514.5</v>
      </c>
      <c r="AG170" s="32" t="s">
        <v>209</v>
      </c>
    </row>
    <row r="171" spans="2:33" x14ac:dyDescent="0.25">
      <c r="B171" s="31">
        <v>46220</v>
      </c>
      <c r="C171" s="32" t="s">
        <v>665</v>
      </c>
      <c r="D171" s="32" t="s">
        <v>655</v>
      </c>
      <c r="E171" s="32" t="s">
        <v>840</v>
      </c>
      <c r="F171" s="32" t="s">
        <v>657</v>
      </c>
      <c r="G171" s="32" t="s">
        <v>841</v>
      </c>
      <c r="H171" s="31">
        <v>46219</v>
      </c>
      <c r="I171" s="32" t="s">
        <v>169</v>
      </c>
      <c r="J171" s="32" t="s">
        <v>180</v>
      </c>
      <c r="K171" s="32" t="s">
        <v>155</v>
      </c>
      <c r="L171" s="32" t="s">
        <v>210</v>
      </c>
      <c r="M171" s="32" t="s">
        <v>187</v>
      </c>
      <c r="N171" s="32">
        <v>2144</v>
      </c>
      <c r="O171" s="32">
        <v>335514.56</v>
      </c>
      <c r="P171" s="32" t="s">
        <v>187</v>
      </c>
      <c r="Q171" s="32">
        <v>0</v>
      </c>
      <c r="R171" s="32">
        <v>9</v>
      </c>
      <c r="S171" s="32">
        <v>30196.31</v>
      </c>
      <c r="T171" s="32">
        <v>9</v>
      </c>
      <c r="U171" s="32">
        <v>30196.31</v>
      </c>
      <c r="V171" s="32">
        <v>0</v>
      </c>
      <c r="W171" s="32">
        <v>0</v>
      </c>
      <c r="X171" s="32">
        <v>0</v>
      </c>
      <c r="Y171" s="32">
        <v>60392.62</v>
      </c>
      <c r="Z171" s="32">
        <v>0</v>
      </c>
      <c r="AA171" s="32" t="s">
        <v>189</v>
      </c>
      <c r="AB171" s="32" t="s">
        <v>168</v>
      </c>
      <c r="AC171" s="32">
        <v>39269080</v>
      </c>
      <c r="AD171" s="32" t="s">
        <v>208</v>
      </c>
      <c r="AE171" s="32">
        <v>1</v>
      </c>
      <c r="AF171" s="32">
        <v>2144</v>
      </c>
      <c r="AG171" s="32" t="s">
        <v>209</v>
      </c>
    </row>
    <row r="172" spans="2:33" x14ac:dyDescent="0.25">
      <c r="B172" s="31">
        <v>46220</v>
      </c>
      <c r="C172" s="32" t="s">
        <v>654</v>
      </c>
      <c r="D172" s="32" t="s">
        <v>655</v>
      </c>
      <c r="E172" s="32" t="s">
        <v>843</v>
      </c>
      <c r="F172" s="32" t="s">
        <v>657</v>
      </c>
      <c r="G172" s="32" t="s">
        <v>844</v>
      </c>
      <c r="H172" s="31">
        <v>46220</v>
      </c>
      <c r="I172" s="32" t="s">
        <v>171</v>
      </c>
      <c r="J172" s="32" t="s">
        <v>185</v>
      </c>
      <c r="K172" s="32" t="s">
        <v>704</v>
      </c>
      <c r="L172" s="32" t="s">
        <v>705</v>
      </c>
      <c r="M172" s="32" t="s">
        <v>845</v>
      </c>
      <c r="N172" s="32">
        <v>2000</v>
      </c>
      <c r="O172" s="32">
        <v>248800</v>
      </c>
      <c r="P172" s="32" t="s">
        <v>845</v>
      </c>
      <c r="Q172" s="32">
        <v>293335.2</v>
      </c>
      <c r="R172" s="32">
        <v>9</v>
      </c>
      <c r="S172" s="32">
        <v>22392</v>
      </c>
      <c r="T172" s="32">
        <v>9</v>
      </c>
      <c r="U172" s="32">
        <v>22392</v>
      </c>
      <c r="V172" s="32">
        <v>0</v>
      </c>
      <c r="W172" s="32">
        <v>0</v>
      </c>
      <c r="X172" s="32">
        <v>0</v>
      </c>
      <c r="Y172" s="32">
        <v>44784</v>
      </c>
      <c r="Z172" s="32">
        <v>0</v>
      </c>
      <c r="AA172" s="32" t="s">
        <v>177</v>
      </c>
      <c r="AB172" s="32" t="s">
        <v>168</v>
      </c>
      <c r="AC172" s="32">
        <v>39014000</v>
      </c>
      <c r="AD172" s="32" t="s">
        <v>208</v>
      </c>
      <c r="AE172" s="32">
        <v>1</v>
      </c>
      <c r="AF172" s="32">
        <v>2000</v>
      </c>
      <c r="AG172" s="32" t="s">
        <v>209</v>
      </c>
    </row>
    <row r="173" spans="2:33" x14ac:dyDescent="0.25">
      <c r="B173" s="31">
        <v>46220</v>
      </c>
      <c r="C173" s="32" t="s">
        <v>654</v>
      </c>
      <c r="D173" s="32" t="s">
        <v>655</v>
      </c>
      <c r="E173" s="32" t="s">
        <v>846</v>
      </c>
      <c r="F173" s="32" t="s">
        <v>657</v>
      </c>
      <c r="G173" s="32" t="s">
        <v>847</v>
      </c>
      <c r="H173" s="31">
        <v>46220</v>
      </c>
      <c r="I173" s="32" t="s">
        <v>171</v>
      </c>
      <c r="J173" s="32" t="s">
        <v>185</v>
      </c>
      <c r="K173" s="32" t="s">
        <v>164</v>
      </c>
      <c r="L173" s="32" t="s">
        <v>270</v>
      </c>
      <c r="M173" s="32" t="s">
        <v>184</v>
      </c>
      <c r="N173" s="32">
        <v>3000</v>
      </c>
      <c r="O173" s="32">
        <v>117000</v>
      </c>
      <c r="P173" s="32" t="s">
        <v>184</v>
      </c>
      <c r="Q173" s="32">
        <v>137943</v>
      </c>
      <c r="R173" s="32">
        <v>9</v>
      </c>
      <c r="S173" s="32">
        <v>10530</v>
      </c>
      <c r="T173" s="32">
        <v>9</v>
      </c>
      <c r="U173" s="32">
        <v>10530</v>
      </c>
      <c r="V173" s="32">
        <v>0</v>
      </c>
      <c r="W173" s="32">
        <v>0</v>
      </c>
      <c r="X173" s="32">
        <v>0</v>
      </c>
      <c r="Y173" s="32">
        <v>21060</v>
      </c>
      <c r="Z173" s="32">
        <v>0</v>
      </c>
      <c r="AA173" s="32" t="s">
        <v>177</v>
      </c>
      <c r="AB173" s="32" t="s">
        <v>168</v>
      </c>
      <c r="AC173" s="32">
        <v>32041990</v>
      </c>
      <c r="AD173" s="32" t="s">
        <v>208</v>
      </c>
      <c r="AE173" s="32">
        <v>1</v>
      </c>
      <c r="AF173" s="32">
        <v>3000</v>
      </c>
      <c r="AG173" s="32" t="s">
        <v>209</v>
      </c>
    </row>
    <row r="174" spans="2:33" x14ac:dyDescent="0.25">
      <c r="B174" s="31">
        <v>46220</v>
      </c>
      <c r="C174" s="32" t="s">
        <v>654</v>
      </c>
      <c r="D174" s="32" t="s">
        <v>655</v>
      </c>
      <c r="E174" s="32" t="s">
        <v>848</v>
      </c>
      <c r="F174" s="32" t="s">
        <v>657</v>
      </c>
      <c r="G174" s="32" t="s">
        <v>849</v>
      </c>
      <c r="H174" s="31">
        <v>46220</v>
      </c>
      <c r="I174" s="32" t="s">
        <v>169</v>
      </c>
      <c r="J174" s="32" t="s">
        <v>180</v>
      </c>
      <c r="K174" s="32" t="s">
        <v>155</v>
      </c>
      <c r="L174" s="32" t="s">
        <v>210</v>
      </c>
      <c r="M174" s="32" t="s">
        <v>187</v>
      </c>
      <c r="N174" s="32">
        <v>355</v>
      </c>
      <c r="O174" s="32">
        <v>52358.95</v>
      </c>
      <c r="P174" s="32" t="s">
        <v>187</v>
      </c>
      <c r="Q174" s="32">
        <v>829201.64</v>
      </c>
      <c r="R174" s="32">
        <v>9</v>
      </c>
      <c r="S174" s="32">
        <v>4712.3100000000004</v>
      </c>
      <c r="T174" s="32">
        <v>9</v>
      </c>
      <c r="U174" s="32">
        <v>4712.3100000000004</v>
      </c>
      <c r="V174" s="32">
        <v>0</v>
      </c>
      <c r="W174" s="32">
        <v>0</v>
      </c>
      <c r="X174" s="32">
        <v>0</v>
      </c>
      <c r="Y174" s="32">
        <v>9424.6200000000008</v>
      </c>
      <c r="Z174" s="32">
        <v>0</v>
      </c>
      <c r="AA174" s="32" t="s">
        <v>177</v>
      </c>
      <c r="AB174" s="32" t="s">
        <v>168</v>
      </c>
      <c r="AC174" s="32">
        <v>39269080</v>
      </c>
      <c r="AD174" s="32" t="s">
        <v>208</v>
      </c>
      <c r="AE174" s="32">
        <v>1</v>
      </c>
      <c r="AF174" s="32">
        <v>355</v>
      </c>
      <c r="AG174" s="32" t="s">
        <v>209</v>
      </c>
    </row>
    <row r="175" spans="2:33" x14ac:dyDescent="0.25">
      <c r="B175" s="31">
        <v>46220</v>
      </c>
      <c r="C175" s="32" t="s">
        <v>654</v>
      </c>
      <c r="D175" s="32" t="s">
        <v>655</v>
      </c>
      <c r="E175" s="32" t="s">
        <v>848</v>
      </c>
      <c r="F175" s="32" t="s">
        <v>657</v>
      </c>
      <c r="G175" s="32" t="s">
        <v>849</v>
      </c>
      <c r="H175" s="31">
        <v>46220</v>
      </c>
      <c r="I175" s="32" t="s">
        <v>169</v>
      </c>
      <c r="J175" s="32" t="s">
        <v>180</v>
      </c>
      <c r="K175" s="32" t="s">
        <v>155</v>
      </c>
      <c r="L175" s="32" t="s">
        <v>210</v>
      </c>
      <c r="M175" s="32" t="s">
        <v>187</v>
      </c>
      <c r="N175" s="32">
        <v>1385</v>
      </c>
      <c r="O175" s="32">
        <v>202888.65</v>
      </c>
      <c r="P175" s="32" t="s">
        <v>187</v>
      </c>
      <c r="Q175" s="32">
        <v>0</v>
      </c>
      <c r="R175" s="32">
        <v>9</v>
      </c>
      <c r="S175" s="32">
        <v>18259.98</v>
      </c>
      <c r="T175" s="32">
        <v>9</v>
      </c>
      <c r="U175" s="32">
        <v>18259.98</v>
      </c>
      <c r="V175" s="32">
        <v>0</v>
      </c>
      <c r="W175" s="32">
        <v>0</v>
      </c>
      <c r="X175" s="32">
        <v>0</v>
      </c>
      <c r="Y175" s="32">
        <v>36519.96</v>
      </c>
      <c r="Z175" s="32">
        <v>0</v>
      </c>
      <c r="AA175" s="32" t="s">
        <v>177</v>
      </c>
      <c r="AB175" s="32" t="s">
        <v>168</v>
      </c>
      <c r="AC175" s="32">
        <v>39269080</v>
      </c>
      <c r="AD175" s="32" t="s">
        <v>208</v>
      </c>
      <c r="AE175" s="32">
        <v>1</v>
      </c>
      <c r="AF175" s="32">
        <v>1385</v>
      </c>
      <c r="AG175" s="32" t="s">
        <v>209</v>
      </c>
    </row>
    <row r="176" spans="2:33" x14ac:dyDescent="0.25">
      <c r="B176" s="31">
        <v>46220</v>
      </c>
      <c r="C176" s="32" t="s">
        <v>654</v>
      </c>
      <c r="D176" s="32" t="s">
        <v>655</v>
      </c>
      <c r="E176" s="32" t="s">
        <v>848</v>
      </c>
      <c r="F176" s="32" t="s">
        <v>657</v>
      </c>
      <c r="G176" s="32" t="s">
        <v>849</v>
      </c>
      <c r="H176" s="31">
        <v>46220</v>
      </c>
      <c r="I176" s="32" t="s">
        <v>169</v>
      </c>
      <c r="J176" s="32" t="s">
        <v>180</v>
      </c>
      <c r="K176" s="32" t="s">
        <v>155</v>
      </c>
      <c r="L176" s="32" t="s">
        <v>210</v>
      </c>
      <c r="M176" s="32" t="s">
        <v>187</v>
      </c>
      <c r="N176" s="32">
        <v>1113</v>
      </c>
      <c r="O176" s="32">
        <v>166382.37</v>
      </c>
      <c r="P176" s="32" t="s">
        <v>187</v>
      </c>
      <c r="Q176" s="32">
        <v>0</v>
      </c>
      <c r="R176" s="32">
        <v>9</v>
      </c>
      <c r="S176" s="32">
        <v>14974.41</v>
      </c>
      <c r="T176" s="32">
        <v>9</v>
      </c>
      <c r="U176" s="32">
        <v>14974.41</v>
      </c>
      <c r="V176" s="32">
        <v>0</v>
      </c>
      <c r="W176" s="32">
        <v>0</v>
      </c>
      <c r="X176" s="32">
        <v>0</v>
      </c>
      <c r="Y176" s="32">
        <v>29948.82</v>
      </c>
      <c r="Z176" s="32">
        <v>0</v>
      </c>
      <c r="AA176" s="32" t="s">
        <v>177</v>
      </c>
      <c r="AB176" s="32" t="s">
        <v>168</v>
      </c>
      <c r="AC176" s="32">
        <v>39269080</v>
      </c>
      <c r="AD176" s="32" t="s">
        <v>208</v>
      </c>
      <c r="AE176" s="32">
        <v>1</v>
      </c>
      <c r="AF176" s="32">
        <v>1113</v>
      </c>
      <c r="AG176" s="32" t="s">
        <v>209</v>
      </c>
    </row>
    <row r="177" spans="2:33" x14ac:dyDescent="0.25">
      <c r="B177" s="31">
        <v>46220</v>
      </c>
      <c r="C177" s="32" t="s">
        <v>654</v>
      </c>
      <c r="D177" s="32" t="s">
        <v>655</v>
      </c>
      <c r="E177" s="32" t="s">
        <v>848</v>
      </c>
      <c r="F177" s="32" t="s">
        <v>657</v>
      </c>
      <c r="G177" s="32" t="s">
        <v>849</v>
      </c>
      <c r="H177" s="31">
        <v>46220</v>
      </c>
      <c r="I177" s="32" t="s">
        <v>169</v>
      </c>
      <c r="J177" s="32" t="s">
        <v>182</v>
      </c>
      <c r="K177" s="32" t="s">
        <v>154</v>
      </c>
      <c r="L177" s="32" t="s">
        <v>154</v>
      </c>
      <c r="M177" s="32" t="s">
        <v>182</v>
      </c>
      <c r="N177" s="32">
        <v>459.3</v>
      </c>
      <c r="O177" s="32">
        <v>68660.756999999998</v>
      </c>
      <c r="P177" s="32" t="s">
        <v>182</v>
      </c>
      <c r="Q177" s="32">
        <v>0</v>
      </c>
      <c r="R177" s="32">
        <v>9</v>
      </c>
      <c r="S177" s="32">
        <v>6179.47</v>
      </c>
      <c r="T177" s="32">
        <v>9</v>
      </c>
      <c r="U177" s="32">
        <v>6179.47</v>
      </c>
      <c r="V177" s="32">
        <v>0</v>
      </c>
      <c r="W177" s="32">
        <v>0</v>
      </c>
      <c r="X177" s="32">
        <v>0</v>
      </c>
      <c r="Y177" s="32">
        <v>12358.94</v>
      </c>
      <c r="Z177" s="32">
        <v>0</v>
      </c>
      <c r="AA177" s="32" t="s">
        <v>177</v>
      </c>
      <c r="AB177" s="32" t="s">
        <v>168</v>
      </c>
      <c r="AC177" s="32">
        <v>3926908</v>
      </c>
      <c r="AD177" s="32" t="s">
        <v>208</v>
      </c>
      <c r="AE177" s="32">
        <v>1</v>
      </c>
      <c r="AF177" s="32">
        <v>459.3</v>
      </c>
      <c r="AG177" s="32" t="s">
        <v>209</v>
      </c>
    </row>
    <row r="178" spans="2:33" x14ac:dyDescent="0.25">
      <c r="B178" s="31">
        <v>46220</v>
      </c>
      <c r="C178" s="32" t="s">
        <v>654</v>
      </c>
      <c r="D178" s="32" t="s">
        <v>655</v>
      </c>
      <c r="E178" s="32" t="s">
        <v>848</v>
      </c>
      <c r="F178" s="32" t="s">
        <v>657</v>
      </c>
      <c r="G178" s="32" t="s">
        <v>849</v>
      </c>
      <c r="H178" s="31">
        <v>46220</v>
      </c>
      <c r="I178" s="32" t="s">
        <v>169</v>
      </c>
      <c r="J178" s="32" t="s">
        <v>182</v>
      </c>
      <c r="K178" s="32" t="s">
        <v>154</v>
      </c>
      <c r="L178" s="32" t="s">
        <v>154</v>
      </c>
      <c r="M178" s="32" t="s">
        <v>182</v>
      </c>
      <c r="N178" s="32">
        <v>190.2</v>
      </c>
      <c r="O178" s="32">
        <v>27862.398000000001</v>
      </c>
      <c r="P178" s="32" t="s">
        <v>182</v>
      </c>
      <c r="Q178" s="32">
        <v>0</v>
      </c>
      <c r="R178" s="32">
        <v>9</v>
      </c>
      <c r="S178" s="32">
        <v>2507.62</v>
      </c>
      <c r="T178" s="32">
        <v>9</v>
      </c>
      <c r="U178" s="32">
        <v>2507.62</v>
      </c>
      <c r="V178" s="32">
        <v>0</v>
      </c>
      <c r="W178" s="32">
        <v>0</v>
      </c>
      <c r="X178" s="32">
        <v>0</v>
      </c>
      <c r="Y178" s="32">
        <v>5015.24</v>
      </c>
      <c r="Z178" s="32">
        <v>0</v>
      </c>
      <c r="AA178" s="32" t="s">
        <v>177</v>
      </c>
      <c r="AB178" s="32" t="s">
        <v>168</v>
      </c>
      <c r="AC178" s="32">
        <v>3926908</v>
      </c>
      <c r="AD178" s="32" t="s">
        <v>208</v>
      </c>
      <c r="AE178" s="32">
        <v>1</v>
      </c>
      <c r="AF178" s="32">
        <v>190.2</v>
      </c>
      <c r="AG178" s="32" t="s">
        <v>209</v>
      </c>
    </row>
    <row r="179" spans="2:33" x14ac:dyDescent="0.25">
      <c r="B179" s="31">
        <v>46220</v>
      </c>
      <c r="C179" s="32" t="s">
        <v>654</v>
      </c>
      <c r="D179" s="32" t="s">
        <v>655</v>
      </c>
      <c r="E179" s="32" t="s">
        <v>848</v>
      </c>
      <c r="F179" s="32" t="s">
        <v>657</v>
      </c>
      <c r="G179" s="32" t="s">
        <v>849</v>
      </c>
      <c r="H179" s="31">
        <v>46220</v>
      </c>
      <c r="I179" s="32" t="s">
        <v>169</v>
      </c>
      <c r="J179" s="32" t="s">
        <v>176</v>
      </c>
      <c r="K179" s="32" t="s">
        <v>159</v>
      </c>
      <c r="L179" s="32" t="s">
        <v>159</v>
      </c>
      <c r="M179" s="32" t="s">
        <v>174</v>
      </c>
      <c r="N179" s="32">
        <v>1013</v>
      </c>
      <c r="O179" s="32">
        <v>185156.14</v>
      </c>
      <c r="P179" s="32" t="s">
        <v>174</v>
      </c>
      <c r="Q179" s="32">
        <v>0</v>
      </c>
      <c r="R179" s="32">
        <v>9</v>
      </c>
      <c r="S179" s="32">
        <v>16664.05</v>
      </c>
      <c r="T179" s="32">
        <v>9</v>
      </c>
      <c r="U179" s="32">
        <v>16664.05</v>
      </c>
      <c r="V179" s="32">
        <v>0</v>
      </c>
      <c r="W179" s="32">
        <v>0</v>
      </c>
      <c r="X179" s="32">
        <v>0</v>
      </c>
      <c r="Y179" s="32">
        <v>33328.1</v>
      </c>
      <c r="Z179" s="32">
        <v>0</v>
      </c>
      <c r="AA179" s="32" t="s">
        <v>177</v>
      </c>
      <c r="AB179" s="32" t="s">
        <v>168</v>
      </c>
      <c r="AC179" s="32">
        <v>39200000</v>
      </c>
      <c r="AD179" s="32" t="s">
        <v>208</v>
      </c>
      <c r="AE179" s="32">
        <v>1</v>
      </c>
      <c r="AF179" s="32">
        <v>1013</v>
      </c>
      <c r="AG179" s="32" t="s">
        <v>209</v>
      </c>
    </row>
    <row r="180" spans="2:33" x14ac:dyDescent="0.25">
      <c r="B180" s="31">
        <v>46220</v>
      </c>
      <c r="C180" s="32" t="s">
        <v>659</v>
      </c>
      <c r="D180" s="32" t="s">
        <v>655</v>
      </c>
      <c r="E180" s="32" t="s">
        <v>850</v>
      </c>
      <c r="F180" s="32" t="s">
        <v>657</v>
      </c>
      <c r="G180" s="32" t="s">
        <v>851</v>
      </c>
      <c r="H180" s="31">
        <v>46219</v>
      </c>
      <c r="I180" s="32" t="s">
        <v>171</v>
      </c>
      <c r="J180" s="32" t="s">
        <v>185</v>
      </c>
      <c r="K180" s="32" t="s">
        <v>733</v>
      </c>
      <c r="L180" s="32" t="s">
        <v>734</v>
      </c>
      <c r="M180" s="32" t="s">
        <v>834</v>
      </c>
      <c r="N180" s="32">
        <v>3000</v>
      </c>
      <c r="O180" s="32">
        <v>540000</v>
      </c>
      <c r="P180" s="32" t="s">
        <v>834</v>
      </c>
      <c r="Q180" s="32">
        <v>1201815.04</v>
      </c>
      <c r="R180" s="32">
        <v>9</v>
      </c>
      <c r="S180" s="32">
        <v>48600</v>
      </c>
      <c r="T180" s="32">
        <v>9</v>
      </c>
      <c r="U180" s="32">
        <v>48600</v>
      </c>
      <c r="V180" s="32">
        <v>0</v>
      </c>
      <c r="W180" s="32">
        <v>0</v>
      </c>
      <c r="X180" s="32">
        <v>0</v>
      </c>
      <c r="Y180" s="32">
        <v>97200</v>
      </c>
      <c r="Z180" s="32">
        <v>0</v>
      </c>
      <c r="AA180" s="32" t="s">
        <v>177</v>
      </c>
      <c r="AB180" s="32" t="s">
        <v>168</v>
      </c>
      <c r="AC180" s="32">
        <v>38123990</v>
      </c>
      <c r="AD180" s="32" t="s">
        <v>208</v>
      </c>
      <c r="AE180" s="32">
        <v>1</v>
      </c>
      <c r="AF180" s="32">
        <v>3000</v>
      </c>
      <c r="AG180" s="32" t="s">
        <v>209</v>
      </c>
    </row>
    <row r="181" spans="2:33" x14ac:dyDescent="0.25">
      <c r="B181" s="31">
        <v>46220</v>
      </c>
      <c r="C181" s="32" t="s">
        <v>659</v>
      </c>
      <c r="D181" s="32" t="s">
        <v>655</v>
      </c>
      <c r="E181" s="32" t="s">
        <v>850</v>
      </c>
      <c r="F181" s="32" t="s">
        <v>657</v>
      </c>
      <c r="G181" s="32" t="s">
        <v>851</v>
      </c>
      <c r="H181" s="31">
        <v>46219</v>
      </c>
      <c r="I181" s="32" t="s">
        <v>192</v>
      </c>
      <c r="J181" s="32" t="s">
        <v>152</v>
      </c>
      <c r="K181" s="32" t="s">
        <v>152</v>
      </c>
      <c r="L181" s="32" t="s">
        <v>207</v>
      </c>
      <c r="M181" s="32" t="s">
        <v>191</v>
      </c>
      <c r="N181" s="32">
        <v>826</v>
      </c>
      <c r="O181" s="32">
        <v>170189.04</v>
      </c>
      <c r="P181" s="32" t="s">
        <v>191</v>
      </c>
      <c r="Q181" s="32">
        <v>0</v>
      </c>
      <c r="R181" s="32">
        <v>9</v>
      </c>
      <c r="S181" s="32">
        <v>15317.01</v>
      </c>
      <c r="T181" s="32">
        <v>9</v>
      </c>
      <c r="U181" s="32">
        <v>15317.01</v>
      </c>
      <c r="V181" s="32">
        <v>0</v>
      </c>
      <c r="W181" s="32">
        <v>0</v>
      </c>
      <c r="X181" s="32">
        <v>0</v>
      </c>
      <c r="Y181" s="32">
        <v>30634.02</v>
      </c>
      <c r="Z181" s="32">
        <v>0</v>
      </c>
      <c r="AA181" s="32" t="s">
        <v>177</v>
      </c>
      <c r="AB181" s="32" t="s">
        <v>168</v>
      </c>
      <c r="AC181" s="32">
        <v>63053200</v>
      </c>
      <c r="AD181" s="32" t="s">
        <v>208</v>
      </c>
      <c r="AE181" s="32">
        <v>1</v>
      </c>
      <c r="AF181" s="32">
        <v>826</v>
      </c>
      <c r="AG181" s="32" t="s">
        <v>209</v>
      </c>
    </row>
    <row r="182" spans="2:33" x14ac:dyDescent="0.25">
      <c r="B182" s="31">
        <v>46220</v>
      </c>
      <c r="C182" s="32" t="s">
        <v>659</v>
      </c>
      <c r="D182" s="32" t="s">
        <v>655</v>
      </c>
      <c r="E182" s="32" t="s">
        <v>850</v>
      </c>
      <c r="F182" s="32" t="s">
        <v>657</v>
      </c>
      <c r="G182" s="32" t="s">
        <v>851</v>
      </c>
      <c r="H182" s="31">
        <v>46219</v>
      </c>
      <c r="I182" s="32" t="s">
        <v>192</v>
      </c>
      <c r="J182" s="32" t="s">
        <v>152</v>
      </c>
      <c r="K182" s="32" t="s">
        <v>152</v>
      </c>
      <c r="L182" s="32" t="s">
        <v>207</v>
      </c>
      <c r="M182" s="32" t="s">
        <v>191</v>
      </c>
      <c r="N182" s="32">
        <v>1485</v>
      </c>
      <c r="O182" s="32">
        <v>309162.15000000002</v>
      </c>
      <c r="P182" s="32" t="s">
        <v>191</v>
      </c>
      <c r="Q182" s="32">
        <v>0</v>
      </c>
      <c r="R182" s="32">
        <v>9</v>
      </c>
      <c r="S182" s="32">
        <v>27824.59</v>
      </c>
      <c r="T182" s="32">
        <v>9</v>
      </c>
      <c r="U182" s="32">
        <v>27824.59</v>
      </c>
      <c r="V182" s="32">
        <v>0</v>
      </c>
      <c r="W182" s="32">
        <v>0</v>
      </c>
      <c r="X182" s="32">
        <v>0</v>
      </c>
      <c r="Y182" s="32">
        <v>55649.18</v>
      </c>
      <c r="Z182" s="32">
        <v>0</v>
      </c>
      <c r="AA182" s="32" t="s">
        <v>177</v>
      </c>
      <c r="AB182" s="32" t="s">
        <v>168</v>
      </c>
      <c r="AC182" s="32">
        <v>63053200</v>
      </c>
      <c r="AD182" s="32" t="s">
        <v>208</v>
      </c>
      <c r="AE182" s="32">
        <v>1</v>
      </c>
      <c r="AF182" s="32">
        <v>1485</v>
      </c>
      <c r="AG182" s="32" t="s">
        <v>209</v>
      </c>
    </row>
    <row r="183" spans="2:33" x14ac:dyDescent="0.25">
      <c r="B183" s="31">
        <v>46221</v>
      </c>
      <c r="C183" s="32" t="s">
        <v>852</v>
      </c>
      <c r="D183" s="32" t="s">
        <v>660</v>
      </c>
      <c r="E183" s="32" t="s">
        <v>853</v>
      </c>
      <c r="F183" s="32" t="s">
        <v>664</v>
      </c>
      <c r="G183" s="32">
        <v>339</v>
      </c>
      <c r="H183" s="31">
        <v>46219</v>
      </c>
      <c r="I183" s="32" t="s">
        <v>169</v>
      </c>
      <c r="J183" s="32" t="s">
        <v>176</v>
      </c>
      <c r="K183" s="32" t="s">
        <v>159</v>
      </c>
      <c r="L183" s="32" t="s">
        <v>159</v>
      </c>
      <c r="M183" s="32" t="s">
        <v>238</v>
      </c>
      <c r="N183" s="32">
        <v>90.58</v>
      </c>
      <c r="O183" s="32">
        <v>40560</v>
      </c>
      <c r="P183" s="32" t="s">
        <v>238</v>
      </c>
      <c r="Q183" s="32">
        <v>47861.01</v>
      </c>
      <c r="R183" s="32">
        <v>9</v>
      </c>
      <c r="S183" s="32">
        <v>3650.4</v>
      </c>
      <c r="T183" s="32">
        <v>9</v>
      </c>
      <c r="U183" s="32">
        <v>3650.4</v>
      </c>
      <c r="V183" s="32">
        <v>0</v>
      </c>
      <c r="W183" s="32">
        <v>0</v>
      </c>
      <c r="X183" s="32">
        <v>0</v>
      </c>
      <c r="Y183" s="32">
        <v>7300.8</v>
      </c>
      <c r="Z183" s="32">
        <v>0</v>
      </c>
      <c r="AA183" s="32" t="s">
        <v>854</v>
      </c>
      <c r="AB183" s="32" t="s">
        <v>168</v>
      </c>
      <c r="AC183" s="32">
        <v>3920101</v>
      </c>
      <c r="AD183" s="32" t="s">
        <v>208</v>
      </c>
      <c r="AE183" s="32">
        <v>1</v>
      </c>
      <c r="AF183" s="32">
        <v>90.58</v>
      </c>
      <c r="AG183" s="32"/>
    </row>
    <row r="184" spans="2:33" x14ac:dyDescent="0.25">
      <c r="B184" s="31">
        <v>46221</v>
      </c>
      <c r="C184" s="32" t="s">
        <v>676</v>
      </c>
      <c r="D184" s="32" t="s">
        <v>655</v>
      </c>
      <c r="E184" s="32" t="s">
        <v>855</v>
      </c>
      <c r="F184" s="32" t="s">
        <v>657</v>
      </c>
      <c r="G184" s="32" t="s">
        <v>856</v>
      </c>
      <c r="H184" s="31">
        <v>46220</v>
      </c>
      <c r="I184" s="32" t="s">
        <v>192</v>
      </c>
      <c r="J184" s="32" t="s">
        <v>152</v>
      </c>
      <c r="K184" s="32" t="s">
        <v>152</v>
      </c>
      <c r="L184" s="32" t="s">
        <v>207</v>
      </c>
      <c r="M184" s="32" t="s">
        <v>191</v>
      </c>
      <c r="N184" s="32">
        <v>10402.5</v>
      </c>
      <c r="O184" s="32">
        <v>2878163.7</v>
      </c>
      <c r="P184" s="32" t="s">
        <v>191</v>
      </c>
      <c r="Q184" s="32">
        <v>3393355</v>
      </c>
      <c r="R184" s="32">
        <v>9</v>
      </c>
      <c r="S184" s="32">
        <v>259034.73</v>
      </c>
      <c r="T184" s="32">
        <v>9</v>
      </c>
      <c r="U184" s="32">
        <v>259034.73</v>
      </c>
      <c r="V184" s="32">
        <v>0</v>
      </c>
      <c r="W184" s="32">
        <v>0</v>
      </c>
      <c r="X184" s="32">
        <v>0</v>
      </c>
      <c r="Y184" s="32">
        <v>518069.46</v>
      </c>
      <c r="Z184" s="32">
        <v>0</v>
      </c>
      <c r="AA184" s="32" t="s">
        <v>172</v>
      </c>
      <c r="AB184" s="32" t="s">
        <v>168</v>
      </c>
      <c r="AC184" s="32">
        <v>63053200</v>
      </c>
      <c r="AD184" s="32" t="s">
        <v>208</v>
      </c>
      <c r="AE184" s="32">
        <v>1</v>
      </c>
      <c r="AF184" s="32">
        <v>10402.5</v>
      </c>
      <c r="AG184" s="32" t="s">
        <v>209</v>
      </c>
    </row>
    <row r="185" spans="2:33" x14ac:dyDescent="0.25">
      <c r="B185" s="31">
        <v>46221</v>
      </c>
      <c r="C185" s="32" t="s">
        <v>654</v>
      </c>
      <c r="D185" s="32" t="s">
        <v>655</v>
      </c>
      <c r="E185" s="32" t="s">
        <v>857</v>
      </c>
      <c r="F185" s="32" t="s">
        <v>657</v>
      </c>
      <c r="G185" s="32" t="s">
        <v>858</v>
      </c>
      <c r="H185" s="31">
        <v>46221</v>
      </c>
      <c r="I185" s="32" t="s">
        <v>169</v>
      </c>
      <c r="J185" s="32" t="s">
        <v>180</v>
      </c>
      <c r="K185" s="32" t="s">
        <v>155</v>
      </c>
      <c r="L185" s="32" t="s">
        <v>210</v>
      </c>
      <c r="M185" s="32" t="s">
        <v>187</v>
      </c>
      <c r="N185" s="32">
        <v>1626</v>
      </c>
      <c r="O185" s="32">
        <v>234891.96</v>
      </c>
      <c r="P185" s="32" t="s">
        <v>187</v>
      </c>
      <c r="Q185" s="32">
        <v>372516.29</v>
      </c>
      <c r="R185" s="32">
        <v>9</v>
      </c>
      <c r="S185" s="32">
        <v>21140.28</v>
      </c>
      <c r="T185" s="32">
        <v>9</v>
      </c>
      <c r="U185" s="32">
        <v>21140.28</v>
      </c>
      <c r="V185" s="32">
        <v>0</v>
      </c>
      <c r="W185" s="32">
        <v>0</v>
      </c>
      <c r="X185" s="32">
        <v>0</v>
      </c>
      <c r="Y185" s="32">
        <v>42280.56</v>
      </c>
      <c r="Z185" s="32">
        <v>0</v>
      </c>
      <c r="AA185" s="32" t="s">
        <v>177</v>
      </c>
      <c r="AB185" s="32" t="s">
        <v>168</v>
      </c>
      <c r="AC185" s="32">
        <v>39269080</v>
      </c>
      <c r="AD185" s="32" t="s">
        <v>208</v>
      </c>
      <c r="AE185" s="32">
        <v>1</v>
      </c>
      <c r="AF185" s="32">
        <v>1626</v>
      </c>
      <c r="AG185" s="32" t="s">
        <v>209</v>
      </c>
    </row>
    <row r="186" spans="2:33" x14ac:dyDescent="0.25">
      <c r="B186" s="31">
        <v>46221</v>
      </c>
      <c r="C186" s="32" t="s">
        <v>654</v>
      </c>
      <c r="D186" s="32" t="s">
        <v>655</v>
      </c>
      <c r="E186" s="32" t="s">
        <v>857</v>
      </c>
      <c r="F186" s="32" t="s">
        <v>657</v>
      </c>
      <c r="G186" s="32" t="s">
        <v>858</v>
      </c>
      <c r="H186" s="31">
        <v>46221</v>
      </c>
      <c r="I186" s="32" t="s">
        <v>169</v>
      </c>
      <c r="J186" s="32" t="s">
        <v>182</v>
      </c>
      <c r="K186" s="32" t="s">
        <v>154</v>
      </c>
      <c r="L186" s="32" t="s">
        <v>154</v>
      </c>
      <c r="M186" s="32" t="s">
        <v>182</v>
      </c>
      <c r="N186" s="32">
        <v>553.4</v>
      </c>
      <c r="O186" s="32">
        <v>81067.570000000007</v>
      </c>
      <c r="P186" s="32" t="s">
        <v>182</v>
      </c>
      <c r="Q186" s="32">
        <v>0</v>
      </c>
      <c r="R186" s="32">
        <v>9</v>
      </c>
      <c r="S186" s="32">
        <v>7296.08</v>
      </c>
      <c r="T186" s="32">
        <v>9</v>
      </c>
      <c r="U186" s="32">
        <v>7296.08</v>
      </c>
      <c r="V186" s="32">
        <v>0</v>
      </c>
      <c r="W186" s="32">
        <v>0</v>
      </c>
      <c r="X186" s="32">
        <v>0</v>
      </c>
      <c r="Y186" s="32">
        <v>14592.16</v>
      </c>
      <c r="Z186" s="32">
        <v>0</v>
      </c>
      <c r="AA186" s="32" t="s">
        <v>177</v>
      </c>
      <c r="AB186" s="32" t="s">
        <v>168</v>
      </c>
      <c r="AC186" s="32">
        <v>3926908</v>
      </c>
      <c r="AD186" s="32" t="s">
        <v>208</v>
      </c>
      <c r="AE186" s="32">
        <v>1</v>
      </c>
      <c r="AF186" s="32">
        <v>553.4</v>
      </c>
      <c r="AG186" s="32" t="s">
        <v>209</v>
      </c>
    </row>
    <row r="187" spans="2:33" x14ac:dyDescent="0.25">
      <c r="B187" s="31">
        <v>46221</v>
      </c>
      <c r="C187" s="32" t="s">
        <v>654</v>
      </c>
      <c r="D187" s="32" t="s">
        <v>655</v>
      </c>
      <c r="E187" s="32" t="s">
        <v>859</v>
      </c>
      <c r="F187" s="32" t="s">
        <v>657</v>
      </c>
      <c r="G187" s="32" t="s">
        <v>860</v>
      </c>
      <c r="H187" s="31">
        <v>46221</v>
      </c>
      <c r="I187" s="32" t="s">
        <v>192</v>
      </c>
      <c r="J187" s="32" t="s">
        <v>152</v>
      </c>
      <c r="K187" s="32" t="s">
        <v>152</v>
      </c>
      <c r="L187" s="32" t="s">
        <v>207</v>
      </c>
      <c r="M187" s="32" t="s">
        <v>191</v>
      </c>
      <c r="N187" s="32">
        <v>4973</v>
      </c>
      <c r="O187" s="32">
        <v>1091374.58</v>
      </c>
      <c r="P187" s="32" t="s">
        <v>191</v>
      </c>
      <c r="Q187" s="32">
        <v>1286730.6299999999</v>
      </c>
      <c r="R187" s="32">
        <v>9</v>
      </c>
      <c r="S187" s="32">
        <v>98223.71</v>
      </c>
      <c r="T187" s="32">
        <v>9</v>
      </c>
      <c r="U187" s="32">
        <v>98223.71</v>
      </c>
      <c r="V187" s="32">
        <v>0</v>
      </c>
      <c r="W187" s="32">
        <v>0</v>
      </c>
      <c r="X187" s="32">
        <v>0</v>
      </c>
      <c r="Y187" s="32">
        <v>196447.42</v>
      </c>
      <c r="Z187" s="32">
        <v>0</v>
      </c>
      <c r="AA187" s="32" t="s">
        <v>177</v>
      </c>
      <c r="AB187" s="32" t="s">
        <v>168</v>
      </c>
      <c r="AC187" s="32">
        <v>63053200</v>
      </c>
      <c r="AD187" s="32" t="s">
        <v>208</v>
      </c>
      <c r="AE187" s="32">
        <v>1</v>
      </c>
      <c r="AF187" s="32">
        <v>4973</v>
      </c>
      <c r="AG187" s="32" t="s">
        <v>209</v>
      </c>
    </row>
    <row r="188" spans="2:33" x14ac:dyDescent="0.25">
      <c r="B188" s="31">
        <v>46221</v>
      </c>
      <c r="C188" s="32" t="s">
        <v>654</v>
      </c>
      <c r="D188" s="32" t="s">
        <v>655</v>
      </c>
      <c r="E188" s="32" t="s">
        <v>861</v>
      </c>
      <c r="F188" s="32" t="s">
        <v>657</v>
      </c>
      <c r="G188" s="32" t="s">
        <v>862</v>
      </c>
      <c r="H188" s="31">
        <v>46221</v>
      </c>
      <c r="I188" s="32" t="s">
        <v>169</v>
      </c>
      <c r="J188" s="32" t="s">
        <v>176</v>
      </c>
      <c r="K188" s="32" t="s">
        <v>159</v>
      </c>
      <c r="L188" s="32" t="s">
        <v>863</v>
      </c>
      <c r="M188" s="32" t="s">
        <v>174</v>
      </c>
      <c r="N188" s="32">
        <v>416</v>
      </c>
      <c r="O188" s="32">
        <v>77700.479999999996</v>
      </c>
      <c r="P188" s="32" t="s">
        <v>174</v>
      </c>
      <c r="Q188" s="32">
        <v>1083589.78</v>
      </c>
      <c r="R188" s="32">
        <v>9</v>
      </c>
      <c r="S188" s="32">
        <v>6993.04</v>
      </c>
      <c r="T188" s="32">
        <v>9</v>
      </c>
      <c r="U188" s="32">
        <v>6993.04</v>
      </c>
      <c r="V188" s="32">
        <v>0</v>
      </c>
      <c r="W188" s="32">
        <v>0</v>
      </c>
      <c r="X188" s="32">
        <v>0</v>
      </c>
      <c r="Y188" s="32">
        <v>13986.08</v>
      </c>
      <c r="Z188" s="32">
        <v>0</v>
      </c>
      <c r="AA188" s="32" t="s">
        <v>177</v>
      </c>
      <c r="AB188" s="32" t="s">
        <v>168</v>
      </c>
      <c r="AC188" s="32">
        <v>39200000</v>
      </c>
      <c r="AD188" s="32" t="s">
        <v>208</v>
      </c>
      <c r="AE188" s="32">
        <v>1</v>
      </c>
      <c r="AF188" s="32">
        <v>416</v>
      </c>
      <c r="AG188" s="32" t="s">
        <v>209</v>
      </c>
    </row>
    <row r="189" spans="2:33" x14ac:dyDescent="0.25">
      <c r="B189" s="31">
        <v>46221</v>
      </c>
      <c r="C189" s="32" t="s">
        <v>654</v>
      </c>
      <c r="D189" s="32" t="s">
        <v>655</v>
      </c>
      <c r="E189" s="32" t="s">
        <v>861</v>
      </c>
      <c r="F189" s="32" t="s">
        <v>657</v>
      </c>
      <c r="G189" s="32" t="s">
        <v>862</v>
      </c>
      <c r="H189" s="31">
        <v>46221</v>
      </c>
      <c r="I189" s="32" t="s">
        <v>169</v>
      </c>
      <c r="J189" s="32" t="s">
        <v>180</v>
      </c>
      <c r="K189" s="32" t="s">
        <v>156</v>
      </c>
      <c r="L189" s="32" t="s">
        <v>218</v>
      </c>
      <c r="M189" s="32" t="s">
        <v>179</v>
      </c>
      <c r="N189" s="32">
        <v>4058.7</v>
      </c>
      <c r="O189" s="32">
        <v>656454.13800000004</v>
      </c>
      <c r="P189" s="32" t="s">
        <v>179</v>
      </c>
      <c r="Q189" s="32">
        <v>0</v>
      </c>
      <c r="R189" s="32">
        <v>9</v>
      </c>
      <c r="S189" s="32">
        <v>59080.87</v>
      </c>
      <c r="T189" s="32">
        <v>9</v>
      </c>
      <c r="U189" s="32">
        <v>59080.87</v>
      </c>
      <c r="V189" s="32">
        <v>0</v>
      </c>
      <c r="W189" s="32">
        <v>0</v>
      </c>
      <c r="X189" s="32">
        <v>0</v>
      </c>
      <c r="Y189" s="32">
        <v>118161.74</v>
      </c>
      <c r="Z189" s="32">
        <v>0</v>
      </c>
      <c r="AA189" s="32" t="s">
        <v>177</v>
      </c>
      <c r="AB189" s="32" t="s">
        <v>168</v>
      </c>
      <c r="AC189" s="32">
        <v>63053300</v>
      </c>
      <c r="AD189" s="32" t="s">
        <v>208</v>
      </c>
      <c r="AE189" s="32">
        <v>1</v>
      </c>
      <c r="AF189" s="32">
        <v>4058.7</v>
      </c>
      <c r="AG189" s="32" t="s">
        <v>209</v>
      </c>
    </row>
    <row r="190" spans="2:33" x14ac:dyDescent="0.25">
      <c r="B190" s="31">
        <v>46221</v>
      </c>
      <c r="C190" s="32" t="s">
        <v>654</v>
      </c>
      <c r="D190" s="32" t="s">
        <v>655</v>
      </c>
      <c r="E190" s="32" t="s">
        <v>861</v>
      </c>
      <c r="F190" s="32" t="s">
        <v>657</v>
      </c>
      <c r="G190" s="32" t="s">
        <v>862</v>
      </c>
      <c r="H190" s="31">
        <v>46221</v>
      </c>
      <c r="I190" s="32" t="s">
        <v>169</v>
      </c>
      <c r="J190" s="32" t="s">
        <v>182</v>
      </c>
      <c r="K190" s="32" t="s">
        <v>154</v>
      </c>
      <c r="L190" s="32" t="s">
        <v>154</v>
      </c>
      <c r="M190" s="32" t="s">
        <v>182</v>
      </c>
      <c r="N190" s="32">
        <v>783.4</v>
      </c>
      <c r="O190" s="32">
        <v>117110.466</v>
      </c>
      <c r="P190" s="32" t="s">
        <v>182</v>
      </c>
      <c r="Q190" s="32">
        <v>0</v>
      </c>
      <c r="R190" s="32">
        <v>9</v>
      </c>
      <c r="S190" s="32">
        <v>10539.94</v>
      </c>
      <c r="T190" s="32">
        <v>9</v>
      </c>
      <c r="U190" s="32">
        <v>10539.94</v>
      </c>
      <c r="V190" s="32">
        <v>0</v>
      </c>
      <c r="W190" s="32">
        <v>0</v>
      </c>
      <c r="X190" s="32">
        <v>0</v>
      </c>
      <c r="Y190" s="32">
        <v>21079.88</v>
      </c>
      <c r="Z190" s="32">
        <v>0</v>
      </c>
      <c r="AA190" s="32" t="s">
        <v>177</v>
      </c>
      <c r="AB190" s="32" t="s">
        <v>168</v>
      </c>
      <c r="AC190" s="32">
        <v>3926908</v>
      </c>
      <c r="AD190" s="32" t="s">
        <v>208</v>
      </c>
      <c r="AE190" s="32">
        <v>1</v>
      </c>
      <c r="AF190" s="32">
        <v>783.4</v>
      </c>
      <c r="AG190" s="32" t="s">
        <v>209</v>
      </c>
    </row>
    <row r="191" spans="2:33" x14ac:dyDescent="0.25">
      <c r="B191" s="31">
        <v>46221</v>
      </c>
      <c r="C191" s="32" t="s">
        <v>654</v>
      </c>
      <c r="D191" s="32" t="s">
        <v>655</v>
      </c>
      <c r="E191" s="32" t="s">
        <v>861</v>
      </c>
      <c r="F191" s="32" t="s">
        <v>657</v>
      </c>
      <c r="G191" s="32" t="s">
        <v>862</v>
      </c>
      <c r="H191" s="31">
        <v>46221</v>
      </c>
      <c r="I191" s="32" t="s">
        <v>169</v>
      </c>
      <c r="J191" s="32" t="s">
        <v>182</v>
      </c>
      <c r="K191" s="32" t="s">
        <v>154</v>
      </c>
      <c r="L191" s="32" t="s">
        <v>154</v>
      </c>
      <c r="M191" s="32" t="s">
        <v>182</v>
      </c>
      <c r="N191" s="32">
        <v>462.9</v>
      </c>
      <c r="O191" s="32">
        <v>67810.221000000005</v>
      </c>
      <c r="P191" s="32" t="s">
        <v>182</v>
      </c>
      <c r="Q191" s="32">
        <v>0</v>
      </c>
      <c r="R191" s="32">
        <v>9</v>
      </c>
      <c r="S191" s="32">
        <v>6102.92</v>
      </c>
      <c r="T191" s="32">
        <v>9</v>
      </c>
      <c r="U191" s="32">
        <v>6102.92</v>
      </c>
      <c r="V191" s="32">
        <v>0</v>
      </c>
      <c r="W191" s="32">
        <v>0</v>
      </c>
      <c r="X191" s="32">
        <v>0</v>
      </c>
      <c r="Y191" s="32">
        <v>12205.84</v>
      </c>
      <c r="Z191" s="32">
        <v>0</v>
      </c>
      <c r="AA191" s="32" t="s">
        <v>177</v>
      </c>
      <c r="AB191" s="32" t="s">
        <v>168</v>
      </c>
      <c r="AC191" s="32">
        <v>3926908</v>
      </c>
      <c r="AD191" s="32" t="s">
        <v>208</v>
      </c>
      <c r="AE191" s="32">
        <v>1</v>
      </c>
      <c r="AF191" s="32">
        <v>462.9</v>
      </c>
      <c r="AG191" s="32" t="s">
        <v>209</v>
      </c>
    </row>
    <row r="192" spans="2:33" x14ac:dyDescent="0.25">
      <c r="B192" s="31">
        <v>46222</v>
      </c>
      <c r="C192" s="32" t="s">
        <v>676</v>
      </c>
      <c r="D192" s="32" t="s">
        <v>655</v>
      </c>
      <c r="E192" s="32" t="s">
        <v>864</v>
      </c>
      <c r="F192" s="32" t="s">
        <v>657</v>
      </c>
      <c r="G192" s="32" t="s">
        <v>865</v>
      </c>
      <c r="H192" s="31">
        <v>46221</v>
      </c>
      <c r="I192" s="32" t="s">
        <v>192</v>
      </c>
      <c r="J192" s="32" t="s">
        <v>152</v>
      </c>
      <c r="K192" s="32" t="s">
        <v>152</v>
      </c>
      <c r="L192" s="32" t="s">
        <v>207</v>
      </c>
      <c r="M192" s="32" t="s">
        <v>195</v>
      </c>
      <c r="N192" s="32">
        <v>2856</v>
      </c>
      <c r="O192" s="32">
        <v>715456.56</v>
      </c>
      <c r="P192" s="32" t="s">
        <v>195</v>
      </c>
      <c r="Q192" s="32">
        <v>2618089.4300000002</v>
      </c>
      <c r="R192" s="32">
        <v>9</v>
      </c>
      <c r="S192" s="32">
        <v>64391.09</v>
      </c>
      <c r="T192" s="32">
        <v>9</v>
      </c>
      <c r="U192" s="32">
        <v>64391.09</v>
      </c>
      <c r="V192" s="32">
        <v>0</v>
      </c>
      <c r="W192" s="32">
        <v>0</v>
      </c>
      <c r="X192" s="32">
        <v>0</v>
      </c>
      <c r="Y192" s="32">
        <v>128782.18</v>
      </c>
      <c r="Z192" s="32">
        <v>0</v>
      </c>
      <c r="AA192" s="32" t="s">
        <v>172</v>
      </c>
      <c r="AB192" s="32" t="s">
        <v>168</v>
      </c>
      <c r="AC192" s="32">
        <v>63053200</v>
      </c>
      <c r="AD192" s="32" t="s">
        <v>208</v>
      </c>
      <c r="AE192" s="32">
        <v>1</v>
      </c>
      <c r="AF192" s="32">
        <v>2856</v>
      </c>
      <c r="AG192" s="32" t="s">
        <v>209</v>
      </c>
    </row>
    <row r="193" spans="2:33" x14ac:dyDescent="0.25">
      <c r="B193" s="31">
        <v>46222</v>
      </c>
      <c r="C193" s="32" t="s">
        <v>676</v>
      </c>
      <c r="D193" s="32" t="s">
        <v>655</v>
      </c>
      <c r="E193" s="32" t="s">
        <v>864</v>
      </c>
      <c r="F193" s="32" t="s">
        <v>657</v>
      </c>
      <c r="G193" s="32" t="s">
        <v>865</v>
      </c>
      <c r="H193" s="31">
        <v>46221</v>
      </c>
      <c r="I193" s="32" t="s">
        <v>192</v>
      </c>
      <c r="J193" s="32" t="s">
        <v>152</v>
      </c>
      <c r="K193" s="32" t="s">
        <v>152</v>
      </c>
      <c r="L193" s="32" t="s">
        <v>207</v>
      </c>
      <c r="M193" s="32" t="s">
        <v>195</v>
      </c>
      <c r="N193" s="32">
        <v>2883</v>
      </c>
      <c r="O193" s="32">
        <v>790201.47</v>
      </c>
      <c r="P193" s="32" t="s">
        <v>195</v>
      </c>
      <c r="Q193" s="32">
        <v>0</v>
      </c>
      <c r="R193" s="32">
        <v>9</v>
      </c>
      <c r="S193" s="32">
        <v>71118.13</v>
      </c>
      <c r="T193" s="32">
        <v>9</v>
      </c>
      <c r="U193" s="32">
        <v>71118.13</v>
      </c>
      <c r="V193" s="32">
        <v>0</v>
      </c>
      <c r="W193" s="32">
        <v>0</v>
      </c>
      <c r="X193" s="32">
        <v>0</v>
      </c>
      <c r="Y193" s="32">
        <v>142236.26</v>
      </c>
      <c r="Z193" s="32">
        <v>0</v>
      </c>
      <c r="AA193" s="32" t="s">
        <v>172</v>
      </c>
      <c r="AB193" s="32" t="s">
        <v>168</v>
      </c>
      <c r="AC193" s="32">
        <v>63053200</v>
      </c>
      <c r="AD193" s="32" t="s">
        <v>208</v>
      </c>
      <c r="AE193" s="32">
        <v>1</v>
      </c>
      <c r="AF193" s="32">
        <v>2883</v>
      </c>
      <c r="AG193" s="32" t="s">
        <v>209</v>
      </c>
    </row>
    <row r="194" spans="2:33" x14ac:dyDescent="0.25">
      <c r="B194" s="31">
        <v>46222</v>
      </c>
      <c r="C194" s="32" t="s">
        <v>676</v>
      </c>
      <c r="D194" s="32" t="s">
        <v>655</v>
      </c>
      <c r="E194" s="32" t="s">
        <v>864</v>
      </c>
      <c r="F194" s="32" t="s">
        <v>657</v>
      </c>
      <c r="G194" s="32" t="s">
        <v>865</v>
      </c>
      <c r="H194" s="31">
        <v>46221</v>
      </c>
      <c r="I194" s="32" t="s">
        <v>192</v>
      </c>
      <c r="J194" s="32" t="s">
        <v>152</v>
      </c>
      <c r="K194" s="32" t="s">
        <v>152</v>
      </c>
      <c r="L194" s="32" t="s">
        <v>207</v>
      </c>
      <c r="M194" s="32" t="s">
        <v>191</v>
      </c>
      <c r="N194" s="32">
        <v>2588.5</v>
      </c>
      <c r="O194" s="32">
        <v>714943.7</v>
      </c>
      <c r="P194" s="32" t="s">
        <v>191</v>
      </c>
      <c r="Q194" s="32">
        <v>0</v>
      </c>
      <c r="R194" s="32">
        <v>9</v>
      </c>
      <c r="S194" s="32">
        <v>64344.93</v>
      </c>
      <c r="T194" s="32">
        <v>9</v>
      </c>
      <c r="U194" s="32">
        <v>64344.93</v>
      </c>
      <c r="V194" s="32">
        <v>0</v>
      </c>
      <c r="W194" s="32">
        <v>0</v>
      </c>
      <c r="X194" s="32">
        <v>0</v>
      </c>
      <c r="Y194" s="32">
        <v>128689.86</v>
      </c>
      <c r="Z194" s="32">
        <v>0</v>
      </c>
      <c r="AA194" s="32" t="s">
        <v>172</v>
      </c>
      <c r="AB194" s="32" t="s">
        <v>168</v>
      </c>
      <c r="AC194" s="32">
        <v>63053200</v>
      </c>
      <c r="AD194" s="32" t="s">
        <v>208</v>
      </c>
      <c r="AE194" s="32">
        <v>1</v>
      </c>
      <c r="AF194" s="32">
        <v>2588.5</v>
      </c>
      <c r="AG194" s="32" t="s">
        <v>209</v>
      </c>
    </row>
    <row r="195" spans="2:33" x14ac:dyDescent="0.25">
      <c r="B195" s="31">
        <v>46222</v>
      </c>
      <c r="C195" s="32" t="s">
        <v>654</v>
      </c>
      <c r="D195" s="32" t="s">
        <v>655</v>
      </c>
      <c r="E195" s="32" t="s">
        <v>866</v>
      </c>
      <c r="F195" s="32" t="s">
        <v>657</v>
      </c>
      <c r="G195" s="32" t="s">
        <v>867</v>
      </c>
      <c r="H195" s="31">
        <v>46221</v>
      </c>
      <c r="I195" s="32" t="s">
        <v>169</v>
      </c>
      <c r="J195" s="32" t="s">
        <v>170</v>
      </c>
      <c r="K195" s="32" t="s">
        <v>157</v>
      </c>
      <c r="L195" s="32" t="s">
        <v>233</v>
      </c>
      <c r="M195" s="32" t="s">
        <v>684</v>
      </c>
      <c r="N195" s="32">
        <v>245</v>
      </c>
      <c r="O195" s="32">
        <v>38340.050000000003</v>
      </c>
      <c r="P195" s="32" t="s">
        <v>684</v>
      </c>
      <c r="Q195" s="32">
        <v>40218.71</v>
      </c>
      <c r="R195" s="32">
        <v>2.5</v>
      </c>
      <c r="S195" s="32">
        <v>958.5</v>
      </c>
      <c r="T195" s="32">
        <v>2.5</v>
      </c>
      <c r="U195" s="32">
        <v>958.5</v>
      </c>
      <c r="V195" s="32">
        <v>0</v>
      </c>
      <c r="W195" s="32">
        <v>0</v>
      </c>
      <c r="X195" s="32">
        <v>0</v>
      </c>
      <c r="Y195" s="32">
        <v>1917</v>
      </c>
      <c r="Z195" s="32">
        <v>0</v>
      </c>
      <c r="AA195" s="32" t="s">
        <v>177</v>
      </c>
      <c r="AB195" s="32" t="s">
        <v>188</v>
      </c>
      <c r="AC195" s="32">
        <v>54026930</v>
      </c>
      <c r="AD195" s="32" t="s">
        <v>208</v>
      </c>
      <c r="AE195" s="32">
        <v>1</v>
      </c>
      <c r="AF195" s="32">
        <v>245</v>
      </c>
      <c r="AG195" s="32" t="s">
        <v>209</v>
      </c>
    </row>
    <row r="196" spans="2:33" x14ac:dyDescent="0.25">
      <c r="B196" s="31">
        <v>46222</v>
      </c>
      <c r="C196" s="32" t="s">
        <v>654</v>
      </c>
      <c r="D196" s="32" t="s">
        <v>655</v>
      </c>
      <c r="E196" s="32" t="s">
        <v>868</v>
      </c>
      <c r="F196" s="32" t="s">
        <v>657</v>
      </c>
      <c r="G196" s="32" t="s">
        <v>869</v>
      </c>
      <c r="H196" s="31">
        <v>46222</v>
      </c>
      <c r="I196" s="32" t="s">
        <v>169</v>
      </c>
      <c r="J196" s="32" t="s">
        <v>176</v>
      </c>
      <c r="K196" s="32" t="s">
        <v>159</v>
      </c>
      <c r="L196" s="32" t="s">
        <v>159</v>
      </c>
      <c r="M196" s="32" t="s">
        <v>174</v>
      </c>
      <c r="N196" s="32">
        <v>1174.3</v>
      </c>
      <c r="O196" s="32">
        <v>214638.554</v>
      </c>
      <c r="P196" s="32" t="s">
        <v>174</v>
      </c>
      <c r="Q196" s="32">
        <v>1507938.93</v>
      </c>
      <c r="R196" s="32">
        <v>9</v>
      </c>
      <c r="S196" s="32">
        <v>19317.47</v>
      </c>
      <c r="T196" s="32">
        <v>9</v>
      </c>
      <c r="U196" s="32">
        <v>19317.47</v>
      </c>
      <c r="V196" s="32">
        <v>0</v>
      </c>
      <c r="W196" s="32">
        <v>0</v>
      </c>
      <c r="X196" s="32">
        <v>0</v>
      </c>
      <c r="Y196" s="32">
        <v>38634.94</v>
      </c>
      <c r="Z196" s="32">
        <v>0</v>
      </c>
      <c r="AA196" s="32" t="s">
        <v>177</v>
      </c>
      <c r="AB196" s="32" t="s">
        <v>168</v>
      </c>
      <c r="AC196" s="32">
        <v>39200000</v>
      </c>
      <c r="AD196" s="32" t="s">
        <v>208</v>
      </c>
      <c r="AE196" s="32">
        <v>1</v>
      </c>
      <c r="AF196" s="32">
        <v>1174.3</v>
      </c>
      <c r="AG196" s="32" t="s">
        <v>209</v>
      </c>
    </row>
    <row r="197" spans="2:33" x14ac:dyDescent="0.25">
      <c r="B197" s="31">
        <v>46222</v>
      </c>
      <c r="C197" s="32" t="s">
        <v>654</v>
      </c>
      <c r="D197" s="32" t="s">
        <v>655</v>
      </c>
      <c r="E197" s="32" t="s">
        <v>868</v>
      </c>
      <c r="F197" s="32" t="s">
        <v>657</v>
      </c>
      <c r="G197" s="32" t="s">
        <v>869</v>
      </c>
      <c r="H197" s="31">
        <v>46222</v>
      </c>
      <c r="I197" s="32" t="s">
        <v>169</v>
      </c>
      <c r="J197" s="32" t="s">
        <v>176</v>
      </c>
      <c r="K197" s="32" t="s">
        <v>159</v>
      </c>
      <c r="L197" s="32" t="s">
        <v>159</v>
      </c>
      <c r="M197" s="32" t="s">
        <v>174</v>
      </c>
      <c r="N197" s="32">
        <v>527</v>
      </c>
      <c r="O197" s="32">
        <v>106865.06</v>
      </c>
      <c r="P197" s="32" t="s">
        <v>174</v>
      </c>
      <c r="Q197" s="32">
        <v>0</v>
      </c>
      <c r="R197" s="32">
        <v>9</v>
      </c>
      <c r="S197" s="32">
        <v>9617.86</v>
      </c>
      <c r="T197" s="32">
        <v>9</v>
      </c>
      <c r="U197" s="32">
        <v>9617.86</v>
      </c>
      <c r="V197" s="32">
        <v>0</v>
      </c>
      <c r="W197" s="32">
        <v>0</v>
      </c>
      <c r="X197" s="32">
        <v>0</v>
      </c>
      <c r="Y197" s="32">
        <v>19235.72</v>
      </c>
      <c r="Z197" s="32">
        <v>0</v>
      </c>
      <c r="AA197" s="32" t="s">
        <v>177</v>
      </c>
      <c r="AB197" s="32" t="s">
        <v>168</v>
      </c>
      <c r="AC197" s="32">
        <v>39200000</v>
      </c>
      <c r="AD197" s="32" t="s">
        <v>208</v>
      </c>
      <c r="AE197" s="32">
        <v>1</v>
      </c>
      <c r="AF197" s="32">
        <v>527</v>
      </c>
      <c r="AG197" s="32" t="s">
        <v>209</v>
      </c>
    </row>
    <row r="198" spans="2:33" x14ac:dyDescent="0.25">
      <c r="B198" s="31">
        <v>46222</v>
      </c>
      <c r="C198" s="32" t="s">
        <v>654</v>
      </c>
      <c r="D198" s="32" t="s">
        <v>655</v>
      </c>
      <c r="E198" s="32" t="s">
        <v>868</v>
      </c>
      <c r="F198" s="32" t="s">
        <v>657</v>
      </c>
      <c r="G198" s="32" t="s">
        <v>869</v>
      </c>
      <c r="H198" s="31">
        <v>46222</v>
      </c>
      <c r="I198" s="32" t="s">
        <v>169</v>
      </c>
      <c r="J198" s="32" t="s">
        <v>180</v>
      </c>
      <c r="K198" s="32" t="s">
        <v>155</v>
      </c>
      <c r="L198" s="32" t="s">
        <v>210</v>
      </c>
      <c r="M198" s="32" t="s">
        <v>187</v>
      </c>
      <c r="N198" s="32">
        <v>1336</v>
      </c>
      <c r="O198" s="32">
        <v>199718.64</v>
      </c>
      <c r="P198" s="32" t="s">
        <v>187</v>
      </c>
      <c r="Q198" s="32">
        <v>0</v>
      </c>
      <c r="R198" s="32">
        <v>9</v>
      </c>
      <c r="S198" s="32">
        <v>17974.68</v>
      </c>
      <c r="T198" s="32">
        <v>9</v>
      </c>
      <c r="U198" s="32">
        <v>17974.68</v>
      </c>
      <c r="V198" s="32">
        <v>0</v>
      </c>
      <c r="W198" s="32">
        <v>0</v>
      </c>
      <c r="X198" s="32">
        <v>0</v>
      </c>
      <c r="Y198" s="32">
        <v>35949.360000000001</v>
      </c>
      <c r="Z198" s="32">
        <v>0</v>
      </c>
      <c r="AA198" s="32" t="s">
        <v>177</v>
      </c>
      <c r="AB198" s="32" t="s">
        <v>168</v>
      </c>
      <c r="AC198" s="32">
        <v>39269080</v>
      </c>
      <c r="AD198" s="32" t="s">
        <v>208</v>
      </c>
      <c r="AE198" s="32">
        <v>1</v>
      </c>
      <c r="AF198" s="32">
        <v>1336</v>
      </c>
      <c r="AG198" s="32" t="s">
        <v>209</v>
      </c>
    </row>
    <row r="199" spans="2:33" x14ac:dyDescent="0.25">
      <c r="B199" s="31">
        <v>46222</v>
      </c>
      <c r="C199" s="32" t="s">
        <v>654</v>
      </c>
      <c r="D199" s="32" t="s">
        <v>655</v>
      </c>
      <c r="E199" s="32" t="s">
        <v>868</v>
      </c>
      <c r="F199" s="32" t="s">
        <v>657</v>
      </c>
      <c r="G199" s="32" t="s">
        <v>869</v>
      </c>
      <c r="H199" s="31">
        <v>46222</v>
      </c>
      <c r="I199" s="32" t="s">
        <v>169</v>
      </c>
      <c r="J199" s="32" t="s">
        <v>180</v>
      </c>
      <c r="K199" s="32" t="s">
        <v>155</v>
      </c>
      <c r="L199" s="32" t="s">
        <v>210</v>
      </c>
      <c r="M199" s="32" t="s">
        <v>187</v>
      </c>
      <c r="N199" s="32">
        <v>347</v>
      </c>
      <c r="O199" s="32">
        <v>51179.03</v>
      </c>
      <c r="P199" s="32" t="s">
        <v>187</v>
      </c>
      <c r="Q199" s="32">
        <v>0</v>
      </c>
      <c r="R199" s="32">
        <v>9</v>
      </c>
      <c r="S199" s="32">
        <v>4606.1099999999997</v>
      </c>
      <c r="T199" s="32">
        <v>9</v>
      </c>
      <c r="U199" s="32">
        <v>4606.1099999999997</v>
      </c>
      <c r="V199" s="32">
        <v>0</v>
      </c>
      <c r="W199" s="32">
        <v>0</v>
      </c>
      <c r="X199" s="32">
        <v>0</v>
      </c>
      <c r="Y199" s="32">
        <v>9212.2199999999993</v>
      </c>
      <c r="Z199" s="32">
        <v>0</v>
      </c>
      <c r="AA199" s="32" t="s">
        <v>177</v>
      </c>
      <c r="AB199" s="32" t="s">
        <v>168</v>
      </c>
      <c r="AC199" s="32">
        <v>39269080</v>
      </c>
      <c r="AD199" s="32" t="s">
        <v>208</v>
      </c>
      <c r="AE199" s="32">
        <v>1</v>
      </c>
      <c r="AF199" s="32">
        <v>347</v>
      </c>
      <c r="AG199" s="32" t="s">
        <v>209</v>
      </c>
    </row>
    <row r="200" spans="2:33" x14ac:dyDescent="0.25">
      <c r="B200" s="31">
        <v>46222</v>
      </c>
      <c r="C200" s="32" t="s">
        <v>654</v>
      </c>
      <c r="D200" s="32" t="s">
        <v>655</v>
      </c>
      <c r="E200" s="32" t="s">
        <v>868</v>
      </c>
      <c r="F200" s="32" t="s">
        <v>657</v>
      </c>
      <c r="G200" s="32" t="s">
        <v>869</v>
      </c>
      <c r="H200" s="31">
        <v>46222</v>
      </c>
      <c r="I200" s="32" t="s">
        <v>169</v>
      </c>
      <c r="J200" s="32" t="s">
        <v>180</v>
      </c>
      <c r="K200" s="32" t="s">
        <v>156</v>
      </c>
      <c r="L200" s="32" t="s">
        <v>218</v>
      </c>
      <c r="M200" s="32" t="s">
        <v>179</v>
      </c>
      <c r="N200" s="32">
        <v>2742</v>
      </c>
      <c r="O200" s="32">
        <v>415385.58</v>
      </c>
      <c r="P200" s="32" t="s">
        <v>179</v>
      </c>
      <c r="Q200" s="32">
        <v>0</v>
      </c>
      <c r="R200" s="32">
        <v>9</v>
      </c>
      <c r="S200" s="32">
        <v>37384.699999999997</v>
      </c>
      <c r="T200" s="32">
        <v>9</v>
      </c>
      <c r="U200" s="32">
        <v>37384.699999999997</v>
      </c>
      <c r="V200" s="32">
        <v>0</v>
      </c>
      <c r="W200" s="32">
        <v>0</v>
      </c>
      <c r="X200" s="32">
        <v>0</v>
      </c>
      <c r="Y200" s="32">
        <v>74769.399999999994</v>
      </c>
      <c r="Z200" s="32">
        <v>0</v>
      </c>
      <c r="AA200" s="32" t="s">
        <v>177</v>
      </c>
      <c r="AB200" s="32" t="s">
        <v>168</v>
      </c>
      <c r="AC200" s="32">
        <v>63053300</v>
      </c>
      <c r="AD200" s="32" t="s">
        <v>208</v>
      </c>
      <c r="AE200" s="32">
        <v>1</v>
      </c>
      <c r="AF200" s="32">
        <v>2742</v>
      </c>
      <c r="AG200" s="32" t="s">
        <v>209</v>
      </c>
    </row>
    <row r="201" spans="2:33" x14ac:dyDescent="0.25">
      <c r="B201" s="31">
        <v>46222</v>
      </c>
      <c r="C201" s="32" t="s">
        <v>654</v>
      </c>
      <c r="D201" s="32" t="s">
        <v>655</v>
      </c>
      <c r="E201" s="32" t="s">
        <v>868</v>
      </c>
      <c r="F201" s="32" t="s">
        <v>657</v>
      </c>
      <c r="G201" s="32" t="s">
        <v>869</v>
      </c>
      <c r="H201" s="31">
        <v>46222</v>
      </c>
      <c r="I201" s="32" t="s">
        <v>169</v>
      </c>
      <c r="J201" s="32" t="s">
        <v>182</v>
      </c>
      <c r="K201" s="32" t="s">
        <v>154</v>
      </c>
      <c r="L201" s="32" t="s">
        <v>154</v>
      </c>
      <c r="M201" s="32" t="s">
        <v>182</v>
      </c>
      <c r="N201" s="32">
        <v>471.6</v>
      </c>
      <c r="O201" s="32">
        <v>69084.683999999994</v>
      </c>
      <c r="P201" s="32" t="s">
        <v>182</v>
      </c>
      <c r="Q201" s="32">
        <v>0</v>
      </c>
      <c r="R201" s="32">
        <v>9</v>
      </c>
      <c r="S201" s="32">
        <v>6217.62</v>
      </c>
      <c r="T201" s="32">
        <v>9</v>
      </c>
      <c r="U201" s="32">
        <v>6217.62</v>
      </c>
      <c r="V201" s="32">
        <v>0</v>
      </c>
      <c r="W201" s="32">
        <v>0</v>
      </c>
      <c r="X201" s="32">
        <v>0</v>
      </c>
      <c r="Y201" s="32">
        <v>12435.24</v>
      </c>
      <c r="Z201" s="32">
        <v>0</v>
      </c>
      <c r="AA201" s="32" t="s">
        <v>177</v>
      </c>
      <c r="AB201" s="32" t="s">
        <v>168</v>
      </c>
      <c r="AC201" s="32">
        <v>3926908</v>
      </c>
      <c r="AD201" s="32" t="s">
        <v>208</v>
      </c>
      <c r="AE201" s="32">
        <v>1</v>
      </c>
      <c r="AF201" s="32">
        <v>471.6</v>
      </c>
      <c r="AG201" s="32" t="s">
        <v>209</v>
      </c>
    </row>
    <row r="202" spans="2:33" x14ac:dyDescent="0.25">
      <c r="B202" s="31">
        <v>46222</v>
      </c>
      <c r="C202" s="32" t="s">
        <v>654</v>
      </c>
      <c r="D202" s="32" t="s">
        <v>655</v>
      </c>
      <c r="E202" s="32" t="s">
        <v>868</v>
      </c>
      <c r="F202" s="32" t="s">
        <v>657</v>
      </c>
      <c r="G202" s="32" t="s">
        <v>869</v>
      </c>
      <c r="H202" s="31">
        <v>46222</v>
      </c>
      <c r="I202" s="32" t="s">
        <v>169</v>
      </c>
      <c r="J202" s="32" t="s">
        <v>182</v>
      </c>
      <c r="K202" s="32" t="s">
        <v>154</v>
      </c>
      <c r="L202" s="32" t="s">
        <v>154</v>
      </c>
      <c r="M202" s="32" t="s">
        <v>182</v>
      </c>
      <c r="N202" s="32">
        <v>623.70000000000005</v>
      </c>
      <c r="O202" s="32">
        <v>93236.913</v>
      </c>
      <c r="P202" s="32" t="s">
        <v>182</v>
      </c>
      <c r="Q202" s="32">
        <v>0</v>
      </c>
      <c r="R202" s="32">
        <v>9</v>
      </c>
      <c r="S202" s="32">
        <v>8391.32</v>
      </c>
      <c r="T202" s="32">
        <v>9</v>
      </c>
      <c r="U202" s="32">
        <v>8391.32</v>
      </c>
      <c r="V202" s="32">
        <v>0</v>
      </c>
      <c r="W202" s="32">
        <v>0</v>
      </c>
      <c r="X202" s="32">
        <v>0</v>
      </c>
      <c r="Y202" s="32">
        <v>16782.64</v>
      </c>
      <c r="Z202" s="32">
        <v>0</v>
      </c>
      <c r="AA202" s="32" t="s">
        <v>177</v>
      </c>
      <c r="AB202" s="32" t="s">
        <v>168</v>
      </c>
      <c r="AC202" s="32">
        <v>3926908</v>
      </c>
      <c r="AD202" s="32" t="s">
        <v>208</v>
      </c>
      <c r="AE202" s="32">
        <v>1</v>
      </c>
      <c r="AF202" s="32">
        <v>623.70000000000005</v>
      </c>
      <c r="AG202" s="32" t="s">
        <v>209</v>
      </c>
    </row>
    <row r="203" spans="2:33" x14ac:dyDescent="0.25">
      <c r="B203" s="31">
        <v>46222</v>
      </c>
      <c r="C203" s="32" t="s">
        <v>654</v>
      </c>
      <c r="D203" s="32" t="s">
        <v>655</v>
      </c>
      <c r="E203" s="32" t="s">
        <v>868</v>
      </c>
      <c r="F203" s="32" t="s">
        <v>657</v>
      </c>
      <c r="G203" s="32" t="s">
        <v>869</v>
      </c>
      <c r="H203" s="31">
        <v>46222</v>
      </c>
      <c r="I203" s="32" t="s">
        <v>169</v>
      </c>
      <c r="J203" s="32" t="s">
        <v>170</v>
      </c>
      <c r="K203" s="32" t="s">
        <v>157</v>
      </c>
      <c r="L203" s="32" t="s">
        <v>233</v>
      </c>
      <c r="M203" s="32" t="s">
        <v>684</v>
      </c>
      <c r="N203" s="32">
        <v>925.7</v>
      </c>
      <c r="O203" s="32">
        <v>144862.79300000001</v>
      </c>
      <c r="P203" s="32" t="s">
        <v>684</v>
      </c>
      <c r="Q203" s="32">
        <v>0</v>
      </c>
      <c r="R203" s="32">
        <v>2.5</v>
      </c>
      <c r="S203" s="32">
        <v>3621.57</v>
      </c>
      <c r="T203" s="32">
        <v>2.5</v>
      </c>
      <c r="U203" s="32">
        <v>3621.57</v>
      </c>
      <c r="V203" s="32">
        <v>0</v>
      </c>
      <c r="W203" s="32">
        <v>0</v>
      </c>
      <c r="X203" s="32">
        <v>0</v>
      </c>
      <c r="Y203" s="32">
        <v>7243.14</v>
      </c>
      <c r="Z203" s="32">
        <v>0</v>
      </c>
      <c r="AA203" s="32" t="s">
        <v>177</v>
      </c>
      <c r="AB203" s="32" t="s">
        <v>188</v>
      </c>
      <c r="AC203" s="32">
        <v>54026930</v>
      </c>
      <c r="AD203" s="32" t="s">
        <v>208</v>
      </c>
      <c r="AE203" s="32">
        <v>1</v>
      </c>
      <c r="AF203" s="32">
        <v>925.7</v>
      </c>
      <c r="AG203" s="32" t="s">
        <v>209</v>
      </c>
    </row>
    <row r="204" spans="2:33" x14ac:dyDescent="0.25">
      <c r="B204" s="31">
        <v>46222</v>
      </c>
      <c r="C204" s="32" t="s">
        <v>659</v>
      </c>
      <c r="D204" s="32" t="s">
        <v>655</v>
      </c>
      <c r="E204" s="32" t="s">
        <v>870</v>
      </c>
      <c r="F204" s="32" t="s">
        <v>657</v>
      </c>
      <c r="G204" s="32" t="s">
        <v>871</v>
      </c>
      <c r="H204" s="31">
        <v>46221</v>
      </c>
      <c r="I204" s="32" t="s">
        <v>169</v>
      </c>
      <c r="J204" s="32" t="s">
        <v>182</v>
      </c>
      <c r="K204" s="32" t="s">
        <v>154</v>
      </c>
      <c r="L204" s="32" t="s">
        <v>154</v>
      </c>
      <c r="M204" s="32" t="s">
        <v>182</v>
      </c>
      <c r="N204" s="32">
        <v>1632.7</v>
      </c>
      <c r="O204" s="32">
        <v>182209.32</v>
      </c>
      <c r="P204" s="32" t="s">
        <v>182</v>
      </c>
      <c r="Q204" s="32">
        <v>342800.16</v>
      </c>
      <c r="R204" s="32">
        <v>9</v>
      </c>
      <c r="S204" s="32">
        <v>16398.84</v>
      </c>
      <c r="T204" s="32">
        <v>9</v>
      </c>
      <c r="U204" s="32">
        <v>16398.84</v>
      </c>
      <c r="V204" s="32">
        <v>0</v>
      </c>
      <c r="W204" s="32">
        <v>0</v>
      </c>
      <c r="X204" s="32">
        <v>0</v>
      </c>
      <c r="Y204" s="32">
        <v>32797.68</v>
      </c>
      <c r="Z204" s="32">
        <v>0</v>
      </c>
      <c r="AA204" s="32" t="s">
        <v>177</v>
      </c>
      <c r="AB204" s="32" t="s">
        <v>168</v>
      </c>
      <c r="AC204" s="32">
        <v>3926908</v>
      </c>
      <c r="AD204" s="32" t="s">
        <v>208</v>
      </c>
      <c r="AE204" s="32">
        <v>1</v>
      </c>
      <c r="AF204" s="32">
        <v>1632.7</v>
      </c>
      <c r="AG204" s="32" t="s">
        <v>209</v>
      </c>
    </row>
    <row r="205" spans="2:33" x14ac:dyDescent="0.25">
      <c r="B205" s="31">
        <v>46222</v>
      </c>
      <c r="C205" s="32" t="s">
        <v>659</v>
      </c>
      <c r="D205" s="32" t="s">
        <v>655</v>
      </c>
      <c r="E205" s="32" t="s">
        <v>870</v>
      </c>
      <c r="F205" s="32" t="s">
        <v>657</v>
      </c>
      <c r="G205" s="32" t="s">
        <v>871</v>
      </c>
      <c r="H205" s="31">
        <v>46221</v>
      </c>
      <c r="I205" s="32" t="s">
        <v>169</v>
      </c>
      <c r="J205" s="32" t="s">
        <v>182</v>
      </c>
      <c r="K205" s="32" t="s">
        <v>154</v>
      </c>
      <c r="L205" s="32" t="s">
        <v>154</v>
      </c>
      <c r="M205" s="32" t="s">
        <v>182</v>
      </c>
      <c r="N205" s="32">
        <v>999.5</v>
      </c>
      <c r="O205" s="32">
        <v>108545.7</v>
      </c>
      <c r="P205" s="32" t="s">
        <v>182</v>
      </c>
      <c r="Q205" s="32">
        <v>0</v>
      </c>
      <c r="R205" s="32">
        <v>9</v>
      </c>
      <c r="S205" s="32">
        <v>9769.11</v>
      </c>
      <c r="T205" s="32">
        <v>9</v>
      </c>
      <c r="U205" s="32">
        <v>9769.11</v>
      </c>
      <c r="V205" s="32">
        <v>0</v>
      </c>
      <c r="W205" s="32">
        <v>0</v>
      </c>
      <c r="X205" s="32">
        <v>0</v>
      </c>
      <c r="Y205" s="32">
        <v>19538.22</v>
      </c>
      <c r="Z205" s="32">
        <v>0</v>
      </c>
      <c r="AA205" s="32" t="s">
        <v>177</v>
      </c>
      <c r="AB205" s="32" t="s">
        <v>168</v>
      </c>
      <c r="AC205" s="32">
        <v>3926908</v>
      </c>
      <c r="AD205" s="32" t="s">
        <v>208</v>
      </c>
      <c r="AE205" s="32">
        <v>1</v>
      </c>
      <c r="AF205" s="32">
        <v>999.5</v>
      </c>
      <c r="AG205" s="32" t="s">
        <v>209</v>
      </c>
    </row>
    <row r="206" spans="2:33" x14ac:dyDescent="0.25">
      <c r="B206" s="31">
        <v>46223</v>
      </c>
      <c r="C206" s="32" t="s">
        <v>670</v>
      </c>
      <c r="D206" s="32" t="s">
        <v>655</v>
      </c>
      <c r="E206" s="32" t="s">
        <v>872</v>
      </c>
      <c r="F206" s="32" t="s">
        <v>657</v>
      </c>
      <c r="G206" s="32" t="s">
        <v>873</v>
      </c>
      <c r="H206" s="31">
        <v>46223</v>
      </c>
      <c r="I206" s="32" t="s">
        <v>204</v>
      </c>
      <c r="J206" s="32" t="s">
        <v>160</v>
      </c>
      <c r="K206" s="32" t="s">
        <v>165</v>
      </c>
      <c r="L206" s="32" t="s">
        <v>165</v>
      </c>
      <c r="M206" s="32" t="s">
        <v>203</v>
      </c>
      <c r="N206" s="32">
        <v>170</v>
      </c>
      <c r="O206" s="32">
        <v>47940</v>
      </c>
      <c r="P206" s="32" t="s">
        <v>203</v>
      </c>
      <c r="Q206" s="32">
        <v>56521.26</v>
      </c>
      <c r="R206" s="32">
        <v>9</v>
      </c>
      <c r="S206" s="32">
        <v>4314.6000000000004</v>
      </c>
      <c r="T206" s="32">
        <v>9</v>
      </c>
      <c r="U206" s="32">
        <v>4314.6000000000004</v>
      </c>
      <c r="V206" s="32">
        <v>0</v>
      </c>
      <c r="W206" s="32">
        <v>0</v>
      </c>
      <c r="X206" s="32">
        <v>0</v>
      </c>
      <c r="Y206" s="32">
        <v>8629.2000000000007</v>
      </c>
      <c r="Z206" s="32">
        <v>0</v>
      </c>
      <c r="AA206" s="32" t="s">
        <v>189</v>
      </c>
      <c r="AB206" s="32" t="s">
        <v>168</v>
      </c>
      <c r="AC206" s="32">
        <v>38140010</v>
      </c>
      <c r="AD206" s="32" t="s">
        <v>208</v>
      </c>
      <c r="AE206" s="32">
        <v>1</v>
      </c>
      <c r="AF206" s="32">
        <v>170</v>
      </c>
      <c r="AG206" s="32" t="s">
        <v>209</v>
      </c>
    </row>
    <row r="207" spans="2:33" x14ac:dyDescent="0.25">
      <c r="B207" s="31">
        <v>46223</v>
      </c>
      <c r="C207" s="32" t="s">
        <v>676</v>
      </c>
      <c r="D207" s="32" t="s">
        <v>655</v>
      </c>
      <c r="E207" s="32" t="s">
        <v>874</v>
      </c>
      <c r="F207" s="32" t="s">
        <v>657</v>
      </c>
      <c r="G207" s="32" t="s">
        <v>875</v>
      </c>
      <c r="H207" s="31">
        <v>46222</v>
      </c>
      <c r="I207" s="32" t="s">
        <v>192</v>
      </c>
      <c r="J207" s="32" t="s">
        <v>152</v>
      </c>
      <c r="K207" s="32" t="s">
        <v>152</v>
      </c>
      <c r="L207" s="32" t="s">
        <v>207</v>
      </c>
      <c r="M207" s="32" t="s">
        <v>195</v>
      </c>
      <c r="N207" s="32">
        <v>1262</v>
      </c>
      <c r="O207" s="32">
        <v>316143.62</v>
      </c>
      <c r="P207" s="32" t="s">
        <v>195</v>
      </c>
      <c r="Q207" s="32">
        <v>372733.34</v>
      </c>
      <c r="R207" s="32">
        <v>9</v>
      </c>
      <c r="S207" s="32">
        <v>28452.93</v>
      </c>
      <c r="T207" s="32">
        <v>9</v>
      </c>
      <c r="U207" s="32">
        <v>28452.93</v>
      </c>
      <c r="V207" s="32">
        <v>0</v>
      </c>
      <c r="W207" s="32">
        <v>0</v>
      </c>
      <c r="X207" s="32">
        <v>0</v>
      </c>
      <c r="Y207" s="32">
        <v>56905.86</v>
      </c>
      <c r="Z207" s="32">
        <v>0</v>
      </c>
      <c r="AA207" s="32" t="s">
        <v>172</v>
      </c>
      <c r="AB207" s="32" t="s">
        <v>168</v>
      </c>
      <c r="AC207" s="32">
        <v>63053200</v>
      </c>
      <c r="AD207" s="32" t="s">
        <v>208</v>
      </c>
      <c r="AE207" s="32">
        <v>1</v>
      </c>
      <c r="AF207" s="32">
        <v>1262</v>
      </c>
      <c r="AG207" s="32" t="s">
        <v>209</v>
      </c>
    </row>
    <row r="208" spans="2:33" x14ac:dyDescent="0.25">
      <c r="B208" s="31">
        <v>46223</v>
      </c>
      <c r="C208" s="32" t="s">
        <v>654</v>
      </c>
      <c r="D208" s="32" t="s">
        <v>655</v>
      </c>
      <c r="E208" s="32" t="s">
        <v>876</v>
      </c>
      <c r="F208" s="32" t="s">
        <v>657</v>
      </c>
      <c r="G208" s="32" t="s">
        <v>877</v>
      </c>
      <c r="H208" s="31">
        <v>46223</v>
      </c>
      <c r="I208" s="32" t="s">
        <v>169</v>
      </c>
      <c r="J208" s="32" t="s">
        <v>779</v>
      </c>
      <c r="K208" s="32" t="s">
        <v>779</v>
      </c>
      <c r="L208" s="32" t="s">
        <v>780</v>
      </c>
      <c r="M208" s="32" t="s">
        <v>779</v>
      </c>
      <c r="N208" s="32">
        <v>5075</v>
      </c>
      <c r="O208" s="32">
        <v>532875</v>
      </c>
      <c r="P208" s="32" t="s">
        <v>779</v>
      </c>
      <c r="Q208" s="32">
        <v>628259.63</v>
      </c>
      <c r="R208" s="32">
        <v>9</v>
      </c>
      <c r="S208" s="32">
        <v>47958.75</v>
      </c>
      <c r="T208" s="32">
        <v>9</v>
      </c>
      <c r="U208" s="32">
        <v>47958.75</v>
      </c>
      <c r="V208" s="32">
        <v>0</v>
      </c>
      <c r="W208" s="32">
        <v>0</v>
      </c>
      <c r="X208" s="32">
        <v>0</v>
      </c>
      <c r="Y208" s="32">
        <v>95917.5</v>
      </c>
      <c r="Z208" s="32">
        <v>0</v>
      </c>
      <c r="AA208" s="32" t="s">
        <v>177</v>
      </c>
      <c r="AB208" s="32" t="s">
        <v>168</v>
      </c>
      <c r="AC208" s="32">
        <v>39021000</v>
      </c>
      <c r="AD208" s="32" t="s">
        <v>208</v>
      </c>
      <c r="AE208" s="32">
        <v>1</v>
      </c>
      <c r="AF208" s="32">
        <v>5075</v>
      </c>
      <c r="AG208" s="32" t="s">
        <v>209</v>
      </c>
    </row>
    <row r="209" spans="2:33" x14ac:dyDescent="0.25">
      <c r="B209" s="31">
        <v>46223</v>
      </c>
      <c r="C209" s="32" t="s">
        <v>654</v>
      </c>
      <c r="D209" s="32" t="s">
        <v>655</v>
      </c>
      <c r="E209" s="32" t="s">
        <v>878</v>
      </c>
      <c r="F209" s="32" t="s">
        <v>657</v>
      </c>
      <c r="G209" s="32" t="s">
        <v>879</v>
      </c>
      <c r="H209" s="31">
        <v>46223</v>
      </c>
      <c r="I209" s="32" t="s">
        <v>169</v>
      </c>
      <c r="J209" s="32" t="s">
        <v>180</v>
      </c>
      <c r="K209" s="32" t="s">
        <v>156</v>
      </c>
      <c r="L209" s="32" t="s">
        <v>218</v>
      </c>
      <c r="M209" s="32" t="s">
        <v>179</v>
      </c>
      <c r="N209" s="32">
        <v>292</v>
      </c>
      <c r="O209" s="32">
        <v>44235.08</v>
      </c>
      <c r="P209" s="32" t="s">
        <v>179</v>
      </c>
      <c r="Q209" s="32">
        <v>52153.16</v>
      </c>
      <c r="R209" s="32">
        <v>9</v>
      </c>
      <c r="S209" s="32">
        <v>3981.16</v>
      </c>
      <c r="T209" s="32">
        <v>9</v>
      </c>
      <c r="U209" s="32">
        <v>3981.16</v>
      </c>
      <c r="V209" s="32">
        <v>0</v>
      </c>
      <c r="W209" s="32">
        <v>0</v>
      </c>
      <c r="X209" s="32">
        <v>0</v>
      </c>
      <c r="Y209" s="32">
        <v>7962.32</v>
      </c>
      <c r="Z209" s="32">
        <v>0</v>
      </c>
      <c r="AA209" s="32" t="s">
        <v>177</v>
      </c>
      <c r="AB209" s="32" t="s">
        <v>168</v>
      </c>
      <c r="AC209" s="32">
        <v>63053300</v>
      </c>
      <c r="AD209" s="32" t="s">
        <v>208</v>
      </c>
      <c r="AE209" s="32">
        <v>1</v>
      </c>
      <c r="AF209" s="32">
        <v>292</v>
      </c>
      <c r="AG209" s="32" t="s">
        <v>209</v>
      </c>
    </row>
    <row r="210" spans="2:33" x14ac:dyDescent="0.25">
      <c r="B210" s="31">
        <v>46223</v>
      </c>
      <c r="C210" s="32" t="s">
        <v>654</v>
      </c>
      <c r="D210" s="32" t="s">
        <v>655</v>
      </c>
      <c r="E210" s="32" t="s">
        <v>880</v>
      </c>
      <c r="F210" s="32" t="s">
        <v>657</v>
      </c>
      <c r="G210" s="32" t="s">
        <v>881</v>
      </c>
      <c r="H210" s="31">
        <v>46223</v>
      </c>
      <c r="I210" s="32" t="s">
        <v>169</v>
      </c>
      <c r="J210" s="32" t="s">
        <v>180</v>
      </c>
      <c r="K210" s="32" t="s">
        <v>156</v>
      </c>
      <c r="L210" s="32" t="s">
        <v>218</v>
      </c>
      <c r="M210" s="32" t="s">
        <v>179</v>
      </c>
      <c r="N210" s="32">
        <v>507</v>
      </c>
      <c r="O210" s="32">
        <v>75284.429999999993</v>
      </c>
      <c r="P210" s="32" t="s">
        <v>179</v>
      </c>
      <c r="Q210" s="32">
        <v>428399.55</v>
      </c>
      <c r="R210" s="32">
        <v>9</v>
      </c>
      <c r="S210" s="32">
        <v>6775.6</v>
      </c>
      <c r="T210" s="32">
        <v>9</v>
      </c>
      <c r="U210" s="32">
        <v>6775.6</v>
      </c>
      <c r="V210" s="32">
        <v>0</v>
      </c>
      <c r="W210" s="32">
        <v>0</v>
      </c>
      <c r="X210" s="32">
        <v>0</v>
      </c>
      <c r="Y210" s="32">
        <v>13551.2</v>
      </c>
      <c r="Z210" s="32">
        <v>0</v>
      </c>
      <c r="AA210" s="32" t="s">
        <v>177</v>
      </c>
      <c r="AB210" s="32" t="s">
        <v>168</v>
      </c>
      <c r="AC210" s="32">
        <v>63053300</v>
      </c>
      <c r="AD210" s="32" t="s">
        <v>208</v>
      </c>
      <c r="AE210" s="32">
        <v>1</v>
      </c>
      <c r="AF210" s="32">
        <v>507</v>
      </c>
      <c r="AG210" s="32" t="s">
        <v>209</v>
      </c>
    </row>
    <row r="211" spans="2:33" x14ac:dyDescent="0.25">
      <c r="B211" s="31">
        <v>46223</v>
      </c>
      <c r="C211" s="32" t="s">
        <v>654</v>
      </c>
      <c r="D211" s="32" t="s">
        <v>655</v>
      </c>
      <c r="E211" s="32" t="s">
        <v>880</v>
      </c>
      <c r="F211" s="32" t="s">
        <v>657</v>
      </c>
      <c r="G211" s="32" t="s">
        <v>881</v>
      </c>
      <c r="H211" s="31">
        <v>46223</v>
      </c>
      <c r="I211" s="32" t="s">
        <v>169</v>
      </c>
      <c r="J211" s="32" t="s">
        <v>180</v>
      </c>
      <c r="K211" s="32" t="s">
        <v>156</v>
      </c>
      <c r="L211" s="32" t="s">
        <v>218</v>
      </c>
      <c r="M211" s="32" t="s">
        <v>179</v>
      </c>
      <c r="N211" s="32">
        <v>375</v>
      </c>
      <c r="O211" s="32">
        <v>56808.75</v>
      </c>
      <c r="P211" s="32" t="s">
        <v>179</v>
      </c>
      <c r="Q211" s="32">
        <v>0</v>
      </c>
      <c r="R211" s="32">
        <v>9</v>
      </c>
      <c r="S211" s="32">
        <v>5112.79</v>
      </c>
      <c r="T211" s="32">
        <v>9</v>
      </c>
      <c r="U211" s="32">
        <v>5112.79</v>
      </c>
      <c r="V211" s="32">
        <v>0</v>
      </c>
      <c r="W211" s="32">
        <v>0</v>
      </c>
      <c r="X211" s="32">
        <v>0</v>
      </c>
      <c r="Y211" s="32">
        <v>10225.58</v>
      </c>
      <c r="Z211" s="32">
        <v>0</v>
      </c>
      <c r="AA211" s="32" t="s">
        <v>177</v>
      </c>
      <c r="AB211" s="32" t="s">
        <v>168</v>
      </c>
      <c r="AC211" s="32">
        <v>63053300</v>
      </c>
      <c r="AD211" s="32" t="s">
        <v>208</v>
      </c>
      <c r="AE211" s="32">
        <v>1</v>
      </c>
      <c r="AF211" s="32">
        <v>375</v>
      </c>
      <c r="AG211" s="32" t="s">
        <v>209</v>
      </c>
    </row>
    <row r="212" spans="2:33" x14ac:dyDescent="0.25">
      <c r="B212" s="31">
        <v>46223</v>
      </c>
      <c r="C212" s="32" t="s">
        <v>654</v>
      </c>
      <c r="D212" s="32" t="s">
        <v>655</v>
      </c>
      <c r="E212" s="32" t="s">
        <v>880</v>
      </c>
      <c r="F212" s="32" t="s">
        <v>657</v>
      </c>
      <c r="G212" s="32" t="s">
        <v>881</v>
      </c>
      <c r="H212" s="31">
        <v>46223</v>
      </c>
      <c r="I212" s="32" t="s">
        <v>169</v>
      </c>
      <c r="J212" s="32" t="s">
        <v>182</v>
      </c>
      <c r="K212" s="32" t="s">
        <v>154</v>
      </c>
      <c r="L212" s="32" t="s">
        <v>154</v>
      </c>
      <c r="M212" s="32" t="s">
        <v>182</v>
      </c>
      <c r="N212" s="32">
        <v>850.7</v>
      </c>
      <c r="O212" s="32">
        <v>124619.04300000001</v>
      </c>
      <c r="P212" s="32" t="s">
        <v>182</v>
      </c>
      <c r="Q212" s="32">
        <v>0</v>
      </c>
      <c r="R212" s="32">
        <v>9</v>
      </c>
      <c r="S212" s="32">
        <v>11215.71</v>
      </c>
      <c r="T212" s="32">
        <v>9</v>
      </c>
      <c r="U212" s="32">
        <v>11215.71</v>
      </c>
      <c r="V212" s="32">
        <v>0</v>
      </c>
      <c r="W212" s="32">
        <v>0</v>
      </c>
      <c r="X212" s="32">
        <v>0</v>
      </c>
      <c r="Y212" s="32">
        <v>22431.42</v>
      </c>
      <c r="Z212" s="32">
        <v>0</v>
      </c>
      <c r="AA212" s="32" t="s">
        <v>177</v>
      </c>
      <c r="AB212" s="32" t="s">
        <v>168</v>
      </c>
      <c r="AC212" s="32">
        <v>3926908</v>
      </c>
      <c r="AD212" s="32" t="s">
        <v>208</v>
      </c>
      <c r="AE212" s="32">
        <v>1</v>
      </c>
      <c r="AF212" s="32">
        <v>850.7</v>
      </c>
      <c r="AG212" s="32" t="s">
        <v>209</v>
      </c>
    </row>
    <row r="213" spans="2:33" x14ac:dyDescent="0.25">
      <c r="B213" s="31">
        <v>46223</v>
      </c>
      <c r="C213" s="32" t="s">
        <v>654</v>
      </c>
      <c r="D213" s="32" t="s">
        <v>655</v>
      </c>
      <c r="E213" s="32" t="s">
        <v>880</v>
      </c>
      <c r="F213" s="32" t="s">
        <v>657</v>
      </c>
      <c r="G213" s="32" t="s">
        <v>881</v>
      </c>
      <c r="H213" s="31">
        <v>46223</v>
      </c>
      <c r="I213" s="32" t="s">
        <v>169</v>
      </c>
      <c r="J213" s="32" t="s">
        <v>182</v>
      </c>
      <c r="K213" s="32" t="s">
        <v>154</v>
      </c>
      <c r="L213" s="32" t="s">
        <v>154</v>
      </c>
      <c r="M213" s="32" t="s">
        <v>182</v>
      </c>
      <c r="N213" s="32">
        <v>713.4</v>
      </c>
      <c r="O213" s="32">
        <v>106646.166</v>
      </c>
      <c r="P213" s="32" t="s">
        <v>182</v>
      </c>
      <c r="Q213" s="32">
        <v>0</v>
      </c>
      <c r="R213" s="32">
        <v>9</v>
      </c>
      <c r="S213" s="32">
        <v>9598.15</v>
      </c>
      <c r="T213" s="32">
        <v>9</v>
      </c>
      <c r="U213" s="32">
        <v>9598.15</v>
      </c>
      <c r="V213" s="32">
        <v>0</v>
      </c>
      <c r="W213" s="32">
        <v>0</v>
      </c>
      <c r="X213" s="32">
        <v>0</v>
      </c>
      <c r="Y213" s="32">
        <v>19196.3</v>
      </c>
      <c r="Z213" s="32">
        <v>0</v>
      </c>
      <c r="AA213" s="32" t="s">
        <v>177</v>
      </c>
      <c r="AB213" s="32" t="s">
        <v>168</v>
      </c>
      <c r="AC213" s="32">
        <v>3926908</v>
      </c>
      <c r="AD213" s="32" t="s">
        <v>208</v>
      </c>
      <c r="AE213" s="32">
        <v>1</v>
      </c>
      <c r="AF213" s="32">
        <v>713.4</v>
      </c>
      <c r="AG213" s="32" t="s">
        <v>209</v>
      </c>
    </row>
    <row r="214" spans="2:33" x14ac:dyDescent="0.25">
      <c r="B214" s="31">
        <v>46224</v>
      </c>
      <c r="C214" s="32" t="s">
        <v>665</v>
      </c>
      <c r="D214" s="32" t="s">
        <v>655</v>
      </c>
      <c r="E214" s="32" t="s">
        <v>882</v>
      </c>
      <c r="F214" s="32" t="s">
        <v>657</v>
      </c>
      <c r="G214" s="32" t="s">
        <v>883</v>
      </c>
      <c r="H214" s="31">
        <v>46223</v>
      </c>
      <c r="I214" s="32" t="s">
        <v>169</v>
      </c>
      <c r="J214" s="32" t="s">
        <v>180</v>
      </c>
      <c r="K214" s="32" t="s">
        <v>155</v>
      </c>
      <c r="L214" s="32" t="s">
        <v>210</v>
      </c>
      <c r="M214" s="32" t="s">
        <v>187</v>
      </c>
      <c r="N214" s="32">
        <v>3690</v>
      </c>
      <c r="O214" s="32">
        <v>577448.1</v>
      </c>
      <c r="P214" s="32" t="s">
        <v>187</v>
      </c>
      <c r="Q214" s="32">
        <v>680811.31</v>
      </c>
      <c r="R214" s="32">
        <v>9</v>
      </c>
      <c r="S214" s="32">
        <v>51970.33</v>
      </c>
      <c r="T214" s="32">
        <v>9</v>
      </c>
      <c r="U214" s="32">
        <v>51970.33</v>
      </c>
      <c r="V214" s="32">
        <v>0</v>
      </c>
      <c r="W214" s="32">
        <v>0</v>
      </c>
      <c r="X214" s="32">
        <v>0</v>
      </c>
      <c r="Y214" s="32">
        <v>103940.66</v>
      </c>
      <c r="Z214" s="32">
        <v>0</v>
      </c>
      <c r="AA214" s="32" t="s">
        <v>189</v>
      </c>
      <c r="AB214" s="32" t="s">
        <v>168</v>
      </c>
      <c r="AC214" s="32">
        <v>39269080</v>
      </c>
      <c r="AD214" s="32" t="s">
        <v>208</v>
      </c>
      <c r="AE214" s="32">
        <v>1</v>
      </c>
      <c r="AF214" s="32">
        <v>3690</v>
      </c>
      <c r="AG214" s="32" t="s">
        <v>209</v>
      </c>
    </row>
    <row r="215" spans="2:33" x14ac:dyDescent="0.25">
      <c r="B215" s="31">
        <v>46224</v>
      </c>
      <c r="C215" s="32" t="s">
        <v>654</v>
      </c>
      <c r="D215" s="32" t="s">
        <v>655</v>
      </c>
      <c r="E215" s="32" t="s">
        <v>884</v>
      </c>
      <c r="F215" s="32" t="s">
        <v>657</v>
      </c>
      <c r="G215" s="32" t="s">
        <v>885</v>
      </c>
      <c r="H215" s="31">
        <v>46224</v>
      </c>
      <c r="I215" s="32" t="s">
        <v>169</v>
      </c>
      <c r="J215" s="32" t="s">
        <v>182</v>
      </c>
      <c r="K215" s="32" t="s">
        <v>154</v>
      </c>
      <c r="L215" s="32" t="s">
        <v>154</v>
      </c>
      <c r="M215" s="32" t="s">
        <v>182</v>
      </c>
      <c r="N215" s="32">
        <v>519.5</v>
      </c>
      <c r="O215" s="32">
        <v>76101.554999999993</v>
      </c>
      <c r="P215" s="32" t="s">
        <v>182</v>
      </c>
      <c r="Q215" s="32">
        <v>284778.74</v>
      </c>
      <c r="R215" s="32">
        <v>9</v>
      </c>
      <c r="S215" s="32">
        <v>6849.14</v>
      </c>
      <c r="T215" s="32">
        <v>9</v>
      </c>
      <c r="U215" s="32">
        <v>6849.14</v>
      </c>
      <c r="V215" s="32">
        <v>0</v>
      </c>
      <c r="W215" s="32">
        <v>0</v>
      </c>
      <c r="X215" s="32">
        <v>0</v>
      </c>
      <c r="Y215" s="32">
        <v>13698.28</v>
      </c>
      <c r="Z215" s="32">
        <v>0</v>
      </c>
      <c r="AA215" s="32" t="s">
        <v>177</v>
      </c>
      <c r="AB215" s="32" t="s">
        <v>168</v>
      </c>
      <c r="AC215" s="32">
        <v>3926908</v>
      </c>
      <c r="AD215" s="32" t="s">
        <v>208</v>
      </c>
      <c r="AE215" s="32">
        <v>1</v>
      </c>
      <c r="AF215" s="32">
        <v>519.5</v>
      </c>
      <c r="AG215" s="32" t="s">
        <v>209</v>
      </c>
    </row>
    <row r="216" spans="2:33" x14ac:dyDescent="0.25">
      <c r="B216" s="31">
        <v>46224</v>
      </c>
      <c r="C216" s="32" t="s">
        <v>654</v>
      </c>
      <c r="D216" s="32" t="s">
        <v>655</v>
      </c>
      <c r="E216" s="32" t="s">
        <v>884</v>
      </c>
      <c r="F216" s="32" t="s">
        <v>657</v>
      </c>
      <c r="G216" s="32" t="s">
        <v>885</v>
      </c>
      <c r="H216" s="31">
        <v>46224</v>
      </c>
      <c r="I216" s="32" t="s">
        <v>169</v>
      </c>
      <c r="J216" s="32" t="s">
        <v>180</v>
      </c>
      <c r="K216" s="32" t="s">
        <v>155</v>
      </c>
      <c r="L216" s="32" t="s">
        <v>210</v>
      </c>
      <c r="M216" s="32" t="s">
        <v>187</v>
      </c>
      <c r="N216" s="32">
        <v>1145</v>
      </c>
      <c r="O216" s="32">
        <v>165441.04999999999</v>
      </c>
      <c r="P216" s="32" t="s">
        <v>187</v>
      </c>
      <c r="Q216" s="32">
        <v>0</v>
      </c>
      <c r="R216" s="32">
        <v>9</v>
      </c>
      <c r="S216" s="32">
        <v>14889.69</v>
      </c>
      <c r="T216" s="32">
        <v>9</v>
      </c>
      <c r="U216" s="32">
        <v>14889.69</v>
      </c>
      <c r="V216" s="32">
        <v>0</v>
      </c>
      <c r="W216" s="32">
        <v>0</v>
      </c>
      <c r="X216" s="32">
        <v>0</v>
      </c>
      <c r="Y216" s="32">
        <v>29779.38</v>
      </c>
      <c r="Z216" s="32">
        <v>0</v>
      </c>
      <c r="AA216" s="32" t="s">
        <v>177</v>
      </c>
      <c r="AB216" s="32" t="s">
        <v>168</v>
      </c>
      <c r="AC216" s="32">
        <v>39269080</v>
      </c>
      <c r="AD216" s="32" t="s">
        <v>208</v>
      </c>
      <c r="AE216" s="32">
        <v>1</v>
      </c>
      <c r="AF216" s="32">
        <v>1145</v>
      </c>
      <c r="AG216" s="32" t="s">
        <v>209</v>
      </c>
    </row>
    <row r="217" spans="2:33" x14ac:dyDescent="0.25">
      <c r="B217" s="31">
        <v>46224</v>
      </c>
      <c r="C217" s="32" t="s">
        <v>654</v>
      </c>
      <c r="D217" s="32" t="s">
        <v>655</v>
      </c>
      <c r="E217" s="32" t="s">
        <v>886</v>
      </c>
      <c r="F217" s="32" t="s">
        <v>657</v>
      </c>
      <c r="G217" s="32" t="s">
        <v>887</v>
      </c>
      <c r="H217" s="31">
        <v>46224</v>
      </c>
      <c r="I217" s="32" t="s">
        <v>171</v>
      </c>
      <c r="J217" s="32" t="s">
        <v>185</v>
      </c>
      <c r="K217" s="32" t="s">
        <v>164</v>
      </c>
      <c r="L217" s="32" t="s">
        <v>270</v>
      </c>
      <c r="M217" s="32" t="s">
        <v>184</v>
      </c>
      <c r="N217" s="32">
        <v>6000</v>
      </c>
      <c r="O217" s="32">
        <v>234000</v>
      </c>
      <c r="P217" s="32" t="s">
        <v>184</v>
      </c>
      <c r="Q217" s="32">
        <v>275886</v>
      </c>
      <c r="R217" s="32">
        <v>9</v>
      </c>
      <c r="S217" s="32">
        <v>21060</v>
      </c>
      <c r="T217" s="32">
        <v>9</v>
      </c>
      <c r="U217" s="32">
        <v>21060</v>
      </c>
      <c r="V217" s="32">
        <v>0</v>
      </c>
      <c r="W217" s="32">
        <v>0</v>
      </c>
      <c r="X217" s="32">
        <v>0</v>
      </c>
      <c r="Y217" s="32">
        <v>42120</v>
      </c>
      <c r="Z217" s="32">
        <v>0</v>
      </c>
      <c r="AA217" s="32" t="s">
        <v>177</v>
      </c>
      <c r="AB217" s="32" t="s">
        <v>168</v>
      </c>
      <c r="AC217" s="32">
        <v>32041990</v>
      </c>
      <c r="AD217" s="32" t="s">
        <v>208</v>
      </c>
      <c r="AE217" s="32">
        <v>1</v>
      </c>
      <c r="AF217" s="32">
        <v>6000</v>
      </c>
      <c r="AG217" s="32" t="s">
        <v>209</v>
      </c>
    </row>
    <row r="218" spans="2:33" x14ac:dyDescent="0.25">
      <c r="B218" s="31">
        <v>46224</v>
      </c>
      <c r="C218" s="32" t="s">
        <v>654</v>
      </c>
      <c r="D218" s="32" t="s">
        <v>655</v>
      </c>
      <c r="E218" s="32" t="s">
        <v>888</v>
      </c>
      <c r="F218" s="32" t="s">
        <v>657</v>
      </c>
      <c r="G218" s="32" t="s">
        <v>889</v>
      </c>
      <c r="H218" s="31">
        <v>46224</v>
      </c>
      <c r="I218" s="32" t="s">
        <v>169</v>
      </c>
      <c r="J218" s="32" t="s">
        <v>180</v>
      </c>
      <c r="K218" s="32" t="s">
        <v>155</v>
      </c>
      <c r="L218" s="32" t="s">
        <v>210</v>
      </c>
      <c r="M218" s="32" t="s">
        <v>187</v>
      </c>
      <c r="N218" s="32">
        <v>5478</v>
      </c>
      <c r="O218" s="32">
        <v>818906.22</v>
      </c>
      <c r="P218" s="32" t="s">
        <v>187</v>
      </c>
      <c r="Q218" s="32">
        <v>1208385.1299999999</v>
      </c>
      <c r="R218" s="32">
        <v>9</v>
      </c>
      <c r="S218" s="32">
        <v>73701.56</v>
      </c>
      <c r="T218" s="32">
        <v>9</v>
      </c>
      <c r="U218" s="32">
        <v>73701.56</v>
      </c>
      <c r="V218" s="32">
        <v>0</v>
      </c>
      <c r="W218" s="32">
        <v>0</v>
      </c>
      <c r="X218" s="32">
        <v>0</v>
      </c>
      <c r="Y218" s="32">
        <v>147403.12</v>
      </c>
      <c r="Z218" s="32">
        <v>0</v>
      </c>
      <c r="AA218" s="32" t="s">
        <v>177</v>
      </c>
      <c r="AB218" s="32" t="s">
        <v>168</v>
      </c>
      <c r="AC218" s="32">
        <v>39269080</v>
      </c>
      <c r="AD218" s="32" t="s">
        <v>208</v>
      </c>
      <c r="AE218" s="32">
        <v>1</v>
      </c>
      <c r="AF218" s="32">
        <v>5478</v>
      </c>
      <c r="AG218" s="32" t="s">
        <v>209</v>
      </c>
    </row>
    <row r="219" spans="2:33" x14ac:dyDescent="0.25">
      <c r="B219" s="31">
        <v>46224</v>
      </c>
      <c r="C219" s="32" t="s">
        <v>654</v>
      </c>
      <c r="D219" s="32" t="s">
        <v>655</v>
      </c>
      <c r="E219" s="32" t="s">
        <v>888</v>
      </c>
      <c r="F219" s="32" t="s">
        <v>657</v>
      </c>
      <c r="G219" s="32" t="s">
        <v>889</v>
      </c>
      <c r="H219" s="31">
        <v>46224</v>
      </c>
      <c r="I219" s="32" t="s">
        <v>169</v>
      </c>
      <c r="J219" s="32" t="s">
        <v>197</v>
      </c>
      <c r="K219" s="32" t="s">
        <v>161</v>
      </c>
      <c r="L219" s="32" t="s">
        <v>271</v>
      </c>
      <c r="M219" s="32" t="s">
        <v>161</v>
      </c>
      <c r="N219" s="32">
        <v>91</v>
      </c>
      <c r="O219" s="32">
        <v>12511.59</v>
      </c>
      <c r="P219" s="32" t="s">
        <v>161</v>
      </c>
      <c r="Q219" s="32">
        <v>0</v>
      </c>
      <c r="R219" s="32">
        <v>9</v>
      </c>
      <c r="S219" s="32">
        <v>1126.04</v>
      </c>
      <c r="T219" s="32">
        <v>9</v>
      </c>
      <c r="U219" s="32">
        <v>1126.04</v>
      </c>
      <c r="V219" s="32">
        <v>0</v>
      </c>
      <c r="W219" s="32">
        <v>0</v>
      </c>
      <c r="X219" s="32">
        <v>0</v>
      </c>
      <c r="Y219" s="32">
        <v>2252.08</v>
      </c>
      <c r="Z219" s="32">
        <v>0</v>
      </c>
      <c r="AA219" s="32" t="s">
        <v>177</v>
      </c>
      <c r="AB219" s="32" t="s">
        <v>168</v>
      </c>
      <c r="AC219" s="32">
        <v>39199090</v>
      </c>
      <c r="AD219" s="32" t="s">
        <v>208</v>
      </c>
      <c r="AE219" s="32">
        <v>1</v>
      </c>
      <c r="AF219" s="32">
        <v>91</v>
      </c>
      <c r="AG219" s="32" t="s">
        <v>209</v>
      </c>
    </row>
    <row r="220" spans="2:33" x14ac:dyDescent="0.25">
      <c r="B220" s="31">
        <v>46224</v>
      </c>
      <c r="C220" s="32" t="s">
        <v>654</v>
      </c>
      <c r="D220" s="32" t="s">
        <v>655</v>
      </c>
      <c r="E220" s="32" t="s">
        <v>888</v>
      </c>
      <c r="F220" s="32" t="s">
        <v>657</v>
      </c>
      <c r="G220" s="32" t="s">
        <v>889</v>
      </c>
      <c r="H220" s="31">
        <v>46224</v>
      </c>
      <c r="I220" s="32" t="s">
        <v>169</v>
      </c>
      <c r="J220" s="32" t="s">
        <v>182</v>
      </c>
      <c r="K220" s="32" t="s">
        <v>154</v>
      </c>
      <c r="L220" s="32" t="s">
        <v>154</v>
      </c>
      <c r="M220" s="32" t="s">
        <v>182</v>
      </c>
      <c r="N220" s="32">
        <v>559.1</v>
      </c>
      <c r="O220" s="32">
        <v>83579.858999999997</v>
      </c>
      <c r="P220" s="32" t="s">
        <v>182</v>
      </c>
      <c r="Q220" s="32">
        <v>0</v>
      </c>
      <c r="R220" s="32">
        <v>9</v>
      </c>
      <c r="S220" s="32">
        <v>7522.19</v>
      </c>
      <c r="T220" s="32">
        <v>9</v>
      </c>
      <c r="U220" s="32">
        <v>7522.19</v>
      </c>
      <c r="V220" s="32">
        <v>0</v>
      </c>
      <c r="W220" s="32">
        <v>0</v>
      </c>
      <c r="X220" s="32">
        <v>0</v>
      </c>
      <c r="Y220" s="32">
        <v>15044.38</v>
      </c>
      <c r="Z220" s="32">
        <v>0</v>
      </c>
      <c r="AA220" s="32" t="s">
        <v>177</v>
      </c>
      <c r="AB220" s="32" t="s">
        <v>168</v>
      </c>
      <c r="AC220" s="32">
        <v>3926908</v>
      </c>
      <c r="AD220" s="32" t="s">
        <v>208</v>
      </c>
      <c r="AE220" s="32">
        <v>1</v>
      </c>
      <c r="AF220" s="32">
        <v>559.1</v>
      </c>
      <c r="AG220" s="32" t="s">
        <v>209</v>
      </c>
    </row>
    <row r="221" spans="2:33" x14ac:dyDescent="0.25">
      <c r="B221" s="31">
        <v>46224</v>
      </c>
      <c r="C221" s="32" t="s">
        <v>654</v>
      </c>
      <c r="D221" s="32" t="s">
        <v>655</v>
      </c>
      <c r="E221" s="32" t="s">
        <v>888</v>
      </c>
      <c r="F221" s="32" t="s">
        <v>657</v>
      </c>
      <c r="G221" s="32" t="s">
        <v>889</v>
      </c>
      <c r="H221" s="31">
        <v>46224</v>
      </c>
      <c r="I221" s="32" t="s">
        <v>169</v>
      </c>
      <c r="J221" s="32" t="s">
        <v>182</v>
      </c>
      <c r="K221" s="32" t="s">
        <v>154</v>
      </c>
      <c r="L221" s="32" t="s">
        <v>154</v>
      </c>
      <c r="M221" s="32" t="s">
        <v>182</v>
      </c>
      <c r="N221" s="32">
        <v>750.4</v>
      </c>
      <c r="O221" s="32">
        <v>109926.09600000001</v>
      </c>
      <c r="P221" s="32" t="s">
        <v>182</v>
      </c>
      <c r="Q221" s="32">
        <v>0</v>
      </c>
      <c r="R221" s="32">
        <v>9</v>
      </c>
      <c r="S221" s="32">
        <v>9893.35</v>
      </c>
      <c r="T221" s="32">
        <v>9</v>
      </c>
      <c r="U221" s="32">
        <v>9893.35</v>
      </c>
      <c r="V221" s="32">
        <v>0</v>
      </c>
      <c r="W221" s="32">
        <v>0</v>
      </c>
      <c r="X221" s="32">
        <v>0</v>
      </c>
      <c r="Y221" s="32">
        <v>19786.7</v>
      </c>
      <c r="Z221" s="32">
        <v>0</v>
      </c>
      <c r="AA221" s="32" t="s">
        <v>177</v>
      </c>
      <c r="AB221" s="32" t="s">
        <v>168</v>
      </c>
      <c r="AC221" s="32">
        <v>3926908</v>
      </c>
      <c r="AD221" s="32" t="s">
        <v>208</v>
      </c>
      <c r="AE221" s="32">
        <v>1</v>
      </c>
      <c r="AF221" s="32">
        <v>750.4</v>
      </c>
      <c r="AG221" s="32" t="s">
        <v>209</v>
      </c>
    </row>
    <row r="222" spans="2:33" x14ac:dyDescent="0.25">
      <c r="B222" s="31">
        <v>46224</v>
      </c>
      <c r="C222" s="32" t="s">
        <v>659</v>
      </c>
      <c r="D222" s="32" t="s">
        <v>655</v>
      </c>
      <c r="E222" s="32" t="s">
        <v>890</v>
      </c>
      <c r="F222" s="32" t="s">
        <v>657</v>
      </c>
      <c r="G222" s="32" t="s">
        <v>891</v>
      </c>
      <c r="H222" s="31">
        <v>46223</v>
      </c>
      <c r="I222" s="32" t="s">
        <v>169</v>
      </c>
      <c r="J222" s="32" t="s">
        <v>180</v>
      </c>
      <c r="K222" s="32" t="s">
        <v>155</v>
      </c>
      <c r="L222" s="32" t="s">
        <v>210</v>
      </c>
      <c r="M222" s="32" t="s">
        <v>187</v>
      </c>
      <c r="N222" s="32">
        <v>3239</v>
      </c>
      <c r="O222" s="32">
        <v>395158</v>
      </c>
      <c r="P222" s="32" t="s">
        <v>187</v>
      </c>
      <c r="Q222" s="32">
        <v>653281.4</v>
      </c>
      <c r="R222" s="32">
        <v>9</v>
      </c>
      <c r="S222" s="32">
        <v>35564.22</v>
      </c>
      <c r="T222" s="32">
        <v>9</v>
      </c>
      <c r="U222" s="32">
        <v>35564.22</v>
      </c>
      <c r="V222" s="32">
        <v>0</v>
      </c>
      <c r="W222" s="32">
        <v>0</v>
      </c>
      <c r="X222" s="32">
        <v>0</v>
      </c>
      <c r="Y222" s="32">
        <v>71128.44</v>
      </c>
      <c r="Z222" s="32">
        <v>0</v>
      </c>
      <c r="AA222" s="32" t="s">
        <v>177</v>
      </c>
      <c r="AB222" s="32" t="s">
        <v>168</v>
      </c>
      <c r="AC222" s="32">
        <v>39269080</v>
      </c>
      <c r="AD222" s="32" t="s">
        <v>208</v>
      </c>
      <c r="AE222" s="32">
        <v>1</v>
      </c>
      <c r="AF222" s="32">
        <v>3239</v>
      </c>
      <c r="AG222" s="32" t="s">
        <v>209</v>
      </c>
    </row>
    <row r="223" spans="2:33" x14ac:dyDescent="0.25">
      <c r="B223" s="31">
        <v>46224</v>
      </c>
      <c r="C223" s="32" t="s">
        <v>659</v>
      </c>
      <c r="D223" s="32" t="s">
        <v>655</v>
      </c>
      <c r="E223" s="32" t="s">
        <v>890</v>
      </c>
      <c r="F223" s="32" t="s">
        <v>657</v>
      </c>
      <c r="G223" s="32" t="s">
        <v>891</v>
      </c>
      <c r="H223" s="31">
        <v>46223</v>
      </c>
      <c r="I223" s="32" t="s">
        <v>169</v>
      </c>
      <c r="J223" s="32" t="s">
        <v>182</v>
      </c>
      <c r="K223" s="32" t="s">
        <v>154</v>
      </c>
      <c r="L223" s="32" t="s">
        <v>154</v>
      </c>
      <c r="M223" s="32" t="s">
        <v>182</v>
      </c>
      <c r="N223" s="32">
        <v>1064.2</v>
      </c>
      <c r="O223" s="32">
        <v>115572.12</v>
      </c>
      <c r="P223" s="32" t="s">
        <v>182</v>
      </c>
      <c r="Q223" s="32">
        <v>0</v>
      </c>
      <c r="R223" s="32">
        <v>9</v>
      </c>
      <c r="S223" s="32">
        <v>10401.49</v>
      </c>
      <c r="T223" s="32">
        <v>9</v>
      </c>
      <c r="U223" s="32">
        <v>10401.49</v>
      </c>
      <c r="V223" s="32">
        <v>0</v>
      </c>
      <c r="W223" s="32">
        <v>0</v>
      </c>
      <c r="X223" s="32">
        <v>0</v>
      </c>
      <c r="Y223" s="32">
        <v>20802.98</v>
      </c>
      <c r="Z223" s="32">
        <v>0</v>
      </c>
      <c r="AA223" s="32" t="s">
        <v>177</v>
      </c>
      <c r="AB223" s="32" t="s">
        <v>168</v>
      </c>
      <c r="AC223" s="32">
        <v>3926908</v>
      </c>
      <c r="AD223" s="32" t="s">
        <v>208</v>
      </c>
      <c r="AE223" s="32">
        <v>1</v>
      </c>
      <c r="AF223" s="32">
        <v>1064.2</v>
      </c>
      <c r="AG223" s="32" t="s">
        <v>209</v>
      </c>
    </row>
    <row r="224" spans="2:33" x14ac:dyDescent="0.25">
      <c r="B224" s="31">
        <v>46224</v>
      </c>
      <c r="C224" s="32" t="s">
        <v>659</v>
      </c>
      <c r="D224" s="32" t="s">
        <v>655</v>
      </c>
      <c r="E224" s="32" t="s">
        <v>890</v>
      </c>
      <c r="F224" s="32" t="s">
        <v>657</v>
      </c>
      <c r="G224" s="32" t="s">
        <v>891</v>
      </c>
      <c r="H224" s="31">
        <v>46223</v>
      </c>
      <c r="I224" s="32" t="s">
        <v>169</v>
      </c>
      <c r="J224" s="32" t="s">
        <v>182</v>
      </c>
      <c r="K224" s="32" t="s">
        <v>154</v>
      </c>
      <c r="L224" s="32" t="s">
        <v>154</v>
      </c>
      <c r="M224" s="32" t="s">
        <v>182</v>
      </c>
      <c r="N224" s="32">
        <v>388.6</v>
      </c>
      <c r="O224" s="32">
        <v>43367.76</v>
      </c>
      <c r="P224" s="32" t="s">
        <v>182</v>
      </c>
      <c r="Q224" s="32">
        <v>0</v>
      </c>
      <c r="R224" s="32">
        <v>9</v>
      </c>
      <c r="S224" s="32">
        <v>3903.1</v>
      </c>
      <c r="T224" s="32">
        <v>9</v>
      </c>
      <c r="U224" s="32">
        <v>3903.1</v>
      </c>
      <c r="V224" s="32">
        <v>0</v>
      </c>
      <c r="W224" s="32">
        <v>0</v>
      </c>
      <c r="X224" s="32">
        <v>0</v>
      </c>
      <c r="Y224" s="32">
        <v>7806.2</v>
      </c>
      <c r="Z224" s="32">
        <v>0</v>
      </c>
      <c r="AA224" s="32" t="s">
        <v>177</v>
      </c>
      <c r="AB224" s="32" t="s">
        <v>168</v>
      </c>
      <c r="AC224" s="32">
        <v>3926908</v>
      </c>
      <c r="AD224" s="32" t="s">
        <v>208</v>
      </c>
      <c r="AE224" s="32">
        <v>1</v>
      </c>
      <c r="AF224" s="32">
        <v>388.6</v>
      </c>
      <c r="AG224" s="32" t="s">
        <v>209</v>
      </c>
    </row>
    <row r="225" spans="2:33" x14ac:dyDescent="0.25">
      <c r="B225" s="31">
        <v>46225</v>
      </c>
      <c r="C225" s="32" t="s">
        <v>654</v>
      </c>
      <c r="D225" s="32" t="s">
        <v>655</v>
      </c>
      <c r="E225" s="32" t="s">
        <v>892</v>
      </c>
      <c r="F225" s="32" t="s">
        <v>657</v>
      </c>
      <c r="G225" s="32" t="s">
        <v>893</v>
      </c>
      <c r="H225" s="31">
        <v>46225</v>
      </c>
      <c r="I225" s="32" t="s">
        <v>169</v>
      </c>
      <c r="J225" s="32" t="s">
        <v>180</v>
      </c>
      <c r="K225" s="32" t="s">
        <v>155</v>
      </c>
      <c r="L225" s="32" t="s">
        <v>210</v>
      </c>
      <c r="M225" s="32" t="s">
        <v>187</v>
      </c>
      <c r="N225" s="32">
        <v>1412</v>
      </c>
      <c r="O225" s="32">
        <v>211079.88</v>
      </c>
      <c r="P225" s="32" t="s">
        <v>187</v>
      </c>
      <c r="Q225" s="32">
        <v>671069.51</v>
      </c>
      <c r="R225" s="32">
        <v>9</v>
      </c>
      <c r="S225" s="32">
        <v>18997.189999999999</v>
      </c>
      <c r="T225" s="32">
        <v>9</v>
      </c>
      <c r="U225" s="32">
        <v>18997.189999999999</v>
      </c>
      <c r="V225" s="32">
        <v>0</v>
      </c>
      <c r="W225" s="32">
        <v>0</v>
      </c>
      <c r="X225" s="32">
        <v>0</v>
      </c>
      <c r="Y225" s="32">
        <v>37994.379999999997</v>
      </c>
      <c r="Z225" s="32">
        <v>0</v>
      </c>
      <c r="AA225" s="32" t="s">
        <v>177</v>
      </c>
      <c r="AB225" s="32" t="s">
        <v>168</v>
      </c>
      <c r="AC225" s="32">
        <v>39269080</v>
      </c>
      <c r="AD225" s="32" t="s">
        <v>208</v>
      </c>
      <c r="AE225" s="32">
        <v>1</v>
      </c>
      <c r="AF225" s="32">
        <v>1412</v>
      </c>
      <c r="AG225" s="32" t="s">
        <v>209</v>
      </c>
    </row>
    <row r="226" spans="2:33" x14ac:dyDescent="0.25">
      <c r="B226" s="31">
        <v>46225</v>
      </c>
      <c r="C226" s="32" t="s">
        <v>654</v>
      </c>
      <c r="D226" s="32" t="s">
        <v>655</v>
      </c>
      <c r="E226" s="32" t="s">
        <v>892</v>
      </c>
      <c r="F226" s="32" t="s">
        <v>657</v>
      </c>
      <c r="G226" s="32" t="s">
        <v>893</v>
      </c>
      <c r="H226" s="31">
        <v>46225</v>
      </c>
      <c r="I226" s="32" t="s">
        <v>169</v>
      </c>
      <c r="J226" s="32" t="s">
        <v>182</v>
      </c>
      <c r="K226" s="32" t="s">
        <v>154</v>
      </c>
      <c r="L226" s="32" t="s">
        <v>154</v>
      </c>
      <c r="M226" s="32" t="s">
        <v>182</v>
      </c>
      <c r="N226" s="32">
        <v>1253.5999999999999</v>
      </c>
      <c r="O226" s="32">
        <v>187400.66</v>
      </c>
      <c r="P226" s="32" t="s">
        <v>182</v>
      </c>
      <c r="Q226" s="32">
        <v>0</v>
      </c>
      <c r="R226" s="32">
        <v>9</v>
      </c>
      <c r="S226" s="32">
        <v>16866.060000000001</v>
      </c>
      <c r="T226" s="32">
        <v>9</v>
      </c>
      <c r="U226" s="32">
        <v>16866.060000000001</v>
      </c>
      <c r="V226" s="32">
        <v>0</v>
      </c>
      <c r="W226" s="32">
        <v>0</v>
      </c>
      <c r="X226" s="32">
        <v>0</v>
      </c>
      <c r="Y226" s="32">
        <v>33732.120000000003</v>
      </c>
      <c r="Z226" s="32">
        <v>0</v>
      </c>
      <c r="AA226" s="32" t="s">
        <v>177</v>
      </c>
      <c r="AB226" s="32" t="s">
        <v>168</v>
      </c>
      <c r="AC226" s="32">
        <v>3926908</v>
      </c>
      <c r="AD226" s="32" t="s">
        <v>208</v>
      </c>
      <c r="AE226" s="32">
        <v>1</v>
      </c>
      <c r="AF226" s="32">
        <v>1253.5999999999999</v>
      </c>
      <c r="AG226" s="32" t="s">
        <v>209</v>
      </c>
    </row>
    <row r="227" spans="2:33" x14ac:dyDescent="0.25">
      <c r="B227" s="31">
        <v>46225</v>
      </c>
      <c r="C227" s="32" t="s">
        <v>654</v>
      </c>
      <c r="D227" s="32" t="s">
        <v>655</v>
      </c>
      <c r="E227" s="32" t="s">
        <v>892</v>
      </c>
      <c r="F227" s="32" t="s">
        <v>657</v>
      </c>
      <c r="G227" s="32" t="s">
        <v>893</v>
      </c>
      <c r="H227" s="31">
        <v>46225</v>
      </c>
      <c r="I227" s="32" t="s">
        <v>169</v>
      </c>
      <c r="J227" s="32" t="s">
        <v>182</v>
      </c>
      <c r="K227" s="32" t="s">
        <v>154</v>
      </c>
      <c r="L227" s="32" t="s">
        <v>154</v>
      </c>
      <c r="M227" s="32" t="s">
        <v>182</v>
      </c>
      <c r="N227" s="32">
        <v>1165.3</v>
      </c>
      <c r="O227" s="32">
        <v>170704.8</v>
      </c>
      <c r="P227" s="32" t="s">
        <v>182</v>
      </c>
      <c r="Q227" s="32">
        <v>0</v>
      </c>
      <c r="R227" s="32">
        <v>9</v>
      </c>
      <c r="S227" s="32">
        <v>15363.43</v>
      </c>
      <c r="T227" s="32">
        <v>9</v>
      </c>
      <c r="U227" s="32">
        <v>15363.43</v>
      </c>
      <c r="V227" s="32">
        <v>0</v>
      </c>
      <c r="W227" s="32">
        <v>0</v>
      </c>
      <c r="X227" s="32">
        <v>0</v>
      </c>
      <c r="Y227" s="32">
        <v>30726.86</v>
      </c>
      <c r="Z227" s="32">
        <v>0</v>
      </c>
      <c r="AA227" s="32" t="s">
        <v>177</v>
      </c>
      <c r="AB227" s="32" t="s">
        <v>168</v>
      </c>
      <c r="AC227" s="32">
        <v>3926908</v>
      </c>
      <c r="AD227" s="32" t="s">
        <v>208</v>
      </c>
      <c r="AE227" s="32">
        <v>1</v>
      </c>
      <c r="AF227" s="32">
        <v>1165.3</v>
      </c>
      <c r="AG227" s="32" t="s">
        <v>209</v>
      </c>
    </row>
    <row r="228" spans="2:33" x14ac:dyDescent="0.25">
      <c r="B228" s="31">
        <v>46225</v>
      </c>
      <c r="C228" s="32" t="s">
        <v>654</v>
      </c>
      <c r="D228" s="32" t="s">
        <v>655</v>
      </c>
      <c r="E228" s="32" t="s">
        <v>894</v>
      </c>
      <c r="F228" s="32" t="s">
        <v>657</v>
      </c>
      <c r="G228" s="32" t="s">
        <v>895</v>
      </c>
      <c r="H228" s="31">
        <v>46225</v>
      </c>
      <c r="I228" s="32" t="s">
        <v>171</v>
      </c>
      <c r="J228" s="32" t="s">
        <v>185</v>
      </c>
      <c r="K228" s="32" t="s">
        <v>733</v>
      </c>
      <c r="L228" s="32" t="s">
        <v>734</v>
      </c>
      <c r="M228" s="32" t="s">
        <v>735</v>
      </c>
      <c r="N228" s="32">
        <v>100</v>
      </c>
      <c r="O228" s="32">
        <v>15500</v>
      </c>
      <c r="P228" s="32" t="s">
        <v>735</v>
      </c>
      <c r="Q228" s="32">
        <v>18274.5</v>
      </c>
      <c r="R228" s="32">
        <v>9</v>
      </c>
      <c r="S228" s="32">
        <v>1395</v>
      </c>
      <c r="T228" s="32">
        <v>9</v>
      </c>
      <c r="U228" s="32">
        <v>1395</v>
      </c>
      <c r="V228" s="32">
        <v>0</v>
      </c>
      <c r="W228" s="32">
        <v>0</v>
      </c>
      <c r="X228" s="32">
        <v>0</v>
      </c>
      <c r="Y228" s="32">
        <v>2790</v>
      </c>
      <c r="Z228" s="32">
        <v>0</v>
      </c>
      <c r="AA228" s="32" t="s">
        <v>177</v>
      </c>
      <c r="AB228" s="32" t="s">
        <v>168</v>
      </c>
      <c r="AC228" s="32">
        <v>32064990</v>
      </c>
      <c r="AD228" s="32" t="s">
        <v>208</v>
      </c>
      <c r="AE228" s="32">
        <v>1</v>
      </c>
      <c r="AF228" s="32">
        <v>100</v>
      </c>
      <c r="AG228" s="32" t="s">
        <v>209</v>
      </c>
    </row>
    <row r="229" spans="2:33" x14ac:dyDescent="0.25">
      <c r="B229" s="31">
        <v>46226</v>
      </c>
      <c r="C229" s="32" t="s">
        <v>665</v>
      </c>
      <c r="D229" s="32" t="s">
        <v>655</v>
      </c>
      <c r="E229" s="32" t="s">
        <v>896</v>
      </c>
      <c r="F229" s="32" t="s">
        <v>657</v>
      </c>
      <c r="G229" s="32" t="s">
        <v>897</v>
      </c>
      <c r="H229" s="31">
        <v>46225</v>
      </c>
      <c r="I229" s="32" t="s">
        <v>169</v>
      </c>
      <c r="J229" s="32" t="s">
        <v>180</v>
      </c>
      <c r="K229" s="32" t="s">
        <v>155</v>
      </c>
      <c r="L229" s="32" t="s">
        <v>210</v>
      </c>
      <c r="M229" s="32" t="s">
        <v>187</v>
      </c>
      <c r="N229" s="32">
        <v>651</v>
      </c>
      <c r="O229" s="32">
        <v>103827.99</v>
      </c>
      <c r="P229" s="32" t="s">
        <v>187</v>
      </c>
      <c r="Q229" s="32">
        <v>644368.54</v>
      </c>
      <c r="R229" s="32">
        <v>9</v>
      </c>
      <c r="S229" s="32">
        <v>9344.52</v>
      </c>
      <c r="T229" s="32">
        <v>9</v>
      </c>
      <c r="U229" s="32">
        <v>9344.52</v>
      </c>
      <c r="V229" s="32">
        <v>0</v>
      </c>
      <c r="W229" s="32">
        <v>0</v>
      </c>
      <c r="X229" s="32">
        <v>0</v>
      </c>
      <c r="Y229" s="32">
        <v>18689.04</v>
      </c>
      <c r="Z229" s="32">
        <v>0</v>
      </c>
      <c r="AA229" s="32" t="s">
        <v>189</v>
      </c>
      <c r="AB229" s="32" t="s">
        <v>168</v>
      </c>
      <c r="AC229" s="32">
        <v>39269080</v>
      </c>
      <c r="AD229" s="32" t="s">
        <v>208</v>
      </c>
      <c r="AE229" s="32">
        <v>1</v>
      </c>
      <c r="AF229" s="32">
        <v>651</v>
      </c>
      <c r="AG229" s="32" t="s">
        <v>209</v>
      </c>
    </row>
    <row r="230" spans="2:33" x14ac:dyDescent="0.25">
      <c r="B230" s="31">
        <v>46226</v>
      </c>
      <c r="C230" s="32" t="s">
        <v>665</v>
      </c>
      <c r="D230" s="32" t="s">
        <v>655</v>
      </c>
      <c r="E230" s="32" t="s">
        <v>896</v>
      </c>
      <c r="F230" s="32" t="s">
        <v>657</v>
      </c>
      <c r="G230" s="32" t="s">
        <v>897</v>
      </c>
      <c r="H230" s="31">
        <v>46225</v>
      </c>
      <c r="I230" s="32" t="s">
        <v>169</v>
      </c>
      <c r="J230" s="32" t="s">
        <v>180</v>
      </c>
      <c r="K230" s="32" t="s">
        <v>155</v>
      </c>
      <c r="L230" s="32" t="s">
        <v>210</v>
      </c>
      <c r="M230" s="32" t="s">
        <v>187</v>
      </c>
      <c r="N230" s="32">
        <v>2829</v>
      </c>
      <c r="O230" s="32">
        <v>442710.21</v>
      </c>
      <c r="P230" s="32" t="s">
        <v>187</v>
      </c>
      <c r="Q230" s="32">
        <v>0</v>
      </c>
      <c r="R230" s="32">
        <v>9</v>
      </c>
      <c r="S230" s="32">
        <v>39843.919999999998</v>
      </c>
      <c r="T230" s="32">
        <v>9</v>
      </c>
      <c r="U230" s="32">
        <v>39843.919999999998</v>
      </c>
      <c r="V230" s="32">
        <v>0</v>
      </c>
      <c r="W230" s="32">
        <v>0</v>
      </c>
      <c r="X230" s="32">
        <v>0</v>
      </c>
      <c r="Y230" s="32">
        <v>79687.839999999997</v>
      </c>
      <c r="Z230" s="32">
        <v>0</v>
      </c>
      <c r="AA230" s="32" t="s">
        <v>189</v>
      </c>
      <c r="AB230" s="32" t="s">
        <v>168</v>
      </c>
      <c r="AC230" s="32">
        <v>39269080</v>
      </c>
      <c r="AD230" s="32" t="s">
        <v>208</v>
      </c>
      <c r="AE230" s="32">
        <v>1</v>
      </c>
      <c r="AF230" s="32">
        <v>2829</v>
      </c>
      <c r="AG230" s="32" t="s">
        <v>209</v>
      </c>
    </row>
    <row r="231" spans="2:33" x14ac:dyDescent="0.25">
      <c r="B231" s="31">
        <v>46226</v>
      </c>
      <c r="C231" s="32" t="s">
        <v>676</v>
      </c>
      <c r="D231" s="32" t="s">
        <v>655</v>
      </c>
      <c r="E231" s="32" t="s">
        <v>898</v>
      </c>
      <c r="F231" s="32" t="s">
        <v>657</v>
      </c>
      <c r="G231" s="32" t="s">
        <v>899</v>
      </c>
      <c r="H231" s="31">
        <v>46225</v>
      </c>
      <c r="I231" s="32" t="s">
        <v>192</v>
      </c>
      <c r="J231" s="32" t="s">
        <v>152</v>
      </c>
      <c r="K231" s="32" t="s">
        <v>152</v>
      </c>
      <c r="L231" s="32" t="s">
        <v>207</v>
      </c>
      <c r="M231" s="32" t="s">
        <v>191</v>
      </c>
      <c r="N231" s="32">
        <v>853.8</v>
      </c>
      <c r="O231" s="32">
        <v>220177.94399999999</v>
      </c>
      <c r="P231" s="32" t="s">
        <v>191</v>
      </c>
      <c r="Q231" s="32">
        <v>988072.29</v>
      </c>
      <c r="R231" s="32">
        <v>9</v>
      </c>
      <c r="S231" s="32">
        <v>19816.009999999998</v>
      </c>
      <c r="T231" s="32">
        <v>9</v>
      </c>
      <c r="U231" s="32">
        <v>19816.009999999998</v>
      </c>
      <c r="V231" s="32">
        <v>0</v>
      </c>
      <c r="W231" s="32">
        <v>0</v>
      </c>
      <c r="X231" s="32">
        <v>0</v>
      </c>
      <c r="Y231" s="32">
        <v>39632.019999999997</v>
      </c>
      <c r="Z231" s="32">
        <v>0</v>
      </c>
      <c r="AA231" s="32" t="s">
        <v>172</v>
      </c>
      <c r="AB231" s="32" t="s">
        <v>168</v>
      </c>
      <c r="AC231" s="32">
        <v>63053200</v>
      </c>
      <c r="AD231" s="32" t="s">
        <v>208</v>
      </c>
      <c r="AE231" s="32">
        <v>1</v>
      </c>
      <c r="AF231" s="32">
        <v>853.8</v>
      </c>
      <c r="AG231" s="32" t="s">
        <v>209</v>
      </c>
    </row>
    <row r="232" spans="2:33" x14ac:dyDescent="0.25">
      <c r="B232" s="31">
        <v>46226</v>
      </c>
      <c r="C232" s="32" t="s">
        <v>676</v>
      </c>
      <c r="D232" s="32" t="s">
        <v>655</v>
      </c>
      <c r="E232" s="32" t="s">
        <v>898</v>
      </c>
      <c r="F232" s="32" t="s">
        <v>657</v>
      </c>
      <c r="G232" s="32" t="s">
        <v>899</v>
      </c>
      <c r="H232" s="31">
        <v>46225</v>
      </c>
      <c r="I232" s="32" t="s">
        <v>192</v>
      </c>
      <c r="J232" s="32" t="s">
        <v>152</v>
      </c>
      <c r="K232" s="32" t="s">
        <v>152</v>
      </c>
      <c r="L232" s="32" t="s">
        <v>207</v>
      </c>
      <c r="M232" s="32" t="s">
        <v>191</v>
      </c>
      <c r="N232" s="32">
        <v>2407.3000000000002</v>
      </c>
      <c r="O232" s="32">
        <v>617881.69099999999</v>
      </c>
      <c r="P232" s="32" t="s">
        <v>191</v>
      </c>
      <c r="Q232" s="32">
        <v>0</v>
      </c>
      <c r="R232" s="32">
        <v>9</v>
      </c>
      <c r="S232" s="32">
        <v>55609.35</v>
      </c>
      <c r="T232" s="32">
        <v>9</v>
      </c>
      <c r="U232" s="32">
        <v>55609.35</v>
      </c>
      <c r="V232" s="32">
        <v>0</v>
      </c>
      <c r="W232" s="32">
        <v>0</v>
      </c>
      <c r="X232" s="32">
        <v>0</v>
      </c>
      <c r="Y232" s="32">
        <v>111218.7</v>
      </c>
      <c r="Z232" s="32">
        <v>0</v>
      </c>
      <c r="AA232" s="32" t="s">
        <v>172</v>
      </c>
      <c r="AB232" s="32" t="s">
        <v>168</v>
      </c>
      <c r="AC232" s="32">
        <v>63053200</v>
      </c>
      <c r="AD232" s="32" t="s">
        <v>208</v>
      </c>
      <c r="AE232" s="32">
        <v>1</v>
      </c>
      <c r="AF232" s="32">
        <v>2407.3000000000002</v>
      </c>
      <c r="AG232" s="32" t="s">
        <v>209</v>
      </c>
    </row>
    <row r="233" spans="2:33" x14ac:dyDescent="0.25">
      <c r="B233" s="31">
        <v>46226</v>
      </c>
      <c r="C233" s="32" t="s">
        <v>654</v>
      </c>
      <c r="D233" s="32" t="s">
        <v>655</v>
      </c>
      <c r="E233" s="32" t="s">
        <v>900</v>
      </c>
      <c r="F233" s="32" t="s">
        <v>657</v>
      </c>
      <c r="G233" s="32" t="s">
        <v>901</v>
      </c>
      <c r="H233" s="31">
        <v>46225</v>
      </c>
      <c r="I233" s="32" t="s">
        <v>169</v>
      </c>
      <c r="J233" s="32" t="s">
        <v>182</v>
      </c>
      <c r="K233" s="32" t="s">
        <v>154</v>
      </c>
      <c r="L233" s="32" t="s">
        <v>154</v>
      </c>
      <c r="M233" s="32" t="s">
        <v>182</v>
      </c>
      <c r="N233" s="32">
        <v>494</v>
      </c>
      <c r="O233" s="32">
        <v>72366.06</v>
      </c>
      <c r="P233" s="32" t="s">
        <v>182</v>
      </c>
      <c r="Q233" s="32">
        <v>260102.51</v>
      </c>
      <c r="R233" s="32">
        <v>9</v>
      </c>
      <c r="S233" s="32">
        <v>6512.95</v>
      </c>
      <c r="T233" s="32">
        <v>9</v>
      </c>
      <c r="U233" s="32">
        <v>6512.95</v>
      </c>
      <c r="V233" s="32">
        <v>0</v>
      </c>
      <c r="W233" s="32">
        <v>0</v>
      </c>
      <c r="X233" s="32">
        <v>0</v>
      </c>
      <c r="Y233" s="32">
        <v>13025.9</v>
      </c>
      <c r="Z233" s="32">
        <v>0</v>
      </c>
      <c r="AA233" s="32" t="s">
        <v>177</v>
      </c>
      <c r="AB233" s="32" t="s">
        <v>168</v>
      </c>
      <c r="AC233" s="32">
        <v>3926908</v>
      </c>
      <c r="AD233" s="32" t="s">
        <v>208</v>
      </c>
      <c r="AE233" s="32">
        <v>1</v>
      </c>
      <c r="AF233" s="32">
        <v>494</v>
      </c>
      <c r="AG233" s="32" t="s">
        <v>209</v>
      </c>
    </row>
    <row r="234" spans="2:33" x14ac:dyDescent="0.25">
      <c r="B234" s="31">
        <v>46226</v>
      </c>
      <c r="C234" s="32" t="s">
        <v>654</v>
      </c>
      <c r="D234" s="32" t="s">
        <v>655</v>
      </c>
      <c r="E234" s="32" t="s">
        <v>900</v>
      </c>
      <c r="F234" s="32" t="s">
        <v>657</v>
      </c>
      <c r="G234" s="32" t="s">
        <v>901</v>
      </c>
      <c r="H234" s="31">
        <v>46225</v>
      </c>
      <c r="I234" s="32" t="s">
        <v>169</v>
      </c>
      <c r="J234" s="32" t="s">
        <v>180</v>
      </c>
      <c r="K234" s="32" t="s">
        <v>155</v>
      </c>
      <c r="L234" s="32" t="s">
        <v>210</v>
      </c>
      <c r="M234" s="32" t="s">
        <v>187</v>
      </c>
      <c r="N234" s="32">
        <v>1026</v>
      </c>
      <c r="O234" s="32">
        <v>148246.74</v>
      </c>
      <c r="P234" s="32" t="s">
        <v>187</v>
      </c>
      <c r="Q234" s="32">
        <v>0</v>
      </c>
      <c r="R234" s="32">
        <v>9</v>
      </c>
      <c r="S234" s="32">
        <v>13342.21</v>
      </c>
      <c r="T234" s="32">
        <v>9</v>
      </c>
      <c r="U234" s="32">
        <v>13342.21</v>
      </c>
      <c r="V234" s="32">
        <v>0</v>
      </c>
      <c r="W234" s="32">
        <v>0</v>
      </c>
      <c r="X234" s="32">
        <v>0</v>
      </c>
      <c r="Y234" s="32">
        <v>26684.42</v>
      </c>
      <c r="Z234" s="32">
        <v>0</v>
      </c>
      <c r="AA234" s="32" t="s">
        <v>177</v>
      </c>
      <c r="AB234" s="32" t="s">
        <v>168</v>
      </c>
      <c r="AC234" s="32">
        <v>39269080</v>
      </c>
      <c r="AD234" s="32" t="s">
        <v>208</v>
      </c>
      <c r="AE234" s="32">
        <v>1</v>
      </c>
      <c r="AF234" s="32">
        <v>1026</v>
      </c>
      <c r="AG234" s="32" t="s">
        <v>209</v>
      </c>
    </row>
    <row r="235" spans="2:33" x14ac:dyDescent="0.25">
      <c r="B235" s="31">
        <v>46226</v>
      </c>
      <c r="C235" s="32" t="s">
        <v>654</v>
      </c>
      <c r="D235" s="32" t="s">
        <v>655</v>
      </c>
      <c r="E235" s="32" t="s">
        <v>902</v>
      </c>
      <c r="F235" s="32" t="s">
        <v>657</v>
      </c>
      <c r="G235" s="32" t="s">
        <v>903</v>
      </c>
      <c r="H235" s="31">
        <v>46226</v>
      </c>
      <c r="I235" s="32" t="s">
        <v>169</v>
      </c>
      <c r="J235" s="32" t="s">
        <v>182</v>
      </c>
      <c r="K235" s="32" t="s">
        <v>154</v>
      </c>
      <c r="L235" s="32" t="s">
        <v>154</v>
      </c>
      <c r="M235" s="32" t="s">
        <v>182</v>
      </c>
      <c r="N235" s="32">
        <v>1207.3</v>
      </c>
      <c r="O235" s="32">
        <v>180479.277</v>
      </c>
      <c r="P235" s="32" t="s">
        <v>182</v>
      </c>
      <c r="Q235" s="32">
        <v>434000</v>
      </c>
      <c r="R235" s="32">
        <v>9</v>
      </c>
      <c r="S235" s="32">
        <v>16243.13</v>
      </c>
      <c r="T235" s="32">
        <v>9</v>
      </c>
      <c r="U235" s="32">
        <v>16243.13</v>
      </c>
      <c r="V235" s="32">
        <v>0</v>
      </c>
      <c r="W235" s="32">
        <v>0</v>
      </c>
      <c r="X235" s="32">
        <v>0</v>
      </c>
      <c r="Y235" s="32">
        <v>32486.26</v>
      </c>
      <c r="Z235" s="32">
        <v>0</v>
      </c>
      <c r="AA235" s="32" t="s">
        <v>177</v>
      </c>
      <c r="AB235" s="32" t="s">
        <v>168</v>
      </c>
      <c r="AC235" s="32">
        <v>3926908</v>
      </c>
      <c r="AD235" s="32" t="s">
        <v>208</v>
      </c>
      <c r="AE235" s="32">
        <v>1</v>
      </c>
      <c r="AF235" s="32">
        <v>1207.3</v>
      </c>
      <c r="AG235" s="32" t="s">
        <v>209</v>
      </c>
    </row>
    <row r="236" spans="2:33" x14ac:dyDescent="0.25">
      <c r="B236" s="31">
        <v>46226</v>
      </c>
      <c r="C236" s="32" t="s">
        <v>654</v>
      </c>
      <c r="D236" s="32" t="s">
        <v>655</v>
      </c>
      <c r="E236" s="32" t="s">
        <v>902</v>
      </c>
      <c r="F236" s="32" t="s">
        <v>657</v>
      </c>
      <c r="G236" s="32" t="s">
        <v>903</v>
      </c>
      <c r="H236" s="31">
        <v>46226</v>
      </c>
      <c r="I236" s="32" t="s">
        <v>169</v>
      </c>
      <c r="J236" s="32" t="s">
        <v>182</v>
      </c>
      <c r="K236" s="32" t="s">
        <v>154</v>
      </c>
      <c r="L236" s="32" t="s">
        <v>154</v>
      </c>
      <c r="M236" s="32" t="s">
        <v>182</v>
      </c>
      <c r="N236" s="32">
        <v>1123.7</v>
      </c>
      <c r="O236" s="32">
        <v>164610.81299999999</v>
      </c>
      <c r="P236" s="32" t="s">
        <v>182</v>
      </c>
      <c r="Q236" s="32">
        <v>0</v>
      </c>
      <c r="R236" s="32">
        <v>9</v>
      </c>
      <c r="S236" s="32">
        <v>14814.97</v>
      </c>
      <c r="T236" s="32">
        <v>9</v>
      </c>
      <c r="U236" s="32">
        <v>14814.97</v>
      </c>
      <c r="V236" s="32">
        <v>0</v>
      </c>
      <c r="W236" s="32">
        <v>0</v>
      </c>
      <c r="X236" s="32">
        <v>0</v>
      </c>
      <c r="Y236" s="32">
        <v>29629.94</v>
      </c>
      <c r="Z236" s="32">
        <v>0</v>
      </c>
      <c r="AA236" s="32" t="s">
        <v>177</v>
      </c>
      <c r="AB236" s="32" t="s">
        <v>168</v>
      </c>
      <c r="AC236" s="32">
        <v>3926908</v>
      </c>
      <c r="AD236" s="32" t="s">
        <v>208</v>
      </c>
      <c r="AE236" s="32">
        <v>1</v>
      </c>
      <c r="AF236" s="32">
        <v>1123.7</v>
      </c>
      <c r="AG236" s="32" t="s">
        <v>209</v>
      </c>
    </row>
    <row r="237" spans="2:33" x14ac:dyDescent="0.25">
      <c r="B237" s="31">
        <v>46226</v>
      </c>
      <c r="C237" s="32" t="s">
        <v>654</v>
      </c>
      <c r="D237" s="32" t="s">
        <v>655</v>
      </c>
      <c r="E237" s="32" t="s">
        <v>902</v>
      </c>
      <c r="F237" s="32" t="s">
        <v>657</v>
      </c>
      <c r="G237" s="32" t="s">
        <v>903</v>
      </c>
      <c r="H237" s="31">
        <v>46226</v>
      </c>
      <c r="I237" s="32" t="s">
        <v>169</v>
      </c>
      <c r="J237" s="32" t="s">
        <v>170</v>
      </c>
      <c r="K237" s="32" t="s">
        <v>157</v>
      </c>
      <c r="L237" s="32" t="s">
        <v>233</v>
      </c>
      <c r="M237" s="32" t="s">
        <v>681</v>
      </c>
      <c r="N237" s="32">
        <v>160.69999999999999</v>
      </c>
      <c r="O237" s="32">
        <v>25871.093000000001</v>
      </c>
      <c r="P237" s="32" t="s">
        <v>681</v>
      </c>
      <c r="Q237" s="32">
        <v>0</v>
      </c>
      <c r="R237" s="32">
        <v>2.5</v>
      </c>
      <c r="S237" s="32">
        <v>646.78</v>
      </c>
      <c r="T237" s="32">
        <v>2.5</v>
      </c>
      <c r="U237" s="32">
        <v>646.78</v>
      </c>
      <c r="V237" s="32">
        <v>0</v>
      </c>
      <c r="W237" s="32">
        <v>0</v>
      </c>
      <c r="X237" s="32">
        <v>0</v>
      </c>
      <c r="Y237" s="32">
        <v>1293.56</v>
      </c>
      <c r="Z237" s="32">
        <v>0</v>
      </c>
      <c r="AA237" s="32" t="s">
        <v>177</v>
      </c>
      <c r="AB237" s="32" t="s">
        <v>168</v>
      </c>
      <c r="AC237" s="32">
        <v>540269</v>
      </c>
      <c r="AD237" s="32" t="s">
        <v>208</v>
      </c>
      <c r="AE237" s="32">
        <v>1</v>
      </c>
      <c r="AF237" s="32">
        <v>160.69999999999999</v>
      </c>
      <c r="AG237" s="32" t="s">
        <v>209</v>
      </c>
    </row>
    <row r="238" spans="2:33" x14ac:dyDescent="0.25">
      <c r="B238" s="31">
        <v>46227</v>
      </c>
      <c r="C238" s="32" t="s">
        <v>654</v>
      </c>
      <c r="D238" s="32" t="s">
        <v>655</v>
      </c>
      <c r="E238" s="32" t="s">
        <v>904</v>
      </c>
      <c r="F238" s="32" t="s">
        <v>657</v>
      </c>
      <c r="G238" s="32" t="s">
        <v>905</v>
      </c>
      <c r="H238" s="31">
        <v>46227</v>
      </c>
      <c r="I238" s="32" t="s">
        <v>169</v>
      </c>
      <c r="J238" s="32" t="s">
        <v>180</v>
      </c>
      <c r="K238" s="32" t="s">
        <v>155</v>
      </c>
      <c r="L238" s="32" t="s">
        <v>210</v>
      </c>
      <c r="M238" s="32" t="s">
        <v>187</v>
      </c>
      <c r="N238" s="32">
        <v>892</v>
      </c>
      <c r="O238" s="32">
        <v>133345.07999999999</v>
      </c>
      <c r="P238" s="32" t="s">
        <v>187</v>
      </c>
      <c r="Q238" s="32">
        <v>157213.85</v>
      </c>
      <c r="R238" s="32">
        <v>9</v>
      </c>
      <c r="S238" s="32">
        <v>12001.06</v>
      </c>
      <c r="T238" s="32">
        <v>9</v>
      </c>
      <c r="U238" s="32">
        <v>12001.06</v>
      </c>
      <c r="V238" s="32">
        <v>0</v>
      </c>
      <c r="W238" s="32">
        <v>0</v>
      </c>
      <c r="X238" s="32">
        <v>0</v>
      </c>
      <c r="Y238" s="32">
        <v>24002.12</v>
      </c>
      <c r="Z238" s="32">
        <v>0</v>
      </c>
      <c r="AA238" s="32" t="s">
        <v>177</v>
      </c>
      <c r="AB238" s="32" t="s">
        <v>168</v>
      </c>
      <c r="AC238" s="32">
        <v>39269080</v>
      </c>
      <c r="AD238" s="32" t="s">
        <v>208</v>
      </c>
      <c r="AE238" s="32">
        <v>1</v>
      </c>
      <c r="AF238" s="32">
        <v>892</v>
      </c>
      <c r="AG238" s="32" t="s">
        <v>209</v>
      </c>
    </row>
    <row r="239" spans="2:33" x14ac:dyDescent="0.25">
      <c r="B239" s="31">
        <v>46227</v>
      </c>
      <c r="C239" s="32" t="s">
        <v>654</v>
      </c>
      <c r="D239" s="32" t="s">
        <v>655</v>
      </c>
      <c r="E239" s="32" t="s">
        <v>906</v>
      </c>
      <c r="F239" s="32" t="s">
        <v>657</v>
      </c>
      <c r="G239" s="32" t="s">
        <v>907</v>
      </c>
      <c r="H239" s="31">
        <v>46227</v>
      </c>
      <c r="I239" s="32" t="s">
        <v>171</v>
      </c>
      <c r="J239" s="32" t="s">
        <v>185</v>
      </c>
      <c r="K239" s="32" t="s">
        <v>704</v>
      </c>
      <c r="L239" s="32" t="s">
        <v>705</v>
      </c>
      <c r="M239" s="32" t="s">
        <v>845</v>
      </c>
      <c r="N239" s="32">
        <v>5000</v>
      </c>
      <c r="O239" s="32">
        <v>622000</v>
      </c>
      <c r="P239" s="32" t="s">
        <v>845</v>
      </c>
      <c r="Q239" s="32">
        <v>733338</v>
      </c>
      <c r="R239" s="32">
        <v>9</v>
      </c>
      <c r="S239" s="32">
        <v>55980</v>
      </c>
      <c r="T239" s="32">
        <v>9</v>
      </c>
      <c r="U239" s="32">
        <v>55980</v>
      </c>
      <c r="V239" s="32">
        <v>0</v>
      </c>
      <c r="W239" s="32">
        <v>0</v>
      </c>
      <c r="X239" s="32">
        <v>0</v>
      </c>
      <c r="Y239" s="32">
        <v>111960</v>
      </c>
      <c r="Z239" s="32">
        <v>0</v>
      </c>
      <c r="AA239" s="32" t="s">
        <v>177</v>
      </c>
      <c r="AB239" s="32" t="s">
        <v>168</v>
      </c>
      <c r="AC239" s="32">
        <v>39014000</v>
      </c>
      <c r="AD239" s="32" t="s">
        <v>208</v>
      </c>
      <c r="AE239" s="32">
        <v>1</v>
      </c>
      <c r="AF239" s="32">
        <v>5000</v>
      </c>
      <c r="AG239" s="32" t="s">
        <v>209</v>
      </c>
    </row>
    <row r="240" spans="2:33" x14ac:dyDescent="0.25">
      <c r="B240" s="31">
        <v>46227</v>
      </c>
      <c r="C240" s="32" t="s">
        <v>908</v>
      </c>
      <c r="D240" s="32" t="s">
        <v>655</v>
      </c>
      <c r="E240" s="32" t="s">
        <v>909</v>
      </c>
      <c r="F240" s="32" t="s">
        <v>910</v>
      </c>
      <c r="G240" s="32" t="s">
        <v>911</v>
      </c>
      <c r="H240" s="31">
        <v>46219</v>
      </c>
      <c r="I240" s="32" t="s">
        <v>204</v>
      </c>
      <c r="J240" s="32" t="s">
        <v>160</v>
      </c>
      <c r="K240" s="32" t="s">
        <v>160</v>
      </c>
      <c r="L240" s="32" t="s">
        <v>309</v>
      </c>
      <c r="M240" s="32" t="s">
        <v>470</v>
      </c>
      <c r="N240" s="32">
        <v>50</v>
      </c>
      <c r="O240" s="32">
        <v>15550</v>
      </c>
      <c r="P240" s="32" t="s">
        <v>470</v>
      </c>
      <c r="Q240" s="32">
        <v>277058</v>
      </c>
      <c r="R240" s="32">
        <v>0</v>
      </c>
      <c r="S240" s="32">
        <v>0</v>
      </c>
      <c r="T240" s="32">
        <v>0</v>
      </c>
      <c r="U240" s="32">
        <v>0</v>
      </c>
      <c r="V240" s="32">
        <v>18</v>
      </c>
      <c r="W240" s="32">
        <v>2799</v>
      </c>
      <c r="X240" s="32">
        <v>0</v>
      </c>
      <c r="Y240" s="32">
        <v>2799</v>
      </c>
      <c r="Z240" s="32">
        <v>0</v>
      </c>
      <c r="AA240" s="32" t="s">
        <v>912</v>
      </c>
      <c r="AB240" s="32" t="s">
        <v>168</v>
      </c>
      <c r="AC240" s="32">
        <v>32151990</v>
      </c>
      <c r="AD240" s="32" t="s">
        <v>208</v>
      </c>
      <c r="AE240" s="32">
        <v>1</v>
      </c>
      <c r="AF240" s="32">
        <v>50</v>
      </c>
      <c r="AG240" s="32" t="s">
        <v>209</v>
      </c>
    </row>
    <row r="241" spans="2:33" x14ac:dyDescent="0.25">
      <c r="B241" s="31">
        <v>46227</v>
      </c>
      <c r="C241" s="32" t="s">
        <v>908</v>
      </c>
      <c r="D241" s="32" t="s">
        <v>655</v>
      </c>
      <c r="E241" s="32" t="s">
        <v>909</v>
      </c>
      <c r="F241" s="32" t="s">
        <v>910</v>
      </c>
      <c r="G241" s="32" t="s">
        <v>911</v>
      </c>
      <c r="H241" s="31">
        <v>46219</v>
      </c>
      <c r="I241" s="32" t="s">
        <v>204</v>
      </c>
      <c r="J241" s="32" t="s">
        <v>160</v>
      </c>
      <c r="K241" s="32" t="s">
        <v>160</v>
      </c>
      <c r="L241" s="32" t="s">
        <v>309</v>
      </c>
      <c r="M241" s="32" t="s">
        <v>331</v>
      </c>
      <c r="N241" s="32">
        <v>50</v>
      </c>
      <c r="O241" s="32">
        <v>14100</v>
      </c>
      <c r="P241" s="32" t="s">
        <v>331</v>
      </c>
      <c r="Q241" s="32">
        <v>0</v>
      </c>
      <c r="R241" s="32">
        <v>0</v>
      </c>
      <c r="S241" s="32">
        <v>0</v>
      </c>
      <c r="T241" s="32">
        <v>0</v>
      </c>
      <c r="U241" s="32">
        <v>0</v>
      </c>
      <c r="V241" s="32">
        <v>18</v>
      </c>
      <c r="W241" s="32">
        <v>2538</v>
      </c>
      <c r="X241" s="32">
        <v>0</v>
      </c>
      <c r="Y241" s="32">
        <v>2538</v>
      </c>
      <c r="Z241" s="32">
        <v>0</v>
      </c>
      <c r="AA241" s="32" t="s">
        <v>912</v>
      </c>
      <c r="AB241" s="32" t="s">
        <v>168</v>
      </c>
      <c r="AC241" s="32">
        <v>84485900</v>
      </c>
      <c r="AD241" s="32" t="s">
        <v>208</v>
      </c>
      <c r="AE241" s="32">
        <v>1</v>
      </c>
      <c r="AF241" s="32">
        <v>50</v>
      </c>
      <c r="AG241" s="32" t="s">
        <v>209</v>
      </c>
    </row>
    <row r="242" spans="2:33" x14ac:dyDescent="0.25">
      <c r="B242" s="31">
        <v>46227</v>
      </c>
      <c r="C242" s="32" t="s">
        <v>908</v>
      </c>
      <c r="D242" s="32" t="s">
        <v>655</v>
      </c>
      <c r="E242" s="32" t="s">
        <v>909</v>
      </c>
      <c r="F242" s="32" t="s">
        <v>910</v>
      </c>
      <c r="G242" s="32" t="s">
        <v>911</v>
      </c>
      <c r="H242" s="31">
        <v>46219</v>
      </c>
      <c r="I242" s="32" t="s">
        <v>204</v>
      </c>
      <c r="J242" s="32" t="s">
        <v>160</v>
      </c>
      <c r="K242" s="32" t="s">
        <v>160</v>
      </c>
      <c r="L242" s="32" t="s">
        <v>309</v>
      </c>
      <c r="M242" s="32" t="s">
        <v>913</v>
      </c>
      <c r="N242" s="32">
        <v>50</v>
      </c>
      <c r="O242" s="32">
        <v>16500</v>
      </c>
      <c r="P242" s="32" t="s">
        <v>913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18</v>
      </c>
      <c r="W242" s="32">
        <v>2970</v>
      </c>
      <c r="X242" s="32">
        <v>0</v>
      </c>
      <c r="Y242" s="32">
        <v>2970</v>
      </c>
      <c r="Z242" s="32">
        <v>0</v>
      </c>
      <c r="AA242" s="32" t="s">
        <v>912</v>
      </c>
      <c r="AB242" s="32" t="s">
        <v>168</v>
      </c>
      <c r="AC242" s="32">
        <v>32151910</v>
      </c>
      <c r="AD242" s="32" t="s">
        <v>208</v>
      </c>
      <c r="AE242" s="32">
        <v>1</v>
      </c>
      <c r="AF242" s="32">
        <v>50</v>
      </c>
      <c r="AG242" s="32" t="s">
        <v>209</v>
      </c>
    </row>
    <row r="243" spans="2:33" x14ac:dyDescent="0.25">
      <c r="B243" s="31">
        <v>46227</v>
      </c>
      <c r="C243" s="32" t="s">
        <v>908</v>
      </c>
      <c r="D243" s="32" t="s">
        <v>655</v>
      </c>
      <c r="E243" s="32" t="s">
        <v>909</v>
      </c>
      <c r="F243" s="32" t="s">
        <v>910</v>
      </c>
      <c r="G243" s="32" t="s">
        <v>911</v>
      </c>
      <c r="H243" s="31">
        <v>46219</v>
      </c>
      <c r="I243" s="32" t="s">
        <v>204</v>
      </c>
      <c r="J243" s="32" t="s">
        <v>160</v>
      </c>
      <c r="K243" s="32" t="s">
        <v>160</v>
      </c>
      <c r="L243" s="32" t="s">
        <v>309</v>
      </c>
      <c r="M243" s="32" t="s">
        <v>914</v>
      </c>
      <c r="N243" s="32">
        <v>25</v>
      </c>
      <c r="O243" s="32">
        <v>6925</v>
      </c>
      <c r="P243" s="32" t="s">
        <v>914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18</v>
      </c>
      <c r="W243" s="32">
        <v>1246.5</v>
      </c>
      <c r="X243" s="32">
        <v>0</v>
      </c>
      <c r="Y243" s="32">
        <v>1246.5</v>
      </c>
      <c r="Z243" s="32">
        <v>0</v>
      </c>
      <c r="AA243" s="32" t="s">
        <v>912</v>
      </c>
      <c r="AB243" s="32" t="s">
        <v>168</v>
      </c>
      <c r="AC243" s="32">
        <v>84529099</v>
      </c>
      <c r="AD243" s="32" t="s">
        <v>208</v>
      </c>
      <c r="AE243" s="32">
        <v>1</v>
      </c>
      <c r="AF243" s="32">
        <v>25</v>
      </c>
      <c r="AG243" s="32" t="s">
        <v>209</v>
      </c>
    </row>
    <row r="244" spans="2:33" x14ac:dyDescent="0.25">
      <c r="B244" s="31">
        <v>46227</v>
      </c>
      <c r="C244" s="32" t="s">
        <v>908</v>
      </c>
      <c r="D244" s="32" t="s">
        <v>655</v>
      </c>
      <c r="E244" s="32" t="s">
        <v>909</v>
      </c>
      <c r="F244" s="32" t="s">
        <v>910</v>
      </c>
      <c r="G244" s="32" t="s">
        <v>911</v>
      </c>
      <c r="H244" s="31">
        <v>46219</v>
      </c>
      <c r="I244" s="32" t="s">
        <v>204</v>
      </c>
      <c r="J244" s="32" t="s">
        <v>160</v>
      </c>
      <c r="K244" s="32" t="s">
        <v>160</v>
      </c>
      <c r="L244" s="32" t="s">
        <v>309</v>
      </c>
      <c r="M244" s="32" t="s">
        <v>915</v>
      </c>
      <c r="N244" s="32">
        <v>50</v>
      </c>
      <c r="O244" s="32">
        <v>14250</v>
      </c>
      <c r="P244" s="32" t="s">
        <v>915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18</v>
      </c>
      <c r="W244" s="32">
        <v>2565</v>
      </c>
      <c r="X244" s="32">
        <v>0</v>
      </c>
      <c r="Y244" s="32">
        <v>2565</v>
      </c>
      <c r="Z244" s="32">
        <v>0</v>
      </c>
      <c r="AA244" s="32" t="s">
        <v>912</v>
      </c>
      <c r="AB244" s="32" t="s">
        <v>168</v>
      </c>
      <c r="AC244" s="32">
        <v>32151910</v>
      </c>
      <c r="AD244" s="32" t="s">
        <v>208</v>
      </c>
      <c r="AE244" s="32">
        <v>1</v>
      </c>
      <c r="AF244" s="32">
        <v>50</v>
      </c>
      <c r="AG244" s="32" t="s">
        <v>209</v>
      </c>
    </row>
    <row r="245" spans="2:33" x14ac:dyDescent="0.25">
      <c r="B245" s="31">
        <v>46227</v>
      </c>
      <c r="C245" s="32" t="s">
        <v>908</v>
      </c>
      <c r="D245" s="32" t="s">
        <v>655</v>
      </c>
      <c r="E245" s="32" t="s">
        <v>909</v>
      </c>
      <c r="F245" s="32" t="s">
        <v>910</v>
      </c>
      <c r="G245" s="32" t="s">
        <v>911</v>
      </c>
      <c r="H245" s="31">
        <v>46219</v>
      </c>
      <c r="I245" s="32" t="s">
        <v>204</v>
      </c>
      <c r="J245" s="32" t="s">
        <v>160</v>
      </c>
      <c r="K245" s="32" t="s">
        <v>160</v>
      </c>
      <c r="L245" s="32" t="s">
        <v>309</v>
      </c>
      <c r="M245" s="32" t="s">
        <v>916</v>
      </c>
      <c r="N245" s="32">
        <v>50</v>
      </c>
      <c r="O245" s="32">
        <v>14250</v>
      </c>
      <c r="P245" s="32" t="s">
        <v>916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18</v>
      </c>
      <c r="W245" s="32">
        <v>2565</v>
      </c>
      <c r="X245" s="32">
        <v>0</v>
      </c>
      <c r="Y245" s="32">
        <v>2565</v>
      </c>
      <c r="Z245" s="32">
        <v>0</v>
      </c>
      <c r="AA245" s="32" t="s">
        <v>912</v>
      </c>
      <c r="AB245" s="32" t="s">
        <v>168</v>
      </c>
      <c r="AC245" s="32">
        <v>32151910</v>
      </c>
      <c r="AD245" s="32" t="s">
        <v>208</v>
      </c>
      <c r="AE245" s="32">
        <v>1</v>
      </c>
      <c r="AF245" s="32">
        <v>50</v>
      </c>
      <c r="AG245" s="32" t="s">
        <v>209</v>
      </c>
    </row>
    <row r="246" spans="2:33" x14ac:dyDescent="0.25">
      <c r="B246" s="31">
        <v>46227</v>
      </c>
      <c r="C246" s="32" t="s">
        <v>908</v>
      </c>
      <c r="D246" s="32" t="s">
        <v>655</v>
      </c>
      <c r="E246" s="32" t="s">
        <v>909</v>
      </c>
      <c r="F246" s="32" t="s">
        <v>910</v>
      </c>
      <c r="G246" s="32" t="s">
        <v>911</v>
      </c>
      <c r="H246" s="31">
        <v>46219</v>
      </c>
      <c r="I246" s="32" t="s">
        <v>204</v>
      </c>
      <c r="J246" s="32" t="s">
        <v>160</v>
      </c>
      <c r="K246" s="32" t="s">
        <v>165</v>
      </c>
      <c r="L246" s="32" t="s">
        <v>165</v>
      </c>
      <c r="M246" s="32" t="s">
        <v>203</v>
      </c>
      <c r="N246" s="32">
        <v>1190</v>
      </c>
      <c r="O246" s="32">
        <v>128520</v>
      </c>
      <c r="P246" s="32" t="s">
        <v>203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18</v>
      </c>
      <c r="W246" s="32">
        <v>23133.599999999999</v>
      </c>
      <c r="X246" s="32">
        <v>0</v>
      </c>
      <c r="Y246" s="32">
        <v>23133.599999999999</v>
      </c>
      <c r="Z246" s="32">
        <v>0</v>
      </c>
      <c r="AA246" s="32" t="s">
        <v>912</v>
      </c>
      <c r="AB246" s="32" t="s">
        <v>168</v>
      </c>
      <c r="AC246" s="32">
        <v>38140010</v>
      </c>
      <c r="AD246" s="32" t="s">
        <v>208</v>
      </c>
      <c r="AE246" s="32">
        <v>1</v>
      </c>
      <c r="AF246" s="32">
        <v>1190</v>
      </c>
      <c r="AG246" s="32" t="s">
        <v>209</v>
      </c>
    </row>
    <row r="247" spans="2:33" x14ac:dyDescent="0.25">
      <c r="B247" s="31">
        <v>46227</v>
      </c>
      <c r="C247" s="32" t="s">
        <v>908</v>
      </c>
      <c r="D247" s="32" t="s">
        <v>655</v>
      </c>
      <c r="E247" s="32" t="s">
        <v>909</v>
      </c>
      <c r="F247" s="32" t="s">
        <v>910</v>
      </c>
      <c r="G247" s="32" t="s">
        <v>911</v>
      </c>
      <c r="H247" s="31">
        <v>46219</v>
      </c>
      <c r="I247" s="32" t="s">
        <v>204</v>
      </c>
      <c r="J247" s="32" t="s">
        <v>160</v>
      </c>
      <c r="K247" s="32" t="s">
        <v>160</v>
      </c>
      <c r="L247" s="32" t="s">
        <v>309</v>
      </c>
      <c r="M247" s="32" t="s">
        <v>306</v>
      </c>
      <c r="N247" s="32">
        <v>50</v>
      </c>
      <c r="O247" s="32">
        <v>13850</v>
      </c>
      <c r="P247" s="32" t="s">
        <v>306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18</v>
      </c>
      <c r="W247" s="32">
        <v>2493</v>
      </c>
      <c r="X247" s="32">
        <v>0</v>
      </c>
      <c r="Y247" s="32">
        <v>2493</v>
      </c>
      <c r="Z247" s="32">
        <v>0</v>
      </c>
      <c r="AA247" s="32" t="s">
        <v>912</v>
      </c>
      <c r="AB247" s="32" t="s">
        <v>168</v>
      </c>
      <c r="AC247" s="32">
        <v>321519</v>
      </c>
      <c r="AD247" s="32" t="s">
        <v>208</v>
      </c>
      <c r="AE247" s="32">
        <v>1</v>
      </c>
      <c r="AF247" s="32">
        <v>50</v>
      </c>
      <c r="AG247" s="32" t="s">
        <v>209</v>
      </c>
    </row>
    <row r="248" spans="2:33" x14ac:dyDescent="0.25">
      <c r="B248" s="31">
        <v>46227</v>
      </c>
      <c r="C248" s="32" t="s">
        <v>908</v>
      </c>
      <c r="D248" s="32" t="s">
        <v>655</v>
      </c>
      <c r="E248" s="32" t="s">
        <v>909</v>
      </c>
      <c r="F248" s="32" t="s">
        <v>910</v>
      </c>
      <c r="G248" s="32" t="s">
        <v>911</v>
      </c>
      <c r="H248" s="31">
        <v>46219</v>
      </c>
      <c r="I248" s="32" t="s">
        <v>204</v>
      </c>
      <c r="J248" s="32" t="s">
        <v>160</v>
      </c>
      <c r="K248" s="32" t="s">
        <v>160</v>
      </c>
      <c r="L248" s="32" t="s">
        <v>309</v>
      </c>
      <c r="M248" s="32" t="s">
        <v>304</v>
      </c>
      <c r="N248" s="32">
        <v>50</v>
      </c>
      <c r="O248" s="32">
        <v>10850</v>
      </c>
      <c r="P248" s="32" t="s">
        <v>304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18</v>
      </c>
      <c r="W248" s="32">
        <v>1953</v>
      </c>
      <c r="X248" s="32">
        <v>0</v>
      </c>
      <c r="Y248" s="32">
        <v>1953</v>
      </c>
      <c r="Z248" s="32">
        <v>0</v>
      </c>
      <c r="AA248" s="32" t="s">
        <v>912</v>
      </c>
      <c r="AB248" s="32" t="s">
        <v>168</v>
      </c>
      <c r="AC248" s="32">
        <v>32151910</v>
      </c>
      <c r="AD248" s="32" t="s">
        <v>208</v>
      </c>
      <c r="AE248" s="32">
        <v>1</v>
      </c>
      <c r="AF248" s="32">
        <v>50</v>
      </c>
      <c r="AG248" s="32" t="s">
        <v>209</v>
      </c>
    </row>
    <row r="249" spans="2:33" x14ac:dyDescent="0.25">
      <c r="B249" s="31">
        <v>46228</v>
      </c>
      <c r="C249" s="32" t="s">
        <v>654</v>
      </c>
      <c r="D249" s="32" t="s">
        <v>655</v>
      </c>
      <c r="E249" s="32" t="s">
        <v>917</v>
      </c>
      <c r="F249" s="32" t="s">
        <v>657</v>
      </c>
      <c r="G249" s="32" t="s">
        <v>918</v>
      </c>
      <c r="H249" s="31">
        <v>46228</v>
      </c>
      <c r="I249" s="32" t="s">
        <v>169</v>
      </c>
      <c r="J249" s="32" t="s">
        <v>176</v>
      </c>
      <c r="K249" s="32" t="s">
        <v>159</v>
      </c>
      <c r="L249" s="32" t="s">
        <v>159</v>
      </c>
      <c r="M249" s="32" t="s">
        <v>174</v>
      </c>
      <c r="N249" s="32">
        <v>1386</v>
      </c>
      <c r="O249" s="32">
        <v>253333.08</v>
      </c>
      <c r="P249" s="32" t="s">
        <v>174</v>
      </c>
      <c r="Q249" s="32">
        <v>1062680.03</v>
      </c>
      <c r="R249" s="32">
        <v>9</v>
      </c>
      <c r="S249" s="32">
        <v>22799.98</v>
      </c>
      <c r="T249" s="32">
        <v>9</v>
      </c>
      <c r="U249" s="32">
        <v>22799.98</v>
      </c>
      <c r="V249" s="32">
        <v>0</v>
      </c>
      <c r="W249" s="32">
        <v>0</v>
      </c>
      <c r="X249" s="32">
        <v>0</v>
      </c>
      <c r="Y249" s="32">
        <v>45599.96</v>
      </c>
      <c r="Z249" s="32">
        <v>0</v>
      </c>
      <c r="AA249" s="32" t="s">
        <v>177</v>
      </c>
      <c r="AB249" s="32" t="s">
        <v>168</v>
      </c>
      <c r="AC249" s="32">
        <v>39200000</v>
      </c>
      <c r="AD249" s="32" t="s">
        <v>208</v>
      </c>
      <c r="AE249" s="32">
        <v>1</v>
      </c>
      <c r="AF249" s="32">
        <v>1386</v>
      </c>
      <c r="AG249" s="32" t="s">
        <v>209</v>
      </c>
    </row>
    <row r="250" spans="2:33" x14ac:dyDescent="0.25">
      <c r="B250" s="31">
        <v>46228</v>
      </c>
      <c r="C250" s="32" t="s">
        <v>654</v>
      </c>
      <c r="D250" s="32" t="s">
        <v>655</v>
      </c>
      <c r="E250" s="32" t="s">
        <v>917</v>
      </c>
      <c r="F250" s="32" t="s">
        <v>657</v>
      </c>
      <c r="G250" s="32" t="s">
        <v>918</v>
      </c>
      <c r="H250" s="31">
        <v>46228</v>
      </c>
      <c r="I250" s="32" t="s">
        <v>169</v>
      </c>
      <c r="J250" s="32" t="s">
        <v>180</v>
      </c>
      <c r="K250" s="32" t="s">
        <v>156</v>
      </c>
      <c r="L250" s="32" t="s">
        <v>218</v>
      </c>
      <c r="M250" s="32" t="s">
        <v>179</v>
      </c>
      <c r="N250" s="32">
        <v>1289</v>
      </c>
      <c r="O250" s="32">
        <v>195270.61</v>
      </c>
      <c r="P250" s="32" t="s">
        <v>179</v>
      </c>
      <c r="Q250" s="32">
        <v>0</v>
      </c>
      <c r="R250" s="32">
        <v>9</v>
      </c>
      <c r="S250" s="32">
        <v>17574.349999999999</v>
      </c>
      <c r="T250" s="32">
        <v>9</v>
      </c>
      <c r="U250" s="32">
        <v>17574.349999999999</v>
      </c>
      <c r="V250" s="32">
        <v>0</v>
      </c>
      <c r="W250" s="32">
        <v>0</v>
      </c>
      <c r="X250" s="32">
        <v>0</v>
      </c>
      <c r="Y250" s="32">
        <v>35148.699999999997</v>
      </c>
      <c r="Z250" s="32">
        <v>0</v>
      </c>
      <c r="AA250" s="32" t="s">
        <v>177</v>
      </c>
      <c r="AB250" s="32" t="s">
        <v>168</v>
      </c>
      <c r="AC250" s="32">
        <v>63053300</v>
      </c>
      <c r="AD250" s="32" t="s">
        <v>208</v>
      </c>
      <c r="AE250" s="32">
        <v>1</v>
      </c>
      <c r="AF250" s="32">
        <v>1289</v>
      </c>
      <c r="AG250" s="32" t="s">
        <v>209</v>
      </c>
    </row>
    <row r="251" spans="2:33" x14ac:dyDescent="0.25">
      <c r="B251" s="31">
        <v>46228</v>
      </c>
      <c r="C251" s="32" t="s">
        <v>654</v>
      </c>
      <c r="D251" s="32" t="s">
        <v>655</v>
      </c>
      <c r="E251" s="32" t="s">
        <v>917</v>
      </c>
      <c r="F251" s="32" t="s">
        <v>657</v>
      </c>
      <c r="G251" s="32" t="s">
        <v>918</v>
      </c>
      <c r="H251" s="31">
        <v>46228</v>
      </c>
      <c r="I251" s="32" t="s">
        <v>169</v>
      </c>
      <c r="J251" s="32" t="s">
        <v>182</v>
      </c>
      <c r="K251" s="32" t="s">
        <v>154</v>
      </c>
      <c r="L251" s="32" t="s">
        <v>154</v>
      </c>
      <c r="M251" s="32" t="s">
        <v>182</v>
      </c>
      <c r="N251" s="32">
        <v>1007.9</v>
      </c>
      <c r="O251" s="32">
        <v>150670.97</v>
      </c>
      <c r="P251" s="32" t="s">
        <v>182</v>
      </c>
      <c r="Q251" s="32">
        <v>0</v>
      </c>
      <c r="R251" s="32">
        <v>9</v>
      </c>
      <c r="S251" s="32">
        <v>13560.39</v>
      </c>
      <c r="T251" s="32">
        <v>9</v>
      </c>
      <c r="U251" s="32">
        <v>13560.39</v>
      </c>
      <c r="V251" s="32">
        <v>0</v>
      </c>
      <c r="W251" s="32">
        <v>0</v>
      </c>
      <c r="X251" s="32">
        <v>0</v>
      </c>
      <c r="Y251" s="32">
        <v>27120.78</v>
      </c>
      <c r="Z251" s="32">
        <v>0</v>
      </c>
      <c r="AA251" s="32" t="s">
        <v>177</v>
      </c>
      <c r="AB251" s="32" t="s">
        <v>168</v>
      </c>
      <c r="AC251" s="32">
        <v>3926908</v>
      </c>
      <c r="AD251" s="32" t="s">
        <v>208</v>
      </c>
      <c r="AE251" s="32">
        <v>1</v>
      </c>
      <c r="AF251" s="32">
        <v>1007.9</v>
      </c>
      <c r="AG251" s="32" t="s">
        <v>209</v>
      </c>
    </row>
    <row r="252" spans="2:33" x14ac:dyDescent="0.25">
      <c r="B252" s="31">
        <v>46228</v>
      </c>
      <c r="C252" s="32" t="s">
        <v>654</v>
      </c>
      <c r="D252" s="32" t="s">
        <v>655</v>
      </c>
      <c r="E252" s="32" t="s">
        <v>917</v>
      </c>
      <c r="F252" s="32" t="s">
        <v>657</v>
      </c>
      <c r="G252" s="32" t="s">
        <v>918</v>
      </c>
      <c r="H252" s="31">
        <v>46228</v>
      </c>
      <c r="I252" s="32" t="s">
        <v>169</v>
      </c>
      <c r="J252" s="32" t="s">
        <v>182</v>
      </c>
      <c r="K252" s="32" t="s">
        <v>154</v>
      </c>
      <c r="L252" s="32" t="s">
        <v>154</v>
      </c>
      <c r="M252" s="32" t="s">
        <v>182</v>
      </c>
      <c r="N252" s="32">
        <v>1107.5999999999999</v>
      </c>
      <c r="O252" s="32">
        <v>162252.32</v>
      </c>
      <c r="P252" s="32" t="s">
        <v>182</v>
      </c>
      <c r="Q252" s="32">
        <v>0</v>
      </c>
      <c r="R252" s="32">
        <v>9</v>
      </c>
      <c r="S252" s="32">
        <v>14602.71</v>
      </c>
      <c r="T252" s="32">
        <v>9</v>
      </c>
      <c r="U252" s="32">
        <v>14602.71</v>
      </c>
      <c r="V252" s="32">
        <v>0</v>
      </c>
      <c r="W252" s="32">
        <v>0</v>
      </c>
      <c r="X252" s="32">
        <v>0</v>
      </c>
      <c r="Y252" s="32">
        <v>29205.42</v>
      </c>
      <c r="Z252" s="32">
        <v>0</v>
      </c>
      <c r="AA252" s="32" t="s">
        <v>177</v>
      </c>
      <c r="AB252" s="32" t="s">
        <v>168</v>
      </c>
      <c r="AC252" s="32">
        <v>3926908</v>
      </c>
      <c r="AD252" s="32" t="s">
        <v>208</v>
      </c>
      <c r="AE252" s="32">
        <v>1</v>
      </c>
      <c r="AF252" s="32">
        <v>1107.5999999999999</v>
      </c>
      <c r="AG252" s="32" t="s">
        <v>209</v>
      </c>
    </row>
    <row r="253" spans="2:33" x14ac:dyDescent="0.25">
      <c r="B253" s="31">
        <v>46228</v>
      </c>
      <c r="C253" s="32" t="s">
        <v>654</v>
      </c>
      <c r="D253" s="32" t="s">
        <v>655</v>
      </c>
      <c r="E253" s="32" t="s">
        <v>917</v>
      </c>
      <c r="F253" s="32" t="s">
        <v>657</v>
      </c>
      <c r="G253" s="32" t="s">
        <v>918</v>
      </c>
      <c r="H253" s="31">
        <v>46228</v>
      </c>
      <c r="I253" s="32" t="s">
        <v>169</v>
      </c>
      <c r="J253" s="32" t="s">
        <v>170</v>
      </c>
      <c r="K253" s="32" t="s">
        <v>157</v>
      </c>
      <c r="L253" s="32" t="s">
        <v>233</v>
      </c>
      <c r="M253" s="32" t="s">
        <v>684</v>
      </c>
      <c r="N253" s="32">
        <v>948.6</v>
      </c>
      <c r="O253" s="32">
        <v>148446.41</v>
      </c>
      <c r="P253" s="32" t="s">
        <v>684</v>
      </c>
      <c r="Q253" s="32">
        <v>0</v>
      </c>
      <c r="R253" s="32">
        <v>2.5</v>
      </c>
      <c r="S253" s="32">
        <v>3711.16</v>
      </c>
      <c r="T253" s="32">
        <v>2.5</v>
      </c>
      <c r="U253" s="32">
        <v>3711.16</v>
      </c>
      <c r="V253" s="32">
        <v>0</v>
      </c>
      <c r="W253" s="32">
        <v>0</v>
      </c>
      <c r="X253" s="32">
        <v>0</v>
      </c>
      <c r="Y253" s="32">
        <v>7422.32</v>
      </c>
      <c r="Z253" s="32">
        <v>0</v>
      </c>
      <c r="AA253" s="32" t="s">
        <v>177</v>
      </c>
      <c r="AB253" s="32" t="s">
        <v>188</v>
      </c>
      <c r="AC253" s="32">
        <v>54026930</v>
      </c>
      <c r="AD253" s="32" t="s">
        <v>208</v>
      </c>
      <c r="AE253" s="32">
        <v>1</v>
      </c>
      <c r="AF253" s="32">
        <v>948.6</v>
      </c>
      <c r="AG253" s="32" t="s">
        <v>209</v>
      </c>
    </row>
    <row r="254" spans="2:33" x14ac:dyDescent="0.25">
      <c r="B254" s="31">
        <v>46228</v>
      </c>
      <c r="C254" s="32" t="s">
        <v>654</v>
      </c>
      <c r="D254" s="32" t="s">
        <v>655</v>
      </c>
      <c r="E254" s="32" t="s">
        <v>917</v>
      </c>
      <c r="F254" s="32" t="s">
        <v>657</v>
      </c>
      <c r="G254" s="32" t="s">
        <v>918</v>
      </c>
      <c r="H254" s="31">
        <v>46228</v>
      </c>
      <c r="I254" s="32" t="s">
        <v>169</v>
      </c>
      <c r="J254" s="32" t="s">
        <v>170</v>
      </c>
      <c r="K254" s="32" t="s">
        <v>157</v>
      </c>
      <c r="L254" s="32" t="s">
        <v>233</v>
      </c>
      <c r="M254" s="32" t="s">
        <v>681</v>
      </c>
      <c r="N254" s="32">
        <v>54</v>
      </c>
      <c r="O254" s="32">
        <v>8693.4599999999991</v>
      </c>
      <c r="P254" s="32" t="s">
        <v>681</v>
      </c>
      <c r="Q254" s="32">
        <v>0</v>
      </c>
      <c r="R254" s="32">
        <v>2.5</v>
      </c>
      <c r="S254" s="32">
        <v>217.34</v>
      </c>
      <c r="T254" s="32">
        <v>2.5</v>
      </c>
      <c r="U254" s="32">
        <v>217.34</v>
      </c>
      <c r="V254" s="32">
        <v>0</v>
      </c>
      <c r="W254" s="32">
        <v>0</v>
      </c>
      <c r="X254" s="32">
        <v>0</v>
      </c>
      <c r="Y254" s="32">
        <v>434.68</v>
      </c>
      <c r="Z254" s="32">
        <v>0</v>
      </c>
      <c r="AA254" s="32" t="s">
        <v>177</v>
      </c>
      <c r="AB254" s="32" t="s">
        <v>168</v>
      </c>
      <c r="AC254" s="32">
        <v>540269</v>
      </c>
      <c r="AD254" s="32" t="s">
        <v>208</v>
      </c>
      <c r="AE254" s="32">
        <v>1</v>
      </c>
      <c r="AF254" s="32">
        <v>54</v>
      </c>
      <c r="AG254" s="32" t="s">
        <v>209</v>
      </c>
    </row>
    <row r="255" spans="2:33" x14ac:dyDescent="0.25">
      <c r="B255" s="31">
        <v>46229</v>
      </c>
      <c r="C255" s="32" t="s">
        <v>654</v>
      </c>
      <c r="D255" s="32" t="s">
        <v>655</v>
      </c>
      <c r="E255" s="32" t="s">
        <v>919</v>
      </c>
      <c r="F255" s="32" t="s">
        <v>657</v>
      </c>
      <c r="G255" s="32" t="s">
        <v>920</v>
      </c>
      <c r="H255" s="31">
        <v>46229</v>
      </c>
      <c r="I255" s="32" t="s">
        <v>169</v>
      </c>
      <c r="J255" s="32" t="s">
        <v>180</v>
      </c>
      <c r="K255" s="32" t="s">
        <v>155</v>
      </c>
      <c r="L255" s="32" t="s">
        <v>210</v>
      </c>
      <c r="M255" s="32" t="s">
        <v>187</v>
      </c>
      <c r="N255" s="32">
        <v>412</v>
      </c>
      <c r="O255" s="32">
        <v>59529.88</v>
      </c>
      <c r="P255" s="32" t="s">
        <v>187</v>
      </c>
      <c r="Q255" s="32">
        <v>70185.73</v>
      </c>
      <c r="R255" s="32">
        <v>9</v>
      </c>
      <c r="S255" s="32">
        <v>5357.69</v>
      </c>
      <c r="T255" s="32">
        <v>9</v>
      </c>
      <c r="U255" s="32">
        <v>5357.69</v>
      </c>
      <c r="V255" s="32">
        <v>0</v>
      </c>
      <c r="W255" s="32">
        <v>0</v>
      </c>
      <c r="X255" s="32">
        <v>0</v>
      </c>
      <c r="Y255" s="32">
        <v>10715.38</v>
      </c>
      <c r="Z255" s="32">
        <v>0</v>
      </c>
      <c r="AA255" s="32" t="s">
        <v>177</v>
      </c>
      <c r="AB255" s="32" t="s">
        <v>168</v>
      </c>
      <c r="AC255" s="32">
        <v>39269080</v>
      </c>
      <c r="AD255" s="32" t="s">
        <v>208</v>
      </c>
      <c r="AE255" s="32">
        <v>1</v>
      </c>
      <c r="AF255" s="32">
        <v>412</v>
      </c>
      <c r="AG255" s="32" t="s">
        <v>209</v>
      </c>
    </row>
    <row r="256" spans="2:33" x14ac:dyDescent="0.25">
      <c r="B256" s="31">
        <v>46229</v>
      </c>
      <c r="C256" s="32" t="s">
        <v>654</v>
      </c>
      <c r="D256" s="32" t="s">
        <v>655</v>
      </c>
      <c r="E256" s="32" t="s">
        <v>921</v>
      </c>
      <c r="F256" s="32" t="s">
        <v>657</v>
      </c>
      <c r="G256" s="32" t="s">
        <v>922</v>
      </c>
      <c r="H256" s="31">
        <v>46229</v>
      </c>
      <c r="I256" s="32" t="s">
        <v>169</v>
      </c>
      <c r="J256" s="32" t="s">
        <v>180</v>
      </c>
      <c r="K256" s="32" t="s">
        <v>156</v>
      </c>
      <c r="L256" s="32" t="s">
        <v>218</v>
      </c>
      <c r="M256" s="32" t="s">
        <v>179</v>
      </c>
      <c r="N256" s="32">
        <v>1368</v>
      </c>
      <c r="O256" s="32">
        <v>207238.32</v>
      </c>
      <c r="P256" s="32" t="s">
        <v>179</v>
      </c>
      <c r="Q256" s="32">
        <v>559881.34</v>
      </c>
      <c r="R256" s="32">
        <v>9</v>
      </c>
      <c r="S256" s="32">
        <v>18651.45</v>
      </c>
      <c r="T256" s="32">
        <v>9</v>
      </c>
      <c r="U256" s="32">
        <v>18651.45</v>
      </c>
      <c r="V256" s="32">
        <v>0</v>
      </c>
      <c r="W256" s="32">
        <v>0</v>
      </c>
      <c r="X256" s="32">
        <v>0</v>
      </c>
      <c r="Y256" s="32">
        <v>37302.9</v>
      </c>
      <c r="Z256" s="32">
        <v>0</v>
      </c>
      <c r="AA256" s="32" t="s">
        <v>177</v>
      </c>
      <c r="AB256" s="32" t="s">
        <v>168</v>
      </c>
      <c r="AC256" s="32">
        <v>63053300</v>
      </c>
      <c r="AD256" s="32" t="s">
        <v>208</v>
      </c>
      <c r="AE256" s="32">
        <v>1</v>
      </c>
      <c r="AF256" s="32">
        <v>1368</v>
      </c>
      <c r="AG256" s="32" t="s">
        <v>209</v>
      </c>
    </row>
    <row r="257" spans="2:33" x14ac:dyDescent="0.25">
      <c r="B257" s="31">
        <v>46229</v>
      </c>
      <c r="C257" s="32" t="s">
        <v>654</v>
      </c>
      <c r="D257" s="32" t="s">
        <v>655</v>
      </c>
      <c r="E257" s="32" t="s">
        <v>921</v>
      </c>
      <c r="F257" s="32" t="s">
        <v>657</v>
      </c>
      <c r="G257" s="32" t="s">
        <v>922</v>
      </c>
      <c r="H257" s="31">
        <v>46229</v>
      </c>
      <c r="I257" s="32" t="s">
        <v>169</v>
      </c>
      <c r="J257" s="32" t="s">
        <v>182</v>
      </c>
      <c r="K257" s="32" t="s">
        <v>154</v>
      </c>
      <c r="L257" s="32" t="s">
        <v>154</v>
      </c>
      <c r="M257" s="32" t="s">
        <v>182</v>
      </c>
      <c r="N257" s="32">
        <v>276.10000000000002</v>
      </c>
      <c r="O257" s="32">
        <v>40445.879999999997</v>
      </c>
      <c r="P257" s="32" t="s">
        <v>182</v>
      </c>
      <c r="Q257" s="32">
        <v>0</v>
      </c>
      <c r="R257" s="32">
        <v>9</v>
      </c>
      <c r="S257" s="32">
        <v>3640.13</v>
      </c>
      <c r="T257" s="32">
        <v>9</v>
      </c>
      <c r="U257" s="32">
        <v>3640.13</v>
      </c>
      <c r="V257" s="32">
        <v>0</v>
      </c>
      <c r="W257" s="32">
        <v>0</v>
      </c>
      <c r="X257" s="32">
        <v>0</v>
      </c>
      <c r="Y257" s="32">
        <v>7280.26</v>
      </c>
      <c r="Z257" s="32">
        <v>0</v>
      </c>
      <c r="AA257" s="32" t="s">
        <v>177</v>
      </c>
      <c r="AB257" s="32" t="s">
        <v>168</v>
      </c>
      <c r="AC257" s="32">
        <v>3926908</v>
      </c>
      <c r="AD257" s="32" t="s">
        <v>208</v>
      </c>
      <c r="AE257" s="32">
        <v>1</v>
      </c>
      <c r="AF257" s="32">
        <v>276.10000000000002</v>
      </c>
      <c r="AG257" s="32" t="s">
        <v>209</v>
      </c>
    </row>
    <row r="258" spans="2:33" x14ac:dyDescent="0.25">
      <c r="B258" s="31">
        <v>46229</v>
      </c>
      <c r="C258" s="32" t="s">
        <v>654</v>
      </c>
      <c r="D258" s="32" t="s">
        <v>655</v>
      </c>
      <c r="E258" s="32" t="s">
        <v>921</v>
      </c>
      <c r="F258" s="32" t="s">
        <v>657</v>
      </c>
      <c r="G258" s="32" t="s">
        <v>922</v>
      </c>
      <c r="H258" s="31">
        <v>46229</v>
      </c>
      <c r="I258" s="32" t="s">
        <v>169</v>
      </c>
      <c r="J258" s="32" t="s">
        <v>182</v>
      </c>
      <c r="K258" s="32" t="s">
        <v>154</v>
      </c>
      <c r="L258" s="32" t="s">
        <v>154</v>
      </c>
      <c r="M258" s="32" t="s">
        <v>182</v>
      </c>
      <c r="N258" s="32">
        <v>279.2</v>
      </c>
      <c r="O258" s="32">
        <v>41737.620000000003</v>
      </c>
      <c r="P258" s="32" t="s">
        <v>182</v>
      </c>
      <c r="Q258" s="32">
        <v>0</v>
      </c>
      <c r="R258" s="32">
        <v>9</v>
      </c>
      <c r="S258" s="32">
        <v>3756.38</v>
      </c>
      <c r="T258" s="32">
        <v>9</v>
      </c>
      <c r="U258" s="32">
        <v>3756.38</v>
      </c>
      <c r="V258" s="32">
        <v>0</v>
      </c>
      <c r="W258" s="32">
        <v>0</v>
      </c>
      <c r="X258" s="32">
        <v>0</v>
      </c>
      <c r="Y258" s="32">
        <v>7512.76</v>
      </c>
      <c r="Z258" s="32">
        <v>0</v>
      </c>
      <c r="AA258" s="32" t="s">
        <v>177</v>
      </c>
      <c r="AB258" s="32" t="s">
        <v>168</v>
      </c>
      <c r="AC258" s="32">
        <v>3926908</v>
      </c>
      <c r="AD258" s="32" t="s">
        <v>208</v>
      </c>
      <c r="AE258" s="32">
        <v>1</v>
      </c>
      <c r="AF258" s="32">
        <v>279.2</v>
      </c>
      <c r="AG258" s="32" t="s">
        <v>209</v>
      </c>
    </row>
    <row r="259" spans="2:33" x14ac:dyDescent="0.25">
      <c r="B259" s="31">
        <v>46229</v>
      </c>
      <c r="C259" s="32" t="s">
        <v>654</v>
      </c>
      <c r="D259" s="32" t="s">
        <v>655</v>
      </c>
      <c r="E259" s="32" t="s">
        <v>921</v>
      </c>
      <c r="F259" s="32" t="s">
        <v>657</v>
      </c>
      <c r="G259" s="32" t="s">
        <v>922</v>
      </c>
      <c r="H259" s="31">
        <v>46229</v>
      </c>
      <c r="I259" s="32" t="s">
        <v>169</v>
      </c>
      <c r="J259" s="32" t="s">
        <v>180</v>
      </c>
      <c r="K259" s="32" t="s">
        <v>155</v>
      </c>
      <c r="L259" s="32" t="s">
        <v>210</v>
      </c>
      <c r="M259" s="32" t="s">
        <v>187</v>
      </c>
      <c r="N259" s="32">
        <v>1266</v>
      </c>
      <c r="O259" s="32">
        <v>185456.34</v>
      </c>
      <c r="P259" s="32" t="s">
        <v>187</v>
      </c>
      <c r="Q259" s="32">
        <v>0</v>
      </c>
      <c r="R259" s="32">
        <v>9</v>
      </c>
      <c r="S259" s="32">
        <v>16691.07</v>
      </c>
      <c r="T259" s="32">
        <v>9</v>
      </c>
      <c r="U259" s="32">
        <v>16691.07</v>
      </c>
      <c r="V259" s="32">
        <v>0</v>
      </c>
      <c r="W259" s="32">
        <v>0</v>
      </c>
      <c r="X259" s="32">
        <v>0</v>
      </c>
      <c r="Y259" s="32">
        <v>33382.14</v>
      </c>
      <c r="Z259" s="32">
        <v>0</v>
      </c>
      <c r="AA259" s="32" t="s">
        <v>177</v>
      </c>
      <c r="AB259" s="32" t="s">
        <v>168</v>
      </c>
      <c r="AC259" s="32">
        <v>39269080</v>
      </c>
      <c r="AD259" s="32" t="s">
        <v>208</v>
      </c>
      <c r="AE259" s="32">
        <v>1</v>
      </c>
      <c r="AF259" s="32">
        <v>1266</v>
      </c>
      <c r="AG259" s="32" t="s">
        <v>209</v>
      </c>
    </row>
    <row r="260" spans="2:33" x14ac:dyDescent="0.25">
      <c r="B260" s="31">
        <v>46230</v>
      </c>
      <c r="C260" s="32" t="s">
        <v>665</v>
      </c>
      <c r="D260" s="32" t="s">
        <v>655</v>
      </c>
      <c r="E260" s="32" t="s">
        <v>923</v>
      </c>
      <c r="F260" s="32" t="s">
        <v>657</v>
      </c>
      <c r="G260" s="32" t="s">
        <v>924</v>
      </c>
      <c r="H260" s="31">
        <v>46228</v>
      </c>
      <c r="I260" s="32" t="s">
        <v>169</v>
      </c>
      <c r="J260" s="32" t="s">
        <v>180</v>
      </c>
      <c r="K260" s="32" t="s">
        <v>155</v>
      </c>
      <c r="L260" s="32" t="s">
        <v>210</v>
      </c>
      <c r="M260" s="32" t="s">
        <v>187</v>
      </c>
      <c r="N260" s="32">
        <v>188</v>
      </c>
      <c r="O260" s="32">
        <v>29984.12</v>
      </c>
      <c r="P260" s="32" t="s">
        <v>187</v>
      </c>
      <c r="Q260" s="32">
        <v>1201410.17</v>
      </c>
      <c r="R260" s="32">
        <v>9</v>
      </c>
      <c r="S260" s="32">
        <v>2698.57</v>
      </c>
      <c r="T260" s="32">
        <v>9</v>
      </c>
      <c r="U260" s="32">
        <v>2698.57</v>
      </c>
      <c r="V260" s="32">
        <v>0</v>
      </c>
      <c r="W260" s="32">
        <v>0</v>
      </c>
      <c r="X260" s="32">
        <v>0</v>
      </c>
      <c r="Y260" s="32">
        <v>5397.14</v>
      </c>
      <c r="Z260" s="32">
        <v>0</v>
      </c>
      <c r="AA260" s="32" t="s">
        <v>189</v>
      </c>
      <c r="AB260" s="32" t="s">
        <v>168</v>
      </c>
      <c r="AC260" s="32">
        <v>39269080</v>
      </c>
      <c r="AD260" s="32" t="s">
        <v>208</v>
      </c>
      <c r="AE260" s="32">
        <v>1</v>
      </c>
      <c r="AF260" s="32">
        <v>188</v>
      </c>
      <c r="AG260" s="32" t="s">
        <v>209</v>
      </c>
    </row>
    <row r="261" spans="2:33" x14ac:dyDescent="0.25">
      <c r="B261" s="31">
        <v>46230</v>
      </c>
      <c r="C261" s="32" t="s">
        <v>665</v>
      </c>
      <c r="D261" s="32" t="s">
        <v>655</v>
      </c>
      <c r="E261" s="32" t="s">
        <v>923</v>
      </c>
      <c r="F261" s="32" t="s">
        <v>657</v>
      </c>
      <c r="G261" s="32" t="s">
        <v>924</v>
      </c>
      <c r="H261" s="31">
        <v>46228</v>
      </c>
      <c r="I261" s="32" t="s">
        <v>169</v>
      </c>
      <c r="J261" s="32" t="s">
        <v>180</v>
      </c>
      <c r="K261" s="32" t="s">
        <v>155</v>
      </c>
      <c r="L261" s="32" t="s">
        <v>210</v>
      </c>
      <c r="M261" s="32" t="s">
        <v>187</v>
      </c>
      <c r="N261" s="32">
        <v>5908</v>
      </c>
      <c r="O261" s="32">
        <v>924542.92</v>
      </c>
      <c r="P261" s="32" t="s">
        <v>187</v>
      </c>
      <c r="Q261" s="32">
        <v>0</v>
      </c>
      <c r="R261" s="32">
        <v>9</v>
      </c>
      <c r="S261" s="32">
        <v>83208.86</v>
      </c>
      <c r="T261" s="32">
        <v>9</v>
      </c>
      <c r="U261" s="32">
        <v>83208.86</v>
      </c>
      <c r="V261" s="32">
        <v>0</v>
      </c>
      <c r="W261" s="32">
        <v>0</v>
      </c>
      <c r="X261" s="32">
        <v>0</v>
      </c>
      <c r="Y261" s="32">
        <v>166417.72</v>
      </c>
      <c r="Z261" s="32">
        <v>0</v>
      </c>
      <c r="AA261" s="32" t="s">
        <v>189</v>
      </c>
      <c r="AB261" s="32" t="s">
        <v>168</v>
      </c>
      <c r="AC261" s="32">
        <v>39269080</v>
      </c>
      <c r="AD261" s="32" t="s">
        <v>208</v>
      </c>
      <c r="AE261" s="32">
        <v>1</v>
      </c>
      <c r="AF261" s="32">
        <v>5908</v>
      </c>
      <c r="AG261" s="32" t="s">
        <v>209</v>
      </c>
    </row>
    <row r="262" spans="2:33" x14ac:dyDescent="0.25">
      <c r="B262" s="31">
        <v>46230</v>
      </c>
      <c r="C262" s="32" t="s">
        <v>665</v>
      </c>
      <c r="D262" s="32" t="s">
        <v>655</v>
      </c>
      <c r="E262" s="32" t="s">
        <v>923</v>
      </c>
      <c r="F262" s="32" t="s">
        <v>657</v>
      </c>
      <c r="G262" s="32" t="s">
        <v>924</v>
      </c>
      <c r="H262" s="31">
        <v>46228</v>
      </c>
      <c r="I262" s="32" t="s">
        <v>169</v>
      </c>
      <c r="J262" s="32" t="s">
        <v>176</v>
      </c>
      <c r="K262" s="32" t="s">
        <v>159</v>
      </c>
      <c r="L262" s="32" t="s">
        <v>159</v>
      </c>
      <c r="M262" s="32" t="s">
        <v>174</v>
      </c>
      <c r="N262" s="32">
        <v>397</v>
      </c>
      <c r="O262" s="32">
        <v>64480.74</v>
      </c>
      <c r="P262" s="32" t="s">
        <v>174</v>
      </c>
      <c r="Q262" s="32">
        <v>0</v>
      </c>
      <c r="R262" s="32">
        <v>9</v>
      </c>
      <c r="S262" s="32">
        <v>5803.27</v>
      </c>
      <c r="T262" s="32">
        <v>9</v>
      </c>
      <c r="U262" s="32">
        <v>5803.27</v>
      </c>
      <c r="V262" s="32">
        <v>0</v>
      </c>
      <c r="W262" s="32">
        <v>0</v>
      </c>
      <c r="X262" s="32">
        <v>0</v>
      </c>
      <c r="Y262" s="32">
        <v>11606.54</v>
      </c>
      <c r="Z262" s="32">
        <v>0</v>
      </c>
      <c r="AA262" s="32" t="s">
        <v>189</v>
      </c>
      <c r="AB262" s="32" t="s">
        <v>168</v>
      </c>
      <c r="AC262" s="32">
        <v>39200000</v>
      </c>
      <c r="AD262" s="32" t="s">
        <v>208</v>
      </c>
      <c r="AE262" s="32">
        <v>1</v>
      </c>
      <c r="AF262" s="32">
        <v>397</v>
      </c>
      <c r="AG262" s="32" t="s">
        <v>209</v>
      </c>
    </row>
    <row r="263" spans="2:33" x14ac:dyDescent="0.25">
      <c r="B263" s="31">
        <v>46230</v>
      </c>
      <c r="C263" s="32" t="s">
        <v>673</v>
      </c>
      <c r="D263" s="32" t="s">
        <v>655</v>
      </c>
      <c r="E263" s="32" t="s">
        <v>925</v>
      </c>
      <c r="F263" s="32" t="s">
        <v>675</v>
      </c>
      <c r="G263" s="32" t="s">
        <v>925</v>
      </c>
      <c r="H263" s="31">
        <v>46230</v>
      </c>
      <c r="I263" s="32" t="s">
        <v>192</v>
      </c>
      <c r="J263" s="32" t="s">
        <v>152</v>
      </c>
      <c r="K263" s="32" t="s">
        <v>163</v>
      </c>
      <c r="L263" s="32" t="s">
        <v>207</v>
      </c>
      <c r="M263" s="32" t="s">
        <v>191</v>
      </c>
      <c r="N263" s="32">
        <v>2556</v>
      </c>
      <c r="O263" s="32">
        <v>558353.86499999999</v>
      </c>
      <c r="P263" s="32" t="s">
        <v>191</v>
      </c>
      <c r="Q263" s="32">
        <v>558354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  <c r="X263" s="32">
        <v>0</v>
      </c>
      <c r="Y263" s="32">
        <v>0</v>
      </c>
      <c r="Z263" s="32">
        <v>0</v>
      </c>
      <c r="AA263" s="32" t="s">
        <v>215</v>
      </c>
      <c r="AB263" s="32" t="s">
        <v>168</v>
      </c>
      <c r="AC263" s="32">
        <v>63053200</v>
      </c>
      <c r="AD263" s="32" t="s">
        <v>216</v>
      </c>
      <c r="AE263" s="32">
        <v>95.45</v>
      </c>
      <c r="AF263" s="32">
        <v>2556</v>
      </c>
      <c r="AG263" s="32" t="s">
        <v>209</v>
      </c>
    </row>
    <row r="264" spans="2:33" x14ac:dyDescent="0.25">
      <c r="B264" s="31">
        <v>46230</v>
      </c>
      <c r="C264" s="32" t="s">
        <v>654</v>
      </c>
      <c r="D264" s="32" t="s">
        <v>655</v>
      </c>
      <c r="E264" s="32" t="s">
        <v>926</v>
      </c>
      <c r="F264" s="32" t="s">
        <v>657</v>
      </c>
      <c r="G264" s="32" t="s">
        <v>927</v>
      </c>
      <c r="H264" s="31">
        <v>46230</v>
      </c>
      <c r="I264" s="32" t="s">
        <v>169</v>
      </c>
      <c r="J264" s="32" t="s">
        <v>180</v>
      </c>
      <c r="K264" s="32" t="s">
        <v>155</v>
      </c>
      <c r="L264" s="32" t="s">
        <v>210</v>
      </c>
      <c r="M264" s="32" t="s">
        <v>187</v>
      </c>
      <c r="N264" s="32">
        <v>2048</v>
      </c>
      <c r="O264" s="32">
        <v>306155.52000000002</v>
      </c>
      <c r="P264" s="32" t="s">
        <v>187</v>
      </c>
      <c r="Q264" s="32">
        <v>1585746.62</v>
      </c>
      <c r="R264" s="32">
        <v>9</v>
      </c>
      <c r="S264" s="32">
        <v>27554</v>
      </c>
      <c r="T264" s="32">
        <v>9</v>
      </c>
      <c r="U264" s="32">
        <v>27554</v>
      </c>
      <c r="V264" s="32">
        <v>0</v>
      </c>
      <c r="W264" s="32">
        <v>0</v>
      </c>
      <c r="X264" s="32">
        <v>0</v>
      </c>
      <c r="Y264" s="32">
        <v>55108</v>
      </c>
      <c r="Z264" s="32">
        <v>0</v>
      </c>
      <c r="AA264" s="32" t="s">
        <v>177</v>
      </c>
      <c r="AB264" s="32" t="s">
        <v>168</v>
      </c>
      <c r="AC264" s="32">
        <v>39269080</v>
      </c>
      <c r="AD264" s="32" t="s">
        <v>208</v>
      </c>
      <c r="AE264" s="32">
        <v>1</v>
      </c>
      <c r="AF264" s="32">
        <v>2048</v>
      </c>
      <c r="AG264" s="32" t="s">
        <v>209</v>
      </c>
    </row>
    <row r="265" spans="2:33" x14ac:dyDescent="0.25">
      <c r="B265" s="31">
        <v>46230</v>
      </c>
      <c r="C265" s="32" t="s">
        <v>654</v>
      </c>
      <c r="D265" s="32" t="s">
        <v>655</v>
      </c>
      <c r="E265" s="32" t="s">
        <v>926</v>
      </c>
      <c r="F265" s="32" t="s">
        <v>657</v>
      </c>
      <c r="G265" s="32" t="s">
        <v>927</v>
      </c>
      <c r="H265" s="31">
        <v>46230</v>
      </c>
      <c r="I265" s="32" t="s">
        <v>169</v>
      </c>
      <c r="J265" s="32" t="s">
        <v>180</v>
      </c>
      <c r="K265" s="32" t="s">
        <v>156</v>
      </c>
      <c r="L265" s="32" t="s">
        <v>218</v>
      </c>
      <c r="M265" s="32" t="s">
        <v>179</v>
      </c>
      <c r="N265" s="32">
        <v>6510</v>
      </c>
      <c r="O265" s="32">
        <v>986199.9</v>
      </c>
      <c r="P265" s="32" t="s">
        <v>179</v>
      </c>
      <c r="Q265" s="32">
        <v>0</v>
      </c>
      <c r="R265" s="32">
        <v>9</v>
      </c>
      <c r="S265" s="32">
        <v>88757.99</v>
      </c>
      <c r="T265" s="32">
        <v>9</v>
      </c>
      <c r="U265" s="32">
        <v>88757.99</v>
      </c>
      <c r="V265" s="32">
        <v>0</v>
      </c>
      <c r="W265" s="32">
        <v>0</v>
      </c>
      <c r="X265" s="32">
        <v>0</v>
      </c>
      <c r="Y265" s="32">
        <v>177515.98</v>
      </c>
      <c r="Z265" s="32">
        <v>0</v>
      </c>
      <c r="AA265" s="32" t="s">
        <v>177</v>
      </c>
      <c r="AB265" s="32" t="s">
        <v>168</v>
      </c>
      <c r="AC265" s="32">
        <v>63053300</v>
      </c>
      <c r="AD265" s="32" t="s">
        <v>208</v>
      </c>
      <c r="AE265" s="32">
        <v>1</v>
      </c>
      <c r="AF265" s="32">
        <v>6510</v>
      </c>
      <c r="AG265" s="32" t="s">
        <v>209</v>
      </c>
    </row>
    <row r="266" spans="2:33" x14ac:dyDescent="0.25">
      <c r="B266" s="31">
        <v>46230</v>
      </c>
      <c r="C266" s="32" t="s">
        <v>654</v>
      </c>
      <c r="D266" s="32" t="s">
        <v>655</v>
      </c>
      <c r="E266" s="32" t="s">
        <v>926</v>
      </c>
      <c r="F266" s="32" t="s">
        <v>657</v>
      </c>
      <c r="G266" s="32" t="s">
        <v>927</v>
      </c>
      <c r="H266" s="31">
        <v>46230</v>
      </c>
      <c r="I266" s="32" t="s">
        <v>169</v>
      </c>
      <c r="J266" s="32" t="s">
        <v>182</v>
      </c>
      <c r="K266" s="32" t="s">
        <v>154</v>
      </c>
      <c r="L266" s="32" t="s">
        <v>154</v>
      </c>
      <c r="M266" s="32" t="s">
        <v>182</v>
      </c>
      <c r="N266" s="32">
        <v>243.5</v>
      </c>
      <c r="O266" s="32">
        <v>35670.31</v>
      </c>
      <c r="P266" s="32" t="s">
        <v>182</v>
      </c>
      <c r="Q266" s="32">
        <v>0</v>
      </c>
      <c r="R266" s="32">
        <v>9</v>
      </c>
      <c r="S266" s="32">
        <v>3210.33</v>
      </c>
      <c r="T266" s="32">
        <v>9</v>
      </c>
      <c r="U266" s="32">
        <v>3210.33</v>
      </c>
      <c r="V266" s="32">
        <v>0</v>
      </c>
      <c r="W266" s="32">
        <v>0</v>
      </c>
      <c r="X266" s="32">
        <v>0</v>
      </c>
      <c r="Y266" s="32">
        <v>6420.66</v>
      </c>
      <c r="Z266" s="32">
        <v>0</v>
      </c>
      <c r="AA266" s="32" t="s">
        <v>177</v>
      </c>
      <c r="AB266" s="32" t="s">
        <v>168</v>
      </c>
      <c r="AC266" s="32">
        <v>3926908</v>
      </c>
      <c r="AD266" s="32" t="s">
        <v>208</v>
      </c>
      <c r="AE266" s="32">
        <v>1</v>
      </c>
      <c r="AF266" s="32">
        <v>243.5</v>
      </c>
      <c r="AG266" s="32" t="s">
        <v>209</v>
      </c>
    </row>
    <row r="267" spans="2:33" x14ac:dyDescent="0.25">
      <c r="B267" s="31">
        <v>46230</v>
      </c>
      <c r="C267" s="32" t="s">
        <v>654</v>
      </c>
      <c r="D267" s="32" t="s">
        <v>655</v>
      </c>
      <c r="E267" s="32" t="s">
        <v>926</v>
      </c>
      <c r="F267" s="32" t="s">
        <v>657</v>
      </c>
      <c r="G267" s="32" t="s">
        <v>927</v>
      </c>
      <c r="H267" s="31">
        <v>46230</v>
      </c>
      <c r="I267" s="32" t="s">
        <v>169</v>
      </c>
      <c r="J267" s="32" t="s">
        <v>182</v>
      </c>
      <c r="K267" s="32" t="s">
        <v>154</v>
      </c>
      <c r="L267" s="32" t="s">
        <v>154</v>
      </c>
      <c r="M267" s="32" t="s">
        <v>182</v>
      </c>
      <c r="N267" s="32">
        <v>113.5</v>
      </c>
      <c r="O267" s="32">
        <v>16967.150000000001</v>
      </c>
      <c r="P267" s="32" t="s">
        <v>182</v>
      </c>
      <c r="Q267" s="32">
        <v>0</v>
      </c>
      <c r="R267" s="32">
        <v>9</v>
      </c>
      <c r="S267" s="32">
        <v>1527.04</v>
      </c>
      <c r="T267" s="32">
        <v>9</v>
      </c>
      <c r="U267" s="32">
        <v>1527.04</v>
      </c>
      <c r="V267" s="32">
        <v>0</v>
      </c>
      <c r="W267" s="32">
        <v>0</v>
      </c>
      <c r="X267" s="32">
        <v>0</v>
      </c>
      <c r="Y267" s="32">
        <v>3054.08</v>
      </c>
      <c r="Z267" s="32">
        <v>0</v>
      </c>
      <c r="AA267" s="32" t="s">
        <v>177</v>
      </c>
      <c r="AB267" s="32" t="s">
        <v>168</v>
      </c>
      <c r="AC267" s="32">
        <v>3926908</v>
      </c>
      <c r="AD267" s="32" t="s">
        <v>208</v>
      </c>
      <c r="AE267" s="32">
        <v>1</v>
      </c>
      <c r="AF267" s="32">
        <v>113.5</v>
      </c>
      <c r="AG267" s="32" t="s">
        <v>209</v>
      </c>
    </row>
    <row r="268" spans="2:33" x14ac:dyDescent="0.25">
      <c r="B268" s="31">
        <v>46230</v>
      </c>
      <c r="C268" s="32" t="s">
        <v>659</v>
      </c>
      <c r="D268" s="32" t="s">
        <v>655</v>
      </c>
      <c r="E268" s="32" t="s">
        <v>928</v>
      </c>
      <c r="F268" s="32" t="s">
        <v>657</v>
      </c>
      <c r="G268" s="32" t="s">
        <v>929</v>
      </c>
      <c r="H268" s="31">
        <v>46229</v>
      </c>
      <c r="I268" s="32" t="s">
        <v>192</v>
      </c>
      <c r="J268" s="32" t="s">
        <v>152</v>
      </c>
      <c r="K268" s="32" t="s">
        <v>152</v>
      </c>
      <c r="L268" s="32" t="s">
        <v>207</v>
      </c>
      <c r="M268" s="32" t="s">
        <v>191</v>
      </c>
      <c r="N268" s="32">
        <v>19608</v>
      </c>
      <c r="O268" s="32">
        <v>4433760.96</v>
      </c>
      <c r="P268" s="32" t="s">
        <v>191</v>
      </c>
      <c r="Q268" s="32">
        <v>5227404.18</v>
      </c>
      <c r="R268" s="32">
        <v>9</v>
      </c>
      <c r="S268" s="32">
        <v>399038.49</v>
      </c>
      <c r="T268" s="32">
        <v>9</v>
      </c>
      <c r="U268" s="32">
        <v>399038.49</v>
      </c>
      <c r="V268" s="32">
        <v>0</v>
      </c>
      <c r="W268" s="32">
        <v>0</v>
      </c>
      <c r="X268" s="32">
        <v>0</v>
      </c>
      <c r="Y268" s="32">
        <v>798076.98</v>
      </c>
      <c r="Z268" s="32">
        <v>0</v>
      </c>
      <c r="AA268" s="32" t="s">
        <v>177</v>
      </c>
      <c r="AB268" s="32" t="s">
        <v>168</v>
      </c>
      <c r="AC268" s="32">
        <v>63053200</v>
      </c>
      <c r="AD268" s="32" t="s">
        <v>208</v>
      </c>
      <c r="AE268" s="32">
        <v>1</v>
      </c>
      <c r="AF268" s="32">
        <v>19608</v>
      </c>
      <c r="AG268" s="32" t="s">
        <v>209</v>
      </c>
    </row>
    <row r="269" spans="2:33" x14ac:dyDescent="0.25">
      <c r="B269" s="31">
        <v>46230</v>
      </c>
      <c r="C269" s="32" t="s">
        <v>659</v>
      </c>
      <c r="D269" s="32" t="s">
        <v>655</v>
      </c>
      <c r="E269" s="32" t="s">
        <v>930</v>
      </c>
      <c r="F269" s="32" t="s">
        <v>657</v>
      </c>
      <c r="G269" s="32" t="s">
        <v>931</v>
      </c>
      <c r="H269" s="31">
        <v>46230</v>
      </c>
      <c r="I269" s="32" t="s">
        <v>169</v>
      </c>
      <c r="J269" s="32" t="s">
        <v>170</v>
      </c>
      <c r="K269" s="32" t="s">
        <v>157</v>
      </c>
      <c r="L269" s="32" t="s">
        <v>233</v>
      </c>
      <c r="M269" s="32" t="s">
        <v>300</v>
      </c>
      <c r="N269" s="32">
        <v>879.61</v>
      </c>
      <c r="O269" s="32">
        <v>116108.52</v>
      </c>
      <c r="P269" s="32" t="s">
        <v>300</v>
      </c>
      <c r="Q269" s="32">
        <v>1008411.5</v>
      </c>
      <c r="R269" s="32">
        <v>2.5</v>
      </c>
      <c r="S269" s="32">
        <v>2902.71</v>
      </c>
      <c r="T269" s="32">
        <v>2.5</v>
      </c>
      <c r="U269" s="32">
        <v>2902.71</v>
      </c>
      <c r="V269" s="32">
        <v>0</v>
      </c>
      <c r="W269" s="32">
        <v>0</v>
      </c>
      <c r="X269" s="32">
        <v>0</v>
      </c>
      <c r="Y269" s="32">
        <v>5805.42</v>
      </c>
      <c r="Z269" s="32">
        <v>0</v>
      </c>
      <c r="AA269" s="32" t="s">
        <v>177</v>
      </c>
      <c r="AB269" s="32" t="s">
        <v>168</v>
      </c>
      <c r="AC269" s="32">
        <v>54026990</v>
      </c>
      <c r="AD269" s="32" t="s">
        <v>208</v>
      </c>
      <c r="AE269" s="32">
        <v>1</v>
      </c>
      <c r="AF269" s="32">
        <v>879.61</v>
      </c>
      <c r="AG269" s="32" t="s">
        <v>209</v>
      </c>
    </row>
    <row r="270" spans="2:33" x14ac:dyDescent="0.25">
      <c r="B270" s="31">
        <v>46230</v>
      </c>
      <c r="C270" s="32" t="s">
        <v>659</v>
      </c>
      <c r="D270" s="32" t="s">
        <v>655</v>
      </c>
      <c r="E270" s="32" t="s">
        <v>930</v>
      </c>
      <c r="F270" s="32" t="s">
        <v>657</v>
      </c>
      <c r="G270" s="32" t="s">
        <v>931</v>
      </c>
      <c r="H270" s="31">
        <v>46230</v>
      </c>
      <c r="I270" s="32" t="s">
        <v>169</v>
      </c>
      <c r="J270" s="32" t="s">
        <v>170</v>
      </c>
      <c r="K270" s="32" t="s">
        <v>157</v>
      </c>
      <c r="L270" s="32" t="s">
        <v>308</v>
      </c>
      <c r="M270" s="32" t="s">
        <v>302</v>
      </c>
      <c r="N270" s="32">
        <v>6199.2</v>
      </c>
      <c r="O270" s="32">
        <v>845198.93</v>
      </c>
      <c r="P270" s="32" t="s">
        <v>302</v>
      </c>
      <c r="Q270" s="32">
        <v>0</v>
      </c>
      <c r="R270" s="32">
        <v>2.5</v>
      </c>
      <c r="S270" s="32">
        <v>21129.97</v>
      </c>
      <c r="T270" s="32">
        <v>2.5</v>
      </c>
      <c r="U270" s="32">
        <v>21129.97</v>
      </c>
      <c r="V270" s="32">
        <v>0</v>
      </c>
      <c r="W270" s="32">
        <v>0</v>
      </c>
      <c r="X270" s="32">
        <v>0</v>
      </c>
      <c r="Y270" s="32">
        <v>42259.94</v>
      </c>
      <c r="Z270" s="32">
        <v>0</v>
      </c>
      <c r="AA270" s="32" t="s">
        <v>177</v>
      </c>
      <c r="AB270" s="32" t="s">
        <v>168</v>
      </c>
      <c r="AC270" s="32">
        <v>540263</v>
      </c>
      <c r="AD270" s="32" t="s">
        <v>208</v>
      </c>
      <c r="AE270" s="32">
        <v>1</v>
      </c>
      <c r="AF270" s="32">
        <v>6199.2</v>
      </c>
      <c r="AG270" s="32" t="s">
        <v>209</v>
      </c>
    </row>
    <row r="271" spans="2:33" x14ac:dyDescent="0.25">
      <c r="B271" s="31">
        <v>46231</v>
      </c>
      <c r="C271" s="32" t="s">
        <v>852</v>
      </c>
      <c r="D271" s="32" t="s">
        <v>660</v>
      </c>
      <c r="E271" s="32" t="s">
        <v>932</v>
      </c>
      <c r="F271" s="32" t="s">
        <v>664</v>
      </c>
      <c r="G271" s="32">
        <v>379</v>
      </c>
      <c r="H271" s="31">
        <v>46226</v>
      </c>
      <c r="I271" s="32" t="s">
        <v>169</v>
      </c>
      <c r="J271" s="32" t="s">
        <v>176</v>
      </c>
      <c r="K271" s="32" t="s">
        <v>159</v>
      </c>
      <c r="L271" s="32" t="s">
        <v>159</v>
      </c>
      <c r="M271" s="32" t="s">
        <v>238</v>
      </c>
      <c r="N271" s="32">
        <v>1.83</v>
      </c>
      <c r="O271" s="32">
        <v>1800</v>
      </c>
      <c r="P271" s="32" t="s">
        <v>238</v>
      </c>
      <c r="Q271" s="32">
        <v>2124</v>
      </c>
      <c r="R271" s="32">
        <v>9</v>
      </c>
      <c r="S271" s="32">
        <v>162</v>
      </c>
      <c r="T271" s="32">
        <v>9</v>
      </c>
      <c r="U271" s="32">
        <v>162</v>
      </c>
      <c r="V271" s="32">
        <v>0</v>
      </c>
      <c r="W271" s="32">
        <v>0</v>
      </c>
      <c r="X271" s="32">
        <v>0</v>
      </c>
      <c r="Y271" s="32">
        <v>324</v>
      </c>
      <c r="Z271" s="32">
        <v>0</v>
      </c>
      <c r="AA271" s="32" t="s">
        <v>854</v>
      </c>
      <c r="AB271" s="32" t="s">
        <v>168</v>
      </c>
      <c r="AC271" s="32">
        <v>3920101</v>
      </c>
      <c r="AD271" s="32" t="s">
        <v>208</v>
      </c>
      <c r="AE271" s="32">
        <v>1</v>
      </c>
      <c r="AF271" s="32">
        <v>1.83</v>
      </c>
      <c r="AG271" s="32"/>
    </row>
    <row r="272" spans="2:33" x14ac:dyDescent="0.25">
      <c r="B272" s="31">
        <v>46231</v>
      </c>
      <c r="C272" s="32" t="s">
        <v>852</v>
      </c>
      <c r="D272" s="32" t="s">
        <v>660</v>
      </c>
      <c r="E272" s="32" t="s">
        <v>933</v>
      </c>
      <c r="F272" s="32" t="s">
        <v>664</v>
      </c>
      <c r="G272" s="32">
        <v>383</v>
      </c>
      <c r="H272" s="31">
        <v>46228</v>
      </c>
      <c r="I272" s="32" t="s">
        <v>169</v>
      </c>
      <c r="J272" s="32" t="s">
        <v>176</v>
      </c>
      <c r="K272" s="32" t="s">
        <v>159</v>
      </c>
      <c r="L272" s="32" t="s">
        <v>159</v>
      </c>
      <c r="M272" s="32" t="s">
        <v>238</v>
      </c>
      <c r="N272" s="32">
        <v>50.735999999999997</v>
      </c>
      <c r="O272" s="32">
        <v>16501</v>
      </c>
      <c r="P272" s="32" t="s">
        <v>238</v>
      </c>
      <c r="Q272" s="32">
        <v>19471</v>
      </c>
      <c r="R272" s="32">
        <v>9</v>
      </c>
      <c r="S272" s="32">
        <v>1485.09</v>
      </c>
      <c r="T272" s="32">
        <v>9</v>
      </c>
      <c r="U272" s="32">
        <v>1485.09</v>
      </c>
      <c r="V272" s="32">
        <v>0</v>
      </c>
      <c r="W272" s="32">
        <v>0</v>
      </c>
      <c r="X272" s="32">
        <v>0</v>
      </c>
      <c r="Y272" s="32">
        <v>2970.18</v>
      </c>
      <c r="Z272" s="32">
        <v>0</v>
      </c>
      <c r="AA272" s="32" t="s">
        <v>854</v>
      </c>
      <c r="AB272" s="32" t="s">
        <v>168</v>
      </c>
      <c r="AC272" s="32">
        <v>3920101</v>
      </c>
      <c r="AD272" s="32" t="s">
        <v>208</v>
      </c>
      <c r="AE272" s="32">
        <v>1</v>
      </c>
      <c r="AF272" s="32">
        <v>50.735999999999997</v>
      </c>
      <c r="AG272" s="32"/>
    </row>
    <row r="273" spans="2:33" x14ac:dyDescent="0.25">
      <c r="B273" s="31">
        <v>46231</v>
      </c>
      <c r="C273" s="32" t="s">
        <v>654</v>
      </c>
      <c r="D273" s="32" t="s">
        <v>655</v>
      </c>
      <c r="E273" s="32" t="s">
        <v>934</v>
      </c>
      <c r="F273" s="32" t="s">
        <v>657</v>
      </c>
      <c r="G273" s="32" t="s">
        <v>935</v>
      </c>
      <c r="H273" s="31">
        <v>46231</v>
      </c>
      <c r="I273" s="32" t="s">
        <v>169</v>
      </c>
      <c r="J273" s="32" t="s">
        <v>180</v>
      </c>
      <c r="K273" s="32" t="s">
        <v>155</v>
      </c>
      <c r="L273" s="32" t="s">
        <v>210</v>
      </c>
      <c r="M273" s="32" t="s">
        <v>187</v>
      </c>
      <c r="N273" s="32">
        <v>961</v>
      </c>
      <c r="O273" s="32">
        <v>138960.6</v>
      </c>
      <c r="P273" s="32" t="s">
        <v>187</v>
      </c>
      <c r="Q273" s="32">
        <v>163834.54</v>
      </c>
      <c r="R273" s="32">
        <v>9</v>
      </c>
      <c r="S273" s="32">
        <v>12506.45</v>
      </c>
      <c r="T273" s="32">
        <v>9</v>
      </c>
      <c r="U273" s="32">
        <v>12506.45</v>
      </c>
      <c r="V273" s="32">
        <v>0</v>
      </c>
      <c r="W273" s="32">
        <v>0</v>
      </c>
      <c r="X273" s="32">
        <v>0</v>
      </c>
      <c r="Y273" s="32">
        <v>25012.9</v>
      </c>
      <c r="Z273" s="32">
        <v>0</v>
      </c>
      <c r="AA273" s="32" t="s">
        <v>177</v>
      </c>
      <c r="AB273" s="32" t="s">
        <v>168</v>
      </c>
      <c r="AC273" s="32">
        <v>39269080</v>
      </c>
      <c r="AD273" s="32" t="s">
        <v>208</v>
      </c>
      <c r="AE273" s="32">
        <v>1</v>
      </c>
      <c r="AF273" s="32">
        <v>961</v>
      </c>
      <c r="AG273" s="32" t="s">
        <v>209</v>
      </c>
    </row>
    <row r="274" spans="2:33" x14ac:dyDescent="0.25">
      <c r="B274" s="31">
        <v>46232</v>
      </c>
      <c r="C274" s="32" t="s">
        <v>673</v>
      </c>
      <c r="D274" s="32" t="s">
        <v>655</v>
      </c>
      <c r="E274" s="32" t="s">
        <v>936</v>
      </c>
      <c r="F274" s="32" t="s">
        <v>675</v>
      </c>
      <c r="G274" s="32" t="s">
        <v>936</v>
      </c>
      <c r="H274" s="31">
        <v>46232</v>
      </c>
      <c r="I274" s="32" t="s">
        <v>192</v>
      </c>
      <c r="J274" s="32" t="s">
        <v>152</v>
      </c>
      <c r="K274" s="32" t="s">
        <v>163</v>
      </c>
      <c r="L274" s="32" t="s">
        <v>207</v>
      </c>
      <c r="M274" s="32" t="s">
        <v>191</v>
      </c>
      <c r="N274" s="32">
        <v>19831</v>
      </c>
      <c r="O274" s="32">
        <v>5223704.5585000003</v>
      </c>
      <c r="P274" s="32" t="s">
        <v>191</v>
      </c>
      <c r="Q274" s="32">
        <v>5223704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  <c r="X274" s="32">
        <v>0</v>
      </c>
      <c r="Y274" s="32">
        <v>0</v>
      </c>
      <c r="Z274" s="32">
        <v>0</v>
      </c>
      <c r="AA274" s="32" t="s">
        <v>215</v>
      </c>
      <c r="AB274" s="32" t="s">
        <v>168</v>
      </c>
      <c r="AC274" s="32">
        <v>63053200</v>
      </c>
      <c r="AD274" s="32" t="s">
        <v>216</v>
      </c>
      <c r="AE274" s="32">
        <v>95.45</v>
      </c>
      <c r="AF274" s="32">
        <v>19831</v>
      </c>
      <c r="AG274" s="32" t="s">
        <v>209</v>
      </c>
    </row>
    <row r="275" spans="2:33" x14ac:dyDescent="0.25">
      <c r="B275" s="31">
        <v>46232</v>
      </c>
      <c r="C275" s="32" t="s">
        <v>654</v>
      </c>
      <c r="D275" s="32" t="s">
        <v>655</v>
      </c>
      <c r="E275" s="32" t="s">
        <v>937</v>
      </c>
      <c r="F275" s="32" t="s">
        <v>657</v>
      </c>
      <c r="G275" s="32" t="s">
        <v>938</v>
      </c>
      <c r="H275" s="31">
        <v>46232</v>
      </c>
      <c r="I275" s="32" t="s">
        <v>169</v>
      </c>
      <c r="J275" s="32" t="s">
        <v>176</v>
      </c>
      <c r="K275" s="32" t="s">
        <v>159</v>
      </c>
      <c r="L275" s="32" t="s">
        <v>159</v>
      </c>
      <c r="M275" s="32" t="s">
        <v>174</v>
      </c>
      <c r="N275" s="32">
        <v>1096.5</v>
      </c>
      <c r="O275" s="32">
        <v>204804.27</v>
      </c>
      <c r="P275" s="32" t="s">
        <v>174</v>
      </c>
      <c r="Q275" s="32">
        <v>530907.62</v>
      </c>
      <c r="R275" s="32">
        <v>9</v>
      </c>
      <c r="S275" s="32">
        <v>18432.38</v>
      </c>
      <c r="T275" s="32">
        <v>9</v>
      </c>
      <c r="U275" s="32">
        <v>18432.38</v>
      </c>
      <c r="V275" s="32">
        <v>0</v>
      </c>
      <c r="W275" s="32">
        <v>0</v>
      </c>
      <c r="X275" s="32">
        <v>0</v>
      </c>
      <c r="Y275" s="32">
        <v>36864.76</v>
      </c>
      <c r="Z275" s="32">
        <v>0</v>
      </c>
      <c r="AA275" s="32" t="s">
        <v>177</v>
      </c>
      <c r="AB275" s="32" t="s">
        <v>168</v>
      </c>
      <c r="AC275" s="32">
        <v>39200000</v>
      </c>
      <c r="AD275" s="32" t="s">
        <v>208</v>
      </c>
      <c r="AE275" s="32">
        <v>1</v>
      </c>
      <c r="AF275" s="32">
        <v>1096.5</v>
      </c>
      <c r="AG275" s="32" t="s">
        <v>209</v>
      </c>
    </row>
    <row r="276" spans="2:33" x14ac:dyDescent="0.25">
      <c r="B276" s="31">
        <v>46232</v>
      </c>
      <c r="C276" s="32" t="s">
        <v>654</v>
      </c>
      <c r="D276" s="32" t="s">
        <v>655</v>
      </c>
      <c r="E276" s="32" t="s">
        <v>937</v>
      </c>
      <c r="F276" s="32" t="s">
        <v>657</v>
      </c>
      <c r="G276" s="32" t="s">
        <v>938</v>
      </c>
      <c r="H276" s="31">
        <v>46232</v>
      </c>
      <c r="I276" s="32" t="s">
        <v>169</v>
      </c>
      <c r="J276" s="32" t="s">
        <v>180</v>
      </c>
      <c r="K276" s="32" t="s">
        <v>155</v>
      </c>
      <c r="L276" s="32" t="s">
        <v>210</v>
      </c>
      <c r="M276" s="32" t="s">
        <v>187</v>
      </c>
      <c r="N276" s="32">
        <v>299</v>
      </c>
      <c r="O276" s="32">
        <v>43800.51</v>
      </c>
      <c r="P276" s="32" t="s">
        <v>187</v>
      </c>
      <c r="Q276" s="32">
        <v>0</v>
      </c>
      <c r="R276" s="32">
        <v>9</v>
      </c>
      <c r="S276" s="32">
        <v>3942.05</v>
      </c>
      <c r="T276" s="32">
        <v>9</v>
      </c>
      <c r="U276" s="32">
        <v>3942.05</v>
      </c>
      <c r="V276" s="32">
        <v>0</v>
      </c>
      <c r="W276" s="32">
        <v>0</v>
      </c>
      <c r="X276" s="32">
        <v>0</v>
      </c>
      <c r="Y276" s="32">
        <v>7884.1</v>
      </c>
      <c r="Z276" s="32">
        <v>0</v>
      </c>
      <c r="AA276" s="32" t="s">
        <v>177</v>
      </c>
      <c r="AB276" s="32" t="s">
        <v>168</v>
      </c>
      <c r="AC276" s="32">
        <v>39269080</v>
      </c>
      <c r="AD276" s="32" t="s">
        <v>208</v>
      </c>
      <c r="AE276" s="32">
        <v>1</v>
      </c>
      <c r="AF276" s="32">
        <v>299</v>
      </c>
      <c r="AG276" s="32" t="s">
        <v>209</v>
      </c>
    </row>
    <row r="277" spans="2:33" x14ac:dyDescent="0.25">
      <c r="B277" s="31">
        <v>46232</v>
      </c>
      <c r="C277" s="32" t="s">
        <v>654</v>
      </c>
      <c r="D277" s="32" t="s">
        <v>655</v>
      </c>
      <c r="E277" s="32" t="s">
        <v>937</v>
      </c>
      <c r="F277" s="32" t="s">
        <v>657</v>
      </c>
      <c r="G277" s="32" t="s">
        <v>938</v>
      </c>
      <c r="H277" s="31">
        <v>46232</v>
      </c>
      <c r="I277" s="32" t="s">
        <v>169</v>
      </c>
      <c r="J277" s="32" t="s">
        <v>182</v>
      </c>
      <c r="K277" s="32" t="s">
        <v>154</v>
      </c>
      <c r="L277" s="32" t="s">
        <v>154</v>
      </c>
      <c r="M277" s="32" t="s">
        <v>182</v>
      </c>
      <c r="N277" s="32">
        <v>152</v>
      </c>
      <c r="O277" s="32">
        <v>22722.48</v>
      </c>
      <c r="P277" s="32" t="s">
        <v>182</v>
      </c>
      <c r="Q277" s="32">
        <v>0</v>
      </c>
      <c r="R277" s="32">
        <v>9</v>
      </c>
      <c r="S277" s="32">
        <v>2045.02</v>
      </c>
      <c r="T277" s="32">
        <v>9</v>
      </c>
      <c r="U277" s="32">
        <v>2045.02</v>
      </c>
      <c r="V277" s="32">
        <v>0</v>
      </c>
      <c r="W277" s="32">
        <v>0</v>
      </c>
      <c r="X277" s="32">
        <v>0</v>
      </c>
      <c r="Y277" s="32">
        <v>4090.04</v>
      </c>
      <c r="Z277" s="32">
        <v>0</v>
      </c>
      <c r="AA277" s="32" t="s">
        <v>177</v>
      </c>
      <c r="AB277" s="32" t="s">
        <v>168</v>
      </c>
      <c r="AC277" s="32">
        <v>3926908</v>
      </c>
      <c r="AD277" s="32" t="s">
        <v>208</v>
      </c>
      <c r="AE277" s="32">
        <v>1</v>
      </c>
      <c r="AF277" s="32">
        <v>152</v>
      </c>
      <c r="AG277" s="32" t="s">
        <v>209</v>
      </c>
    </row>
    <row r="278" spans="2:33" x14ac:dyDescent="0.25">
      <c r="B278" s="31">
        <v>46232</v>
      </c>
      <c r="C278" s="32" t="s">
        <v>654</v>
      </c>
      <c r="D278" s="32" t="s">
        <v>655</v>
      </c>
      <c r="E278" s="32" t="s">
        <v>937</v>
      </c>
      <c r="F278" s="32" t="s">
        <v>657</v>
      </c>
      <c r="G278" s="32" t="s">
        <v>938</v>
      </c>
      <c r="H278" s="31">
        <v>46232</v>
      </c>
      <c r="I278" s="32" t="s">
        <v>169</v>
      </c>
      <c r="J278" s="32" t="s">
        <v>182</v>
      </c>
      <c r="K278" s="32" t="s">
        <v>154</v>
      </c>
      <c r="L278" s="32" t="s">
        <v>154</v>
      </c>
      <c r="M278" s="32" t="s">
        <v>182</v>
      </c>
      <c r="N278" s="32">
        <v>1039.5</v>
      </c>
      <c r="O278" s="32">
        <v>152276.35</v>
      </c>
      <c r="P278" s="32" t="s">
        <v>182</v>
      </c>
      <c r="Q278" s="32">
        <v>0</v>
      </c>
      <c r="R278" s="32">
        <v>9</v>
      </c>
      <c r="S278" s="32">
        <v>13704.87</v>
      </c>
      <c r="T278" s="32">
        <v>9</v>
      </c>
      <c r="U278" s="32">
        <v>13704.87</v>
      </c>
      <c r="V278" s="32">
        <v>0</v>
      </c>
      <c r="W278" s="32">
        <v>0</v>
      </c>
      <c r="X278" s="32">
        <v>0</v>
      </c>
      <c r="Y278" s="32">
        <v>27409.74</v>
      </c>
      <c r="Z278" s="32">
        <v>0</v>
      </c>
      <c r="AA278" s="32" t="s">
        <v>177</v>
      </c>
      <c r="AB278" s="32" t="s">
        <v>168</v>
      </c>
      <c r="AC278" s="32">
        <v>3926908</v>
      </c>
      <c r="AD278" s="32" t="s">
        <v>208</v>
      </c>
      <c r="AE278" s="32">
        <v>1</v>
      </c>
      <c r="AF278" s="32">
        <v>1039.5</v>
      </c>
      <c r="AG278" s="32" t="s">
        <v>209</v>
      </c>
    </row>
    <row r="279" spans="2:33" x14ac:dyDescent="0.25">
      <c r="B279" s="31">
        <v>46232</v>
      </c>
      <c r="C279" s="32" t="s">
        <v>654</v>
      </c>
      <c r="D279" s="32" t="s">
        <v>655</v>
      </c>
      <c r="E279" s="32" t="s">
        <v>937</v>
      </c>
      <c r="F279" s="32" t="s">
        <v>657</v>
      </c>
      <c r="G279" s="32" t="s">
        <v>938</v>
      </c>
      <c r="H279" s="31">
        <v>46232</v>
      </c>
      <c r="I279" s="32" t="s">
        <v>169</v>
      </c>
      <c r="J279" s="32" t="s">
        <v>170</v>
      </c>
      <c r="K279" s="32" t="s">
        <v>157</v>
      </c>
      <c r="L279" s="32" t="s">
        <v>233</v>
      </c>
      <c r="M279" s="32" t="s">
        <v>681</v>
      </c>
      <c r="N279" s="32">
        <v>186.4</v>
      </c>
      <c r="O279" s="32">
        <v>30008.55</v>
      </c>
      <c r="P279" s="32" t="s">
        <v>681</v>
      </c>
      <c r="Q279" s="32">
        <v>0</v>
      </c>
      <c r="R279" s="32">
        <v>2.5</v>
      </c>
      <c r="S279" s="32">
        <v>750.21</v>
      </c>
      <c r="T279" s="32">
        <v>2.5</v>
      </c>
      <c r="U279" s="32">
        <v>750.21</v>
      </c>
      <c r="V279" s="32">
        <v>0</v>
      </c>
      <c r="W279" s="32">
        <v>0</v>
      </c>
      <c r="X279" s="32">
        <v>0</v>
      </c>
      <c r="Y279" s="32">
        <v>1500.42</v>
      </c>
      <c r="Z279" s="32">
        <v>0</v>
      </c>
      <c r="AA279" s="32" t="s">
        <v>177</v>
      </c>
      <c r="AB279" s="32" t="s">
        <v>168</v>
      </c>
      <c r="AC279" s="32">
        <v>540269</v>
      </c>
      <c r="AD279" s="32" t="s">
        <v>208</v>
      </c>
      <c r="AE279" s="32">
        <v>1</v>
      </c>
      <c r="AF279" s="32">
        <v>186.4</v>
      </c>
      <c r="AG279" s="32" t="s">
        <v>209</v>
      </c>
    </row>
    <row r="280" spans="2:33" x14ac:dyDescent="0.25">
      <c r="B280" s="31">
        <v>46232</v>
      </c>
      <c r="C280" s="32" t="s">
        <v>654</v>
      </c>
      <c r="D280" s="32" t="s">
        <v>655</v>
      </c>
      <c r="E280" s="32" t="s">
        <v>939</v>
      </c>
      <c r="F280" s="32" t="s">
        <v>657</v>
      </c>
      <c r="G280" s="32" t="s">
        <v>940</v>
      </c>
      <c r="H280" s="31">
        <v>46232</v>
      </c>
      <c r="I280" s="32" t="s">
        <v>169</v>
      </c>
      <c r="J280" s="32" t="s">
        <v>170</v>
      </c>
      <c r="K280" s="32" t="s">
        <v>157</v>
      </c>
      <c r="L280" s="32" t="s">
        <v>233</v>
      </c>
      <c r="M280" s="32" t="s">
        <v>684</v>
      </c>
      <c r="N280" s="32">
        <v>969.1</v>
      </c>
      <c r="O280" s="32">
        <v>151654.45000000001</v>
      </c>
      <c r="P280" s="32" t="s">
        <v>684</v>
      </c>
      <c r="Q280" s="32">
        <v>235304.1</v>
      </c>
      <c r="R280" s="32">
        <v>2.5</v>
      </c>
      <c r="S280" s="32">
        <v>3791.36</v>
      </c>
      <c r="T280" s="32">
        <v>2.5</v>
      </c>
      <c r="U280" s="32">
        <v>3791.36</v>
      </c>
      <c r="V280" s="32">
        <v>0</v>
      </c>
      <c r="W280" s="32">
        <v>0</v>
      </c>
      <c r="X280" s="32">
        <v>0</v>
      </c>
      <c r="Y280" s="32">
        <v>7582.72</v>
      </c>
      <c r="Z280" s="32">
        <v>0</v>
      </c>
      <c r="AA280" s="32" t="s">
        <v>177</v>
      </c>
      <c r="AB280" s="32" t="s">
        <v>188</v>
      </c>
      <c r="AC280" s="32">
        <v>54026930</v>
      </c>
      <c r="AD280" s="32" t="s">
        <v>208</v>
      </c>
      <c r="AE280" s="32">
        <v>1</v>
      </c>
      <c r="AF280" s="32">
        <v>969.1</v>
      </c>
      <c r="AG280" s="32" t="s">
        <v>209</v>
      </c>
    </row>
    <row r="281" spans="2:33" x14ac:dyDescent="0.25">
      <c r="B281" s="31">
        <v>46232</v>
      </c>
      <c r="C281" s="32" t="s">
        <v>654</v>
      </c>
      <c r="D281" s="32" t="s">
        <v>655</v>
      </c>
      <c r="E281" s="32" t="s">
        <v>939</v>
      </c>
      <c r="F281" s="32" t="s">
        <v>657</v>
      </c>
      <c r="G281" s="32" t="s">
        <v>940</v>
      </c>
      <c r="H281" s="31">
        <v>46232</v>
      </c>
      <c r="I281" s="32" t="s">
        <v>169</v>
      </c>
      <c r="J281" s="32" t="s">
        <v>170</v>
      </c>
      <c r="K281" s="32" t="s">
        <v>157</v>
      </c>
      <c r="L281" s="32" t="s">
        <v>233</v>
      </c>
      <c r="M281" s="32" t="s">
        <v>685</v>
      </c>
      <c r="N281" s="32">
        <v>464.3</v>
      </c>
      <c r="O281" s="32">
        <v>72658.320000000007</v>
      </c>
      <c r="P281" s="32" t="s">
        <v>685</v>
      </c>
      <c r="Q281" s="32">
        <v>0</v>
      </c>
      <c r="R281" s="32">
        <v>2.5</v>
      </c>
      <c r="S281" s="32">
        <v>1816.46</v>
      </c>
      <c r="T281" s="32">
        <v>2.5</v>
      </c>
      <c r="U281" s="32">
        <v>1816.46</v>
      </c>
      <c r="V281" s="32">
        <v>0</v>
      </c>
      <c r="W281" s="32">
        <v>0</v>
      </c>
      <c r="X281" s="32">
        <v>0</v>
      </c>
      <c r="Y281" s="32">
        <v>3632.92</v>
      </c>
      <c r="Z281" s="32">
        <v>0</v>
      </c>
      <c r="AA281" s="32" t="s">
        <v>177</v>
      </c>
      <c r="AB281" s="32" t="s">
        <v>188</v>
      </c>
      <c r="AC281" s="32">
        <v>540263</v>
      </c>
      <c r="AD281" s="32" t="s">
        <v>208</v>
      </c>
      <c r="AE281" s="32">
        <v>1</v>
      </c>
      <c r="AF281" s="32">
        <v>464.3</v>
      </c>
      <c r="AG281" s="32" t="s">
        <v>209</v>
      </c>
    </row>
    <row r="282" spans="2:33" x14ac:dyDescent="0.25">
      <c r="B282" s="31">
        <v>46233</v>
      </c>
      <c r="C282" s="32" t="s">
        <v>665</v>
      </c>
      <c r="D282" s="32" t="s">
        <v>655</v>
      </c>
      <c r="E282" s="32" t="s">
        <v>941</v>
      </c>
      <c r="F282" s="32" t="s">
        <v>657</v>
      </c>
      <c r="G282" s="32" t="s">
        <v>942</v>
      </c>
      <c r="H282" s="31">
        <v>46232</v>
      </c>
      <c r="I282" s="32" t="s">
        <v>169</v>
      </c>
      <c r="J282" s="32" t="s">
        <v>180</v>
      </c>
      <c r="K282" s="32" t="s">
        <v>155</v>
      </c>
      <c r="L282" s="32" t="s">
        <v>210</v>
      </c>
      <c r="M282" s="32" t="s">
        <v>187</v>
      </c>
      <c r="N282" s="32">
        <v>512</v>
      </c>
      <c r="O282" s="32">
        <v>81658.880000000005</v>
      </c>
      <c r="P282" s="32" t="s">
        <v>187</v>
      </c>
      <c r="Q282" s="32">
        <v>1434835.74</v>
      </c>
      <c r="R282" s="32">
        <v>9</v>
      </c>
      <c r="S282" s="32">
        <v>7349.3</v>
      </c>
      <c r="T282" s="32">
        <v>9</v>
      </c>
      <c r="U282" s="32">
        <v>7349.3</v>
      </c>
      <c r="V282" s="32">
        <v>0</v>
      </c>
      <c r="W282" s="32">
        <v>0</v>
      </c>
      <c r="X282" s="32">
        <v>0</v>
      </c>
      <c r="Y282" s="32">
        <v>14698.6</v>
      </c>
      <c r="Z282" s="32">
        <v>0</v>
      </c>
      <c r="AA282" s="32" t="s">
        <v>189</v>
      </c>
      <c r="AB282" s="32" t="s">
        <v>168</v>
      </c>
      <c r="AC282" s="32">
        <v>39269080</v>
      </c>
      <c r="AD282" s="32" t="s">
        <v>208</v>
      </c>
      <c r="AE282" s="32">
        <v>1</v>
      </c>
      <c r="AF282" s="32">
        <v>512</v>
      </c>
      <c r="AG282" s="32" t="s">
        <v>209</v>
      </c>
    </row>
    <row r="283" spans="2:33" x14ac:dyDescent="0.25">
      <c r="B283" s="31">
        <v>46233</v>
      </c>
      <c r="C283" s="32" t="s">
        <v>665</v>
      </c>
      <c r="D283" s="32" t="s">
        <v>655</v>
      </c>
      <c r="E283" s="32" t="s">
        <v>941</v>
      </c>
      <c r="F283" s="32" t="s">
        <v>657</v>
      </c>
      <c r="G283" s="32" t="s">
        <v>942</v>
      </c>
      <c r="H283" s="31">
        <v>46232</v>
      </c>
      <c r="I283" s="32" t="s">
        <v>169</v>
      </c>
      <c r="J283" s="32" t="s">
        <v>180</v>
      </c>
      <c r="K283" s="32" t="s">
        <v>155</v>
      </c>
      <c r="L283" s="32" t="s">
        <v>210</v>
      </c>
      <c r="M283" s="32" t="s">
        <v>187</v>
      </c>
      <c r="N283" s="32">
        <v>7255</v>
      </c>
      <c r="O283" s="32">
        <v>1135334.95</v>
      </c>
      <c r="P283" s="32" t="s">
        <v>187</v>
      </c>
      <c r="Q283" s="32">
        <v>0</v>
      </c>
      <c r="R283" s="32">
        <v>9</v>
      </c>
      <c r="S283" s="32">
        <v>102180.15</v>
      </c>
      <c r="T283" s="32">
        <v>9</v>
      </c>
      <c r="U283" s="32">
        <v>102180.15</v>
      </c>
      <c r="V283" s="32">
        <v>0</v>
      </c>
      <c r="W283" s="32">
        <v>0</v>
      </c>
      <c r="X283" s="32">
        <v>0</v>
      </c>
      <c r="Y283" s="32">
        <v>204360.3</v>
      </c>
      <c r="Z283" s="32">
        <v>0</v>
      </c>
      <c r="AA283" s="32" t="s">
        <v>189</v>
      </c>
      <c r="AB283" s="32" t="s">
        <v>168</v>
      </c>
      <c r="AC283" s="32">
        <v>39269080</v>
      </c>
      <c r="AD283" s="32" t="s">
        <v>208</v>
      </c>
      <c r="AE283" s="32">
        <v>1</v>
      </c>
      <c r="AF283" s="32">
        <v>7255</v>
      </c>
      <c r="AG283" s="32" t="s">
        <v>209</v>
      </c>
    </row>
    <row r="284" spans="2:33" x14ac:dyDescent="0.25">
      <c r="B284" s="31">
        <v>46233</v>
      </c>
      <c r="C284" s="32" t="s">
        <v>676</v>
      </c>
      <c r="D284" s="32" t="s">
        <v>655</v>
      </c>
      <c r="E284" s="32" t="s">
        <v>943</v>
      </c>
      <c r="F284" s="32" t="s">
        <v>657</v>
      </c>
      <c r="G284" s="32" t="s">
        <v>944</v>
      </c>
      <c r="H284" s="31">
        <v>46232</v>
      </c>
      <c r="I284" s="32" t="s">
        <v>192</v>
      </c>
      <c r="J284" s="32" t="s">
        <v>152</v>
      </c>
      <c r="K284" s="32" t="s">
        <v>152</v>
      </c>
      <c r="L284" s="32" t="s">
        <v>207</v>
      </c>
      <c r="M284" s="32" t="s">
        <v>191</v>
      </c>
      <c r="N284" s="32">
        <v>428.3</v>
      </c>
      <c r="O284" s="32">
        <v>110090.23</v>
      </c>
      <c r="P284" s="32" t="s">
        <v>191</v>
      </c>
      <c r="Q284" s="32">
        <v>129796.38</v>
      </c>
      <c r="R284" s="32">
        <v>9</v>
      </c>
      <c r="S284" s="32">
        <v>9908.1200000000008</v>
      </c>
      <c r="T284" s="32">
        <v>9</v>
      </c>
      <c r="U284" s="32">
        <v>9908.1200000000008</v>
      </c>
      <c r="V284" s="32">
        <v>0</v>
      </c>
      <c r="W284" s="32">
        <v>0</v>
      </c>
      <c r="X284" s="32">
        <v>0</v>
      </c>
      <c r="Y284" s="32">
        <v>19816.240000000002</v>
      </c>
      <c r="Z284" s="32">
        <v>0</v>
      </c>
      <c r="AA284" s="32" t="s">
        <v>172</v>
      </c>
      <c r="AB284" s="32" t="s">
        <v>168</v>
      </c>
      <c r="AC284" s="32">
        <v>63053200</v>
      </c>
      <c r="AD284" s="32" t="s">
        <v>208</v>
      </c>
      <c r="AE284" s="32">
        <v>1</v>
      </c>
      <c r="AF284" s="32">
        <v>428.3</v>
      </c>
      <c r="AG284" s="32" t="s">
        <v>209</v>
      </c>
    </row>
    <row r="285" spans="2:33" x14ac:dyDescent="0.25">
      <c r="B285" s="31">
        <v>46233</v>
      </c>
      <c r="C285" s="32" t="s">
        <v>676</v>
      </c>
      <c r="D285" s="32" t="s">
        <v>655</v>
      </c>
      <c r="E285" s="32" t="s">
        <v>945</v>
      </c>
      <c r="F285" s="32" t="s">
        <v>657</v>
      </c>
      <c r="G285" s="32" t="s">
        <v>946</v>
      </c>
      <c r="H285" s="31">
        <v>46232</v>
      </c>
      <c r="I285" s="32" t="s">
        <v>169</v>
      </c>
      <c r="J285" s="32" t="s">
        <v>170</v>
      </c>
      <c r="K285" s="32" t="s">
        <v>157</v>
      </c>
      <c r="L285" s="32" t="s">
        <v>233</v>
      </c>
      <c r="M285" s="32" t="s">
        <v>757</v>
      </c>
      <c r="N285" s="32">
        <v>1949.9</v>
      </c>
      <c r="O285" s="32">
        <v>300577.08500000002</v>
      </c>
      <c r="P285" s="32" t="s">
        <v>757</v>
      </c>
      <c r="Q285" s="32">
        <v>513992.33</v>
      </c>
      <c r="R285" s="32">
        <v>2.5</v>
      </c>
      <c r="S285" s="32">
        <v>7514.43</v>
      </c>
      <c r="T285" s="32">
        <v>2.5</v>
      </c>
      <c r="U285" s="32">
        <v>7514.43</v>
      </c>
      <c r="V285" s="32">
        <v>0</v>
      </c>
      <c r="W285" s="32">
        <v>0</v>
      </c>
      <c r="X285" s="32">
        <v>0</v>
      </c>
      <c r="Y285" s="32">
        <v>15028.86</v>
      </c>
      <c r="Z285" s="32">
        <v>0</v>
      </c>
      <c r="AA285" s="32" t="s">
        <v>172</v>
      </c>
      <c r="AB285" s="32" t="s">
        <v>168</v>
      </c>
      <c r="AC285" s="32">
        <v>54026930</v>
      </c>
      <c r="AD285" s="32" t="s">
        <v>208</v>
      </c>
      <c r="AE285" s="32">
        <v>1</v>
      </c>
      <c r="AF285" s="32">
        <v>1949.9</v>
      </c>
      <c r="AG285" s="32" t="s">
        <v>209</v>
      </c>
    </row>
    <row r="286" spans="2:33" x14ac:dyDescent="0.25">
      <c r="B286" s="31">
        <v>46233</v>
      </c>
      <c r="C286" s="32" t="s">
        <v>676</v>
      </c>
      <c r="D286" s="32" t="s">
        <v>655</v>
      </c>
      <c r="E286" s="32" t="s">
        <v>945</v>
      </c>
      <c r="F286" s="32" t="s">
        <v>657</v>
      </c>
      <c r="G286" s="32" t="s">
        <v>946</v>
      </c>
      <c r="H286" s="31">
        <v>46232</v>
      </c>
      <c r="I286" s="32" t="s">
        <v>169</v>
      </c>
      <c r="J286" s="32" t="s">
        <v>170</v>
      </c>
      <c r="K286" s="32" t="s">
        <v>157</v>
      </c>
      <c r="L286" s="32" t="s">
        <v>233</v>
      </c>
      <c r="M286" s="32" t="s">
        <v>709</v>
      </c>
      <c r="N286" s="32">
        <v>1253.0999999999999</v>
      </c>
      <c r="O286" s="32">
        <v>189406.065</v>
      </c>
      <c r="P286" s="32" t="s">
        <v>709</v>
      </c>
      <c r="Q286" s="32">
        <v>0</v>
      </c>
      <c r="R286" s="32">
        <v>2.5</v>
      </c>
      <c r="S286" s="32">
        <v>4735.1499999999996</v>
      </c>
      <c r="T286" s="32">
        <v>2.5</v>
      </c>
      <c r="U286" s="32">
        <v>4735.1499999999996</v>
      </c>
      <c r="V286" s="32">
        <v>0</v>
      </c>
      <c r="W286" s="32">
        <v>0</v>
      </c>
      <c r="X286" s="32">
        <v>0</v>
      </c>
      <c r="Y286" s="32">
        <v>9470.2999999999993</v>
      </c>
      <c r="Z286" s="32">
        <v>0</v>
      </c>
      <c r="AA286" s="32" t="s">
        <v>172</v>
      </c>
      <c r="AB286" s="32" t="s">
        <v>168</v>
      </c>
      <c r="AC286" s="32">
        <v>54026930</v>
      </c>
      <c r="AD286" s="32" t="s">
        <v>208</v>
      </c>
      <c r="AE286" s="32">
        <v>1</v>
      </c>
      <c r="AF286" s="32">
        <v>1253.0999999999999</v>
      </c>
      <c r="AG286" s="32" t="s">
        <v>209</v>
      </c>
    </row>
    <row r="287" spans="2:33" x14ac:dyDescent="0.25">
      <c r="B287" s="31">
        <v>46233</v>
      </c>
      <c r="C287" s="32" t="s">
        <v>654</v>
      </c>
      <c r="D287" s="32" t="s">
        <v>655</v>
      </c>
      <c r="E287" s="32" t="s">
        <v>947</v>
      </c>
      <c r="F287" s="32" t="s">
        <v>657</v>
      </c>
      <c r="G287" s="32" t="s">
        <v>948</v>
      </c>
      <c r="H287" s="31">
        <v>46233</v>
      </c>
      <c r="I287" s="32" t="s">
        <v>169</v>
      </c>
      <c r="J287" s="32" t="s">
        <v>180</v>
      </c>
      <c r="K287" s="32" t="s">
        <v>155</v>
      </c>
      <c r="L287" s="32" t="s">
        <v>210</v>
      </c>
      <c r="M287" s="32" t="s">
        <v>187</v>
      </c>
      <c r="N287" s="32">
        <v>4063</v>
      </c>
      <c r="O287" s="32">
        <v>587062.87</v>
      </c>
      <c r="P287" s="32" t="s">
        <v>187</v>
      </c>
      <c r="Q287" s="32">
        <v>1114717.3500000001</v>
      </c>
      <c r="R287" s="32">
        <v>9</v>
      </c>
      <c r="S287" s="32">
        <v>52835.66</v>
      </c>
      <c r="T287" s="32">
        <v>9</v>
      </c>
      <c r="U287" s="32">
        <v>52835.66</v>
      </c>
      <c r="V287" s="32">
        <v>0</v>
      </c>
      <c r="W287" s="32">
        <v>0</v>
      </c>
      <c r="X287" s="32">
        <v>0</v>
      </c>
      <c r="Y287" s="32">
        <v>105671.32</v>
      </c>
      <c r="Z287" s="32">
        <v>0</v>
      </c>
      <c r="AA287" s="32" t="s">
        <v>177</v>
      </c>
      <c r="AB287" s="32" t="s">
        <v>168</v>
      </c>
      <c r="AC287" s="32">
        <v>39269080</v>
      </c>
      <c r="AD287" s="32" t="s">
        <v>208</v>
      </c>
      <c r="AE287" s="32">
        <v>1</v>
      </c>
      <c r="AF287" s="32">
        <v>4063</v>
      </c>
      <c r="AG287" s="32" t="s">
        <v>209</v>
      </c>
    </row>
    <row r="288" spans="2:33" x14ac:dyDescent="0.25">
      <c r="B288" s="31">
        <v>46233</v>
      </c>
      <c r="C288" s="32" t="s">
        <v>654</v>
      </c>
      <c r="D288" s="32" t="s">
        <v>655</v>
      </c>
      <c r="E288" s="32" t="s">
        <v>947</v>
      </c>
      <c r="F288" s="32" t="s">
        <v>657</v>
      </c>
      <c r="G288" s="32" t="s">
        <v>948</v>
      </c>
      <c r="H288" s="31">
        <v>46233</v>
      </c>
      <c r="I288" s="32" t="s">
        <v>169</v>
      </c>
      <c r="J288" s="32" t="s">
        <v>180</v>
      </c>
      <c r="K288" s="32" t="s">
        <v>155</v>
      </c>
      <c r="L288" s="32" t="s">
        <v>210</v>
      </c>
      <c r="M288" s="32" t="s">
        <v>187</v>
      </c>
      <c r="N288" s="32">
        <v>2090</v>
      </c>
      <c r="O288" s="32">
        <v>358414.1</v>
      </c>
      <c r="P288" s="32" t="s">
        <v>187</v>
      </c>
      <c r="Q288" s="32">
        <v>0</v>
      </c>
      <c r="R288" s="32">
        <v>9</v>
      </c>
      <c r="S288" s="32">
        <v>32257.27</v>
      </c>
      <c r="T288" s="32">
        <v>9</v>
      </c>
      <c r="U288" s="32">
        <v>32257.27</v>
      </c>
      <c r="V288" s="32">
        <v>0</v>
      </c>
      <c r="W288" s="32">
        <v>0</v>
      </c>
      <c r="X288" s="32">
        <v>0</v>
      </c>
      <c r="Y288" s="32">
        <v>64514.54</v>
      </c>
      <c r="Z288" s="32">
        <v>0</v>
      </c>
      <c r="AA288" s="32" t="s">
        <v>177</v>
      </c>
      <c r="AB288" s="32" t="s">
        <v>168</v>
      </c>
      <c r="AC288" s="32">
        <v>39269080</v>
      </c>
      <c r="AD288" s="32" t="s">
        <v>208</v>
      </c>
      <c r="AE288" s="32">
        <v>1</v>
      </c>
      <c r="AF288" s="32">
        <v>2090</v>
      </c>
      <c r="AG288" s="32" t="s">
        <v>209</v>
      </c>
    </row>
    <row r="289" spans="2:33" x14ac:dyDescent="0.25">
      <c r="B289" s="31">
        <v>46233</v>
      </c>
      <c r="C289" s="32" t="s">
        <v>654</v>
      </c>
      <c r="D289" s="32" t="s">
        <v>655</v>
      </c>
      <c r="E289" s="32" t="s">
        <v>949</v>
      </c>
      <c r="F289" s="32" t="s">
        <v>657</v>
      </c>
      <c r="G289" s="32" t="s">
        <v>950</v>
      </c>
      <c r="H289" s="31">
        <v>46233</v>
      </c>
      <c r="I289" s="32" t="s">
        <v>169</v>
      </c>
      <c r="J289" s="32" t="s">
        <v>180</v>
      </c>
      <c r="K289" s="32" t="s">
        <v>155</v>
      </c>
      <c r="L289" s="32" t="s">
        <v>210</v>
      </c>
      <c r="M289" s="32" t="s">
        <v>187</v>
      </c>
      <c r="N289" s="32">
        <v>1256</v>
      </c>
      <c r="O289" s="32">
        <v>187759.44</v>
      </c>
      <c r="P289" s="32" t="s">
        <v>187</v>
      </c>
      <c r="Q289" s="32">
        <v>336057.66</v>
      </c>
      <c r="R289" s="32">
        <v>9</v>
      </c>
      <c r="S289" s="32">
        <v>16898.349999999999</v>
      </c>
      <c r="T289" s="32">
        <v>9</v>
      </c>
      <c r="U289" s="32">
        <v>16898.349999999999</v>
      </c>
      <c r="V289" s="32">
        <v>0</v>
      </c>
      <c r="W289" s="32">
        <v>0</v>
      </c>
      <c r="X289" s="32">
        <v>0</v>
      </c>
      <c r="Y289" s="32">
        <v>33796.699999999997</v>
      </c>
      <c r="Z289" s="32">
        <v>0</v>
      </c>
      <c r="AA289" s="32" t="s">
        <v>177</v>
      </c>
      <c r="AB289" s="32" t="s">
        <v>168</v>
      </c>
      <c r="AC289" s="32">
        <v>39269080</v>
      </c>
      <c r="AD289" s="32" t="s">
        <v>208</v>
      </c>
      <c r="AE289" s="32">
        <v>1</v>
      </c>
      <c r="AF289" s="32">
        <v>1256</v>
      </c>
      <c r="AG289" s="32" t="s">
        <v>209</v>
      </c>
    </row>
    <row r="290" spans="2:33" x14ac:dyDescent="0.25">
      <c r="B290" s="31">
        <v>46233</v>
      </c>
      <c r="C290" s="32" t="s">
        <v>654</v>
      </c>
      <c r="D290" s="32" t="s">
        <v>655</v>
      </c>
      <c r="E290" s="32" t="s">
        <v>949</v>
      </c>
      <c r="F290" s="32" t="s">
        <v>657</v>
      </c>
      <c r="G290" s="32" t="s">
        <v>950</v>
      </c>
      <c r="H290" s="31">
        <v>46233</v>
      </c>
      <c r="I290" s="32" t="s">
        <v>169</v>
      </c>
      <c r="J290" s="32" t="s">
        <v>182</v>
      </c>
      <c r="K290" s="32" t="s">
        <v>154</v>
      </c>
      <c r="L290" s="32" t="s">
        <v>154</v>
      </c>
      <c r="M290" s="32" t="s">
        <v>182</v>
      </c>
      <c r="N290" s="32">
        <v>237.5</v>
      </c>
      <c r="O290" s="32">
        <v>35503.870000000003</v>
      </c>
      <c r="P290" s="32" t="s">
        <v>182</v>
      </c>
      <c r="Q290" s="32">
        <v>0</v>
      </c>
      <c r="R290" s="32">
        <v>9</v>
      </c>
      <c r="S290" s="32">
        <v>3195.35</v>
      </c>
      <c r="T290" s="32">
        <v>9</v>
      </c>
      <c r="U290" s="32">
        <v>3195.35</v>
      </c>
      <c r="V290" s="32">
        <v>0</v>
      </c>
      <c r="W290" s="32">
        <v>0</v>
      </c>
      <c r="X290" s="32">
        <v>0</v>
      </c>
      <c r="Y290" s="32">
        <v>6390.7</v>
      </c>
      <c r="Z290" s="32">
        <v>0</v>
      </c>
      <c r="AA290" s="32" t="s">
        <v>177</v>
      </c>
      <c r="AB290" s="32" t="s">
        <v>168</v>
      </c>
      <c r="AC290" s="32">
        <v>3926908</v>
      </c>
      <c r="AD290" s="32" t="s">
        <v>208</v>
      </c>
      <c r="AE290" s="32">
        <v>1</v>
      </c>
      <c r="AF290" s="32">
        <v>237.5</v>
      </c>
      <c r="AG290" s="32" t="s">
        <v>209</v>
      </c>
    </row>
    <row r="291" spans="2:33" x14ac:dyDescent="0.25">
      <c r="B291" s="31">
        <v>46233</v>
      </c>
      <c r="C291" s="32" t="s">
        <v>654</v>
      </c>
      <c r="D291" s="32" t="s">
        <v>655</v>
      </c>
      <c r="E291" s="32" t="s">
        <v>949</v>
      </c>
      <c r="F291" s="32" t="s">
        <v>657</v>
      </c>
      <c r="G291" s="32" t="s">
        <v>950</v>
      </c>
      <c r="H291" s="31">
        <v>46233</v>
      </c>
      <c r="I291" s="32" t="s">
        <v>169</v>
      </c>
      <c r="J291" s="32" t="s">
        <v>182</v>
      </c>
      <c r="K291" s="32" t="s">
        <v>154</v>
      </c>
      <c r="L291" s="32" t="s">
        <v>154</v>
      </c>
      <c r="M291" s="32" t="s">
        <v>182</v>
      </c>
      <c r="N291" s="32">
        <v>275.7</v>
      </c>
      <c r="O291" s="32">
        <v>40387.29</v>
      </c>
      <c r="P291" s="32" t="s">
        <v>182</v>
      </c>
      <c r="Q291" s="32">
        <v>0</v>
      </c>
      <c r="R291" s="32">
        <v>9</v>
      </c>
      <c r="S291" s="32">
        <v>3634.86</v>
      </c>
      <c r="T291" s="32">
        <v>9</v>
      </c>
      <c r="U291" s="32">
        <v>3634.86</v>
      </c>
      <c r="V291" s="32">
        <v>0</v>
      </c>
      <c r="W291" s="32">
        <v>0</v>
      </c>
      <c r="X291" s="32">
        <v>0</v>
      </c>
      <c r="Y291" s="32">
        <v>7269.72</v>
      </c>
      <c r="Z291" s="32">
        <v>0</v>
      </c>
      <c r="AA291" s="32" t="s">
        <v>177</v>
      </c>
      <c r="AB291" s="32" t="s">
        <v>168</v>
      </c>
      <c r="AC291" s="32">
        <v>3926908</v>
      </c>
      <c r="AD291" s="32" t="s">
        <v>208</v>
      </c>
      <c r="AE291" s="32">
        <v>1</v>
      </c>
      <c r="AF291" s="32">
        <v>275.7</v>
      </c>
      <c r="AG291" s="32" t="s">
        <v>209</v>
      </c>
    </row>
    <row r="292" spans="2:33" x14ac:dyDescent="0.25">
      <c r="B292" s="31">
        <v>46233</v>
      </c>
      <c r="C292" s="32" t="s">
        <v>654</v>
      </c>
      <c r="D292" s="32" t="s">
        <v>655</v>
      </c>
      <c r="E292" s="32" t="s">
        <v>949</v>
      </c>
      <c r="F292" s="32" t="s">
        <v>657</v>
      </c>
      <c r="G292" s="32" t="s">
        <v>950</v>
      </c>
      <c r="H292" s="31">
        <v>46233</v>
      </c>
      <c r="I292" s="32" t="s">
        <v>169</v>
      </c>
      <c r="J292" s="32" t="s">
        <v>170</v>
      </c>
      <c r="K292" s="32" t="s">
        <v>157</v>
      </c>
      <c r="L292" s="32" t="s">
        <v>233</v>
      </c>
      <c r="M292" s="32" t="s">
        <v>681</v>
      </c>
      <c r="N292" s="32">
        <v>149.30000000000001</v>
      </c>
      <c r="O292" s="32">
        <v>24035.82</v>
      </c>
      <c r="P292" s="32" t="s">
        <v>681</v>
      </c>
      <c r="Q292" s="32">
        <v>0</v>
      </c>
      <c r="R292" s="32">
        <v>2.5</v>
      </c>
      <c r="S292" s="32">
        <v>600.9</v>
      </c>
      <c r="T292" s="32">
        <v>2.5</v>
      </c>
      <c r="U292" s="32">
        <v>600.9</v>
      </c>
      <c r="V292" s="32">
        <v>0</v>
      </c>
      <c r="W292" s="32">
        <v>0</v>
      </c>
      <c r="X292" s="32">
        <v>0</v>
      </c>
      <c r="Y292" s="32">
        <v>1201.8</v>
      </c>
      <c r="Z292" s="32">
        <v>0</v>
      </c>
      <c r="AA292" s="32" t="s">
        <v>177</v>
      </c>
      <c r="AB292" s="32" t="s">
        <v>168</v>
      </c>
      <c r="AC292" s="32">
        <v>540269</v>
      </c>
      <c r="AD292" s="32" t="s">
        <v>208</v>
      </c>
      <c r="AE292" s="32">
        <v>1</v>
      </c>
      <c r="AF292" s="32">
        <v>149.30000000000001</v>
      </c>
      <c r="AG292" s="32" t="s">
        <v>209</v>
      </c>
    </row>
    <row r="293" spans="2:33" x14ac:dyDescent="0.25">
      <c r="B293" s="31">
        <v>46233</v>
      </c>
      <c r="C293" s="32" t="s">
        <v>654</v>
      </c>
      <c r="D293" s="32" t="s">
        <v>655</v>
      </c>
      <c r="E293" s="32" t="s">
        <v>951</v>
      </c>
      <c r="F293" s="32" t="s">
        <v>657</v>
      </c>
      <c r="G293" s="32" t="s">
        <v>952</v>
      </c>
      <c r="H293" s="31">
        <v>46233</v>
      </c>
      <c r="I293" s="32" t="s">
        <v>171</v>
      </c>
      <c r="J293" s="32" t="s">
        <v>185</v>
      </c>
      <c r="K293" s="32" t="s">
        <v>164</v>
      </c>
      <c r="L293" s="32" t="s">
        <v>270</v>
      </c>
      <c r="M293" s="32" t="s">
        <v>953</v>
      </c>
      <c r="N293" s="32">
        <v>4500</v>
      </c>
      <c r="O293" s="32">
        <v>168750</v>
      </c>
      <c r="P293" s="32" t="s">
        <v>953</v>
      </c>
      <c r="Q293" s="32">
        <v>198956.25</v>
      </c>
      <c r="R293" s="32">
        <v>9</v>
      </c>
      <c r="S293" s="32">
        <v>15187.5</v>
      </c>
      <c r="T293" s="32">
        <v>9</v>
      </c>
      <c r="U293" s="32">
        <v>15187.5</v>
      </c>
      <c r="V293" s="32">
        <v>0</v>
      </c>
      <c r="W293" s="32">
        <v>0</v>
      </c>
      <c r="X293" s="32">
        <v>0</v>
      </c>
      <c r="Y293" s="32">
        <v>30375</v>
      </c>
      <c r="Z293" s="32">
        <v>0</v>
      </c>
      <c r="AA293" s="32" t="s">
        <v>177</v>
      </c>
      <c r="AB293" s="32" t="s">
        <v>168</v>
      </c>
      <c r="AC293" s="32">
        <v>39029000</v>
      </c>
      <c r="AD293" s="32" t="s">
        <v>208</v>
      </c>
      <c r="AE293" s="32">
        <v>1</v>
      </c>
      <c r="AF293" s="32">
        <v>4500</v>
      </c>
      <c r="AG293" s="32" t="s">
        <v>209</v>
      </c>
    </row>
    <row r="294" spans="2:33" x14ac:dyDescent="0.25">
      <c r="B294" s="31">
        <v>46234</v>
      </c>
      <c r="C294" s="32" t="s">
        <v>654</v>
      </c>
      <c r="D294" s="32" t="s">
        <v>655</v>
      </c>
      <c r="E294" s="32" t="s">
        <v>954</v>
      </c>
      <c r="F294" s="32" t="s">
        <v>657</v>
      </c>
      <c r="G294" s="32" t="s">
        <v>955</v>
      </c>
      <c r="H294" s="31">
        <v>46234</v>
      </c>
      <c r="I294" s="32" t="s">
        <v>169</v>
      </c>
      <c r="J294" s="32" t="s">
        <v>176</v>
      </c>
      <c r="K294" s="32" t="s">
        <v>159</v>
      </c>
      <c r="L294" s="32" t="s">
        <v>159</v>
      </c>
      <c r="M294" s="32" t="s">
        <v>174</v>
      </c>
      <c r="N294" s="32">
        <v>108</v>
      </c>
      <c r="O294" s="32">
        <v>19740.240000000002</v>
      </c>
      <c r="P294" s="32" t="s">
        <v>174</v>
      </c>
      <c r="Q294" s="32">
        <v>1024257.47</v>
      </c>
      <c r="R294" s="32">
        <v>9</v>
      </c>
      <c r="S294" s="32">
        <v>1776.62</v>
      </c>
      <c r="T294" s="32">
        <v>9</v>
      </c>
      <c r="U294" s="32">
        <v>1776.62</v>
      </c>
      <c r="V294" s="32">
        <v>0</v>
      </c>
      <c r="W294" s="32">
        <v>0</v>
      </c>
      <c r="X294" s="32">
        <v>0</v>
      </c>
      <c r="Y294" s="32">
        <v>3553.24</v>
      </c>
      <c r="Z294" s="32">
        <v>0</v>
      </c>
      <c r="AA294" s="32" t="s">
        <v>177</v>
      </c>
      <c r="AB294" s="32" t="s">
        <v>168</v>
      </c>
      <c r="AC294" s="32">
        <v>39200000</v>
      </c>
      <c r="AD294" s="32" t="s">
        <v>208</v>
      </c>
      <c r="AE294" s="32">
        <v>1</v>
      </c>
      <c r="AF294" s="32">
        <v>108</v>
      </c>
      <c r="AG294" s="32" t="s">
        <v>209</v>
      </c>
    </row>
    <row r="295" spans="2:33" x14ac:dyDescent="0.25">
      <c r="B295" s="31">
        <v>46234</v>
      </c>
      <c r="C295" s="32" t="s">
        <v>654</v>
      </c>
      <c r="D295" s="32" t="s">
        <v>655</v>
      </c>
      <c r="E295" s="32" t="s">
        <v>954</v>
      </c>
      <c r="F295" s="32" t="s">
        <v>657</v>
      </c>
      <c r="G295" s="32" t="s">
        <v>955</v>
      </c>
      <c r="H295" s="31">
        <v>46234</v>
      </c>
      <c r="I295" s="32" t="s">
        <v>169</v>
      </c>
      <c r="J295" s="32" t="s">
        <v>180</v>
      </c>
      <c r="K295" s="32" t="s">
        <v>155</v>
      </c>
      <c r="L295" s="32" t="s">
        <v>210</v>
      </c>
      <c r="M295" s="32" t="s">
        <v>187</v>
      </c>
      <c r="N295" s="32">
        <v>1949</v>
      </c>
      <c r="O295" s="32">
        <v>291356.01</v>
      </c>
      <c r="P295" s="32" t="s">
        <v>187</v>
      </c>
      <c r="Q295" s="32">
        <v>0</v>
      </c>
      <c r="R295" s="32">
        <v>9</v>
      </c>
      <c r="S295" s="32">
        <v>26222.04</v>
      </c>
      <c r="T295" s="32">
        <v>9</v>
      </c>
      <c r="U295" s="32">
        <v>26222.04</v>
      </c>
      <c r="V295" s="32">
        <v>0</v>
      </c>
      <c r="W295" s="32">
        <v>0</v>
      </c>
      <c r="X295" s="32">
        <v>0</v>
      </c>
      <c r="Y295" s="32">
        <v>52444.08</v>
      </c>
      <c r="Z295" s="32">
        <v>0</v>
      </c>
      <c r="AA295" s="32" t="s">
        <v>177</v>
      </c>
      <c r="AB295" s="32" t="s">
        <v>168</v>
      </c>
      <c r="AC295" s="32">
        <v>39269080</v>
      </c>
      <c r="AD295" s="32" t="s">
        <v>208</v>
      </c>
      <c r="AE295" s="32">
        <v>1</v>
      </c>
      <c r="AF295" s="32">
        <v>1949</v>
      </c>
      <c r="AG295" s="32" t="s">
        <v>209</v>
      </c>
    </row>
    <row r="296" spans="2:33" x14ac:dyDescent="0.25">
      <c r="B296" s="31">
        <v>46234</v>
      </c>
      <c r="C296" s="32" t="s">
        <v>654</v>
      </c>
      <c r="D296" s="32" t="s">
        <v>655</v>
      </c>
      <c r="E296" s="32" t="s">
        <v>954</v>
      </c>
      <c r="F296" s="32" t="s">
        <v>657</v>
      </c>
      <c r="G296" s="32" t="s">
        <v>955</v>
      </c>
      <c r="H296" s="31">
        <v>46234</v>
      </c>
      <c r="I296" s="32" t="s">
        <v>169</v>
      </c>
      <c r="J296" s="32" t="s">
        <v>180</v>
      </c>
      <c r="K296" s="32" t="s">
        <v>156</v>
      </c>
      <c r="L296" s="32" t="s">
        <v>218</v>
      </c>
      <c r="M296" s="32" t="s">
        <v>179</v>
      </c>
      <c r="N296" s="32">
        <v>3211</v>
      </c>
      <c r="O296" s="32">
        <v>486434.39</v>
      </c>
      <c r="P296" s="32" t="s">
        <v>179</v>
      </c>
      <c r="Q296" s="32">
        <v>0</v>
      </c>
      <c r="R296" s="32">
        <v>9</v>
      </c>
      <c r="S296" s="32">
        <v>43779.1</v>
      </c>
      <c r="T296" s="32">
        <v>9</v>
      </c>
      <c r="U296" s="32">
        <v>43779.1</v>
      </c>
      <c r="V296" s="32">
        <v>0</v>
      </c>
      <c r="W296" s="32">
        <v>0</v>
      </c>
      <c r="X296" s="32">
        <v>0</v>
      </c>
      <c r="Y296" s="32">
        <v>87558.2</v>
      </c>
      <c r="Z296" s="32">
        <v>0</v>
      </c>
      <c r="AA296" s="32" t="s">
        <v>177</v>
      </c>
      <c r="AB296" s="32" t="s">
        <v>168</v>
      </c>
      <c r="AC296" s="32">
        <v>63053300</v>
      </c>
      <c r="AD296" s="32" t="s">
        <v>208</v>
      </c>
      <c r="AE296" s="32">
        <v>1</v>
      </c>
      <c r="AF296" s="32">
        <v>3211</v>
      </c>
      <c r="AG296" s="32" t="s">
        <v>209</v>
      </c>
    </row>
    <row r="297" spans="2:33" x14ac:dyDescent="0.25">
      <c r="B297" s="31">
        <v>46234</v>
      </c>
      <c r="C297" s="32" t="s">
        <v>654</v>
      </c>
      <c r="D297" s="32" t="s">
        <v>655</v>
      </c>
      <c r="E297" s="32" t="s">
        <v>954</v>
      </c>
      <c r="F297" s="32" t="s">
        <v>657</v>
      </c>
      <c r="G297" s="32" t="s">
        <v>955</v>
      </c>
      <c r="H297" s="31">
        <v>46234</v>
      </c>
      <c r="I297" s="32" t="s">
        <v>169</v>
      </c>
      <c r="J297" s="32" t="s">
        <v>182</v>
      </c>
      <c r="K297" s="32" t="s">
        <v>154</v>
      </c>
      <c r="L297" s="32" t="s">
        <v>154</v>
      </c>
      <c r="M297" s="32" t="s">
        <v>182</v>
      </c>
      <c r="N297" s="32">
        <v>433.4</v>
      </c>
      <c r="O297" s="32">
        <v>64788.966</v>
      </c>
      <c r="P297" s="32" t="s">
        <v>182</v>
      </c>
      <c r="Q297" s="32">
        <v>0</v>
      </c>
      <c r="R297" s="32">
        <v>9</v>
      </c>
      <c r="S297" s="32">
        <v>5831.01</v>
      </c>
      <c r="T297" s="32">
        <v>9</v>
      </c>
      <c r="U297" s="32">
        <v>5831.01</v>
      </c>
      <c r="V297" s="32">
        <v>0</v>
      </c>
      <c r="W297" s="32">
        <v>0</v>
      </c>
      <c r="X297" s="32">
        <v>0</v>
      </c>
      <c r="Y297" s="32">
        <v>11662.02</v>
      </c>
      <c r="Z297" s="32">
        <v>0</v>
      </c>
      <c r="AA297" s="32" t="s">
        <v>177</v>
      </c>
      <c r="AB297" s="32" t="s">
        <v>168</v>
      </c>
      <c r="AC297" s="32">
        <v>3926908</v>
      </c>
      <c r="AD297" s="32" t="s">
        <v>208</v>
      </c>
      <c r="AE297" s="32">
        <v>1</v>
      </c>
      <c r="AF297" s="32">
        <v>433.4</v>
      </c>
      <c r="AG297" s="32" t="s">
        <v>209</v>
      </c>
    </row>
    <row r="298" spans="2:33" x14ac:dyDescent="0.25">
      <c r="B298" s="31">
        <v>46234</v>
      </c>
      <c r="C298" s="32" t="s">
        <v>654</v>
      </c>
      <c r="D298" s="32" t="s">
        <v>655</v>
      </c>
      <c r="E298" s="32" t="s">
        <v>954</v>
      </c>
      <c r="F298" s="32" t="s">
        <v>657</v>
      </c>
      <c r="G298" s="32" t="s">
        <v>955</v>
      </c>
      <c r="H298" s="31">
        <v>46234</v>
      </c>
      <c r="I298" s="32" t="s">
        <v>169</v>
      </c>
      <c r="J298" s="32" t="s">
        <v>170</v>
      </c>
      <c r="K298" s="32" t="s">
        <v>157</v>
      </c>
      <c r="L298" s="32" t="s">
        <v>233</v>
      </c>
      <c r="M298" s="32" t="s">
        <v>681</v>
      </c>
      <c r="N298" s="32">
        <v>44.9</v>
      </c>
      <c r="O298" s="32">
        <v>7228.451</v>
      </c>
      <c r="P298" s="32" t="s">
        <v>681</v>
      </c>
      <c r="Q298" s="32">
        <v>0</v>
      </c>
      <c r="R298" s="32">
        <v>2.5</v>
      </c>
      <c r="S298" s="32">
        <v>180.71</v>
      </c>
      <c r="T298" s="32">
        <v>2.5</v>
      </c>
      <c r="U298" s="32">
        <v>180.71</v>
      </c>
      <c r="V298" s="32">
        <v>0</v>
      </c>
      <c r="W298" s="32">
        <v>0</v>
      </c>
      <c r="X298" s="32">
        <v>0</v>
      </c>
      <c r="Y298" s="32">
        <v>361.42</v>
      </c>
      <c r="Z298" s="32">
        <v>0</v>
      </c>
      <c r="AA298" s="32" t="s">
        <v>177</v>
      </c>
      <c r="AB298" s="32" t="s">
        <v>168</v>
      </c>
      <c r="AC298" s="32">
        <v>540269</v>
      </c>
      <c r="AD298" s="32" t="s">
        <v>208</v>
      </c>
      <c r="AE298" s="32">
        <v>1</v>
      </c>
      <c r="AF298" s="32">
        <v>44.9</v>
      </c>
      <c r="AG298" s="32" t="s">
        <v>209</v>
      </c>
    </row>
    <row r="299" spans="2:33" x14ac:dyDescent="0.25"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</row>
    <row r="300" spans="2:33" x14ac:dyDescent="0.25">
      <c r="C300" s="8"/>
      <c r="D300" s="8"/>
      <c r="E300" s="8"/>
      <c r="F300" s="8"/>
      <c r="G300" s="8"/>
      <c r="H300" s="8"/>
      <c r="I300" s="8"/>
      <c r="J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G300" s="8"/>
    </row>
    <row r="301" spans="2:33" x14ac:dyDescent="0.25">
      <c r="C301" s="8"/>
      <c r="D301" s="8"/>
      <c r="E301" s="8"/>
      <c r="F301" s="8"/>
      <c r="G301" s="8"/>
      <c r="H301" s="8"/>
      <c r="I301" s="8"/>
      <c r="J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G301" s="8"/>
    </row>
    <row r="302" spans="2:33" x14ac:dyDescent="0.25">
      <c r="C302" s="8"/>
      <c r="D302" s="8"/>
      <c r="E302" s="8"/>
      <c r="F302" s="8"/>
      <c r="G302" s="8"/>
      <c r="H302" s="8"/>
      <c r="I302" s="8"/>
      <c r="J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G302" s="8"/>
    </row>
    <row r="303" spans="2:33" x14ac:dyDescent="0.25">
      <c r="C303" s="8"/>
      <c r="D303" s="8"/>
      <c r="E303" s="8"/>
      <c r="F303" s="8"/>
      <c r="G303" s="8"/>
      <c r="H303" s="8"/>
      <c r="I303" s="8"/>
      <c r="J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G303" s="8"/>
    </row>
    <row r="304" spans="2:33" x14ac:dyDescent="0.25">
      <c r="C304" s="8"/>
      <c r="D304" s="8"/>
      <c r="E304" s="8"/>
      <c r="F304" s="8"/>
      <c r="G304" s="8"/>
      <c r="H304" s="8"/>
      <c r="I304" s="8"/>
      <c r="J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G304" s="8"/>
    </row>
    <row r="305" spans="3:33" x14ac:dyDescent="0.25">
      <c r="C305" s="8"/>
      <c r="D305" s="8"/>
      <c r="E305" s="8"/>
      <c r="F305" s="8"/>
      <c r="G305" s="8"/>
      <c r="H305" s="8"/>
      <c r="I305" s="8"/>
      <c r="J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G305" s="8"/>
    </row>
    <row r="306" spans="3:33" x14ac:dyDescent="0.25">
      <c r="C306" s="8"/>
      <c r="D306" s="8"/>
      <c r="E306" s="8"/>
      <c r="F306" s="8"/>
      <c r="G306" s="8"/>
      <c r="H306" s="8"/>
      <c r="I306" s="8"/>
      <c r="J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G306" s="8"/>
    </row>
    <row r="307" spans="3:33" x14ac:dyDescent="0.25">
      <c r="C307" s="8"/>
      <c r="D307" s="8"/>
      <c r="E307" s="8"/>
      <c r="F307" s="8"/>
      <c r="G307" s="8"/>
      <c r="H307" s="8"/>
      <c r="I307" s="8"/>
      <c r="J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G307" s="8"/>
    </row>
    <row r="308" spans="3:33" x14ac:dyDescent="0.25">
      <c r="C308" s="8"/>
      <c r="D308" s="8"/>
      <c r="E308" s="8"/>
      <c r="F308" s="8"/>
      <c r="G308" s="8"/>
      <c r="H308" s="8"/>
      <c r="I308" s="8"/>
      <c r="J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G308" s="8"/>
    </row>
    <row r="309" spans="3:33" x14ac:dyDescent="0.25">
      <c r="C309" s="8"/>
      <c r="D309" s="8"/>
      <c r="E309" s="8"/>
      <c r="F309" s="8"/>
      <c r="G309" s="8"/>
      <c r="H309" s="8"/>
      <c r="I309" s="8"/>
      <c r="J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G309" s="8"/>
    </row>
    <row r="310" spans="3:33" x14ac:dyDescent="0.25">
      <c r="C310" s="8"/>
      <c r="D310" s="8"/>
      <c r="E310" s="8"/>
      <c r="F310" s="8"/>
      <c r="G310" s="8"/>
      <c r="H310" s="8"/>
      <c r="I310" s="8"/>
      <c r="J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G310" s="8"/>
    </row>
    <row r="311" spans="3:33" x14ac:dyDescent="0.25">
      <c r="C311" s="8"/>
      <c r="D311" s="8"/>
      <c r="E311" s="8"/>
      <c r="F311" s="8"/>
      <c r="G311" s="8"/>
      <c r="H311" s="8"/>
      <c r="I311" s="8"/>
      <c r="J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G311" s="8"/>
    </row>
    <row r="312" spans="3:33" x14ac:dyDescent="0.25">
      <c r="C312" s="8"/>
      <c r="D312" s="8"/>
      <c r="E312" s="8"/>
      <c r="F312" s="8"/>
      <c r="G312" s="8"/>
      <c r="H312" s="8"/>
      <c r="I312" s="8"/>
      <c r="J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G312" s="8"/>
    </row>
  </sheetData>
  <autoFilter ref="B1:AG298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29"/>
  <sheetViews>
    <sheetView topLeftCell="A274" workbookViewId="0">
      <selection activeCell="AW8" sqref="AW8"/>
    </sheetView>
  </sheetViews>
  <sheetFormatPr defaultRowHeight="15" x14ac:dyDescent="0.25"/>
  <cols>
    <col min="2" max="2" width="25.85546875" customWidth="1"/>
    <col min="3" max="3" width="12.5703125" style="8" customWidth="1"/>
    <col min="4" max="4" width="18" bestFit="1" customWidth="1"/>
    <col min="5" max="5" width="13.5703125" customWidth="1"/>
    <col min="6" max="6" width="31.85546875" style="8" customWidth="1"/>
    <col min="7" max="7" width="19.28515625" style="8" customWidth="1"/>
    <col min="8" max="8" width="15.140625" customWidth="1"/>
    <col min="9" max="9" width="13" customWidth="1"/>
    <col min="10" max="10" width="10.85546875" customWidth="1"/>
    <col min="11" max="11" width="11.5703125" customWidth="1"/>
    <col min="12" max="12" width="15.5703125" customWidth="1"/>
    <col min="13" max="13" width="17" customWidth="1"/>
    <col min="14" max="14" width="15.140625" customWidth="1"/>
    <col min="15" max="15" width="34.42578125" customWidth="1"/>
    <col min="16" max="16" width="21.85546875" customWidth="1"/>
    <col min="17" max="17" width="11.7109375" customWidth="1"/>
    <col min="18" max="18" width="13.140625" customWidth="1"/>
    <col min="19" max="19" width="17.140625" customWidth="1"/>
    <col min="21" max="21" width="11.7109375" customWidth="1"/>
    <col min="23" max="23" width="11.42578125" customWidth="1"/>
    <col min="24" max="24" width="13.140625" customWidth="1"/>
    <col min="25" max="25" width="13.28515625" customWidth="1"/>
    <col min="45" max="45" width="16.42578125" bestFit="1" customWidth="1"/>
    <col min="46" max="46" width="19.85546875" bestFit="1" customWidth="1"/>
    <col min="47" max="47" width="15.85546875" bestFit="1" customWidth="1"/>
    <col min="48" max="48" width="18.7109375" customWidth="1"/>
    <col min="49" max="49" width="20.42578125" customWidth="1"/>
    <col min="52" max="52" width="16.7109375" customWidth="1"/>
    <col min="63" max="63" width="28.140625" bestFit="1" customWidth="1"/>
    <col min="64" max="64" width="11" customWidth="1"/>
    <col min="65" max="65" width="16.85546875" customWidth="1"/>
    <col min="66" max="66" width="15.85546875" bestFit="1" customWidth="1"/>
    <col min="67" max="67" width="14.85546875" style="8" customWidth="1"/>
  </cols>
  <sheetData>
    <row r="1" spans="1:67" x14ac:dyDescent="0.25">
      <c r="B1" s="1" t="s">
        <v>82</v>
      </c>
      <c r="C1" s="1" t="s">
        <v>0</v>
      </c>
      <c r="D1" s="1" t="s">
        <v>83</v>
      </c>
      <c r="E1" s="1" t="s">
        <v>77</v>
      </c>
      <c r="F1" s="1" t="s">
        <v>78</v>
      </c>
      <c r="G1" s="1" t="s">
        <v>84</v>
      </c>
      <c r="H1" s="1" t="s">
        <v>85</v>
      </c>
      <c r="I1" s="1" t="s">
        <v>86</v>
      </c>
      <c r="J1" s="1" t="s">
        <v>26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39</v>
      </c>
      <c r="W1" s="1" t="s">
        <v>13</v>
      </c>
      <c r="X1" s="1" t="s">
        <v>98</v>
      </c>
      <c r="Y1" s="1" t="s">
        <v>99</v>
      </c>
      <c r="Z1" s="1" t="s">
        <v>100</v>
      </c>
      <c r="AA1" s="1" t="s">
        <v>47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44</v>
      </c>
      <c r="AU1" s="1" t="s">
        <v>119</v>
      </c>
      <c r="AV1" s="4" t="s">
        <v>120</v>
      </c>
      <c r="AW1" s="1" t="s">
        <v>121</v>
      </c>
      <c r="AX1" s="1" t="s">
        <v>122</v>
      </c>
      <c r="AY1" s="1" t="s">
        <v>123</v>
      </c>
      <c r="AZ1" s="4" t="s">
        <v>124</v>
      </c>
      <c r="BA1" s="1" t="s">
        <v>125</v>
      </c>
      <c r="BB1" s="1" t="s">
        <v>126</v>
      </c>
      <c r="BC1" s="1" t="s">
        <v>127</v>
      </c>
      <c r="BD1" s="1" t="s">
        <v>128</v>
      </c>
      <c r="BE1" s="1" t="s">
        <v>129</v>
      </c>
      <c r="BF1" s="1" t="s">
        <v>130</v>
      </c>
      <c r="BG1" s="1" t="s">
        <v>131</v>
      </c>
      <c r="BH1" s="1" t="s">
        <v>132</v>
      </c>
      <c r="BI1" s="1" t="s">
        <v>133</v>
      </c>
      <c r="BJ1" s="1" t="s">
        <v>134</v>
      </c>
      <c r="BK1" s="1" t="s">
        <v>135</v>
      </c>
      <c r="BL1" s="1" t="s">
        <v>136</v>
      </c>
      <c r="BM1" s="1" t="s">
        <v>137</v>
      </c>
      <c r="BN1" s="1" t="s">
        <v>138</v>
      </c>
      <c r="BO1" s="4" t="s">
        <v>139</v>
      </c>
    </row>
    <row r="2" spans="1:67" x14ac:dyDescent="0.25">
      <c r="A2" s="21"/>
      <c r="B2" s="32" t="s">
        <v>167</v>
      </c>
      <c r="C2" s="31">
        <v>46204</v>
      </c>
      <c r="D2" s="32" t="s">
        <v>984</v>
      </c>
      <c r="E2" s="32" t="s">
        <v>186</v>
      </c>
      <c r="F2" s="32" t="s">
        <v>187</v>
      </c>
      <c r="G2" s="32" t="s">
        <v>985</v>
      </c>
      <c r="H2" s="32">
        <v>1082</v>
      </c>
      <c r="I2" s="32">
        <v>1082</v>
      </c>
      <c r="J2" s="32" t="s">
        <v>168</v>
      </c>
      <c r="K2" s="32">
        <v>1082</v>
      </c>
      <c r="L2" s="32">
        <v>0</v>
      </c>
      <c r="M2" s="32">
        <v>1082</v>
      </c>
      <c r="N2" s="32" t="s">
        <v>986</v>
      </c>
      <c r="O2" s="32" t="s">
        <v>659</v>
      </c>
      <c r="P2" s="32" t="s">
        <v>659</v>
      </c>
      <c r="Q2" s="32" t="s">
        <v>663</v>
      </c>
      <c r="R2" s="31">
        <v>46203</v>
      </c>
      <c r="S2" s="32" t="s">
        <v>987</v>
      </c>
      <c r="T2" s="32" t="s">
        <v>988</v>
      </c>
      <c r="U2" s="32" t="s">
        <v>662</v>
      </c>
      <c r="V2" s="32">
        <v>122</v>
      </c>
      <c r="W2" s="32">
        <v>122</v>
      </c>
      <c r="X2" s="32" t="s">
        <v>663</v>
      </c>
      <c r="Y2" s="31">
        <v>46203</v>
      </c>
      <c r="Z2" s="32" t="s">
        <v>193</v>
      </c>
      <c r="AA2" s="32" t="s">
        <v>193</v>
      </c>
      <c r="AB2" s="32"/>
      <c r="AC2" s="32" t="s">
        <v>989</v>
      </c>
      <c r="AD2" s="32">
        <v>337</v>
      </c>
      <c r="AE2" s="32">
        <v>0</v>
      </c>
      <c r="AF2" s="32">
        <v>0</v>
      </c>
      <c r="AG2" s="32">
        <v>0</v>
      </c>
      <c r="AH2" s="32">
        <v>0</v>
      </c>
      <c r="AI2" s="32">
        <v>0</v>
      </c>
      <c r="AJ2" s="32" t="s">
        <v>965</v>
      </c>
      <c r="AK2" s="32">
        <v>0</v>
      </c>
      <c r="AL2" s="32">
        <v>0</v>
      </c>
      <c r="AM2" s="32">
        <v>0</v>
      </c>
      <c r="AN2" s="32">
        <v>0</v>
      </c>
      <c r="AO2" s="32">
        <v>0</v>
      </c>
      <c r="AP2" s="32"/>
      <c r="AQ2" s="32">
        <v>0</v>
      </c>
      <c r="AR2" s="32">
        <v>0</v>
      </c>
      <c r="AS2" s="32">
        <v>217138.4</v>
      </c>
      <c r="AT2" s="32" t="s">
        <v>169</v>
      </c>
      <c r="AU2" s="32" t="s">
        <v>180</v>
      </c>
      <c r="AV2" s="32" t="s">
        <v>155</v>
      </c>
      <c r="AW2" s="32" t="s">
        <v>171</v>
      </c>
      <c r="AX2" s="32" t="s">
        <v>966</v>
      </c>
      <c r="AY2" s="32">
        <v>0</v>
      </c>
      <c r="AZ2" s="32">
        <v>132004</v>
      </c>
      <c r="BA2" s="32">
        <v>276</v>
      </c>
      <c r="BB2" s="31">
        <v>46204</v>
      </c>
      <c r="BC2" s="32" t="s">
        <v>177</v>
      </c>
      <c r="BD2" s="32" t="s">
        <v>967</v>
      </c>
      <c r="BE2" s="32" t="s">
        <v>967</v>
      </c>
      <c r="BF2" s="32">
        <v>9</v>
      </c>
      <c r="BG2" s="32">
        <v>11880.36</v>
      </c>
      <c r="BH2" s="32">
        <v>9</v>
      </c>
      <c r="BI2" s="32">
        <v>11880.36</v>
      </c>
      <c r="BJ2" s="32">
        <v>0</v>
      </c>
      <c r="BK2" s="32">
        <v>0</v>
      </c>
      <c r="BL2" s="32">
        <v>217138.4</v>
      </c>
      <c r="BM2" s="32">
        <v>672137664176</v>
      </c>
      <c r="BN2" s="31">
        <v>46203</v>
      </c>
      <c r="BO2" s="32">
        <v>1082</v>
      </c>
    </row>
    <row r="3" spans="1:67" x14ac:dyDescent="0.25">
      <c r="A3" s="21"/>
      <c r="B3" s="32" t="s">
        <v>167</v>
      </c>
      <c r="C3" s="31">
        <v>46204</v>
      </c>
      <c r="D3" s="32" t="s">
        <v>984</v>
      </c>
      <c r="E3" s="32" t="s">
        <v>186</v>
      </c>
      <c r="F3" s="32" t="s">
        <v>187</v>
      </c>
      <c r="G3" s="32" t="s">
        <v>985</v>
      </c>
      <c r="H3" s="32">
        <v>487</v>
      </c>
      <c r="I3" s="32">
        <v>487</v>
      </c>
      <c r="J3" s="32" t="s">
        <v>168</v>
      </c>
      <c r="K3" s="32">
        <v>487</v>
      </c>
      <c r="L3" s="32">
        <v>0</v>
      </c>
      <c r="M3" s="32">
        <v>487</v>
      </c>
      <c r="N3" s="32" t="s">
        <v>986</v>
      </c>
      <c r="O3" s="32" t="s">
        <v>659</v>
      </c>
      <c r="P3" s="32" t="s">
        <v>659</v>
      </c>
      <c r="Q3" s="32" t="s">
        <v>663</v>
      </c>
      <c r="R3" s="31">
        <v>46203</v>
      </c>
      <c r="S3" s="32" t="s">
        <v>987</v>
      </c>
      <c r="T3" s="32" t="s">
        <v>988</v>
      </c>
      <c r="U3" s="32" t="s">
        <v>662</v>
      </c>
      <c r="V3" s="32">
        <v>106.8</v>
      </c>
      <c r="W3" s="32">
        <v>106.8</v>
      </c>
      <c r="X3" s="32" t="s">
        <v>663</v>
      </c>
      <c r="Y3" s="31">
        <v>46203</v>
      </c>
      <c r="Z3" s="32" t="s">
        <v>193</v>
      </c>
      <c r="AA3" s="32" t="s">
        <v>193</v>
      </c>
      <c r="AB3" s="32"/>
      <c r="AC3" s="32" t="s">
        <v>989</v>
      </c>
      <c r="AD3" s="32">
        <v>337</v>
      </c>
      <c r="AE3" s="32">
        <v>0</v>
      </c>
      <c r="AF3" s="32">
        <v>0</v>
      </c>
      <c r="AG3" s="32">
        <v>0</v>
      </c>
      <c r="AH3" s="32">
        <v>0</v>
      </c>
      <c r="AI3" s="32">
        <v>0</v>
      </c>
      <c r="AJ3" s="32" t="s">
        <v>965</v>
      </c>
      <c r="AK3" s="32">
        <v>0</v>
      </c>
      <c r="AL3" s="32">
        <v>0</v>
      </c>
      <c r="AM3" s="32">
        <v>0</v>
      </c>
      <c r="AN3" s="32">
        <v>0</v>
      </c>
      <c r="AO3" s="32">
        <v>0</v>
      </c>
      <c r="AP3" s="32"/>
      <c r="AQ3" s="32">
        <v>0</v>
      </c>
      <c r="AR3" s="32">
        <v>0</v>
      </c>
      <c r="AS3" s="32">
        <v>217138.4</v>
      </c>
      <c r="AT3" s="32" t="s">
        <v>169</v>
      </c>
      <c r="AU3" s="32" t="s">
        <v>180</v>
      </c>
      <c r="AV3" s="32" t="s">
        <v>155</v>
      </c>
      <c r="AW3" s="32" t="s">
        <v>171</v>
      </c>
      <c r="AX3" s="32" t="s">
        <v>966</v>
      </c>
      <c r="AY3" s="32">
        <v>0</v>
      </c>
      <c r="AZ3" s="32">
        <v>52011.6</v>
      </c>
      <c r="BA3" s="32">
        <v>276</v>
      </c>
      <c r="BB3" s="31">
        <v>46204</v>
      </c>
      <c r="BC3" s="32" t="s">
        <v>177</v>
      </c>
      <c r="BD3" s="32" t="s">
        <v>967</v>
      </c>
      <c r="BE3" s="32" t="s">
        <v>967</v>
      </c>
      <c r="BF3" s="32">
        <v>9</v>
      </c>
      <c r="BG3" s="32">
        <v>4681.04</v>
      </c>
      <c r="BH3" s="32">
        <v>9</v>
      </c>
      <c r="BI3" s="32">
        <v>4681.04</v>
      </c>
      <c r="BJ3" s="32">
        <v>0</v>
      </c>
      <c r="BK3" s="32">
        <v>0</v>
      </c>
      <c r="BL3" s="32">
        <v>0</v>
      </c>
      <c r="BM3" s="32">
        <v>672137664176</v>
      </c>
      <c r="BN3" s="31">
        <v>46203</v>
      </c>
      <c r="BO3" s="32">
        <v>487</v>
      </c>
    </row>
    <row r="4" spans="1:67" x14ac:dyDescent="0.25">
      <c r="A4" s="21"/>
      <c r="B4" s="32" t="s">
        <v>167</v>
      </c>
      <c r="C4" s="31">
        <v>46204</v>
      </c>
      <c r="D4" s="32" t="s">
        <v>990</v>
      </c>
      <c r="E4" s="32" t="s">
        <v>186</v>
      </c>
      <c r="F4" s="32" t="s">
        <v>187</v>
      </c>
      <c r="G4" s="32" t="s">
        <v>991</v>
      </c>
      <c r="H4" s="32">
        <v>1321</v>
      </c>
      <c r="I4" s="32">
        <v>1321</v>
      </c>
      <c r="J4" s="32" t="s">
        <v>168</v>
      </c>
      <c r="K4" s="32">
        <v>1321</v>
      </c>
      <c r="L4" s="32">
        <v>0</v>
      </c>
      <c r="M4" s="32">
        <v>1321</v>
      </c>
      <c r="N4" s="32" t="s">
        <v>198</v>
      </c>
      <c r="O4" s="32" t="s">
        <v>654</v>
      </c>
      <c r="P4" s="32" t="s">
        <v>654</v>
      </c>
      <c r="Q4" s="32" t="s">
        <v>658</v>
      </c>
      <c r="R4" s="31">
        <v>46204</v>
      </c>
      <c r="S4" s="32" t="s">
        <v>987</v>
      </c>
      <c r="T4" s="32" t="s">
        <v>988</v>
      </c>
      <c r="U4" s="32" t="s">
        <v>656</v>
      </c>
      <c r="V4" s="32">
        <v>147.74</v>
      </c>
      <c r="W4" s="32">
        <v>147.74</v>
      </c>
      <c r="X4" s="32" t="s">
        <v>658</v>
      </c>
      <c r="Y4" s="31">
        <v>46204</v>
      </c>
      <c r="Z4" s="32" t="s">
        <v>193</v>
      </c>
      <c r="AA4" s="32" t="s">
        <v>193</v>
      </c>
      <c r="AB4" s="32"/>
      <c r="AC4" s="32" t="s">
        <v>193</v>
      </c>
      <c r="AD4" s="32" t="s">
        <v>193</v>
      </c>
      <c r="AE4" s="32">
        <v>0</v>
      </c>
      <c r="AF4" s="32">
        <v>0</v>
      </c>
      <c r="AG4" s="32">
        <v>0</v>
      </c>
      <c r="AH4" s="32">
        <v>0</v>
      </c>
      <c r="AI4" s="32">
        <v>0</v>
      </c>
      <c r="AJ4" s="32" t="s">
        <v>965</v>
      </c>
      <c r="AK4" s="32">
        <v>0</v>
      </c>
      <c r="AL4" s="32">
        <v>0</v>
      </c>
      <c r="AM4" s="32">
        <v>0</v>
      </c>
      <c r="AN4" s="32">
        <v>0</v>
      </c>
      <c r="AO4" s="32">
        <v>0</v>
      </c>
      <c r="AP4" s="32"/>
      <c r="AQ4" s="32">
        <v>0</v>
      </c>
      <c r="AR4" s="32">
        <v>0</v>
      </c>
      <c r="AS4" s="32">
        <v>230294.16</v>
      </c>
      <c r="AT4" s="32" t="s">
        <v>169</v>
      </c>
      <c r="AU4" s="32" t="s">
        <v>180</v>
      </c>
      <c r="AV4" s="32" t="s">
        <v>155</v>
      </c>
      <c r="AW4" s="32" t="s">
        <v>171</v>
      </c>
      <c r="AX4" s="32" t="s">
        <v>966</v>
      </c>
      <c r="AY4" s="32">
        <v>0</v>
      </c>
      <c r="AZ4" s="32">
        <v>195164.54</v>
      </c>
      <c r="BA4" s="32">
        <v>277</v>
      </c>
      <c r="BB4" s="31">
        <v>46204</v>
      </c>
      <c r="BC4" s="32" t="s">
        <v>177</v>
      </c>
      <c r="BD4" s="32" t="s">
        <v>967</v>
      </c>
      <c r="BE4" s="32" t="s">
        <v>967</v>
      </c>
      <c r="BF4" s="32">
        <v>9</v>
      </c>
      <c r="BG4" s="32">
        <v>17564.810000000001</v>
      </c>
      <c r="BH4" s="32">
        <v>9</v>
      </c>
      <c r="BI4" s="32">
        <v>17564.810000000001</v>
      </c>
      <c r="BJ4" s="32">
        <v>0</v>
      </c>
      <c r="BK4" s="32">
        <v>0</v>
      </c>
      <c r="BL4" s="32">
        <v>230294.16</v>
      </c>
      <c r="BM4" s="32">
        <v>642138108900</v>
      </c>
      <c r="BN4" s="31">
        <v>46204</v>
      </c>
      <c r="BO4" s="32">
        <v>1321</v>
      </c>
    </row>
    <row r="5" spans="1:67" x14ac:dyDescent="0.25">
      <c r="A5" s="21"/>
      <c r="B5" s="32" t="s">
        <v>167</v>
      </c>
      <c r="C5" s="31">
        <v>46205</v>
      </c>
      <c r="D5" s="32" t="s">
        <v>992</v>
      </c>
      <c r="E5" s="32" t="s">
        <v>186</v>
      </c>
      <c r="F5" s="32" t="s">
        <v>187</v>
      </c>
      <c r="G5" s="32" t="s">
        <v>993</v>
      </c>
      <c r="H5" s="32">
        <v>646</v>
      </c>
      <c r="I5" s="32">
        <v>646</v>
      </c>
      <c r="J5" s="32" t="s">
        <v>168</v>
      </c>
      <c r="K5" s="32">
        <v>646</v>
      </c>
      <c r="L5" s="32">
        <v>0</v>
      </c>
      <c r="M5" s="32">
        <v>646</v>
      </c>
      <c r="N5" s="32" t="s">
        <v>175</v>
      </c>
      <c r="O5" s="32" t="s">
        <v>654</v>
      </c>
      <c r="P5" s="32" t="s">
        <v>654</v>
      </c>
      <c r="Q5" s="32" t="s">
        <v>669</v>
      </c>
      <c r="R5" s="31">
        <v>46205</v>
      </c>
      <c r="S5" s="32" t="s">
        <v>987</v>
      </c>
      <c r="T5" s="32" t="s">
        <v>988</v>
      </c>
      <c r="U5" s="32" t="s">
        <v>668</v>
      </c>
      <c r="V5" s="32">
        <v>152.74</v>
      </c>
      <c r="W5" s="32">
        <v>152.74000044142699</v>
      </c>
      <c r="X5" s="32" t="s">
        <v>669</v>
      </c>
      <c r="Y5" s="31">
        <v>46205</v>
      </c>
      <c r="Z5" s="32" t="s">
        <v>193</v>
      </c>
      <c r="AA5" s="32" t="s">
        <v>193</v>
      </c>
      <c r="AB5" s="32"/>
      <c r="AC5" s="32" t="s">
        <v>193</v>
      </c>
      <c r="AD5" s="32" t="s">
        <v>193</v>
      </c>
      <c r="AE5" s="32">
        <v>0</v>
      </c>
      <c r="AF5" s="32">
        <v>0</v>
      </c>
      <c r="AG5" s="32">
        <v>0</v>
      </c>
      <c r="AH5" s="32">
        <v>0</v>
      </c>
      <c r="AI5" s="32">
        <v>0</v>
      </c>
      <c r="AJ5" s="32" t="s">
        <v>965</v>
      </c>
      <c r="AK5" s="32">
        <v>0</v>
      </c>
      <c r="AL5" s="32">
        <v>0</v>
      </c>
      <c r="AM5" s="32">
        <v>0</v>
      </c>
      <c r="AN5" s="32">
        <v>0</v>
      </c>
      <c r="AO5" s="32">
        <v>0</v>
      </c>
      <c r="AP5" s="32"/>
      <c r="AQ5" s="32">
        <v>0</v>
      </c>
      <c r="AR5" s="32">
        <v>0</v>
      </c>
      <c r="AS5" s="32">
        <v>692029.07</v>
      </c>
      <c r="AT5" s="32" t="s">
        <v>169</v>
      </c>
      <c r="AU5" s="32" t="s">
        <v>180</v>
      </c>
      <c r="AV5" s="32" t="s">
        <v>155</v>
      </c>
      <c r="AW5" s="32" t="s">
        <v>171</v>
      </c>
      <c r="AX5" s="32" t="s">
        <v>966</v>
      </c>
      <c r="AY5" s="32">
        <v>0</v>
      </c>
      <c r="AZ5" s="32">
        <v>98670.04</v>
      </c>
      <c r="BA5" s="32">
        <v>279</v>
      </c>
      <c r="BB5" s="31">
        <v>46205</v>
      </c>
      <c r="BC5" s="32" t="s">
        <v>177</v>
      </c>
      <c r="BD5" s="32" t="s">
        <v>967</v>
      </c>
      <c r="BE5" s="32" t="s">
        <v>967</v>
      </c>
      <c r="BF5" s="32">
        <v>9</v>
      </c>
      <c r="BG5" s="32">
        <v>8880.2999999999993</v>
      </c>
      <c r="BH5" s="32">
        <v>9</v>
      </c>
      <c r="BI5" s="32">
        <v>8880.2999999999993</v>
      </c>
      <c r="BJ5" s="32">
        <v>0</v>
      </c>
      <c r="BK5" s="32">
        <v>0</v>
      </c>
      <c r="BL5" s="32">
        <v>692029.07</v>
      </c>
      <c r="BM5" s="32">
        <v>622138537830</v>
      </c>
      <c r="BN5" s="31">
        <v>46205</v>
      </c>
      <c r="BO5" s="32">
        <v>646</v>
      </c>
    </row>
    <row r="6" spans="1:67" x14ac:dyDescent="0.25">
      <c r="A6" s="21"/>
      <c r="B6" s="32" t="s">
        <v>167</v>
      </c>
      <c r="C6" s="31">
        <v>46205</v>
      </c>
      <c r="D6" s="32" t="s">
        <v>992</v>
      </c>
      <c r="E6" s="32" t="s">
        <v>173</v>
      </c>
      <c r="F6" s="32" t="s">
        <v>174</v>
      </c>
      <c r="G6" s="32" t="s">
        <v>993</v>
      </c>
      <c r="H6" s="32">
        <v>334</v>
      </c>
      <c r="I6" s="32">
        <v>334</v>
      </c>
      <c r="J6" s="32" t="s">
        <v>168</v>
      </c>
      <c r="K6" s="32">
        <v>334</v>
      </c>
      <c r="L6" s="32">
        <v>0</v>
      </c>
      <c r="M6" s="32">
        <v>334</v>
      </c>
      <c r="N6" s="32" t="s">
        <v>175</v>
      </c>
      <c r="O6" s="32" t="s">
        <v>654</v>
      </c>
      <c r="P6" s="32" t="s">
        <v>654</v>
      </c>
      <c r="Q6" s="32" t="s">
        <v>669</v>
      </c>
      <c r="R6" s="31">
        <v>46205</v>
      </c>
      <c r="S6" s="32" t="s">
        <v>987</v>
      </c>
      <c r="T6" s="32" t="s">
        <v>988</v>
      </c>
      <c r="U6" s="32" t="s">
        <v>668</v>
      </c>
      <c r="V6" s="32">
        <v>181.15</v>
      </c>
      <c r="W6" s="32">
        <v>181.15000052353301</v>
      </c>
      <c r="X6" s="32" t="s">
        <v>669</v>
      </c>
      <c r="Y6" s="31">
        <v>46205</v>
      </c>
      <c r="Z6" s="32" t="s">
        <v>193</v>
      </c>
      <c r="AA6" s="32" t="s">
        <v>193</v>
      </c>
      <c r="AB6" s="32"/>
      <c r="AC6" s="32" t="s">
        <v>193</v>
      </c>
      <c r="AD6" s="32" t="s">
        <v>193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2" t="s">
        <v>965</v>
      </c>
      <c r="AK6" s="32">
        <v>0</v>
      </c>
      <c r="AL6" s="32">
        <v>0</v>
      </c>
      <c r="AM6" s="32">
        <v>0</v>
      </c>
      <c r="AN6" s="32">
        <v>0</v>
      </c>
      <c r="AO6" s="32">
        <v>0</v>
      </c>
      <c r="AP6" s="32"/>
      <c r="AQ6" s="32">
        <v>0</v>
      </c>
      <c r="AR6" s="32">
        <v>0</v>
      </c>
      <c r="AS6" s="32">
        <v>692029.07</v>
      </c>
      <c r="AT6" s="32" t="s">
        <v>169</v>
      </c>
      <c r="AU6" s="32" t="s">
        <v>176</v>
      </c>
      <c r="AV6" s="32" t="s">
        <v>159</v>
      </c>
      <c r="AW6" s="32" t="s">
        <v>171</v>
      </c>
      <c r="AX6" s="32" t="s">
        <v>966</v>
      </c>
      <c r="AY6" s="32">
        <v>0</v>
      </c>
      <c r="AZ6" s="32">
        <v>60504.1</v>
      </c>
      <c r="BA6" s="32">
        <v>279</v>
      </c>
      <c r="BB6" s="31">
        <v>46205</v>
      </c>
      <c r="BC6" s="32" t="s">
        <v>177</v>
      </c>
      <c r="BD6" s="32" t="s">
        <v>967</v>
      </c>
      <c r="BE6" s="32" t="s">
        <v>967</v>
      </c>
      <c r="BF6" s="32">
        <v>9</v>
      </c>
      <c r="BG6" s="32">
        <v>5445.37</v>
      </c>
      <c r="BH6" s="32">
        <v>9</v>
      </c>
      <c r="BI6" s="32">
        <v>5445.37</v>
      </c>
      <c r="BJ6" s="32">
        <v>0</v>
      </c>
      <c r="BK6" s="32">
        <v>0</v>
      </c>
      <c r="BL6" s="32">
        <v>0</v>
      </c>
      <c r="BM6" s="32">
        <v>622138537830</v>
      </c>
      <c r="BN6" s="31">
        <v>46205</v>
      </c>
      <c r="BO6" s="32">
        <v>334</v>
      </c>
    </row>
    <row r="7" spans="1:67" x14ac:dyDescent="0.25">
      <c r="A7" s="21"/>
      <c r="B7" s="32" t="s">
        <v>167</v>
      </c>
      <c r="C7" s="31">
        <v>46205</v>
      </c>
      <c r="D7" s="32" t="s">
        <v>992</v>
      </c>
      <c r="E7" s="32" t="s">
        <v>178</v>
      </c>
      <c r="F7" s="32" t="s">
        <v>179</v>
      </c>
      <c r="G7" s="32" t="s">
        <v>993</v>
      </c>
      <c r="H7" s="32">
        <v>2683</v>
      </c>
      <c r="I7" s="32">
        <v>2683</v>
      </c>
      <c r="J7" s="32" t="s">
        <v>168</v>
      </c>
      <c r="K7" s="32">
        <v>2683</v>
      </c>
      <c r="L7" s="32">
        <v>0</v>
      </c>
      <c r="M7" s="32">
        <v>2683</v>
      </c>
      <c r="N7" s="32" t="s">
        <v>175</v>
      </c>
      <c r="O7" s="32" t="s">
        <v>654</v>
      </c>
      <c r="P7" s="32" t="s">
        <v>654</v>
      </c>
      <c r="Q7" s="32" t="s">
        <v>669</v>
      </c>
      <c r="R7" s="31">
        <v>46205</v>
      </c>
      <c r="S7" s="32" t="s">
        <v>987</v>
      </c>
      <c r="T7" s="32" t="s">
        <v>988</v>
      </c>
      <c r="U7" s="32" t="s">
        <v>668</v>
      </c>
      <c r="V7" s="32">
        <v>154.74</v>
      </c>
      <c r="W7" s="32">
        <v>154.740000447207</v>
      </c>
      <c r="X7" s="32" t="s">
        <v>669</v>
      </c>
      <c r="Y7" s="31">
        <v>46205</v>
      </c>
      <c r="Z7" s="32" t="s">
        <v>193</v>
      </c>
      <c r="AA7" s="32" t="s">
        <v>193</v>
      </c>
      <c r="AB7" s="32"/>
      <c r="AC7" s="32" t="s">
        <v>193</v>
      </c>
      <c r="AD7" s="32" t="s">
        <v>193</v>
      </c>
      <c r="AE7" s="32">
        <v>0</v>
      </c>
      <c r="AF7" s="32">
        <v>0</v>
      </c>
      <c r="AG7" s="32">
        <v>0</v>
      </c>
      <c r="AH7" s="32">
        <v>0</v>
      </c>
      <c r="AI7" s="32">
        <v>0</v>
      </c>
      <c r="AJ7" s="32" t="s">
        <v>965</v>
      </c>
      <c r="AK7" s="32">
        <v>0</v>
      </c>
      <c r="AL7" s="32">
        <v>0</v>
      </c>
      <c r="AM7" s="32">
        <v>0</v>
      </c>
      <c r="AN7" s="32">
        <v>0</v>
      </c>
      <c r="AO7" s="32">
        <v>0</v>
      </c>
      <c r="AP7" s="32"/>
      <c r="AQ7" s="32">
        <v>0</v>
      </c>
      <c r="AR7" s="32">
        <v>0</v>
      </c>
      <c r="AS7" s="32">
        <v>692029.07</v>
      </c>
      <c r="AT7" s="32" t="s">
        <v>169</v>
      </c>
      <c r="AU7" s="32" t="s">
        <v>180</v>
      </c>
      <c r="AV7" s="32" t="s">
        <v>156</v>
      </c>
      <c r="AW7" s="32" t="s">
        <v>171</v>
      </c>
      <c r="AX7" s="32" t="s">
        <v>966</v>
      </c>
      <c r="AY7" s="32">
        <v>0</v>
      </c>
      <c r="AZ7" s="32">
        <v>415167.42</v>
      </c>
      <c r="BA7" s="32">
        <v>279</v>
      </c>
      <c r="BB7" s="31">
        <v>46205</v>
      </c>
      <c r="BC7" s="32" t="s">
        <v>177</v>
      </c>
      <c r="BD7" s="32" t="s">
        <v>967</v>
      </c>
      <c r="BE7" s="32" t="s">
        <v>967</v>
      </c>
      <c r="BF7" s="32">
        <v>9</v>
      </c>
      <c r="BG7" s="32">
        <v>37365.07</v>
      </c>
      <c r="BH7" s="32">
        <v>9</v>
      </c>
      <c r="BI7" s="32">
        <v>37365.07</v>
      </c>
      <c r="BJ7" s="32">
        <v>0</v>
      </c>
      <c r="BK7" s="32">
        <v>0</v>
      </c>
      <c r="BL7" s="32">
        <v>0</v>
      </c>
      <c r="BM7" s="32">
        <v>622138537830</v>
      </c>
      <c r="BN7" s="31">
        <v>46205</v>
      </c>
      <c r="BO7" s="32">
        <v>2683</v>
      </c>
    </row>
    <row r="8" spans="1:67" x14ac:dyDescent="0.25">
      <c r="A8" s="21"/>
      <c r="B8" s="32" t="s">
        <v>167</v>
      </c>
      <c r="C8" s="31">
        <v>46205</v>
      </c>
      <c r="D8" s="32" t="s">
        <v>992</v>
      </c>
      <c r="E8" s="32" t="s">
        <v>181</v>
      </c>
      <c r="F8" s="32" t="s">
        <v>182</v>
      </c>
      <c r="G8" s="32" t="s">
        <v>993</v>
      </c>
      <c r="H8" s="32">
        <v>38.200000000000003</v>
      </c>
      <c r="I8" s="32">
        <v>38.200000000000003</v>
      </c>
      <c r="J8" s="32" t="s">
        <v>168</v>
      </c>
      <c r="K8" s="32">
        <v>38.200000000000003</v>
      </c>
      <c r="L8" s="32">
        <v>0</v>
      </c>
      <c r="M8" s="32">
        <v>38.200000000000003</v>
      </c>
      <c r="N8" s="32" t="s">
        <v>175</v>
      </c>
      <c r="O8" s="32" t="s">
        <v>654</v>
      </c>
      <c r="P8" s="32" t="s">
        <v>654</v>
      </c>
      <c r="Q8" s="32" t="s">
        <v>669</v>
      </c>
      <c r="R8" s="31">
        <v>46205</v>
      </c>
      <c r="S8" s="32" t="s">
        <v>987</v>
      </c>
      <c r="T8" s="32" t="s">
        <v>988</v>
      </c>
      <c r="U8" s="32" t="s">
        <v>668</v>
      </c>
      <c r="V8" s="32">
        <v>152.74</v>
      </c>
      <c r="W8" s="32">
        <v>152.74000044142699</v>
      </c>
      <c r="X8" s="32" t="s">
        <v>669</v>
      </c>
      <c r="Y8" s="31">
        <v>46205</v>
      </c>
      <c r="Z8" s="32" t="s">
        <v>193</v>
      </c>
      <c r="AA8" s="32" t="s">
        <v>193</v>
      </c>
      <c r="AB8" s="32"/>
      <c r="AC8" s="32" t="s">
        <v>193</v>
      </c>
      <c r="AD8" s="32" t="s">
        <v>193</v>
      </c>
      <c r="AE8" s="32">
        <v>0</v>
      </c>
      <c r="AF8" s="32">
        <v>0</v>
      </c>
      <c r="AG8" s="32">
        <v>0</v>
      </c>
      <c r="AH8" s="32">
        <v>0</v>
      </c>
      <c r="AI8" s="32">
        <v>0</v>
      </c>
      <c r="AJ8" s="32" t="s">
        <v>965</v>
      </c>
      <c r="AK8" s="32">
        <v>0</v>
      </c>
      <c r="AL8" s="32">
        <v>0</v>
      </c>
      <c r="AM8" s="32">
        <v>0</v>
      </c>
      <c r="AN8" s="32">
        <v>0</v>
      </c>
      <c r="AO8" s="32">
        <v>0</v>
      </c>
      <c r="AP8" s="32"/>
      <c r="AQ8" s="32">
        <v>0</v>
      </c>
      <c r="AR8" s="32">
        <v>0</v>
      </c>
      <c r="AS8" s="32">
        <v>692029.07</v>
      </c>
      <c r="AT8" s="32" t="s">
        <v>169</v>
      </c>
      <c r="AU8" s="32" t="s">
        <v>182</v>
      </c>
      <c r="AV8" s="32" t="s">
        <v>154</v>
      </c>
      <c r="AW8" s="32" t="s">
        <v>171</v>
      </c>
      <c r="AX8" s="32" t="s">
        <v>966</v>
      </c>
      <c r="AY8" s="32">
        <v>0</v>
      </c>
      <c r="AZ8" s="32">
        <v>5834.67</v>
      </c>
      <c r="BA8" s="32">
        <v>279</v>
      </c>
      <c r="BB8" s="31">
        <v>46205</v>
      </c>
      <c r="BC8" s="32" t="s">
        <v>177</v>
      </c>
      <c r="BD8" s="32" t="s">
        <v>967</v>
      </c>
      <c r="BE8" s="32" t="s">
        <v>967</v>
      </c>
      <c r="BF8" s="32">
        <v>9</v>
      </c>
      <c r="BG8" s="32">
        <v>525.12</v>
      </c>
      <c r="BH8" s="32">
        <v>9</v>
      </c>
      <c r="BI8" s="32">
        <v>525.12</v>
      </c>
      <c r="BJ8" s="32">
        <v>0</v>
      </c>
      <c r="BK8" s="32">
        <v>0</v>
      </c>
      <c r="BL8" s="32">
        <v>0</v>
      </c>
      <c r="BM8" s="32">
        <v>622138537830</v>
      </c>
      <c r="BN8" s="31">
        <v>46205</v>
      </c>
      <c r="BO8" s="32">
        <v>38.200000000000003</v>
      </c>
    </row>
    <row r="9" spans="1:67" x14ac:dyDescent="0.25">
      <c r="A9" s="21"/>
      <c r="B9" s="32" t="s">
        <v>167</v>
      </c>
      <c r="C9" s="31">
        <v>46205</v>
      </c>
      <c r="D9" s="32" t="s">
        <v>992</v>
      </c>
      <c r="E9" s="32" t="s">
        <v>181</v>
      </c>
      <c r="F9" s="32" t="s">
        <v>182</v>
      </c>
      <c r="G9" s="32" t="s">
        <v>993</v>
      </c>
      <c r="H9" s="32">
        <v>42</v>
      </c>
      <c r="I9" s="32">
        <v>42</v>
      </c>
      <c r="J9" s="32" t="s">
        <v>168</v>
      </c>
      <c r="K9" s="32">
        <v>42</v>
      </c>
      <c r="L9" s="32">
        <v>0</v>
      </c>
      <c r="M9" s="32">
        <v>42</v>
      </c>
      <c r="N9" s="32" t="s">
        <v>175</v>
      </c>
      <c r="O9" s="32" t="s">
        <v>654</v>
      </c>
      <c r="P9" s="32" t="s">
        <v>654</v>
      </c>
      <c r="Q9" s="32" t="s">
        <v>669</v>
      </c>
      <c r="R9" s="31">
        <v>46205</v>
      </c>
      <c r="S9" s="32" t="s">
        <v>987</v>
      </c>
      <c r="T9" s="32" t="s">
        <v>988</v>
      </c>
      <c r="U9" s="32" t="s">
        <v>668</v>
      </c>
      <c r="V9" s="32">
        <v>149.74</v>
      </c>
      <c r="W9" s="32">
        <v>149.74000043275601</v>
      </c>
      <c r="X9" s="32" t="s">
        <v>669</v>
      </c>
      <c r="Y9" s="31">
        <v>46205</v>
      </c>
      <c r="Z9" s="32" t="s">
        <v>193</v>
      </c>
      <c r="AA9" s="32" t="s">
        <v>193</v>
      </c>
      <c r="AB9" s="32"/>
      <c r="AC9" s="32" t="s">
        <v>193</v>
      </c>
      <c r="AD9" s="32" t="s">
        <v>193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2" t="s">
        <v>965</v>
      </c>
      <c r="AK9" s="32">
        <v>0</v>
      </c>
      <c r="AL9" s="32">
        <v>0</v>
      </c>
      <c r="AM9" s="32">
        <v>0</v>
      </c>
      <c r="AN9" s="32">
        <v>0</v>
      </c>
      <c r="AO9" s="32">
        <v>0</v>
      </c>
      <c r="AP9" s="32"/>
      <c r="AQ9" s="32">
        <v>0</v>
      </c>
      <c r="AR9" s="32">
        <v>0</v>
      </c>
      <c r="AS9" s="32">
        <v>692029.07</v>
      </c>
      <c r="AT9" s="32" t="s">
        <v>169</v>
      </c>
      <c r="AU9" s="32" t="s">
        <v>182</v>
      </c>
      <c r="AV9" s="32" t="s">
        <v>154</v>
      </c>
      <c r="AW9" s="32" t="s">
        <v>171</v>
      </c>
      <c r="AX9" s="32" t="s">
        <v>966</v>
      </c>
      <c r="AY9" s="32">
        <v>0</v>
      </c>
      <c r="AZ9" s="32">
        <v>6289.08</v>
      </c>
      <c r="BA9" s="32">
        <v>279</v>
      </c>
      <c r="BB9" s="31">
        <v>46205</v>
      </c>
      <c r="BC9" s="32" t="s">
        <v>177</v>
      </c>
      <c r="BD9" s="32" t="s">
        <v>967</v>
      </c>
      <c r="BE9" s="32" t="s">
        <v>967</v>
      </c>
      <c r="BF9" s="32">
        <v>9</v>
      </c>
      <c r="BG9" s="32">
        <v>566.02</v>
      </c>
      <c r="BH9" s="32">
        <v>9</v>
      </c>
      <c r="BI9" s="32">
        <v>566.02</v>
      </c>
      <c r="BJ9" s="32">
        <v>0</v>
      </c>
      <c r="BK9" s="32">
        <v>0</v>
      </c>
      <c r="BL9" s="32">
        <v>0</v>
      </c>
      <c r="BM9" s="32">
        <v>622138537830</v>
      </c>
      <c r="BN9" s="31">
        <v>46205</v>
      </c>
      <c r="BO9" s="32">
        <v>42</v>
      </c>
    </row>
    <row r="10" spans="1:67" x14ac:dyDescent="0.25">
      <c r="A10" s="21"/>
      <c r="B10" s="32" t="s">
        <v>167</v>
      </c>
      <c r="C10" s="31">
        <v>46205</v>
      </c>
      <c r="D10" s="32" t="s">
        <v>994</v>
      </c>
      <c r="E10" s="32" t="s">
        <v>186</v>
      </c>
      <c r="F10" s="32" t="s">
        <v>187</v>
      </c>
      <c r="G10" s="32" t="s">
        <v>995</v>
      </c>
      <c r="H10" s="32">
        <v>755</v>
      </c>
      <c r="I10" s="32">
        <v>755</v>
      </c>
      <c r="J10" s="32" t="s">
        <v>168</v>
      </c>
      <c r="K10" s="32">
        <v>755</v>
      </c>
      <c r="L10" s="32">
        <v>0</v>
      </c>
      <c r="M10" s="32">
        <v>755</v>
      </c>
      <c r="N10" s="32" t="s">
        <v>996</v>
      </c>
      <c r="O10" s="32" t="s">
        <v>665</v>
      </c>
      <c r="P10" s="32" t="s">
        <v>665</v>
      </c>
      <c r="Q10" s="32" t="s">
        <v>667</v>
      </c>
      <c r="R10" s="31">
        <v>46204</v>
      </c>
      <c r="S10" s="32" t="s">
        <v>987</v>
      </c>
      <c r="T10" s="32" t="s">
        <v>988</v>
      </c>
      <c r="U10" s="32" t="s">
        <v>666</v>
      </c>
      <c r="V10" s="32">
        <v>164.9</v>
      </c>
      <c r="W10" s="32">
        <v>164.9</v>
      </c>
      <c r="X10" s="32" t="s">
        <v>667</v>
      </c>
      <c r="Y10" s="31">
        <v>46204</v>
      </c>
      <c r="Z10" s="32" t="s">
        <v>193</v>
      </c>
      <c r="AA10" s="32" t="s">
        <v>193</v>
      </c>
      <c r="AB10" s="32"/>
      <c r="AC10" s="32" t="s">
        <v>193</v>
      </c>
      <c r="AD10" s="32" t="s">
        <v>193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 t="s">
        <v>965</v>
      </c>
      <c r="AK10" s="32">
        <v>0</v>
      </c>
      <c r="AL10" s="32">
        <v>0</v>
      </c>
      <c r="AM10" s="32">
        <v>0</v>
      </c>
      <c r="AN10" s="32">
        <v>0</v>
      </c>
      <c r="AO10" s="32">
        <v>0</v>
      </c>
      <c r="AP10" s="32"/>
      <c r="AQ10" s="32">
        <v>0</v>
      </c>
      <c r="AR10" s="32">
        <v>0</v>
      </c>
      <c r="AS10" s="32">
        <v>465185.4</v>
      </c>
      <c r="AT10" s="32" t="s">
        <v>169</v>
      </c>
      <c r="AU10" s="32" t="s">
        <v>180</v>
      </c>
      <c r="AV10" s="32" t="s">
        <v>155</v>
      </c>
      <c r="AW10" s="32" t="s">
        <v>171</v>
      </c>
      <c r="AX10" s="32" t="s">
        <v>966</v>
      </c>
      <c r="AY10" s="32">
        <v>0</v>
      </c>
      <c r="AZ10" s="32">
        <v>124499.5</v>
      </c>
      <c r="BA10" s="32">
        <v>278</v>
      </c>
      <c r="BB10" s="31">
        <v>46205</v>
      </c>
      <c r="BC10" s="32" t="s">
        <v>189</v>
      </c>
      <c r="BD10" s="32" t="s">
        <v>967</v>
      </c>
      <c r="BE10" s="32" t="s">
        <v>967</v>
      </c>
      <c r="BF10" s="32">
        <v>9</v>
      </c>
      <c r="BG10" s="32">
        <v>11204.96</v>
      </c>
      <c r="BH10" s="32">
        <v>9</v>
      </c>
      <c r="BI10" s="32">
        <v>11204.96</v>
      </c>
      <c r="BJ10" s="32">
        <v>0</v>
      </c>
      <c r="BK10" s="32">
        <v>0</v>
      </c>
      <c r="BL10" s="32">
        <v>465185.4</v>
      </c>
      <c r="BM10" s="32">
        <v>652138125551</v>
      </c>
      <c r="BN10" s="31">
        <v>46204</v>
      </c>
      <c r="BO10" s="32">
        <v>755</v>
      </c>
    </row>
    <row r="11" spans="1:67" x14ac:dyDescent="0.25">
      <c r="A11" s="21"/>
      <c r="B11" s="32" t="s">
        <v>167</v>
      </c>
      <c r="C11" s="31">
        <v>46205</v>
      </c>
      <c r="D11" s="32" t="s">
        <v>994</v>
      </c>
      <c r="E11" s="32" t="s">
        <v>186</v>
      </c>
      <c r="F11" s="32" t="s">
        <v>187</v>
      </c>
      <c r="G11" s="32" t="s">
        <v>995</v>
      </c>
      <c r="H11" s="32">
        <v>1666</v>
      </c>
      <c r="I11" s="32">
        <v>1666</v>
      </c>
      <c r="J11" s="32" t="s">
        <v>168</v>
      </c>
      <c r="K11" s="32">
        <v>1666</v>
      </c>
      <c r="L11" s="32">
        <v>0</v>
      </c>
      <c r="M11" s="32">
        <v>1666</v>
      </c>
      <c r="N11" s="32" t="s">
        <v>996</v>
      </c>
      <c r="O11" s="32" t="s">
        <v>665</v>
      </c>
      <c r="P11" s="32" t="s">
        <v>665</v>
      </c>
      <c r="Q11" s="32" t="s">
        <v>667</v>
      </c>
      <c r="R11" s="31">
        <v>46204</v>
      </c>
      <c r="S11" s="32" t="s">
        <v>987</v>
      </c>
      <c r="T11" s="32" t="s">
        <v>988</v>
      </c>
      <c r="U11" s="32" t="s">
        <v>666</v>
      </c>
      <c r="V11" s="32">
        <v>161.9</v>
      </c>
      <c r="W11" s="32">
        <v>161.9</v>
      </c>
      <c r="X11" s="32" t="s">
        <v>667</v>
      </c>
      <c r="Y11" s="31">
        <v>46204</v>
      </c>
      <c r="Z11" s="32" t="s">
        <v>193</v>
      </c>
      <c r="AA11" s="32" t="s">
        <v>193</v>
      </c>
      <c r="AB11" s="32"/>
      <c r="AC11" s="32" t="s">
        <v>193</v>
      </c>
      <c r="AD11" s="32" t="s">
        <v>193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 t="s">
        <v>965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/>
      <c r="AQ11" s="32">
        <v>0</v>
      </c>
      <c r="AR11" s="32">
        <v>0</v>
      </c>
      <c r="AS11" s="32">
        <v>465185.4</v>
      </c>
      <c r="AT11" s="32" t="s">
        <v>169</v>
      </c>
      <c r="AU11" s="32" t="s">
        <v>180</v>
      </c>
      <c r="AV11" s="32" t="s">
        <v>155</v>
      </c>
      <c r="AW11" s="32" t="s">
        <v>171</v>
      </c>
      <c r="AX11" s="32" t="s">
        <v>966</v>
      </c>
      <c r="AY11" s="32">
        <v>0</v>
      </c>
      <c r="AZ11" s="32">
        <v>269725.40000000002</v>
      </c>
      <c r="BA11" s="32">
        <v>278</v>
      </c>
      <c r="BB11" s="31">
        <v>46205</v>
      </c>
      <c r="BC11" s="32" t="s">
        <v>189</v>
      </c>
      <c r="BD11" s="32" t="s">
        <v>967</v>
      </c>
      <c r="BE11" s="32" t="s">
        <v>967</v>
      </c>
      <c r="BF11" s="32">
        <v>9</v>
      </c>
      <c r="BG11" s="32">
        <v>24275.29</v>
      </c>
      <c r="BH11" s="32">
        <v>9</v>
      </c>
      <c r="BI11" s="32">
        <v>24275.29</v>
      </c>
      <c r="BJ11" s="32">
        <v>0</v>
      </c>
      <c r="BK11" s="32">
        <v>0</v>
      </c>
      <c r="BL11" s="32">
        <v>0</v>
      </c>
      <c r="BM11" s="32">
        <v>652138125551</v>
      </c>
      <c r="BN11" s="31">
        <v>46204</v>
      </c>
      <c r="BO11" s="32">
        <v>1666</v>
      </c>
    </row>
    <row r="12" spans="1:67" x14ac:dyDescent="0.25">
      <c r="A12" s="21"/>
      <c r="B12" s="32" t="s">
        <v>167</v>
      </c>
      <c r="C12" s="31">
        <v>46206</v>
      </c>
      <c r="D12" s="32" t="s">
        <v>997</v>
      </c>
      <c r="E12" s="32" t="s">
        <v>178</v>
      </c>
      <c r="F12" s="32" t="s">
        <v>179</v>
      </c>
      <c r="G12" s="32" t="s">
        <v>998</v>
      </c>
      <c r="H12" s="32">
        <v>186</v>
      </c>
      <c r="I12" s="32">
        <v>186</v>
      </c>
      <c r="J12" s="32" t="s">
        <v>168</v>
      </c>
      <c r="K12" s="32">
        <v>186</v>
      </c>
      <c r="L12" s="32">
        <v>0</v>
      </c>
      <c r="M12" s="32">
        <v>186</v>
      </c>
      <c r="N12" s="32" t="s">
        <v>175</v>
      </c>
      <c r="O12" s="32" t="s">
        <v>670</v>
      </c>
      <c r="P12" s="32" t="s">
        <v>670</v>
      </c>
      <c r="Q12" s="32" t="s">
        <v>672</v>
      </c>
      <c r="R12" s="31">
        <v>46203</v>
      </c>
      <c r="S12" s="32" t="s">
        <v>987</v>
      </c>
      <c r="T12" s="32" t="s">
        <v>988</v>
      </c>
      <c r="U12" s="32" t="s">
        <v>671</v>
      </c>
      <c r="V12" s="32">
        <v>154.74</v>
      </c>
      <c r="W12" s="32">
        <v>154.74</v>
      </c>
      <c r="X12" s="32" t="s">
        <v>672</v>
      </c>
      <c r="Y12" s="31">
        <v>46203</v>
      </c>
      <c r="Z12" s="32" t="s">
        <v>193</v>
      </c>
      <c r="AA12" s="32" t="s">
        <v>193</v>
      </c>
      <c r="AB12" s="32"/>
      <c r="AC12" s="32" t="s">
        <v>193</v>
      </c>
      <c r="AD12" s="32" t="s">
        <v>193</v>
      </c>
      <c r="AE12" s="32">
        <v>0</v>
      </c>
      <c r="AF12" s="32">
        <v>0</v>
      </c>
      <c r="AG12" s="32">
        <v>0</v>
      </c>
      <c r="AH12" s="32">
        <v>0</v>
      </c>
      <c r="AI12" s="32">
        <v>0</v>
      </c>
      <c r="AJ12" s="32" t="s">
        <v>965</v>
      </c>
      <c r="AK12" s="32">
        <v>0</v>
      </c>
      <c r="AL12" s="32">
        <v>0</v>
      </c>
      <c r="AM12" s="32">
        <v>0</v>
      </c>
      <c r="AN12" s="32">
        <v>0</v>
      </c>
      <c r="AO12" s="32">
        <v>0</v>
      </c>
      <c r="AP12" s="32"/>
      <c r="AQ12" s="32">
        <v>0</v>
      </c>
      <c r="AR12" s="32">
        <v>0</v>
      </c>
      <c r="AS12" s="32">
        <v>33962.339999999997</v>
      </c>
      <c r="AT12" s="32" t="s">
        <v>169</v>
      </c>
      <c r="AU12" s="32" t="s">
        <v>180</v>
      </c>
      <c r="AV12" s="32" t="s">
        <v>156</v>
      </c>
      <c r="AW12" s="32" t="s">
        <v>171</v>
      </c>
      <c r="AX12" s="32" t="s">
        <v>966</v>
      </c>
      <c r="AY12" s="32">
        <v>0</v>
      </c>
      <c r="AZ12" s="32">
        <v>28781.64</v>
      </c>
      <c r="BA12" s="32">
        <v>280</v>
      </c>
      <c r="BB12" s="31">
        <v>46206</v>
      </c>
      <c r="BC12" s="32" t="s">
        <v>189</v>
      </c>
      <c r="BD12" s="32" t="s">
        <v>967</v>
      </c>
      <c r="BE12" s="32" t="s">
        <v>967</v>
      </c>
      <c r="BF12" s="32">
        <v>9</v>
      </c>
      <c r="BG12" s="32">
        <v>2590.35</v>
      </c>
      <c r="BH12" s="32">
        <v>9</v>
      </c>
      <c r="BI12" s="32">
        <v>2590.35</v>
      </c>
      <c r="BJ12" s="32">
        <v>0</v>
      </c>
      <c r="BK12" s="32">
        <v>0</v>
      </c>
      <c r="BL12" s="32">
        <v>33962.339999999997</v>
      </c>
      <c r="BM12" s="32">
        <v>672137563592</v>
      </c>
      <c r="BN12" s="31">
        <v>46203</v>
      </c>
      <c r="BO12" s="32">
        <v>186</v>
      </c>
    </row>
    <row r="13" spans="1:67" x14ac:dyDescent="0.25">
      <c r="A13" s="21"/>
      <c r="B13" s="32" t="s">
        <v>167</v>
      </c>
      <c r="C13" s="31">
        <v>46206</v>
      </c>
      <c r="D13" s="32" t="s">
        <v>999</v>
      </c>
      <c r="E13" s="32" t="s">
        <v>593</v>
      </c>
      <c r="F13" s="32" t="s">
        <v>359</v>
      </c>
      <c r="G13" s="32" t="s">
        <v>1000</v>
      </c>
      <c r="H13" s="32">
        <v>49500</v>
      </c>
      <c r="I13" s="32">
        <v>49500</v>
      </c>
      <c r="J13" s="32" t="s">
        <v>168</v>
      </c>
      <c r="K13" s="32">
        <v>49500</v>
      </c>
      <c r="L13" s="32">
        <v>0</v>
      </c>
      <c r="M13" s="32">
        <v>49500</v>
      </c>
      <c r="N13" s="32" t="s">
        <v>1001</v>
      </c>
      <c r="O13" s="32" t="s">
        <v>676</v>
      </c>
      <c r="P13" s="32" t="s">
        <v>676</v>
      </c>
      <c r="Q13" s="32" t="s">
        <v>678</v>
      </c>
      <c r="R13" s="31">
        <v>46206</v>
      </c>
      <c r="S13" s="32" t="s">
        <v>987</v>
      </c>
      <c r="T13" s="32" t="s">
        <v>988</v>
      </c>
      <c r="U13" s="32" t="s">
        <v>677</v>
      </c>
      <c r="V13" s="32">
        <v>77.192999999999998</v>
      </c>
      <c r="W13" s="32">
        <v>77.192999999999998</v>
      </c>
      <c r="X13" s="32" t="s">
        <v>678</v>
      </c>
      <c r="Y13" s="31">
        <v>46206</v>
      </c>
      <c r="Z13" s="32"/>
      <c r="AA13" s="32">
        <v>0</v>
      </c>
      <c r="AB13" s="32"/>
      <c r="AC13" s="32" t="s">
        <v>1002</v>
      </c>
      <c r="AD13" s="32" t="s">
        <v>1003</v>
      </c>
      <c r="AE13" s="32">
        <v>0</v>
      </c>
      <c r="AF13" s="32">
        <v>0</v>
      </c>
      <c r="AG13" s="32">
        <v>0</v>
      </c>
      <c r="AH13" s="32">
        <v>0</v>
      </c>
      <c r="AI13" s="32">
        <v>0</v>
      </c>
      <c r="AJ13" s="32" t="s">
        <v>965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/>
      <c r="AQ13" s="32">
        <v>0</v>
      </c>
      <c r="AR13" s="32">
        <v>0</v>
      </c>
      <c r="AS13" s="32">
        <v>4508843.1399999997</v>
      </c>
      <c r="AT13" s="32" t="s">
        <v>171</v>
      </c>
      <c r="AU13" s="32" t="s">
        <v>185</v>
      </c>
      <c r="AV13" s="32" t="s">
        <v>166</v>
      </c>
      <c r="AW13" s="32" t="s">
        <v>171</v>
      </c>
      <c r="AX13" s="32"/>
      <c r="AY13" s="32">
        <v>0</v>
      </c>
      <c r="AZ13" s="32">
        <v>3821053.5</v>
      </c>
      <c r="BA13" s="32">
        <v>281</v>
      </c>
      <c r="BB13" s="31">
        <v>46206</v>
      </c>
      <c r="BC13" s="32" t="s">
        <v>172</v>
      </c>
      <c r="BD13" s="32" t="s">
        <v>967</v>
      </c>
      <c r="BE13" s="32" t="s">
        <v>967</v>
      </c>
      <c r="BF13" s="32">
        <v>9</v>
      </c>
      <c r="BG13" s="32">
        <v>343894.82</v>
      </c>
      <c r="BH13" s="32">
        <v>9</v>
      </c>
      <c r="BI13" s="32">
        <v>343894.82</v>
      </c>
      <c r="BJ13" s="32">
        <v>0</v>
      </c>
      <c r="BK13" s="32">
        <v>0</v>
      </c>
      <c r="BL13" s="32">
        <v>4508843.1399999997</v>
      </c>
      <c r="BM13" s="32">
        <v>612436845518</v>
      </c>
      <c r="BN13" s="31">
        <v>46204</v>
      </c>
      <c r="BO13" s="32">
        <v>49500</v>
      </c>
    </row>
    <row r="14" spans="1:67" x14ac:dyDescent="0.25">
      <c r="A14" s="21"/>
      <c r="B14" s="32" t="s">
        <v>167</v>
      </c>
      <c r="C14" s="31">
        <v>46206</v>
      </c>
      <c r="D14" s="32" t="s">
        <v>1004</v>
      </c>
      <c r="E14" s="32" t="s">
        <v>173</v>
      </c>
      <c r="F14" s="32" t="s">
        <v>174</v>
      </c>
      <c r="G14" s="32" t="s">
        <v>1005</v>
      </c>
      <c r="H14" s="32">
        <v>1485.8</v>
      </c>
      <c r="I14" s="32">
        <v>1485.8</v>
      </c>
      <c r="J14" s="32" t="s">
        <v>168</v>
      </c>
      <c r="K14" s="32">
        <v>1485.8</v>
      </c>
      <c r="L14" s="32">
        <v>0</v>
      </c>
      <c r="M14" s="32">
        <v>1485.8</v>
      </c>
      <c r="N14" s="32" t="s">
        <v>175</v>
      </c>
      <c r="O14" s="32" t="s">
        <v>654</v>
      </c>
      <c r="P14" s="32" t="s">
        <v>654</v>
      </c>
      <c r="Q14" s="32" t="s">
        <v>680</v>
      </c>
      <c r="R14" s="31">
        <v>46206</v>
      </c>
      <c r="S14" s="32" t="s">
        <v>987</v>
      </c>
      <c r="T14" s="32" t="s">
        <v>988</v>
      </c>
      <c r="U14" s="32" t="s">
        <v>679</v>
      </c>
      <c r="V14" s="32">
        <v>181.15</v>
      </c>
      <c r="W14" s="32">
        <v>181.15000018908199</v>
      </c>
      <c r="X14" s="32" t="s">
        <v>680</v>
      </c>
      <c r="Y14" s="31">
        <v>46206</v>
      </c>
      <c r="Z14" s="32" t="s">
        <v>193</v>
      </c>
      <c r="AA14" s="32" t="s">
        <v>193</v>
      </c>
      <c r="AB14" s="32"/>
      <c r="AC14" s="32" t="s">
        <v>193</v>
      </c>
      <c r="AD14" s="32" t="s">
        <v>193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 t="s">
        <v>965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/>
      <c r="AQ14" s="32">
        <v>0</v>
      </c>
      <c r="AR14" s="32">
        <v>0</v>
      </c>
      <c r="AS14" s="32">
        <v>958048.11</v>
      </c>
      <c r="AT14" s="32" t="s">
        <v>169</v>
      </c>
      <c r="AU14" s="32" t="s">
        <v>176</v>
      </c>
      <c r="AV14" s="32" t="s">
        <v>159</v>
      </c>
      <c r="AW14" s="32" t="s">
        <v>171</v>
      </c>
      <c r="AX14" s="32" t="s">
        <v>966</v>
      </c>
      <c r="AY14" s="32">
        <v>0</v>
      </c>
      <c r="AZ14" s="32">
        <v>269152.67</v>
      </c>
      <c r="BA14" s="32">
        <v>282</v>
      </c>
      <c r="BB14" s="31">
        <v>46206</v>
      </c>
      <c r="BC14" s="32" t="s">
        <v>177</v>
      </c>
      <c r="BD14" s="32" t="s">
        <v>967</v>
      </c>
      <c r="BE14" s="32" t="s">
        <v>967</v>
      </c>
      <c r="BF14" s="32">
        <v>9</v>
      </c>
      <c r="BG14" s="32">
        <v>24223.74</v>
      </c>
      <c r="BH14" s="32">
        <v>9</v>
      </c>
      <c r="BI14" s="32">
        <v>24223.74</v>
      </c>
      <c r="BJ14" s="32">
        <v>0</v>
      </c>
      <c r="BK14" s="32">
        <v>0</v>
      </c>
      <c r="BL14" s="32">
        <v>958048.11</v>
      </c>
      <c r="BM14" s="32">
        <v>692139278562</v>
      </c>
      <c r="BN14" s="31">
        <v>46206</v>
      </c>
      <c r="BO14" s="32">
        <v>1485.8</v>
      </c>
    </row>
    <row r="15" spans="1:67" x14ac:dyDescent="0.25">
      <c r="A15" s="21"/>
      <c r="B15" s="32" t="s">
        <v>167</v>
      </c>
      <c r="C15" s="31">
        <v>46206</v>
      </c>
      <c r="D15" s="32" t="s">
        <v>1004</v>
      </c>
      <c r="E15" s="32" t="s">
        <v>173</v>
      </c>
      <c r="F15" s="32" t="s">
        <v>174</v>
      </c>
      <c r="G15" s="32" t="s">
        <v>1005</v>
      </c>
      <c r="H15" s="32">
        <v>585</v>
      </c>
      <c r="I15" s="32">
        <v>585</v>
      </c>
      <c r="J15" s="32" t="s">
        <v>168</v>
      </c>
      <c r="K15" s="32">
        <v>585</v>
      </c>
      <c r="L15" s="32">
        <v>0</v>
      </c>
      <c r="M15" s="32">
        <v>585</v>
      </c>
      <c r="N15" s="32" t="s">
        <v>175</v>
      </c>
      <c r="O15" s="32" t="s">
        <v>654</v>
      </c>
      <c r="P15" s="32" t="s">
        <v>654</v>
      </c>
      <c r="Q15" s="32" t="s">
        <v>680</v>
      </c>
      <c r="R15" s="31">
        <v>46206</v>
      </c>
      <c r="S15" s="32" t="s">
        <v>987</v>
      </c>
      <c r="T15" s="32" t="s">
        <v>988</v>
      </c>
      <c r="U15" s="32" t="s">
        <v>679</v>
      </c>
      <c r="V15" s="32">
        <v>201.15</v>
      </c>
      <c r="W15" s="32">
        <v>201.15000020995799</v>
      </c>
      <c r="X15" s="32" t="s">
        <v>680</v>
      </c>
      <c r="Y15" s="31">
        <v>46206</v>
      </c>
      <c r="Z15" s="32" t="s">
        <v>193</v>
      </c>
      <c r="AA15" s="32" t="s">
        <v>193</v>
      </c>
      <c r="AB15" s="32"/>
      <c r="AC15" s="32" t="s">
        <v>193</v>
      </c>
      <c r="AD15" s="32" t="s">
        <v>193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2" t="s">
        <v>965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/>
      <c r="AQ15" s="32">
        <v>0</v>
      </c>
      <c r="AR15" s="32">
        <v>0</v>
      </c>
      <c r="AS15" s="32">
        <v>958048.11</v>
      </c>
      <c r="AT15" s="32" t="s">
        <v>169</v>
      </c>
      <c r="AU15" s="32" t="s">
        <v>176</v>
      </c>
      <c r="AV15" s="32" t="s">
        <v>159</v>
      </c>
      <c r="AW15" s="32" t="s">
        <v>171</v>
      </c>
      <c r="AX15" s="32" t="s">
        <v>966</v>
      </c>
      <c r="AY15" s="32">
        <v>0</v>
      </c>
      <c r="AZ15" s="32">
        <v>117672.75</v>
      </c>
      <c r="BA15" s="32">
        <v>282</v>
      </c>
      <c r="BB15" s="31">
        <v>46206</v>
      </c>
      <c r="BC15" s="32" t="s">
        <v>177</v>
      </c>
      <c r="BD15" s="32" t="s">
        <v>967</v>
      </c>
      <c r="BE15" s="32" t="s">
        <v>967</v>
      </c>
      <c r="BF15" s="32">
        <v>9</v>
      </c>
      <c r="BG15" s="32">
        <v>10590.55</v>
      </c>
      <c r="BH15" s="32">
        <v>9</v>
      </c>
      <c r="BI15" s="32">
        <v>10590.55</v>
      </c>
      <c r="BJ15" s="32">
        <v>0</v>
      </c>
      <c r="BK15" s="32">
        <v>0</v>
      </c>
      <c r="BL15" s="32">
        <v>0</v>
      </c>
      <c r="BM15" s="32">
        <v>692139278562</v>
      </c>
      <c r="BN15" s="31">
        <v>46206</v>
      </c>
      <c r="BO15" s="32">
        <v>585</v>
      </c>
    </row>
    <row r="16" spans="1:67" x14ac:dyDescent="0.25">
      <c r="A16" s="21"/>
      <c r="B16" s="32" t="s">
        <v>167</v>
      </c>
      <c r="C16" s="31">
        <v>46206</v>
      </c>
      <c r="D16" s="32" t="s">
        <v>1004</v>
      </c>
      <c r="E16" s="32" t="s">
        <v>173</v>
      </c>
      <c r="F16" s="32" t="s">
        <v>174</v>
      </c>
      <c r="G16" s="32" t="s">
        <v>1005</v>
      </c>
      <c r="H16" s="32">
        <v>1447.9</v>
      </c>
      <c r="I16" s="32">
        <v>1447.9</v>
      </c>
      <c r="J16" s="32" t="s">
        <v>168</v>
      </c>
      <c r="K16" s="32">
        <v>1447.9</v>
      </c>
      <c r="L16" s="32">
        <v>0</v>
      </c>
      <c r="M16" s="32">
        <v>1447.9</v>
      </c>
      <c r="N16" s="32" t="s">
        <v>175</v>
      </c>
      <c r="O16" s="32" t="s">
        <v>654</v>
      </c>
      <c r="P16" s="32" t="s">
        <v>654</v>
      </c>
      <c r="Q16" s="32" t="s">
        <v>680</v>
      </c>
      <c r="R16" s="31">
        <v>46206</v>
      </c>
      <c r="S16" s="32" t="s">
        <v>987</v>
      </c>
      <c r="T16" s="32" t="s">
        <v>988</v>
      </c>
      <c r="U16" s="32" t="s">
        <v>679</v>
      </c>
      <c r="V16" s="32">
        <v>205.15</v>
      </c>
      <c r="W16" s="32">
        <v>205.150000214133</v>
      </c>
      <c r="X16" s="32" t="s">
        <v>680</v>
      </c>
      <c r="Y16" s="31">
        <v>46206</v>
      </c>
      <c r="Z16" s="32" t="s">
        <v>193</v>
      </c>
      <c r="AA16" s="32" t="s">
        <v>193</v>
      </c>
      <c r="AB16" s="32"/>
      <c r="AC16" s="32" t="s">
        <v>193</v>
      </c>
      <c r="AD16" s="32" t="s">
        <v>193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 t="s">
        <v>965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/>
      <c r="AQ16" s="32">
        <v>0</v>
      </c>
      <c r="AR16" s="32">
        <v>0</v>
      </c>
      <c r="AS16" s="32">
        <v>958048.11</v>
      </c>
      <c r="AT16" s="32" t="s">
        <v>169</v>
      </c>
      <c r="AU16" s="32" t="s">
        <v>176</v>
      </c>
      <c r="AV16" s="32" t="s">
        <v>159</v>
      </c>
      <c r="AW16" s="32" t="s">
        <v>171</v>
      </c>
      <c r="AX16" s="32" t="s">
        <v>966</v>
      </c>
      <c r="AY16" s="32">
        <v>0</v>
      </c>
      <c r="AZ16" s="32">
        <v>297036.69</v>
      </c>
      <c r="BA16" s="32">
        <v>282</v>
      </c>
      <c r="BB16" s="31">
        <v>46206</v>
      </c>
      <c r="BC16" s="32" t="s">
        <v>177</v>
      </c>
      <c r="BD16" s="32" t="s">
        <v>967</v>
      </c>
      <c r="BE16" s="32" t="s">
        <v>967</v>
      </c>
      <c r="BF16" s="32">
        <v>9</v>
      </c>
      <c r="BG16" s="32">
        <v>26733.3</v>
      </c>
      <c r="BH16" s="32">
        <v>9</v>
      </c>
      <c r="BI16" s="32">
        <v>26733.3</v>
      </c>
      <c r="BJ16" s="32">
        <v>0</v>
      </c>
      <c r="BK16" s="32">
        <v>0</v>
      </c>
      <c r="BL16" s="32">
        <v>0</v>
      </c>
      <c r="BM16" s="32">
        <v>692139278562</v>
      </c>
      <c r="BN16" s="31">
        <v>46206</v>
      </c>
      <c r="BO16" s="32">
        <v>1447.9</v>
      </c>
    </row>
    <row r="17" spans="1:67" x14ac:dyDescent="0.25">
      <c r="A17" s="21"/>
      <c r="B17" s="32" t="s">
        <v>167</v>
      </c>
      <c r="C17" s="31">
        <v>46206</v>
      </c>
      <c r="D17" s="32" t="s">
        <v>1004</v>
      </c>
      <c r="E17" s="32" t="s">
        <v>186</v>
      </c>
      <c r="F17" s="32" t="s">
        <v>187</v>
      </c>
      <c r="G17" s="32" t="s">
        <v>1005</v>
      </c>
      <c r="H17" s="32">
        <v>644</v>
      </c>
      <c r="I17" s="32">
        <v>644</v>
      </c>
      <c r="J17" s="32" t="s">
        <v>168</v>
      </c>
      <c r="K17" s="32">
        <v>644</v>
      </c>
      <c r="L17" s="32">
        <v>0</v>
      </c>
      <c r="M17" s="32">
        <v>644</v>
      </c>
      <c r="N17" s="32" t="s">
        <v>175</v>
      </c>
      <c r="O17" s="32" t="s">
        <v>654</v>
      </c>
      <c r="P17" s="32" t="s">
        <v>654</v>
      </c>
      <c r="Q17" s="32" t="s">
        <v>680</v>
      </c>
      <c r="R17" s="31">
        <v>46206</v>
      </c>
      <c r="S17" s="32" t="s">
        <v>987</v>
      </c>
      <c r="T17" s="32" t="s">
        <v>988</v>
      </c>
      <c r="U17" s="32" t="s">
        <v>679</v>
      </c>
      <c r="V17" s="32">
        <v>152.74</v>
      </c>
      <c r="W17" s="32">
        <v>152.74000015942801</v>
      </c>
      <c r="X17" s="32" t="s">
        <v>680</v>
      </c>
      <c r="Y17" s="31">
        <v>46206</v>
      </c>
      <c r="Z17" s="32" t="s">
        <v>193</v>
      </c>
      <c r="AA17" s="32" t="s">
        <v>193</v>
      </c>
      <c r="AB17" s="32"/>
      <c r="AC17" s="32" t="s">
        <v>193</v>
      </c>
      <c r="AD17" s="32" t="s">
        <v>193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 t="s">
        <v>965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/>
      <c r="AQ17" s="32">
        <v>0</v>
      </c>
      <c r="AR17" s="32">
        <v>0</v>
      </c>
      <c r="AS17" s="32">
        <v>958048.11</v>
      </c>
      <c r="AT17" s="32" t="s">
        <v>169</v>
      </c>
      <c r="AU17" s="32" t="s">
        <v>180</v>
      </c>
      <c r="AV17" s="32" t="s">
        <v>155</v>
      </c>
      <c r="AW17" s="32" t="s">
        <v>171</v>
      </c>
      <c r="AX17" s="32" t="s">
        <v>966</v>
      </c>
      <c r="AY17" s="32">
        <v>0</v>
      </c>
      <c r="AZ17" s="32">
        <v>98364.56</v>
      </c>
      <c r="BA17" s="32">
        <v>282</v>
      </c>
      <c r="BB17" s="31">
        <v>46206</v>
      </c>
      <c r="BC17" s="32" t="s">
        <v>177</v>
      </c>
      <c r="BD17" s="32" t="s">
        <v>967</v>
      </c>
      <c r="BE17" s="32" t="s">
        <v>967</v>
      </c>
      <c r="BF17" s="32">
        <v>9</v>
      </c>
      <c r="BG17" s="32">
        <v>8852.81</v>
      </c>
      <c r="BH17" s="32">
        <v>9</v>
      </c>
      <c r="BI17" s="32">
        <v>8852.81</v>
      </c>
      <c r="BJ17" s="32">
        <v>0</v>
      </c>
      <c r="BK17" s="32">
        <v>0</v>
      </c>
      <c r="BL17" s="32">
        <v>0</v>
      </c>
      <c r="BM17" s="32">
        <v>692139278562</v>
      </c>
      <c r="BN17" s="31">
        <v>46206</v>
      </c>
      <c r="BO17" s="32">
        <v>644</v>
      </c>
    </row>
    <row r="18" spans="1:67" x14ac:dyDescent="0.25">
      <c r="A18" s="21"/>
      <c r="B18" s="32" t="s">
        <v>167</v>
      </c>
      <c r="C18" s="31">
        <v>46206</v>
      </c>
      <c r="D18" s="32" t="s">
        <v>1004</v>
      </c>
      <c r="E18" s="32" t="s">
        <v>181</v>
      </c>
      <c r="F18" s="32" t="s">
        <v>182</v>
      </c>
      <c r="G18" s="32" t="s">
        <v>1005</v>
      </c>
      <c r="H18" s="32">
        <v>59.6</v>
      </c>
      <c r="I18" s="32">
        <v>59.6</v>
      </c>
      <c r="J18" s="32" t="s">
        <v>168</v>
      </c>
      <c r="K18" s="32">
        <v>59.6</v>
      </c>
      <c r="L18" s="32">
        <v>0</v>
      </c>
      <c r="M18" s="32">
        <v>59.6</v>
      </c>
      <c r="N18" s="32" t="s">
        <v>175</v>
      </c>
      <c r="O18" s="32" t="s">
        <v>654</v>
      </c>
      <c r="P18" s="32" t="s">
        <v>654</v>
      </c>
      <c r="Q18" s="32" t="s">
        <v>680</v>
      </c>
      <c r="R18" s="31">
        <v>46206</v>
      </c>
      <c r="S18" s="32" t="s">
        <v>987</v>
      </c>
      <c r="T18" s="32" t="s">
        <v>988</v>
      </c>
      <c r="U18" s="32" t="s">
        <v>679</v>
      </c>
      <c r="V18" s="32">
        <v>152.74</v>
      </c>
      <c r="W18" s="32">
        <v>152.74000015942801</v>
      </c>
      <c r="X18" s="32" t="s">
        <v>680</v>
      </c>
      <c r="Y18" s="31">
        <v>46206</v>
      </c>
      <c r="Z18" s="32" t="s">
        <v>193</v>
      </c>
      <c r="AA18" s="32" t="s">
        <v>193</v>
      </c>
      <c r="AB18" s="32"/>
      <c r="AC18" s="32" t="s">
        <v>193</v>
      </c>
      <c r="AD18" s="32" t="s">
        <v>193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 t="s">
        <v>965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/>
      <c r="AQ18" s="32">
        <v>0</v>
      </c>
      <c r="AR18" s="32">
        <v>0</v>
      </c>
      <c r="AS18" s="32">
        <v>958048.11</v>
      </c>
      <c r="AT18" s="32" t="s">
        <v>169</v>
      </c>
      <c r="AU18" s="32" t="s">
        <v>182</v>
      </c>
      <c r="AV18" s="32" t="s">
        <v>154</v>
      </c>
      <c r="AW18" s="32" t="s">
        <v>171</v>
      </c>
      <c r="AX18" s="32" t="s">
        <v>966</v>
      </c>
      <c r="AY18" s="32">
        <v>0</v>
      </c>
      <c r="AZ18" s="32">
        <v>9103.2999999999993</v>
      </c>
      <c r="BA18" s="32">
        <v>282</v>
      </c>
      <c r="BB18" s="31">
        <v>46206</v>
      </c>
      <c r="BC18" s="32" t="s">
        <v>177</v>
      </c>
      <c r="BD18" s="32" t="s">
        <v>967</v>
      </c>
      <c r="BE18" s="32" t="s">
        <v>967</v>
      </c>
      <c r="BF18" s="32">
        <v>9</v>
      </c>
      <c r="BG18" s="32">
        <v>819.3</v>
      </c>
      <c r="BH18" s="32">
        <v>9</v>
      </c>
      <c r="BI18" s="32">
        <v>819.3</v>
      </c>
      <c r="BJ18" s="32">
        <v>0</v>
      </c>
      <c r="BK18" s="32">
        <v>0</v>
      </c>
      <c r="BL18" s="32">
        <v>0</v>
      </c>
      <c r="BM18" s="32">
        <v>692139278562</v>
      </c>
      <c r="BN18" s="31">
        <v>46206</v>
      </c>
      <c r="BO18" s="32">
        <v>59.6</v>
      </c>
    </row>
    <row r="19" spans="1:67" x14ac:dyDescent="0.25">
      <c r="A19" s="21"/>
      <c r="B19" s="32" t="s">
        <v>167</v>
      </c>
      <c r="C19" s="31">
        <v>46206</v>
      </c>
      <c r="D19" s="32" t="s">
        <v>1004</v>
      </c>
      <c r="E19" s="32" t="s">
        <v>181</v>
      </c>
      <c r="F19" s="32" t="s">
        <v>182</v>
      </c>
      <c r="G19" s="32" t="s">
        <v>1005</v>
      </c>
      <c r="H19" s="32">
        <v>72.599999999999994</v>
      </c>
      <c r="I19" s="32">
        <v>72.599999999999994</v>
      </c>
      <c r="J19" s="32" t="s">
        <v>168</v>
      </c>
      <c r="K19" s="32">
        <v>72.599999999999994</v>
      </c>
      <c r="L19" s="32">
        <v>0</v>
      </c>
      <c r="M19" s="32">
        <v>72.599999999999994</v>
      </c>
      <c r="N19" s="32" t="s">
        <v>175</v>
      </c>
      <c r="O19" s="32" t="s">
        <v>654</v>
      </c>
      <c r="P19" s="32" t="s">
        <v>654</v>
      </c>
      <c r="Q19" s="32" t="s">
        <v>680</v>
      </c>
      <c r="R19" s="31">
        <v>46206</v>
      </c>
      <c r="S19" s="32" t="s">
        <v>987</v>
      </c>
      <c r="T19" s="32" t="s">
        <v>988</v>
      </c>
      <c r="U19" s="32" t="s">
        <v>679</v>
      </c>
      <c r="V19" s="32">
        <v>149.74</v>
      </c>
      <c r="W19" s="32">
        <v>149.74000015629699</v>
      </c>
      <c r="X19" s="32" t="s">
        <v>680</v>
      </c>
      <c r="Y19" s="31">
        <v>46206</v>
      </c>
      <c r="Z19" s="32" t="s">
        <v>193</v>
      </c>
      <c r="AA19" s="32" t="s">
        <v>193</v>
      </c>
      <c r="AB19" s="32"/>
      <c r="AC19" s="32" t="s">
        <v>193</v>
      </c>
      <c r="AD19" s="32" t="s">
        <v>193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 t="s">
        <v>965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/>
      <c r="AQ19" s="32">
        <v>0</v>
      </c>
      <c r="AR19" s="32">
        <v>0</v>
      </c>
      <c r="AS19" s="32">
        <v>958048.11</v>
      </c>
      <c r="AT19" s="32" t="s">
        <v>169</v>
      </c>
      <c r="AU19" s="32" t="s">
        <v>182</v>
      </c>
      <c r="AV19" s="32" t="s">
        <v>154</v>
      </c>
      <c r="AW19" s="32" t="s">
        <v>171</v>
      </c>
      <c r="AX19" s="32" t="s">
        <v>966</v>
      </c>
      <c r="AY19" s="32">
        <v>0</v>
      </c>
      <c r="AZ19" s="32">
        <v>10871.12</v>
      </c>
      <c r="BA19" s="32">
        <v>282</v>
      </c>
      <c r="BB19" s="31">
        <v>46206</v>
      </c>
      <c r="BC19" s="32" t="s">
        <v>177</v>
      </c>
      <c r="BD19" s="32" t="s">
        <v>967</v>
      </c>
      <c r="BE19" s="32" t="s">
        <v>967</v>
      </c>
      <c r="BF19" s="32">
        <v>9</v>
      </c>
      <c r="BG19" s="32">
        <v>978.4</v>
      </c>
      <c r="BH19" s="32">
        <v>9</v>
      </c>
      <c r="BI19" s="32">
        <v>978.4</v>
      </c>
      <c r="BJ19" s="32">
        <v>0</v>
      </c>
      <c r="BK19" s="32">
        <v>0</v>
      </c>
      <c r="BL19" s="32">
        <v>0</v>
      </c>
      <c r="BM19" s="32">
        <v>692139278562</v>
      </c>
      <c r="BN19" s="31">
        <v>46206</v>
      </c>
      <c r="BO19" s="32">
        <v>72.599999999999994</v>
      </c>
    </row>
    <row r="20" spans="1:67" x14ac:dyDescent="0.25">
      <c r="A20" s="21"/>
      <c r="B20" s="32" t="s">
        <v>167</v>
      </c>
      <c r="C20" s="31">
        <v>46206</v>
      </c>
      <c r="D20" s="32" t="s">
        <v>1004</v>
      </c>
      <c r="E20" s="32" t="s">
        <v>1006</v>
      </c>
      <c r="F20" s="32" t="s">
        <v>681</v>
      </c>
      <c r="G20" s="32" t="s">
        <v>1005</v>
      </c>
      <c r="H20" s="32">
        <v>66.400000000000006</v>
      </c>
      <c r="I20" s="32">
        <v>66.400000000000006</v>
      </c>
      <c r="J20" s="32" t="s">
        <v>168</v>
      </c>
      <c r="K20" s="32">
        <v>66.400000000000006</v>
      </c>
      <c r="L20" s="32">
        <v>0</v>
      </c>
      <c r="M20" s="32">
        <v>66.400000000000006</v>
      </c>
      <c r="N20" s="32" t="s">
        <v>175</v>
      </c>
      <c r="O20" s="32" t="s">
        <v>654</v>
      </c>
      <c r="P20" s="32" t="s">
        <v>654</v>
      </c>
      <c r="Q20" s="32" t="s">
        <v>680</v>
      </c>
      <c r="R20" s="31">
        <v>46206</v>
      </c>
      <c r="S20" s="32" t="s">
        <v>987</v>
      </c>
      <c r="T20" s="32" t="s">
        <v>988</v>
      </c>
      <c r="U20" s="32" t="s">
        <v>679</v>
      </c>
      <c r="V20" s="32">
        <v>164.24</v>
      </c>
      <c r="W20" s="32">
        <v>164.240000171432</v>
      </c>
      <c r="X20" s="32" t="s">
        <v>680</v>
      </c>
      <c r="Y20" s="31">
        <v>46206</v>
      </c>
      <c r="Z20" s="32" t="s">
        <v>193</v>
      </c>
      <c r="AA20" s="32" t="s">
        <v>193</v>
      </c>
      <c r="AB20" s="32"/>
      <c r="AC20" s="32" t="s">
        <v>193</v>
      </c>
      <c r="AD20" s="32" t="s">
        <v>193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 t="s">
        <v>965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/>
      <c r="AQ20" s="32">
        <v>0</v>
      </c>
      <c r="AR20" s="32">
        <v>0</v>
      </c>
      <c r="AS20" s="32">
        <v>958048.11</v>
      </c>
      <c r="AT20" s="32" t="s">
        <v>169</v>
      </c>
      <c r="AU20" s="32" t="s">
        <v>170</v>
      </c>
      <c r="AV20" s="32" t="s">
        <v>157</v>
      </c>
      <c r="AW20" s="32" t="s">
        <v>171</v>
      </c>
      <c r="AX20" s="32" t="s">
        <v>966</v>
      </c>
      <c r="AY20" s="32">
        <v>0</v>
      </c>
      <c r="AZ20" s="32">
        <v>10905.54</v>
      </c>
      <c r="BA20" s="32">
        <v>282</v>
      </c>
      <c r="BB20" s="31">
        <v>46206</v>
      </c>
      <c r="BC20" s="32" t="s">
        <v>177</v>
      </c>
      <c r="BD20" s="32" t="s">
        <v>967</v>
      </c>
      <c r="BE20" s="32" t="s">
        <v>967</v>
      </c>
      <c r="BF20" s="32">
        <v>2.5</v>
      </c>
      <c r="BG20" s="32">
        <v>272.64</v>
      </c>
      <c r="BH20" s="32">
        <v>2.5</v>
      </c>
      <c r="BI20" s="32">
        <v>272.64</v>
      </c>
      <c r="BJ20" s="32">
        <v>0</v>
      </c>
      <c r="BK20" s="32">
        <v>0</v>
      </c>
      <c r="BL20" s="32">
        <v>0</v>
      </c>
      <c r="BM20" s="32">
        <v>692139278562</v>
      </c>
      <c r="BN20" s="31">
        <v>46206</v>
      </c>
      <c r="BO20" s="32">
        <v>66.400000000000006</v>
      </c>
    </row>
    <row r="21" spans="1:67" x14ac:dyDescent="0.25">
      <c r="A21" s="21"/>
      <c r="B21" s="32" t="s">
        <v>167</v>
      </c>
      <c r="C21" s="31">
        <v>46206</v>
      </c>
      <c r="D21" s="32" t="s">
        <v>1007</v>
      </c>
      <c r="E21" s="32" t="s">
        <v>1008</v>
      </c>
      <c r="F21" s="32" t="s">
        <v>685</v>
      </c>
      <c r="G21" s="32" t="s">
        <v>1005</v>
      </c>
      <c r="H21" s="32">
        <v>878.3</v>
      </c>
      <c r="I21" s="32">
        <v>878.3</v>
      </c>
      <c r="J21" s="32" t="s">
        <v>188</v>
      </c>
      <c r="K21" s="32">
        <v>878.3</v>
      </c>
      <c r="L21" s="32">
        <v>0</v>
      </c>
      <c r="M21" s="32">
        <v>878.3</v>
      </c>
      <c r="N21" s="32" t="s">
        <v>175</v>
      </c>
      <c r="O21" s="32" t="s">
        <v>654</v>
      </c>
      <c r="P21" s="32" t="s">
        <v>654</v>
      </c>
      <c r="Q21" s="32" t="s">
        <v>683</v>
      </c>
      <c r="R21" s="31">
        <v>46206</v>
      </c>
      <c r="S21" s="32" t="s">
        <v>987</v>
      </c>
      <c r="T21" s="32" t="s">
        <v>988</v>
      </c>
      <c r="U21" s="32" t="s">
        <v>682</v>
      </c>
      <c r="V21" s="32">
        <v>159.74</v>
      </c>
      <c r="W21" s="32">
        <v>159.74</v>
      </c>
      <c r="X21" s="32" t="s">
        <v>683</v>
      </c>
      <c r="Y21" s="31">
        <v>46206</v>
      </c>
      <c r="Z21" s="32" t="s">
        <v>193</v>
      </c>
      <c r="AA21" s="32" t="s">
        <v>193</v>
      </c>
      <c r="AB21" s="32"/>
      <c r="AC21" s="32" t="s">
        <v>193</v>
      </c>
      <c r="AD21" s="32" t="s">
        <v>193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 t="s">
        <v>965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/>
      <c r="AQ21" s="32">
        <v>0</v>
      </c>
      <c r="AR21" s="32">
        <v>0</v>
      </c>
      <c r="AS21" s="32">
        <v>574110.22</v>
      </c>
      <c r="AT21" s="32" t="s">
        <v>169</v>
      </c>
      <c r="AU21" s="32" t="s">
        <v>170</v>
      </c>
      <c r="AV21" s="32" t="s">
        <v>157</v>
      </c>
      <c r="AW21" s="32" t="s">
        <v>171</v>
      </c>
      <c r="AX21" s="32"/>
      <c r="AY21" s="32">
        <v>0</v>
      </c>
      <c r="AZ21" s="32">
        <v>140299.64000000001</v>
      </c>
      <c r="BA21" s="32">
        <v>283</v>
      </c>
      <c r="BB21" s="31">
        <v>46206</v>
      </c>
      <c r="BC21" s="32" t="s">
        <v>177</v>
      </c>
      <c r="BD21" s="32" t="s">
        <v>967</v>
      </c>
      <c r="BE21" s="32" t="s">
        <v>967</v>
      </c>
      <c r="BF21" s="32">
        <v>2.5</v>
      </c>
      <c r="BG21" s="32">
        <v>3507.49</v>
      </c>
      <c r="BH21" s="32">
        <v>2.5</v>
      </c>
      <c r="BI21" s="32">
        <v>3507.49</v>
      </c>
      <c r="BJ21" s="32">
        <v>0</v>
      </c>
      <c r="BK21" s="32">
        <v>0</v>
      </c>
      <c r="BL21" s="32">
        <v>574110.22</v>
      </c>
      <c r="BM21" s="32">
        <v>682139368084</v>
      </c>
      <c r="BN21" s="31">
        <v>46206</v>
      </c>
      <c r="BO21" s="32">
        <v>878.3</v>
      </c>
    </row>
    <row r="22" spans="1:67" x14ac:dyDescent="0.25">
      <c r="A22" s="21"/>
      <c r="B22" s="32" t="s">
        <v>167</v>
      </c>
      <c r="C22" s="31">
        <v>46206</v>
      </c>
      <c r="D22" s="32" t="s">
        <v>1007</v>
      </c>
      <c r="E22" s="32" t="s">
        <v>1009</v>
      </c>
      <c r="F22" s="32" t="s">
        <v>684</v>
      </c>
      <c r="G22" s="32" t="s">
        <v>1005</v>
      </c>
      <c r="H22" s="32">
        <v>445.7</v>
      </c>
      <c r="I22" s="32">
        <v>445.7</v>
      </c>
      <c r="J22" s="32" t="s">
        <v>188</v>
      </c>
      <c r="K22" s="32">
        <v>445.7</v>
      </c>
      <c r="L22" s="32">
        <v>0</v>
      </c>
      <c r="M22" s="32">
        <v>445.7</v>
      </c>
      <c r="N22" s="32" t="s">
        <v>175</v>
      </c>
      <c r="O22" s="32" t="s">
        <v>654</v>
      </c>
      <c r="P22" s="32" t="s">
        <v>654</v>
      </c>
      <c r="Q22" s="32" t="s">
        <v>683</v>
      </c>
      <c r="R22" s="31">
        <v>46206</v>
      </c>
      <c r="S22" s="32" t="s">
        <v>987</v>
      </c>
      <c r="T22" s="32" t="s">
        <v>988</v>
      </c>
      <c r="U22" s="32" t="s">
        <v>682</v>
      </c>
      <c r="V22" s="32">
        <v>159.74</v>
      </c>
      <c r="W22" s="32">
        <v>159.74</v>
      </c>
      <c r="X22" s="32" t="s">
        <v>683</v>
      </c>
      <c r="Y22" s="31">
        <v>46206</v>
      </c>
      <c r="Z22" s="32" t="s">
        <v>193</v>
      </c>
      <c r="AA22" s="32" t="s">
        <v>193</v>
      </c>
      <c r="AB22" s="32"/>
      <c r="AC22" s="32" t="s">
        <v>193</v>
      </c>
      <c r="AD22" s="32" t="s">
        <v>193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 t="s">
        <v>965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/>
      <c r="AQ22" s="32">
        <v>0</v>
      </c>
      <c r="AR22" s="32">
        <v>0</v>
      </c>
      <c r="AS22" s="32">
        <v>574110.22</v>
      </c>
      <c r="AT22" s="32" t="s">
        <v>169</v>
      </c>
      <c r="AU22" s="32" t="s">
        <v>170</v>
      </c>
      <c r="AV22" s="32" t="s">
        <v>157</v>
      </c>
      <c r="AW22" s="32" t="s">
        <v>171</v>
      </c>
      <c r="AX22" s="32"/>
      <c r="AY22" s="32">
        <v>0</v>
      </c>
      <c r="AZ22" s="32">
        <v>71196.12</v>
      </c>
      <c r="BA22" s="32">
        <v>283</v>
      </c>
      <c r="BB22" s="31">
        <v>46206</v>
      </c>
      <c r="BC22" s="32" t="s">
        <v>177</v>
      </c>
      <c r="BD22" s="32" t="s">
        <v>967</v>
      </c>
      <c r="BE22" s="32" t="s">
        <v>967</v>
      </c>
      <c r="BF22" s="32">
        <v>2.5</v>
      </c>
      <c r="BG22" s="32">
        <v>1779.9</v>
      </c>
      <c r="BH22" s="32">
        <v>2.5</v>
      </c>
      <c r="BI22" s="32">
        <v>1779.9</v>
      </c>
      <c r="BJ22" s="32">
        <v>0</v>
      </c>
      <c r="BK22" s="32">
        <v>0</v>
      </c>
      <c r="BL22" s="32">
        <v>0</v>
      </c>
      <c r="BM22" s="32">
        <v>682139368084</v>
      </c>
      <c r="BN22" s="31">
        <v>46206</v>
      </c>
      <c r="BO22" s="32">
        <v>445.7</v>
      </c>
    </row>
    <row r="23" spans="1:67" x14ac:dyDescent="0.25">
      <c r="A23" s="21"/>
      <c r="B23" s="32" t="s">
        <v>167</v>
      </c>
      <c r="C23" s="31">
        <v>46206</v>
      </c>
      <c r="D23" s="32" t="s">
        <v>1007</v>
      </c>
      <c r="E23" s="32" t="s">
        <v>178</v>
      </c>
      <c r="F23" s="32" t="s">
        <v>179</v>
      </c>
      <c r="G23" s="32" t="s">
        <v>1005</v>
      </c>
      <c r="H23" s="32">
        <v>1928</v>
      </c>
      <c r="I23" s="32">
        <v>1928</v>
      </c>
      <c r="J23" s="32" t="s">
        <v>168</v>
      </c>
      <c r="K23" s="32">
        <v>1928</v>
      </c>
      <c r="L23" s="32">
        <v>0</v>
      </c>
      <c r="M23" s="32">
        <v>1928</v>
      </c>
      <c r="N23" s="32" t="s">
        <v>175</v>
      </c>
      <c r="O23" s="32" t="s">
        <v>654</v>
      </c>
      <c r="P23" s="32" t="s">
        <v>654</v>
      </c>
      <c r="Q23" s="32" t="s">
        <v>683</v>
      </c>
      <c r="R23" s="31">
        <v>46206</v>
      </c>
      <c r="S23" s="32" t="s">
        <v>987</v>
      </c>
      <c r="T23" s="32" t="s">
        <v>988</v>
      </c>
      <c r="U23" s="32" t="s">
        <v>682</v>
      </c>
      <c r="V23" s="32">
        <v>154.74</v>
      </c>
      <c r="W23" s="32">
        <v>154.74</v>
      </c>
      <c r="X23" s="32" t="s">
        <v>683</v>
      </c>
      <c r="Y23" s="31">
        <v>46206</v>
      </c>
      <c r="Z23" s="32" t="s">
        <v>193</v>
      </c>
      <c r="AA23" s="32" t="s">
        <v>193</v>
      </c>
      <c r="AB23" s="32"/>
      <c r="AC23" s="32" t="s">
        <v>193</v>
      </c>
      <c r="AD23" s="32" t="s">
        <v>193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2" t="s">
        <v>965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/>
      <c r="AQ23" s="32">
        <v>0</v>
      </c>
      <c r="AR23" s="32">
        <v>0</v>
      </c>
      <c r="AS23" s="32">
        <v>574110.22</v>
      </c>
      <c r="AT23" s="32" t="s">
        <v>169</v>
      </c>
      <c r="AU23" s="32" t="s">
        <v>180</v>
      </c>
      <c r="AV23" s="32" t="s">
        <v>156</v>
      </c>
      <c r="AW23" s="32" t="s">
        <v>171</v>
      </c>
      <c r="AX23" s="32" t="s">
        <v>966</v>
      </c>
      <c r="AY23" s="32">
        <v>0</v>
      </c>
      <c r="AZ23" s="32">
        <v>298338.71999999997</v>
      </c>
      <c r="BA23" s="32">
        <v>283</v>
      </c>
      <c r="BB23" s="31">
        <v>46206</v>
      </c>
      <c r="BC23" s="32" t="s">
        <v>177</v>
      </c>
      <c r="BD23" s="32" t="s">
        <v>967</v>
      </c>
      <c r="BE23" s="32" t="s">
        <v>967</v>
      </c>
      <c r="BF23" s="32">
        <v>9</v>
      </c>
      <c r="BG23" s="32">
        <v>26850.48</v>
      </c>
      <c r="BH23" s="32">
        <v>9</v>
      </c>
      <c r="BI23" s="32">
        <v>26850.48</v>
      </c>
      <c r="BJ23" s="32">
        <v>0</v>
      </c>
      <c r="BK23" s="32">
        <v>0</v>
      </c>
      <c r="BL23" s="32">
        <v>0</v>
      </c>
      <c r="BM23" s="32">
        <v>682139368084</v>
      </c>
      <c r="BN23" s="31">
        <v>46206</v>
      </c>
      <c r="BO23" s="32">
        <v>1928</v>
      </c>
    </row>
    <row r="24" spans="1:67" x14ac:dyDescent="0.25">
      <c r="A24" s="21"/>
      <c r="B24" s="32" t="s">
        <v>167</v>
      </c>
      <c r="C24" s="31">
        <v>46206</v>
      </c>
      <c r="D24" s="32" t="s">
        <v>1010</v>
      </c>
      <c r="E24" s="32" t="s">
        <v>186</v>
      </c>
      <c r="F24" s="32" t="s">
        <v>187</v>
      </c>
      <c r="G24" s="32" t="s">
        <v>1005</v>
      </c>
      <c r="H24" s="32">
        <v>378</v>
      </c>
      <c r="I24" s="32">
        <v>378</v>
      </c>
      <c r="J24" s="32" t="s">
        <v>168</v>
      </c>
      <c r="K24" s="32">
        <v>378</v>
      </c>
      <c r="L24" s="32">
        <v>0</v>
      </c>
      <c r="M24" s="32">
        <v>378</v>
      </c>
      <c r="N24" s="32" t="s">
        <v>198</v>
      </c>
      <c r="O24" s="32" t="s">
        <v>654</v>
      </c>
      <c r="P24" s="32" t="s">
        <v>654</v>
      </c>
      <c r="Q24" s="32" t="s">
        <v>687</v>
      </c>
      <c r="R24" s="31">
        <v>46206</v>
      </c>
      <c r="S24" s="32" t="s">
        <v>987</v>
      </c>
      <c r="T24" s="32" t="s">
        <v>988</v>
      </c>
      <c r="U24" s="32" t="s">
        <v>686</v>
      </c>
      <c r="V24" s="32">
        <v>147.74</v>
      </c>
      <c r="W24" s="32">
        <v>147.74</v>
      </c>
      <c r="X24" s="32" t="s">
        <v>687</v>
      </c>
      <c r="Y24" s="31">
        <v>46206</v>
      </c>
      <c r="Z24" s="32" t="s">
        <v>193</v>
      </c>
      <c r="AA24" s="32" t="s">
        <v>193</v>
      </c>
      <c r="AB24" s="32"/>
      <c r="AC24" s="32" t="s">
        <v>193</v>
      </c>
      <c r="AD24" s="32" t="s">
        <v>193</v>
      </c>
      <c r="AE24" s="32">
        <v>0</v>
      </c>
      <c r="AF24" s="32">
        <v>0</v>
      </c>
      <c r="AG24" s="32">
        <v>0</v>
      </c>
      <c r="AH24" s="32">
        <v>0</v>
      </c>
      <c r="AI24" s="32">
        <v>0</v>
      </c>
      <c r="AJ24" s="32" t="s">
        <v>965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/>
      <c r="AQ24" s="32">
        <v>0</v>
      </c>
      <c r="AR24" s="32">
        <v>0</v>
      </c>
      <c r="AS24" s="32">
        <v>65897.94</v>
      </c>
      <c r="AT24" s="32" t="s">
        <v>169</v>
      </c>
      <c r="AU24" s="32" t="s">
        <v>180</v>
      </c>
      <c r="AV24" s="32" t="s">
        <v>155</v>
      </c>
      <c r="AW24" s="32" t="s">
        <v>171</v>
      </c>
      <c r="AX24" s="32" t="s">
        <v>966</v>
      </c>
      <c r="AY24" s="32">
        <v>0</v>
      </c>
      <c r="AZ24" s="32">
        <v>55845.72</v>
      </c>
      <c r="BA24" s="32">
        <v>284</v>
      </c>
      <c r="BB24" s="31">
        <v>46206</v>
      </c>
      <c r="BC24" s="32" t="s">
        <v>177</v>
      </c>
      <c r="BD24" s="32" t="s">
        <v>967</v>
      </c>
      <c r="BE24" s="32" t="s">
        <v>967</v>
      </c>
      <c r="BF24" s="32">
        <v>9</v>
      </c>
      <c r="BG24" s="32">
        <v>5026.1099999999997</v>
      </c>
      <c r="BH24" s="32">
        <v>9</v>
      </c>
      <c r="BI24" s="32">
        <v>5026.1099999999997</v>
      </c>
      <c r="BJ24" s="32">
        <v>0</v>
      </c>
      <c r="BK24" s="32">
        <v>0</v>
      </c>
      <c r="BL24" s="32">
        <v>65897.94</v>
      </c>
      <c r="BM24" s="32">
        <v>682139202386</v>
      </c>
      <c r="BN24" s="31">
        <v>46206</v>
      </c>
      <c r="BO24" s="32">
        <v>378</v>
      </c>
    </row>
    <row r="25" spans="1:67" x14ac:dyDescent="0.25">
      <c r="A25" s="21"/>
      <c r="B25" s="32" t="s">
        <v>167</v>
      </c>
      <c r="C25" s="31">
        <v>46207</v>
      </c>
      <c r="D25" s="32" t="s">
        <v>1011</v>
      </c>
      <c r="E25" s="32" t="s">
        <v>186</v>
      </c>
      <c r="F25" s="32" t="s">
        <v>187</v>
      </c>
      <c r="G25" s="32" t="s">
        <v>1012</v>
      </c>
      <c r="H25" s="32">
        <v>624</v>
      </c>
      <c r="I25" s="32">
        <v>624</v>
      </c>
      <c r="J25" s="32" t="s">
        <v>168</v>
      </c>
      <c r="K25" s="32">
        <v>624</v>
      </c>
      <c r="L25" s="32">
        <v>0</v>
      </c>
      <c r="M25" s="32">
        <v>624</v>
      </c>
      <c r="N25" s="32" t="s">
        <v>307</v>
      </c>
      <c r="O25" s="32" t="s">
        <v>654</v>
      </c>
      <c r="P25" s="32" t="s">
        <v>654</v>
      </c>
      <c r="Q25" s="32" t="s">
        <v>698</v>
      </c>
      <c r="R25" s="31">
        <v>46207</v>
      </c>
      <c r="S25" s="32" t="s">
        <v>987</v>
      </c>
      <c r="T25" s="32" t="s">
        <v>988</v>
      </c>
      <c r="U25" s="32" t="s">
        <v>697</v>
      </c>
      <c r="V25" s="32">
        <v>147.74</v>
      </c>
      <c r="W25" s="32">
        <v>147.74</v>
      </c>
      <c r="X25" s="32" t="s">
        <v>698</v>
      </c>
      <c r="Y25" s="31">
        <v>46207</v>
      </c>
      <c r="Z25" s="32" t="s">
        <v>193</v>
      </c>
      <c r="AA25" s="32" t="s">
        <v>193</v>
      </c>
      <c r="AB25" s="32"/>
      <c r="AC25" s="32" t="s">
        <v>193</v>
      </c>
      <c r="AD25" s="32" t="s">
        <v>193</v>
      </c>
      <c r="AE25" s="32">
        <v>0</v>
      </c>
      <c r="AF25" s="32">
        <v>0</v>
      </c>
      <c r="AG25" s="32">
        <v>0</v>
      </c>
      <c r="AH25" s="32">
        <v>0</v>
      </c>
      <c r="AI25" s="32">
        <v>0</v>
      </c>
      <c r="AJ25" s="32" t="s">
        <v>965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/>
      <c r="AQ25" s="32">
        <v>0</v>
      </c>
      <c r="AR25" s="32">
        <v>0</v>
      </c>
      <c r="AS25" s="32">
        <v>167578.94</v>
      </c>
      <c r="AT25" s="32" t="s">
        <v>169</v>
      </c>
      <c r="AU25" s="32" t="s">
        <v>180</v>
      </c>
      <c r="AV25" s="32" t="s">
        <v>155</v>
      </c>
      <c r="AW25" s="32" t="s">
        <v>171</v>
      </c>
      <c r="AX25" s="32" t="s">
        <v>966</v>
      </c>
      <c r="AY25" s="32">
        <v>0</v>
      </c>
      <c r="AZ25" s="32">
        <v>92189.759999999995</v>
      </c>
      <c r="BA25" s="32">
        <v>287</v>
      </c>
      <c r="BB25" s="31">
        <v>46207</v>
      </c>
      <c r="BC25" s="32" t="s">
        <v>177</v>
      </c>
      <c r="BD25" s="32" t="s">
        <v>967</v>
      </c>
      <c r="BE25" s="32" t="s">
        <v>967</v>
      </c>
      <c r="BF25" s="32">
        <v>9</v>
      </c>
      <c r="BG25" s="32">
        <v>8297.08</v>
      </c>
      <c r="BH25" s="32">
        <v>9</v>
      </c>
      <c r="BI25" s="32">
        <v>8297.08</v>
      </c>
      <c r="BJ25" s="32">
        <v>0</v>
      </c>
      <c r="BK25" s="32">
        <v>0</v>
      </c>
      <c r="BL25" s="32">
        <v>167578.94</v>
      </c>
      <c r="BM25" s="32">
        <v>672139738792</v>
      </c>
      <c r="BN25" s="31">
        <v>46207</v>
      </c>
      <c r="BO25" s="32">
        <v>624</v>
      </c>
    </row>
    <row r="26" spans="1:67" x14ac:dyDescent="0.25">
      <c r="A26" s="21"/>
      <c r="B26" s="32" t="s">
        <v>167</v>
      </c>
      <c r="C26" s="31">
        <v>46207</v>
      </c>
      <c r="D26" s="32" t="s">
        <v>1011</v>
      </c>
      <c r="E26" s="32" t="s">
        <v>178</v>
      </c>
      <c r="F26" s="32" t="s">
        <v>179</v>
      </c>
      <c r="G26" s="32" t="s">
        <v>1012</v>
      </c>
      <c r="H26" s="32">
        <v>322</v>
      </c>
      <c r="I26" s="32">
        <v>322</v>
      </c>
      <c r="J26" s="32" t="s">
        <v>168</v>
      </c>
      <c r="K26" s="32">
        <v>322</v>
      </c>
      <c r="L26" s="32">
        <v>0</v>
      </c>
      <c r="M26" s="32">
        <v>322</v>
      </c>
      <c r="N26" s="32" t="s">
        <v>307</v>
      </c>
      <c r="O26" s="32" t="s">
        <v>654</v>
      </c>
      <c r="P26" s="32" t="s">
        <v>654</v>
      </c>
      <c r="Q26" s="32" t="s">
        <v>698</v>
      </c>
      <c r="R26" s="31">
        <v>46207</v>
      </c>
      <c r="S26" s="32" t="s">
        <v>987</v>
      </c>
      <c r="T26" s="32" t="s">
        <v>988</v>
      </c>
      <c r="U26" s="32" t="s">
        <v>697</v>
      </c>
      <c r="V26" s="32">
        <v>154.74</v>
      </c>
      <c r="W26" s="32">
        <v>154.74</v>
      </c>
      <c r="X26" s="32" t="s">
        <v>698</v>
      </c>
      <c r="Y26" s="31">
        <v>46207</v>
      </c>
      <c r="Z26" s="32" t="s">
        <v>193</v>
      </c>
      <c r="AA26" s="32" t="s">
        <v>193</v>
      </c>
      <c r="AB26" s="32"/>
      <c r="AC26" s="32" t="s">
        <v>193</v>
      </c>
      <c r="AD26" s="32" t="s">
        <v>193</v>
      </c>
      <c r="AE26" s="32">
        <v>0</v>
      </c>
      <c r="AF26" s="32">
        <v>0</v>
      </c>
      <c r="AG26" s="32">
        <v>0</v>
      </c>
      <c r="AH26" s="32">
        <v>0</v>
      </c>
      <c r="AI26" s="32">
        <v>0</v>
      </c>
      <c r="AJ26" s="32" t="s">
        <v>965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/>
      <c r="AQ26" s="32">
        <v>0</v>
      </c>
      <c r="AR26" s="32">
        <v>0</v>
      </c>
      <c r="AS26" s="32">
        <v>167578.94</v>
      </c>
      <c r="AT26" s="32" t="s">
        <v>169</v>
      </c>
      <c r="AU26" s="32" t="s">
        <v>180</v>
      </c>
      <c r="AV26" s="32" t="s">
        <v>156</v>
      </c>
      <c r="AW26" s="32" t="s">
        <v>171</v>
      </c>
      <c r="AX26" s="32" t="s">
        <v>966</v>
      </c>
      <c r="AY26" s="32">
        <v>0</v>
      </c>
      <c r="AZ26" s="32">
        <v>49826.28</v>
      </c>
      <c r="BA26" s="32">
        <v>287</v>
      </c>
      <c r="BB26" s="31">
        <v>46207</v>
      </c>
      <c r="BC26" s="32" t="s">
        <v>177</v>
      </c>
      <c r="BD26" s="32" t="s">
        <v>967</v>
      </c>
      <c r="BE26" s="32" t="s">
        <v>967</v>
      </c>
      <c r="BF26" s="32">
        <v>9</v>
      </c>
      <c r="BG26" s="32">
        <v>4484.37</v>
      </c>
      <c r="BH26" s="32">
        <v>9</v>
      </c>
      <c r="BI26" s="32">
        <v>4484.37</v>
      </c>
      <c r="BJ26" s="32">
        <v>0</v>
      </c>
      <c r="BK26" s="32">
        <v>0</v>
      </c>
      <c r="BL26" s="32">
        <v>0</v>
      </c>
      <c r="BM26" s="32">
        <v>672139738792</v>
      </c>
      <c r="BN26" s="31">
        <v>46207</v>
      </c>
      <c r="BO26" s="32">
        <v>322</v>
      </c>
    </row>
    <row r="27" spans="1:67" x14ac:dyDescent="0.25">
      <c r="A27" s="21"/>
      <c r="B27" s="32" t="s">
        <v>167</v>
      </c>
      <c r="C27" s="31">
        <v>46207</v>
      </c>
      <c r="D27" s="32" t="s">
        <v>1013</v>
      </c>
      <c r="E27" s="32" t="s">
        <v>178</v>
      </c>
      <c r="F27" s="32" t="s">
        <v>179</v>
      </c>
      <c r="G27" s="32" t="s">
        <v>1014</v>
      </c>
      <c r="H27" s="32">
        <v>633</v>
      </c>
      <c r="I27" s="32">
        <v>633</v>
      </c>
      <c r="J27" s="32" t="s">
        <v>168</v>
      </c>
      <c r="K27" s="32">
        <v>633</v>
      </c>
      <c r="L27" s="32">
        <v>0</v>
      </c>
      <c r="M27" s="32">
        <v>633</v>
      </c>
      <c r="N27" s="32" t="s">
        <v>175</v>
      </c>
      <c r="O27" s="32" t="s">
        <v>654</v>
      </c>
      <c r="P27" s="32" t="s">
        <v>654</v>
      </c>
      <c r="Q27" s="32" t="s">
        <v>700</v>
      </c>
      <c r="R27" s="31">
        <v>46207</v>
      </c>
      <c r="S27" s="32" t="s">
        <v>987</v>
      </c>
      <c r="T27" s="32" t="s">
        <v>988</v>
      </c>
      <c r="U27" s="32" t="s">
        <v>699</v>
      </c>
      <c r="V27" s="32">
        <v>151.49</v>
      </c>
      <c r="W27" s="32">
        <v>151.490001731414</v>
      </c>
      <c r="X27" s="32" t="s">
        <v>700</v>
      </c>
      <c r="Y27" s="31">
        <v>46207</v>
      </c>
      <c r="Z27" s="32" t="s">
        <v>193</v>
      </c>
      <c r="AA27" s="32" t="s">
        <v>193</v>
      </c>
      <c r="AB27" s="32"/>
      <c r="AC27" s="32" t="s">
        <v>193</v>
      </c>
      <c r="AD27" s="32" t="s">
        <v>193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 t="s">
        <v>965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/>
      <c r="AQ27" s="32">
        <v>0</v>
      </c>
      <c r="AR27" s="32">
        <v>0</v>
      </c>
      <c r="AS27" s="32">
        <v>349979.9</v>
      </c>
      <c r="AT27" s="32" t="s">
        <v>169</v>
      </c>
      <c r="AU27" s="32" t="s">
        <v>180</v>
      </c>
      <c r="AV27" s="32" t="s">
        <v>156</v>
      </c>
      <c r="AW27" s="32" t="s">
        <v>171</v>
      </c>
      <c r="AX27" s="32" t="s">
        <v>966</v>
      </c>
      <c r="AY27" s="32">
        <v>0</v>
      </c>
      <c r="AZ27" s="32">
        <v>95893.17</v>
      </c>
      <c r="BA27" s="32">
        <v>286</v>
      </c>
      <c r="BB27" s="31">
        <v>46207</v>
      </c>
      <c r="BC27" s="32" t="s">
        <v>177</v>
      </c>
      <c r="BD27" s="32" t="s">
        <v>967</v>
      </c>
      <c r="BE27" s="32" t="s">
        <v>967</v>
      </c>
      <c r="BF27" s="32">
        <v>9</v>
      </c>
      <c r="BG27" s="32">
        <v>8630.39</v>
      </c>
      <c r="BH27" s="32">
        <v>9</v>
      </c>
      <c r="BI27" s="32">
        <v>8630.39</v>
      </c>
      <c r="BJ27" s="32">
        <v>0</v>
      </c>
      <c r="BK27" s="32">
        <v>0</v>
      </c>
      <c r="BL27" s="32">
        <v>349979.9</v>
      </c>
      <c r="BM27" s="32">
        <v>652139916136</v>
      </c>
      <c r="BN27" s="31">
        <v>46207</v>
      </c>
      <c r="BO27" s="32">
        <v>633</v>
      </c>
    </row>
    <row r="28" spans="1:67" x14ac:dyDescent="0.25">
      <c r="A28" s="21"/>
      <c r="B28" s="32" t="s">
        <v>167</v>
      </c>
      <c r="C28" s="31">
        <v>46207</v>
      </c>
      <c r="D28" s="32" t="s">
        <v>1013</v>
      </c>
      <c r="E28" s="32" t="s">
        <v>181</v>
      </c>
      <c r="F28" s="32" t="s">
        <v>182</v>
      </c>
      <c r="G28" s="32" t="s">
        <v>1014</v>
      </c>
      <c r="H28" s="32">
        <v>108.2</v>
      </c>
      <c r="I28" s="32">
        <v>108.2</v>
      </c>
      <c r="J28" s="32" t="s">
        <v>168</v>
      </c>
      <c r="K28" s="32">
        <v>108.2</v>
      </c>
      <c r="L28" s="32">
        <v>0</v>
      </c>
      <c r="M28" s="32">
        <v>108.2</v>
      </c>
      <c r="N28" s="32" t="s">
        <v>175</v>
      </c>
      <c r="O28" s="32" t="s">
        <v>654</v>
      </c>
      <c r="P28" s="32" t="s">
        <v>654</v>
      </c>
      <c r="Q28" s="32" t="s">
        <v>700</v>
      </c>
      <c r="R28" s="31">
        <v>46207</v>
      </c>
      <c r="S28" s="32" t="s">
        <v>987</v>
      </c>
      <c r="T28" s="32" t="s">
        <v>988</v>
      </c>
      <c r="U28" s="32" t="s">
        <v>699</v>
      </c>
      <c r="V28" s="32">
        <v>146.49</v>
      </c>
      <c r="W28" s="32">
        <v>146.490001674268</v>
      </c>
      <c r="X28" s="32" t="s">
        <v>700</v>
      </c>
      <c r="Y28" s="31">
        <v>46207</v>
      </c>
      <c r="Z28" s="32" t="s">
        <v>193</v>
      </c>
      <c r="AA28" s="32" t="s">
        <v>193</v>
      </c>
      <c r="AB28" s="32"/>
      <c r="AC28" s="32" t="s">
        <v>193</v>
      </c>
      <c r="AD28" s="32" t="s">
        <v>193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 t="s">
        <v>965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/>
      <c r="AQ28" s="32">
        <v>0</v>
      </c>
      <c r="AR28" s="32">
        <v>0</v>
      </c>
      <c r="AS28" s="32">
        <v>349979.9</v>
      </c>
      <c r="AT28" s="32" t="s">
        <v>169</v>
      </c>
      <c r="AU28" s="32" t="s">
        <v>182</v>
      </c>
      <c r="AV28" s="32" t="s">
        <v>154</v>
      </c>
      <c r="AW28" s="32" t="s">
        <v>171</v>
      </c>
      <c r="AX28" s="32" t="s">
        <v>966</v>
      </c>
      <c r="AY28" s="32">
        <v>0</v>
      </c>
      <c r="AZ28" s="32">
        <v>15850.22</v>
      </c>
      <c r="BA28" s="32">
        <v>286</v>
      </c>
      <c r="BB28" s="31">
        <v>46207</v>
      </c>
      <c r="BC28" s="32" t="s">
        <v>177</v>
      </c>
      <c r="BD28" s="32" t="s">
        <v>967</v>
      </c>
      <c r="BE28" s="32" t="s">
        <v>967</v>
      </c>
      <c r="BF28" s="32">
        <v>9</v>
      </c>
      <c r="BG28" s="32">
        <v>1426.52</v>
      </c>
      <c r="BH28" s="32">
        <v>9</v>
      </c>
      <c r="BI28" s="32">
        <v>1426.52</v>
      </c>
      <c r="BJ28" s="32">
        <v>0</v>
      </c>
      <c r="BK28" s="32">
        <v>0</v>
      </c>
      <c r="BL28" s="32">
        <v>0</v>
      </c>
      <c r="BM28" s="32">
        <v>652139916136</v>
      </c>
      <c r="BN28" s="31">
        <v>46207</v>
      </c>
      <c r="BO28" s="32">
        <v>108.2</v>
      </c>
    </row>
    <row r="29" spans="1:67" x14ac:dyDescent="0.25">
      <c r="A29" s="21"/>
      <c r="B29" s="32" t="s">
        <v>167</v>
      </c>
      <c r="C29" s="31">
        <v>46207</v>
      </c>
      <c r="D29" s="32" t="s">
        <v>1013</v>
      </c>
      <c r="E29" s="32" t="s">
        <v>181</v>
      </c>
      <c r="F29" s="32" t="s">
        <v>182</v>
      </c>
      <c r="G29" s="32" t="s">
        <v>1014</v>
      </c>
      <c r="H29" s="32">
        <v>151.19999999999999</v>
      </c>
      <c r="I29" s="32">
        <v>151.19999999999999</v>
      </c>
      <c r="J29" s="32" t="s">
        <v>168</v>
      </c>
      <c r="K29" s="32">
        <v>151.19999999999999</v>
      </c>
      <c r="L29" s="32">
        <v>0</v>
      </c>
      <c r="M29" s="32">
        <v>151.19999999999999</v>
      </c>
      <c r="N29" s="32" t="s">
        <v>175</v>
      </c>
      <c r="O29" s="32" t="s">
        <v>654</v>
      </c>
      <c r="P29" s="32" t="s">
        <v>654</v>
      </c>
      <c r="Q29" s="32" t="s">
        <v>700</v>
      </c>
      <c r="R29" s="31">
        <v>46207</v>
      </c>
      <c r="S29" s="32" t="s">
        <v>987</v>
      </c>
      <c r="T29" s="32" t="s">
        <v>988</v>
      </c>
      <c r="U29" s="32" t="s">
        <v>699</v>
      </c>
      <c r="V29" s="32">
        <v>149.49</v>
      </c>
      <c r="W29" s="32">
        <v>149.49000170855501</v>
      </c>
      <c r="X29" s="32" t="s">
        <v>700</v>
      </c>
      <c r="Y29" s="31">
        <v>46207</v>
      </c>
      <c r="Z29" s="32" t="s">
        <v>193</v>
      </c>
      <c r="AA29" s="32" t="s">
        <v>193</v>
      </c>
      <c r="AB29" s="32"/>
      <c r="AC29" s="32" t="s">
        <v>193</v>
      </c>
      <c r="AD29" s="32" t="s">
        <v>193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2" t="s">
        <v>965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/>
      <c r="AQ29" s="32">
        <v>0</v>
      </c>
      <c r="AR29" s="32">
        <v>0</v>
      </c>
      <c r="AS29" s="32">
        <v>349979.9</v>
      </c>
      <c r="AT29" s="32" t="s">
        <v>169</v>
      </c>
      <c r="AU29" s="32" t="s">
        <v>182</v>
      </c>
      <c r="AV29" s="32" t="s">
        <v>154</v>
      </c>
      <c r="AW29" s="32" t="s">
        <v>171</v>
      </c>
      <c r="AX29" s="32" t="s">
        <v>966</v>
      </c>
      <c r="AY29" s="32">
        <v>0</v>
      </c>
      <c r="AZ29" s="32">
        <v>22602.89</v>
      </c>
      <c r="BA29" s="32">
        <v>286</v>
      </c>
      <c r="BB29" s="31">
        <v>46207</v>
      </c>
      <c r="BC29" s="32" t="s">
        <v>177</v>
      </c>
      <c r="BD29" s="32" t="s">
        <v>967</v>
      </c>
      <c r="BE29" s="32" t="s">
        <v>967</v>
      </c>
      <c r="BF29" s="32">
        <v>9</v>
      </c>
      <c r="BG29" s="32">
        <v>2034.26</v>
      </c>
      <c r="BH29" s="32">
        <v>9</v>
      </c>
      <c r="BI29" s="32">
        <v>2034.26</v>
      </c>
      <c r="BJ29" s="32">
        <v>0</v>
      </c>
      <c r="BK29" s="32">
        <v>0</v>
      </c>
      <c r="BL29" s="32">
        <v>0</v>
      </c>
      <c r="BM29" s="32">
        <v>652139916136</v>
      </c>
      <c r="BN29" s="31">
        <v>46207</v>
      </c>
      <c r="BO29" s="32">
        <v>151.19999999999999</v>
      </c>
    </row>
    <row r="30" spans="1:67" x14ac:dyDescent="0.25">
      <c r="A30" s="21"/>
      <c r="B30" s="32" t="s">
        <v>167</v>
      </c>
      <c r="C30" s="31">
        <v>46207</v>
      </c>
      <c r="D30" s="32" t="s">
        <v>1013</v>
      </c>
      <c r="E30" s="32" t="s">
        <v>1006</v>
      </c>
      <c r="F30" s="32" t="s">
        <v>681</v>
      </c>
      <c r="G30" s="32" t="s">
        <v>1014</v>
      </c>
      <c r="H30" s="32">
        <v>25</v>
      </c>
      <c r="I30" s="32">
        <v>25</v>
      </c>
      <c r="J30" s="32" t="s">
        <v>168</v>
      </c>
      <c r="K30" s="32">
        <v>25</v>
      </c>
      <c r="L30" s="32">
        <v>0</v>
      </c>
      <c r="M30" s="32">
        <v>25</v>
      </c>
      <c r="N30" s="32" t="s">
        <v>175</v>
      </c>
      <c r="O30" s="32" t="s">
        <v>654</v>
      </c>
      <c r="P30" s="32" t="s">
        <v>654</v>
      </c>
      <c r="Q30" s="32" t="s">
        <v>700</v>
      </c>
      <c r="R30" s="31">
        <v>46207</v>
      </c>
      <c r="S30" s="32" t="s">
        <v>987</v>
      </c>
      <c r="T30" s="32" t="s">
        <v>988</v>
      </c>
      <c r="U30" s="32" t="s">
        <v>699</v>
      </c>
      <c r="V30" s="32">
        <v>160.99</v>
      </c>
      <c r="W30" s="32">
        <v>160.99000183999101</v>
      </c>
      <c r="X30" s="32" t="s">
        <v>700</v>
      </c>
      <c r="Y30" s="31">
        <v>46207</v>
      </c>
      <c r="Z30" s="32" t="s">
        <v>193</v>
      </c>
      <c r="AA30" s="32" t="s">
        <v>193</v>
      </c>
      <c r="AB30" s="32"/>
      <c r="AC30" s="32" t="s">
        <v>193</v>
      </c>
      <c r="AD30" s="32" t="s">
        <v>193</v>
      </c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 t="s">
        <v>965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/>
      <c r="AQ30" s="32">
        <v>0</v>
      </c>
      <c r="AR30" s="32">
        <v>0</v>
      </c>
      <c r="AS30" s="32">
        <v>349979.9</v>
      </c>
      <c r="AT30" s="32" t="s">
        <v>169</v>
      </c>
      <c r="AU30" s="32" t="s">
        <v>170</v>
      </c>
      <c r="AV30" s="32" t="s">
        <v>157</v>
      </c>
      <c r="AW30" s="32" t="s">
        <v>171</v>
      </c>
      <c r="AX30" s="32" t="s">
        <v>966</v>
      </c>
      <c r="AY30" s="32">
        <v>0</v>
      </c>
      <c r="AZ30" s="32">
        <v>4024.75</v>
      </c>
      <c r="BA30" s="32">
        <v>286</v>
      </c>
      <c r="BB30" s="31">
        <v>46207</v>
      </c>
      <c r="BC30" s="32" t="s">
        <v>177</v>
      </c>
      <c r="BD30" s="32" t="s">
        <v>967</v>
      </c>
      <c r="BE30" s="32" t="s">
        <v>967</v>
      </c>
      <c r="BF30" s="32">
        <v>2.5</v>
      </c>
      <c r="BG30" s="32">
        <v>100.62</v>
      </c>
      <c r="BH30" s="32">
        <v>2.5</v>
      </c>
      <c r="BI30" s="32">
        <v>100.62</v>
      </c>
      <c r="BJ30" s="32">
        <v>0</v>
      </c>
      <c r="BK30" s="32">
        <v>0</v>
      </c>
      <c r="BL30" s="32">
        <v>0</v>
      </c>
      <c r="BM30" s="32">
        <v>652139916136</v>
      </c>
      <c r="BN30" s="31">
        <v>46207</v>
      </c>
      <c r="BO30" s="32">
        <v>25</v>
      </c>
    </row>
    <row r="31" spans="1:67" x14ac:dyDescent="0.25">
      <c r="A31" s="21"/>
      <c r="B31" s="32" t="s">
        <v>167</v>
      </c>
      <c r="C31" s="31">
        <v>46207</v>
      </c>
      <c r="D31" s="32" t="s">
        <v>1013</v>
      </c>
      <c r="E31" s="32" t="s">
        <v>186</v>
      </c>
      <c r="F31" s="32" t="s">
        <v>187</v>
      </c>
      <c r="G31" s="32" t="s">
        <v>1014</v>
      </c>
      <c r="H31" s="32">
        <v>653</v>
      </c>
      <c r="I31" s="32">
        <v>653</v>
      </c>
      <c r="J31" s="32" t="s">
        <v>168</v>
      </c>
      <c r="K31" s="32">
        <v>653</v>
      </c>
      <c r="L31" s="32">
        <v>0</v>
      </c>
      <c r="M31" s="32">
        <v>653</v>
      </c>
      <c r="N31" s="32" t="s">
        <v>175</v>
      </c>
      <c r="O31" s="32" t="s">
        <v>654</v>
      </c>
      <c r="P31" s="32" t="s">
        <v>654</v>
      </c>
      <c r="Q31" s="32" t="s">
        <v>700</v>
      </c>
      <c r="R31" s="31">
        <v>46207</v>
      </c>
      <c r="S31" s="32" t="s">
        <v>987</v>
      </c>
      <c r="T31" s="32" t="s">
        <v>988</v>
      </c>
      <c r="U31" s="32" t="s">
        <v>699</v>
      </c>
      <c r="V31" s="32">
        <v>149.49</v>
      </c>
      <c r="W31" s="32">
        <v>149.49000170855501</v>
      </c>
      <c r="X31" s="32" t="s">
        <v>700</v>
      </c>
      <c r="Y31" s="31">
        <v>46207</v>
      </c>
      <c r="Z31" s="32" t="s">
        <v>193</v>
      </c>
      <c r="AA31" s="32" t="s">
        <v>193</v>
      </c>
      <c r="AB31" s="32"/>
      <c r="AC31" s="32" t="s">
        <v>193</v>
      </c>
      <c r="AD31" s="32" t="s">
        <v>193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2" t="s">
        <v>965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/>
      <c r="AQ31" s="32">
        <v>0</v>
      </c>
      <c r="AR31" s="32">
        <v>0</v>
      </c>
      <c r="AS31" s="32">
        <v>349979.9</v>
      </c>
      <c r="AT31" s="32" t="s">
        <v>169</v>
      </c>
      <c r="AU31" s="32" t="s">
        <v>180</v>
      </c>
      <c r="AV31" s="32" t="s">
        <v>155</v>
      </c>
      <c r="AW31" s="32" t="s">
        <v>171</v>
      </c>
      <c r="AX31" s="32" t="s">
        <v>966</v>
      </c>
      <c r="AY31" s="32">
        <v>0</v>
      </c>
      <c r="AZ31" s="32">
        <v>97616.97</v>
      </c>
      <c r="BA31" s="32">
        <v>286</v>
      </c>
      <c r="BB31" s="31">
        <v>46207</v>
      </c>
      <c r="BC31" s="32" t="s">
        <v>177</v>
      </c>
      <c r="BD31" s="32" t="s">
        <v>967</v>
      </c>
      <c r="BE31" s="32" t="s">
        <v>967</v>
      </c>
      <c r="BF31" s="32">
        <v>9</v>
      </c>
      <c r="BG31" s="32">
        <v>8785.5300000000007</v>
      </c>
      <c r="BH31" s="32">
        <v>9</v>
      </c>
      <c r="BI31" s="32">
        <v>8785.5300000000007</v>
      </c>
      <c r="BJ31" s="32">
        <v>0</v>
      </c>
      <c r="BK31" s="32">
        <v>0</v>
      </c>
      <c r="BL31" s="32">
        <v>0</v>
      </c>
      <c r="BM31" s="32">
        <v>652139916136</v>
      </c>
      <c r="BN31" s="31">
        <v>46207</v>
      </c>
      <c r="BO31" s="32">
        <v>653</v>
      </c>
    </row>
    <row r="32" spans="1:67" x14ac:dyDescent="0.25">
      <c r="A32" s="21"/>
      <c r="B32" s="32" t="s">
        <v>167</v>
      </c>
      <c r="C32" s="31">
        <v>46207</v>
      </c>
      <c r="D32" s="32" t="s">
        <v>1013</v>
      </c>
      <c r="E32" s="32" t="s">
        <v>173</v>
      </c>
      <c r="F32" s="32" t="s">
        <v>174</v>
      </c>
      <c r="G32" s="32" t="s">
        <v>1014</v>
      </c>
      <c r="H32" s="32">
        <v>334</v>
      </c>
      <c r="I32" s="32">
        <v>334</v>
      </c>
      <c r="J32" s="32" t="s">
        <v>168</v>
      </c>
      <c r="K32" s="32">
        <v>334</v>
      </c>
      <c r="L32" s="32">
        <v>0</v>
      </c>
      <c r="M32" s="32">
        <v>334</v>
      </c>
      <c r="N32" s="32" t="s">
        <v>175</v>
      </c>
      <c r="O32" s="32" t="s">
        <v>654</v>
      </c>
      <c r="P32" s="32" t="s">
        <v>654</v>
      </c>
      <c r="Q32" s="32" t="s">
        <v>700</v>
      </c>
      <c r="R32" s="31">
        <v>46207</v>
      </c>
      <c r="S32" s="32" t="s">
        <v>987</v>
      </c>
      <c r="T32" s="32" t="s">
        <v>988</v>
      </c>
      <c r="U32" s="32" t="s">
        <v>699</v>
      </c>
      <c r="V32" s="32">
        <v>182.78</v>
      </c>
      <c r="W32" s="32">
        <v>182.78000208903401</v>
      </c>
      <c r="X32" s="32" t="s">
        <v>700</v>
      </c>
      <c r="Y32" s="31">
        <v>46207</v>
      </c>
      <c r="Z32" s="32" t="s">
        <v>193</v>
      </c>
      <c r="AA32" s="32" t="s">
        <v>193</v>
      </c>
      <c r="AB32" s="32"/>
      <c r="AC32" s="32" t="s">
        <v>193</v>
      </c>
      <c r="AD32" s="32" t="s">
        <v>193</v>
      </c>
      <c r="AE32" s="32">
        <v>0</v>
      </c>
      <c r="AF32" s="32">
        <v>0</v>
      </c>
      <c r="AG32" s="32">
        <v>0</v>
      </c>
      <c r="AH32" s="32">
        <v>0</v>
      </c>
      <c r="AI32" s="32">
        <v>0</v>
      </c>
      <c r="AJ32" s="32" t="s">
        <v>965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/>
      <c r="AQ32" s="32">
        <v>0</v>
      </c>
      <c r="AR32" s="32">
        <v>0</v>
      </c>
      <c r="AS32" s="32">
        <v>349979.9</v>
      </c>
      <c r="AT32" s="32" t="s">
        <v>169</v>
      </c>
      <c r="AU32" s="32" t="s">
        <v>176</v>
      </c>
      <c r="AV32" s="32" t="s">
        <v>159</v>
      </c>
      <c r="AW32" s="32" t="s">
        <v>171</v>
      </c>
      <c r="AX32" s="32" t="s">
        <v>966</v>
      </c>
      <c r="AY32" s="32">
        <v>0</v>
      </c>
      <c r="AZ32" s="32">
        <v>61048.52</v>
      </c>
      <c r="BA32" s="32">
        <v>286</v>
      </c>
      <c r="BB32" s="31">
        <v>46207</v>
      </c>
      <c r="BC32" s="32" t="s">
        <v>177</v>
      </c>
      <c r="BD32" s="32" t="s">
        <v>967</v>
      </c>
      <c r="BE32" s="32" t="s">
        <v>967</v>
      </c>
      <c r="BF32" s="32">
        <v>9</v>
      </c>
      <c r="BG32" s="32">
        <v>5494.37</v>
      </c>
      <c r="BH32" s="32">
        <v>9</v>
      </c>
      <c r="BI32" s="32">
        <v>5494.37</v>
      </c>
      <c r="BJ32" s="32">
        <v>0</v>
      </c>
      <c r="BK32" s="32">
        <v>0</v>
      </c>
      <c r="BL32" s="32">
        <v>0</v>
      </c>
      <c r="BM32" s="32">
        <v>652139916136</v>
      </c>
      <c r="BN32" s="31">
        <v>46207</v>
      </c>
      <c r="BO32" s="32">
        <v>334</v>
      </c>
    </row>
    <row r="33" spans="1:67" x14ac:dyDescent="0.25">
      <c r="A33" s="21"/>
      <c r="B33" s="32" t="s">
        <v>167</v>
      </c>
      <c r="C33" s="31">
        <v>46207</v>
      </c>
      <c r="D33" s="32" t="s">
        <v>1015</v>
      </c>
      <c r="E33" s="32" t="s">
        <v>1016</v>
      </c>
      <c r="F33" s="32" t="s">
        <v>706</v>
      </c>
      <c r="G33" s="32" t="s">
        <v>1017</v>
      </c>
      <c r="H33" s="32">
        <v>1125</v>
      </c>
      <c r="I33" s="32">
        <v>1125</v>
      </c>
      <c r="J33" s="32" t="s">
        <v>168</v>
      </c>
      <c r="K33" s="32">
        <v>1125</v>
      </c>
      <c r="L33" s="32">
        <v>0</v>
      </c>
      <c r="M33" s="32">
        <v>1125</v>
      </c>
      <c r="N33" s="32" t="s">
        <v>175</v>
      </c>
      <c r="O33" s="32" t="s">
        <v>654</v>
      </c>
      <c r="P33" s="32" t="s">
        <v>654</v>
      </c>
      <c r="Q33" s="32" t="s">
        <v>702</v>
      </c>
      <c r="R33" s="31">
        <v>46207</v>
      </c>
      <c r="S33" s="32" t="s">
        <v>987</v>
      </c>
      <c r="T33" s="32" t="s">
        <v>988</v>
      </c>
      <c r="U33" s="32" t="s">
        <v>701</v>
      </c>
      <c r="V33" s="32">
        <v>136.85</v>
      </c>
      <c r="W33" s="32">
        <v>136.85</v>
      </c>
      <c r="X33" s="32" t="s">
        <v>702</v>
      </c>
      <c r="Y33" s="31">
        <v>46207</v>
      </c>
      <c r="Z33" s="32" t="s">
        <v>193</v>
      </c>
      <c r="AA33" s="32" t="s">
        <v>193</v>
      </c>
      <c r="AB33" s="32"/>
      <c r="AC33" s="32" t="s">
        <v>193</v>
      </c>
      <c r="AD33" s="32" t="s">
        <v>193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2" t="s">
        <v>965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/>
      <c r="AQ33" s="32">
        <v>0</v>
      </c>
      <c r="AR33" s="32">
        <v>0</v>
      </c>
      <c r="AS33" s="32">
        <v>911793.37</v>
      </c>
      <c r="AT33" s="32" t="s">
        <v>171</v>
      </c>
      <c r="AU33" s="32" t="s">
        <v>185</v>
      </c>
      <c r="AV33" s="32" t="s">
        <v>704</v>
      </c>
      <c r="AW33" s="32" t="s">
        <v>171</v>
      </c>
      <c r="AX33" s="32" t="s">
        <v>1018</v>
      </c>
      <c r="AY33" s="32">
        <v>0</v>
      </c>
      <c r="AZ33" s="32">
        <v>153956.25</v>
      </c>
      <c r="BA33" s="32">
        <v>285</v>
      </c>
      <c r="BB33" s="31">
        <v>46207</v>
      </c>
      <c r="BC33" s="32" t="s">
        <v>177</v>
      </c>
      <c r="BD33" s="32" t="s">
        <v>967</v>
      </c>
      <c r="BE33" s="32" t="s">
        <v>967</v>
      </c>
      <c r="BF33" s="32">
        <v>9</v>
      </c>
      <c r="BG33" s="32">
        <v>13856.06</v>
      </c>
      <c r="BH33" s="32">
        <v>9</v>
      </c>
      <c r="BI33" s="32">
        <v>13856.06</v>
      </c>
      <c r="BJ33" s="32">
        <v>0</v>
      </c>
      <c r="BK33" s="32">
        <v>0</v>
      </c>
      <c r="BL33" s="32">
        <v>911793.37</v>
      </c>
      <c r="BM33" s="32">
        <v>662139856976</v>
      </c>
      <c r="BN33" s="31">
        <v>46207</v>
      </c>
      <c r="BO33" s="32">
        <v>1125</v>
      </c>
    </row>
    <row r="34" spans="1:67" x14ac:dyDescent="0.25">
      <c r="A34" s="21"/>
      <c r="B34" s="32" t="s">
        <v>167</v>
      </c>
      <c r="C34" s="31">
        <v>46207</v>
      </c>
      <c r="D34" s="32" t="s">
        <v>1015</v>
      </c>
      <c r="E34" s="32" t="s">
        <v>1019</v>
      </c>
      <c r="F34" s="32" t="s">
        <v>703</v>
      </c>
      <c r="G34" s="32" t="s">
        <v>1017</v>
      </c>
      <c r="H34" s="32">
        <v>4125</v>
      </c>
      <c r="I34" s="32">
        <v>4125</v>
      </c>
      <c r="J34" s="32" t="s">
        <v>168</v>
      </c>
      <c r="K34" s="32">
        <v>4125</v>
      </c>
      <c r="L34" s="32">
        <v>0</v>
      </c>
      <c r="M34" s="32">
        <v>4125</v>
      </c>
      <c r="N34" s="32" t="s">
        <v>175</v>
      </c>
      <c r="O34" s="32" t="s">
        <v>654</v>
      </c>
      <c r="P34" s="32" t="s">
        <v>654</v>
      </c>
      <c r="Q34" s="32" t="s">
        <v>702</v>
      </c>
      <c r="R34" s="31">
        <v>46207</v>
      </c>
      <c r="S34" s="32" t="s">
        <v>987</v>
      </c>
      <c r="T34" s="32" t="s">
        <v>988</v>
      </c>
      <c r="U34" s="32" t="s">
        <v>701</v>
      </c>
      <c r="V34" s="32">
        <v>150</v>
      </c>
      <c r="W34" s="32">
        <v>150</v>
      </c>
      <c r="X34" s="32" t="s">
        <v>702</v>
      </c>
      <c r="Y34" s="31">
        <v>46207</v>
      </c>
      <c r="Z34" s="32" t="s">
        <v>193</v>
      </c>
      <c r="AA34" s="32" t="s">
        <v>193</v>
      </c>
      <c r="AB34" s="32"/>
      <c r="AC34" s="32" t="s">
        <v>193</v>
      </c>
      <c r="AD34" s="32" t="s">
        <v>193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 t="s">
        <v>965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/>
      <c r="AQ34" s="32">
        <v>0</v>
      </c>
      <c r="AR34" s="32">
        <v>0</v>
      </c>
      <c r="AS34" s="32">
        <v>911793.37</v>
      </c>
      <c r="AT34" s="32" t="s">
        <v>171</v>
      </c>
      <c r="AU34" s="32" t="s">
        <v>185</v>
      </c>
      <c r="AV34" s="32" t="s">
        <v>166</v>
      </c>
      <c r="AW34" s="32" t="s">
        <v>171</v>
      </c>
      <c r="AX34" s="32" t="s">
        <v>966</v>
      </c>
      <c r="AY34" s="32">
        <v>0</v>
      </c>
      <c r="AZ34" s="32">
        <v>618750</v>
      </c>
      <c r="BA34" s="32">
        <v>285</v>
      </c>
      <c r="BB34" s="31">
        <v>46207</v>
      </c>
      <c r="BC34" s="32" t="s">
        <v>177</v>
      </c>
      <c r="BD34" s="32" t="s">
        <v>967</v>
      </c>
      <c r="BE34" s="32" t="s">
        <v>967</v>
      </c>
      <c r="BF34" s="32">
        <v>9</v>
      </c>
      <c r="BG34" s="32">
        <v>55687.5</v>
      </c>
      <c r="BH34" s="32">
        <v>9</v>
      </c>
      <c r="BI34" s="32">
        <v>55687.5</v>
      </c>
      <c r="BJ34" s="32">
        <v>0</v>
      </c>
      <c r="BK34" s="32">
        <v>0</v>
      </c>
      <c r="BL34" s="32">
        <v>0</v>
      </c>
      <c r="BM34" s="32">
        <v>662139856976</v>
      </c>
      <c r="BN34" s="31">
        <v>46207</v>
      </c>
      <c r="BO34" s="32">
        <v>4125</v>
      </c>
    </row>
    <row r="35" spans="1:67" x14ac:dyDescent="0.25">
      <c r="A35" s="21"/>
      <c r="B35" s="32" t="s">
        <v>167</v>
      </c>
      <c r="C35" s="31">
        <v>46208</v>
      </c>
      <c r="D35" s="32" t="s">
        <v>1020</v>
      </c>
      <c r="E35" s="32" t="s">
        <v>186</v>
      </c>
      <c r="F35" s="32" t="s">
        <v>187</v>
      </c>
      <c r="G35" s="32" t="s">
        <v>1021</v>
      </c>
      <c r="H35" s="32">
        <v>419</v>
      </c>
      <c r="I35" s="32">
        <v>419</v>
      </c>
      <c r="J35" s="32" t="s">
        <v>168</v>
      </c>
      <c r="K35" s="32">
        <v>419</v>
      </c>
      <c r="L35" s="32">
        <v>0</v>
      </c>
      <c r="M35" s="32">
        <v>419</v>
      </c>
      <c r="N35" s="32" t="s">
        <v>175</v>
      </c>
      <c r="O35" s="32" t="s">
        <v>654</v>
      </c>
      <c r="P35" s="32" t="s">
        <v>654</v>
      </c>
      <c r="Q35" s="32" t="s">
        <v>711</v>
      </c>
      <c r="R35" s="31">
        <v>46208</v>
      </c>
      <c r="S35" s="32" t="s">
        <v>987</v>
      </c>
      <c r="T35" s="32" t="s">
        <v>988</v>
      </c>
      <c r="U35" s="32" t="s">
        <v>710</v>
      </c>
      <c r="V35" s="32">
        <v>144.49</v>
      </c>
      <c r="W35" s="32">
        <v>144.49000060053399</v>
      </c>
      <c r="X35" s="32" t="s">
        <v>711</v>
      </c>
      <c r="Y35" s="31">
        <v>46208</v>
      </c>
      <c r="Z35" s="32" t="s">
        <v>193</v>
      </c>
      <c r="AA35" s="32" t="s">
        <v>193</v>
      </c>
      <c r="AB35" s="32"/>
      <c r="AC35" s="32" t="s">
        <v>193</v>
      </c>
      <c r="AD35" s="32" t="s">
        <v>193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2" t="s">
        <v>965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/>
      <c r="AQ35" s="32">
        <v>0</v>
      </c>
      <c r="AR35" s="32">
        <v>0</v>
      </c>
      <c r="AS35" s="32">
        <v>240602.6</v>
      </c>
      <c r="AT35" s="32" t="s">
        <v>169</v>
      </c>
      <c r="AU35" s="32" t="s">
        <v>180</v>
      </c>
      <c r="AV35" s="32" t="s">
        <v>155</v>
      </c>
      <c r="AW35" s="32" t="s">
        <v>171</v>
      </c>
      <c r="AX35" s="32" t="s">
        <v>966</v>
      </c>
      <c r="AY35" s="32">
        <v>0</v>
      </c>
      <c r="AZ35" s="32">
        <v>60541.31</v>
      </c>
      <c r="BA35" s="32">
        <v>289</v>
      </c>
      <c r="BB35" s="31">
        <v>46208</v>
      </c>
      <c r="BC35" s="32" t="s">
        <v>177</v>
      </c>
      <c r="BD35" s="32" t="s">
        <v>967</v>
      </c>
      <c r="BE35" s="32" t="s">
        <v>967</v>
      </c>
      <c r="BF35" s="32">
        <v>9</v>
      </c>
      <c r="BG35" s="32">
        <v>5448.72</v>
      </c>
      <c r="BH35" s="32">
        <v>9</v>
      </c>
      <c r="BI35" s="32">
        <v>5448.72</v>
      </c>
      <c r="BJ35" s="32">
        <v>0</v>
      </c>
      <c r="BK35" s="32">
        <v>0</v>
      </c>
      <c r="BL35" s="32">
        <v>240602.6</v>
      </c>
      <c r="BM35" s="32">
        <v>632140184870</v>
      </c>
      <c r="BN35" s="31">
        <v>46208</v>
      </c>
      <c r="BO35" s="32">
        <v>419</v>
      </c>
    </row>
    <row r="36" spans="1:67" x14ac:dyDescent="0.25">
      <c r="A36" s="21"/>
      <c r="B36" s="32" t="s">
        <v>167</v>
      </c>
      <c r="C36" s="31">
        <v>46208</v>
      </c>
      <c r="D36" s="32" t="s">
        <v>1020</v>
      </c>
      <c r="E36" s="32" t="s">
        <v>186</v>
      </c>
      <c r="F36" s="32" t="s">
        <v>187</v>
      </c>
      <c r="G36" s="32" t="s">
        <v>1021</v>
      </c>
      <c r="H36" s="32">
        <v>667</v>
      </c>
      <c r="I36" s="32">
        <v>667</v>
      </c>
      <c r="J36" s="32" t="s">
        <v>168</v>
      </c>
      <c r="K36" s="32">
        <v>667</v>
      </c>
      <c r="L36" s="32">
        <v>0</v>
      </c>
      <c r="M36" s="32">
        <v>667</v>
      </c>
      <c r="N36" s="32" t="s">
        <v>175</v>
      </c>
      <c r="O36" s="32" t="s">
        <v>654</v>
      </c>
      <c r="P36" s="32" t="s">
        <v>654</v>
      </c>
      <c r="Q36" s="32" t="s">
        <v>711</v>
      </c>
      <c r="R36" s="31">
        <v>46208</v>
      </c>
      <c r="S36" s="32" t="s">
        <v>987</v>
      </c>
      <c r="T36" s="32" t="s">
        <v>988</v>
      </c>
      <c r="U36" s="32" t="s">
        <v>710</v>
      </c>
      <c r="V36" s="32">
        <v>149.49</v>
      </c>
      <c r="W36" s="32">
        <v>149.490000621315</v>
      </c>
      <c r="X36" s="32" t="s">
        <v>711</v>
      </c>
      <c r="Y36" s="31">
        <v>46208</v>
      </c>
      <c r="Z36" s="32" t="s">
        <v>193</v>
      </c>
      <c r="AA36" s="32" t="s">
        <v>193</v>
      </c>
      <c r="AB36" s="32"/>
      <c r="AC36" s="32" t="s">
        <v>193</v>
      </c>
      <c r="AD36" s="32" t="s">
        <v>193</v>
      </c>
      <c r="AE36" s="32">
        <v>0</v>
      </c>
      <c r="AF36" s="32">
        <v>0</v>
      </c>
      <c r="AG36" s="32">
        <v>0</v>
      </c>
      <c r="AH36" s="32">
        <v>0</v>
      </c>
      <c r="AI36" s="32">
        <v>0</v>
      </c>
      <c r="AJ36" s="32" t="s">
        <v>965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/>
      <c r="AQ36" s="32">
        <v>0</v>
      </c>
      <c r="AR36" s="32">
        <v>0</v>
      </c>
      <c r="AS36" s="32">
        <v>240602.6</v>
      </c>
      <c r="AT36" s="32" t="s">
        <v>169</v>
      </c>
      <c r="AU36" s="32" t="s">
        <v>180</v>
      </c>
      <c r="AV36" s="32" t="s">
        <v>155</v>
      </c>
      <c r="AW36" s="32" t="s">
        <v>171</v>
      </c>
      <c r="AX36" s="32" t="s">
        <v>966</v>
      </c>
      <c r="AY36" s="32">
        <v>0</v>
      </c>
      <c r="AZ36" s="32">
        <v>99709.83</v>
      </c>
      <c r="BA36" s="32">
        <v>289</v>
      </c>
      <c r="BB36" s="31">
        <v>46208</v>
      </c>
      <c r="BC36" s="32" t="s">
        <v>177</v>
      </c>
      <c r="BD36" s="32" t="s">
        <v>967</v>
      </c>
      <c r="BE36" s="32" t="s">
        <v>967</v>
      </c>
      <c r="BF36" s="32">
        <v>9</v>
      </c>
      <c r="BG36" s="32">
        <v>8973.8799999999992</v>
      </c>
      <c r="BH36" s="32">
        <v>9</v>
      </c>
      <c r="BI36" s="32">
        <v>8973.8799999999992</v>
      </c>
      <c r="BJ36" s="32">
        <v>0</v>
      </c>
      <c r="BK36" s="32">
        <v>0</v>
      </c>
      <c r="BL36" s="32">
        <v>0</v>
      </c>
      <c r="BM36" s="32">
        <v>632140184870</v>
      </c>
      <c r="BN36" s="31">
        <v>46208</v>
      </c>
      <c r="BO36" s="32">
        <v>667</v>
      </c>
    </row>
    <row r="37" spans="1:67" x14ac:dyDescent="0.25">
      <c r="A37" s="21"/>
      <c r="B37" s="32" t="s">
        <v>167</v>
      </c>
      <c r="C37" s="31">
        <v>46208</v>
      </c>
      <c r="D37" s="32" t="s">
        <v>1020</v>
      </c>
      <c r="E37" s="32" t="s">
        <v>1006</v>
      </c>
      <c r="F37" s="32" t="s">
        <v>681</v>
      </c>
      <c r="G37" s="32" t="s">
        <v>1021</v>
      </c>
      <c r="H37" s="32">
        <v>28.4</v>
      </c>
      <c r="I37" s="32">
        <v>28.4</v>
      </c>
      <c r="J37" s="32" t="s">
        <v>168</v>
      </c>
      <c r="K37" s="32">
        <v>28.4</v>
      </c>
      <c r="L37" s="32">
        <v>0</v>
      </c>
      <c r="M37" s="32">
        <v>28.4</v>
      </c>
      <c r="N37" s="32" t="s">
        <v>175</v>
      </c>
      <c r="O37" s="32" t="s">
        <v>654</v>
      </c>
      <c r="P37" s="32" t="s">
        <v>654</v>
      </c>
      <c r="Q37" s="32" t="s">
        <v>711</v>
      </c>
      <c r="R37" s="31">
        <v>46208</v>
      </c>
      <c r="S37" s="32" t="s">
        <v>987</v>
      </c>
      <c r="T37" s="32" t="s">
        <v>988</v>
      </c>
      <c r="U37" s="32" t="s">
        <v>710</v>
      </c>
      <c r="V37" s="32">
        <v>160.99</v>
      </c>
      <c r="W37" s="32">
        <v>160.99000066911199</v>
      </c>
      <c r="X37" s="32" t="s">
        <v>711</v>
      </c>
      <c r="Y37" s="31">
        <v>46208</v>
      </c>
      <c r="Z37" s="32" t="s">
        <v>193</v>
      </c>
      <c r="AA37" s="32" t="s">
        <v>193</v>
      </c>
      <c r="AB37" s="32"/>
      <c r="AC37" s="32" t="s">
        <v>193</v>
      </c>
      <c r="AD37" s="32" t="s">
        <v>193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 t="s">
        <v>965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>
        <v>0</v>
      </c>
      <c r="AR37" s="32">
        <v>0</v>
      </c>
      <c r="AS37" s="32">
        <v>240602.6</v>
      </c>
      <c r="AT37" s="32" t="s">
        <v>169</v>
      </c>
      <c r="AU37" s="32" t="s">
        <v>170</v>
      </c>
      <c r="AV37" s="32" t="s">
        <v>157</v>
      </c>
      <c r="AW37" s="32" t="s">
        <v>171</v>
      </c>
      <c r="AX37" s="32" t="s">
        <v>966</v>
      </c>
      <c r="AY37" s="32">
        <v>0</v>
      </c>
      <c r="AZ37" s="32">
        <v>4572.12</v>
      </c>
      <c r="BA37" s="32">
        <v>289</v>
      </c>
      <c r="BB37" s="31">
        <v>46208</v>
      </c>
      <c r="BC37" s="32" t="s">
        <v>177</v>
      </c>
      <c r="BD37" s="32" t="s">
        <v>967</v>
      </c>
      <c r="BE37" s="32" t="s">
        <v>967</v>
      </c>
      <c r="BF37" s="32">
        <v>2.5</v>
      </c>
      <c r="BG37" s="32">
        <v>114.3</v>
      </c>
      <c r="BH37" s="32">
        <v>2.5</v>
      </c>
      <c r="BI37" s="32">
        <v>114.3</v>
      </c>
      <c r="BJ37" s="32">
        <v>0</v>
      </c>
      <c r="BK37" s="32">
        <v>0</v>
      </c>
      <c r="BL37" s="32">
        <v>0</v>
      </c>
      <c r="BM37" s="32">
        <v>632140184870</v>
      </c>
      <c r="BN37" s="31">
        <v>46208</v>
      </c>
      <c r="BO37" s="32">
        <v>28.4</v>
      </c>
    </row>
    <row r="38" spans="1:67" x14ac:dyDescent="0.25">
      <c r="A38" s="21"/>
      <c r="B38" s="32" t="s">
        <v>167</v>
      </c>
      <c r="C38" s="31">
        <v>46208</v>
      </c>
      <c r="D38" s="32" t="s">
        <v>1020</v>
      </c>
      <c r="E38" s="32" t="s">
        <v>181</v>
      </c>
      <c r="F38" s="32" t="s">
        <v>182</v>
      </c>
      <c r="G38" s="32" t="s">
        <v>1021</v>
      </c>
      <c r="H38" s="32">
        <v>170.7</v>
      </c>
      <c r="I38" s="32">
        <v>170.7</v>
      </c>
      <c r="J38" s="32" t="s">
        <v>168</v>
      </c>
      <c r="K38" s="32">
        <v>170.7</v>
      </c>
      <c r="L38" s="32">
        <v>0</v>
      </c>
      <c r="M38" s="32">
        <v>170.7</v>
      </c>
      <c r="N38" s="32" t="s">
        <v>175</v>
      </c>
      <c r="O38" s="32" t="s">
        <v>654</v>
      </c>
      <c r="P38" s="32" t="s">
        <v>654</v>
      </c>
      <c r="Q38" s="32" t="s">
        <v>711</v>
      </c>
      <c r="R38" s="31">
        <v>46208</v>
      </c>
      <c r="S38" s="32" t="s">
        <v>987</v>
      </c>
      <c r="T38" s="32" t="s">
        <v>988</v>
      </c>
      <c r="U38" s="32" t="s">
        <v>710</v>
      </c>
      <c r="V38" s="32">
        <v>149.49</v>
      </c>
      <c r="W38" s="32">
        <v>149.490000621315</v>
      </c>
      <c r="X38" s="32" t="s">
        <v>711</v>
      </c>
      <c r="Y38" s="31">
        <v>46208</v>
      </c>
      <c r="Z38" s="32" t="s">
        <v>193</v>
      </c>
      <c r="AA38" s="32" t="s">
        <v>193</v>
      </c>
      <c r="AB38" s="32"/>
      <c r="AC38" s="32" t="s">
        <v>193</v>
      </c>
      <c r="AD38" s="32" t="s">
        <v>193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 t="s">
        <v>965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/>
      <c r="AQ38" s="32">
        <v>0</v>
      </c>
      <c r="AR38" s="32">
        <v>0</v>
      </c>
      <c r="AS38" s="32">
        <v>240602.6</v>
      </c>
      <c r="AT38" s="32" t="s">
        <v>169</v>
      </c>
      <c r="AU38" s="32" t="s">
        <v>182</v>
      </c>
      <c r="AV38" s="32" t="s">
        <v>154</v>
      </c>
      <c r="AW38" s="32" t="s">
        <v>171</v>
      </c>
      <c r="AX38" s="32" t="s">
        <v>966</v>
      </c>
      <c r="AY38" s="32">
        <v>0</v>
      </c>
      <c r="AZ38" s="32">
        <v>25517.94</v>
      </c>
      <c r="BA38" s="32">
        <v>289</v>
      </c>
      <c r="BB38" s="31">
        <v>46208</v>
      </c>
      <c r="BC38" s="32" t="s">
        <v>177</v>
      </c>
      <c r="BD38" s="32" t="s">
        <v>967</v>
      </c>
      <c r="BE38" s="32" t="s">
        <v>967</v>
      </c>
      <c r="BF38" s="32">
        <v>9</v>
      </c>
      <c r="BG38" s="32">
        <v>2296.61</v>
      </c>
      <c r="BH38" s="32">
        <v>9</v>
      </c>
      <c r="BI38" s="32">
        <v>2296.61</v>
      </c>
      <c r="BJ38" s="32">
        <v>0</v>
      </c>
      <c r="BK38" s="32">
        <v>0</v>
      </c>
      <c r="BL38" s="32">
        <v>0</v>
      </c>
      <c r="BM38" s="32">
        <v>632140184870</v>
      </c>
      <c r="BN38" s="31">
        <v>46208</v>
      </c>
      <c r="BO38" s="32">
        <v>170.7</v>
      </c>
    </row>
    <row r="39" spans="1:67" x14ac:dyDescent="0.25">
      <c r="A39" s="21"/>
      <c r="B39" s="32" t="s">
        <v>167</v>
      </c>
      <c r="C39" s="31">
        <v>46208</v>
      </c>
      <c r="D39" s="32" t="s">
        <v>1020</v>
      </c>
      <c r="E39" s="32" t="s">
        <v>181</v>
      </c>
      <c r="F39" s="32" t="s">
        <v>182</v>
      </c>
      <c r="G39" s="32" t="s">
        <v>1021</v>
      </c>
      <c r="H39" s="32">
        <v>96</v>
      </c>
      <c r="I39" s="32">
        <v>96</v>
      </c>
      <c r="J39" s="32" t="s">
        <v>168</v>
      </c>
      <c r="K39" s="32">
        <v>96</v>
      </c>
      <c r="L39" s="32">
        <v>0</v>
      </c>
      <c r="M39" s="32">
        <v>96</v>
      </c>
      <c r="N39" s="32" t="s">
        <v>175</v>
      </c>
      <c r="O39" s="32" t="s">
        <v>654</v>
      </c>
      <c r="P39" s="32" t="s">
        <v>654</v>
      </c>
      <c r="Q39" s="32" t="s">
        <v>711</v>
      </c>
      <c r="R39" s="31">
        <v>46208</v>
      </c>
      <c r="S39" s="32" t="s">
        <v>987</v>
      </c>
      <c r="T39" s="32" t="s">
        <v>988</v>
      </c>
      <c r="U39" s="32" t="s">
        <v>710</v>
      </c>
      <c r="V39" s="32">
        <v>146.49</v>
      </c>
      <c r="W39" s="32">
        <v>146.490000608846</v>
      </c>
      <c r="X39" s="32" t="s">
        <v>711</v>
      </c>
      <c r="Y39" s="31">
        <v>46208</v>
      </c>
      <c r="Z39" s="32" t="s">
        <v>193</v>
      </c>
      <c r="AA39" s="32" t="s">
        <v>193</v>
      </c>
      <c r="AB39" s="32"/>
      <c r="AC39" s="32" t="s">
        <v>193</v>
      </c>
      <c r="AD39" s="32" t="s">
        <v>193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32" t="s">
        <v>965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/>
      <c r="AQ39" s="32">
        <v>0</v>
      </c>
      <c r="AR39" s="32">
        <v>0</v>
      </c>
      <c r="AS39" s="32">
        <v>240602.6</v>
      </c>
      <c r="AT39" s="32" t="s">
        <v>169</v>
      </c>
      <c r="AU39" s="32" t="s">
        <v>182</v>
      </c>
      <c r="AV39" s="32" t="s">
        <v>154</v>
      </c>
      <c r="AW39" s="32" t="s">
        <v>171</v>
      </c>
      <c r="AX39" s="32" t="s">
        <v>966</v>
      </c>
      <c r="AY39" s="32">
        <v>0</v>
      </c>
      <c r="AZ39" s="32">
        <v>14063.04</v>
      </c>
      <c r="BA39" s="32">
        <v>289</v>
      </c>
      <c r="BB39" s="31">
        <v>46208</v>
      </c>
      <c r="BC39" s="32" t="s">
        <v>177</v>
      </c>
      <c r="BD39" s="32" t="s">
        <v>967</v>
      </c>
      <c r="BE39" s="32" t="s">
        <v>967</v>
      </c>
      <c r="BF39" s="32">
        <v>9</v>
      </c>
      <c r="BG39" s="32">
        <v>1265.67</v>
      </c>
      <c r="BH39" s="32">
        <v>9</v>
      </c>
      <c r="BI39" s="32">
        <v>1265.67</v>
      </c>
      <c r="BJ39" s="32">
        <v>0</v>
      </c>
      <c r="BK39" s="32">
        <v>0</v>
      </c>
      <c r="BL39" s="32">
        <v>0</v>
      </c>
      <c r="BM39" s="32">
        <v>632140184870</v>
      </c>
      <c r="BN39" s="31">
        <v>46208</v>
      </c>
      <c r="BO39" s="32">
        <v>96</v>
      </c>
    </row>
    <row r="40" spans="1:67" x14ac:dyDescent="0.25">
      <c r="A40" s="21"/>
      <c r="B40" s="32" t="s">
        <v>167</v>
      </c>
      <c r="C40" s="31">
        <v>46208</v>
      </c>
      <c r="D40" s="32" t="s">
        <v>1022</v>
      </c>
      <c r="E40" s="32" t="s">
        <v>178</v>
      </c>
      <c r="F40" s="32" t="s">
        <v>179</v>
      </c>
      <c r="G40" s="32" t="s">
        <v>1021</v>
      </c>
      <c r="H40" s="32">
        <v>173</v>
      </c>
      <c r="I40" s="32">
        <v>173</v>
      </c>
      <c r="J40" s="32" t="s">
        <v>168</v>
      </c>
      <c r="K40" s="32">
        <v>173</v>
      </c>
      <c r="L40" s="32">
        <v>0</v>
      </c>
      <c r="M40" s="32">
        <v>173</v>
      </c>
      <c r="N40" s="32" t="s">
        <v>175</v>
      </c>
      <c r="O40" s="32" t="s">
        <v>654</v>
      </c>
      <c r="P40" s="32" t="s">
        <v>654</v>
      </c>
      <c r="Q40" s="32" t="s">
        <v>713</v>
      </c>
      <c r="R40" s="31">
        <v>46208</v>
      </c>
      <c r="S40" s="32" t="s">
        <v>987</v>
      </c>
      <c r="T40" s="32" t="s">
        <v>988</v>
      </c>
      <c r="U40" s="32" t="s">
        <v>712</v>
      </c>
      <c r="V40" s="32">
        <v>144.49</v>
      </c>
      <c r="W40" s="32">
        <v>144.49</v>
      </c>
      <c r="X40" s="32" t="s">
        <v>713</v>
      </c>
      <c r="Y40" s="31">
        <v>46208</v>
      </c>
      <c r="Z40" s="32" t="s">
        <v>1023</v>
      </c>
      <c r="AA40" s="32" t="s">
        <v>193</v>
      </c>
      <c r="AB40" s="32"/>
      <c r="AC40" s="32" t="s">
        <v>193</v>
      </c>
      <c r="AD40" s="32" t="s">
        <v>193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 t="s">
        <v>965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/>
      <c r="AQ40" s="32">
        <v>0</v>
      </c>
      <c r="AR40" s="32">
        <v>0</v>
      </c>
      <c r="AS40" s="32">
        <v>70927.259999999995</v>
      </c>
      <c r="AT40" s="32" t="s">
        <v>169</v>
      </c>
      <c r="AU40" s="32" t="s">
        <v>180</v>
      </c>
      <c r="AV40" s="32" t="s">
        <v>156</v>
      </c>
      <c r="AW40" s="32" t="s">
        <v>171</v>
      </c>
      <c r="AX40" s="32" t="s">
        <v>966</v>
      </c>
      <c r="AY40" s="32">
        <v>0</v>
      </c>
      <c r="AZ40" s="32">
        <v>24996.77</v>
      </c>
      <c r="BA40" s="32">
        <v>290</v>
      </c>
      <c r="BB40" s="31">
        <v>46208</v>
      </c>
      <c r="BC40" s="32" t="s">
        <v>177</v>
      </c>
      <c r="BD40" s="32" t="s">
        <v>967</v>
      </c>
      <c r="BE40" s="32" t="s">
        <v>967</v>
      </c>
      <c r="BF40" s="32">
        <v>9</v>
      </c>
      <c r="BG40" s="32">
        <v>2249.71</v>
      </c>
      <c r="BH40" s="32">
        <v>9</v>
      </c>
      <c r="BI40" s="32">
        <v>2249.71</v>
      </c>
      <c r="BJ40" s="32">
        <v>0</v>
      </c>
      <c r="BK40" s="32">
        <v>0</v>
      </c>
      <c r="BL40" s="32">
        <v>70927.259999999995</v>
      </c>
      <c r="BM40" s="32">
        <v>682140186264</v>
      </c>
      <c r="BN40" s="31">
        <v>46208</v>
      </c>
      <c r="BO40" s="32">
        <v>173</v>
      </c>
    </row>
    <row r="41" spans="1:67" x14ac:dyDescent="0.25">
      <c r="A41" s="21"/>
      <c r="B41" s="32" t="s">
        <v>167</v>
      </c>
      <c r="C41" s="31">
        <v>46208</v>
      </c>
      <c r="D41" s="32" t="s">
        <v>1022</v>
      </c>
      <c r="E41" s="32" t="s">
        <v>245</v>
      </c>
      <c r="F41" s="32" t="s">
        <v>153</v>
      </c>
      <c r="G41" s="32" t="s">
        <v>1021</v>
      </c>
      <c r="H41" s="32">
        <v>243</v>
      </c>
      <c r="I41" s="32">
        <v>243</v>
      </c>
      <c r="J41" s="32" t="s">
        <v>168</v>
      </c>
      <c r="K41" s="32">
        <v>243</v>
      </c>
      <c r="L41" s="32">
        <v>0</v>
      </c>
      <c r="M41" s="32">
        <v>243</v>
      </c>
      <c r="N41" s="32" t="s">
        <v>175</v>
      </c>
      <c r="O41" s="32" t="s">
        <v>654</v>
      </c>
      <c r="P41" s="32" t="s">
        <v>654</v>
      </c>
      <c r="Q41" s="32" t="s">
        <v>713</v>
      </c>
      <c r="R41" s="31">
        <v>46208</v>
      </c>
      <c r="S41" s="32" t="s">
        <v>987</v>
      </c>
      <c r="T41" s="32" t="s">
        <v>988</v>
      </c>
      <c r="U41" s="32" t="s">
        <v>712</v>
      </c>
      <c r="V41" s="32">
        <v>144.49</v>
      </c>
      <c r="W41" s="32">
        <v>144.49</v>
      </c>
      <c r="X41" s="32" t="s">
        <v>713</v>
      </c>
      <c r="Y41" s="31">
        <v>46208</v>
      </c>
      <c r="Z41" s="32" t="s">
        <v>193</v>
      </c>
      <c r="AA41" s="32" t="s">
        <v>193</v>
      </c>
      <c r="AB41" s="32"/>
      <c r="AC41" s="32" t="s">
        <v>193</v>
      </c>
      <c r="AD41" s="32" t="s">
        <v>193</v>
      </c>
      <c r="AE41" s="32">
        <v>0</v>
      </c>
      <c r="AF41" s="32">
        <v>0</v>
      </c>
      <c r="AG41" s="32">
        <v>0</v>
      </c>
      <c r="AH41" s="32">
        <v>0</v>
      </c>
      <c r="AI41" s="32">
        <v>0</v>
      </c>
      <c r="AJ41" s="32" t="s">
        <v>965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/>
      <c r="AQ41" s="32">
        <v>0</v>
      </c>
      <c r="AR41" s="32">
        <v>0</v>
      </c>
      <c r="AS41" s="32">
        <v>70927.259999999995</v>
      </c>
      <c r="AT41" s="32" t="s">
        <v>192</v>
      </c>
      <c r="AU41" s="32" t="s">
        <v>153</v>
      </c>
      <c r="AV41" s="32" t="s">
        <v>153</v>
      </c>
      <c r="AW41" s="32" t="s">
        <v>171</v>
      </c>
      <c r="AX41" s="32" t="s">
        <v>966</v>
      </c>
      <c r="AY41" s="32">
        <v>0</v>
      </c>
      <c r="AZ41" s="32">
        <v>35111.07</v>
      </c>
      <c r="BA41" s="32">
        <v>290</v>
      </c>
      <c r="BB41" s="31">
        <v>46208</v>
      </c>
      <c r="BC41" s="32" t="s">
        <v>177</v>
      </c>
      <c r="BD41" s="32" t="s">
        <v>967</v>
      </c>
      <c r="BE41" s="32" t="s">
        <v>967</v>
      </c>
      <c r="BF41" s="32">
        <v>9</v>
      </c>
      <c r="BG41" s="32">
        <v>3160</v>
      </c>
      <c r="BH41" s="32">
        <v>9</v>
      </c>
      <c r="BI41" s="32">
        <v>3160</v>
      </c>
      <c r="BJ41" s="32">
        <v>0</v>
      </c>
      <c r="BK41" s="32">
        <v>0</v>
      </c>
      <c r="BL41" s="32">
        <v>0</v>
      </c>
      <c r="BM41" s="32">
        <v>682140186264</v>
      </c>
      <c r="BN41" s="31">
        <v>46208</v>
      </c>
      <c r="BO41" s="32">
        <v>243</v>
      </c>
    </row>
    <row r="42" spans="1:67" x14ac:dyDescent="0.25">
      <c r="A42" s="21"/>
      <c r="B42" s="32" t="s">
        <v>167</v>
      </c>
      <c r="C42" s="31">
        <v>46208</v>
      </c>
      <c r="D42" s="32" t="s">
        <v>1024</v>
      </c>
      <c r="E42" s="32" t="s">
        <v>1025</v>
      </c>
      <c r="F42" s="32" t="s">
        <v>709</v>
      </c>
      <c r="G42" s="32" t="s">
        <v>1026</v>
      </c>
      <c r="H42" s="32">
        <v>3250</v>
      </c>
      <c r="I42" s="32">
        <v>3250</v>
      </c>
      <c r="J42" s="32" t="s">
        <v>168</v>
      </c>
      <c r="K42" s="32">
        <v>3250</v>
      </c>
      <c r="L42" s="32">
        <v>0</v>
      </c>
      <c r="M42" s="32">
        <v>3250</v>
      </c>
      <c r="N42" s="32" t="s">
        <v>1027</v>
      </c>
      <c r="O42" s="32" t="s">
        <v>676</v>
      </c>
      <c r="P42" s="32" t="s">
        <v>676</v>
      </c>
      <c r="Q42" s="32" t="s">
        <v>708</v>
      </c>
      <c r="R42" s="31">
        <v>46207</v>
      </c>
      <c r="S42" s="32" t="s">
        <v>987</v>
      </c>
      <c r="T42" s="32" t="s">
        <v>988</v>
      </c>
      <c r="U42" s="32" t="s">
        <v>707</v>
      </c>
      <c r="V42" s="32">
        <v>151.15</v>
      </c>
      <c r="W42" s="32">
        <v>151.15</v>
      </c>
      <c r="X42" s="32" t="s">
        <v>708</v>
      </c>
      <c r="Y42" s="31">
        <v>46207</v>
      </c>
      <c r="Z42" s="32" t="s">
        <v>193</v>
      </c>
      <c r="AA42" s="32" t="s">
        <v>193</v>
      </c>
      <c r="AB42" s="32"/>
      <c r="AC42" s="32" t="s">
        <v>193</v>
      </c>
      <c r="AD42" s="32" t="s">
        <v>193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 t="s">
        <v>965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/>
      <c r="AQ42" s="32">
        <v>0</v>
      </c>
      <c r="AR42" s="32">
        <v>0</v>
      </c>
      <c r="AS42" s="32">
        <v>515799.38</v>
      </c>
      <c r="AT42" s="32" t="s">
        <v>169</v>
      </c>
      <c r="AU42" s="32" t="s">
        <v>170</v>
      </c>
      <c r="AV42" s="32" t="s">
        <v>157</v>
      </c>
      <c r="AW42" s="32" t="s">
        <v>171</v>
      </c>
      <c r="AX42" s="32" t="s">
        <v>966</v>
      </c>
      <c r="AY42" s="32">
        <v>0</v>
      </c>
      <c r="AZ42" s="32">
        <v>491237.5</v>
      </c>
      <c r="BA42" s="32">
        <v>288</v>
      </c>
      <c r="BB42" s="31">
        <v>46208</v>
      </c>
      <c r="BC42" s="32" t="s">
        <v>172</v>
      </c>
      <c r="BD42" s="32" t="s">
        <v>967</v>
      </c>
      <c r="BE42" s="32" t="s">
        <v>967</v>
      </c>
      <c r="BF42" s="32">
        <v>2.5</v>
      </c>
      <c r="BG42" s="32">
        <v>12280.94</v>
      </c>
      <c r="BH42" s="32">
        <v>2.5</v>
      </c>
      <c r="BI42" s="32">
        <v>12280.94</v>
      </c>
      <c r="BJ42" s="32">
        <v>0</v>
      </c>
      <c r="BK42" s="32">
        <v>0</v>
      </c>
      <c r="BL42" s="32">
        <v>515799.38</v>
      </c>
      <c r="BM42" s="32">
        <v>692139985112</v>
      </c>
      <c r="BN42" s="31">
        <v>46208</v>
      </c>
      <c r="BO42" s="32">
        <v>3250</v>
      </c>
    </row>
    <row r="43" spans="1:67" x14ac:dyDescent="0.25">
      <c r="A43" s="21"/>
      <c r="B43" s="32" t="s">
        <v>167</v>
      </c>
      <c r="C43" s="31">
        <v>46208</v>
      </c>
      <c r="D43" s="32" t="s">
        <v>1028</v>
      </c>
      <c r="E43" s="32" t="s">
        <v>181</v>
      </c>
      <c r="F43" s="32" t="s">
        <v>182</v>
      </c>
      <c r="G43" s="32" t="s">
        <v>1029</v>
      </c>
      <c r="H43" s="32">
        <v>28.4</v>
      </c>
      <c r="I43" s="32">
        <v>28.4</v>
      </c>
      <c r="J43" s="32" t="s">
        <v>168</v>
      </c>
      <c r="K43" s="32">
        <v>28.4</v>
      </c>
      <c r="L43" s="32">
        <v>0</v>
      </c>
      <c r="M43" s="32">
        <v>28.4</v>
      </c>
      <c r="N43" s="32" t="s">
        <v>960</v>
      </c>
      <c r="O43" s="32" t="s">
        <v>654</v>
      </c>
      <c r="P43" s="32" t="s">
        <v>654</v>
      </c>
      <c r="Q43" s="32" t="s">
        <v>715</v>
      </c>
      <c r="R43" s="31">
        <v>46208</v>
      </c>
      <c r="S43" s="32" t="s">
        <v>987</v>
      </c>
      <c r="T43" s="32" t="s">
        <v>988</v>
      </c>
      <c r="U43" s="32" t="s">
        <v>714</v>
      </c>
      <c r="V43" s="32">
        <v>149.49</v>
      </c>
      <c r="W43" s="32">
        <v>149.49011936005999</v>
      </c>
      <c r="X43" s="32" t="s">
        <v>715</v>
      </c>
      <c r="Y43" s="31">
        <v>46208</v>
      </c>
      <c r="Z43" s="32" t="s">
        <v>193</v>
      </c>
      <c r="AA43" s="32" t="s">
        <v>193</v>
      </c>
      <c r="AB43" s="32"/>
      <c r="AC43" s="32" t="s">
        <v>193</v>
      </c>
      <c r="AD43" s="32" t="s">
        <v>193</v>
      </c>
      <c r="AE43" s="32">
        <v>0</v>
      </c>
      <c r="AF43" s="32">
        <v>0</v>
      </c>
      <c r="AG43" s="32">
        <v>0</v>
      </c>
      <c r="AH43" s="32">
        <v>0</v>
      </c>
      <c r="AI43" s="32">
        <v>0</v>
      </c>
      <c r="AJ43" s="32" t="s">
        <v>965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/>
      <c r="AQ43" s="32">
        <v>0</v>
      </c>
      <c r="AR43" s="32">
        <v>0</v>
      </c>
      <c r="AS43" s="32">
        <v>5009.72</v>
      </c>
      <c r="AT43" s="32" t="s">
        <v>169</v>
      </c>
      <c r="AU43" s="32" t="s">
        <v>182</v>
      </c>
      <c r="AV43" s="32" t="s">
        <v>154</v>
      </c>
      <c r="AW43" s="32" t="s">
        <v>171</v>
      </c>
      <c r="AX43" s="32" t="s">
        <v>966</v>
      </c>
      <c r="AY43" s="32">
        <v>0</v>
      </c>
      <c r="AZ43" s="32">
        <v>4245.5200000000004</v>
      </c>
      <c r="BA43" s="32">
        <v>291</v>
      </c>
      <c r="BB43" s="31">
        <v>46208</v>
      </c>
      <c r="BC43" s="32" t="s">
        <v>177</v>
      </c>
      <c r="BD43" s="32" t="s">
        <v>967</v>
      </c>
      <c r="BE43" s="32" t="s">
        <v>967</v>
      </c>
      <c r="BF43" s="32">
        <v>9</v>
      </c>
      <c r="BG43" s="32">
        <v>382.1</v>
      </c>
      <c r="BH43" s="32">
        <v>9</v>
      </c>
      <c r="BI43" s="32">
        <v>382.1</v>
      </c>
      <c r="BJ43" s="32">
        <v>0</v>
      </c>
      <c r="BK43" s="32">
        <v>0</v>
      </c>
      <c r="BL43" s="32">
        <v>5009.72</v>
      </c>
      <c r="BM43" s="32">
        <v>612140246624</v>
      </c>
      <c r="BN43" s="31">
        <v>46208</v>
      </c>
      <c r="BO43" s="32">
        <v>28.4</v>
      </c>
    </row>
    <row r="44" spans="1:67" x14ac:dyDescent="0.25">
      <c r="A44" s="21"/>
      <c r="B44" s="32" t="s">
        <v>167</v>
      </c>
      <c r="C44" s="31">
        <v>46209</v>
      </c>
      <c r="D44" s="32" t="s">
        <v>1030</v>
      </c>
      <c r="E44" s="32" t="s">
        <v>186</v>
      </c>
      <c r="F44" s="32" t="s">
        <v>187</v>
      </c>
      <c r="G44" s="32" t="s">
        <v>1031</v>
      </c>
      <c r="H44" s="32">
        <v>226</v>
      </c>
      <c r="I44" s="32">
        <v>226</v>
      </c>
      <c r="J44" s="32" t="s">
        <v>168</v>
      </c>
      <c r="K44" s="32">
        <v>226</v>
      </c>
      <c r="L44" s="32">
        <v>0</v>
      </c>
      <c r="M44" s="32">
        <v>226</v>
      </c>
      <c r="N44" s="32" t="s">
        <v>1032</v>
      </c>
      <c r="O44" s="32" t="s">
        <v>665</v>
      </c>
      <c r="P44" s="32" t="s">
        <v>665</v>
      </c>
      <c r="Q44" s="32" t="s">
        <v>717</v>
      </c>
      <c r="R44" s="31">
        <v>46208</v>
      </c>
      <c r="S44" s="32" t="s">
        <v>987</v>
      </c>
      <c r="T44" s="32" t="s">
        <v>988</v>
      </c>
      <c r="U44" s="32" t="s">
        <v>716</v>
      </c>
      <c r="V44" s="32">
        <v>164.9</v>
      </c>
      <c r="W44" s="32">
        <v>164.9</v>
      </c>
      <c r="X44" s="32" t="s">
        <v>717</v>
      </c>
      <c r="Y44" s="31">
        <v>46208</v>
      </c>
      <c r="Z44" s="32"/>
      <c r="AA44" s="32">
        <v>0</v>
      </c>
      <c r="AB44" s="32"/>
      <c r="AC44" s="32" t="s">
        <v>1033</v>
      </c>
      <c r="AD44" s="32">
        <v>2397</v>
      </c>
      <c r="AE44" s="32">
        <v>0</v>
      </c>
      <c r="AF44" s="32">
        <v>0</v>
      </c>
      <c r="AG44" s="32">
        <v>0</v>
      </c>
      <c r="AH44" s="32">
        <v>0</v>
      </c>
      <c r="AI44" s="32">
        <v>0</v>
      </c>
      <c r="AJ44" s="32" t="s">
        <v>965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/>
      <c r="AQ44" s="32">
        <v>0</v>
      </c>
      <c r="AR44" s="32">
        <v>0</v>
      </c>
      <c r="AS44" s="32">
        <v>672885.8</v>
      </c>
      <c r="AT44" s="32" t="s">
        <v>169</v>
      </c>
      <c r="AU44" s="32" t="s">
        <v>180</v>
      </c>
      <c r="AV44" s="32" t="s">
        <v>155</v>
      </c>
      <c r="AW44" s="32" t="s">
        <v>171</v>
      </c>
      <c r="AX44" s="32" t="s">
        <v>966</v>
      </c>
      <c r="AY44" s="32">
        <v>0</v>
      </c>
      <c r="AZ44" s="32">
        <v>37267.4</v>
      </c>
      <c r="BA44" s="32">
        <v>292</v>
      </c>
      <c r="BB44" s="31">
        <v>46209</v>
      </c>
      <c r="BC44" s="32" t="s">
        <v>189</v>
      </c>
      <c r="BD44" s="32" t="s">
        <v>967</v>
      </c>
      <c r="BE44" s="32" t="s">
        <v>967</v>
      </c>
      <c r="BF44" s="32">
        <v>9</v>
      </c>
      <c r="BG44" s="32">
        <v>3354.07</v>
      </c>
      <c r="BH44" s="32">
        <v>9</v>
      </c>
      <c r="BI44" s="32">
        <v>3354.07</v>
      </c>
      <c r="BJ44" s="32">
        <v>0</v>
      </c>
      <c r="BK44" s="32">
        <v>0</v>
      </c>
      <c r="BL44" s="32">
        <v>672885.8</v>
      </c>
      <c r="BM44" s="32">
        <v>632140255150</v>
      </c>
      <c r="BN44" s="31">
        <v>46208</v>
      </c>
      <c r="BO44" s="32">
        <v>226</v>
      </c>
    </row>
    <row r="45" spans="1:67" x14ac:dyDescent="0.25">
      <c r="A45" s="21"/>
      <c r="B45" s="32" t="s">
        <v>167</v>
      </c>
      <c r="C45" s="31">
        <v>46209</v>
      </c>
      <c r="D45" s="32" t="s">
        <v>1030</v>
      </c>
      <c r="E45" s="32" t="s">
        <v>186</v>
      </c>
      <c r="F45" s="32" t="s">
        <v>187</v>
      </c>
      <c r="G45" s="32" t="s">
        <v>1031</v>
      </c>
      <c r="H45" s="32">
        <v>3292</v>
      </c>
      <c r="I45" s="32">
        <v>3292</v>
      </c>
      <c r="J45" s="32" t="s">
        <v>168</v>
      </c>
      <c r="K45" s="32">
        <v>3292</v>
      </c>
      <c r="L45" s="32">
        <v>0</v>
      </c>
      <c r="M45" s="32">
        <v>3292</v>
      </c>
      <c r="N45" s="32" t="s">
        <v>1032</v>
      </c>
      <c r="O45" s="32" t="s">
        <v>665</v>
      </c>
      <c r="P45" s="32" t="s">
        <v>665</v>
      </c>
      <c r="Q45" s="32" t="s">
        <v>717</v>
      </c>
      <c r="R45" s="31">
        <v>46208</v>
      </c>
      <c r="S45" s="32" t="s">
        <v>987</v>
      </c>
      <c r="T45" s="32" t="s">
        <v>988</v>
      </c>
      <c r="U45" s="32" t="s">
        <v>716</v>
      </c>
      <c r="V45" s="32">
        <v>161.9</v>
      </c>
      <c r="W45" s="32">
        <v>161.9</v>
      </c>
      <c r="X45" s="32" t="s">
        <v>717</v>
      </c>
      <c r="Y45" s="31">
        <v>46208</v>
      </c>
      <c r="Z45" s="32"/>
      <c r="AA45" s="32">
        <v>0</v>
      </c>
      <c r="AB45" s="32"/>
      <c r="AC45" s="32" t="s">
        <v>1033</v>
      </c>
      <c r="AD45" s="32">
        <v>2397</v>
      </c>
      <c r="AE45" s="32">
        <v>0</v>
      </c>
      <c r="AF45" s="32">
        <v>0</v>
      </c>
      <c r="AG45" s="32">
        <v>0</v>
      </c>
      <c r="AH45" s="32">
        <v>0</v>
      </c>
      <c r="AI45" s="32">
        <v>0</v>
      </c>
      <c r="AJ45" s="32" t="s">
        <v>965</v>
      </c>
      <c r="AK45" s="32">
        <v>0</v>
      </c>
      <c r="AL45" s="32">
        <v>0</v>
      </c>
      <c r="AM45" s="32">
        <v>0</v>
      </c>
      <c r="AN45" s="32">
        <v>0</v>
      </c>
      <c r="AO45" s="32">
        <v>0</v>
      </c>
      <c r="AP45" s="32"/>
      <c r="AQ45" s="32">
        <v>0</v>
      </c>
      <c r="AR45" s="32">
        <v>0</v>
      </c>
      <c r="AS45" s="32">
        <v>672885.8</v>
      </c>
      <c r="AT45" s="32" t="s">
        <v>169</v>
      </c>
      <c r="AU45" s="32" t="s">
        <v>180</v>
      </c>
      <c r="AV45" s="32" t="s">
        <v>155</v>
      </c>
      <c r="AW45" s="32" t="s">
        <v>171</v>
      </c>
      <c r="AX45" s="32" t="s">
        <v>966</v>
      </c>
      <c r="AY45" s="32">
        <v>0</v>
      </c>
      <c r="AZ45" s="32">
        <v>532974.80000000005</v>
      </c>
      <c r="BA45" s="32">
        <v>292</v>
      </c>
      <c r="BB45" s="31">
        <v>46209</v>
      </c>
      <c r="BC45" s="32" t="s">
        <v>189</v>
      </c>
      <c r="BD45" s="32" t="s">
        <v>967</v>
      </c>
      <c r="BE45" s="32" t="s">
        <v>967</v>
      </c>
      <c r="BF45" s="32">
        <v>9</v>
      </c>
      <c r="BG45" s="32">
        <v>47967.73</v>
      </c>
      <c r="BH45" s="32">
        <v>9</v>
      </c>
      <c r="BI45" s="32">
        <v>47967.73</v>
      </c>
      <c r="BJ45" s="32">
        <v>0</v>
      </c>
      <c r="BK45" s="32">
        <v>0</v>
      </c>
      <c r="BL45" s="32">
        <v>0</v>
      </c>
      <c r="BM45" s="32">
        <v>632140255150</v>
      </c>
      <c r="BN45" s="31">
        <v>46208</v>
      </c>
      <c r="BO45" s="32">
        <v>3292</v>
      </c>
    </row>
    <row r="46" spans="1:67" x14ac:dyDescent="0.25">
      <c r="A46" s="21"/>
      <c r="B46" s="32" t="s">
        <v>167</v>
      </c>
      <c r="C46" s="31">
        <v>46209</v>
      </c>
      <c r="D46" s="32" t="s">
        <v>1034</v>
      </c>
      <c r="E46" s="32" t="s">
        <v>186</v>
      </c>
      <c r="F46" s="32" t="s">
        <v>187</v>
      </c>
      <c r="G46" s="32" t="s">
        <v>1035</v>
      </c>
      <c r="H46" s="32">
        <v>385</v>
      </c>
      <c r="I46" s="32">
        <v>385</v>
      </c>
      <c r="J46" s="32" t="s">
        <v>168</v>
      </c>
      <c r="K46" s="32">
        <v>385</v>
      </c>
      <c r="L46" s="32">
        <v>0</v>
      </c>
      <c r="M46" s="32">
        <v>385</v>
      </c>
      <c r="N46" s="32" t="s">
        <v>175</v>
      </c>
      <c r="O46" s="32" t="s">
        <v>654</v>
      </c>
      <c r="P46" s="32" t="s">
        <v>654</v>
      </c>
      <c r="Q46" s="32" t="s">
        <v>719</v>
      </c>
      <c r="R46" s="31">
        <v>46209</v>
      </c>
      <c r="S46" s="32" t="s">
        <v>987</v>
      </c>
      <c r="T46" s="32" t="s">
        <v>988</v>
      </c>
      <c r="U46" s="32" t="s">
        <v>718</v>
      </c>
      <c r="V46" s="32">
        <v>144.49</v>
      </c>
      <c r="W46" s="32">
        <v>144.489999107383</v>
      </c>
      <c r="X46" s="32" t="s">
        <v>719</v>
      </c>
      <c r="Y46" s="31">
        <v>46209</v>
      </c>
      <c r="Z46" s="32" t="s">
        <v>193</v>
      </c>
      <c r="AA46" s="32" t="s">
        <v>193</v>
      </c>
      <c r="AB46" s="32"/>
      <c r="AC46" s="32" t="s">
        <v>193</v>
      </c>
      <c r="AD46" s="32" t="s">
        <v>193</v>
      </c>
      <c r="AE46" s="32">
        <v>0</v>
      </c>
      <c r="AF46" s="32">
        <v>0</v>
      </c>
      <c r="AG46" s="32">
        <v>0</v>
      </c>
      <c r="AH46" s="32">
        <v>0</v>
      </c>
      <c r="AI46" s="32">
        <v>0</v>
      </c>
      <c r="AJ46" s="32" t="s">
        <v>965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/>
      <c r="AQ46" s="32">
        <v>0</v>
      </c>
      <c r="AR46" s="32">
        <v>0</v>
      </c>
      <c r="AS46" s="32">
        <v>323744.7</v>
      </c>
      <c r="AT46" s="32" t="s">
        <v>169</v>
      </c>
      <c r="AU46" s="32" t="s">
        <v>180</v>
      </c>
      <c r="AV46" s="32" t="s">
        <v>155</v>
      </c>
      <c r="AW46" s="32" t="s">
        <v>171</v>
      </c>
      <c r="AX46" s="32" t="s">
        <v>966</v>
      </c>
      <c r="AY46" s="32">
        <v>0</v>
      </c>
      <c r="AZ46" s="32">
        <v>55628.65</v>
      </c>
      <c r="BA46" s="32">
        <v>293</v>
      </c>
      <c r="BB46" s="31">
        <v>46209</v>
      </c>
      <c r="BC46" s="32" t="s">
        <v>177</v>
      </c>
      <c r="BD46" s="32" t="s">
        <v>967</v>
      </c>
      <c r="BE46" s="32" t="s">
        <v>967</v>
      </c>
      <c r="BF46" s="32">
        <v>9</v>
      </c>
      <c r="BG46" s="32">
        <v>5006.58</v>
      </c>
      <c r="BH46" s="32">
        <v>9</v>
      </c>
      <c r="BI46" s="32">
        <v>5006.58</v>
      </c>
      <c r="BJ46" s="32">
        <v>0</v>
      </c>
      <c r="BK46" s="32">
        <v>0</v>
      </c>
      <c r="BL46" s="32">
        <v>323744.7</v>
      </c>
      <c r="BM46" s="32">
        <v>642140746334</v>
      </c>
      <c r="BN46" s="31">
        <v>46209</v>
      </c>
      <c r="BO46" s="32">
        <v>385</v>
      </c>
    </row>
    <row r="47" spans="1:67" x14ac:dyDescent="0.25">
      <c r="A47" s="21"/>
      <c r="B47" s="32" t="s">
        <v>167</v>
      </c>
      <c r="C47" s="31">
        <v>46209</v>
      </c>
      <c r="D47" s="32" t="s">
        <v>1034</v>
      </c>
      <c r="E47" s="32" t="s">
        <v>186</v>
      </c>
      <c r="F47" s="32" t="s">
        <v>187</v>
      </c>
      <c r="G47" s="32" t="s">
        <v>1035</v>
      </c>
      <c r="H47" s="32">
        <v>870</v>
      </c>
      <c r="I47" s="32">
        <v>870</v>
      </c>
      <c r="J47" s="32" t="s">
        <v>168</v>
      </c>
      <c r="K47" s="32">
        <v>870</v>
      </c>
      <c r="L47" s="32">
        <v>0</v>
      </c>
      <c r="M47" s="32">
        <v>870</v>
      </c>
      <c r="N47" s="32" t="s">
        <v>175</v>
      </c>
      <c r="O47" s="32" t="s">
        <v>654</v>
      </c>
      <c r="P47" s="32" t="s">
        <v>654</v>
      </c>
      <c r="Q47" s="32" t="s">
        <v>719</v>
      </c>
      <c r="R47" s="31">
        <v>46209</v>
      </c>
      <c r="S47" s="32" t="s">
        <v>987</v>
      </c>
      <c r="T47" s="32" t="s">
        <v>988</v>
      </c>
      <c r="U47" s="32" t="s">
        <v>718</v>
      </c>
      <c r="V47" s="32">
        <v>149.49</v>
      </c>
      <c r="W47" s="32">
        <v>149.489999076495</v>
      </c>
      <c r="X47" s="32" t="s">
        <v>719</v>
      </c>
      <c r="Y47" s="31">
        <v>46209</v>
      </c>
      <c r="Z47" s="32" t="s">
        <v>193</v>
      </c>
      <c r="AA47" s="32" t="s">
        <v>193</v>
      </c>
      <c r="AB47" s="32"/>
      <c r="AC47" s="32" t="s">
        <v>193</v>
      </c>
      <c r="AD47" s="32" t="s">
        <v>193</v>
      </c>
      <c r="AE47" s="32">
        <v>0</v>
      </c>
      <c r="AF47" s="32">
        <v>0</v>
      </c>
      <c r="AG47" s="32">
        <v>0</v>
      </c>
      <c r="AH47" s="32">
        <v>0</v>
      </c>
      <c r="AI47" s="32">
        <v>0</v>
      </c>
      <c r="AJ47" s="32" t="s">
        <v>965</v>
      </c>
      <c r="AK47" s="32">
        <v>0</v>
      </c>
      <c r="AL47" s="32">
        <v>0</v>
      </c>
      <c r="AM47" s="32">
        <v>0</v>
      </c>
      <c r="AN47" s="32">
        <v>0</v>
      </c>
      <c r="AO47" s="32">
        <v>0</v>
      </c>
      <c r="AP47" s="32"/>
      <c r="AQ47" s="32">
        <v>0</v>
      </c>
      <c r="AR47" s="32">
        <v>0</v>
      </c>
      <c r="AS47" s="32">
        <v>323744.7</v>
      </c>
      <c r="AT47" s="32" t="s">
        <v>169</v>
      </c>
      <c r="AU47" s="32" t="s">
        <v>180</v>
      </c>
      <c r="AV47" s="32" t="s">
        <v>155</v>
      </c>
      <c r="AW47" s="32" t="s">
        <v>171</v>
      </c>
      <c r="AX47" s="32" t="s">
        <v>966</v>
      </c>
      <c r="AY47" s="32">
        <v>0</v>
      </c>
      <c r="AZ47" s="32">
        <v>130056.3</v>
      </c>
      <c r="BA47" s="32">
        <v>293</v>
      </c>
      <c r="BB47" s="31">
        <v>46209</v>
      </c>
      <c r="BC47" s="32" t="s">
        <v>177</v>
      </c>
      <c r="BD47" s="32" t="s">
        <v>967</v>
      </c>
      <c r="BE47" s="32" t="s">
        <v>967</v>
      </c>
      <c r="BF47" s="32">
        <v>9</v>
      </c>
      <c r="BG47" s="32">
        <v>11705.07</v>
      </c>
      <c r="BH47" s="32">
        <v>9</v>
      </c>
      <c r="BI47" s="32">
        <v>11705.07</v>
      </c>
      <c r="BJ47" s="32">
        <v>0</v>
      </c>
      <c r="BK47" s="32">
        <v>0</v>
      </c>
      <c r="BL47" s="32">
        <v>0</v>
      </c>
      <c r="BM47" s="32">
        <v>642140746334</v>
      </c>
      <c r="BN47" s="31">
        <v>46209</v>
      </c>
      <c r="BO47" s="32">
        <v>870</v>
      </c>
    </row>
    <row r="48" spans="1:67" x14ac:dyDescent="0.25">
      <c r="A48" s="21"/>
      <c r="B48" s="32" t="s">
        <v>167</v>
      </c>
      <c r="C48" s="31">
        <v>46209</v>
      </c>
      <c r="D48" s="32" t="s">
        <v>1034</v>
      </c>
      <c r="E48" s="32" t="s">
        <v>181</v>
      </c>
      <c r="F48" s="32" t="s">
        <v>182</v>
      </c>
      <c r="G48" s="32" t="s">
        <v>1035</v>
      </c>
      <c r="H48" s="32">
        <v>97.7</v>
      </c>
      <c r="I48" s="32">
        <v>97.7</v>
      </c>
      <c r="J48" s="32" t="s">
        <v>168</v>
      </c>
      <c r="K48" s="32">
        <v>97.7</v>
      </c>
      <c r="L48" s="32">
        <v>0</v>
      </c>
      <c r="M48" s="32">
        <v>97.7</v>
      </c>
      <c r="N48" s="32" t="s">
        <v>175</v>
      </c>
      <c r="O48" s="32" t="s">
        <v>654</v>
      </c>
      <c r="P48" s="32" t="s">
        <v>654</v>
      </c>
      <c r="Q48" s="32" t="s">
        <v>719</v>
      </c>
      <c r="R48" s="31">
        <v>46209</v>
      </c>
      <c r="S48" s="32" t="s">
        <v>987</v>
      </c>
      <c r="T48" s="32" t="s">
        <v>988</v>
      </c>
      <c r="U48" s="32" t="s">
        <v>718</v>
      </c>
      <c r="V48" s="32">
        <v>149.49</v>
      </c>
      <c r="W48" s="32">
        <v>149.489999076495</v>
      </c>
      <c r="X48" s="32" t="s">
        <v>719</v>
      </c>
      <c r="Y48" s="31">
        <v>46209</v>
      </c>
      <c r="Z48" s="32" t="s">
        <v>193</v>
      </c>
      <c r="AA48" s="32" t="s">
        <v>193</v>
      </c>
      <c r="AB48" s="32"/>
      <c r="AC48" s="32" t="s">
        <v>193</v>
      </c>
      <c r="AD48" s="32" t="s">
        <v>193</v>
      </c>
      <c r="AE48" s="32">
        <v>0</v>
      </c>
      <c r="AF48" s="32">
        <v>0</v>
      </c>
      <c r="AG48" s="32">
        <v>0</v>
      </c>
      <c r="AH48" s="32">
        <v>0</v>
      </c>
      <c r="AI48" s="32">
        <v>0</v>
      </c>
      <c r="AJ48" s="32" t="s">
        <v>965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/>
      <c r="AQ48" s="32">
        <v>0</v>
      </c>
      <c r="AR48" s="32">
        <v>0</v>
      </c>
      <c r="AS48" s="32">
        <v>323744.7</v>
      </c>
      <c r="AT48" s="32" t="s">
        <v>169</v>
      </c>
      <c r="AU48" s="32" t="s">
        <v>182</v>
      </c>
      <c r="AV48" s="32" t="s">
        <v>154</v>
      </c>
      <c r="AW48" s="32" t="s">
        <v>171</v>
      </c>
      <c r="AX48" s="32" t="s">
        <v>966</v>
      </c>
      <c r="AY48" s="32">
        <v>0</v>
      </c>
      <c r="AZ48" s="32">
        <v>14605.17</v>
      </c>
      <c r="BA48" s="32">
        <v>293</v>
      </c>
      <c r="BB48" s="31">
        <v>46209</v>
      </c>
      <c r="BC48" s="32" t="s">
        <v>177</v>
      </c>
      <c r="BD48" s="32" t="s">
        <v>967</v>
      </c>
      <c r="BE48" s="32" t="s">
        <v>967</v>
      </c>
      <c r="BF48" s="32">
        <v>9</v>
      </c>
      <c r="BG48" s="32">
        <v>1314.47</v>
      </c>
      <c r="BH48" s="32">
        <v>9</v>
      </c>
      <c r="BI48" s="32">
        <v>1314.47</v>
      </c>
      <c r="BJ48" s="32">
        <v>0</v>
      </c>
      <c r="BK48" s="32">
        <v>0</v>
      </c>
      <c r="BL48" s="32">
        <v>0</v>
      </c>
      <c r="BM48" s="32">
        <v>642140746334</v>
      </c>
      <c r="BN48" s="31">
        <v>46209</v>
      </c>
      <c r="BO48" s="32">
        <v>97.7</v>
      </c>
    </row>
    <row r="49" spans="1:67" x14ac:dyDescent="0.25">
      <c r="A49" s="21"/>
      <c r="B49" s="32" t="s">
        <v>167</v>
      </c>
      <c r="C49" s="31">
        <v>46209</v>
      </c>
      <c r="D49" s="32" t="s">
        <v>1034</v>
      </c>
      <c r="E49" s="32" t="s">
        <v>181</v>
      </c>
      <c r="F49" s="32" t="s">
        <v>182</v>
      </c>
      <c r="G49" s="32" t="s">
        <v>1035</v>
      </c>
      <c r="H49" s="32">
        <v>28.8</v>
      </c>
      <c r="I49" s="32">
        <v>28.8</v>
      </c>
      <c r="J49" s="32" t="s">
        <v>168</v>
      </c>
      <c r="K49" s="32">
        <v>28.8</v>
      </c>
      <c r="L49" s="32">
        <v>0</v>
      </c>
      <c r="M49" s="32">
        <v>28.8</v>
      </c>
      <c r="N49" s="32" t="s">
        <v>175</v>
      </c>
      <c r="O49" s="32" t="s">
        <v>654</v>
      </c>
      <c r="P49" s="32" t="s">
        <v>654</v>
      </c>
      <c r="Q49" s="32" t="s">
        <v>719</v>
      </c>
      <c r="R49" s="31">
        <v>46209</v>
      </c>
      <c r="S49" s="32" t="s">
        <v>987</v>
      </c>
      <c r="T49" s="32" t="s">
        <v>988</v>
      </c>
      <c r="U49" s="32" t="s">
        <v>718</v>
      </c>
      <c r="V49" s="32">
        <v>146.49</v>
      </c>
      <c r="W49" s="32">
        <v>146.489999095028</v>
      </c>
      <c r="X49" s="32" t="s">
        <v>719</v>
      </c>
      <c r="Y49" s="31">
        <v>46209</v>
      </c>
      <c r="Z49" s="32" t="s">
        <v>193</v>
      </c>
      <c r="AA49" s="32" t="s">
        <v>193</v>
      </c>
      <c r="AB49" s="32"/>
      <c r="AC49" s="32" t="s">
        <v>193</v>
      </c>
      <c r="AD49" s="32" t="s">
        <v>193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32" t="s">
        <v>965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/>
      <c r="AQ49" s="32">
        <v>0</v>
      </c>
      <c r="AR49" s="32">
        <v>0</v>
      </c>
      <c r="AS49" s="32">
        <v>323744.7</v>
      </c>
      <c r="AT49" s="32" t="s">
        <v>169</v>
      </c>
      <c r="AU49" s="32" t="s">
        <v>182</v>
      </c>
      <c r="AV49" s="32" t="s">
        <v>154</v>
      </c>
      <c r="AW49" s="32" t="s">
        <v>171</v>
      </c>
      <c r="AX49" s="32" t="s">
        <v>966</v>
      </c>
      <c r="AY49" s="32">
        <v>0</v>
      </c>
      <c r="AZ49" s="32">
        <v>4218.91</v>
      </c>
      <c r="BA49" s="32">
        <v>293</v>
      </c>
      <c r="BB49" s="31">
        <v>46209</v>
      </c>
      <c r="BC49" s="32" t="s">
        <v>177</v>
      </c>
      <c r="BD49" s="32" t="s">
        <v>967</v>
      </c>
      <c r="BE49" s="32" t="s">
        <v>967</v>
      </c>
      <c r="BF49" s="32">
        <v>9</v>
      </c>
      <c r="BG49" s="32">
        <v>379.7</v>
      </c>
      <c r="BH49" s="32">
        <v>9</v>
      </c>
      <c r="BI49" s="32">
        <v>379.7</v>
      </c>
      <c r="BJ49" s="32">
        <v>0</v>
      </c>
      <c r="BK49" s="32">
        <v>0</v>
      </c>
      <c r="BL49" s="32">
        <v>0</v>
      </c>
      <c r="BM49" s="32">
        <v>642140746334</v>
      </c>
      <c r="BN49" s="31">
        <v>46209</v>
      </c>
      <c r="BO49" s="32">
        <v>28.8</v>
      </c>
    </row>
    <row r="50" spans="1:67" x14ac:dyDescent="0.25">
      <c r="A50" s="21"/>
      <c r="B50" s="32" t="s">
        <v>167</v>
      </c>
      <c r="C50" s="31">
        <v>46209</v>
      </c>
      <c r="D50" s="32" t="s">
        <v>1034</v>
      </c>
      <c r="E50" s="32" t="s">
        <v>1006</v>
      </c>
      <c r="F50" s="32" t="s">
        <v>681</v>
      </c>
      <c r="G50" s="32" t="s">
        <v>1035</v>
      </c>
      <c r="H50" s="32">
        <v>25.3</v>
      </c>
      <c r="I50" s="32">
        <v>25.3</v>
      </c>
      <c r="J50" s="32" t="s">
        <v>168</v>
      </c>
      <c r="K50" s="32">
        <v>25.3</v>
      </c>
      <c r="L50" s="32">
        <v>0</v>
      </c>
      <c r="M50" s="32">
        <v>25.3</v>
      </c>
      <c r="N50" s="32" t="s">
        <v>175</v>
      </c>
      <c r="O50" s="32" t="s">
        <v>654</v>
      </c>
      <c r="P50" s="32" t="s">
        <v>654</v>
      </c>
      <c r="Q50" s="32" t="s">
        <v>719</v>
      </c>
      <c r="R50" s="31">
        <v>46209</v>
      </c>
      <c r="S50" s="32" t="s">
        <v>987</v>
      </c>
      <c r="T50" s="32" t="s">
        <v>988</v>
      </c>
      <c r="U50" s="32" t="s">
        <v>718</v>
      </c>
      <c r="V50" s="32">
        <v>160.99</v>
      </c>
      <c r="W50" s="32">
        <v>160.98999900545101</v>
      </c>
      <c r="X50" s="32" t="s">
        <v>719</v>
      </c>
      <c r="Y50" s="31">
        <v>46209</v>
      </c>
      <c r="Z50" s="32" t="s">
        <v>193</v>
      </c>
      <c r="AA50" s="32" t="s">
        <v>193</v>
      </c>
      <c r="AB50" s="32"/>
      <c r="AC50" s="32" t="s">
        <v>193</v>
      </c>
      <c r="AD50" s="32" t="s">
        <v>193</v>
      </c>
      <c r="AE50" s="32">
        <v>0</v>
      </c>
      <c r="AF50" s="32">
        <v>0</v>
      </c>
      <c r="AG50" s="32">
        <v>0</v>
      </c>
      <c r="AH50" s="32">
        <v>0</v>
      </c>
      <c r="AI50" s="32">
        <v>0</v>
      </c>
      <c r="AJ50" s="32" t="s">
        <v>965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/>
      <c r="AQ50" s="32">
        <v>0</v>
      </c>
      <c r="AR50" s="32">
        <v>0</v>
      </c>
      <c r="AS50" s="32">
        <v>323744.7</v>
      </c>
      <c r="AT50" s="32" t="s">
        <v>169</v>
      </c>
      <c r="AU50" s="32" t="s">
        <v>170</v>
      </c>
      <c r="AV50" s="32" t="s">
        <v>157</v>
      </c>
      <c r="AW50" s="32" t="s">
        <v>171</v>
      </c>
      <c r="AX50" s="32" t="s">
        <v>966</v>
      </c>
      <c r="AY50" s="32">
        <v>0</v>
      </c>
      <c r="AZ50" s="32">
        <v>4073.05</v>
      </c>
      <c r="BA50" s="32">
        <v>293</v>
      </c>
      <c r="BB50" s="31">
        <v>46209</v>
      </c>
      <c r="BC50" s="32" t="s">
        <v>177</v>
      </c>
      <c r="BD50" s="32" t="s">
        <v>967</v>
      </c>
      <c r="BE50" s="32" t="s">
        <v>967</v>
      </c>
      <c r="BF50" s="32">
        <v>2.5</v>
      </c>
      <c r="BG50" s="32">
        <v>101.83</v>
      </c>
      <c r="BH50" s="32">
        <v>2.5</v>
      </c>
      <c r="BI50" s="32">
        <v>101.83</v>
      </c>
      <c r="BJ50" s="32">
        <v>0</v>
      </c>
      <c r="BK50" s="32">
        <v>0</v>
      </c>
      <c r="BL50" s="32">
        <v>0</v>
      </c>
      <c r="BM50" s="32">
        <v>642140746334</v>
      </c>
      <c r="BN50" s="31">
        <v>46209</v>
      </c>
      <c r="BO50" s="32">
        <v>25.3</v>
      </c>
    </row>
    <row r="51" spans="1:67" x14ac:dyDescent="0.25">
      <c r="A51" s="21"/>
      <c r="B51" s="32" t="s">
        <v>167</v>
      </c>
      <c r="C51" s="31">
        <v>46209</v>
      </c>
      <c r="D51" s="32" t="s">
        <v>1034</v>
      </c>
      <c r="E51" s="32" t="s">
        <v>178</v>
      </c>
      <c r="F51" s="32" t="s">
        <v>179</v>
      </c>
      <c r="G51" s="32" t="s">
        <v>1035</v>
      </c>
      <c r="H51" s="32">
        <v>141</v>
      </c>
      <c r="I51" s="32">
        <v>141</v>
      </c>
      <c r="J51" s="32" t="s">
        <v>168</v>
      </c>
      <c r="K51" s="32">
        <v>141</v>
      </c>
      <c r="L51" s="32">
        <v>0</v>
      </c>
      <c r="M51" s="32">
        <v>141</v>
      </c>
      <c r="N51" s="32" t="s">
        <v>175</v>
      </c>
      <c r="O51" s="32" t="s">
        <v>654</v>
      </c>
      <c r="P51" s="32" t="s">
        <v>654</v>
      </c>
      <c r="Q51" s="32" t="s">
        <v>719</v>
      </c>
      <c r="R51" s="31">
        <v>46209</v>
      </c>
      <c r="S51" s="32" t="s">
        <v>987</v>
      </c>
      <c r="T51" s="32" t="s">
        <v>988</v>
      </c>
      <c r="U51" s="32" t="s">
        <v>718</v>
      </c>
      <c r="V51" s="32">
        <v>148.49</v>
      </c>
      <c r="W51" s="32">
        <v>148.489999082672</v>
      </c>
      <c r="X51" s="32" t="s">
        <v>719</v>
      </c>
      <c r="Y51" s="31">
        <v>46209</v>
      </c>
      <c r="Z51" s="32" t="s">
        <v>193</v>
      </c>
      <c r="AA51" s="32" t="s">
        <v>193</v>
      </c>
      <c r="AB51" s="32"/>
      <c r="AC51" s="32" t="s">
        <v>193</v>
      </c>
      <c r="AD51" s="32" t="s">
        <v>193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32" t="s">
        <v>965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/>
      <c r="AQ51" s="32">
        <v>0</v>
      </c>
      <c r="AR51" s="32">
        <v>0</v>
      </c>
      <c r="AS51" s="32">
        <v>323744.7</v>
      </c>
      <c r="AT51" s="32" t="s">
        <v>169</v>
      </c>
      <c r="AU51" s="32" t="s">
        <v>180</v>
      </c>
      <c r="AV51" s="32" t="s">
        <v>156</v>
      </c>
      <c r="AW51" s="32" t="s">
        <v>171</v>
      </c>
      <c r="AX51" s="32" t="s">
        <v>966</v>
      </c>
      <c r="AY51" s="32">
        <v>0</v>
      </c>
      <c r="AZ51" s="32">
        <v>20937.09</v>
      </c>
      <c r="BA51" s="32">
        <v>293</v>
      </c>
      <c r="BB51" s="31">
        <v>46209</v>
      </c>
      <c r="BC51" s="32" t="s">
        <v>177</v>
      </c>
      <c r="BD51" s="32" t="s">
        <v>967</v>
      </c>
      <c r="BE51" s="32" t="s">
        <v>967</v>
      </c>
      <c r="BF51" s="32">
        <v>9</v>
      </c>
      <c r="BG51" s="32">
        <v>1884.34</v>
      </c>
      <c r="BH51" s="32">
        <v>9</v>
      </c>
      <c r="BI51" s="32">
        <v>1884.34</v>
      </c>
      <c r="BJ51" s="32">
        <v>0</v>
      </c>
      <c r="BK51" s="32">
        <v>0</v>
      </c>
      <c r="BL51" s="32">
        <v>0</v>
      </c>
      <c r="BM51" s="32">
        <v>642140746334</v>
      </c>
      <c r="BN51" s="31">
        <v>46209</v>
      </c>
      <c r="BO51" s="32">
        <v>141</v>
      </c>
    </row>
    <row r="52" spans="1:67" x14ac:dyDescent="0.25">
      <c r="A52" s="21"/>
      <c r="B52" s="32" t="s">
        <v>167</v>
      </c>
      <c r="C52" s="31">
        <v>46209</v>
      </c>
      <c r="D52" s="32" t="s">
        <v>1034</v>
      </c>
      <c r="E52" s="32" t="s">
        <v>1036</v>
      </c>
      <c r="F52" s="32" t="s">
        <v>720</v>
      </c>
      <c r="G52" s="32" t="s">
        <v>1035</v>
      </c>
      <c r="H52" s="32">
        <v>305</v>
      </c>
      <c r="I52" s="32">
        <v>305</v>
      </c>
      <c r="J52" s="32" t="s">
        <v>168</v>
      </c>
      <c r="K52" s="32">
        <v>305</v>
      </c>
      <c r="L52" s="32">
        <v>0</v>
      </c>
      <c r="M52" s="32">
        <v>305</v>
      </c>
      <c r="N52" s="32" t="s">
        <v>175</v>
      </c>
      <c r="O52" s="32" t="s">
        <v>654</v>
      </c>
      <c r="P52" s="32" t="s">
        <v>654</v>
      </c>
      <c r="Q52" s="32" t="s">
        <v>719</v>
      </c>
      <c r="R52" s="31">
        <v>46209</v>
      </c>
      <c r="S52" s="32" t="s">
        <v>987</v>
      </c>
      <c r="T52" s="32" t="s">
        <v>988</v>
      </c>
      <c r="U52" s="32" t="s">
        <v>718</v>
      </c>
      <c r="V52" s="32">
        <v>148.49</v>
      </c>
      <c r="W52" s="32">
        <v>148.489999082672</v>
      </c>
      <c r="X52" s="32" t="s">
        <v>719</v>
      </c>
      <c r="Y52" s="31">
        <v>46209</v>
      </c>
      <c r="Z52" s="32" t="s">
        <v>193</v>
      </c>
      <c r="AA52" s="32" t="s">
        <v>193</v>
      </c>
      <c r="AB52" s="32"/>
      <c r="AC52" s="32" t="s">
        <v>193</v>
      </c>
      <c r="AD52" s="32" t="s">
        <v>193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32" t="s">
        <v>965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/>
      <c r="AQ52" s="32">
        <v>0</v>
      </c>
      <c r="AR52" s="32">
        <v>0</v>
      </c>
      <c r="AS52" s="32">
        <v>323744.7</v>
      </c>
      <c r="AT52" s="32" t="s">
        <v>169</v>
      </c>
      <c r="AU52" s="32" t="s">
        <v>180</v>
      </c>
      <c r="AV52" s="32" t="s">
        <v>156</v>
      </c>
      <c r="AW52" s="32" t="s">
        <v>171</v>
      </c>
      <c r="AX52" s="32" t="s">
        <v>966</v>
      </c>
      <c r="AY52" s="32">
        <v>0</v>
      </c>
      <c r="AZ52" s="32">
        <v>45289.45</v>
      </c>
      <c r="BA52" s="32">
        <v>293</v>
      </c>
      <c r="BB52" s="31">
        <v>46209</v>
      </c>
      <c r="BC52" s="32" t="s">
        <v>177</v>
      </c>
      <c r="BD52" s="32" t="s">
        <v>967</v>
      </c>
      <c r="BE52" s="32" t="s">
        <v>967</v>
      </c>
      <c r="BF52" s="32">
        <v>9</v>
      </c>
      <c r="BG52" s="32">
        <v>4076.05</v>
      </c>
      <c r="BH52" s="32">
        <v>9</v>
      </c>
      <c r="BI52" s="32">
        <v>4076.05</v>
      </c>
      <c r="BJ52" s="32">
        <v>0</v>
      </c>
      <c r="BK52" s="32">
        <v>0</v>
      </c>
      <c r="BL52" s="32">
        <v>0</v>
      </c>
      <c r="BM52" s="32">
        <v>642140746334</v>
      </c>
      <c r="BN52" s="31">
        <v>46209</v>
      </c>
      <c r="BO52" s="32">
        <v>305</v>
      </c>
    </row>
    <row r="53" spans="1:67" x14ac:dyDescent="0.25">
      <c r="A53" s="21"/>
      <c r="B53" s="32" t="s">
        <v>167</v>
      </c>
      <c r="C53" s="31">
        <v>46209</v>
      </c>
      <c r="D53" s="32" t="s">
        <v>1037</v>
      </c>
      <c r="E53" s="32" t="s">
        <v>1036</v>
      </c>
      <c r="F53" s="32" t="s">
        <v>720</v>
      </c>
      <c r="G53" s="32" t="s">
        <v>1035</v>
      </c>
      <c r="H53" s="32">
        <v>542</v>
      </c>
      <c r="I53" s="32">
        <v>542</v>
      </c>
      <c r="J53" s="32" t="s">
        <v>168</v>
      </c>
      <c r="K53" s="32">
        <v>542</v>
      </c>
      <c r="L53" s="32">
        <v>0</v>
      </c>
      <c r="M53" s="32">
        <v>542</v>
      </c>
      <c r="N53" s="32" t="s">
        <v>175</v>
      </c>
      <c r="O53" s="32" t="s">
        <v>654</v>
      </c>
      <c r="P53" s="32" t="s">
        <v>654</v>
      </c>
      <c r="Q53" s="32" t="s">
        <v>722</v>
      </c>
      <c r="R53" s="31">
        <v>46209</v>
      </c>
      <c r="S53" s="32" t="s">
        <v>987</v>
      </c>
      <c r="T53" s="32" t="s">
        <v>988</v>
      </c>
      <c r="U53" s="32" t="s">
        <v>721</v>
      </c>
      <c r="V53" s="32">
        <v>148.49</v>
      </c>
      <c r="W53" s="32">
        <v>148.49</v>
      </c>
      <c r="X53" s="32" t="s">
        <v>722</v>
      </c>
      <c r="Y53" s="31">
        <v>46209</v>
      </c>
      <c r="Z53" s="32" t="s">
        <v>193</v>
      </c>
      <c r="AA53" s="32" t="s">
        <v>193</v>
      </c>
      <c r="AB53" s="32"/>
      <c r="AC53" s="32" t="s">
        <v>193</v>
      </c>
      <c r="AD53" s="32" t="s">
        <v>193</v>
      </c>
      <c r="AE53" s="32">
        <v>0</v>
      </c>
      <c r="AF53" s="32">
        <v>0</v>
      </c>
      <c r="AG53" s="32">
        <v>0</v>
      </c>
      <c r="AH53" s="32">
        <v>0</v>
      </c>
      <c r="AI53" s="32">
        <v>0</v>
      </c>
      <c r="AJ53" s="32" t="s">
        <v>965</v>
      </c>
      <c r="AK53" s="32">
        <v>0</v>
      </c>
      <c r="AL53" s="32">
        <v>0</v>
      </c>
      <c r="AM53" s="32">
        <v>0</v>
      </c>
      <c r="AN53" s="32">
        <v>0</v>
      </c>
      <c r="AO53" s="32">
        <v>0</v>
      </c>
      <c r="AP53" s="32"/>
      <c r="AQ53" s="32">
        <v>0</v>
      </c>
      <c r="AR53" s="32">
        <v>0</v>
      </c>
      <c r="AS53" s="32">
        <v>94968.26</v>
      </c>
      <c r="AT53" s="32" t="s">
        <v>169</v>
      </c>
      <c r="AU53" s="32" t="s">
        <v>180</v>
      </c>
      <c r="AV53" s="32" t="s">
        <v>156</v>
      </c>
      <c r="AW53" s="32" t="s">
        <v>171</v>
      </c>
      <c r="AX53" s="32" t="s">
        <v>966</v>
      </c>
      <c r="AY53" s="32">
        <v>0</v>
      </c>
      <c r="AZ53" s="32">
        <v>80481.58</v>
      </c>
      <c r="BA53" s="32">
        <v>295</v>
      </c>
      <c r="BB53" s="31">
        <v>46209</v>
      </c>
      <c r="BC53" s="32" t="s">
        <v>177</v>
      </c>
      <c r="BD53" s="32" t="s">
        <v>967</v>
      </c>
      <c r="BE53" s="32" t="s">
        <v>967</v>
      </c>
      <c r="BF53" s="32">
        <v>9</v>
      </c>
      <c r="BG53" s="32">
        <v>7243.34</v>
      </c>
      <c r="BH53" s="32">
        <v>9</v>
      </c>
      <c r="BI53" s="32">
        <v>7243.34</v>
      </c>
      <c r="BJ53" s="32">
        <v>0</v>
      </c>
      <c r="BK53" s="32">
        <v>0</v>
      </c>
      <c r="BL53" s="32">
        <v>94968.26</v>
      </c>
      <c r="BM53" s="32">
        <v>672140752330</v>
      </c>
      <c r="BN53" s="31">
        <v>46209</v>
      </c>
      <c r="BO53" s="32">
        <v>542</v>
      </c>
    </row>
    <row r="54" spans="1:67" x14ac:dyDescent="0.25">
      <c r="A54" s="21"/>
      <c r="B54" s="32" t="s">
        <v>167</v>
      </c>
      <c r="C54" s="31">
        <v>46209</v>
      </c>
      <c r="D54" s="32" t="s">
        <v>1038</v>
      </c>
      <c r="E54" s="32" t="s">
        <v>1009</v>
      </c>
      <c r="F54" s="32" t="s">
        <v>684</v>
      </c>
      <c r="G54" s="32" t="s">
        <v>1039</v>
      </c>
      <c r="H54" s="32">
        <v>418.3</v>
      </c>
      <c r="I54" s="32">
        <v>418.3</v>
      </c>
      <c r="J54" s="32" t="s">
        <v>188</v>
      </c>
      <c r="K54" s="32">
        <v>418.3</v>
      </c>
      <c r="L54" s="32">
        <v>0</v>
      </c>
      <c r="M54" s="32">
        <v>418.3</v>
      </c>
      <c r="N54" s="32" t="s">
        <v>175</v>
      </c>
      <c r="O54" s="32" t="s">
        <v>654</v>
      </c>
      <c r="P54" s="32" t="s">
        <v>654</v>
      </c>
      <c r="Q54" s="32" t="s">
        <v>724</v>
      </c>
      <c r="R54" s="31">
        <v>46209</v>
      </c>
      <c r="S54" s="32" t="s">
        <v>987</v>
      </c>
      <c r="T54" s="32" t="s">
        <v>988</v>
      </c>
      <c r="U54" s="32" t="s">
        <v>723</v>
      </c>
      <c r="V54" s="32">
        <v>156.49</v>
      </c>
      <c r="W54" s="32">
        <v>156.490006830369</v>
      </c>
      <c r="X54" s="32" t="s">
        <v>724</v>
      </c>
      <c r="Y54" s="31">
        <v>46209</v>
      </c>
      <c r="Z54" s="32" t="s">
        <v>193</v>
      </c>
      <c r="AA54" s="32" t="s">
        <v>193</v>
      </c>
      <c r="AB54" s="32"/>
      <c r="AC54" s="32" t="s">
        <v>193</v>
      </c>
      <c r="AD54" s="32" t="s">
        <v>193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 t="s">
        <v>965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/>
      <c r="AQ54" s="32">
        <v>0</v>
      </c>
      <c r="AR54" s="32">
        <v>0</v>
      </c>
      <c r="AS54" s="32">
        <v>68732.75</v>
      </c>
      <c r="AT54" s="32" t="s">
        <v>169</v>
      </c>
      <c r="AU54" s="32" t="s">
        <v>170</v>
      </c>
      <c r="AV54" s="32" t="s">
        <v>157</v>
      </c>
      <c r="AW54" s="32" t="s">
        <v>171</v>
      </c>
      <c r="AX54" s="32"/>
      <c r="AY54" s="32">
        <v>0</v>
      </c>
      <c r="AZ54" s="32">
        <v>65459.77</v>
      </c>
      <c r="BA54" s="32">
        <v>294</v>
      </c>
      <c r="BB54" s="31">
        <v>46209</v>
      </c>
      <c r="BC54" s="32" t="s">
        <v>177</v>
      </c>
      <c r="BD54" s="32" t="s">
        <v>967</v>
      </c>
      <c r="BE54" s="32" t="s">
        <v>967</v>
      </c>
      <c r="BF54" s="32">
        <v>2.5</v>
      </c>
      <c r="BG54" s="32">
        <v>1636.49</v>
      </c>
      <c r="BH54" s="32">
        <v>2.5</v>
      </c>
      <c r="BI54" s="32">
        <v>1636.49</v>
      </c>
      <c r="BJ54" s="32">
        <v>0</v>
      </c>
      <c r="BK54" s="32">
        <v>0</v>
      </c>
      <c r="BL54" s="32">
        <v>68732.75</v>
      </c>
      <c r="BM54" s="32">
        <v>682140781324</v>
      </c>
      <c r="BN54" s="31">
        <v>46209</v>
      </c>
      <c r="BO54" s="32">
        <v>418.3</v>
      </c>
    </row>
    <row r="55" spans="1:67" x14ac:dyDescent="0.25">
      <c r="A55" s="21"/>
      <c r="B55" s="32" t="s">
        <v>167</v>
      </c>
      <c r="C55" s="31">
        <v>46210</v>
      </c>
      <c r="D55" s="32" t="s">
        <v>1040</v>
      </c>
      <c r="E55" s="32" t="s">
        <v>178</v>
      </c>
      <c r="F55" s="32" t="s">
        <v>179</v>
      </c>
      <c r="G55" s="32" t="s">
        <v>1041</v>
      </c>
      <c r="H55" s="32">
        <v>813</v>
      </c>
      <c r="I55" s="32">
        <v>813</v>
      </c>
      <c r="J55" s="32" t="s">
        <v>168</v>
      </c>
      <c r="K55" s="32">
        <v>813</v>
      </c>
      <c r="L55" s="32">
        <v>0</v>
      </c>
      <c r="M55" s="32">
        <v>813</v>
      </c>
      <c r="N55" s="32" t="s">
        <v>307</v>
      </c>
      <c r="O55" s="32" t="s">
        <v>654</v>
      </c>
      <c r="P55" s="32" t="s">
        <v>654</v>
      </c>
      <c r="Q55" s="32" t="s">
        <v>728</v>
      </c>
      <c r="R55" s="31">
        <v>46210</v>
      </c>
      <c r="S55" s="32" t="s">
        <v>987</v>
      </c>
      <c r="T55" s="32" t="s">
        <v>988</v>
      </c>
      <c r="U55" s="32" t="s">
        <v>727</v>
      </c>
      <c r="V55" s="32">
        <v>206.49</v>
      </c>
      <c r="W55" s="32">
        <v>206.49</v>
      </c>
      <c r="X55" s="32" t="s">
        <v>728</v>
      </c>
      <c r="Y55" s="31">
        <v>46210</v>
      </c>
      <c r="Z55" s="32" t="s">
        <v>193</v>
      </c>
      <c r="AA55" s="32" t="s">
        <v>193</v>
      </c>
      <c r="AB55" s="32"/>
      <c r="AC55" s="32" t="s">
        <v>193</v>
      </c>
      <c r="AD55" s="32" t="s">
        <v>193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32" t="s">
        <v>965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/>
      <c r="AQ55" s="32">
        <v>0</v>
      </c>
      <c r="AR55" s="32">
        <v>0</v>
      </c>
      <c r="AS55" s="32">
        <v>445487</v>
      </c>
      <c r="AT55" s="32" t="s">
        <v>169</v>
      </c>
      <c r="AU55" s="32" t="s">
        <v>180</v>
      </c>
      <c r="AV55" s="32" t="s">
        <v>156</v>
      </c>
      <c r="AW55" s="32" t="s">
        <v>171</v>
      </c>
      <c r="AX55" s="32" t="s">
        <v>966</v>
      </c>
      <c r="AY55" s="32">
        <v>0</v>
      </c>
      <c r="AZ55" s="32">
        <v>167876.37</v>
      </c>
      <c r="BA55" s="32">
        <v>296</v>
      </c>
      <c r="BB55" s="31">
        <v>46210</v>
      </c>
      <c r="BC55" s="32" t="s">
        <v>177</v>
      </c>
      <c r="BD55" s="32" t="s">
        <v>967</v>
      </c>
      <c r="BE55" s="32" t="s">
        <v>967</v>
      </c>
      <c r="BF55" s="32">
        <v>9</v>
      </c>
      <c r="BG55" s="32">
        <v>15108.87</v>
      </c>
      <c r="BH55" s="32">
        <v>9</v>
      </c>
      <c r="BI55" s="32">
        <v>15108.87</v>
      </c>
      <c r="BJ55" s="32">
        <v>0</v>
      </c>
      <c r="BK55" s="32">
        <v>0</v>
      </c>
      <c r="BL55" s="32">
        <v>445487</v>
      </c>
      <c r="BM55" s="32">
        <v>642141004992</v>
      </c>
      <c r="BN55" s="31">
        <v>46210</v>
      </c>
      <c r="BO55" s="32">
        <v>813</v>
      </c>
    </row>
    <row r="56" spans="1:67" x14ac:dyDescent="0.25">
      <c r="A56" s="21"/>
      <c r="B56" s="32" t="s">
        <v>167</v>
      </c>
      <c r="C56" s="31">
        <v>46210</v>
      </c>
      <c r="D56" s="32" t="s">
        <v>1040</v>
      </c>
      <c r="E56" s="32" t="s">
        <v>186</v>
      </c>
      <c r="F56" s="32" t="s">
        <v>187</v>
      </c>
      <c r="G56" s="32" t="s">
        <v>1041</v>
      </c>
      <c r="H56" s="32">
        <v>1451</v>
      </c>
      <c r="I56" s="32">
        <v>1451</v>
      </c>
      <c r="J56" s="32" t="s">
        <v>168</v>
      </c>
      <c r="K56" s="32">
        <v>1451</v>
      </c>
      <c r="L56" s="32">
        <v>0</v>
      </c>
      <c r="M56" s="32">
        <v>1451</v>
      </c>
      <c r="N56" s="32" t="s">
        <v>307</v>
      </c>
      <c r="O56" s="32" t="s">
        <v>654</v>
      </c>
      <c r="P56" s="32" t="s">
        <v>654</v>
      </c>
      <c r="Q56" s="32" t="s">
        <v>728</v>
      </c>
      <c r="R56" s="31">
        <v>46210</v>
      </c>
      <c r="S56" s="32" t="s">
        <v>987</v>
      </c>
      <c r="T56" s="32" t="s">
        <v>988</v>
      </c>
      <c r="U56" s="32" t="s">
        <v>727</v>
      </c>
      <c r="V56" s="32">
        <v>144.49</v>
      </c>
      <c r="W56" s="32">
        <v>144.49</v>
      </c>
      <c r="X56" s="32" t="s">
        <v>728</v>
      </c>
      <c r="Y56" s="31">
        <v>46210</v>
      </c>
      <c r="Z56" s="32" t="s">
        <v>193</v>
      </c>
      <c r="AA56" s="32" t="s">
        <v>193</v>
      </c>
      <c r="AB56" s="32"/>
      <c r="AC56" s="32" t="s">
        <v>193</v>
      </c>
      <c r="AD56" s="32" t="s">
        <v>193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 t="s">
        <v>965</v>
      </c>
      <c r="AK56" s="32">
        <v>0</v>
      </c>
      <c r="AL56" s="32">
        <v>0</v>
      </c>
      <c r="AM56" s="32">
        <v>0</v>
      </c>
      <c r="AN56" s="32">
        <v>0</v>
      </c>
      <c r="AO56" s="32">
        <v>0</v>
      </c>
      <c r="AP56" s="32"/>
      <c r="AQ56" s="32">
        <v>0</v>
      </c>
      <c r="AR56" s="32">
        <v>0</v>
      </c>
      <c r="AS56" s="32">
        <v>445487</v>
      </c>
      <c r="AT56" s="32" t="s">
        <v>169</v>
      </c>
      <c r="AU56" s="32" t="s">
        <v>180</v>
      </c>
      <c r="AV56" s="32" t="s">
        <v>155</v>
      </c>
      <c r="AW56" s="32" t="s">
        <v>171</v>
      </c>
      <c r="AX56" s="32" t="s">
        <v>966</v>
      </c>
      <c r="AY56" s="32">
        <v>0</v>
      </c>
      <c r="AZ56" s="32">
        <v>209654.99</v>
      </c>
      <c r="BA56" s="32">
        <v>296</v>
      </c>
      <c r="BB56" s="31">
        <v>46210</v>
      </c>
      <c r="BC56" s="32" t="s">
        <v>177</v>
      </c>
      <c r="BD56" s="32" t="s">
        <v>967</v>
      </c>
      <c r="BE56" s="32" t="s">
        <v>967</v>
      </c>
      <c r="BF56" s="32">
        <v>9</v>
      </c>
      <c r="BG56" s="32">
        <v>18868.95</v>
      </c>
      <c r="BH56" s="32">
        <v>9</v>
      </c>
      <c r="BI56" s="32">
        <v>18868.95</v>
      </c>
      <c r="BJ56" s="32">
        <v>0</v>
      </c>
      <c r="BK56" s="32">
        <v>0</v>
      </c>
      <c r="BL56" s="32">
        <v>0</v>
      </c>
      <c r="BM56" s="32">
        <v>642141004992</v>
      </c>
      <c r="BN56" s="31">
        <v>46210</v>
      </c>
      <c r="BO56" s="32">
        <v>1451</v>
      </c>
    </row>
    <row r="57" spans="1:67" x14ac:dyDescent="0.25">
      <c r="A57" s="21"/>
      <c r="B57" s="32" t="s">
        <v>167</v>
      </c>
      <c r="C57" s="31">
        <v>46210</v>
      </c>
      <c r="D57" s="32" t="s">
        <v>1042</v>
      </c>
      <c r="E57" s="32" t="s">
        <v>190</v>
      </c>
      <c r="F57" s="32" t="s">
        <v>191</v>
      </c>
      <c r="G57" s="32" t="s">
        <v>1043</v>
      </c>
      <c r="H57" s="32">
        <v>19278.400000000001</v>
      </c>
      <c r="I57" s="32">
        <v>19278.400000000001</v>
      </c>
      <c r="J57" s="32" t="s">
        <v>168</v>
      </c>
      <c r="K57" s="32">
        <v>19278.400000000001</v>
      </c>
      <c r="L57" s="32">
        <v>0</v>
      </c>
      <c r="M57" s="32">
        <v>19278.400000000001</v>
      </c>
      <c r="N57" s="32" t="s">
        <v>583</v>
      </c>
      <c r="O57" s="32" t="s">
        <v>676</v>
      </c>
      <c r="P57" s="32" t="s">
        <v>676</v>
      </c>
      <c r="Q57" s="32" t="s">
        <v>726</v>
      </c>
      <c r="R57" s="31">
        <v>46209</v>
      </c>
      <c r="S57" s="32" t="s">
        <v>987</v>
      </c>
      <c r="T57" s="32" t="s">
        <v>988</v>
      </c>
      <c r="U57" s="32" t="s">
        <v>725</v>
      </c>
      <c r="V57" s="32">
        <v>237.09</v>
      </c>
      <c r="W57" s="32">
        <v>237.090000175836</v>
      </c>
      <c r="X57" s="32" t="s">
        <v>726</v>
      </c>
      <c r="Y57" s="31">
        <v>46209</v>
      </c>
      <c r="Z57" s="32"/>
      <c r="AA57" s="32">
        <v>0</v>
      </c>
      <c r="AB57" s="32"/>
      <c r="AC57" s="32">
        <v>0</v>
      </c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32" t="s">
        <v>965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/>
      <c r="AQ57" s="32">
        <v>0</v>
      </c>
      <c r="AR57" s="32">
        <v>0</v>
      </c>
      <c r="AS57" s="32">
        <v>5393444.7199999997</v>
      </c>
      <c r="AT57" s="32" t="s">
        <v>192</v>
      </c>
      <c r="AU57" s="32" t="s">
        <v>152</v>
      </c>
      <c r="AV57" s="32" t="s">
        <v>152</v>
      </c>
      <c r="AW57" s="32" t="s">
        <v>171</v>
      </c>
      <c r="AX57" s="32" t="s">
        <v>966</v>
      </c>
      <c r="AY57" s="32">
        <v>0</v>
      </c>
      <c r="AZ57" s="32">
        <v>4570715.8600000003</v>
      </c>
      <c r="BA57" s="32">
        <v>297</v>
      </c>
      <c r="BB57" s="31">
        <v>46210</v>
      </c>
      <c r="BC57" s="32" t="s">
        <v>172</v>
      </c>
      <c r="BD57" s="32" t="s">
        <v>967</v>
      </c>
      <c r="BE57" s="32" t="s">
        <v>967</v>
      </c>
      <c r="BF57" s="32">
        <v>9</v>
      </c>
      <c r="BG57" s="32">
        <v>411364.43</v>
      </c>
      <c r="BH57" s="32">
        <v>9</v>
      </c>
      <c r="BI57" s="32">
        <v>411364.43</v>
      </c>
      <c r="BJ57" s="32">
        <v>0</v>
      </c>
      <c r="BK57" s="32">
        <v>0</v>
      </c>
      <c r="BL57" s="32">
        <v>5393444.7199999997</v>
      </c>
      <c r="BM57" s="32">
        <v>642140809608</v>
      </c>
      <c r="BN57" s="31">
        <v>46209</v>
      </c>
      <c r="BO57" s="32">
        <v>19278.400000000001</v>
      </c>
    </row>
    <row r="58" spans="1:67" x14ac:dyDescent="0.25">
      <c r="A58" s="21"/>
      <c r="B58" s="32" t="s">
        <v>167</v>
      </c>
      <c r="C58" s="31">
        <v>46210</v>
      </c>
      <c r="D58" s="32" t="s">
        <v>1044</v>
      </c>
      <c r="E58" s="32" t="s">
        <v>173</v>
      </c>
      <c r="F58" s="32" t="s">
        <v>174</v>
      </c>
      <c r="G58" s="32" t="s">
        <v>1045</v>
      </c>
      <c r="H58" s="32">
        <v>740.6</v>
      </c>
      <c r="I58" s="32">
        <v>740.6</v>
      </c>
      <c r="J58" s="32" t="s">
        <v>168</v>
      </c>
      <c r="K58" s="32">
        <v>740.6</v>
      </c>
      <c r="L58" s="32">
        <v>0</v>
      </c>
      <c r="M58" s="32">
        <v>740.6</v>
      </c>
      <c r="N58" s="32" t="s">
        <v>175</v>
      </c>
      <c r="O58" s="32" t="s">
        <v>654</v>
      </c>
      <c r="P58" s="32" t="s">
        <v>654</v>
      </c>
      <c r="Q58" s="32" t="s">
        <v>730</v>
      </c>
      <c r="R58" s="31">
        <v>46210</v>
      </c>
      <c r="S58" s="32" t="s">
        <v>987</v>
      </c>
      <c r="T58" s="32" t="s">
        <v>988</v>
      </c>
      <c r="U58" s="32" t="s">
        <v>729</v>
      </c>
      <c r="V58" s="32">
        <v>206.78</v>
      </c>
      <c r="W58" s="32">
        <v>206.78000095413299</v>
      </c>
      <c r="X58" s="32" t="s">
        <v>730</v>
      </c>
      <c r="Y58" s="31">
        <v>46210</v>
      </c>
      <c r="Z58" s="32" t="s">
        <v>193</v>
      </c>
      <c r="AA58" s="32" t="s">
        <v>193</v>
      </c>
      <c r="AB58" s="32"/>
      <c r="AC58" s="32" t="s">
        <v>193</v>
      </c>
      <c r="AD58" s="32" t="s">
        <v>193</v>
      </c>
      <c r="AE58" s="32">
        <v>0</v>
      </c>
      <c r="AF58" s="32">
        <v>0</v>
      </c>
      <c r="AG58" s="32">
        <v>0</v>
      </c>
      <c r="AH58" s="32">
        <v>0</v>
      </c>
      <c r="AI58" s="32">
        <v>0</v>
      </c>
      <c r="AJ58" s="32" t="s">
        <v>965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2"/>
      <c r="AQ58" s="32">
        <v>0</v>
      </c>
      <c r="AR58" s="32">
        <v>0</v>
      </c>
      <c r="AS58" s="32">
        <v>650160.74</v>
      </c>
      <c r="AT58" s="32" t="s">
        <v>169</v>
      </c>
      <c r="AU58" s="32" t="s">
        <v>176</v>
      </c>
      <c r="AV58" s="32" t="s">
        <v>159</v>
      </c>
      <c r="AW58" s="32" t="s">
        <v>661</v>
      </c>
      <c r="AX58" s="32" t="s">
        <v>966</v>
      </c>
      <c r="AY58" s="32">
        <v>0</v>
      </c>
      <c r="AZ58" s="32">
        <v>153141.26999999999</v>
      </c>
      <c r="BA58" s="32">
        <v>298</v>
      </c>
      <c r="BB58" s="31">
        <v>46210</v>
      </c>
      <c r="BC58" s="32" t="s">
        <v>177</v>
      </c>
      <c r="BD58" s="32" t="s">
        <v>967</v>
      </c>
      <c r="BE58" s="32" t="s">
        <v>967</v>
      </c>
      <c r="BF58" s="32">
        <v>9</v>
      </c>
      <c r="BG58" s="32">
        <v>13782.71</v>
      </c>
      <c r="BH58" s="32">
        <v>9</v>
      </c>
      <c r="BI58" s="32">
        <v>13782.71</v>
      </c>
      <c r="BJ58" s="32">
        <v>0</v>
      </c>
      <c r="BK58" s="32">
        <v>0</v>
      </c>
      <c r="BL58" s="32">
        <v>650160.74</v>
      </c>
      <c r="BM58" s="32">
        <v>692141259245</v>
      </c>
      <c r="BN58" s="31">
        <v>46210</v>
      </c>
      <c r="BO58" s="32">
        <v>740.6</v>
      </c>
    </row>
    <row r="59" spans="1:67" x14ac:dyDescent="0.25">
      <c r="A59" s="21"/>
      <c r="B59" s="32" t="s">
        <v>167</v>
      </c>
      <c r="C59" s="31">
        <v>46210</v>
      </c>
      <c r="D59" s="32" t="s">
        <v>1044</v>
      </c>
      <c r="E59" s="32" t="s">
        <v>186</v>
      </c>
      <c r="F59" s="32" t="s">
        <v>187</v>
      </c>
      <c r="G59" s="32" t="s">
        <v>1045</v>
      </c>
      <c r="H59" s="32">
        <v>575</v>
      </c>
      <c r="I59" s="32">
        <v>575</v>
      </c>
      <c r="J59" s="32" t="s">
        <v>168</v>
      </c>
      <c r="K59" s="32">
        <v>575</v>
      </c>
      <c r="L59" s="32">
        <v>0</v>
      </c>
      <c r="M59" s="32">
        <v>575</v>
      </c>
      <c r="N59" s="32" t="s">
        <v>175</v>
      </c>
      <c r="O59" s="32" t="s">
        <v>654</v>
      </c>
      <c r="P59" s="32" t="s">
        <v>654</v>
      </c>
      <c r="Q59" s="32" t="s">
        <v>730</v>
      </c>
      <c r="R59" s="31">
        <v>46210</v>
      </c>
      <c r="S59" s="32" t="s">
        <v>987</v>
      </c>
      <c r="T59" s="32" t="s">
        <v>988</v>
      </c>
      <c r="U59" s="32" t="s">
        <v>729</v>
      </c>
      <c r="V59" s="32">
        <v>144.49</v>
      </c>
      <c r="W59" s="32">
        <v>144.49000066671201</v>
      </c>
      <c r="X59" s="32" t="s">
        <v>730</v>
      </c>
      <c r="Y59" s="31">
        <v>46210</v>
      </c>
      <c r="Z59" s="32" t="s">
        <v>193</v>
      </c>
      <c r="AA59" s="32" t="s">
        <v>193</v>
      </c>
      <c r="AB59" s="32"/>
      <c r="AC59" s="32" t="s">
        <v>193</v>
      </c>
      <c r="AD59" s="32" t="s">
        <v>193</v>
      </c>
      <c r="AE59" s="32">
        <v>0</v>
      </c>
      <c r="AF59" s="32">
        <v>0</v>
      </c>
      <c r="AG59" s="32">
        <v>0</v>
      </c>
      <c r="AH59" s="32">
        <v>0</v>
      </c>
      <c r="AI59" s="32">
        <v>0</v>
      </c>
      <c r="AJ59" s="32" t="s">
        <v>965</v>
      </c>
      <c r="AK59" s="32">
        <v>0</v>
      </c>
      <c r="AL59" s="32">
        <v>0</v>
      </c>
      <c r="AM59" s="32">
        <v>0</v>
      </c>
      <c r="AN59" s="32">
        <v>0</v>
      </c>
      <c r="AO59" s="32">
        <v>0</v>
      </c>
      <c r="AP59" s="32"/>
      <c r="AQ59" s="32">
        <v>0</v>
      </c>
      <c r="AR59" s="32">
        <v>0</v>
      </c>
      <c r="AS59" s="32">
        <v>650160.74</v>
      </c>
      <c r="AT59" s="32" t="s">
        <v>169</v>
      </c>
      <c r="AU59" s="32" t="s">
        <v>180</v>
      </c>
      <c r="AV59" s="32" t="s">
        <v>155</v>
      </c>
      <c r="AW59" s="32" t="s">
        <v>661</v>
      </c>
      <c r="AX59" s="32" t="s">
        <v>966</v>
      </c>
      <c r="AY59" s="32">
        <v>0</v>
      </c>
      <c r="AZ59" s="32">
        <v>83081.75</v>
      </c>
      <c r="BA59" s="32">
        <v>298</v>
      </c>
      <c r="BB59" s="31">
        <v>46210</v>
      </c>
      <c r="BC59" s="32" t="s">
        <v>177</v>
      </c>
      <c r="BD59" s="32" t="s">
        <v>967</v>
      </c>
      <c r="BE59" s="32" t="s">
        <v>967</v>
      </c>
      <c r="BF59" s="32">
        <v>9</v>
      </c>
      <c r="BG59" s="32">
        <v>7477.36</v>
      </c>
      <c r="BH59" s="32">
        <v>9</v>
      </c>
      <c r="BI59" s="32">
        <v>7477.36</v>
      </c>
      <c r="BJ59" s="32">
        <v>0</v>
      </c>
      <c r="BK59" s="32">
        <v>0</v>
      </c>
      <c r="BL59" s="32">
        <v>0</v>
      </c>
      <c r="BM59" s="32">
        <v>692141259245</v>
      </c>
      <c r="BN59" s="31">
        <v>46210</v>
      </c>
      <c r="BO59" s="32">
        <v>575</v>
      </c>
    </row>
    <row r="60" spans="1:67" x14ac:dyDescent="0.25">
      <c r="A60" s="21"/>
      <c r="B60" s="32" t="s">
        <v>167</v>
      </c>
      <c r="C60" s="31">
        <v>46210</v>
      </c>
      <c r="D60" s="32" t="s">
        <v>1044</v>
      </c>
      <c r="E60" s="32" t="s">
        <v>178</v>
      </c>
      <c r="F60" s="32" t="s">
        <v>179</v>
      </c>
      <c r="G60" s="32" t="s">
        <v>1045</v>
      </c>
      <c r="H60" s="32">
        <v>1978</v>
      </c>
      <c r="I60" s="32">
        <v>1978</v>
      </c>
      <c r="J60" s="32" t="s">
        <v>168</v>
      </c>
      <c r="K60" s="32">
        <v>1978</v>
      </c>
      <c r="L60" s="32">
        <v>0</v>
      </c>
      <c r="M60" s="32">
        <v>1978</v>
      </c>
      <c r="N60" s="32" t="s">
        <v>175</v>
      </c>
      <c r="O60" s="32" t="s">
        <v>654</v>
      </c>
      <c r="P60" s="32" t="s">
        <v>654</v>
      </c>
      <c r="Q60" s="32" t="s">
        <v>730</v>
      </c>
      <c r="R60" s="31">
        <v>46210</v>
      </c>
      <c r="S60" s="32" t="s">
        <v>987</v>
      </c>
      <c r="T60" s="32" t="s">
        <v>988</v>
      </c>
      <c r="U60" s="32" t="s">
        <v>729</v>
      </c>
      <c r="V60" s="32">
        <v>151.49</v>
      </c>
      <c r="W60" s="32">
        <v>151.490000699012</v>
      </c>
      <c r="X60" s="32" t="s">
        <v>730</v>
      </c>
      <c r="Y60" s="31">
        <v>46210</v>
      </c>
      <c r="Z60" s="32" t="s">
        <v>193</v>
      </c>
      <c r="AA60" s="32" t="s">
        <v>193</v>
      </c>
      <c r="AB60" s="32"/>
      <c r="AC60" s="32" t="s">
        <v>193</v>
      </c>
      <c r="AD60" s="32" t="s">
        <v>193</v>
      </c>
      <c r="AE60" s="32">
        <v>0</v>
      </c>
      <c r="AF60" s="32">
        <v>0</v>
      </c>
      <c r="AG60" s="32">
        <v>0</v>
      </c>
      <c r="AH60" s="32">
        <v>0</v>
      </c>
      <c r="AI60" s="32">
        <v>0</v>
      </c>
      <c r="AJ60" s="32" t="s">
        <v>965</v>
      </c>
      <c r="AK60" s="32">
        <v>0</v>
      </c>
      <c r="AL60" s="32">
        <v>0</v>
      </c>
      <c r="AM60" s="32">
        <v>0</v>
      </c>
      <c r="AN60" s="32">
        <v>0</v>
      </c>
      <c r="AO60" s="32">
        <v>0</v>
      </c>
      <c r="AP60" s="32"/>
      <c r="AQ60" s="32">
        <v>0</v>
      </c>
      <c r="AR60" s="32">
        <v>0</v>
      </c>
      <c r="AS60" s="32">
        <v>650160.74</v>
      </c>
      <c r="AT60" s="32" t="s">
        <v>169</v>
      </c>
      <c r="AU60" s="32" t="s">
        <v>180</v>
      </c>
      <c r="AV60" s="32" t="s">
        <v>156</v>
      </c>
      <c r="AW60" s="32" t="s">
        <v>661</v>
      </c>
      <c r="AX60" s="32" t="s">
        <v>966</v>
      </c>
      <c r="AY60" s="32">
        <v>0</v>
      </c>
      <c r="AZ60" s="32">
        <v>299647.21999999997</v>
      </c>
      <c r="BA60" s="32">
        <v>298</v>
      </c>
      <c r="BB60" s="31">
        <v>46210</v>
      </c>
      <c r="BC60" s="32" t="s">
        <v>177</v>
      </c>
      <c r="BD60" s="32" t="s">
        <v>967</v>
      </c>
      <c r="BE60" s="32" t="s">
        <v>967</v>
      </c>
      <c r="BF60" s="32">
        <v>9</v>
      </c>
      <c r="BG60" s="32">
        <v>26968.25</v>
      </c>
      <c r="BH60" s="32">
        <v>9</v>
      </c>
      <c r="BI60" s="32">
        <v>26968.25</v>
      </c>
      <c r="BJ60" s="32">
        <v>0</v>
      </c>
      <c r="BK60" s="32">
        <v>0</v>
      </c>
      <c r="BL60" s="32">
        <v>0</v>
      </c>
      <c r="BM60" s="32">
        <v>692141259245</v>
      </c>
      <c r="BN60" s="31">
        <v>46210</v>
      </c>
      <c r="BO60" s="32">
        <v>1978</v>
      </c>
    </row>
    <row r="61" spans="1:67" x14ac:dyDescent="0.25">
      <c r="A61" s="21"/>
      <c r="B61" s="32" t="s">
        <v>167</v>
      </c>
      <c r="C61" s="31">
        <v>46210</v>
      </c>
      <c r="D61" s="32" t="s">
        <v>1044</v>
      </c>
      <c r="E61" s="32" t="s">
        <v>181</v>
      </c>
      <c r="F61" s="32" t="s">
        <v>182</v>
      </c>
      <c r="G61" s="32" t="s">
        <v>1045</v>
      </c>
      <c r="H61" s="32">
        <v>101.1</v>
      </c>
      <c r="I61" s="32">
        <v>101.1</v>
      </c>
      <c r="J61" s="32" t="s">
        <v>168</v>
      </c>
      <c r="K61" s="32">
        <v>101.1</v>
      </c>
      <c r="L61" s="32">
        <v>0</v>
      </c>
      <c r="M61" s="32">
        <v>101.1</v>
      </c>
      <c r="N61" s="32" t="s">
        <v>175</v>
      </c>
      <c r="O61" s="32" t="s">
        <v>654</v>
      </c>
      <c r="P61" s="32" t="s">
        <v>654</v>
      </c>
      <c r="Q61" s="32" t="s">
        <v>730</v>
      </c>
      <c r="R61" s="31">
        <v>46210</v>
      </c>
      <c r="S61" s="32" t="s">
        <v>987</v>
      </c>
      <c r="T61" s="32" t="s">
        <v>988</v>
      </c>
      <c r="U61" s="32" t="s">
        <v>729</v>
      </c>
      <c r="V61" s="32">
        <v>149.49</v>
      </c>
      <c r="W61" s="32">
        <v>149.49000068978299</v>
      </c>
      <c r="X61" s="32" t="s">
        <v>730</v>
      </c>
      <c r="Y61" s="31">
        <v>46210</v>
      </c>
      <c r="Z61" s="32" t="s">
        <v>193</v>
      </c>
      <c r="AA61" s="32" t="s">
        <v>193</v>
      </c>
      <c r="AB61" s="32"/>
      <c r="AC61" s="32" t="s">
        <v>193</v>
      </c>
      <c r="AD61" s="32" t="s">
        <v>193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 t="s">
        <v>965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/>
      <c r="AQ61" s="32">
        <v>0</v>
      </c>
      <c r="AR61" s="32">
        <v>0</v>
      </c>
      <c r="AS61" s="32">
        <v>650160.74</v>
      </c>
      <c r="AT61" s="32" t="s">
        <v>169</v>
      </c>
      <c r="AU61" s="32" t="s">
        <v>182</v>
      </c>
      <c r="AV61" s="32" t="s">
        <v>154</v>
      </c>
      <c r="AW61" s="32" t="s">
        <v>661</v>
      </c>
      <c r="AX61" s="32" t="s">
        <v>966</v>
      </c>
      <c r="AY61" s="32">
        <v>0</v>
      </c>
      <c r="AZ61" s="32">
        <v>15113.44</v>
      </c>
      <c r="BA61" s="32">
        <v>298</v>
      </c>
      <c r="BB61" s="31">
        <v>46210</v>
      </c>
      <c r="BC61" s="32" t="s">
        <v>177</v>
      </c>
      <c r="BD61" s="32" t="s">
        <v>967</v>
      </c>
      <c r="BE61" s="32" t="s">
        <v>967</v>
      </c>
      <c r="BF61" s="32">
        <v>9</v>
      </c>
      <c r="BG61" s="32">
        <v>1360.21</v>
      </c>
      <c r="BH61" s="32">
        <v>9</v>
      </c>
      <c r="BI61" s="32">
        <v>1360.21</v>
      </c>
      <c r="BJ61" s="32">
        <v>0</v>
      </c>
      <c r="BK61" s="32">
        <v>0</v>
      </c>
      <c r="BL61" s="32">
        <v>0</v>
      </c>
      <c r="BM61" s="32">
        <v>692141259245</v>
      </c>
      <c r="BN61" s="31">
        <v>46210</v>
      </c>
      <c r="BO61" s="32">
        <v>101.1</v>
      </c>
    </row>
    <row r="62" spans="1:67" x14ac:dyDescent="0.25">
      <c r="A62" s="21"/>
      <c r="B62" s="32" t="s">
        <v>167</v>
      </c>
      <c r="C62" s="31">
        <v>46211</v>
      </c>
      <c r="D62" s="32" t="s">
        <v>1046</v>
      </c>
      <c r="E62" s="32" t="s">
        <v>1047</v>
      </c>
      <c r="F62" s="32" t="s">
        <v>735</v>
      </c>
      <c r="G62" s="32" t="s">
        <v>1048</v>
      </c>
      <c r="H62" s="32">
        <v>100</v>
      </c>
      <c r="I62" s="32">
        <v>100</v>
      </c>
      <c r="J62" s="32" t="s">
        <v>168</v>
      </c>
      <c r="K62" s="32">
        <v>100</v>
      </c>
      <c r="L62" s="32">
        <v>0</v>
      </c>
      <c r="M62" s="32">
        <v>100</v>
      </c>
      <c r="N62" s="32" t="s">
        <v>960</v>
      </c>
      <c r="O62" s="32" t="s">
        <v>654</v>
      </c>
      <c r="P62" s="32" t="s">
        <v>654</v>
      </c>
      <c r="Q62" s="32" t="s">
        <v>732</v>
      </c>
      <c r="R62" s="31">
        <v>46211</v>
      </c>
      <c r="S62" s="32" t="s">
        <v>987</v>
      </c>
      <c r="T62" s="32" t="s">
        <v>988</v>
      </c>
      <c r="U62" s="32" t="s">
        <v>731</v>
      </c>
      <c r="V62" s="32">
        <v>159</v>
      </c>
      <c r="W62" s="32">
        <v>159</v>
      </c>
      <c r="X62" s="32" t="s">
        <v>732</v>
      </c>
      <c r="Y62" s="31">
        <v>46211</v>
      </c>
      <c r="Z62" s="32"/>
      <c r="AA62" s="32">
        <v>0</v>
      </c>
      <c r="AB62" s="32"/>
      <c r="AC62" s="32">
        <v>0</v>
      </c>
      <c r="AD62" s="32">
        <v>0</v>
      </c>
      <c r="AE62" s="32">
        <v>0</v>
      </c>
      <c r="AF62" s="32">
        <v>0</v>
      </c>
      <c r="AG62" s="32">
        <v>0</v>
      </c>
      <c r="AH62" s="32">
        <v>0</v>
      </c>
      <c r="AI62" s="32">
        <v>0</v>
      </c>
      <c r="AJ62" s="32" t="s">
        <v>965</v>
      </c>
      <c r="AK62" s="32">
        <v>0</v>
      </c>
      <c r="AL62" s="32">
        <v>0</v>
      </c>
      <c r="AM62" s="32">
        <v>0</v>
      </c>
      <c r="AN62" s="32">
        <v>0</v>
      </c>
      <c r="AO62" s="32">
        <v>0</v>
      </c>
      <c r="AP62" s="32"/>
      <c r="AQ62" s="32">
        <v>0</v>
      </c>
      <c r="AR62" s="32">
        <v>0</v>
      </c>
      <c r="AS62" s="32">
        <v>18762</v>
      </c>
      <c r="AT62" s="32" t="s">
        <v>171</v>
      </c>
      <c r="AU62" s="32" t="s">
        <v>185</v>
      </c>
      <c r="AV62" s="32" t="s">
        <v>733</v>
      </c>
      <c r="AW62" s="32" t="s">
        <v>171</v>
      </c>
      <c r="AX62" s="32"/>
      <c r="AY62" s="32">
        <v>0</v>
      </c>
      <c r="AZ62" s="32">
        <v>15900</v>
      </c>
      <c r="BA62" s="32">
        <v>299</v>
      </c>
      <c r="BB62" s="31">
        <v>46211</v>
      </c>
      <c r="BC62" s="32" t="s">
        <v>177</v>
      </c>
      <c r="BD62" s="32" t="s">
        <v>967</v>
      </c>
      <c r="BE62" s="32" t="s">
        <v>967</v>
      </c>
      <c r="BF62" s="32">
        <v>9</v>
      </c>
      <c r="BG62" s="32">
        <v>1431</v>
      </c>
      <c r="BH62" s="32">
        <v>9</v>
      </c>
      <c r="BI62" s="32">
        <v>1431</v>
      </c>
      <c r="BJ62" s="32">
        <v>0</v>
      </c>
      <c r="BK62" s="32">
        <v>0</v>
      </c>
      <c r="BL62" s="32">
        <v>18762</v>
      </c>
      <c r="BM62" s="32">
        <v>632141514766</v>
      </c>
      <c r="BN62" s="31">
        <v>46211</v>
      </c>
      <c r="BO62" s="32">
        <v>100</v>
      </c>
    </row>
    <row r="63" spans="1:67" x14ac:dyDescent="0.25">
      <c r="A63" s="21"/>
      <c r="B63" s="32" t="s">
        <v>167</v>
      </c>
      <c r="C63" s="31">
        <v>46211</v>
      </c>
      <c r="D63" s="32" t="s">
        <v>1049</v>
      </c>
      <c r="E63" s="32" t="s">
        <v>190</v>
      </c>
      <c r="F63" s="32" t="s">
        <v>191</v>
      </c>
      <c r="G63" s="32" t="s">
        <v>1050</v>
      </c>
      <c r="H63" s="32">
        <v>1022</v>
      </c>
      <c r="I63" s="32">
        <v>1022</v>
      </c>
      <c r="J63" s="32" t="s">
        <v>168</v>
      </c>
      <c r="K63" s="32">
        <v>1022</v>
      </c>
      <c r="L63" s="32">
        <v>0</v>
      </c>
      <c r="M63" s="32">
        <v>1022</v>
      </c>
      <c r="N63" s="32" t="s">
        <v>1051</v>
      </c>
      <c r="O63" s="32" t="s">
        <v>659</v>
      </c>
      <c r="P63" s="32" t="s">
        <v>659</v>
      </c>
      <c r="Q63" s="32" t="s">
        <v>743</v>
      </c>
      <c r="R63" s="31">
        <v>46210</v>
      </c>
      <c r="S63" s="32" t="s">
        <v>987</v>
      </c>
      <c r="T63" s="32" t="s">
        <v>988</v>
      </c>
      <c r="U63" s="32" t="s">
        <v>742</v>
      </c>
      <c r="V63" s="32">
        <v>250.92</v>
      </c>
      <c r="W63" s="32">
        <v>250.92</v>
      </c>
      <c r="X63" s="32" t="s">
        <v>743</v>
      </c>
      <c r="Y63" s="31">
        <v>46210</v>
      </c>
      <c r="Z63" s="32"/>
      <c r="AA63" s="32">
        <v>0</v>
      </c>
      <c r="AB63" s="32"/>
      <c r="AC63" s="32" t="s">
        <v>1033</v>
      </c>
      <c r="AD63" s="32">
        <v>2340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 t="s">
        <v>965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/>
      <c r="AQ63" s="32">
        <v>0</v>
      </c>
      <c r="AR63" s="32">
        <v>0</v>
      </c>
      <c r="AS63" s="32">
        <v>816796.92</v>
      </c>
      <c r="AT63" s="32" t="s">
        <v>192</v>
      </c>
      <c r="AU63" s="32" t="s">
        <v>152</v>
      </c>
      <c r="AV63" s="32" t="s">
        <v>152</v>
      </c>
      <c r="AW63" s="32" t="s">
        <v>171</v>
      </c>
      <c r="AX63" s="32" t="s">
        <v>966</v>
      </c>
      <c r="AY63" s="32">
        <v>0</v>
      </c>
      <c r="AZ63" s="32">
        <v>256440.24</v>
      </c>
      <c r="BA63" s="32">
        <v>300</v>
      </c>
      <c r="BB63" s="31">
        <v>46211</v>
      </c>
      <c r="BC63" s="32" t="s">
        <v>177</v>
      </c>
      <c r="BD63" s="32" t="s">
        <v>967</v>
      </c>
      <c r="BE63" s="32" t="s">
        <v>967</v>
      </c>
      <c r="BF63" s="32">
        <v>9</v>
      </c>
      <c r="BG63" s="32">
        <v>23079.62</v>
      </c>
      <c r="BH63" s="32">
        <v>9</v>
      </c>
      <c r="BI63" s="32">
        <v>23079.62</v>
      </c>
      <c r="BJ63" s="32">
        <v>0</v>
      </c>
      <c r="BK63" s="32">
        <v>0</v>
      </c>
      <c r="BL63" s="32">
        <v>816796.92</v>
      </c>
      <c r="BM63" s="32">
        <v>682141342047</v>
      </c>
      <c r="BN63" s="31">
        <v>46210</v>
      </c>
      <c r="BO63" s="32">
        <v>1022</v>
      </c>
    </row>
    <row r="64" spans="1:67" x14ac:dyDescent="0.25">
      <c r="A64" s="21"/>
      <c r="B64" s="32" t="s">
        <v>167</v>
      </c>
      <c r="C64" s="31">
        <v>46211</v>
      </c>
      <c r="D64" s="32" t="s">
        <v>1049</v>
      </c>
      <c r="E64" s="32" t="s">
        <v>190</v>
      </c>
      <c r="F64" s="32" t="s">
        <v>191</v>
      </c>
      <c r="G64" s="32" t="s">
        <v>1050</v>
      </c>
      <c r="H64" s="32">
        <v>401</v>
      </c>
      <c r="I64" s="32">
        <v>401</v>
      </c>
      <c r="J64" s="32" t="s">
        <v>168</v>
      </c>
      <c r="K64" s="32">
        <v>401</v>
      </c>
      <c r="L64" s="32">
        <v>0</v>
      </c>
      <c r="M64" s="32">
        <v>401</v>
      </c>
      <c r="N64" s="32" t="s">
        <v>1051</v>
      </c>
      <c r="O64" s="32" t="s">
        <v>659</v>
      </c>
      <c r="P64" s="32" t="s">
        <v>659</v>
      </c>
      <c r="Q64" s="32" t="s">
        <v>743</v>
      </c>
      <c r="R64" s="31">
        <v>46210</v>
      </c>
      <c r="S64" s="32" t="s">
        <v>987</v>
      </c>
      <c r="T64" s="32" t="s">
        <v>988</v>
      </c>
      <c r="U64" s="32" t="s">
        <v>742</v>
      </c>
      <c r="V64" s="32">
        <v>272.54000000000002</v>
      </c>
      <c r="W64" s="32">
        <v>272.54000000000002</v>
      </c>
      <c r="X64" s="32" t="s">
        <v>743</v>
      </c>
      <c r="Y64" s="31">
        <v>46210</v>
      </c>
      <c r="Z64" s="32"/>
      <c r="AA64" s="32">
        <v>0</v>
      </c>
      <c r="AB64" s="32"/>
      <c r="AC64" s="32" t="s">
        <v>1033</v>
      </c>
      <c r="AD64" s="32">
        <v>2340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32" t="s">
        <v>965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/>
      <c r="AQ64" s="32">
        <v>0</v>
      </c>
      <c r="AR64" s="32">
        <v>0</v>
      </c>
      <c r="AS64" s="32">
        <v>816796.92</v>
      </c>
      <c r="AT64" s="32" t="s">
        <v>192</v>
      </c>
      <c r="AU64" s="32" t="s">
        <v>152</v>
      </c>
      <c r="AV64" s="32" t="s">
        <v>152</v>
      </c>
      <c r="AW64" s="32" t="s">
        <v>171</v>
      </c>
      <c r="AX64" s="32" t="s">
        <v>966</v>
      </c>
      <c r="AY64" s="32">
        <v>0</v>
      </c>
      <c r="AZ64" s="32">
        <v>109288.54</v>
      </c>
      <c r="BA64" s="32">
        <v>300</v>
      </c>
      <c r="BB64" s="31">
        <v>46211</v>
      </c>
      <c r="BC64" s="32" t="s">
        <v>177</v>
      </c>
      <c r="BD64" s="32" t="s">
        <v>967</v>
      </c>
      <c r="BE64" s="32" t="s">
        <v>967</v>
      </c>
      <c r="BF64" s="32">
        <v>9</v>
      </c>
      <c r="BG64" s="32">
        <v>9835.9699999999993</v>
      </c>
      <c r="BH64" s="32">
        <v>9</v>
      </c>
      <c r="BI64" s="32">
        <v>9835.9699999999993</v>
      </c>
      <c r="BJ64" s="32">
        <v>0</v>
      </c>
      <c r="BK64" s="32">
        <v>0</v>
      </c>
      <c r="BL64" s="32">
        <v>0</v>
      </c>
      <c r="BM64" s="32">
        <v>682141342047</v>
      </c>
      <c r="BN64" s="31">
        <v>46210</v>
      </c>
      <c r="BO64" s="32">
        <v>401</v>
      </c>
    </row>
    <row r="65" spans="1:67" x14ac:dyDescent="0.25">
      <c r="A65" s="21"/>
      <c r="B65" s="32" t="s">
        <v>167</v>
      </c>
      <c r="C65" s="31">
        <v>46211</v>
      </c>
      <c r="D65" s="32" t="s">
        <v>1049</v>
      </c>
      <c r="E65" s="32" t="s">
        <v>186</v>
      </c>
      <c r="F65" s="32" t="s">
        <v>187</v>
      </c>
      <c r="G65" s="32" t="s">
        <v>1050</v>
      </c>
      <c r="H65" s="32">
        <v>2676</v>
      </c>
      <c r="I65" s="32">
        <v>2676</v>
      </c>
      <c r="J65" s="32" t="s">
        <v>168</v>
      </c>
      <c r="K65" s="32">
        <v>2676</v>
      </c>
      <c r="L65" s="32">
        <v>0</v>
      </c>
      <c r="M65" s="32">
        <v>2676</v>
      </c>
      <c r="N65" s="32" t="s">
        <v>1051</v>
      </c>
      <c r="O65" s="32" t="s">
        <v>659</v>
      </c>
      <c r="P65" s="32" t="s">
        <v>659</v>
      </c>
      <c r="Q65" s="32" t="s">
        <v>743</v>
      </c>
      <c r="R65" s="31">
        <v>46210</v>
      </c>
      <c r="S65" s="32" t="s">
        <v>987</v>
      </c>
      <c r="T65" s="32" t="s">
        <v>988</v>
      </c>
      <c r="U65" s="32" t="s">
        <v>742</v>
      </c>
      <c r="V65" s="32">
        <v>122</v>
      </c>
      <c r="W65" s="32">
        <v>122</v>
      </c>
      <c r="X65" s="32" t="s">
        <v>743</v>
      </c>
      <c r="Y65" s="31">
        <v>46210</v>
      </c>
      <c r="Z65" s="32"/>
      <c r="AA65" s="32">
        <v>0</v>
      </c>
      <c r="AB65" s="32"/>
      <c r="AC65" s="32" t="s">
        <v>1033</v>
      </c>
      <c r="AD65" s="32">
        <v>2340</v>
      </c>
      <c r="AE65" s="32">
        <v>0</v>
      </c>
      <c r="AF65" s="32">
        <v>0</v>
      </c>
      <c r="AG65" s="32">
        <v>0</v>
      </c>
      <c r="AH65" s="32">
        <v>0</v>
      </c>
      <c r="AI65" s="32">
        <v>0</v>
      </c>
      <c r="AJ65" s="32" t="s">
        <v>965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/>
      <c r="AQ65" s="32">
        <v>0</v>
      </c>
      <c r="AR65" s="32">
        <v>0</v>
      </c>
      <c r="AS65" s="32">
        <v>816796.92</v>
      </c>
      <c r="AT65" s="32" t="s">
        <v>169</v>
      </c>
      <c r="AU65" s="32" t="s">
        <v>180</v>
      </c>
      <c r="AV65" s="32" t="s">
        <v>155</v>
      </c>
      <c r="AW65" s="32" t="s">
        <v>171</v>
      </c>
      <c r="AX65" s="32" t="s">
        <v>966</v>
      </c>
      <c r="AY65" s="32">
        <v>0</v>
      </c>
      <c r="AZ65" s="32">
        <v>326472</v>
      </c>
      <c r="BA65" s="32">
        <v>300</v>
      </c>
      <c r="BB65" s="31">
        <v>46211</v>
      </c>
      <c r="BC65" s="32" t="s">
        <v>177</v>
      </c>
      <c r="BD65" s="32" t="s">
        <v>967</v>
      </c>
      <c r="BE65" s="32" t="s">
        <v>967</v>
      </c>
      <c r="BF65" s="32">
        <v>9</v>
      </c>
      <c r="BG65" s="32">
        <v>29382.48</v>
      </c>
      <c r="BH65" s="32">
        <v>9</v>
      </c>
      <c r="BI65" s="32">
        <v>29382.48</v>
      </c>
      <c r="BJ65" s="32">
        <v>0</v>
      </c>
      <c r="BK65" s="32">
        <v>0</v>
      </c>
      <c r="BL65" s="32">
        <v>0</v>
      </c>
      <c r="BM65" s="32">
        <v>682141342047</v>
      </c>
      <c r="BN65" s="31">
        <v>46210</v>
      </c>
      <c r="BO65" s="32">
        <v>2676</v>
      </c>
    </row>
    <row r="66" spans="1:67" x14ac:dyDescent="0.25">
      <c r="A66" s="21"/>
      <c r="B66" s="32" t="s">
        <v>167</v>
      </c>
      <c r="C66" s="31">
        <v>46211</v>
      </c>
      <c r="D66" s="32" t="s">
        <v>1052</v>
      </c>
      <c r="E66" s="32" t="s">
        <v>1016</v>
      </c>
      <c r="F66" s="32" t="s">
        <v>706</v>
      </c>
      <c r="G66" s="32" t="s">
        <v>1053</v>
      </c>
      <c r="H66" s="32">
        <v>2000</v>
      </c>
      <c r="I66" s="32">
        <v>2000</v>
      </c>
      <c r="J66" s="32" t="s">
        <v>168</v>
      </c>
      <c r="K66" s="32">
        <v>2000</v>
      </c>
      <c r="L66" s="32">
        <v>0</v>
      </c>
      <c r="M66" s="32">
        <v>2000</v>
      </c>
      <c r="N66" s="32" t="s">
        <v>175</v>
      </c>
      <c r="O66" s="32" t="s">
        <v>654</v>
      </c>
      <c r="P66" s="32" t="s">
        <v>654</v>
      </c>
      <c r="Q66" s="32" t="s">
        <v>737</v>
      </c>
      <c r="R66" s="31">
        <v>46211</v>
      </c>
      <c r="S66" s="32" t="s">
        <v>987</v>
      </c>
      <c r="T66" s="32" t="s">
        <v>988</v>
      </c>
      <c r="U66" s="32" t="s">
        <v>736</v>
      </c>
      <c r="V66" s="32">
        <v>136.85</v>
      </c>
      <c r="W66" s="32">
        <v>136.85</v>
      </c>
      <c r="X66" s="32" t="s">
        <v>737</v>
      </c>
      <c r="Y66" s="31">
        <v>46211</v>
      </c>
      <c r="Z66" s="32"/>
      <c r="AA66" s="32">
        <v>0</v>
      </c>
      <c r="AB66" s="32"/>
      <c r="AC66" s="32">
        <v>0</v>
      </c>
      <c r="AD66" s="32">
        <v>0</v>
      </c>
      <c r="AE66" s="32">
        <v>0</v>
      </c>
      <c r="AF66" s="32">
        <v>0</v>
      </c>
      <c r="AG66" s="32">
        <v>0</v>
      </c>
      <c r="AH66" s="32">
        <v>0</v>
      </c>
      <c r="AI66" s="32">
        <v>0</v>
      </c>
      <c r="AJ66" s="32" t="s">
        <v>965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/>
      <c r="AQ66" s="32">
        <v>0</v>
      </c>
      <c r="AR66" s="32">
        <v>0</v>
      </c>
      <c r="AS66" s="32">
        <v>322966</v>
      </c>
      <c r="AT66" s="32" t="s">
        <v>171</v>
      </c>
      <c r="AU66" s="32" t="s">
        <v>185</v>
      </c>
      <c r="AV66" s="32" t="s">
        <v>704</v>
      </c>
      <c r="AW66" s="32" t="s">
        <v>171</v>
      </c>
      <c r="AX66" s="32" t="s">
        <v>1018</v>
      </c>
      <c r="AY66" s="32">
        <v>0</v>
      </c>
      <c r="AZ66" s="32">
        <v>273700</v>
      </c>
      <c r="BA66" s="32">
        <v>303</v>
      </c>
      <c r="BB66" s="31">
        <v>46211</v>
      </c>
      <c r="BC66" s="32" t="s">
        <v>177</v>
      </c>
      <c r="BD66" s="32" t="s">
        <v>967</v>
      </c>
      <c r="BE66" s="32" t="s">
        <v>967</v>
      </c>
      <c r="BF66" s="32">
        <v>9</v>
      </c>
      <c r="BG66" s="32">
        <v>24633</v>
      </c>
      <c r="BH66" s="32">
        <v>9</v>
      </c>
      <c r="BI66" s="32">
        <v>24633</v>
      </c>
      <c r="BJ66" s="32">
        <v>0</v>
      </c>
      <c r="BK66" s="32">
        <v>0</v>
      </c>
      <c r="BL66" s="32">
        <v>322966</v>
      </c>
      <c r="BM66" s="32">
        <v>642141739937</v>
      </c>
      <c r="BN66" s="31">
        <v>46211</v>
      </c>
      <c r="BO66" s="32">
        <v>2000</v>
      </c>
    </row>
    <row r="67" spans="1:67" x14ac:dyDescent="0.25">
      <c r="A67" s="21"/>
      <c r="B67" s="32" t="s">
        <v>167</v>
      </c>
      <c r="C67" s="31">
        <v>46211</v>
      </c>
      <c r="D67" s="32" t="s">
        <v>1054</v>
      </c>
      <c r="E67" s="32" t="s">
        <v>199</v>
      </c>
      <c r="F67" s="32" t="s">
        <v>200</v>
      </c>
      <c r="G67" s="32" t="s">
        <v>1055</v>
      </c>
      <c r="H67" s="32">
        <v>91.4</v>
      </c>
      <c r="I67" s="32">
        <v>91.4</v>
      </c>
      <c r="J67" s="32" t="s">
        <v>168</v>
      </c>
      <c r="K67" s="32">
        <v>91.4</v>
      </c>
      <c r="L67" s="32">
        <v>0</v>
      </c>
      <c r="M67" s="32">
        <v>91.4</v>
      </c>
      <c r="N67" s="32" t="s">
        <v>175</v>
      </c>
      <c r="O67" s="32" t="s">
        <v>654</v>
      </c>
      <c r="P67" s="32" t="s">
        <v>654</v>
      </c>
      <c r="Q67" s="32" t="s">
        <v>739</v>
      </c>
      <c r="R67" s="31">
        <v>46211</v>
      </c>
      <c r="S67" s="32" t="s">
        <v>987</v>
      </c>
      <c r="T67" s="32" t="s">
        <v>988</v>
      </c>
      <c r="U67" s="32" t="s">
        <v>738</v>
      </c>
      <c r="V67" s="32">
        <v>172.78</v>
      </c>
      <c r="W67" s="32">
        <v>172.77998145607299</v>
      </c>
      <c r="X67" s="32" t="s">
        <v>739</v>
      </c>
      <c r="Y67" s="31">
        <v>46211</v>
      </c>
      <c r="Z67" s="32"/>
      <c r="AA67" s="32">
        <v>0</v>
      </c>
      <c r="AB67" s="32"/>
      <c r="AC67" s="32">
        <v>0</v>
      </c>
      <c r="AD67" s="32">
        <v>0</v>
      </c>
      <c r="AE67" s="32">
        <v>0</v>
      </c>
      <c r="AF67" s="32">
        <v>0</v>
      </c>
      <c r="AG67" s="32">
        <v>0</v>
      </c>
      <c r="AH67" s="32">
        <v>0</v>
      </c>
      <c r="AI67" s="32">
        <v>0</v>
      </c>
      <c r="AJ67" s="32" t="s">
        <v>965</v>
      </c>
      <c r="AK67" s="32">
        <v>0</v>
      </c>
      <c r="AL67" s="32">
        <v>0</v>
      </c>
      <c r="AM67" s="32">
        <v>0</v>
      </c>
      <c r="AN67" s="32">
        <v>0</v>
      </c>
      <c r="AO67" s="32">
        <v>0</v>
      </c>
      <c r="AP67" s="32"/>
      <c r="AQ67" s="32">
        <v>0</v>
      </c>
      <c r="AR67" s="32">
        <v>0</v>
      </c>
      <c r="AS67" s="32">
        <v>18634.669999999998</v>
      </c>
      <c r="AT67" s="32" t="s">
        <v>169</v>
      </c>
      <c r="AU67" s="32" t="s">
        <v>201</v>
      </c>
      <c r="AV67" s="32" t="s">
        <v>158</v>
      </c>
      <c r="AW67" s="32" t="s">
        <v>171</v>
      </c>
      <c r="AX67" s="32" t="s">
        <v>966</v>
      </c>
      <c r="AY67" s="32">
        <v>0</v>
      </c>
      <c r="AZ67" s="32">
        <v>15792.09</v>
      </c>
      <c r="BA67" s="32">
        <v>302</v>
      </c>
      <c r="BB67" s="31">
        <v>46211</v>
      </c>
      <c r="BC67" s="32" t="s">
        <v>177</v>
      </c>
      <c r="BD67" s="32" t="s">
        <v>967</v>
      </c>
      <c r="BE67" s="32" t="s">
        <v>967</v>
      </c>
      <c r="BF67" s="32">
        <v>9</v>
      </c>
      <c r="BG67" s="32">
        <v>1421.29</v>
      </c>
      <c r="BH67" s="32">
        <v>9</v>
      </c>
      <c r="BI67" s="32">
        <v>1421.29</v>
      </c>
      <c r="BJ67" s="32">
        <v>0</v>
      </c>
      <c r="BK67" s="32">
        <v>0</v>
      </c>
      <c r="BL67" s="32">
        <v>18634.669999999998</v>
      </c>
      <c r="BM67" s="32">
        <v>632141725610</v>
      </c>
      <c r="BN67" s="31">
        <v>46211</v>
      </c>
      <c r="BO67" s="32">
        <v>91.4</v>
      </c>
    </row>
    <row r="68" spans="1:67" x14ac:dyDescent="0.25">
      <c r="A68" s="21"/>
      <c r="B68" s="32" t="s">
        <v>167</v>
      </c>
      <c r="C68" s="31">
        <v>46211</v>
      </c>
      <c r="D68" s="32" t="s">
        <v>1056</v>
      </c>
      <c r="E68" s="32" t="s">
        <v>173</v>
      </c>
      <c r="F68" s="32" t="s">
        <v>174</v>
      </c>
      <c r="G68" s="32" t="s">
        <v>1057</v>
      </c>
      <c r="H68" s="32">
        <v>105.7</v>
      </c>
      <c r="I68" s="32">
        <v>105.7</v>
      </c>
      <c r="J68" s="32" t="s">
        <v>168</v>
      </c>
      <c r="K68" s="32">
        <v>105.7</v>
      </c>
      <c r="L68" s="32">
        <v>0</v>
      </c>
      <c r="M68" s="32">
        <v>105.7</v>
      </c>
      <c r="N68" s="32" t="s">
        <v>175</v>
      </c>
      <c r="O68" s="32" t="s">
        <v>654</v>
      </c>
      <c r="P68" s="32" t="s">
        <v>654</v>
      </c>
      <c r="Q68" s="32" t="s">
        <v>741</v>
      </c>
      <c r="R68" s="31">
        <v>46211</v>
      </c>
      <c r="S68" s="32" t="s">
        <v>987</v>
      </c>
      <c r="T68" s="32" t="s">
        <v>988</v>
      </c>
      <c r="U68" s="32" t="s">
        <v>740</v>
      </c>
      <c r="V68" s="32">
        <v>182.78</v>
      </c>
      <c r="W68" s="32">
        <v>182.78000180661101</v>
      </c>
      <c r="X68" s="32" t="s">
        <v>741</v>
      </c>
      <c r="Y68" s="31">
        <v>46211</v>
      </c>
      <c r="Z68" s="32"/>
      <c r="AA68" s="32">
        <v>0</v>
      </c>
      <c r="AB68" s="32"/>
      <c r="AC68" s="32">
        <v>0</v>
      </c>
      <c r="AD68" s="32">
        <v>0</v>
      </c>
      <c r="AE68" s="32">
        <v>0</v>
      </c>
      <c r="AF68" s="32">
        <v>0</v>
      </c>
      <c r="AG68" s="32">
        <v>0</v>
      </c>
      <c r="AH68" s="32">
        <v>0</v>
      </c>
      <c r="AI68" s="32">
        <v>0</v>
      </c>
      <c r="AJ68" s="32" t="s">
        <v>965</v>
      </c>
      <c r="AK68" s="32">
        <v>0</v>
      </c>
      <c r="AL68" s="32">
        <v>0</v>
      </c>
      <c r="AM68" s="32">
        <v>0</v>
      </c>
      <c r="AN68" s="32">
        <v>0</v>
      </c>
      <c r="AO68" s="32">
        <v>0</v>
      </c>
      <c r="AP68" s="32"/>
      <c r="AQ68" s="32">
        <v>0</v>
      </c>
      <c r="AR68" s="32">
        <v>0</v>
      </c>
      <c r="AS68" s="32">
        <v>708210.21</v>
      </c>
      <c r="AT68" s="32" t="s">
        <v>169</v>
      </c>
      <c r="AU68" s="32" t="s">
        <v>176</v>
      </c>
      <c r="AV68" s="32" t="s">
        <v>159</v>
      </c>
      <c r="AW68" s="32" t="s">
        <v>171</v>
      </c>
      <c r="AX68" s="32" t="s">
        <v>966</v>
      </c>
      <c r="AY68" s="32">
        <v>0</v>
      </c>
      <c r="AZ68" s="32">
        <v>19319.849999999999</v>
      </c>
      <c r="BA68" s="32">
        <v>301</v>
      </c>
      <c r="BB68" s="31">
        <v>46211</v>
      </c>
      <c r="BC68" s="32" t="s">
        <v>177</v>
      </c>
      <c r="BD68" s="32" t="s">
        <v>967</v>
      </c>
      <c r="BE68" s="32" t="s">
        <v>967</v>
      </c>
      <c r="BF68" s="32">
        <v>9</v>
      </c>
      <c r="BG68" s="32">
        <v>1738.79</v>
      </c>
      <c r="BH68" s="32">
        <v>9</v>
      </c>
      <c r="BI68" s="32">
        <v>1738.79</v>
      </c>
      <c r="BJ68" s="32">
        <v>0</v>
      </c>
      <c r="BK68" s="32">
        <v>0</v>
      </c>
      <c r="BL68" s="32">
        <v>708210.21</v>
      </c>
      <c r="BM68" s="32">
        <v>662141716840</v>
      </c>
      <c r="BN68" s="31">
        <v>46211</v>
      </c>
      <c r="BO68" s="32">
        <v>105.7</v>
      </c>
    </row>
    <row r="69" spans="1:67" x14ac:dyDescent="0.25">
      <c r="A69" s="21"/>
      <c r="B69" s="32" t="s">
        <v>167</v>
      </c>
      <c r="C69" s="31">
        <v>46211</v>
      </c>
      <c r="D69" s="32" t="s">
        <v>1056</v>
      </c>
      <c r="E69" s="32" t="s">
        <v>186</v>
      </c>
      <c r="F69" s="32" t="s">
        <v>187</v>
      </c>
      <c r="G69" s="32" t="s">
        <v>1057</v>
      </c>
      <c r="H69" s="32">
        <v>310</v>
      </c>
      <c r="I69" s="32">
        <v>310</v>
      </c>
      <c r="J69" s="32" t="s">
        <v>168</v>
      </c>
      <c r="K69" s="32">
        <v>310</v>
      </c>
      <c r="L69" s="32">
        <v>0</v>
      </c>
      <c r="M69" s="32">
        <v>310</v>
      </c>
      <c r="N69" s="32" t="s">
        <v>175</v>
      </c>
      <c r="O69" s="32" t="s">
        <v>654</v>
      </c>
      <c r="P69" s="32" t="s">
        <v>654</v>
      </c>
      <c r="Q69" s="32" t="s">
        <v>741</v>
      </c>
      <c r="R69" s="31">
        <v>46211</v>
      </c>
      <c r="S69" s="32" t="s">
        <v>987</v>
      </c>
      <c r="T69" s="32" t="s">
        <v>988</v>
      </c>
      <c r="U69" s="32" t="s">
        <v>740</v>
      </c>
      <c r="V69" s="32">
        <v>144.49</v>
      </c>
      <c r="W69" s="32">
        <v>144.49000142814899</v>
      </c>
      <c r="X69" s="32" t="s">
        <v>741</v>
      </c>
      <c r="Y69" s="31">
        <v>46211</v>
      </c>
      <c r="Z69" s="32"/>
      <c r="AA69" s="32">
        <v>0</v>
      </c>
      <c r="AB69" s="32"/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32" t="s">
        <v>965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/>
      <c r="AQ69" s="32">
        <v>0</v>
      </c>
      <c r="AR69" s="32">
        <v>0</v>
      </c>
      <c r="AS69" s="32">
        <v>708210.21</v>
      </c>
      <c r="AT69" s="32" t="s">
        <v>169</v>
      </c>
      <c r="AU69" s="32" t="s">
        <v>180</v>
      </c>
      <c r="AV69" s="32" t="s">
        <v>155</v>
      </c>
      <c r="AW69" s="32" t="s">
        <v>171</v>
      </c>
      <c r="AX69" s="32" t="s">
        <v>966</v>
      </c>
      <c r="AY69" s="32">
        <v>0</v>
      </c>
      <c r="AZ69" s="32">
        <v>44791.9</v>
      </c>
      <c r="BA69" s="32">
        <v>301</v>
      </c>
      <c r="BB69" s="31">
        <v>46211</v>
      </c>
      <c r="BC69" s="32" t="s">
        <v>177</v>
      </c>
      <c r="BD69" s="32" t="s">
        <v>967</v>
      </c>
      <c r="BE69" s="32" t="s">
        <v>967</v>
      </c>
      <c r="BF69" s="32">
        <v>9</v>
      </c>
      <c r="BG69" s="32">
        <v>4031.27</v>
      </c>
      <c r="BH69" s="32">
        <v>9</v>
      </c>
      <c r="BI69" s="32">
        <v>4031.27</v>
      </c>
      <c r="BJ69" s="32">
        <v>0</v>
      </c>
      <c r="BK69" s="32">
        <v>0</v>
      </c>
      <c r="BL69" s="32">
        <v>0</v>
      </c>
      <c r="BM69" s="32">
        <v>662141716840</v>
      </c>
      <c r="BN69" s="31">
        <v>46211</v>
      </c>
      <c r="BO69" s="32">
        <v>310</v>
      </c>
    </row>
    <row r="70" spans="1:67" x14ac:dyDescent="0.25">
      <c r="A70" s="21"/>
      <c r="B70" s="32" t="s">
        <v>167</v>
      </c>
      <c r="C70" s="31">
        <v>46211</v>
      </c>
      <c r="D70" s="32" t="s">
        <v>1056</v>
      </c>
      <c r="E70" s="32" t="s">
        <v>181</v>
      </c>
      <c r="F70" s="32" t="s">
        <v>182</v>
      </c>
      <c r="G70" s="32" t="s">
        <v>1057</v>
      </c>
      <c r="H70" s="32">
        <v>309.3</v>
      </c>
      <c r="I70" s="32">
        <v>309.3</v>
      </c>
      <c r="J70" s="32" t="s">
        <v>168</v>
      </c>
      <c r="K70" s="32">
        <v>309.3</v>
      </c>
      <c r="L70" s="32">
        <v>0</v>
      </c>
      <c r="M70" s="32">
        <v>309.3</v>
      </c>
      <c r="N70" s="32" t="s">
        <v>175</v>
      </c>
      <c r="O70" s="32" t="s">
        <v>654</v>
      </c>
      <c r="P70" s="32" t="s">
        <v>654</v>
      </c>
      <c r="Q70" s="32" t="s">
        <v>741</v>
      </c>
      <c r="R70" s="31">
        <v>46211</v>
      </c>
      <c r="S70" s="32" t="s">
        <v>987</v>
      </c>
      <c r="T70" s="32" t="s">
        <v>988</v>
      </c>
      <c r="U70" s="32" t="s">
        <v>740</v>
      </c>
      <c r="V70" s="32">
        <v>149.49</v>
      </c>
      <c r="W70" s="32">
        <v>149.49000147756999</v>
      </c>
      <c r="X70" s="32" t="s">
        <v>741</v>
      </c>
      <c r="Y70" s="31">
        <v>46211</v>
      </c>
      <c r="Z70" s="32"/>
      <c r="AA70" s="32">
        <v>0</v>
      </c>
      <c r="AB70" s="32"/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 t="s">
        <v>965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/>
      <c r="AQ70" s="32">
        <v>0</v>
      </c>
      <c r="AR70" s="32">
        <v>0</v>
      </c>
      <c r="AS70" s="32">
        <v>708210.21</v>
      </c>
      <c r="AT70" s="32" t="s">
        <v>169</v>
      </c>
      <c r="AU70" s="32" t="s">
        <v>182</v>
      </c>
      <c r="AV70" s="32" t="s">
        <v>154</v>
      </c>
      <c r="AW70" s="32" t="s">
        <v>171</v>
      </c>
      <c r="AX70" s="32" t="s">
        <v>966</v>
      </c>
      <c r="AY70" s="32">
        <v>0</v>
      </c>
      <c r="AZ70" s="32">
        <v>46237.26</v>
      </c>
      <c r="BA70" s="32">
        <v>301</v>
      </c>
      <c r="BB70" s="31">
        <v>46211</v>
      </c>
      <c r="BC70" s="32" t="s">
        <v>177</v>
      </c>
      <c r="BD70" s="32" t="s">
        <v>967</v>
      </c>
      <c r="BE70" s="32" t="s">
        <v>967</v>
      </c>
      <c r="BF70" s="32">
        <v>9</v>
      </c>
      <c r="BG70" s="32">
        <v>4161.3500000000004</v>
      </c>
      <c r="BH70" s="32">
        <v>9</v>
      </c>
      <c r="BI70" s="32">
        <v>4161.3500000000004</v>
      </c>
      <c r="BJ70" s="32">
        <v>0</v>
      </c>
      <c r="BK70" s="32">
        <v>0</v>
      </c>
      <c r="BL70" s="32">
        <v>0</v>
      </c>
      <c r="BM70" s="32">
        <v>662141716840</v>
      </c>
      <c r="BN70" s="31">
        <v>46211</v>
      </c>
      <c r="BO70" s="32">
        <v>309.3</v>
      </c>
    </row>
    <row r="71" spans="1:67" x14ac:dyDescent="0.25">
      <c r="A71" s="21"/>
      <c r="B71" s="32" t="s">
        <v>167</v>
      </c>
      <c r="C71" s="31">
        <v>46211</v>
      </c>
      <c r="D71" s="32" t="s">
        <v>1056</v>
      </c>
      <c r="E71" s="32" t="s">
        <v>1036</v>
      </c>
      <c r="F71" s="32" t="s">
        <v>720</v>
      </c>
      <c r="G71" s="32" t="s">
        <v>1057</v>
      </c>
      <c r="H71" s="32">
        <v>297</v>
      </c>
      <c r="I71" s="32">
        <v>297</v>
      </c>
      <c r="J71" s="32" t="s">
        <v>168</v>
      </c>
      <c r="K71" s="32">
        <v>297</v>
      </c>
      <c r="L71" s="32">
        <v>0</v>
      </c>
      <c r="M71" s="32">
        <v>297</v>
      </c>
      <c r="N71" s="32" t="s">
        <v>175</v>
      </c>
      <c r="O71" s="32" t="s">
        <v>654</v>
      </c>
      <c r="P71" s="32" t="s">
        <v>654</v>
      </c>
      <c r="Q71" s="32" t="s">
        <v>741</v>
      </c>
      <c r="R71" s="31">
        <v>46211</v>
      </c>
      <c r="S71" s="32" t="s">
        <v>987</v>
      </c>
      <c r="T71" s="32" t="s">
        <v>988</v>
      </c>
      <c r="U71" s="32" t="s">
        <v>740</v>
      </c>
      <c r="V71" s="32">
        <v>146.49</v>
      </c>
      <c r="W71" s="32">
        <v>146.49000144791799</v>
      </c>
      <c r="X71" s="32" t="s">
        <v>741</v>
      </c>
      <c r="Y71" s="31">
        <v>46211</v>
      </c>
      <c r="Z71" s="32"/>
      <c r="AA71" s="32">
        <v>0</v>
      </c>
      <c r="AB71" s="32"/>
      <c r="AC71" s="32">
        <v>0</v>
      </c>
      <c r="AD71" s="32">
        <v>0</v>
      </c>
      <c r="AE71" s="32">
        <v>0</v>
      </c>
      <c r="AF71" s="32">
        <v>0</v>
      </c>
      <c r="AG71" s="32">
        <v>0</v>
      </c>
      <c r="AH71" s="32">
        <v>0</v>
      </c>
      <c r="AI71" s="32">
        <v>0</v>
      </c>
      <c r="AJ71" s="32" t="s">
        <v>965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/>
      <c r="AQ71" s="32">
        <v>0</v>
      </c>
      <c r="AR71" s="32">
        <v>0</v>
      </c>
      <c r="AS71" s="32">
        <v>708210.21</v>
      </c>
      <c r="AT71" s="32" t="s">
        <v>169</v>
      </c>
      <c r="AU71" s="32" t="s">
        <v>180</v>
      </c>
      <c r="AV71" s="32" t="s">
        <v>156</v>
      </c>
      <c r="AW71" s="32" t="s">
        <v>171</v>
      </c>
      <c r="AX71" s="32" t="s">
        <v>966</v>
      </c>
      <c r="AY71" s="32">
        <v>0</v>
      </c>
      <c r="AZ71" s="32">
        <v>43507.53</v>
      </c>
      <c r="BA71" s="32">
        <v>301</v>
      </c>
      <c r="BB71" s="31">
        <v>46211</v>
      </c>
      <c r="BC71" s="32" t="s">
        <v>177</v>
      </c>
      <c r="BD71" s="32" t="s">
        <v>967</v>
      </c>
      <c r="BE71" s="32" t="s">
        <v>967</v>
      </c>
      <c r="BF71" s="32">
        <v>9</v>
      </c>
      <c r="BG71" s="32">
        <v>3915.68</v>
      </c>
      <c r="BH71" s="32">
        <v>9</v>
      </c>
      <c r="BI71" s="32">
        <v>3915.68</v>
      </c>
      <c r="BJ71" s="32">
        <v>0</v>
      </c>
      <c r="BK71" s="32">
        <v>0</v>
      </c>
      <c r="BL71" s="32">
        <v>0</v>
      </c>
      <c r="BM71" s="32">
        <v>662141716840</v>
      </c>
      <c r="BN71" s="31">
        <v>46211</v>
      </c>
      <c r="BO71" s="32">
        <v>297</v>
      </c>
    </row>
    <row r="72" spans="1:67" x14ac:dyDescent="0.25">
      <c r="A72" s="21"/>
      <c r="B72" s="32" t="s">
        <v>167</v>
      </c>
      <c r="C72" s="31">
        <v>46211</v>
      </c>
      <c r="D72" s="32" t="s">
        <v>1056</v>
      </c>
      <c r="E72" s="32" t="s">
        <v>178</v>
      </c>
      <c r="F72" s="32" t="s">
        <v>179</v>
      </c>
      <c r="G72" s="32" t="s">
        <v>1057</v>
      </c>
      <c r="H72" s="32">
        <v>2889</v>
      </c>
      <c r="I72" s="32">
        <v>2889</v>
      </c>
      <c r="J72" s="32" t="s">
        <v>168</v>
      </c>
      <c r="K72" s="32">
        <v>2889</v>
      </c>
      <c r="L72" s="32">
        <v>0</v>
      </c>
      <c r="M72" s="32">
        <v>2889</v>
      </c>
      <c r="N72" s="32" t="s">
        <v>175</v>
      </c>
      <c r="O72" s="32" t="s">
        <v>654</v>
      </c>
      <c r="P72" s="32" t="s">
        <v>654</v>
      </c>
      <c r="Q72" s="32" t="s">
        <v>741</v>
      </c>
      <c r="R72" s="31">
        <v>46211</v>
      </c>
      <c r="S72" s="32" t="s">
        <v>987</v>
      </c>
      <c r="T72" s="32" t="s">
        <v>988</v>
      </c>
      <c r="U72" s="32" t="s">
        <v>740</v>
      </c>
      <c r="V72" s="32">
        <v>154.49</v>
      </c>
      <c r="W72" s="32">
        <v>154.49000152699</v>
      </c>
      <c r="X72" s="32" t="s">
        <v>741</v>
      </c>
      <c r="Y72" s="31">
        <v>46211</v>
      </c>
      <c r="Z72" s="32"/>
      <c r="AA72" s="32">
        <v>0</v>
      </c>
      <c r="AB72" s="32"/>
      <c r="AC72" s="32">
        <v>0</v>
      </c>
      <c r="AD72" s="32">
        <v>0</v>
      </c>
      <c r="AE72" s="32">
        <v>0</v>
      </c>
      <c r="AF72" s="32">
        <v>0</v>
      </c>
      <c r="AG72" s="32">
        <v>0</v>
      </c>
      <c r="AH72" s="32">
        <v>0</v>
      </c>
      <c r="AI72" s="32">
        <v>0</v>
      </c>
      <c r="AJ72" s="32" t="s">
        <v>965</v>
      </c>
      <c r="AK72" s="32">
        <v>0</v>
      </c>
      <c r="AL72" s="32">
        <v>0</v>
      </c>
      <c r="AM72" s="32">
        <v>0</v>
      </c>
      <c r="AN72" s="32">
        <v>0</v>
      </c>
      <c r="AO72" s="32">
        <v>0</v>
      </c>
      <c r="AP72" s="32"/>
      <c r="AQ72" s="32">
        <v>0</v>
      </c>
      <c r="AR72" s="32">
        <v>0</v>
      </c>
      <c r="AS72" s="32">
        <v>708210.21</v>
      </c>
      <c r="AT72" s="32" t="s">
        <v>169</v>
      </c>
      <c r="AU72" s="32" t="s">
        <v>180</v>
      </c>
      <c r="AV72" s="32" t="s">
        <v>156</v>
      </c>
      <c r="AW72" s="32" t="s">
        <v>171</v>
      </c>
      <c r="AX72" s="32" t="s">
        <v>966</v>
      </c>
      <c r="AY72" s="32">
        <v>0</v>
      </c>
      <c r="AZ72" s="32">
        <v>446321.61</v>
      </c>
      <c r="BA72" s="32">
        <v>301</v>
      </c>
      <c r="BB72" s="31">
        <v>46211</v>
      </c>
      <c r="BC72" s="32" t="s">
        <v>177</v>
      </c>
      <c r="BD72" s="32" t="s">
        <v>967</v>
      </c>
      <c r="BE72" s="32" t="s">
        <v>967</v>
      </c>
      <c r="BF72" s="32">
        <v>9</v>
      </c>
      <c r="BG72" s="32">
        <v>40168.94</v>
      </c>
      <c r="BH72" s="32">
        <v>9</v>
      </c>
      <c r="BI72" s="32">
        <v>40168.94</v>
      </c>
      <c r="BJ72" s="32">
        <v>0</v>
      </c>
      <c r="BK72" s="32">
        <v>0</v>
      </c>
      <c r="BL72" s="32">
        <v>0</v>
      </c>
      <c r="BM72" s="32">
        <v>662141716840</v>
      </c>
      <c r="BN72" s="31">
        <v>46211</v>
      </c>
      <c r="BO72" s="32">
        <v>2889</v>
      </c>
    </row>
    <row r="73" spans="1:67" x14ac:dyDescent="0.25">
      <c r="A73" s="21"/>
      <c r="B73" s="32" t="s">
        <v>167</v>
      </c>
      <c r="C73" s="31">
        <v>46212</v>
      </c>
      <c r="D73" s="32" t="s">
        <v>1058</v>
      </c>
      <c r="E73" s="32" t="s">
        <v>186</v>
      </c>
      <c r="F73" s="32" t="s">
        <v>187</v>
      </c>
      <c r="G73" s="32" t="s">
        <v>1059</v>
      </c>
      <c r="H73" s="32">
        <v>295</v>
      </c>
      <c r="I73" s="32">
        <v>295</v>
      </c>
      <c r="J73" s="32" t="s">
        <v>168</v>
      </c>
      <c r="K73" s="32">
        <v>295</v>
      </c>
      <c r="L73" s="32">
        <v>0</v>
      </c>
      <c r="M73" s="32">
        <v>295</v>
      </c>
      <c r="N73" s="32" t="s">
        <v>175</v>
      </c>
      <c r="O73" s="32" t="s">
        <v>654</v>
      </c>
      <c r="P73" s="32" t="s">
        <v>654</v>
      </c>
      <c r="Q73" s="32" t="s">
        <v>746</v>
      </c>
      <c r="R73" s="31">
        <v>46212</v>
      </c>
      <c r="S73" s="32" t="s">
        <v>987</v>
      </c>
      <c r="T73" s="32" t="s">
        <v>988</v>
      </c>
      <c r="U73" s="32" t="s">
        <v>745</v>
      </c>
      <c r="V73" s="32">
        <v>144.49</v>
      </c>
      <c r="W73" s="32">
        <v>144.49</v>
      </c>
      <c r="X73" s="32" t="s">
        <v>746</v>
      </c>
      <c r="Y73" s="31">
        <v>46212</v>
      </c>
      <c r="Z73" s="32" t="s">
        <v>193</v>
      </c>
      <c r="AA73" s="32" t="s">
        <v>193</v>
      </c>
      <c r="AB73" s="32"/>
      <c r="AC73" s="32" t="s">
        <v>193</v>
      </c>
      <c r="AD73" s="32" t="s">
        <v>193</v>
      </c>
      <c r="AE73" s="32">
        <v>0</v>
      </c>
      <c r="AF73" s="32">
        <v>0</v>
      </c>
      <c r="AG73" s="32">
        <v>0</v>
      </c>
      <c r="AH73" s="32">
        <v>0</v>
      </c>
      <c r="AI73" s="32">
        <v>0</v>
      </c>
      <c r="AJ73" s="32" t="s">
        <v>965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/>
      <c r="AQ73" s="32">
        <v>0</v>
      </c>
      <c r="AR73" s="32">
        <v>0</v>
      </c>
      <c r="AS73" s="32">
        <v>153401.56</v>
      </c>
      <c r="AT73" s="32" t="s">
        <v>169</v>
      </c>
      <c r="AU73" s="32" t="s">
        <v>180</v>
      </c>
      <c r="AV73" s="32" t="s">
        <v>155</v>
      </c>
      <c r="AW73" s="32" t="s">
        <v>661</v>
      </c>
      <c r="AX73" s="32" t="s">
        <v>966</v>
      </c>
      <c r="AY73" s="32">
        <v>0</v>
      </c>
      <c r="AZ73" s="32">
        <v>42624.55</v>
      </c>
      <c r="BA73" s="32">
        <v>306</v>
      </c>
      <c r="BB73" s="31">
        <v>46212</v>
      </c>
      <c r="BC73" s="32" t="s">
        <v>177</v>
      </c>
      <c r="BD73" s="32" t="s">
        <v>967</v>
      </c>
      <c r="BE73" s="32" t="s">
        <v>967</v>
      </c>
      <c r="BF73" s="32">
        <v>9</v>
      </c>
      <c r="BG73" s="32">
        <v>3836.21</v>
      </c>
      <c r="BH73" s="32">
        <v>9</v>
      </c>
      <c r="BI73" s="32">
        <v>3836.21</v>
      </c>
      <c r="BJ73" s="32">
        <v>0</v>
      </c>
      <c r="BK73" s="32">
        <v>0</v>
      </c>
      <c r="BL73" s="32">
        <v>153401.56</v>
      </c>
      <c r="BM73" s="32">
        <v>662142294035</v>
      </c>
      <c r="BN73" s="31">
        <v>46212</v>
      </c>
      <c r="BO73" s="32">
        <v>295</v>
      </c>
    </row>
    <row r="74" spans="1:67" x14ac:dyDescent="0.25">
      <c r="A74" s="21"/>
      <c r="B74" s="32" t="s">
        <v>167</v>
      </c>
      <c r="C74" s="31">
        <v>46212</v>
      </c>
      <c r="D74" s="32" t="s">
        <v>1058</v>
      </c>
      <c r="E74" s="32" t="s">
        <v>186</v>
      </c>
      <c r="F74" s="32" t="s">
        <v>187</v>
      </c>
      <c r="G74" s="32" t="s">
        <v>1059</v>
      </c>
      <c r="H74" s="32">
        <v>573</v>
      </c>
      <c r="I74" s="32">
        <v>573</v>
      </c>
      <c r="J74" s="32" t="s">
        <v>168</v>
      </c>
      <c r="K74" s="32">
        <v>573</v>
      </c>
      <c r="L74" s="32">
        <v>0</v>
      </c>
      <c r="M74" s="32">
        <v>573</v>
      </c>
      <c r="N74" s="32" t="s">
        <v>175</v>
      </c>
      <c r="O74" s="32" t="s">
        <v>654</v>
      </c>
      <c r="P74" s="32" t="s">
        <v>654</v>
      </c>
      <c r="Q74" s="32" t="s">
        <v>746</v>
      </c>
      <c r="R74" s="31">
        <v>46212</v>
      </c>
      <c r="S74" s="32" t="s">
        <v>987</v>
      </c>
      <c r="T74" s="32" t="s">
        <v>988</v>
      </c>
      <c r="U74" s="32" t="s">
        <v>745</v>
      </c>
      <c r="V74" s="32">
        <v>152.49</v>
      </c>
      <c r="W74" s="32">
        <v>152.49</v>
      </c>
      <c r="X74" s="32" t="s">
        <v>746</v>
      </c>
      <c r="Y74" s="31">
        <v>46212</v>
      </c>
      <c r="Z74" s="32" t="s">
        <v>193</v>
      </c>
      <c r="AA74" s="32" t="s">
        <v>193</v>
      </c>
      <c r="AB74" s="32"/>
      <c r="AC74" s="32" t="s">
        <v>193</v>
      </c>
      <c r="AD74" s="32" t="s">
        <v>193</v>
      </c>
      <c r="AE74" s="32">
        <v>0</v>
      </c>
      <c r="AF74" s="32">
        <v>0</v>
      </c>
      <c r="AG74" s="32">
        <v>0</v>
      </c>
      <c r="AH74" s="32">
        <v>0</v>
      </c>
      <c r="AI74" s="32">
        <v>0</v>
      </c>
      <c r="AJ74" s="32" t="s">
        <v>965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/>
      <c r="AQ74" s="32">
        <v>0</v>
      </c>
      <c r="AR74" s="32">
        <v>0</v>
      </c>
      <c r="AS74" s="32">
        <v>153401.56</v>
      </c>
      <c r="AT74" s="32" t="s">
        <v>169</v>
      </c>
      <c r="AU74" s="32" t="s">
        <v>180</v>
      </c>
      <c r="AV74" s="32" t="s">
        <v>155</v>
      </c>
      <c r="AW74" s="32" t="s">
        <v>661</v>
      </c>
      <c r="AX74" s="32" t="s">
        <v>966</v>
      </c>
      <c r="AY74" s="32">
        <v>0</v>
      </c>
      <c r="AZ74" s="32">
        <v>87376.77</v>
      </c>
      <c r="BA74" s="32">
        <v>306</v>
      </c>
      <c r="BB74" s="31">
        <v>46212</v>
      </c>
      <c r="BC74" s="32" t="s">
        <v>177</v>
      </c>
      <c r="BD74" s="32" t="s">
        <v>967</v>
      </c>
      <c r="BE74" s="32" t="s">
        <v>967</v>
      </c>
      <c r="BF74" s="32">
        <v>9</v>
      </c>
      <c r="BG74" s="32">
        <v>7863.91</v>
      </c>
      <c r="BH74" s="32">
        <v>9</v>
      </c>
      <c r="BI74" s="32">
        <v>7863.91</v>
      </c>
      <c r="BJ74" s="32">
        <v>0</v>
      </c>
      <c r="BK74" s="32">
        <v>0</v>
      </c>
      <c r="BL74" s="32">
        <v>0</v>
      </c>
      <c r="BM74" s="32">
        <v>662142294035</v>
      </c>
      <c r="BN74" s="31">
        <v>46212</v>
      </c>
      <c r="BO74" s="32">
        <v>573</v>
      </c>
    </row>
    <row r="75" spans="1:67" x14ac:dyDescent="0.25">
      <c r="A75" s="21"/>
      <c r="B75" s="32" t="s">
        <v>167</v>
      </c>
      <c r="C75" s="31">
        <v>46212</v>
      </c>
      <c r="D75" s="32" t="s">
        <v>1060</v>
      </c>
      <c r="E75" s="32" t="s">
        <v>1061</v>
      </c>
      <c r="F75" s="32" t="s">
        <v>749</v>
      </c>
      <c r="G75" s="32" t="s">
        <v>1062</v>
      </c>
      <c r="H75" s="32">
        <v>5000</v>
      </c>
      <c r="I75" s="32">
        <v>5000</v>
      </c>
      <c r="J75" s="32" t="s">
        <v>168</v>
      </c>
      <c r="K75" s="32">
        <v>5000</v>
      </c>
      <c r="L75" s="32">
        <v>0</v>
      </c>
      <c r="M75" s="32">
        <v>5000</v>
      </c>
      <c r="N75" s="32" t="s">
        <v>175</v>
      </c>
      <c r="O75" s="32" t="s">
        <v>654</v>
      </c>
      <c r="P75" s="32" t="s">
        <v>654</v>
      </c>
      <c r="Q75" s="32" t="s">
        <v>748</v>
      </c>
      <c r="R75" s="31">
        <v>46212</v>
      </c>
      <c r="S75" s="32" t="s">
        <v>987</v>
      </c>
      <c r="T75" s="32" t="s">
        <v>988</v>
      </c>
      <c r="U75" s="32" t="s">
        <v>747</v>
      </c>
      <c r="V75" s="32">
        <v>136.33099999999999</v>
      </c>
      <c r="W75" s="32">
        <v>136.33099999999999</v>
      </c>
      <c r="X75" s="32" t="s">
        <v>748</v>
      </c>
      <c r="Y75" s="31">
        <v>46212</v>
      </c>
      <c r="Z75" s="32" t="s">
        <v>193</v>
      </c>
      <c r="AA75" s="32" t="s">
        <v>193</v>
      </c>
      <c r="AB75" s="32"/>
      <c r="AC75" s="32" t="s">
        <v>193</v>
      </c>
      <c r="AD75" s="32" t="s">
        <v>193</v>
      </c>
      <c r="AE75" s="32">
        <v>0</v>
      </c>
      <c r="AF75" s="32">
        <v>0</v>
      </c>
      <c r="AG75" s="32">
        <v>0</v>
      </c>
      <c r="AH75" s="32">
        <v>0</v>
      </c>
      <c r="AI75" s="32">
        <v>0</v>
      </c>
      <c r="AJ75" s="32" t="s">
        <v>965</v>
      </c>
      <c r="AK75" s="32">
        <v>0</v>
      </c>
      <c r="AL75" s="32">
        <v>0</v>
      </c>
      <c r="AM75" s="32">
        <v>0</v>
      </c>
      <c r="AN75" s="32">
        <v>0</v>
      </c>
      <c r="AO75" s="32">
        <v>0</v>
      </c>
      <c r="AP75" s="32"/>
      <c r="AQ75" s="32">
        <v>0</v>
      </c>
      <c r="AR75" s="32">
        <v>0</v>
      </c>
      <c r="AS75" s="32">
        <v>804352.9</v>
      </c>
      <c r="AT75" s="32" t="s">
        <v>171</v>
      </c>
      <c r="AU75" s="32" t="s">
        <v>185</v>
      </c>
      <c r="AV75" s="32" t="s">
        <v>166</v>
      </c>
      <c r="AW75" s="32" t="s">
        <v>171</v>
      </c>
      <c r="AX75" s="32" t="s">
        <v>1018</v>
      </c>
      <c r="AY75" s="32">
        <v>0</v>
      </c>
      <c r="AZ75" s="32">
        <v>681655</v>
      </c>
      <c r="BA75" s="32">
        <v>305</v>
      </c>
      <c r="BB75" s="31">
        <v>46212</v>
      </c>
      <c r="BC75" s="32" t="s">
        <v>177</v>
      </c>
      <c r="BD75" s="32" t="s">
        <v>967</v>
      </c>
      <c r="BE75" s="32" t="s">
        <v>967</v>
      </c>
      <c r="BF75" s="32">
        <v>9</v>
      </c>
      <c r="BG75" s="32">
        <v>61348.95</v>
      </c>
      <c r="BH75" s="32">
        <v>9</v>
      </c>
      <c r="BI75" s="32">
        <v>61348.95</v>
      </c>
      <c r="BJ75" s="32">
        <v>0</v>
      </c>
      <c r="BK75" s="32">
        <v>0</v>
      </c>
      <c r="BL75" s="32">
        <v>804352.9</v>
      </c>
      <c r="BM75" s="32">
        <v>672142355616</v>
      </c>
      <c r="BN75" s="31">
        <v>46212</v>
      </c>
      <c r="BO75" s="32">
        <v>5000</v>
      </c>
    </row>
    <row r="76" spans="1:67" x14ac:dyDescent="0.25">
      <c r="A76" s="21"/>
      <c r="B76" s="32" t="s">
        <v>167</v>
      </c>
      <c r="C76" s="31">
        <v>46212</v>
      </c>
      <c r="D76" s="32" t="s">
        <v>1063</v>
      </c>
      <c r="E76" s="32" t="s">
        <v>186</v>
      </c>
      <c r="F76" s="32" t="s">
        <v>187</v>
      </c>
      <c r="G76" s="32" t="s">
        <v>1064</v>
      </c>
      <c r="H76" s="32">
        <v>1452</v>
      </c>
      <c r="I76" s="32">
        <v>1452</v>
      </c>
      <c r="J76" s="32" t="s">
        <v>168</v>
      </c>
      <c r="K76" s="32">
        <v>1452</v>
      </c>
      <c r="L76" s="32">
        <v>0</v>
      </c>
      <c r="M76" s="32">
        <v>1452</v>
      </c>
      <c r="N76" s="32" t="s">
        <v>307</v>
      </c>
      <c r="O76" s="32" t="s">
        <v>654</v>
      </c>
      <c r="P76" s="32" t="s">
        <v>654</v>
      </c>
      <c r="Q76" s="32" t="s">
        <v>751</v>
      </c>
      <c r="R76" s="31">
        <v>46212</v>
      </c>
      <c r="S76" s="32" t="s">
        <v>987</v>
      </c>
      <c r="T76" s="32" t="s">
        <v>988</v>
      </c>
      <c r="U76" s="32" t="s">
        <v>750</v>
      </c>
      <c r="V76" s="32">
        <v>144.49</v>
      </c>
      <c r="W76" s="32">
        <v>144.49</v>
      </c>
      <c r="X76" s="32" t="s">
        <v>751</v>
      </c>
      <c r="Y76" s="31">
        <v>46212</v>
      </c>
      <c r="Z76" s="32" t="s">
        <v>193</v>
      </c>
      <c r="AA76" s="32" t="s">
        <v>193</v>
      </c>
      <c r="AB76" s="32"/>
      <c r="AC76" s="32" t="s">
        <v>193</v>
      </c>
      <c r="AD76" s="32" t="s">
        <v>193</v>
      </c>
      <c r="AE76" s="32">
        <v>0</v>
      </c>
      <c r="AF76" s="32">
        <v>0</v>
      </c>
      <c r="AG76" s="32">
        <v>0</v>
      </c>
      <c r="AH76" s="32">
        <v>0</v>
      </c>
      <c r="AI76" s="32">
        <v>0</v>
      </c>
      <c r="AJ76" s="32" t="s">
        <v>965</v>
      </c>
      <c r="AK76" s="32">
        <v>0</v>
      </c>
      <c r="AL76" s="32">
        <v>0</v>
      </c>
      <c r="AM76" s="32">
        <v>0</v>
      </c>
      <c r="AN76" s="32">
        <v>0</v>
      </c>
      <c r="AO76" s="32">
        <v>0</v>
      </c>
      <c r="AP76" s="32"/>
      <c r="AQ76" s="32">
        <v>0</v>
      </c>
      <c r="AR76" s="32">
        <v>0</v>
      </c>
      <c r="AS76" s="32">
        <v>247563.38</v>
      </c>
      <c r="AT76" s="32" t="s">
        <v>169</v>
      </c>
      <c r="AU76" s="32" t="s">
        <v>180</v>
      </c>
      <c r="AV76" s="32" t="s">
        <v>155</v>
      </c>
      <c r="AW76" s="32" t="s">
        <v>171</v>
      </c>
      <c r="AX76" s="32" t="s">
        <v>966</v>
      </c>
      <c r="AY76" s="32">
        <v>0</v>
      </c>
      <c r="AZ76" s="32">
        <v>209799.48</v>
      </c>
      <c r="BA76" s="32">
        <v>304</v>
      </c>
      <c r="BB76" s="31">
        <v>46212</v>
      </c>
      <c r="BC76" s="32" t="s">
        <v>177</v>
      </c>
      <c r="BD76" s="32" t="s">
        <v>967</v>
      </c>
      <c r="BE76" s="32" t="s">
        <v>967</v>
      </c>
      <c r="BF76" s="32">
        <v>9</v>
      </c>
      <c r="BG76" s="32">
        <v>18881.95</v>
      </c>
      <c r="BH76" s="32">
        <v>9</v>
      </c>
      <c r="BI76" s="32">
        <v>18881.95</v>
      </c>
      <c r="BJ76" s="32">
        <v>0</v>
      </c>
      <c r="BK76" s="32">
        <v>0</v>
      </c>
      <c r="BL76" s="32">
        <v>247563.38</v>
      </c>
      <c r="BM76" s="32">
        <v>662141973119</v>
      </c>
      <c r="BN76" s="31">
        <v>46212</v>
      </c>
      <c r="BO76" s="32">
        <v>1452</v>
      </c>
    </row>
    <row r="77" spans="1:67" x14ac:dyDescent="0.25">
      <c r="A77" s="21"/>
      <c r="B77" s="32" t="s">
        <v>167</v>
      </c>
      <c r="C77" s="31">
        <v>46213</v>
      </c>
      <c r="D77" s="32" t="s">
        <v>1065</v>
      </c>
      <c r="E77" s="32" t="s">
        <v>1066</v>
      </c>
      <c r="F77" s="32" t="s">
        <v>757</v>
      </c>
      <c r="G77" s="32" t="s">
        <v>1067</v>
      </c>
      <c r="H77" s="32">
        <v>980</v>
      </c>
      <c r="I77" s="32">
        <v>980</v>
      </c>
      <c r="J77" s="32" t="s">
        <v>168</v>
      </c>
      <c r="K77" s="32">
        <v>980</v>
      </c>
      <c r="L77" s="32">
        <v>0</v>
      </c>
      <c r="M77" s="32">
        <v>980</v>
      </c>
      <c r="N77" s="32" t="s">
        <v>1068</v>
      </c>
      <c r="O77" s="32" t="s">
        <v>676</v>
      </c>
      <c r="P77" s="32" t="s">
        <v>676</v>
      </c>
      <c r="Q77" s="32" t="s">
        <v>756</v>
      </c>
      <c r="R77" s="31">
        <v>46212</v>
      </c>
      <c r="S77" s="32" t="s">
        <v>987</v>
      </c>
      <c r="T77" s="32" t="s">
        <v>988</v>
      </c>
      <c r="U77" s="32" t="s">
        <v>755</v>
      </c>
      <c r="V77" s="32">
        <v>154.15</v>
      </c>
      <c r="W77" s="32">
        <v>154.15</v>
      </c>
      <c r="X77" s="32" t="s">
        <v>756</v>
      </c>
      <c r="Y77" s="31">
        <v>46212</v>
      </c>
      <c r="Z77" s="32" t="s">
        <v>193</v>
      </c>
      <c r="AA77" s="32" t="s">
        <v>193</v>
      </c>
      <c r="AB77" s="32"/>
      <c r="AC77" s="32" t="s">
        <v>1069</v>
      </c>
      <c r="AD77" s="32">
        <v>2427</v>
      </c>
      <c r="AE77" s="32">
        <v>0</v>
      </c>
      <c r="AF77" s="32">
        <v>0</v>
      </c>
      <c r="AG77" s="32">
        <v>0</v>
      </c>
      <c r="AH77" s="32">
        <v>0</v>
      </c>
      <c r="AI77" s="32">
        <v>0</v>
      </c>
      <c r="AJ77" s="32" t="s">
        <v>965</v>
      </c>
      <c r="AK77" s="32">
        <v>0</v>
      </c>
      <c r="AL77" s="32">
        <v>0</v>
      </c>
      <c r="AM77" s="32">
        <v>0</v>
      </c>
      <c r="AN77" s="32">
        <v>0</v>
      </c>
      <c r="AO77" s="32">
        <v>0</v>
      </c>
      <c r="AP77" s="32"/>
      <c r="AQ77" s="32">
        <v>0</v>
      </c>
      <c r="AR77" s="32">
        <v>0</v>
      </c>
      <c r="AS77" s="32">
        <v>314153.71999999997</v>
      </c>
      <c r="AT77" s="32" t="s">
        <v>169</v>
      </c>
      <c r="AU77" s="32" t="s">
        <v>170</v>
      </c>
      <c r="AV77" s="32" t="s">
        <v>157</v>
      </c>
      <c r="AW77" s="32" t="s">
        <v>171</v>
      </c>
      <c r="AX77" s="32" t="s">
        <v>966</v>
      </c>
      <c r="AY77" s="32">
        <v>0</v>
      </c>
      <c r="AZ77" s="32">
        <v>151067</v>
      </c>
      <c r="BA77" s="32">
        <v>307</v>
      </c>
      <c r="BB77" s="31">
        <v>46213</v>
      </c>
      <c r="BC77" s="32" t="s">
        <v>172</v>
      </c>
      <c r="BD77" s="32" t="s">
        <v>967</v>
      </c>
      <c r="BE77" s="32" t="s">
        <v>967</v>
      </c>
      <c r="BF77" s="32">
        <v>2.5</v>
      </c>
      <c r="BG77" s="32">
        <v>3776.68</v>
      </c>
      <c r="BH77" s="32">
        <v>2.5</v>
      </c>
      <c r="BI77" s="32">
        <v>3776.68</v>
      </c>
      <c r="BJ77" s="32">
        <v>0</v>
      </c>
      <c r="BK77" s="32">
        <v>0</v>
      </c>
      <c r="BL77" s="32">
        <v>314153.71999999997</v>
      </c>
      <c r="BM77" s="32">
        <v>682142328103</v>
      </c>
      <c r="BN77" s="31">
        <v>46212</v>
      </c>
      <c r="BO77" s="32">
        <v>980</v>
      </c>
    </row>
    <row r="78" spans="1:67" x14ac:dyDescent="0.25">
      <c r="A78" s="21"/>
      <c r="B78" s="32" t="s">
        <v>167</v>
      </c>
      <c r="C78" s="31">
        <v>46213</v>
      </c>
      <c r="D78" s="32" t="s">
        <v>1065</v>
      </c>
      <c r="E78" s="32" t="s">
        <v>1025</v>
      </c>
      <c r="F78" s="32" t="s">
        <v>709</v>
      </c>
      <c r="G78" s="32" t="s">
        <v>1067</v>
      </c>
      <c r="H78" s="32">
        <v>980</v>
      </c>
      <c r="I78" s="32">
        <v>980</v>
      </c>
      <c r="J78" s="32" t="s">
        <v>168</v>
      </c>
      <c r="K78" s="32">
        <v>980</v>
      </c>
      <c r="L78" s="32">
        <v>0</v>
      </c>
      <c r="M78" s="32">
        <v>980</v>
      </c>
      <c r="N78" s="32" t="s">
        <v>1068</v>
      </c>
      <c r="O78" s="32" t="s">
        <v>676</v>
      </c>
      <c r="P78" s="32" t="s">
        <v>676</v>
      </c>
      <c r="Q78" s="32" t="s">
        <v>756</v>
      </c>
      <c r="R78" s="31">
        <v>46212</v>
      </c>
      <c r="S78" s="32" t="s">
        <v>987</v>
      </c>
      <c r="T78" s="32" t="s">
        <v>988</v>
      </c>
      <c r="U78" s="32" t="s">
        <v>755</v>
      </c>
      <c r="V78" s="32">
        <v>151.15</v>
      </c>
      <c r="W78" s="32">
        <v>151.15</v>
      </c>
      <c r="X78" s="32" t="s">
        <v>756</v>
      </c>
      <c r="Y78" s="31">
        <v>46212</v>
      </c>
      <c r="Z78" s="32" t="s">
        <v>193</v>
      </c>
      <c r="AA78" s="32" t="s">
        <v>193</v>
      </c>
      <c r="AB78" s="32"/>
      <c r="AC78" s="32" t="s">
        <v>1069</v>
      </c>
      <c r="AD78" s="32">
        <v>2427</v>
      </c>
      <c r="AE78" s="32">
        <v>0</v>
      </c>
      <c r="AF78" s="32">
        <v>0</v>
      </c>
      <c r="AG78" s="32">
        <v>0</v>
      </c>
      <c r="AH78" s="32">
        <v>0</v>
      </c>
      <c r="AI78" s="32">
        <v>0</v>
      </c>
      <c r="AJ78" s="32" t="s">
        <v>965</v>
      </c>
      <c r="AK78" s="32">
        <v>0</v>
      </c>
      <c r="AL78" s="32">
        <v>0</v>
      </c>
      <c r="AM78" s="32">
        <v>0</v>
      </c>
      <c r="AN78" s="32">
        <v>0</v>
      </c>
      <c r="AO78" s="32">
        <v>0</v>
      </c>
      <c r="AP78" s="32"/>
      <c r="AQ78" s="32">
        <v>0</v>
      </c>
      <c r="AR78" s="32">
        <v>0</v>
      </c>
      <c r="AS78" s="32">
        <v>314153.71999999997</v>
      </c>
      <c r="AT78" s="32" t="s">
        <v>169</v>
      </c>
      <c r="AU78" s="32" t="s">
        <v>170</v>
      </c>
      <c r="AV78" s="32" t="s">
        <v>157</v>
      </c>
      <c r="AW78" s="32" t="s">
        <v>171</v>
      </c>
      <c r="AX78" s="32" t="s">
        <v>966</v>
      </c>
      <c r="AY78" s="32">
        <v>0</v>
      </c>
      <c r="AZ78" s="32">
        <v>148127</v>
      </c>
      <c r="BA78" s="32">
        <v>307</v>
      </c>
      <c r="BB78" s="31">
        <v>46213</v>
      </c>
      <c r="BC78" s="32" t="s">
        <v>172</v>
      </c>
      <c r="BD78" s="32" t="s">
        <v>967</v>
      </c>
      <c r="BE78" s="32" t="s">
        <v>967</v>
      </c>
      <c r="BF78" s="32">
        <v>2.5</v>
      </c>
      <c r="BG78" s="32">
        <v>3703.18</v>
      </c>
      <c r="BH78" s="32">
        <v>2.5</v>
      </c>
      <c r="BI78" s="32">
        <v>3703.18</v>
      </c>
      <c r="BJ78" s="32">
        <v>0</v>
      </c>
      <c r="BK78" s="32">
        <v>0</v>
      </c>
      <c r="BL78" s="32">
        <v>0</v>
      </c>
      <c r="BM78" s="32">
        <v>682142328103</v>
      </c>
      <c r="BN78" s="31">
        <v>46212</v>
      </c>
      <c r="BO78" s="32">
        <v>980</v>
      </c>
    </row>
    <row r="79" spans="1:67" x14ac:dyDescent="0.25">
      <c r="A79" s="21"/>
      <c r="B79" s="32" t="s">
        <v>167</v>
      </c>
      <c r="C79" s="31">
        <v>46213</v>
      </c>
      <c r="D79" s="32" t="s">
        <v>1070</v>
      </c>
      <c r="E79" s="32" t="s">
        <v>186</v>
      </c>
      <c r="F79" s="32" t="s">
        <v>187</v>
      </c>
      <c r="G79" s="32" t="s">
        <v>1071</v>
      </c>
      <c r="H79" s="32">
        <v>401</v>
      </c>
      <c r="I79" s="32">
        <v>401</v>
      </c>
      <c r="J79" s="32" t="s">
        <v>168</v>
      </c>
      <c r="K79" s="32">
        <v>401</v>
      </c>
      <c r="L79" s="32">
        <v>0</v>
      </c>
      <c r="M79" s="32">
        <v>401</v>
      </c>
      <c r="N79" s="32" t="s">
        <v>1072</v>
      </c>
      <c r="O79" s="32" t="s">
        <v>665</v>
      </c>
      <c r="P79" s="32" t="s">
        <v>665</v>
      </c>
      <c r="Q79" s="32" t="s">
        <v>753</v>
      </c>
      <c r="R79" s="31">
        <v>46212</v>
      </c>
      <c r="S79" s="32" t="s">
        <v>987</v>
      </c>
      <c r="T79" s="32" t="s">
        <v>988</v>
      </c>
      <c r="U79" s="32" t="s">
        <v>752</v>
      </c>
      <c r="V79" s="32">
        <v>159.49</v>
      </c>
      <c r="W79" s="32">
        <v>159.49</v>
      </c>
      <c r="X79" s="32" t="s">
        <v>753</v>
      </c>
      <c r="Y79" s="31">
        <v>46212</v>
      </c>
      <c r="Z79" s="32" t="s">
        <v>193</v>
      </c>
      <c r="AA79" s="32" t="s">
        <v>193</v>
      </c>
      <c r="AB79" s="32"/>
      <c r="AC79" s="32" t="s">
        <v>1069</v>
      </c>
      <c r="AD79" s="32">
        <v>2501</v>
      </c>
      <c r="AE79" s="32">
        <v>0</v>
      </c>
      <c r="AF79" s="32">
        <v>0</v>
      </c>
      <c r="AG79" s="32">
        <v>0</v>
      </c>
      <c r="AH79" s="32">
        <v>0</v>
      </c>
      <c r="AI79" s="32">
        <v>0</v>
      </c>
      <c r="AJ79" s="32" t="s">
        <v>965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/>
      <c r="AQ79" s="32">
        <v>0</v>
      </c>
      <c r="AR79" s="32">
        <v>0</v>
      </c>
      <c r="AS79" s="32">
        <v>387202.49</v>
      </c>
      <c r="AT79" s="32" t="s">
        <v>169</v>
      </c>
      <c r="AU79" s="32" t="s">
        <v>180</v>
      </c>
      <c r="AV79" s="32" t="s">
        <v>155</v>
      </c>
      <c r="AW79" s="32" t="s">
        <v>171</v>
      </c>
      <c r="AX79" s="32" t="s">
        <v>966</v>
      </c>
      <c r="AY79" s="32">
        <v>0</v>
      </c>
      <c r="AZ79" s="32">
        <v>63955.49</v>
      </c>
      <c r="BA79" s="32">
        <v>308</v>
      </c>
      <c r="BB79" s="31">
        <v>46213</v>
      </c>
      <c r="BC79" s="32" t="s">
        <v>189</v>
      </c>
      <c r="BD79" s="32" t="s">
        <v>967</v>
      </c>
      <c r="BE79" s="32" t="s">
        <v>967</v>
      </c>
      <c r="BF79" s="32">
        <v>9</v>
      </c>
      <c r="BG79" s="32">
        <v>5755.99</v>
      </c>
      <c r="BH79" s="32">
        <v>9</v>
      </c>
      <c r="BI79" s="32">
        <v>5755.99</v>
      </c>
      <c r="BJ79" s="32">
        <v>0</v>
      </c>
      <c r="BK79" s="32">
        <v>0</v>
      </c>
      <c r="BL79" s="32">
        <v>387202.49</v>
      </c>
      <c r="BM79" s="32">
        <v>642142232576</v>
      </c>
      <c r="BN79" s="31">
        <v>46212</v>
      </c>
      <c r="BO79" s="32">
        <v>401</v>
      </c>
    </row>
    <row r="80" spans="1:67" x14ac:dyDescent="0.25">
      <c r="A80" s="21"/>
      <c r="B80" s="32" t="s">
        <v>167</v>
      </c>
      <c r="C80" s="31">
        <v>46213</v>
      </c>
      <c r="D80" s="32" t="s">
        <v>1070</v>
      </c>
      <c r="E80" s="32" t="s">
        <v>186</v>
      </c>
      <c r="F80" s="32" t="s">
        <v>187</v>
      </c>
      <c r="G80" s="32" t="s">
        <v>1071</v>
      </c>
      <c r="H80" s="32">
        <v>1092</v>
      </c>
      <c r="I80" s="32">
        <v>1092</v>
      </c>
      <c r="J80" s="32" t="s">
        <v>168</v>
      </c>
      <c r="K80" s="32">
        <v>1092</v>
      </c>
      <c r="L80" s="32">
        <v>0</v>
      </c>
      <c r="M80" s="32">
        <v>1092</v>
      </c>
      <c r="N80" s="32" t="s">
        <v>1072</v>
      </c>
      <c r="O80" s="32" t="s">
        <v>665</v>
      </c>
      <c r="P80" s="32" t="s">
        <v>665</v>
      </c>
      <c r="Q80" s="32" t="s">
        <v>753</v>
      </c>
      <c r="R80" s="31">
        <v>46212</v>
      </c>
      <c r="S80" s="32" t="s">
        <v>987</v>
      </c>
      <c r="T80" s="32" t="s">
        <v>988</v>
      </c>
      <c r="U80" s="32" t="s">
        <v>752</v>
      </c>
      <c r="V80" s="32">
        <v>156.49</v>
      </c>
      <c r="W80" s="32">
        <v>156.49</v>
      </c>
      <c r="X80" s="32" t="s">
        <v>753</v>
      </c>
      <c r="Y80" s="31">
        <v>46212</v>
      </c>
      <c r="Z80" s="32" t="s">
        <v>193</v>
      </c>
      <c r="AA80" s="32" t="s">
        <v>193</v>
      </c>
      <c r="AB80" s="32"/>
      <c r="AC80" s="32" t="s">
        <v>1069</v>
      </c>
      <c r="AD80" s="32">
        <v>2501</v>
      </c>
      <c r="AE80" s="32">
        <v>0</v>
      </c>
      <c r="AF80" s="32">
        <v>0</v>
      </c>
      <c r="AG80" s="32">
        <v>0</v>
      </c>
      <c r="AH80" s="32">
        <v>0</v>
      </c>
      <c r="AI80" s="32">
        <v>0</v>
      </c>
      <c r="AJ80" s="32" t="s">
        <v>965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/>
      <c r="AQ80" s="32">
        <v>0</v>
      </c>
      <c r="AR80" s="32">
        <v>0</v>
      </c>
      <c r="AS80" s="32">
        <v>387202.49</v>
      </c>
      <c r="AT80" s="32" t="s">
        <v>169</v>
      </c>
      <c r="AU80" s="32" t="s">
        <v>180</v>
      </c>
      <c r="AV80" s="32" t="s">
        <v>155</v>
      </c>
      <c r="AW80" s="32" t="s">
        <v>171</v>
      </c>
      <c r="AX80" s="32" t="s">
        <v>966</v>
      </c>
      <c r="AY80" s="32">
        <v>0</v>
      </c>
      <c r="AZ80" s="32">
        <v>170887.08</v>
      </c>
      <c r="BA80" s="32">
        <v>308</v>
      </c>
      <c r="BB80" s="31">
        <v>46213</v>
      </c>
      <c r="BC80" s="32" t="s">
        <v>189</v>
      </c>
      <c r="BD80" s="32" t="s">
        <v>967</v>
      </c>
      <c r="BE80" s="32" t="s">
        <v>967</v>
      </c>
      <c r="BF80" s="32">
        <v>9</v>
      </c>
      <c r="BG80" s="32">
        <v>15379.84</v>
      </c>
      <c r="BH80" s="32">
        <v>9</v>
      </c>
      <c r="BI80" s="32">
        <v>15379.84</v>
      </c>
      <c r="BJ80" s="32">
        <v>0</v>
      </c>
      <c r="BK80" s="32">
        <v>0</v>
      </c>
      <c r="BL80" s="32">
        <v>0</v>
      </c>
      <c r="BM80" s="32">
        <v>642142232576</v>
      </c>
      <c r="BN80" s="31">
        <v>46212</v>
      </c>
      <c r="BO80" s="32">
        <v>1092</v>
      </c>
    </row>
    <row r="81" spans="1:67" x14ac:dyDescent="0.25">
      <c r="A81" s="21"/>
      <c r="B81" s="32" t="s">
        <v>167</v>
      </c>
      <c r="C81" s="31">
        <v>46213</v>
      </c>
      <c r="D81" s="32" t="s">
        <v>1070</v>
      </c>
      <c r="E81" s="32" t="s">
        <v>173</v>
      </c>
      <c r="F81" s="32" t="s">
        <v>174</v>
      </c>
      <c r="G81" s="32" t="s">
        <v>1071</v>
      </c>
      <c r="H81" s="32">
        <v>534</v>
      </c>
      <c r="I81" s="32">
        <v>534</v>
      </c>
      <c r="J81" s="32" t="s">
        <v>168</v>
      </c>
      <c r="K81" s="32">
        <v>534</v>
      </c>
      <c r="L81" s="32">
        <v>0</v>
      </c>
      <c r="M81" s="32">
        <v>534</v>
      </c>
      <c r="N81" s="32" t="s">
        <v>1072</v>
      </c>
      <c r="O81" s="32" t="s">
        <v>665</v>
      </c>
      <c r="P81" s="32" t="s">
        <v>665</v>
      </c>
      <c r="Q81" s="32" t="s">
        <v>753</v>
      </c>
      <c r="R81" s="31">
        <v>46212</v>
      </c>
      <c r="S81" s="32" t="s">
        <v>987</v>
      </c>
      <c r="T81" s="32" t="s">
        <v>988</v>
      </c>
      <c r="U81" s="32" t="s">
        <v>752</v>
      </c>
      <c r="V81" s="32">
        <v>174.71</v>
      </c>
      <c r="W81" s="32">
        <v>174.71</v>
      </c>
      <c r="X81" s="32" t="s">
        <v>753</v>
      </c>
      <c r="Y81" s="31">
        <v>46212</v>
      </c>
      <c r="Z81" s="32" t="s">
        <v>193</v>
      </c>
      <c r="AA81" s="32" t="s">
        <v>193</v>
      </c>
      <c r="AB81" s="32"/>
      <c r="AC81" s="32" t="s">
        <v>1069</v>
      </c>
      <c r="AD81" s="32">
        <v>2501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32" t="s">
        <v>965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/>
      <c r="AQ81" s="32">
        <v>0</v>
      </c>
      <c r="AR81" s="32">
        <v>0</v>
      </c>
      <c r="AS81" s="32">
        <v>387202.49</v>
      </c>
      <c r="AT81" s="32" t="s">
        <v>169</v>
      </c>
      <c r="AU81" s="32" t="s">
        <v>176</v>
      </c>
      <c r="AV81" s="32" t="s">
        <v>159</v>
      </c>
      <c r="AW81" s="32" t="s">
        <v>171</v>
      </c>
      <c r="AX81" s="32" t="s">
        <v>966</v>
      </c>
      <c r="AY81" s="32">
        <v>0</v>
      </c>
      <c r="AZ81" s="32">
        <v>93295.14</v>
      </c>
      <c r="BA81" s="32">
        <v>308</v>
      </c>
      <c r="BB81" s="31">
        <v>46213</v>
      </c>
      <c r="BC81" s="32" t="s">
        <v>189</v>
      </c>
      <c r="BD81" s="32" t="s">
        <v>967</v>
      </c>
      <c r="BE81" s="32" t="s">
        <v>967</v>
      </c>
      <c r="BF81" s="32">
        <v>9</v>
      </c>
      <c r="BG81" s="32">
        <v>8396.56</v>
      </c>
      <c r="BH81" s="32">
        <v>9</v>
      </c>
      <c r="BI81" s="32">
        <v>8396.56</v>
      </c>
      <c r="BJ81" s="32">
        <v>0</v>
      </c>
      <c r="BK81" s="32">
        <v>0</v>
      </c>
      <c r="BL81" s="32">
        <v>0</v>
      </c>
      <c r="BM81" s="32">
        <v>642142232576</v>
      </c>
      <c r="BN81" s="31">
        <v>46212</v>
      </c>
      <c r="BO81" s="32">
        <v>534</v>
      </c>
    </row>
    <row r="82" spans="1:67" x14ac:dyDescent="0.25">
      <c r="A82" s="21"/>
      <c r="B82" s="32" t="s">
        <v>167</v>
      </c>
      <c r="C82" s="31">
        <v>46213</v>
      </c>
      <c r="D82" s="32" t="s">
        <v>1073</v>
      </c>
      <c r="E82" s="32" t="s">
        <v>614</v>
      </c>
      <c r="F82" s="32" t="s">
        <v>445</v>
      </c>
      <c r="G82" s="32" t="s">
        <v>1074</v>
      </c>
      <c r="H82" s="32">
        <v>416.8</v>
      </c>
      <c r="I82" s="32">
        <v>416.8</v>
      </c>
      <c r="J82" s="32" t="s">
        <v>168</v>
      </c>
      <c r="K82" s="32">
        <v>416.8</v>
      </c>
      <c r="L82" s="32">
        <v>0</v>
      </c>
      <c r="M82" s="32">
        <v>416.8</v>
      </c>
      <c r="N82" s="32" t="s">
        <v>1072</v>
      </c>
      <c r="O82" s="32" t="s">
        <v>654</v>
      </c>
      <c r="P82" s="32" t="s">
        <v>654</v>
      </c>
      <c r="Q82" s="32" t="s">
        <v>762</v>
      </c>
      <c r="R82" s="31">
        <v>46213</v>
      </c>
      <c r="S82" s="32" t="s">
        <v>987</v>
      </c>
      <c r="T82" s="32" t="s">
        <v>988</v>
      </c>
      <c r="U82" s="32" t="s">
        <v>761</v>
      </c>
      <c r="V82" s="32">
        <v>229.84</v>
      </c>
      <c r="W82" s="32">
        <v>229.83999593350501</v>
      </c>
      <c r="X82" s="32" t="s">
        <v>762</v>
      </c>
      <c r="Y82" s="31">
        <v>46213</v>
      </c>
      <c r="Z82" s="32" t="s">
        <v>193</v>
      </c>
      <c r="AA82" s="32" t="s">
        <v>193</v>
      </c>
      <c r="AB82" s="32"/>
      <c r="AC82" s="32" t="s">
        <v>193</v>
      </c>
      <c r="AD82" s="32" t="s">
        <v>193</v>
      </c>
      <c r="AE82" s="32">
        <v>0</v>
      </c>
      <c r="AF82" s="32">
        <v>0</v>
      </c>
      <c r="AG82" s="32">
        <v>0</v>
      </c>
      <c r="AH82" s="32">
        <v>0</v>
      </c>
      <c r="AI82" s="32">
        <v>0</v>
      </c>
      <c r="AJ82" s="32" t="s">
        <v>965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/>
      <c r="AQ82" s="32">
        <v>0</v>
      </c>
      <c r="AR82" s="32">
        <v>0</v>
      </c>
      <c r="AS82" s="32">
        <v>113040.83</v>
      </c>
      <c r="AT82" s="32" t="s">
        <v>192</v>
      </c>
      <c r="AU82" s="32" t="s">
        <v>443</v>
      </c>
      <c r="AV82" s="32" t="s">
        <v>444</v>
      </c>
      <c r="AW82" s="32" t="s">
        <v>171</v>
      </c>
      <c r="AX82" s="32" t="s">
        <v>966</v>
      </c>
      <c r="AY82" s="32">
        <v>0</v>
      </c>
      <c r="AZ82" s="32">
        <v>95797.31</v>
      </c>
      <c r="BA82" s="32">
        <v>309</v>
      </c>
      <c r="BB82" s="31">
        <v>46213</v>
      </c>
      <c r="BC82" s="32" t="s">
        <v>177</v>
      </c>
      <c r="BD82" s="32" t="s">
        <v>967</v>
      </c>
      <c r="BE82" s="32" t="s">
        <v>967</v>
      </c>
      <c r="BF82" s="32">
        <v>9</v>
      </c>
      <c r="BG82" s="32">
        <v>8621.76</v>
      </c>
      <c r="BH82" s="32">
        <v>9</v>
      </c>
      <c r="BI82" s="32">
        <v>8621.76</v>
      </c>
      <c r="BJ82" s="32">
        <v>0</v>
      </c>
      <c r="BK82" s="32">
        <v>0</v>
      </c>
      <c r="BL82" s="32">
        <v>113040.83</v>
      </c>
      <c r="BM82" s="32">
        <v>602142607152</v>
      </c>
      <c r="BN82" s="31">
        <v>46213</v>
      </c>
      <c r="BO82" s="32">
        <v>416.8</v>
      </c>
    </row>
    <row r="83" spans="1:67" x14ac:dyDescent="0.25">
      <c r="A83" s="21"/>
      <c r="B83" s="32" t="s">
        <v>167</v>
      </c>
      <c r="C83" s="31">
        <v>46213</v>
      </c>
      <c r="D83" s="32" t="s">
        <v>1075</v>
      </c>
      <c r="E83" s="32" t="s">
        <v>1009</v>
      </c>
      <c r="F83" s="32" t="s">
        <v>684</v>
      </c>
      <c r="G83" s="32" t="s">
        <v>1076</v>
      </c>
      <c r="H83" s="32">
        <v>203.4</v>
      </c>
      <c r="I83" s="32">
        <v>203.4</v>
      </c>
      <c r="J83" s="32" t="s">
        <v>188</v>
      </c>
      <c r="K83" s="32">
        <v>203.4</v>
      </c>
      <c r="L83" s="32">
        <v>0</v>
      </c>
      <c r="M83" s="32">
        <v>203.4</v>
      </c>
      <c r="N83" s="32" t="s">
        <v>960</v>
      </c>
      <c r="O83" s="32" t="s">
        <v>654</v>
      </c>
      <c r="P83" s="32" t="s">
        <v>654</v>
      </c>
      <c r="Q83" s="32" t="s">
        <v>764</v>
      </c>
      <c r="R83" s="31">
        <v>46213</v>
      </c>
      <c r="S83" s="32" t="s">
        <v>987</v>
      </c>
      <c r="T83" s="32" t="s">
        <v>988</v>
      </c>
      <c r="U83" s="32" t="s">
        <v>763</v>
      </c>
      <c r="V83" s="32">
        <v>156.49</v>
      </c>
      <c r="W83" s="32">
        <v>156.490018729224</v>
      </c>
      <c r="X83" s="32" t="s">
        <v>764</v>
      </c>
      <c r="Y83" s="31">
        <v>46213</v>
      </c>
      <c r="Z83" s="32"/>
      <c r="AA83" s="32">
        <v>0</v>
      </c>
      <c r="AB83" s="32"/>
      <c r="AC83" s="32">
        <v>0</v>
      </c>
      <c r="AD83" s="32">
        <v>0</v>
      </c>
      <c r="AE83" s="32">
        <v>0</v>
      </c>
      <c r="AF83" s="32">
        <v>0</v>
      </c>
      <c r="AG83" s="32">
        <v>0</v>
      </c>
      <c r="AH83" s="32">
        <v>0</v>
      </c>
      <c r="AI83" s="32">
        <v>0</v>
      </c>
      <c r="AJ83" s="32" t="s">
        <v>965</v>
      </c>
      <c r="AK83" s="32">
        <v>0</v>
      </c>
      <c r="AL83" s="32">
        <v>0</v>
      </c>
      <c r="AM83" s="32">
        <v>0</v>
      </c>
      <c r="AN83" s="32">
        <v>0</v>
      </c>
      <c r="AO83" s="32">
        <v>0</v>
      </c>
      <c r="AP83" s="32"/>
      <c r="AQ83" s="32">
        <v>0</v>
      </c>
      <c r="AR83" s="32">
        <v>0</v>
      </c>
      <c r="AS83" s="32">
        <v>33421.57</v>
      </c>
      <c r="AT83" s="32" t="s">
        <v>169</v>
      </c>
      <c r="AU83" s="32" t="s">
        <v>170</v>
      </c>
      <c r="AV83" s="32" t="s">
        <v>157</v>
      </c>
      <c r="AW83" s="32" t="s">
        <v>171</v>
      </c>
      <c r="AX83" s="32"/>
      <c r="AY83" s="32">
        <v>0</v>
      </c>
      <c r="AZ83" s="32">
        <v>31830.07</v>
      </c>
      <c r="BA83" s="32">
        <v>310</v>
      </c>
      <c r="BB83" s="31">
        <v>46213</v>
      </c>
      <c r="BC83" s="32" t="s">
        <v>177</v>
      </c>
      <c r="BD83" s="32" t="s">
        <v>967</v>
      </c>
      <c r="BE83" s="32" t="s">
        <v>967</v>
      </c>
      <c r="BF83" s="32">
        <v>2.5</v>
      </c>
      <c r="BG83" s="32">
        <v>795.75</v>
      </c>
      <c r="BH83" s="32">
        <v>2.5</v>
      </c>
      <c r="BI83" s="32">
        <v>795.75</v>
      </c>
      <c r="BJ83" s="32">
        <v>0</v>
      </c>
      <c r="BK83" s="32">
        <v>0</v>
      </c>
      <c r="BL83" s="32">
        <v>33421.57</v>
      </c>
      <c r="BM83" s="32">
        <v>692142613338</v>
      </c>
      <c r="BN83" s="31">
        <v>46213</v>
      </c>
      <c r="BO83" s="32">
        <v>203.4</v>
      </c>
    </row>
    <row r="84" spans="1:67" x14ac:dyDescent="0.25">
      <c r="A84" s="21"/>
      <c r="B84" s="32" t="s">
        <v>167</v>
      </c>
      <c r="C84" s="31">
        <v>46213</v>
      </c>
      <c r="D84" s="32" t="s">
        <v>1077</v>
      </c>
      <c r="E84" s="32" t="s">
        <v>1009</v>
      </c>
      <c r="F84" s="32" t="s">
        <v>684</v>
      </c>
      <c r="G84" s="32" t="s">
        <v>1078</v>
      </c>
      <c r="H84" s="32">
        <v>1128.8</v>
      </c>
      <c r="I84" s="32">
        <v>1128.8</v>
      </c>
      <c r="J84" s="32" t="s">
        <v>188</v>
      </c>
      <c r="K84" s="32">
        <v>1128.8</v>
      </c>
      <c r="L84" s="32">
        <v>0</v>
      </c>
      <c r="M84" s="32">
        <v>1128.8</v>
      </c>
      <c r="N84" s="32" t="s">
        <v>175</v>
      </c>
      <c r="O84" s="32" t="s">
        <v>654</v>
      </c>
      <c r="P84" s="32" t="s">
        <v>654</v>
      </c>
      <c r="Q84" s="32" t="s">
        <v>766</v>
      </c>
      <c r="R84" s="31">
        <v>46213</v>
      </c>
      <c r="S84" s="32" t="s">
        <v>987</v>
      </c>
      <c r="T84" s="32" t="s">
        <v>988</v>
      </c>
      <c r="U84" s="32" t="s">
        <v>765</v>
      </c>
      <c r="V84" s="32">
        <v>156.49</v>
      </c>
      <c r="W84" s="32">
        <v>156.49000060622001</v>
      </c>
      <c r="X84" s="32" t="s">
        <v>766</v>
      </c>
      <c r="Y84" s="31">
        <v>46213</v>
      </c>
      <c r="Z84" s="32" t="s">
        <v>193</v>
      </c>
      <c r="AA84" s="32" t="s">
        <v>193</v>
      </c>
      <c r="AB84" s="32"/>
      <c r="AC84" s="32" t="s">
        <v>193</v>
      </c>
      <c r="AD84" s="32" t="s">
        <v>193</v>
      </c>
      <c r="AE84" s="32">
        <v>0</v>
      </c>
      <c r="AF84" s="32">
        <v>0</v>
      </c>
      <c r="AG84" s="32">
        <v>0</v>
      </c>
      <c r="AH84" s="32">
        <v>0</v>
      </c>
      <c r="AI84" s="32">
        <v>0</v>
      </c>
      <c r="AJ84" s="32" t="s">
        <v>965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/>
      <c r="AQ84" s="32">
        <v>0</v>
      </c>
      <c r="AR84" s="32">
        <v>0</v>
      </c>
      <c r="AS84" s="32">
        <v>1806982.86</v>
      </c>
      <c r="AT84" s="32" t="s">
        <v>169</v>
      </c>
      <c r="AU84" s="32" t="s">
        <v>170</v>
      </c>
      <c r="AV84" s="32" t="s">
        <v>157</v>
      </c>
      <c r="AW84" s="32" t="s">
        <v>171</v>
      </c>
      <c r="AX84" s="32"/>
      <c r="AY84" s="32">
        <v>0</v>
      </c>
      <c r="AZ84" s="32">
        <v>176645.91</v>
      </c>
      <c r="BA84" s="32">
        <v>311</v>
      </c>
      <c r="BB84" s="31">
        <v>46213</v>
      </c>
      <c r="BC84" s="32" t="s">
        <v>177</v>
      </c>
      <c r="BD84" s="32" t="s">
        <v>967</v>
      </c>
      <c r="BE84" s="32" t="s">
        <v>967</v>
      </c>
      <c r="BF84" s="32">
        <v>2.5</v>
      </c>
      <c r="BG84" s="32">
        <v>4416.1499999999996</v>
      </c>
      <c r="BH84" s="32">
        <v>2.5</v>
      </c>
      <c r="BI84" s="32">
        <v>4416.1499999999996</v>
      </c>
      <c r="BJ84" s="32">
        <v>0</v>
      </c>
      <c r="BK84" s="32">
        <v>0</v>
      </c>
      <c r="BL84" s="32">
        <v>1806982.86</v>
      </c>
      <c r="BM84" s="32">
        <v>692142973315</v>
      </c>
      <c r="BN84" s="31">
        <v>46213</v>
      </c>
      <c r="BO84" s="32">
        <v>1128.8</v>
      </c>
    </row>
    <row r="85" spans="1:67" x14ac:dyDescent="0.25">
      <c r="A85" s="21"/>
      <c r="B85" s="32" t="s">
        <v>167</v>
      </c>
      <c r="C85" s="31">
        <v>46213</v>
      </c>
      <c r="D85" s="32" t="s">
        <v>1077</v>
      </c>
      <c r="E85" s="32" t="s">
        <v>181</v>
      </c>
      <c r="F85" s="32" t="s">
        <v>182</v>
      </c>
      <c r="G85" s="32" t="s">
        <v>1078</v>
      </c>
      <c r="H85" s="32">
        <v>1479.3</v>
      </c>
      <c r="I85" s="32">
        <v>1479.3</v>
      </c>
      <c r="J85" s="32" t="s">
        <v>168</v>
      </c>
      <c r="K85" s="32">
        <v>1479.3</v>
      </c>
      <c r="L85" s="32">
        <v>0</v>
      </c>
      <c r="M85" s="32">
        <v>1479.3</v>
      </c>
      <c r="N85" s="32" t="s">
        <v>175</v>
      </c>
      <c r="O85" s="32" t="s">
        <v>654</v>
      </c>
      <c r="P85" s="32" t="s">
        <v>654</v>
      </c>
      <c r="Q85" s="32" t="s">
        <v>766</v>
      </c>
      <c r="R85" s="31">
        <v>46213</v>
      </c>
      <c r="S85" s="32" t="s">
        <v>987</v>
      </c>
      <c r="T85" s="32" t="s">
        <v>988</v>
      </c>
      <c r="U85" s="32" t="s">
        <v>765</v>
      </c>
      <c r="V85" s="32">
        <v>149.49</v>
      </c>
      <c r="W85" s="32">
        <v>149.490000579103</v>
      </c>
      <c r="X85" s="32" t="s">
        <v>766</v>
      </c>
      <c r="Y85" s="31">
        <v>46213</v>
      </c>
      <c r="Z85" s="32" t="s">
        <v>193</v>
      </c>
      <c r="AA85" s="32" t="s">
        <v>193</v>
      </c>
      <c r="AB85" s="32"/>
      <c r="AC85" s="32" t="s">
        <v>193</v>
      </c>
      <c r="AD85" s="32" t="s">
        <v>193</v>
      </c>
      <c r="AE85" s="32">
        <v>0</v>
      </c>
      <c r="AF85" s="32">
        <v>0</v>
      </c>
      <c r="AG85" s="32">
        <v>0</v>
      </c>
      <c r="AH85" s="32">
        <v>0</v>
      </c>
      <c r="AI85" s="32">
        <v>0</v>
      </c>
      <c r="AJ85" s="32" t="s">
        <v>965</v>
      </c>
      <c r="AK85" s="32">
        <v>0</v>
      </c>
      <c r="AL85" s="32">
        <v>0</v>
      </c>
      <c r="AM85" s="32">
        <v>0</v>
      </c>
      <c r="AN85" s="32">
        <v>0</v>
      </c>
      <c r="AO85" s="32">
        <v>0</v>
      </c>
      <c r="AP85" s="32"/>
      <c r="AQ85" s="32">
        <v>0</v>
      </c>
      <c r="AR85" s="32">
        <v>0</v>
      </c>
      <c r="AS85" s="32">
        <v>1806982.86</v>
      </c>
      <c r="AT85" s="32" t="s">
        <v>169</v>
      </c>
      <c r="AU85" s="32" t="s">
        <v>182</v>
      </c>
      <c r="AV85" s="32" t="s">
        <v>154</v>
      </c>
      <c r="AW85" s="32" t="s">
        <v>171</v>
      </c>
      <c r="AX85" s="32" t="s">
        <v>966</v>
      </c>
      <c r="AY85" s="32">
        <v>0</v>
      </c>
      <c r="AZ85" s="32">
        <v>221140.56</v>
      </c>
      <c r="BA85" s="32">
        <v>311</v>
      </c>
      <c r="BB85" s="31">
        <v>46213</v>
      </c>
      <c r="BC85" s="32" t="s">
        <v>177</v>
      </c>
      <c r="BD85" s="32" t="s">
        <v>967</v>
      </c>
      <c r="BE85" s="32" t="s">
        <v>967</v>
      </c>
      <c r="BF85" s="32">
        <v>9</v>
      </c>
      <c r="BG85" s="32">
        <v>19902.650000000001</v>
      </c>
      <c r="BH85" s="32">
        <v>9</v>
      </c>
      <c r="BI85" s="32">
        <v>19902.650000000001</v>
      </c>
      <c r="BJ85" s="32">
        <v>0</v>
      </c>
      <c r="BK85" s="32">
        <v>0</v>
      </c>
      <c r="BL85" s="32">
        <v>0</v>
      </c>
      <c r="BM85" s="32">
        <v>692142973315</v>
      </c>
      <c r="BN85" s="31">
        <v>46213</v>
      </c>
      <c r="BO85" s="32">
        <v>1479.3</v>
      </c>
    </row>
    <row r="86" spans="1:67" x14ac:dyDescent="0.25">
      <c r="A86" s="21"/>
      <c r="B86" s="32" t="s">
        <v>167</v>
      </c>
      <c r="C86" s="31">
        <v>46213</v>
      </c>
      <c r="D86" s="32" t="s">
        <v>1077</v>
      </c>
      <c r="E86" s="32" t="s">
        <v>181</v>
      </c>
      <c r="F86" s="32" t="s">
        <v>182</v>
      </c>
      <c r="G86" s="32" t="s">
        <v>1078</v>
      </c>
      <c r="H86" s="32">
        <v>75.2</v>
      </c>
      <c r="I86" s="32">
        <v>75.2</v>
      </c>
      <c r="J86" s="32" t="s">
        <v>168</v>
      </c>
      <c r="K86" s="32">
        <v>75.2</v>
      </c>
      <c r="L86" s="32">
        <v>0</v>
      </c>
      <c r="M86" s="32">
        <v>75.2</v>
      </c>
      <c r="N86" s="32" t="s">
        <v>175</v>
      </c>
      <c r="O86" s="32" t="s">
        <v>654</v>
      </c>
      <c r="P86" s="32" t="s">
        <v>654</v>
      </c>
      <c r="Q86" s="32" t="s">
        <v>766</v>
      </c>
      <c r="R86" s="31">
        <v>46213</v>
      </c>
      <c r="S86" s="32" t="s">
        <v>987</v>
      </c>
      <c r="T86" s="32" t="s">
        <v>988</v>
      </c>
      <c r="U86" s="32" t="s">
        <v>765</v>
      </c>
      <c r="V86" s="32">
        <v>146.49</v>
      </c>
      <c r="W86" s="32">
        <v>146.49000056748201</v>
      </c>
      <c r="X86" s="32" t="s">
        <v>766</v>
      </c>
      <c r="Y86" s="31">
        <v>46213</v>
      </c>
      <c r="Z86" s="32" t="s">
        <v>193</v>
      </c>
      <c r="AA86" s="32" t="s">
        <v>193</v>
      </c>
      <c r="AB86" s="32"/>
      <c r="AC86" s="32" t="s">
        <v>193</v>
      </c>
      <c r="AD86" s="32" t="s">
        <v>193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32" t="s">
        <v>965</v>
      </c>
      <c r="AK86" s="32">
        <v>0</v>
      </c>
      <c r="AL86" s="32">
        <v>0</v>
      </c>
      <c r="AM86" s="32">
        <v>0</v>
      </c>
      <c r="AN86" s="32">
        <v>0</v>
      </c>
      <c r="AO86" s="32">
        <v>0</v>
      </c>
      <c r="AP86" s="32"/>
      <c r="AQ86" s="32">
        <v>0</v>
      </c>
      <c r="AR86" s="32">
        <v>0</v>
      </c>
      <c r="AS86" s="32">
        <v>1806982.86</v>
      </c>
      <c r="AT86" s="32" t="s">
        <v>169</v>
      </c>
      <c r="AU86" s="32" t="s">
        <v>182</v>
      </c>
      <c r="AV86" s="32" t="s">
        <v>154</v>
      </c>
      <c r="AW86" s="32" t="s">
        <v>171</v>
      </c>
      <c r="AX86" s="32" t="s">
        <v>966</v>
      </c>
      <c r="AY86" s="32">
        <v>0</v>
      </c>
      <c r="AZ86" s="32">
        <v>11016.05</v>
      </c>
      <c r="BA86" s="32">
        <v>311</v>
      </c>
      <c r="BB86" s="31">
        <v>46213</v>
      </c>
      <c r="BC86" s="32" t="s">
        <v>177</v>
      </c>
      <c r="BD86" s="32" t="s">
        <v>967</v>
      </c>
      <c r="BE86" s="32" t="s">
        <v>967</v>
      </c>
      <c r="BF86" s="32">
        <v>9</v>
      </c>
      <c r="BG86" s="32">
        <v>991.44</v>
      </c>
      <c r="BH86" s="32">
        <v>9</v>
      </c>
      <c r="BI86" s="32">
        <v>991.44</v>
      </c>
      <c r="BJ86" s="32">
        <v>0</v>
      </c>
      <c r="BK86" s="32">
        <v>0</v>
      </c>
      <c r="BL86" s="32">
        <v>0</v>
      </c>
      <c r="BM86" s="32">
        <v>692142973315</v>
      </c>
      <c r="BN86" s="31">
        <v>46213</v>
      </c>
      <c r="BO86" s="32">
        <v>75.2</v>
      </c>
    </row>
    <row r="87" spans="1:67" x14ac:dyDescent="0.25">
      <c r="A87" s="21"/>
      <c r="B87" s="32" t="s">
        <v>167</v>
      </c>
      <c r="C87" s="31">
        <v>46213</v>
      </c>
      <c r="D87" s="32" t="s">
        <v>1077</v>
      </c>
      <c r="E87" s="32" t="s">
        <v>1006</v>
      </c>
      <c r="F87" s="32" t="s">
        <v>681</v>
      </c>
      <c r="G87" s="32" t="s">
        <v>1078</v>
      </c>
      <c r="H87" s="32">
        <v>44.4</v>
      </c>
      <c r="I87" s="32">
        <v>44.4</v>
      </c>
      <c r="J87" s="32" t="s">
        <v>168</v>
      </c>
      <c r="K87" s="32">
        <v>44.4</v>
      </c>
      <c r="L87" s="32">
        <v>0</v>
      </c>
      <c r="M87" s="32">
        <v>44.4</v>
      </c>
      <c r="N87" s="32" t="s">
        <v>175</v>
      </c>
      <c r="O87" s="32" t="s">
        <v>654</v>
      </c>
      <c r="P87" s="32" t="s">
        <v>654</v>
      </c>
      <c r="Q87" s="32" t="s">
        <v>766</v>
      </c>
      <c r="R87" s="31">
        <v>46213</v>
      </c>
      <c r="S87" s="32" t="s">
        <v>987</v>
      </c>
      <c r="T87" s="32" t="s">
        <v>988</v>
      </c>
      <c r="U87" s="32" t="s">
        <v>765</v>
      </c>
      <c r="V87" s="32">
        <v>160.99</v>
      </c>
      <c r="W87" s="32">
        <v>160.990000623653</v>
      </c>
      <c r="X87" s="32" t="s">
        <v>766</v>
      </c>
      <c r="Y87" s="31">
        <v>46213</v>
      </c>
      <c r="Z87" s="32" t="s">
        <v>193</v>
      </c>
      <c r="AA87" s="32" t="s">
        <v>193</v>
      </c>
      <c r="AB87" s="32"/>
      <c r="AC87" s="32" t="s">
        <v>193</v>
      </c>
      <c r="AD87" s="32" t="s">
        <v>193</v>
      </c>
      <c r="AE87" s="32">
        <v>0</v>
      </c>
      <c r="AF87" s="32">
        <v>0</v>
      </c>
      <c r="AG87" s="32">
        <v>0</v>
      </c>
      <c r="AH87" s="32">
        <v>0</v>
      </c>
      <c r="AI87" s="32">
        <v>0</v>
      </c>
      <c r="AJ87" s="32" t="s">
        <v>965</v>
      </c>
      <c r="AK87" s="32">
        <v>0</v>
      </c>
      <c r="AL87" s="32">
        <v>0</v>
      </c>
      <c r="AM87" s="32">
        <v>0</v>
      </c>
      <c r="AN87" s="32">
        <v>0</v>
      </c>
      <c r="AO87" s="32">
        <v>0</v>
      </c>
      <c r="AP87" s="32"/>
      <c r="AQ87" s="32">
        <v>0</v>
      </c>
      <c r="AR87" s="32">
        <v>0</v>
      </c>
      <c r="AS87" s="32">
        <v>1806982.86</v>
      </c>
      <c r="AT87" s="32" t="s">
        <v>169</v>
      </c>
      <c r="AU87" s="32" t="s">
        <v>170</v>
      </c>
      <c r="AV87" s="32" t="s">
        <v>157</v>
      </c>
      <c r="AW87" s="32" t="s">
        <v>171</v>
      </c>
      <c r="AX87" s="32" t="s">
        <v>966</v>
      </c>
      <c r="AY87" s="32">
        <v>0</v>
      </c>
      <c r="AZ87" s="32">
        <v>7147.96</v>
      </c>
      <c r="BA87" s="32">
        <v>311</v>
      </c>
      <c r="BB87" s="31">
        <v>46213</v>
      </c>
      <c r="BC87" s="32" t="s">
        <v>177</v>
      </c>
      <c r="BD87" s="32" t="s">
        <v>967</v>
      </c>
      <c r="BE87" s="32" t="s">
        <v>967</v>
      </c>
      <c r="BF87" s="32">
        <v>2.5</v>
      </c>
      <c r="BG87" s="32">
        <v>178.7</v>
      </c>
      <c r="BH87" s="32">
        <v>2.5</v>
      </c>
      <c r="BI87" s="32">
        <v>178.7</v>
      </c>
      <c r="BJ87" s="32">
        <v>0</v>
      </c>
      <c r="BK87" s="32">
        <v>0</v>
      </c>
      <c r="BL87" s="32">
        <v>0</v>
      </c>
      <c r="BM87" s="32">
        <v>692142973315</v>
      </c>
      <c r="BN87" s="31">
        <v>46213</v>
      </c>
      <c r="BO87" s="32">
        <v>44.4</v>
      </c>
    </row>
    <row r="88" spans="1:67" x14ac:dyDescent="0.25">
      <c r="A88" s="21"/>
      <c r="B88" s="32" t="s">
        <v>167</v>
      </c>
      <c r="C88" s="31">
        <v>46213</v>
      </c>
      <c r="D88" s="32" t="s">
        <v>1077</v>
      </c>
      <c r="E88" s="32" t="s">
        <v>1079</v>
      </c>
      <c r="F88" s="32" t="s">
        <v>767</v>
      </c>
      <c r="G88" s="32" t="s">
        <v>1078</v>
      </c>
      <c r="H88" s="32">
        <v>312</v>
      </c>
      <c r="I88" s="32">
        <v>312</v>
      </c>
      <c r="J88" s="32" t="s">
        <v>188</v>
      </c>
      <c r="K88" s="32">
        <v>312</v>
      </c>
      <c r="L88" s="32">
        <v>0</v>
      </c>
      <c r="M88" s="32">
        <v>312</v>
      </c>
      <c r="N88" s="32" t="s">
        <v>175</v>
      </c>
      <c r="O88" s="32" t="s">
        <v>654</v>
      </c>
      <c r="P88" s="32" t="s">
        <v>654</v>
      </c>
      <c r="Q88" s="32" t="s">
        <v>766</v>
      </c>
      <c r="R88" s="31">
        <v>46213</v>
      </c>
      <c r="S88" s="32" t="s">
        <v>987</v>
      </c>
      <c r="T88" s="32" t="s">
        <v>988</v>
      </c>
      <c r="U88" s="32" t="s">
        <v>765</v>
      </c>
      <c r="V88" s="32">
        <v>156.49</v>
      </c>
      <c r="W88" s="32">
        <v>156.49000060622001</v>
      </c>
      <c r="X88" s="32" t="s">
        <v>766</v>
      </c>
      <c r="Y88" s="31">
        <v>46213</v>
      </c>
      <c r="Z88" s="32" t="s">
        <v>193</v>
      </c>
      <c r="AA88" s="32" t="s">
        <v>193</v>
      </c>
      <c r="AB88" s="32"/>
      <c r="AC88" s="32" t="s">
        <v>193</v>
      </c>
      <c r="AD88" s="32" t="s">
        <v>193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 t="s">
        <v>965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/>
      <c r="AQ88" s="32">
        <v>0</v>
      </c>
      <c r="AR88" s="32">
        <v>0</v>
      </c>
      <c r="AS88" s="32">
        <v>1806982.86</v>
      </c>
      <c r="AT88" s="32" t="s">
        <v>169</v>
      </c>
      <c r="AU88" s="32" t="s">
        <v>170</v>
      </c>
      <c r="AV88" s="32" t="s">
        <v>157</v>
      </c>
      <c r="AW88" s="32" t="s">
        <v>171</v>
      </c>
      <c r="AX88" s="32"/>
      <c r="AY88" s="32">
        <v>0</v>
      </c>
      <c r="AZ88" s="32">
        <v>48824.88</v>
      </c>
      <c r="BA88" s="32">
        <v>311</v>
      </c>
      <c r="BB88" s="31">
        <v>46213</v>
      </c>
      <c r="BC88" s="32" t="s">
        <v>177</v>
      </c>
      <c r="BD88" s="32" t="s">
        <v>967</v>
      </c>
      <c r="BE88" s="32" t="s">
        <v>967</v>
      </c>
      <c r="BF88" s="32">
        <v>2.5</v>
      </c>
      <c r="BG88" s="32">
        <v>1220.6199999999999</v>
      </c>
      <c r="BH88" s="32">
        <v>2.5</v>
      </c>
      <c r="BI88" s="32">
        <v>1220.6199999999999</v>
      </c>
      <c r="BJ88" s="32">
        <v>0</v>
      </c>
      <c r="BK88" s="32">
        <v>0</v>
      </c>
      <c r="BL88" s="32">
        <v>0</v>
      </c>
      <c r="BM88" s="32">
        <v>692142973315</v>
      </c>
      <c r="BN88" s="31">
        <v>46213</v>
      </c>
      <c r="BO88" s="32">
        <v>312</v>
      </c>
    </row>
    <row r="89" spans="1:67" x14ac:dyDescent="0.25">
      <c r="A89" s="21"/>
      <c r="B89" s="32" t="s">
        <v>167</v>
      </c>
      <c r="C89" s="31">
        <v>46213</v>
      </c>
      <c r="D89" s="32" t="s">
        <v>1077</v>
      </c>
      <c r="E89" s="32" t="s">
        <v>1008</v>
      </c>
      <c r="F89" s="32" t="s">
        <v>685</v>
      </c>
      <c r="G89" s="32" t="s">
        <v>1078</v>
      </c>
      <c r="H89" s="32">
        <v>862</v>
      </c>
      <c r="I89" s="32">
        <v>862</v>
      </c>
      <c r="J89" s="32" t="s">
        <v>188</v>
      </c>
      <c r="K89" s="32">
        <v>862</v>
      </c>
      <c r="L89" s="32">
        <v>0</v>
      </c>
      <c r="M89" s="32">
        <v>862</v>
      </c>
      <c r="N89" s="32" t="s">
        <v>175</v>
      </c>
      <c r="O89" s="32" t="s">
        <v>654</v>
      </c>
      <c r="P89" s="32" t="s">
        <v>654</v>
      </c>
      <c r="Q89" s="32" t="s">
        <v>766</v>
      </c>
      <c r="R89" s="31">
        <v>46213</v>
      </c>
      <c r="S89" s="32" t="s">
        <v>987</v>
      </c>
      <c r="T89" s="32" t="s">
        <v>988</v>
      </c>
      <c r="U89" s="32" t="s">
        <v>765</v>
      </c>
      <c r="V89" s="32">
        <v>156.49</v>
      </c>
      <c r="W89" s="32">
        <v>156.49000060622001</v>
      </c>
      <c r="X89" s="32" t="s">
        <v>766</v>
      </c>
      <c r="Y89" s="31">
        <v>46213</v>
      </c>
      <c r="Z89" s="32" t="s">
        <v>193</v>
      </c>
      <c r="AA89" s="32" t="s">
        <v>193</v>
      </c>
      <c r="AB89" s="32"/>
      <c r="AC89" s="32" t="s">
        <v>193</v>
      </c>
      <c r="AD89" s="32" t="s">
        <v>193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32" t="s">
        <v>965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/>
      <c r="AQ89" s="32">
        <v>0</v>
      </c>
      <c r="AR89" s="32">
        <v>0</v>
      </c>
      <c r="AS89" s="32">
        <v>1806982.86</v>
      </c>
      <c r="AT89" s="32" t="s">
        <v>169</v>
      </c>
      <c r="AU89" s="32" t="s">
        <v>170</v>
      </c>
      <c r="AV89" s="32" t="s">
        <v>157</v>
      </c>
      <c r="AW89" s="32" t="s">
        <v>171</v>
      </c>
      <c r="AX89" s="32"/>
      <c r="AY89" s="32">
        <v>0</v>
      </c>
      <c r="AZ89" s="32">
        <v>134894.38</v>
      </c>
      <c r="BA89" s="32">
        <v>311</v>
      </c>
      <c r="BB89" s="31">
        <v>46213</v>
      </c>
      <c r="BC89" s="32" t="s">
        <v>177</v>
      </c>
      <c r="BD89" s="32" t="s">
        <v>967</v>
      </c>
      <c r="BE89" s="32" t="s">
        <v>967</v>
      </c>
      <c r="BF89" s="32">
        <v>2.5</v>
      </c>
      <c r="BG89" s="32">
        <v>3372.36</v>
      </c>
      <c r="BH89" s="32">
        <v>2.5</v>
      </c>
      <c r="BI89" s="32">
        <v>3372.36</v>
      </c>
      <c r="BJ89" s="32">
        <v>0</v>
      </c>
      <c r="BK89" s="32">
        <v>0</v>
      </c>
      <c r="BL89" s="32">
        <v>0</v>
      </c>
      <c r="BM89" s="32">
        <v>692142973315</v>
      </c>
      <c r="BN89" s="31">
        <v>46213</v>
      </c>
      <c r="BO89" s="32">
        <v>862</v>
      </c>
    </row>
    <row r="90" spans="1:67" x14ac:dyDescent="0.25">
      <c r="A90" s="21"/>
      <c r="B90" s="32" t="s">
        <v>167</v>
      </c>
      <c r="C90" s="31">
        <v>46213</v>
      </c>
      <c r="D90" s="32" t="s">
        <v>1077</v>
      </c>
      <c r="E90" s="32" t="s">
        <v>178</v>
      </c>
      <c r="F90" s="32" t="s">
        <v>179</v>
      </c>
      <c r="G90" s="32" t="s">
        <v>1078</v>
      </c>
      <c r="H90" s="32">
        <v>1396</v>
      </c>
      <c r="I90" s="32">
        <v>1396</v>
      </c>
      <c r="J90" s="32" t="s">
        <v>168</v>
      </c>
      <c r="K90" s="32">
        <v>1396</v>
      </c>
      <c r="L90" s="32">
        <v>0</v>
      </c>
      <c r="M90" s="32">
        <v>1396</v>
      </c>
      <c r="N90" s="32" t="s">
        <v>175</v>
      </c>
      <c r="O90" s="32" t="s">
        <v>654</v>
      </c>
      <c r="P90" s="32" t="s">
        <v>654</v>
      </c>
      <c r="Q90" s="32" t="s">
        <v>766</v>
      </c>
      <c r="R90" s="31">
        <v>46213</v>
      </c>
      <c r="S90" s="32" t="s">
        <v>987</v>
      </c>
      <c r="T90" s="32" t="s">
        <v>988</v>
      </c>
      <c r="U90" s="32" t="s">
        <v>765</v>
      </c>
      <c r="V90" s="32">
        <v>151.49</v>
      </c>
      <c r="W90" s="32">
        <v>151.49000058685101</v>
      </c>
      <c r="X90" s="32" t="s">
        <v>766</v>
      </c>
      <c r="Y90" s="31">
        <v>46213</v>
      </c>
      <c r="Z90" s="32" t="s">
        <v>193</v>
      </c>
      <c r="AA90" s="32" t="s">
        <v>193</v>
      </c>
      <c r="AB90" s="32"/>
      <c r="AC90" s="32" t="s">
        <v>193</v>
      </c>
      <c r="AD90" s="32" t="s">
        <v>193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32" t="s">
        <v>965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/>
      <c r="AQ90" s="32">
        <v>0</v>
      </c>
      <c r="AR90" s="32">
        <v>0</v>
      </c>
      <c r="AS90" s="32">
        <v>1806982.86</v>
      </c>
      <c r="AT90" s="32" t="s">
        <v>169</v>
      </c>
      <c r="AU90" s="32" t="s">
        <v>180</v>
      </c>
      <c r="AV90" s="32" t="s">
        <v>156</v>
      </c>
      <c r="AW90" s="32" t="s">
        <v>171</v>
      </c>
      <c r="AX90" s="32" t="s">
        <v>966</v>
      </c>
      <c r="AY90" s="32">
        <v>0</v>
      </c>
      <c r="AZ90" s="32">
        <v>211480.04</v>
      </c>
      <c r="BA90" s="32">
        <v>311</v>
      </c>
      <c r="BB90" s="31">
        <v>46213</v>
      </c>
      <c r="BC90" s="32" t="s">
        <v>177</v>
      </c>
      <c r="BD90" s="32" t="s">
        <v>967</v>
      </c>
      <c r="BE90" s="32" t="s">
        <v>967</v>
      </c>
      <c r="BF90" s="32">
        <v>9</v>
      </c>
      <c r="BG90" s="32">
        <v>19033.2</v>
      </c>
      <c r="BH90" s="32">
        <v>9</v>
      </c>
      <c r="BI90" s="32">
        <v>19033.2</v>
      </c>
      <c r="BJ90" s="32">
        <v>0</v>
      </c>
      <c r="BK90" s="32">
        <v>0</v>
      </c>
      <c r="BL90" s="32">
        <v>0</v>
      </c>
      <c r="BM90" s="32">
        <v>692142973315</v>
      </c>
      <c r="BN90" s="31">
        <v>46213</v>
      </c>
      <c r="BO90" s="32">
        <v>1396</v>
      </c>
    </row>
    <row r="91" spans="1:67" x14ac:dyDescent="0.25">
      <c r="A91" s="21"/>
      <c r="B91" s="32" t="s">
        <v>167</v>
      </c>
      <c r="C91" s="31">
        <v>46213</v>
      </c>
      <c r="D91" s="32" t="s">
        <v>1077</v>
      </c>
      <c r="E91" s="32" t="s">
        <v>173</v>
      </c>
      <c r="F91" s="32" t="s">
        <v>174</v>
      </c>
      <c r="G91" s="32" t="s">
        <v>1078</v>
      </c>
      <c r="H91" s="32">
        <v>3036</v>
      </c>
      <c r="I91" s="32">
        <v>3036</v>
      </c>
      <c r="J91" s="32" t="s">
        <v>168</v>
      </c>
      <c r="K91" s="32">
        <v>3036</v>
      </c>
      <c r="L91" s="32">
        <v>0</v>
      </c>
      <c r="M91" s="32">
        <v>3036</v>
      </c>
      <c r="N91" s="32" t="s">
        <v>175</v>
      </c>
      <c r="O91" s="32" t="s">
        <v>654</v>
      </c>
      <c r="P91" s="32" t="s">
        <v>654</v>
      </c>
      <c r="Q91" s="32" t="s">
        <v>766</v>
      </c>
      <c r="R91" s="31">
        <v>46213</v>
      </c>
      <c r="S91" s="32" t="s">
        <v>987</v>
      </c>
      <c r="T91" s="32" t="s">
        <v>988</v>
      </c>
      <c r="U91" s="32" t="s">
        <v>765</v>
      </c>
      <c r="V91" s="32">
        <v>182.78</v>
      </c>
      <c r="W91" s="32">
        <v>182.78000070806399</v>
      </c>
      <c r="X91" s="32" t="s">
        <v>766</v>
      </c>
      <c r="Y91" s="31">
        <v>46213</v>
      </c>
      <c r="Z91" s="32" t="s">
        <v>193</v>
      </c>
      <c r="AA91" s="32" t="s">
        <v>193</v>
      </c>
      <c r="AB91" s="32"/>
      <c r="AC91" s="32" t="s">
        <v>193</v>
      </c>
      <c r="AD91" s="32" t="s">
        <v>193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 t="s">
        <v>965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/>
      <c r="AQ91" s="32">
        <v>0</v>
      </c>
      <c r="AR91" s="32">
        <v>0</v>
      </c>
      <c r="AS91" s="32">
        <v>1806982.86</v>
      </c>
      <c r="AT91" s="32" t="s">
        <v>169</v>
      </c>
      <c r="AU91" s="32" t="s">
        <v>176</v>
      </c>
      <c r="AV91" s="32" t="s">
        <v>159</v>
      </c>
      <c r="AW91" s="32" t="s">
        <v>171</v>
      </c>
      <c r="AX91" s="32" t="s">
        <v>966</v>
      </c>
      <c r="AY91" s="32">
        <v>0</v>
      </c>
      <c r="AZ91" s="32">
        <v>554920.07999999996</v>
      </c>
      <c r="BA91" s="32">
        <v>311</v>
      </c>
      <c r="BB91" s="31">
        <v>46213</v>
      </c>
      <c r="BC91" s="32" t="s">
        <v>177</v>
      </c>
      <c r="BD91" s="32" t="s">
        <v>967</v>
      </c>
      <c r="BE91" s="32" t="s">
        <v>967</v>
      </c>
      <c r="BF91" s="32">
        <v>9</v>
      </c>
      <c r="BG91" s="32">
        <v>49942.81</v>
      </c>
      <c r="BH91" s="32">
        <v>9</v>
      </c>
      <c r="BI91" s="32">
        <v>49942.81</v>
      </c>
      <c r="BJ91" s="32">
        <v>0</v>
      </c>
      <c r="BK91" s="32">
        <v>0</v>
      </c>
      <c r="BL91" s="32">
        <v>0</v>
      </c>
      <c r="BM91" s="32">
        <v>692142973315</v>
      </c>
      <c r="BN91" s="31">
        <v>46213</v>
      </c>
      <c r="BO91" s="32">
        <v>3036</v>
      </c>
    </row>
    <row r="92" spans="1:67" x14ac:dyDescent="0.25">
      <c r="A92" s="21"/>
      <c r="B92" s="32" t="s">
        <v>167</v>
      </c>
      <c r="C92" s="31">
        <v>46213</v>
      </c>
      <c r="D92" s="32" t="s">
        <v>1077</v>
      </c>
      <c r="E92" s="32" t="s">
        <v>186</v>
      </c>
      <c r="F92" s="32" t="s">
        <v>187</v>
      </c>
      <c r="G92" s="32" t="s">
        <v>1078</v>
      </c>
      <c r="H92" s="32">
        <v>255</v>
      </c>
      <c r="I92" s="32">
        <v>255</v>
      </c>
      <c r="J92" s="32" t="s">
        <v>168</v>
      </c>
      <c r="K92" s="32">
        <v>255</v>
      </c>
      <c r="L92" s="32">
        <v>0</v>
      </c>
      <c r="M92" s="32">
        <v>255</v>
      </c>
      <c r="N92" s="32" t="s">
        <v>175</v>
      </c>
      <c r="O92" s="32" t="s">
        <v>654</v>
      </c>
      <c r="P92" s="32" t="s">
        <v>654</v>
      </c>
      <c r="Q92" s="32" t="s">
        <v>766</v>
      </c>
      <c r="R92" s="31">
        <v>46213</v>
      </c>
      <c r="S92" s="32" t="s">
        <v>987</v>
      </c>
      <c r="T92" s="32" t="s">
        <v>988</v>
      </c>
      <c r="U92" s="32" t="s">
        <v>765</v>
      </c>
      <c r="V92" s="32">
        <v>144.49</v>
      </c>
      <c r="W92" s="32">
        <v>144.490000559734</v>
      </c>
      <c r="X92" s="32" t="s">
        <v>766</v>
      </c>
      <c r="Y92" s="31">
        <v>46213</v>
      </c>
      <c r="Z92" s="32" t="s">
        <v>193</v>
      </c>
      <c r="AA92" s="32" t="s">
        <v>193</v>
      </c>
      <c r="AB92" s="32"/>
      <c r="AC92" s="32" t="s">
        <v>193</v>
      </c>
      <c r="AD92" s="32" t="s">
        <v>193</v>
      </c>
      <c r="AE92" s="32">
        <v>0</v>
      </c>
      <c r="AF92" s="32">
        <v>0</v>
      </c>
      <c r="AG92" s="32">
        <v>0</v>
      </c>
      <c r="AH92" s="32">
        <v>0</v>
      </c>
      <c r="AI92" s="32">
        <v>0</v>
      </c>
      <c r="AJ92" s="32" t="s">
        <v>965</v>
      </c>
      <c r="AK92" s="32">
        <v>0</v>
      </c>
      <c r="AL92" s="32">
        <v>0</v>
      </c>
      <c r="AM92" s="32">
        <v>0</v>
      </c>
      <c r="AN92" s="32">
        <v>0</v>
      </c>
      <c r="AO92" s="32">
        <v>0</v>
      </c>
      <c r="AP92" s="32"/>
      <c r="AQ92" s="32">
        <v>0</v>
      </c>
      <c r="AR92" s="32">
        <v>0</v>
      </c>
      <c r="AS92" s="32">
        <v>1806982.86</v>
      </c>
      <c r="AT92" s="32" t="s">
        <v>169</v>
      </c>
      <c r="AU92" s="32" t="s">
        <v>180</v>
      </c>
      <c r="AV92" s="32" t="s">
        <v>155</v>
      </c>
      <c r="AW92" s="32" t="s">
        <v>171</v>
      </c>
      <c r="AX92" s="32" t="s">
        <v>966</v>
      </c>
      <c r="AY92" s="32">
        <v>0</v>
      </c>
      <c r="AZ92" s="32">
        <v>36844.949999999997</v>
      </c>
      <c r="BA92" s="32">
        <v>311</v>
      </c>
      <c r="BB92" s="31">
        <v>46213</v>
      </c>
      <c r="BC92" s="32" t="s">
        <v>177</v>
      </c>
      <c r="BD92" s="32" t="s">
        <v>967</v>
      </c>
      <c r="BE92" s="32" t="s">
        <v>967</v>
      </c>
      <c r="BF92" s="32">
        <v>9</v>
      </c>
      <c r="BG92" s="32">
        <v>3316.05</v>
      </c>
      <c r="BH92" s="32">
        <v>9</v>
      </c>
      <c r="BI92" s="32">
        <v>3316.05</v>
      </c>
      <c r="BJ92" s="32">
        <v>0</v>
      </c>
      <c r="BK92" s="32">
        <v>0</v>
      </c>
      <c r="BL92" s="32">
        <v>0</v>
      </c>
      <c r="BM92" s="32">
        <v>692142973315</v>
      </c>
      <c r="BN92" s="31">
        <v>46213</v>
      </c>
      <c r="BO92" s="32">
        <v>255</v>
      </c>
    </row>
    <row r="93" spans="1:67" x14ac:dyDescent="0.25">
      <c r="A93" s="21"/>
      <c r="B93" s="32" t="s">
        <v>167</v>
      </c>
      <c r="C93" s="31">
        <v>46213</v>
      </c>
      <c r="D93" s="32" t="s">
        <v>1077</v>
      </c>
      <c r="E93" s="32" t="s">
        <v>186</v>
      </c>
      <c r="F93" s="32" t="s">
        <v>187</v>
      </c>
      <c r="G93" s="32" t="s">
        <v>1078</v>
      </c>
      <c r="H93" s="32">
        <v>472</v>
      </c>
      <c r="I93" s="32">
        <v>472</v>
      </c>
      <c r="J93" s="32" t="s">
        <v>168</v>
      </c>
      <c r="K93" s="32">
        <v>472</v>
      </c>
      <c r="L93" s="32">
        <v>0</v>
      </c>
      <c r="M93" s="32">
        <v>472</v>
      </c>
      <c r="N93" s="32" t="s">
        <v>175</v>
      </c>
      <c r="O93" s="32" t="s">
        <v>654</v>
      </c>
      <c r="P93" s="32" t="s">
        <v>654</v>
      </c>
      <c r="Q93" s="32" t="s">
        <v>766</v>
      </c>
      <c r="R93" s="31">
        <v>46213</v>
      </c>
      <c r="S93" s="32" t="s">
        <v>987</v>
      </c>
      <c r="T93" s="32" t="s">
        <v>988</v>
      </c>
      <c r="U93" s="32" t="s">
        <v>765</v>
      </c>
      <c r="V93" s="32">
        <v>149.49</v>
      </c>
      <c r="W93" s="32">
        <v>149.490000579103</v>
      </c>
      <c r="X93" s="32" t="s">
        <v>766</v>
      </c>
      <c r="Y93" s="31">
        <v>46213</v>
      </c>
      <c r="Z93" s="32" t="s">
        <v>193</v>
      </c>
      <c r="AA93" s="32" t="s">
        <v>193</v>
      </c>
      <c r="AB93" s="32"/>
      <c r="AC93" s="32" t="s">
        <v>193</v>
      </c>
      <c r="AD93" s="32" t="s">
        <v>193</v>
      </c>
      <c r="AE93" s="32">
        <v>0</v>
      </c>
      <c r="AF93" s="32">
        <v>0</v>
      </c>
      <c r="AG93" s="32">
        <v>0</v>
      </c>
      <c r="AH93" s="32">
        <v>0</v>
      </c>
      <c r="AI93" s="32">
        <v>0</v>
      </c>
      <c r="AJ93" s="32" t="s">
        <v>965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/>
      <c r="AQ93" s="32">
        <v>0</v>
      </c>
      <c r="AR93" s="32">
        <v>0</v>
      </c>
      <c r="AS93" s="32">
        <v>1806982.86</v>
      </c>
      <c r="AT93" s="32" t="s">
        <v>169</v>
      </c>
      <c r="AU93" s="32" t="s">
        <v>180</v>
      </c>
      <c r="AV93" s="32" t="s">
        <v>155</v>
      </c>
      <c r="AW93" s="32" t="s">
        <v>171</v>
      </c>
      <c r="AX93" s="32" t="s">
        <v>966</v>
      </c>
      <c r="AY93" s="32">
        <v>0</v>
      </c>
      <c r="AZ93" s="32">
        <v>70559.28</v>
      </c>
      <c r="BA93" s="32">
        <v>311</v>
      </c>
      <c r="BB93" s="31">
        <v>46213</v>
      </c>
      <c r="BC93" s="32" t="s">
        <v>177</v>
      </c>
      <c r="BD93" s="32" t="s">
        <v>967</v>
      </c>
      <c r="BE93" s="32" t="s">
        <v>967</v>
      </c>
      <c r="BF93" s="32">
        <v>9</v>
      </c>
      <c r="BG93" s="32">
        <v>6350.34</v>
      </c>
      <c r="BH93" s="32">
        <v>9</v>
      </c>
      <c r="BI93" s="32">
        <v>6350.34</v>
      </c>
      <c r="BJ93" s="32">
        <v>0</v>
      </c>
      <c r="BK93" s="32">
        <v>0</v>
      </c>
      <c r="BL93" s="32">
        <v>0</v>
      </c>
      <c r="BM93" s="32">
        <v>692142973315</v>
      </c>
      <c r="BN93" s="31">
        <v>46213</v>
      </c>
      <c r="BO93" s="32">
        <v>472</v>
      </c>
    </row>
    <row r="94" spans="1:67" x14ac:dyDescent="0.25">
      <c r="A94" s="21"/>
      <c r="B94" s="32" t="s">
        <v>167</v>
      </c>
      <c r="C94" s="31">
        <v>46213</v>
      </c>
      <c r="D94" s="32" t="s">
        <v>1077</v>
      </c>
      <c r="E94" s="32" t="s">
        <v>186</v>
      </c>
      <c r="F94" s="32" t="s">
        <v>187</v>
      </c>
      <c r="G94" s="32" t="s">
        <v>1078</v>
      </c>
      <c r="H94" s="32">
        <v>645</v>
      </c>
      <c r="I94" s="32">
        <v>645</v>
      </c>
      <c r="J94" s="32" t="s">
        <v>168</v>
      </c>
      <c r="K94" s="32">
        <v>645</v>
      </c>
      <c r="L94" s="32">
        <v>0</v>
      </c>
      <c r="M94" s="32">
        <v>645</v>
      </c>
      <c r="N94" s="32" t="s">
        <v>175</v>
      </c>
      <c r="O94" s="32" t="s">
        <v>654</v>
      </c>
      <c r="P94" s="32" t="s">
        <v>654</v>
      </c>
      <c r="Q94" s="32" t="s">
        <v>766</v>
      </c>
      <c r="R94" s="31">
        <v>46213</v>
      </c>
      <c r="S94" s="32" t="s">
        <v>987</v>
      </c>
      <c r="T94" s="32" t="s">
        <v>988</v>
      </c>
      <c r="U94" s="32" t="s">
        <v>765</v>
      </c>
      <c r="V94" s="32">
        <v>152.49</v>
      </c>
      <c r="W94" s="32">
        <v>152.490000590725</v>
      </c>
      <c r="X94" s="32" t="s">
        <v>766</v>
      </c>
      <c r="Y94" s="31">
        <v>46213</v>
      </c>
      <c r="Z94" s="32" t="s">
        <v>193</v>
      </c>
      <c r="AA94" s="32" t="s">
        <v>193</v>
      </c>
      <c r="AB94" s="32"/>
      <c r="AC94" s="32" t="s">
        <v>193</v>
      </c>
      <c r="AD94" s="32" t="s">
        <v>193</v>
      </c>
      <c r="AE94" s="32">
        <v>0</v>
      </c>
      <c r="AF94" s="32">
        <v>0</v>
      </c>
      <c r="AG94" s="32">
        <v>0</v>
      </c>
      <c r="AH94" s="32">
        <v>0</v>
      </c>
      <c r="AI94" s="32">
        <v>0</v>
      </c>
      <c r="AJ94" s="32" t="s">
        <v>965</v>
      </c>
      <c r="AK94" s="32">
        <v>0</v>
      </c>
      <c r="AL94" s="32">
        <v>0</v>
      </c>
      <c r="AM94" s="32">
        <v>0</v>
      </c>
      <c r="AN94" s="32">
        <v>0</v>
      </c>
      <c r="AO94" s="32">
        <v>0</v>
      </c>
      <c r="AP94" s="32"/>
      <c r="AQ94" s="32">
        <v>0</v>
      </c>
      <c r="AR94" s="32">
        <v>0</v>
      </c>
      <c r="AS94" s="32">
        <v>1806982.86</v>
      </c>
      <c r="AT94" s="32" t="s">
        <v>169</v>
      </c>
      <c r="AU94" s="32" t="s">
        <v>180</v>
      </c>
      <c r="AV94" s="32" t="s">
        <v>155</v>
      </c>
      <c r="AW94" s="32" t="s">
        <v>171</v>
      </c>
      <c r="AX94" s="32" t="s">
        <v>966</v>
      </c>
      <c r="AY94" s="32">
        <v>0</v>
      </c>
      <c r="AZ94" s="32">
        <v>98356.05</v>
      </c>
      <c r="BA94" s="32">
        <v>311</v>
      </c>
      <c r="BB94" s="31">
        <v>46213</v>
      </c>
      <c r="BC94" s="32" t="s">
        <v>177</v>
      </c>
      <c r="BD94" s="32" t="s">
        <v>967</v>
      </c>
      <c r="BE94" s="32" t="s">
        <v>967</v>
      </c>
      <c r="BF94" s="32">
        <v>9</v>
      </c>
      <c r="BG94" s="32">
        <v>8852.0400000000009</v>
      </c>
      <c r="BH94" s="32">
        <v>9</v>
      </c>
      <c r="BI94" s="32">
        <v>8852.0400000000009</v>
      </c>
      <c r="BJ94" s="32">
        <v>0</v>
      </c>
      <c r="BK94" s="32">
        <v>0</v>
      </c>
      <c r="BL94" s="32">
        <v>0</v>
      </c>
      <c r="BM94" s="32">
        <v>692142973315</v>
      </c>
      <c r="BN94" s="31">
        <v>46213</v>
      </c>
      <c r="BO94" s="32">
        <v>645</v>
      </c>
    </row>
    <row r="95" spans="1:67" x14ac:dyDescent="0.25">
      <c r="A95" s="21"/>
      <c r="B95" s="32" t="s">
        <v>167</v>
      </c>
      <c r="C95" s="31">
        <v>46213</v>
      </c>
      <c r="D95" s="32" t="s">
        <v>1080</v>
      </c>
      <c r="E95" s="32" t="s">
        <v>199</v>
      </c>
      <c r="F95" s="32" t="s">
        <v>200</v>
      </c>
      <c r="G95" s="32" t="s">
        <v>1078</v>
      </c>
      <c r="H95" s="32">
        <v>88.8</v>
      </c>
      <c r="I95" s="32">
        <v>88.8</v>
      </c>
      <c r="J95" s="32" t="s">
        <v>168</v>
      </c>
      <c r="K95" s="32">
        <v>88.8</v>
      </c>
      <c r="L95" s="32">
        <v>0</v>
      </c>
      <c r="M95" s="32">
        <v>88.8</v>
      </c>
      <c r="N95" s="32" t="s">
        <v>175</v>
      </c>
      <c r="O95" s="32" t="s">
        <v>654</v>
      </c>
      <c r="P95" s="32" t="s">
        <v>654</v>
      </c>
      <c r="Q95" s="32" t="s">
        <v>769</v>
      </c>
      <c r="R95" s="31">
        <v>46213</v>
      </c>
      <c r="S95" s="32" t="s">
        <v>987</v>
      </c>
      <c r="T95" s="32" t="s">
        <v>988</v>
      </c>
      <c r="U95" s="32" t="s">
        <v>768</v>
      </c>
      <c r="V95" s="32">
        <v>172.78</v>
      </c>
      <c r="W95" s="32">
        <v>172.77996182624199</v>
      </c>
      <c r="X95" s="32" t="s">
        <v>769</v>
      </c>
      <c r="Y95" s="31">
        <v>46213</v>
      </c>
      <c r="Z95" s="32" t="s">
        <v>193</v>
      </c>
      <c r="AA95" s="32" t="s">
        <v>193</v>
      </c>
      <c r="AB95" s="32"/>
      <c r="AC95" s="32" t="s">
        <v>193</v>
      </c>
      <c r="AD95" s="32" t="s">
        <v>193</v>
      </c>
      <c r="AE95" s="32">
        <v>0</v>
      </c>
      <c r="AF95" s="32">
        <v>0</v>
      </c>
      <c r="AG95" s="32">
        <v>0</v>
      </c>
      <c r="AH95" s="32">
        <v>0</v>
      </c>
      <c r="AI95" s="32">
        <v>0</v>
      </c>
      <c r="AJ95" s="32" t="s">
        <v>965</v>
      </c>
      <c r="AK95" s="32">
        <v>0</v>
      </c>
      <c r="AL95" s="32">
        <v>0</v>
      </c>
      <c r="AM95" s="32">
        <v>0</v>
      </c>
      <c r="AN95" s="32">
        <v>0</v>
      </c>
      <c r="AO95" s="32">
        <v>0</v>
      </c>
      <c r="AP95" s="32"/>
      <c r="AQ95" s="32">
        <v>0</v>
      </c>
      <c r="AR95" s="32">
        <v>0</v>
      </c>
      <c r="AS95" s="32">
        <v>18104.580000000002</v>
      </c>
      <c r="AT95" s="32" t="s">
        <v>169</v>
      </c>
      <c r="AU95" s="32" t="s">
        <v>201</v>
      </c>
      <c r="AV95" s="32" t="s">
        <v>158</v>
      </c>
      <c r="AW95" s="32" t="s">
        <v>171</v>
      </c>
      <c r="AX95" s="32" t="s">
        <v>966</v>
      </c>
      <c r="AY95" s="32">
        <v>0</v>
      </c>
      <c r="AZ95" s="32">
        <v>15342.86</v>
      </c>
      <c r="BA95" s="32">
        <v>112</v>
      </c>
      <c r="BB95" s="31">
        <v>46213</v>
      </c>
      <c r="BC95" s="32" t="s">
        <v>177</v>
      </c>
      <c r="BD95" s="32" t="s">
        <v>967</v>
      </c>
      <c r="BE95" s="32" t="s">
        <v>967</v>
      </c>
      <c r="BF95" s="32">
        <v>9</v>
      </c>
      <c r="BG95" s="32">
        <v>1380.86</v>
      </c>
      <c r="BH95" s="32">
        <v>9</v>
      </c>
      <c r="BI95" s="32">
        <v>1380.86</v>
      </c>
      <c r="BJ95" s="32">
        <v>0</v>
      </c>
      <c r="BK95" s="32">
        <v>0</v>
      </c>
      <c r="BL95" s="32">
        <v>18104.580000000002</v>
      </c>
      <c r="BM95" s="32">
        <v>602143016922</v>
      </c>
      <c r="BN95" s="31">
        <v>46213</v>
      </c>
      <c r="BO95" s="32">
        <v>88.8</v>
      </c>
    </row>
    <row r="96" spans="1:67" x14ac:dyDescent="0.25">
      <c r="A96" s="21"/>
      <c r="B96" s="32" t="s">
        <v>167</v>
      </c>
      <c r="C96" s="31">
        <v>46214</v>
      </c>
      <c r="D96" s="32" t="s">
        <v>1081</v>
      </c>
      <c r="E96" s="32" t="s">
        <v>190</v>
      </c>
      <c r="F96" s="32" t="s">
        <v>191</v>
      </c>
      <c r="G96" s="32" t="s">
        <v>1082</v>
      </c>
      <c r="H96" s="32">
        <v>7549</v>
      </c>
      <c r="I96" s="32">
        <v>7549</v>
      </c>
      <c r="J96" s="32" t="s">
        <v>168</v>
      </c>
      <c r="K96" s="32">
        <v>7549</v>
      </c>
      <c r="L96" s="32">
        <v>0</v>
      </c>
      <c r="M96" s="32">
        <v>7549</v>
      </c>
      <c r="N96" s="32" t="s">
        <v>601</v>
      </c>
      <c r="O96" s="32" t="s">
        <v>659</v>
      </c>
      <c r="P96" s="32" t="s">
        <v>659</v>
      </c>
      <c r="Q96" s="32" t="s">
        <v>774</v>
      </c>
      <c r="R96" s="31">
        <v>46213</v>
      </c>
      <c r="S96" s="32" t="s">
        <v>987</v>
      </c>
      <c r="T96" s="32" t="s">
        <v>988</v>
      </c>
      <c r="U96" s="32" t="s">
        <v>773</v>
      </c>
      <c r="V96" s="32">
        <v>229.55</v>
      </c>
      <c r="W96" s="32">
        <v>229.55</v>
      </c>
      <c r="X96" s="32" t="s">
        <v>774</v>
      </c>
      <c r="Y96" s="31">
        <v>46213</v>
      </c>
      <c r="Z96" s="32" t="s">
        <v>193</v>
      </c>
      <c r="AA96" s="32" t="s">
        <v>193</v>
      </c>
      <c r="AB96" s="32"/>
      <c r="AC96" s="32" t="s">
        <v>193</v>
      </c>
      <c r="AD96" s="32" t="s">
        <v>193</v>
      </c>
      <c r="AE96" s="32">
        <v>0</v>
      </c>
      <c r="AF96" s="32">
        <v>0</v>
      </c>
      <c r="AG96" s="32">
        <v>0</v>
      </c>
      <c r="AH96" s="32">
        <v>0</v>
      </c>
      <c r="AI96" s="32">
        <v>0</v>
      </c>
      <c r="AJ96" s="32" t="s">
        <v>965</v>
      </c>
      <c r="AK96" s="32">
        <v>0</v>
      </c>
      <c r="AL96" s="32">
        <v>0</v>
      </c>
      <c r="AM96" s="32">
        <v>0</v>
      </c>
      <c r="AN96" s="32">
        <v>0</v>
      </c>
      <c r="AO96" s="32">
        <v>0</v>
      </c>
      <c r="AP96" s="32"/>
      <c r="AQ96" s="32">
        <v>0</v>
      </c>
      <c r="AR96" s="32">
        <v>0</v>
      </c>
      <c r="AS96" s="32">
        <v>2044790.09</v>
      </c>
      <c r="AT96" s="32" t="s">
        <v>192</v>
      </c>
      <c r="AU96" s="32" t="s">
        <v>152</v>
      </c>
      <c r="AV96" s="32" t="s">
        <v>152</v>
      </c>
      <c r="AW96" s="32" t="s">
        <v>171</v>
      </c>
      <c r="AX96" s="32" t="s">
        <v>966</v>
      </c>
      <c r="AY96" s="32">
        <v>0</v>
      </c>
      <c r="AZ96" s="32">
        <v>1732872.95</v>
      </c>
      <c r="BA96" s="32">
        <v>313</v>
      </c>
      <c r="BB96" s="31">
        <v>46214</v>
      </c>
      <c r="BC96" s="32" t="s">
        <v>177</v>
      </c>
      <c r="BD96" s="32" t="s">
        <v>967</v>
      </c>
      <c r="BE96" s="32" t="s">
        <v>967</v>
      </c>
      <c r="BF96" s="32">
        <v>9</v>
      </c>
      <c r="BG96" s="32">
        <v>155958.57</v>
      </c>
      <c r="BH96" s="32">
        <v>9</v>
      </c>
      <c r="BI96" s="32">
        <v>155958.57</v>
      </c>
      <c r="BJ96" s="32">
        <v>0</v>
      </c>
      <c r="BK96" s="32">
        <v>0</v>
      </c>
      <c r="BL96" s="32">
        <v>2044790.09</v>
      </c>
      <c r="BM96" s="32">
        <v>682142852459</v>
      </c>
      <c r="BN96" s="31">
        <v>46213</v>
      </c>
      <c r="BO96" s="32">
        <v>7549</v>
      </c>
    </row>
    <row r="97" spans="1:67" x14ac:dyDescent="0.25">
      <c r="A97" s="21"/>
      <c r="B97" s="32" t="s">
        <v>167</v>
      </c>
      <c r="C97" s="31">
        <v>46214</v>
      </c>
      <c r="D97" s="32" t="s">
        <v>1083</v>
      </c>
      <c r="E97" s="32" t="s">
        <v>173</v>
      </c>
      <c r="F97" s="32" t="s">
        <v>174</v>
      </c>
      <c r="G97" s="32" t="s">
        <v>1084</v>
      </c>
      <c r="H97" s="32">
        <v>497</v>
      </c>
      <c r="I97" s="32">
        <v>497</v>
      </c>
      <c r="J97" s="32" t="s">
        <v>168</v>
      </c>
      <c r="K97" s="32">
        <v>497</v>
      </c>
      <c r="L97" s="32">
        <v>0</v>
      </c>
      <c r="M97" s="32">
        <v>497</v>
      </c>
      <c r="N97" s="32" t="s">
        <v>175</v>
      </c>
      <c r="O97" s="32" t="s">
        <v>654</v>
      </c>
      <c r="P97" s="32" t="s">
        <v>654</v>
      </c>
      <c r="Q97" s="32" t="s">
        <v>772</v>
      </c>
      <c r="R97" s="31">
        <v>46214</v>
      </c>
      <c r="S97" s="32" t="s">
        <v>987</v>
      </c>
      <c r="T97" s="32" t="s">
        <v>988</v>
      </c>
      <c r="U97" s="32" t="s">
        <v>771</v>
      </c>
      <c r="V97" s="32">
        <v>182.78</v>
      </c>
      <c r="W97" s="32">
        <v>182.78000190893999</v>
      </c>
      <c r="X97" s="32" t="s">
        <v>772</v>
      </c>
      <c r="Y97" s="31">
        <v>46214</v>
      </c>
      <c r="Z97" s="32" t="s">
        <v>193</v>
      </c>
      <c r="AA97" s="32" t="s">
        <v>193</v>
      </c>
      <c r="AB97" s="32"/>
      <c r="AC97" s="32" t="s">
        <v>193</v>
      </c>
      <c r="AD97" s="32" t="s">
        <v>193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32" t="s">
        <v>965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/>
      <c r="AQ97" s="32">
        <v>0</v>
      </c>
      <c r="AR97" s="32">
        <v>0</v>
      </c>
      <c r="AS97" s="32">
        <v>861745.23</v>
      </c>
      <c r="AT97" s="32" t="s">
        <v>169</v>
      </c>
      <c r="AU97" s="32" t="s">
        <v>176</v>
      </c>
      <c r="AV97" s="32" t="s">
        <v>159</v>
      </c>
      <c r="AW97" s="32" t="s">
        <v>171</v>
      </c>
      <c r="AX97" s="32" t="s">
        <v>966</v>
      </c>
      <c r="AY97" s="32">
        <v>0</v>
      </c>
      <c r="AZ97" s="32">
        <v>90841.66</v>
      </c>
      <c r="BA97" s="32">
        <v>314</v>
      </c>
      <c r="BB97" s="31">
        <v>46214</v>
      </c>
      <c r="BC97" s="32" t="s">
        <v>177</v>
      </c>
      <c r="BD97" s="32" t="s">
        <v>967</v>
      </c>
      <c r="BE97" s="32" t="s">
        <v>967</v>
      </c>
      <c r="BF97" s="32">
        <v>9</v>
      </c>
      <c r="BG97" s="32">
        <v>8175.75</v>
      </c>
      <c r="BH97" s="32">
        <v>9</v>
      </c>
      <c r="BI97" s="32">
        <v>8175.75</v>
      </c>
      <c r="BJ97" s="32">
        <v>0</v>
      </c>
      <c r="BK97" s="32">
        <v>0</v>
      </c>
      <c r="BL97" s="32">
        <v>861745.23</v>
      </c>
      <c r="BM97" s="32">
        <v>692143638570</v>
      </c>
      <c r="BN97" s="31">
        <v>46214</v>
      </c>
      <c r="BO97" s="32">
        <v>497</v>
      </c>
    </row>
    <row r="98" spans="1:67" x14ac:dyDescent="0.25">
      <c r="A98" s="21"/>
      <c r="B98" s="32" t="s">
        <v>167</v>
      </c>
      <c r="C98" s="31">
        <v>46214</v>
      </c>
      <c r="D98" s="32" t="s">
        <v>1083</v>
      </c>
      <c r="E98" s="32" t="s">
        <v>173</v>
      </c>
      <c r="F98" s="32" t="s">
        <v>174</v>
      </c>
      <c r="G98" s="32" t="s">
        <v>1084</v>
      </c>
      <c r="H98" s="32">
        <v>2228</v>
      </c>
      <c r="I98" s="32">
        <v>2228</v>
      </c>
      <c r="J98" s="32" t="s">
        <v>168</v>
      </c>
      <c r="K98" s="32">
        <v>2228</v>
      </c>
      <c r="L98" s="32">
        <v>0</v>
      </c>
      <c r="M98" s="32">
        <v>2228</v>
      </c>
      <c r="N98" s="32" t="s">
        <v>175</v>
      </c>
      <c r="O98" s="32" t="s">
        <v>654</v>
      </c>
      <c r="P98" s="32" t="s">
        <v>654</v>
      </c>
      <c r="Q98" s="32" t="s">
        <v>772</v>
      </c>
      <c r="R98" s="31">
        <v>46214</v>
      </c>
      <c r="S98" s="32" t="s">
        <v>987</v>
      </c>
      <c r="T98" s="32" t="s">
        <v>988</v>
      </c>
      <c r="U98" s="32" t="s">
        <v>771</v>
      </c>
      <c r="V98" s="32">
        <v>206.78</v>
      </c>
      <c r="W98" s="32">
        <v>206.78000215959401</v>
      </c>
      <c r="X98" s="32" t="s">
        <v>772</v>
      </c>
      <c r="Y98" s="31">
        <v>46214</v>
      </c>
      <c r="Z98" s="32" t="s">
        <v>193</v>
      </c>
      <c r="AA98" s="32" t="s">
        <v>193</v>
      </c>
      <c r="AB98" s="32"/>
      <c r="AC98" s="32" t="s">
        <v>193</v>
      </c>
      <c r="AD98" s="32" t="s">
        <v>193</v>
      </c>
      <c r="AE98" s="32">
        <v>0</v>
      </c>
      <c r="AF98" s="32">
        <v>0</v>
      </c>
      <c r="AG98" s="32">
        <v>0</v>
      </c>
      <c r="AH98" s="32">
        <v>0</v>
      </c>
      <c r="AI98" s="32">
        <v>0</v>
      </c>
      <c r="AJ98" s="32" t="s">
        <v>965</v>
      </c>
      <c r="AK98" s="32">
        <v>0</v>
      </c>
      <c r="AL98" s="32">
        <v>0</v>
      </c>
      <c r="AM98" s="32">
        <v>0</v>
      </c>
      <c r="AN98" s="32">
        <v>0</v>
      </c>
      <c r="AO98" s="32">
        <v>0</v>
      </c>
      <c r="AP98" s="32"/>
      <c r="AQ98" s="32">
        <v>0</v>
      </c>
      <c r="AR98" s="32">
        <v>0</v>
      </c>
      <c r="AS98" s="32">
        <v>861745.23</v>
      </c>
      <c r="AT98" s="32" t="s">
        <v>169</v>
      </c>
      <c r="AU98" s="32" t="s">
        <v>176</v>
      </c>
      <c r="AV98" s="32" t="s">
        <v>159</v>
      </c>
      <c r="AW98" s="32" t="s">
        <v>171</v>
      </c>
      <c r="AX98" s="32" t="s">
        <v>966</v>
      </c>
      <c r="AY98" s="32">
        <v>0</v>
      </c>
      <c r="AZ98" s="32">
        <v>460705.84</v>
      </c>
      <c r="BA98" s="32">
        <v>314</v>
      </c>
      <c r="BB98" s="31">
        <v>46214</v>
      </c>
      <c r="BC98" s="32" t="s">
        <v>177</v>
      </c>
      <c r="BD98" s="32" t="s">
        <v>967</v>
      </c>
      <c r="BE98" s="32" t="s">
        <v>967</v>
      </c>
      <c r="BF98" s="32">
        <v>9</v>
      </c>
      <c r="BG98" s="32">
        <v>41463.53</v>
      </c>
      <c r="BH98" s="32">
        <v>9</v>
      </c>
      <c r="BI98" s="32">
        <v>41463.53</v>
      </c>
      <c r="BJ98" s="32">
        <v>0</v>
      </c>
      <c r="BK98" s="32">
        <v>0</v>
      </c>
      <c r="BL98" s="32">
        <v>0</v>
      </c>
      <c r="BM98" s="32">
        <v>692143638570</v>
      </c>
      <c r="BN98" s="31">
        <v>46214</v>
      </c>
      <c r="BO98" s="32">
        <v>2228</v>
      </c>
    </row>
    <row r="99" spans="1:67" x14ac:dyDescent="0.25">
      <c r="A99" s="21"/>
      <c r="B99" s="32" t="s">
        <v>167</v>
      </c>
      <c r="C99" s="31">
        <v>46214</v>
      </c>
      <c r="D99" s="32" t="s">
        <v>1083</v>
      </c>
      <c r="E99" s="32" t="s">
        <v>301</v>
      </c>
      <c r="F99" s="32" t="s">
        <v>302</v>
      </c>
      <c r="G99" s="32" t="s">
        <v>1084</v>
      </c>
      <c r="H99" s="32">
        <v>49.1</v>
      </c>
      <c r="I99" s="32">
        <v>49.1</v>
      </c>
      <c r="J99" s="32" t="s">
        <v>168</v>
      </c>
      <c r="K99" s="32">
        <v>49.1</v>
      </c>
      <c r="L99" s="32">
        <v>0</v>
      </c>
      <c r="M99" s="32">
        <v>49.1</v>
      </c>
      <c r="N99" s="32" t="s">
        <v>175</v>
      </c>
      <c r="O99" s="32" t="s">
        <v>654</v>
      </c>
      <c r="P99" s="32" t="s">
        <v>654</v>
      </c>
      <c r="Q99" s="32" t="s">
        <v>772</v>
      </c>
      <c r="R99" s="31">
        <v>46214</v>
      </c>
      <c r="S99" s="32" t="s">
        <v>987</v>
      </c>
      <c r="T99" s="32" t="s">
        <v>988</v>
      </c>
      <c r="U99" s="32" t="s">
        <v>771</v>
      </c>
      <c r="V99" s="32">
        <v>157.99</v>
      </c>
      <c r="W99" s="32">
        <v>157.990001650035</v>
      </c>
      <c r="X99" s="32" t="s">
        <v>772</v>
      </c>
      <c r="Y99" s="31">
        <v>46214</v>
      </c>
      <c r="Z99" s="32" t="s">
        <v>193</v>
      </c>
      <c r="AA99" s="32" t="s">
        <v>193</v>
      </c>
      <c r="AB99" s="32"/>
      <c r="AC99" s="32" t="s">
        <v>193</v>
      </c>
      <c r="AD99" s="32" t="s">
        <v>193</v>
      </c>
      <c r="AE99" s="32">
        <v>0</v>
      </c>
      <c r="AF99" s="32">
        <v>0</v>
      </c>
      <c r="AG99" s="32">
        <v>0</v>
      </c>
      <c r="AH99" s="32">
        <v>0</v>
      </c>
      <c r="AI99" s="32">
        <v>0</v>
      </c>
      <c r="AJ99" s="32" t="s">
        <v>965</v>
      </c>
      <c r="AK99" s="32">
        <v>0</v>
      </c>
      <c r="AL99" s="32">
        <v>0</v>
      </c>
      <c r="AM99" s="32">
        <v>0</v>
      </c>
      <c r="AN99" s="32">
        <v>0</v>
      </c>
      <c r="AO99" s="32">
        <v>0</v>
      </c>
      <c r="AP99" s="32"/>
      <c r="AQ99" s="32">
        <v>0</v>
      </c>
      <c r="AR99" s="32">
        <v>0</v>
      </c>
      <c r="AS99" s="32">
        <v>861745.23</v>
      </c>
      <c r="AT99" s="32" t="s">
        <v>169</v>
      </c>
      <c r="AU99" s="32" t="s">
        <v>170</v>
      </c>
      <c r="AV99" s="32" t="s">
        <v>157</v>
      </c>
      <c r="AW99" s="32" t="s">
        <v>171</v>
      </c>
      <c r="AX99" s="32" t="s">
        <v>966</v>
      </c>
      <c r="AY99" s="32">
        <v>0</v>
      </c>
      <c r="AZ99" s="32">
        <v>7757.31</v>
      </c>
      <c r="BA99" s="32">
        <v>314</v>
      </c>
      <c r="BB99" s="31">
        <v>46214</v>
      </c>
      <c r="BC99" s="32" t="s">
        <v>177</v>
      </c>
      <c r="BD99" s="32" t="s">
        <v>967</v>
      </c>
      <c r="BE99" s="32" t="s">
        <v>967</v>
      </c>
      <c r="BF99" s="32">
        <v>2.5</v>
      </c>
      <c r="BG99" s="32">
        <v>193.93</v>
      </c>
      <c r="BH99" s="32">
        <v>2.5</v>
      </c>
      <c r="BI99" s="32">
        <v>193.93</v>
      </c>
      <c r="BJ99" s="32">
        <v>0</v>
      </c>
      <c r="BK99" s="32">
        <v>0</v>
      </c>
      <c r="BL99" s="32">
        <v>0</v>
      </c>
      <c r="BM99" s="32">
        <v>692143638570</v>
      </c>
      <c r="BN99" s="31">
        <v>46214</v>
      </c>
      <c r="BO99" s="32">
        <v>49.1</v>
      </c>
    </row>
    <row r="100" spans="1:67" x14ac:dyDescent="0.25">
      <c r="A100" s="21"/>
      <c r="B100" s="32" t="s">
        <v>167</v>
      </c>
      <c r="C100" s="31">
        <v>46214</v>
      </c>
      <c r="D100" s="32" t="s">
        <v>1083</v>
      </c>
      <c r="E100" s="32" t="s">
        <v>186</v>
      </c>
      <c r="F100" s="32" t="s">
        <v>187</v>
      </c>
      <c r="G100" s="32" t="s">
        <v>1084</v>
      </c>
      <c r="H100" s="32">
        <v>323</v>
      </c>
      <c r="I100" s="32">
        <v>323</v>
      </c>
      <c r="J100" s="32" t="s">
        <v>168</v>
      </c>
      <c r="K100" s="32">
        <v>323</v>
      </c>
      <c r="L100" s="32">
        <v>0</v>
      </c>
      <c r="M100" s="32">
        <v>323</v>
      </c>
      <c r="N100" s="32" t="s">
        <v>175</v>
      </c>
      <c r="O100" s="32" t="s">
        <v>654</v>
      </c>
      <c r="P100" s="32" t="s">
        <v>654</v>
      </c>
      <c r="Q100" s="32" t="s">
        <v>772</v>
      </c>
      <c r="R100" s="31">
        <v>46214</v>
      </c>
      <c r="S100" s="32" t="s">
        <v>987</v>
      </c>
      <c r="T100" s="32" t="s">
        <v>988</v>
      </c>
      <c r="U100" s="32" t="s">
        <v>771</v>
      </c>
      <c r="V100" s="32">
        <v>144.49</v>
      </c>
      <c r="W100" s="32">
        <v>144.490001509042</v>
      </c>
      <c r="X100" s="32" t="s">
        <v>772</v>
      </c>
      <c r="Y100" s="31">
        <v>46214</v>
      </c>
      <c r="Z100" s="32" t="s">
        <v>193</v>
      </c>
      <c r="AA100" s="32" t="s">
        <v>193</v>
      </c>
      <c r="AB100" s="32"/>
      <c r="AC100" s="32" t="s">
        <v>193</v>
      </c>
      <c r="AD100" s="32" t="s">
        <v>193</v>
      </c>
      <c r="AE100" s="32">
        <v>0</v>
      </c>
      <c r="AF100" s="32">
        <v>0</v>
      </c>
      <c r="AG100" s="32">
        <v>0</v>
      </c>
      <c r="AH100" s="32">
        <v>0</v>
      </c>
      <c r="AI100" s="32">
        <v>0</v>
      </c>
      <c r="AJ100" s="32" t="s">
        <v>965</v>
      </c>
      <c r="AK100" s="32">
        <v>0</v>
      </c>
      <c r="AL100" s="32">
        <v>0</v>
      </c>
      <c r="AM100" s="32">
        <v>0</v>
      </c>
      <c r="AN100" s="32">
        <v>0</v>
      </c>
      <c r="AO100" s="32">
        <v>0</v>
      </c>
      <c r="AP100" s="32"/>
      <c r="AQ100" s="32">
        <v>0</v>
      </c>
      <c r="AR100" s="32">
        <v>0</v>
      </c>
      <c r="AS100" s="32">
        <v>861745.23</v>
      </c>
      <c r="AT100" s="32" t="s">
        <v>169</v>
      </c>
      <c r="AU100" s="32" t="s">
        <v>180</v>
      </c>
      <c r="AV100" s="32" t="s">
        <v>155</v>
      </c>
      <c r="AW100" s="32" t="s">
        <v>171</v>
      </c>
      <c r="AX100" s="32" t="s">
        <v>966</v>
      </c>
      <c r="AY100" s="32">
        <v>0</v>
      </c>
      <c r="AZ100" s="32">
        <v>46670.27</v>
      </c>
      <c r="BA100" s="32">
        <v>314</v>
      </c>
      <c r="BB100" s="31">
        <v>46214</v>
      </c>
      <c r="BC100" s="32" t="s">
        <v>177</v>
      </c>
      <c r="BD100" s="32" t="s">
        <v>967</v>
      </c>
      <c r="BE100" s="32" t="s">
        <v>967</v>
      </c>
      <c r="BF100" s="32">
        <v>9</v>
      </c>
      <c r="BG100" s="32">
        <v>4200.32</v>
      </c>
      <c r="BH100" s="32">
        <v>9</v>
      </c>
      <c r="BI100" s="32">
        <v>4200.32</v>
      </c>
      <c r="BJ100" s="32">
        <v>0</v>
      </c>
      <c r="BK100" s="32">
        <v>0</v>
      </c>
      <c r="BL100" s="32">
        <v>0</v>
      </c>
      <c r="BM100" s="32">
        <v>692143638570</v>
      </c>
      <c r="BN100" s="31">
        <v>46214</v>
      </c>
      <c r="BO100" s="32">
        <v>323</v>
      </c>
    </row>
    <row r="101" spans="1:67" x14ac:dyDescent="0.25">
      <c r="A101" s="21"/>
      <c r="B101" s="32" t="s">
        <v>167</v>
      </c>
      <c r="C101" s="31">
        <v>46214</v>
      </c>
      <c r="D101" s="32" t="s">
        <v>1083</v>
      </c>
      <c r="E101" s="32" t="s">
        <v>186</v>
      </c>
      <c r="F101" s="32" t="s">
        <v>187</v>
      </c>
      <c r="G101" s="32" t="s">
        <v>1084</v>
      </c>
      <c r="H101" s="32">
        <v>578</v>
      </c>
      <c r="I101" s="32">
        <v>578</v>
      </c>
      <c r="J101" s="32" t="s">
        <v>168</v>
      </c>
      <c r="K101" s="32">
        <v>578</v>
      </c>
      <c r="L101" s="32">
        <v>0</v>
      </c>
      <c r="M101" s="32">
        <v>578</v>
      </c>
      <c r="N101" s="32" t="s">
        <v>175</v>
      </c>
      <c r="O101" s="32" t="s">
        <v>654</v>
      </c>
      <c r="P101" s="32" t="s">
        <v>654</v>
      </c>
      <c r="Q101" s="32" t="s">
        <v>772</v>
      </c>
      <c r="R101" s="31">
        <v>46214</v>
      </c>
      <c r="S101" s="32" t="s">
        <v>987</v>
      </c>
      <c r="T101" s="32" t="s">
        <v>988</v>
      </c>
      <c r="U101" s="32" t="s">
        <v>771</v>
      </c>
      <c r="V101" s="32">
        <v>152.49</v>
      </c>
      <c r="W101" s="32">
        <v>152.49000159259401</v>
      </c>
      <c r="X101" s="32" t="s">
        <v>772</v>
      </c>
      <c r="Y101" s="31">
        <v>46214</v>
      </c>
      <c r="Z101" s="32" t="s">
        <v>193</v>
      </c>
      <c r="AA101" s="32" t="s">
        <v>193</v>
      </c>
      <c r="AB101" s="32"/>
      <c r="AC101" s="32" t="s">
        <v>193</v>
      </c>
      <c r="AD101" s="32" t="s">
        <v>193</v>
      </c>
      <c r="AE101" s="32">
        <v>0</v>
      </c>
      <c r="AF101" s="32">
        <v>0</v>
      </c>
      <c r="AG101" s="32">
        <v>0</v>
      </c>
      <c r="AH101" s="32">
        <v>0</v>
      </c>
      <c r="AI101" s="32">
        <v>0</v>
      </c>
      <c r="AJ101" s="32" t="s">
        <v>965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/>
      <c r="AQ101" s="32">
        <v>0</v>
      </c>
      <c r="AR101" s="32">
        <v>0</v>
      </c>
      <c r="AS101" s="32">
        <v>861745.23</v>
      </c>
      <c r="AT101" s="32" t="s">
        <v>169</v>
      </c>
      <c r="AU101" s="32" t="s">
        <v>180</v>
      </c>
      <c r="AV101" s="32" t="s">
        <v>155</v>
      </c>
      <c r="AW101" s="32" t="s">
        <v>171</v>
      </c>
      <c r="AX101" s="32" t="s">
        <v>966</v>
      </c>
      <c r="AY101" s="32">
        <v>0</v>
      </c>
      <c r="AZ101" s="32">
        <v>88139.22</v>
      </c>
      <c r="BA101" s="32">
        <v>314</v>
      </c>
      <c r="BB101" s="31">
        <v>46214</v>
      </c>
      <c r="BC101" s="32" t="s">
        <v>177</v>
      </c>
      <c r="BD101" s="32" t="s">
        <v>967</v>
      </c>
      <c r="BE101" s="32" t="s">
        <v>967</v>
      </c>
      <c r="BF101" s="32">
        <v>9</v>
      </c>
      <c r="BG101" s="32">
        <v>7932.53</v>
      </c>
      <c r="BH101" s="32">
        <v>9</v>
      </c>
      <c r="BI101" s="32">
        <v>7932.53</v>
      </c>
      <c r="BJ101" s="32">
        <v>0</v>
      </c>
      <c r="BK101" s="32">
        <v>0</v>
      </c>
      <c r="BL101" s="32">
        <v>0</v>
      </c>
      <c r="BM101" s="32">
        <v>692143638570</v>
      </c>
      <c r="BN101" s="31">
        <v>46214</v>
      </c>
      <c r="BO101" s="32">
        <v>578</v>
      </c>
    </row>
    <row r="102" spans="1:67" x14ac:dyDescent="0.25">
      <c r="A102" s="21"/>
      <c r="B102" s="32" t="s">
        <v>167</v>
      </c>
      <c r="C102" s="31">
        <v>46214</v>
      </c>
      <c r="D102" s="32" t="s">
        <v>1083</v>
      </c>
      <c r="E102" s="32" t="s">
        <v>1006</v>
      </c>
      <c r="F102" s="32" t="s">
        <v>681</v>
      </c>
      <c r="G102" s="32" t="s">
        <v>1084</v>
      </c>
      <c r="H102" s="32">
        <v>26.3</v>
      </c>
      <c r="I102" s="32">
        <v>26.3</v>
      </c>
      <c r="J102" s="32" t="s">
        <v>168</v>
      </c>
      <c r="K102" s="32">
        <v>26.3</v>
      </c>
      <c r="L102" s="32">
        <v>0</v>
      </c>
      <c r="M102" s="32">
        <v>26.3</v>
      </c>
      <c r="N102" s="32" t="s">
        <v>175</v>
      </c>
      <c r="O102" s="32" t="s">
        <v>654</v>
      </c>
      <c r="P102" s="32" t="s">
        <v>654</v>
      </c>
      <c r="Q102" s="32" t="s">
        <v>772</v>
      </c>
      <c r="R102" s="31">
        <v>46214</v>
      </c>
      <c r="S102" s="32" t="s">
        <v>987</v>
      </c>
      <c r="T102" s="32" t="s">
        <v>988</v>
      </c>
      <c r="U102" s="32" t="s">
        <v>771</v>
      </c>
      <c r="V102" s="32">
        <v>160.99</v>
      </c>
      <c r="W102" s="32">
        <v>160.990001681367</v>
      </c>
      <c r="X102" s="32" t="s">
        <v>772</v>
      </c>
      <c r="Y102" s="31">
        <v>46214</v>
      </c>
      <c r="Z102" s="32" t="s">
        <v>193</v>
      </c>
      <c r="AA102" s="32" t="s">
        <v>193</v>
      </c>
      <c r="AB102" s="32"/>
      <c r="AC102" s="32" t="s">
        <v>193</v>
      </c>
      <c r="AD102" s="32" t="s">
        <v>193</v>
      </c>
      <c r="AE102" s="32">
        <v>0</v>
      </c>
      <c r="AF102" s="32">
        <v>0</v>
      </c>
      <c r="AG102" s="32">
        <v>0</v>
      </c>
      <c r="AH102" s="32">
        <v>0</v>
      </c>
      <c r="AI102" s="32">
        <v>0</v>
      </c>
      <c r="AJ102" s="32" t="s">
        <v>965</v>
      </c>
      <c r="AK102" s="32">
        <v>0</v>
      </c>
      <c r="AL102" s="32">
        <v>0</v>
      </c>
      <c r="AM102" s="32">
        <v>0</v>
      </c>
      <c r="AN102" s="32">
        <v>0</v>
      </c>
      <c r="AO102" s="32">
        <v>0</v>
      </c>
      <c r="AP102" s="32"/>
      <c r="AQ102" s="32">
        <v>0</v>
      </c>
      <c r="AR102" s="32">
        <v>0</v>
      </c>
      <c r="AS102" s="32">
        <v>861745.23</v>
      </c>
      <c r="AT102" s="32" t="s">
        <v>169</v>
      </c>
      <c r="AU102" s="32" t="s">
        <v>170</v>
      </c>
      <c r="AV102" s="32" t="s">
        <v>157</v>
      </c>
      <c r="AW102" s="32" t="s">
        <v>171</v>
      </c>
      <c r="AX102" s="32" t="s">
        <v>966</v>
      </c>
      <c r="AY102" s="32">
        <v>0</v>
      </c>
      <c r="AZ102" s="32">
        <v>4234.04</v>
      </c>
      <c r="BA102" s="32">
        <v>314</v>
      </c>
      <c r="BB102" s="31">
        <v>46214</v>
      </c>
      <c r="BC102" s="32" t="s">
        <v>177</v>
      </c>
      <c r="BD102" s="32" t="s">
        <v>967</v>
      </c>
      <c r="BE102" s="32" t="s">
        <v>967</v>
      </c>
      <c r="BF102" s="32">
        <v>2.5</v>
      </c>
      <c r="BG102" s="32">
        <v>105.85</v>
      </c>
      <c r="BH102" s="32">
        <v>2.5</v>
      </c>
      <c r="BI102" s="32">
        <v>105.85</v>
      </c>
      <c r="BJ102" s="32">
        <v>0</v>
      </c>
      <c r="BK102" s="32">
        <v>0</v>
      </c>
      <c r="BL102" s="32">
        <v>0</v>
      </c>
      <c r="BM102" s="32">
        <v>692143638570</v>
      </c>
      <c r="BN102" s="31">
        <v>46214</v>
      </c>
      <c r="BO102" s="32">
        <v>26.3</v>
      </c>
    </row>
    <row r="103" spans="1:67" x14ac:dyDescent="0.25">
      <c r="A103" s="21"/>
      <c r="B103" s="32" t="s">
        <v>167</v>
      </c>
      <c r="C103" s="31">
        <v>46214</v>
      </c>
      <c r="D103" s="32" t="s">
        <v>1083</v>
      </c>
      <c r="E103" s="32" t="s">
        <v>181</v>
      </c>
      <c r="F103" s="32" t="s">
        <v>182</v>
      </c>
      <c r="G103" s="32" t="s">
        <v>1084</v>
      </c>
      <c r="H103" s="32">
        <v>126.1</v>
      </c>
      <c r="I103" s="32">
        <v>126.1</v>
      </c>
      <c r="J103" s="32" t="s">
        <v>168</v>
      </c>
      <c r="K103" s="32">
        <v>126.1</v>
      </c>
      <c r="L103" s="32">
        <v>0</v>
      </c>
      <c r="M103" s="32">
        <v>126.1</v>
      </c>
      <c r="N103" s="32" t="s">
        <v>175</v>
      </c>
      <c r="O103" s="32" t="s">
        <v>654</v>
      </c>
      <c r="P103" s="32" t="s">
        <v>654</v>
      </c>
      <c r="Q103" s="32" t="s">
        <v>772</v>
      </c>
      <c r="R103" s="31">
        <v>46214</v>
      </c>
      <c r="S103" s="32" t="s">
        <v>987</v>
      </c>
      <c r="T103" s="32" t="s">
        <v>988</v>
      </c>
      <c r="U103" s="32" t="s">
        <v>771</v>
      </c>
      <c r="V103" s="32">
        <v>149.49</v>
      </c>
      <c r="W103" s="32">
        <v>149.49000156126201</v>
      </c>
      <c r="X103" s="32" t="s">
        <v>772</v>
      </c>
      <c r="Y103" s="31">
        <v>46214</v>
      </c>
      <c r="Z103" s="32" t="s">
        <v>193</v>
      </c>
      <c r="AA103" s="32" t="s">
        <v>193</v>
      </c>
      <c r="AB103" s="32"/>
      <c r="AC103" s="32" t="s">
        <v>193</v>
      </c>
      <c r="AD103" s="32" t="s">
        <v>193</v>
      </c>
      <c r="AE103" s="32">
        <v>0</v>
      </c>
      <c r="AF103" s="32">
        <v>0</v>
      </c>
      <c r="AG103" s="32">
        <v>0</v>
      </c>
      <c r="AH103" s="32">
        <v>0</v>
      </c>
      <c r="AI103" s="32">
        <v>0</v>
      </c>
      <c r="AJ103" s="32" t="s">
        <v>965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/>
      <c r="AQ103" s="32">
        <v>0</v>
      </c>
      <c r="AR103" s="32">
        <v>0</v>
      </c>
      <c r="AS103" s="32">
        <v>861745.23</v>
      </c>
      <c r="AT103" s="32" t="s">
        <v>169</v>
      </c>
      <c r="AU103" s="32" t="s">
        <v>182</v>
      </c>
      <c r="AV103" s="32" t="s">
        <v>154</v>
      </c>
      <c r="AW103" s="32" t="s">
        <v>171</v>
      </c>
      <c r="AX103" s="32" t="s">
        <v>966</v>
      </c>
      <c r="AY103" s="32">
        <v>0</v>
      </c>
      <c r="AZ103" s="32">
        <v>18850.689999999999</v>
      </c>
      <c r="BA103" s="32">
        <v>314</v>
      </c>
      <c r="BB103" s="31">
        <v>46214</v>
      </c>
      <c r="BC103" s="32" t="s">
        <v>177</v>
      </c>
      <c r="BD103" s="32" t="s">
        <v>967</v>
      </c>
      <c r="BE103" s="32" t="s">
        <v>967</v>
      </c>
      <c r="BF103" s="32">
        <v>9</v>
      </c>
      <c r="BG103" s="32">
        <v>1696.56</v>
      </c>
      <c r="BH103" s="32">
        <v>9</v>
      </c>
      <c r="BI103" s="32">
        <v>1696.56</v>
      </c>
      <c r="BJ103" s="32">
        <v>0</v>
      </c>
      <c r="BK103" s="32">
        <v>0</v>
      </c>
      <c r="BL103" s="32">
        <v>0</v>
      </c>
      <c r="BM103" s="32">
        <v>692143638570</v>
      </c>
      <c r="BN103" s="31">
        <v>46214</v>
      </c>
      <c r="BO103" s="32">
        <v>126.1</v>
      </c>
    </row>
    <row r="104" spans="1:67" x14ac:dyDescent="0.25">
      <c r="A104" s="21"/>
      <c r="B104" s="32" t="s">
        <v>167</v>
      </c>
      <c r="C104" s="31">
        <v>46214</v>
      </c>
      <c r="D104" s="32" t="s">
        <v>1083</v>
      </c>
      <c r="E104" s="32" t="s">
        <v>181</v>
      </c>
      <c r="F104" s="32" t="s">
        <v>182</v>
      </c>
      <c r="G104" s="32" t="s">
        <v>1084</v>
      </c>
      <c r="H104" s="32">
        <v>98.4</v>
      </c>
      <c r="I104" s="32">
        <v>98.4</v>
      </c>
      <c r="J104" s="32" t="s">
        <v>168</v>
      </c>
      <c r="K104" s="32">
        <v>98.4</v>
      </c>
      <c r="L104" s="32">
        <v>0</v>
      </c>
      <c r="M104" s="32">
        <v>98.4</v>
      </c>
      <c r="N104" s="32" t="s">
        <v>175</v>
      </c>
      <c r="O104" s="32" t="s">
        <v>654</v>
      </c>
      <c r="P104" s="32" t="s">
        <v>654</v>
      </c>
      <c r="Q104" s="32" t="s">
        <v>772</v>
      </c>
      <c r="R104" s="31">
        <v>46214</v>
      </c>
      <c r="S104" s="32" t="s">
        <v>987</v>
      </c>
      <c r="T104" s="32" t="s">
        <v>988</v>
      </c>
      <c r="U104" s="32" t="s">
        <v>771</v>
      </c>
      <c r="V104" s="32">
        <v>146.49</v>
      </c>
      <c r="W104" s="32">
        <v>146.49000152993</v>
      </c>
      <c r="X104" s="32" t="s">
        <v>772</v>
      </c>
      <c r="Y104" s="31">
        <v>46214</v>
      </c>
      <c r="Z104" s="32" t="s">
        <v>193</v>
      </c>
      <c r="AA104" s="32" t="s">
        <v>193</v>
      </c>
      <c r="AB104" s="32"/>
      <c r="AC104" s="32" t="s">
        <v>193</v>
      </c>
      <c r="AD104" s="32" t="s">
        <v>193</v>
      </c>
      <c r="AE104" s="32">
        <v>0</v>
      </c>
      <c r="AF104" s="32">
        <v>0</v>
      </c>
      <c r="AG104" s="32">
        <v>0</v>
      </c>
      <c r="AH104" s="32">
        <v>0</v>
      </c>
      <c r="AI104" s="32">
        <v>0</v>
      </c>
      <c r="AJ104" s="32" t="s">
        <v>965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/>
      <c r="AQ104" s="32">
        <v>0</v>
      </c>
      <c r="AR104" s="32">
        <v>0</v>
      </c>
      <c r="AS104" s="32">
        <v>861745.23</v>
      </c>
      <c r="AT104" s="32" t="s">
        <v>169</v>
      </c>
      <c r="AU104" s="32" t="s">
        <v>182</v>
      </c>
      <c r="AV104" s="32" t="s">
        <v>154</v>
      </c>
      <c r="AW104" s="32" t="s">
        <v>171</v>
      </c>
      <c r="AX104" s="32" t="s">
        <v>966</v>
      </c>
      <c r="AY104" s="32">
        <v>0</v>
      </c>
      <c r="AZ104" s="32">
        <v>14414.62</v>
      </c>
      <c r="BA104" s="32">
        <v>314</v>
      </c>
      <c r="BB104" s="31">
        <v>46214</v>
      </c>
      <c r="BC104" s="32" t="s">
        <v>177</v>
      </c>
      <c r="BD104" s="32" t="s">
        <v>967</v>
      </c>
      <c r="BE104" s="32" t="s">
        <v>967</v>
      </c>
      <c r="BF104" s="32">
        <v>9</v>
      </c>
      <c r="BG104" s="32">
        <v>1297.32</v>
      </c>
      <c r="BH104" s="32">
        <v>9</v>
      </c>
      <c r="BI104" s="32">
        <v>1297.32</v>
      </c>
      <c r="BJ104" s="32">
        <v>0</v>
      </c>
      <c r="BK104" s="32">
        <v>0</v>
      </c>
      <c r="BL104" s="32">
        <v>0</v>
      </c>
      <c r="BM104" s="32">
        <v>692143638570</v>
      </c>
      <c r="BN104" s="31">
        <v>46214</v>
      </c>
      <c r="BO104" s="32">
        <v>98.4</v>
      </c>
    </row>
    <row r="105" spans="1:67" x14ac:dyDescent="0.25">
      <c r="A105" s="21"/>
      <c r="B105" s="32" t="s">
        <v>167</v>
      </c>
      <c r="C105" s="31">
        <v>46215</v>
      </c>
      <c r="D105" s="32" t="s">
        <v>1085</v>
      </c>
      <c r="E105" s="32" t="s">
        <v>186</v>
      </c>
      <c r="F105" s="32" t="s">
        <v>187</v>
      </c>
      <c r="G105" s="32" t="s">
        <v>1086</v>
      </c>
      <c r="H105" s="32">
        <v>712</v>
      </c>
      <c r="I105" s="32">
        <v>712</v>
      </c>
      <c r="J105" s="32" t="s">
        <v>168</v>
      </c>
      <c r="K105" s="32">
        <v>712</v>
      </c>
      <c r="L105" s="32">
        <v>0</v>
      </c>
      <c r="M105" s="32">
        <v>712</v>
      </c>
      <c r="N105" s="32" t="s">
        <v>175</v>
      </c>
      <c r="O105" s="32" t="s">
        <v>654</v>
      </c>
      <c r="P105" s="32" t="s">
        <v>654</v>
      </c>
      <c r="Q105" s="32" t="s">
        <v>776</v>
      </c>
      <c r="R105" s="31">
        <v>46215</v>
      </c>
      <c r="S105" s="32" t="s">
        <v>987</v>
      </c>
      <c r="T105" s="32" t="s">
        <v>988</v>
      </c>
      <c r="U105" s="32" t="s">
        <v>775</v>
      </c>
      <c r="V105" s="32">
        <v>144.49</v>
      </c>
      <c r="W105" s="32">
        <v>144.49</v>
      </c>
      <c r="X105" s="32" t="s">
        <v>776</v>
      </c>
      <c r="Y105" s="31">
        <v>46215</v>
      </c>
      <c r="Z105" s="32" t="s">
        <v>193</v>
      </c>
      <c r="AA105" s="32" t="s">
        <v>193</v>
      </c>
      <c r="AB105" s="32"/>
      <c r="AC105" s="32" t="s">
        <v>193</v>
      </c>
      <c r="AD105" s="32" t="s">
        <v>193</v>
      </c>
      <c r="AE105" s="32">
        <v>0</v>
      </c>
      <c r="AF105" s="32">
        <v>0</v>
      </c>
      <c r="AG105" s="32">
        <v>0</v>
      </c>
      <c r="AH105" s="32">
        <v>0</v>
      </c>
      <c r="AI105" s="32">
        <v>0</v>
      </c>
      <c r="AJ105" s="32" t="s">
        <v>965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/>
      <c r="AQ105" s="32">
        <v>0</v>
      </c>
      <c r="AR105" s="32">
        <v>0</v>
      </c>
      <c r="AS105" s="32">
        <v>121394.72</v>
      </c>
      <c r="AT105" s="32" t="s">
        <v>169</v>
      </c>
      <c r="AU105" s="32" t="s">
        <v>180</v>
      </c>
      <c r="AV105" s="32" t="s">
        <v>155</v>
      </c>
      <c r="AW105" s="32" t="s">
        <v>171</v>
      </c>
      <c r="AX105" s="32" t="s">
        <v>966</v>
      </c>
      <c r="AY105" s="32">
        <v>0</v>
      </c>
      <c r="AZ105" s="32">
        <v>102876.88</v>
      </c>
      <c r="BA105" s="32">
        <v>316</v>
      </c>
      <c r="BB105" s="31">
        <v>46215</v>
      </c>
      <c r="BC105" s="32" t="s">
        <v>177</v>
      </c>
      <c r="BD105" s="32" t="s">
        <v>967</v>
      </c>
      <c r="BE105" s="32" t="s">
        <v>967</v>
      </c>
      <c r="BF105" s="32">
        <v>9</v>
      </c>
      <c r="BG105" s="32">
        <v>9258.92</v>
      </c>
      <c r="BH105" s="32">
        <v>9</v>
      </c>
      <c r="BI105" s="32">
        <v>9258.92</v>
      </c>
      <c r="BJ105" s="32">
        <v>0</v>
      </c>
      <c r="BK105" s="32">
        <v>0</v>
      </c>
      <c r="BL105" s="32">
        <v>121394.72</v>
      </c>
      <c r="BM105" s="32">
        <v>622143858953</v>
      </c>
      <c r="BN105" s="31">
        <v>46215</v>
      </c>
      <c r="BO105" s="32">
        <v>712</v>
      </c>
    </row>
    <row r="106" spans="1:67" x14ac:dyDescent="0.25">
      <c r="A106" s="21"/>
      <c r="B106" s="32" t="s">
        <v>167</v>
      </c>
      <c r="C106" s="31">
        <v>46215</v>
      </c>
      <c r="D106" s="32" t="s">
        <v>1087</v>
      </c>
      <c r="E106" s="32" t="s">
        <v>1088</v>
      </c>
      <c r="F106" s="32" t="s">
        <v>779</v>
      </c>
      <c r="G106" s="32" t="s">
        <v>1089</v>
      </c>
      <c r="H106" s="32">
        <v>2000</v>
      </c>
      <c r="I106" s="32">
        <v>2000</v>
      </c>
      <c r="J106" s="32" t="s">
        <v>168</v>
      </c>
      <c r="K106" s="32">
        <v>2000</v>
      </c>
      <c r="L106" s="32">
        <v>0</v>
      </c>
      <c r="M106" s="32">
        <v>2000</v>
      </c>
      <c r="N106" s="32" t="s">
        <v>175</v>
      </c>
      <c r="O106" s="32" t="s">
        <v>654</v>
      </c>
      <c r="P106" s="32" t="s">
        <v>654</v>
      </c>
      <c r="Q106" s="32" t="s">
        <v>778</v>
      </c>
      <c r="R106" s="31">
        <v>46215</v>
      </c>
      <c r="S106" s="32" t="s">
        <v>987</v>
      </c>
      <c r="T106" s="32" t="s">
        <v>988</v>
      </c>
      <c r="U106" s="32" t="s">
        <v>777</v>
      </c>
      <c r="V106" s="32">
        <v>105</v>
      </c>
      <c r="W106" s="32">
        <v>105</v>
      </c>
      <c r="X106" s="32" t="s">
        <v>778</v>
      </c>
      <c r="Y106" s="31">
        <v>46215</v>
      </c>
      <c r="Z106" s="32" t="s">
        <v>193</v>
      </c>
      <c r="AA106" s="32" t="s">
        <v>193</v>
      </c>
      <c r="AB106" s="32"/>
      <c r="AC106" s="32" t="s">
        <v>193</v>
      </c>
      <c r="AD106" s="32" t="s">
        <v>193</v>
      </c>
      <c r="AE106" s="32">
        <v>0</v>
      </c>
      <c r="AF106" s="32">
        <v>0</v>
      </c>
      <c r="AG106" s="32">
        <v>0</v>
      </c>
      <c r="AH106" s="32">
        <v>0</v>
      </c>
      <c r="AI106" s="32">
        <v>0</v>
      </c>
      <c r="AJ106" s="32" t="s">
        <v>965</v>
      </c>
      <c r="AK106" s="32">
        <v>0</v>
      </c>
      <c r="AL106" s="32">
        <v>0</v>
      </c>
      <c r="AM106" s="32">
        <v>0</v>
      </c>
      <c r="AN106" s="32">
        <v>0</v>
      </c>
      <c r="AO106" s="32">
        <v>0</v>
      </c>
      <c r="AP106" s="32"/>
      <c r="AQ106" s="32">
        <v>0</v>
      </c>
      <c r="AR106" s="32">
        <v>0</v>
      </c>
      <c r="AS106" s="32">
        <v>247800</v>
      </c>
      <c r="AT106" s="32" t="s">
        <v>169</v>
      </c>
      <c r="AU106" s="32" t="s">
        <v>779</v>
      </c>
      <c r="AV106" s="32" t="s">
        <v>779</v>
      </c>
      <c r="AW106" s="32" t="s">
        <v>171</v>
      </c>
      <c r="AX106" s="32" t="s">
        <v>966</v>
      </c>
      <c r="AY106" s="32">
        <v>0</v>
      </c>
      <c r="AZ106" s="32">
        <v>210000</v>
      </c>
      <c r="BA106" s="32">
        <v>317</v>
      </c>
      <c r="BB106" s="31">
        <v>46215</v>
      </c>
      <c r="BC106" s="32" t="s">
        <v>177</v>
      </c>
      <c r="BD106" s="32" t="s">
        <v>967</v>
      </c>
      <c r="BE106" s="32" t="s">
        <v>967</v>
      </c>
      <c r="BF106" s="32">
        <v>9</v>
      </c>
      <c r="BG106" s="32">
        <v>18900</v>
      </c>
      <c r="BH106" s="32">
        <v>9</v>
      </c>
      <c r="BI106" s="32">
        <v>18900</v>
      </c>
      <c r="BJ106" s="32">
        <v>0</v>
      </c>
      <c r="BK106" s="32">
        <v>0</v>
      </c>
      <c r="BL106" s="32">
        <v>247800</v>
      </c>
      <c r="BM106" s="32">
        <v>672143961537</v>
      </c>
      <c r="BN106" s="31">
        <v>46215</v>
      </c>
      <c r="BO106" s="32">
        <v>2000</v>
      </c>
    </row>
    <row r="107" spans="1:67" x14ac:dyDescent="0.25">
      <c r="A107" s="21"/>
      <c r="B107" s="32" t="s">
        <v>167</v>
      </c>
      <c r="C107" s="31">
        <v>46215</v>
      </c>
      <c r="D107" s="32" t="s">
        <v>1090</v>
      </c>
      <c r="E107" s="32" t="s">
        <v>186</v>
      </c>
      <c r="F107" s="32" t="s">
        <v>187</v>
      </c>
      <c r="G107" s="32" t="s">
        <v>1089</v>
      </c>
      <c r="H107" s="32">
        <v>339</v>
      </c>
      <c r="I107" s="32">
        <v>339</v>
      </c>
      <c r="J107" s="32" t="s">
        <v>168</v>
      </c>
      <c r="K107" s="32">
        <v>339</v>
      </c>
      <c r="L107" s="32">
        <v>0</v>
      </c>
      <c r="M107" s="32">
        <v>339</v>
      </c>
      <c r="N107" s="32" t="s">
        <v>175</v>
      </c>
      <c r="O107" s="32" t="s">
        <v>654</v>
      </c>
      <c r="P107" s="32" t="s">
        <v>654</v>
      </c>
      <c r="Q107" s="32" t="s">
        <v>782</v>
      </c>
      <c r="R107" s="31">
        <v>46215</v>
      </c>
      <c r="S107" s="32" t="s">
        <v>987</v>
      </c>
      <c r="T107" s="32" t="s">
        <v>988</v>
      </c>
      <c r="U107" s="32" t="s">
        <v>781</v>
      </c>
      <c r="V107" s="32">
        <v>144.49</v>
      </c>
      <c r="W107" s="32">
        <v>144.48999956323499</v>
      </c>
      <c r="X107" s="32" t="s">
        <v>782</v>
      </c>
      <c r="Y107" s="31">
        <v>46215</v>
      </c>
      <c r="Z107" s="32" t="s">
        <v>193</v>
      </c>
      <c r="AA107" s="32"/>
      <c r="AB107" s="32"/>
      <c r="AC107" s="32" t="s">
        <v>193</v>
      </c>
      <c r="AD107" s="32" t="s">
        <v>193</v>
      </c>
      <c r="AE107" s="32">
        <v>0</v>
      </c>
      <c r="AF107" s="32">
        <v>0</v>
      </c>
      <c r="AG107" s="32">
        <v>0</v>
      </c>
      <c r="AH107" s="32">
        <v>0</v>
      </c>
      <c r="AI107" s="32">
        <v>0</v>
      </c>
      <c r="AJ107" s="32" t="s">
        <v>965</v>
      </c>
      <c r="AK107" s="32">
        <v>0</v>
      </c>
      <c r="AL107" s="32">
        <v>0</v>
      </c>
      <c r="AM107" s="32">
        <v>0</v>
      </c>
      <c r="AN107" s="32">
        <v>0</v>
      </c>
      <c r="AO107" s="32">
        <v>0</v>
      </c>
      <c r="AP107" s="32"/>
      <c r="AQ107" s="32">
        <v>0</v>
      </c>
      <c r="AR107" s="32">
        <v>0</v>
      </c>
      <c r="AS107" s="32">
        <v>661637.56000000006</v>
      </c>
      <c r="AT107" s="32" t="s">
        <v>169</v>
      </c>
      <c r="AU107" s="32" t="s">
        <v>180</v>
      </c>
      <c r="AV107" s="32" t="s">
        <v>155</v>
      </c>
      <c r="AW107" s="32" t="s">
        <v>171</v>
      </c>
      <c r="AX107" s="32" t="s">
        <v>966</v>
      </c>
      <c r="AY107" s="32">
        <v>0</v>
      </c>
      <c r="AZ107" s="32">
        <v>48982.11</v>
      </c>
      <c r="BA107" s="32">
        <v>315</v>
      </c>
      <c r="BB107" s="31">
        <v>46215</v>
      </c>
      <c r="BC107" s="32" t="s">
        <v>177</v>
      </c>
      <c r="BD107" s="32" t="s">
        <v>967</v>
      </c>
      <c r="BE107" s="32" t="s">
        <v>967</v>
      </c>
      <c r="BF107" s="32">
        <v>9</v>
      </c>
      <c r="BG107" s="32">
        <v>4408.3900000000003</v>
      </c>
      <c r="BH107" s="32">
        <v>9</v>
      </c>
      <c r="BI107" s="32">
        <v>4408.3900000000003</v>
      </c>
      <c r="BJ107" s="32">
        <v>0</v>
      </c>
      <c r="BK107" s="32">
        <v>0</v>
      </c>
      <c r="BL107" s="32">
        <v>661637.56000000006</v>
      </c>
      <c r="BM107" s="32">
        <v>692143969230</v>
      </c>
      <c r="BN107" s="31">
        <v>46215</v>
      </c>
      <c r="BO107" s="32">
        <v>339</v>
      </c>
    </row>
    <row r="108" spans="1:67" x14ac:dyDescent="0.25">
      <c r="A108" s="21"/>
      <c r="B108" s="32" t="s">
        <v>167</v>
      </c>
      <c r="C108" s="31">
        <v>46215</v>
      </c>
      <c r="D108" s="32" t="s">
        <v>1090</v>
      </c>
      <c r="E108" s="32" t="s">
        <v>186</v>
      </c>
      <c r="F108" s="32" t="s">
        <v>187</v>
      </c>
      <c r="G108" s="32" t="s">
        <v>1089</v>
      </c>
      <c r="H108" s="32">
        <v>662</v>
      </c>
      <c r="I108" s="32">
        <v>662</v>
      </c>
      <c r="J108" s="32" t="s">
        <v>168</v>
      </c>
      <c r="K108" s="32">
        <v>662</v>
      </c>
      <c r="L108" s="32">
        <v>0</v>
      </c>
      <c r="M108" s="32">
        <v>662</v>
      </c>
      <c r="N108" s="32" t="s">
        <v>175</v>
      </c>
      <c r="O108" s="32" t="s">
        <v>654</v>
      </c>
      <c r="P108" s="32" t="s">
        <v>654</v>
      </c>
      <c r="Q108" s="32" t="s">
        <v>782</v>
      </c>
      <c r="R108" s="31">
        <v>46215</v>
      </c>
      <c r="S108" s="32" t="s">
        <v>987</v>
      </c>
      <c r="T108" s="32" t="s">
        <v>988</v>
      </c>
      <c r="U108" s="32" t="s">
        <v>781</v>
      </c>
      <c r="V108" s="32">
        <v>152.49</v>
      </c>
      <c r="W108" s="32">
        <v>152.489999539053</v>
      </c>
      <c r="X108" s="32" t="s">
        <v>782</v>
      </c>
      <c r="Y108" s="31">
        <v>46215</v>
      </c>
      <c r="Z108" s="32" t="s">
        <v>193</v>
      </c>
      <c r="AA108" s="32"/>
      <c r="AB108" s="32"/>
      <c r="AC108" s="32" t="s">
        <v>193</v>
      </c>
      <c r="AD108" s="32" t="s">
        <v>193</v>
      </c>
      <c r="AE108" s="32">
        <v>0</v>
      </c>
      <c r="AF108" s="32">
        <v>0</v>
      </c>
      <c r="AG108" s="32">
        <v>0</v>
      </c>
      <c r="AH108" s="32">
        <v>0</v>
      </c>
      <c r="AI108" s="32">
        <v>0</v>
      </c>
      <c r="AJ108" s="32" t="s">
        <v>965</v>
      </c>
      <c r="AK108" s="32">
        <v>0</v>
      </c>
      <c r="AL108" s="32">
        <v>0</v>
      </c>
      <c r="AM108" s="32">
        <v>0</v>
      </c>
      <c r="AN108" s="32">
        <v>0</v>
      </c>
      <c r="AO108" s="32">
        <v>0</v>
      </c>
      <c r="AP108" s="32"/>
      <c r="AQ108" s="32">
        <v>0</v>
      </c>
      <c r="AR108" s="32">
        <v>0</v>
      </c>
      <c r="AS108" s="32">
        <v>661637.56000000006</v>
      </c>
      <c r="AT108" s="32" t="s">
        <v>169</v>
      </c>
      <c r="AU108" s="32" t="s">
        <v>180</v>
      </c>
      <c r="AV108" s="32" t="s">
        <v>155</v>
      </c>
      <c r="AW108" s="32" t="s">
        <v>171</v>
      </c>
      <c r="AX108" s="32" t="s">
        <v>966</v>
      </c>
      <c r="AY108" s="32">
        <v>0</v>
      </c>
      <c r="AZ108" s="32">
        <v>100948.38</v>
      </c>
      <c r="BA108" s="32">
        <v>315</v>
      </c>
      <c r="BB108" s="31">
        <v>46215</v>
      </c>
      <c r="BC108" s="32" t="s">
        <v>177</v>
      </c>
      <c r="BD108" s="32" t="s">
        <v>967</v>
      </c>
      <c r="BE108" s="32" t="s">
        <v>967</v>
      </c>
      <c r="BF108" s="32">
        <v>9</v>
      </c>
      <c r="BG108" s="32">
        <v>9085.35</v>
      </c>
      <c r="BH108" s="32">
        <v>9</v>
      </c>
      <c r="BI108" s="32">
        <v>9085.35</v>
      </c>
      <c r="BJ108" s="32">
        <v>0</v>
      </c>
      <c r="BK108" s="32">
        <v>0</v>
      </c>
      <c r="BL108" s="32">
        <v>0</v>
      </c>
      <c r="BM108" s="32">
        <v>692143969230</v>
      </c>
      <c r="BN108" s="31">
        <v>46215</v>
      </c>
      <c r="BO108" s="32">
        <v>662</v>
      </c>
    </row>
    <row r="109" spans="1:67" x14ac:dyDescent="0.25">
      <c r="A109" s="21"/>
      <c r="B109" s="32" t="s">
        <v>167</v>
      </c>
      <c r="C109" s="31">
        <v>46215</v>
      </c>
      <c r="D109" s="32" t="s">
        <v>1090</v>
      </c>
      <c r="E109" s="32" t="s">
        <v>181</v>
      </c>
      <c r="F109" s="32" t="s">
        <v>182</v>
      </c>
      <c r="G109" s="32" t="s">
        <v>1089</v>
      </c>
      <c r="H109" s="32">
        <v>139.6</v>
      </c>
      <c r="I109" s="32">
        <v>139.6</v>
      </c>
      <c r="J109" s="32" t="s">
        <v>168</v>
      </c>
      <c r="K109" s="32">
        <v>139.6</v>
      </c>
      <c r="L109" s="32">
        <v>0</v>
      </c>
      <c r="M109" s="32">
        <v>139.6</v>
      </c>
      <c r="N109" s="32" t="s">
        <v>175</v>
      </c>
      <c r="O109" s="32" t="s">
        <v>654</v>
      </c>
      <c r="P109" s="32" t="s">
        <v>654</v>
      </c>
      <c r="Q109" s="32" t="s">
        <v>782</v>
      </c>
      <c r="R109" s="31">
        <v>46215</v>
      </c>
      <c r="S109" s="32" t="s">
        <v>987</v>
      </c>
      <c r="T109" s="32" t="s">
        <v>988</v>
      </c>
      <c r="U109" s="32" t="s">
        <v>781</v>
      </c>
      <c r="V109" s="32">
        <v>149.49</v>
      </c>
      <c r="W109" s="32">
        <v>149.48999954812101</v>
      </c>
      <c r="X109" s="32" t="s">
        <v>782</v>
      </c>
      <c r="Y109" s="31">
        <v>46215</v>
      </c>
      <c r="Z109" s="32" t="s">
        <v>193</v>
      </c>
      <c r="AA109" s="32"/>
      <c r="AB109" s="32"/>
      <c r="AC109" s="32" t="s">
        <v>193</v>
      </c>
      <c r="AD109" s="32" t="s">
        <v>193</v>
      </c>
      <c r="AE109" s="32">
        <v>0</v>
      </c>
      <c r="AF109" s="32">
        <v>0</v>
      </c>
      <c r="AG109" s="32">
        <v>0</v>
      </c>
      <c r="AH109" s="32">
        <v>0</v>
      </c>
      <c r="AI109" s="32">
        <v>0</v>
      </c>
      <c r="AJ109" s="32" t="s">
        <v>965</v>
      </c>
      <c r="AK109" s="32">
        <v>0</v>
      </c>
      <c r="AL109" s="32">
        <v>0</v>
      </c>
      <c r="AM109" s="32">
        <v>0</v>
      </c>
      <c r="AN109" s="32">
        <v>0</v>
      </c>
      <c r="AO109" s="32">
        <v>0</v>
      </c>
      <c r="AP109" s="32"/>
      <c r="AQ109" s="32">
        <v>0</v>
      </c>
      <c r="AR109" s="32">
        <v>0</v>
      </c>
      <c r="AS109" s="32">
        <v>661637.56000000006</v>
      </c>
      <c r="AT109" s="32" t="s">
        <v>169</v>
      </c>
      <c r="AU109" s="32" t="s">
        <v>182</v>
      </c>
      <c r="AV109" s="32" t="s">
        <v>154</v>
      </c>
      <c r="AW109" s="32" t="s">
        <v>171</v>
      </c>
      <c r="AX109" s="32" t="s">
        <v>966</v>
      </c>
      <c r="AY109" s="32">
        <v>0</v>
      </c>
      <c r="AZ109" s="32">
        <v>20868.8</v>
      </c>
      <c r="BA109" s="32">
        <v>315</v>
      </c>
      <c r="BB109" s="31">
        <v>46215</v>
      </c>
      <c r="BC109" s="32" t="s">
        <v>177</v>
      </c>
      <c r="BD109" s="32" t="s">
        <v>967</v>
      </c>
      <c r="BE109" s="32" t="s">
        <v>967</v>
      </c>
      <c r="BF109" s="32">
        <v>9</v>
      </c>
      <c r="BG109" s="32">
        <v>1878.19</v>
      </c>
      <c r="BH109" s="32">
        <v>9</v>
      </c>
      <c r="BI109" s="32">
        <v>1878.19</v>
      </c>
      <c r="BJ109" s="32">
        <v>0</v>
      </c>
      <c r="BK109" s="32">
        <v>0</v>
      </c>
      <c r="BL109" s="32">
        <v>0</v>
      </c>
      <c r="BM109" s="32">
        <v>692143969230</v>
      </c>
      <c r="BN109" s="31">
        <v>46215</v>
      </c>
      <c r="BO109" s="32">
        <v>139.6</v>
      </c>
    </row>
    <row r="110" spans="1:67" x14ac:dyDescent="0.25">
      <c r="A110" s="21"/>
      <c r="B110" s="32" t="s">
        <v>167</v>
      </c>
      <c r="C110" s="31">
        <v>46215</v>
      </c>
      <c r="D110" s="32" t="s">
        <v>1090</v>
      </c>
      <c r="E110" s="32" t="s">
        <v>181</v>
      </c>
      <c r="F110" s="32" t="s">
        <v>182</v>
      </c>
      <c r="G110" s="32" t="s">
        <v>1089</v>
      </c>
      <c r="H110" s="32">
        <v>103.2</v>
      </c>
      <c r="I110" s="32">
        <v>103.2</v>
      </c>
      <c r="J110" s="32" t="s">
        <v>168</v>
      </c>
      <c r="K110" s="32">
        <v>103.2</v>
      </c>
      <c r="L110" s="32">
        <v>0</v>
      </c>
      <c r="M110" s="32">
        <v>103.2</v>
      </c>
      <c r="N110" s="32" t="s">
        <v>175</v>
      </c>
      <c r="O110" s="32" t="s">
        <v>654</v>
      </c>
      <c r="P110" s="32" t="s">
        <v>654</v>
      </c>
      <c r="Q110" s="32" t="s">
        <v>782</v>
      </c>
      <c r="R110" s="31">
        <v>46215</v>
      </c>
      <c r="S110" s="32" t="s">
        <v>987</v>
      </c>
      <c r="T110" s="32" t="s">
        <v>988</v>
      </c>
      <c r="U110" s="32" t="s">
        <v>781</v>
      </c>
      <c r="V110" s="32">
        <v>146.49</v>
      </c>
      <c r="W110" s="32">
        <v>146.48999955719</v>
      </c>
      <c r="X110" s="32" t="s">
        <v>782</v>
      </c>
      <c r="Y110" s="31">
        <v>46215</v>
      </c>
      <c r="Z110" s="32" t="s">
        <v>193</v>
      </c>
      <c r="AA110" s="32"/>
      <c r="AB110" s="32"/>
      <c r="AC110" s="32" t="s">
        <v>193</v>
      </c>
      <c r="AD110" s="32" t="s">
        <v>193</v>
      </c>
      <c r="AE110" s="32">
        <v>0</v>
      </c>
      <c r="AF110" s="32">
        <v>0</v>
      </c>
      <c r="AG110" s="32">
        <v>0</v>
      </c>
      <c r="AH110" s="32">
        <v>0</v>
      </c>
      <c r="AI110" s="32">
        <v>0</v>
      </c>
      <c r="AJ110" s="32" t="s">
        <v>965</v>
      </c>
      <c r="AK110" s="32">
        <v>0</v>
      </c>
      <c r="AL110" s="32">
        <v>0</v>
      </c>
      <c r="AM110" s="32">
        <v>0</v>
      </c>
      <c r="AN110" s="32">
        <v>0</v>
      </c>
      <c r="AO110" s="32">
        <v>0</v>
      </c>
      <c r="AP110" s="32"/>
      <c r="AQ110" s="32">
        <v>0</v>
      </c>
      <c r="AR110" s="32">
        <v>0</v>
      </c>
      <c r="AS110" s="32">
        <v>661637.56000000006</v>
      </c>
      <c r="AT110" s="32" t="s">
        <v>169</v>
      </c>
      <c r="AU110" s="32" t="s">
        <v>182</v>
      </c>
      <c r="AV110" s="32" t="s">
        <v>154</v>
      </c>
      <c r="AW110" s="32" t="s">
        <v>171</v>
      </c>
      <c r="AX110" s="32" t="s">
        <v>966</v>
      </c>
      <c r="AY110" s="32">
        <v>0</v>
      </c>
      <c r="AZ110" s="32">
        <v>15117.77</v>
      </c>
      <c r="BA110" s="32">
        <v>315</v>
      </c>
      <c r="BB110" s="31">
        <v>46215</v>
      </c>
      <c r="BC110" s="32" t="s">
        <v>177</v>
      </c>
      <c r="BD110" s="32" t="s">
        <v>967</v>
      </c>
      <c r="BE110" s="32" t="s">
        <v>967</v>
      </c>
      <c r="BF110" s="32">
        <v>9</v>
      </c>
      <c r="BG110" s="32">
        <v>1360.6</v>
      </c>
      <c r="BH110" s="32">
        <v>9</v>
      </c>
      <c r="BI110" s="32">
        <v>1360.6</v>
      </c>
      <c r="BJ110" s="32">
        <v>0</v>
      </c>
      <c r="BK110" s="32">
        <v>0</v>
      </c>
      <c r="BL110" s="32">
        <v>0</v>
      </c>
      <c r="BM110" s="32">
        <v>692143969230</v>
      </c>
      <c r="BN110" s="31">
        <v>46215</v>
      </c>
      <c r="BO110" s="32">
        <v>103.2</v>
      </c>
    </row>
    <row r="111" spans="1:67" x14ac:dyDescent="0.25">
      <c r="A111" s="21"/>
      <c r="B111" s="32" t="s">
        <v>167</v>
      </c>
      <c r="C111" s="31">
        <v>46215</v>
      </c>
      <c r="D111" s="32" t="s">
        <v>1090</v>
      </c>
      <c r="E111" s="32" t="s">
        <v>178</v>
      </c>
      <c r="F111" s="32" t="s">
        <v>179</v>
      </c>
      <c r="G111" s="32" t="s">
        <v>1089</v>
      </c>
      <c r="H111" s="32">
        <v>2426</v>
      </c>
      <c r="I111" s="32">
        <v>2426</v>
      </c>
      <c r="J111" s="32" t="s">
        <v>168</v>
      </c>
      <c r="K111" s="32">
        <v>2426</v>
      </c>
      <c r="L111" s="32">
        <v>0</v>
      </c>
      <c r="M111" s="32">
        <v>2426</v>
      </c>
      <c r="N111" s="32" t="s">
        <v>175</v>
      </c>
      <c r="O111" s="32" t="s">
        <v>654</v>
      </c>
      <c r="P111" s="32" t="s">
        <v>654</v>
      </c>
      <c r="Q111" s="32" t="s">
        <v>782</v>
      </c>
      <c r="R111" s="31">
        <v>46215</v>
      </c>
      <c r="S111" s="32" t="s">
        <v>987</v>
      </c>
      <c r="T111" s="32" t="s">
        <v>988</v>
      </c>
      <c r="U111" s="32" t="s">
        <v>781</v>
      </c>
      <c r="V111" s="32">
        <v>154.49</v>
      </c>
      <c r="W111" s="32">
        <v>154.48999953300699</v>
      </c>
      <c r="X111" s="32" t="s">
        <v>782</v>
      </c>
      <c r="Y111" s="31">
        <v>46215</v>
      </c>
      <c r="Z111" s="32" t="s">
        <v>193</v>
      </c>
      <c r="AA111" s="32"/>
      <c r="AB111" s="32"/>
      <c r="AC111" s="32" t="s">
        <v>193</v>
      </c>
      <c r="AD111" s="32" t="s">
        <v>193</v>
      </c>
      <c r="AE111" s="32">
        <v>0</v>
      </c>
      <c r="AF111" s="32">
        <v>0</v>
      </c>
      <c r="AG111" s="32">
        <v>0</v>
      </c>
      <c r="AH111" s="32">
        <v>0</v>
      </c>
      <c r="AI111" s="32">
        <v>0</v>
      </c>
      <c r="AJ111" s="32" t="s">
        <v>965</v>
      </c>
      <c r="AK111" s="32">
        <v>0</v>
      </c>
      <c r="AL111" s="32">
        <v>0</v>
      </c>
      <c r="AM111" s="32">
        <v>0</v>
      </c>
      <c r="AN111" s="32">
        <v>0</v>
      </c>
      <c r="AO111" s="32">
        <v>0</v>
      </c>
      <c r="AP111" s="32"/>
      <c r="AQ111" s="32">
        <v>0</v>
      </c>
      <c r="AR111" s="32">
        <v>0</v>
      </c>
      <c r="AS111" s="32">
        <v>661637.56000000006</v>
      </c>
      <c r="AT111" s="32" t="s">
        <v>169</v>
      </c>
      <c r="AU111" s="32" t="s">
        <v>180</v>
      </c>
      <c r="AV111" s="32" t="s">
        <v>156</v>
      </c>
      <c r="AW111" s="32" t="s">
        <v>171</v>
      </c>
      <c r="AX111" s="32" t="s">
        <v>966</v>
      </c>
      <c r="AY111" s="32">
        <v>0</v>
      </c>
      <c r="AZ111" s="32">
        <v>374792.74</v>
      </c>
      <c r="BA111" s="32">
        <v>315</v>
      </c>
      <c r="BB111" s="31">
        <v>46215</v>
      </c>
      <c r="BC111" s="32" t="s">
        <v>177</v>
      </c>
      <c r="BD111" s="32" t="s">
        <v>967</v>
      </c>
      <c r="BE111" s="32" t="s">
        <v>967</v>
      </c>
      <c r="BF111" s="32">
        <v>9</v>
      </c>
      <c r="BG111" s="32">
        <v>33731.35</v>
      </c>
      <c r="BH111" s="32">
        <v>9</v>
      </c>
      <c r="BI111" s="32">
        <v>33731.35</v>
      </c>
      <c r="BJ111" s="32">
        <v>0</v>
      </c>
      <c r="BK111" s="32">
        <v>0</v>
      </c>
      <c r="BL111" s="32">
        <v>0</v>
      </c>
      <c r="BM111" s="32">
        <v>692143969230</v>
      </c>
      <c r="BN111" s="31">
        <v>46215</v>
      </c>
      <c r="BO111" s="32">
        <v>2426</v>
      </c>
    </row>
    <row r="112" spans="1:67" x14ac:dyDescent="0.25">
      <c r="A112" s="21"/>
      <c r="B112" s="32" t="s">
        <v>167</v>
      </c>
      <c r="C112" s="31">
        <v>46216</v>
      </c>
      <c r="D112" s="32" t="s">
        <v>1091</v>
      </c>
      <c r="E112" s="32" t="s">
        <v>1066</v>
      </c>
      <c r="F112" s="32" t="s">
        <v>757</v>
      </c>
      <c r="G112" s="32" t="s">
        <v>1092</v>
      </c>
      <c r="H112" s="32">
        <v>1100</v>
      </c>
      <c r="I112" s="32">
        <v>1100</v>
      </c>
      <c r="J112" s="32" t="s">
        <v>168</v>
      </c>
      <c r="K112" s="32">
        <v>1100</v>
      </c>
      <c r="L112" s="32">
        <v>0</v>
      </c>
      <c r="M112" s="32">
        <v>1100</v>
      </c>
      <c r="N112" s="32" t="s">
        <v>1093</v>
      </c>
      <c r="O112" s="32" t="s">
        <v>676</v>
      </c>
      <c r="P112" s="32" t="s">
        <v>676</v>
      </c>
      <c r="Q112" s="32" t="s">
        <v>789</v>
      </c>
      <c r="R112" s="31">
        <v>46215</v>
      </c>
      <c r="S112" s="32" t="s">
        <v>987</v>
      </c>
      <c r="T112" s="32" t="s">
        <v>988</v>
      </c>
      <c r="U112" s="32" t="s">
        <v>788</v>
      </c>
      <c r="V112" s="32">
        <v>154.15</v>
      </c>
      <c r="W112" s="32">
        <v>154.15</v>
      </c>
      <c r="X112" s="32" t="s">
        <v>789</v>
      </c>
      <c r="Y112" s="31">
        <v>46215</v>
      </c>
      <c r="Z112" s="32" t="s">
        <v>193</v>
      </c>
      <c r="AA112" s="32" t="s">
        <v>193</v>
      </c>
      <c r="AB112" s="32"/>
      <c r="AC112" s="32" t="s">
        <v>1094</v>
      </c>
      <c r="AD112" s="32">
        <v>1924</v>
      </c>
      <c r="AE112" s="32">
        <v>0</v>
      </c>
      <c r="AF112" s="32">
        <v>0</v>
      </c>
      <c r="AG112" s="32">
        <v>0</v>
      </c>
      <c r="AH112" s="32">
        <v>0</v>
      </c>
      <c r="AI112" s="32">
        <v>0</v>
      </c>
      <c r="AJ112" s="32" t="s">
        <v>965</v>
      </c>
      <c r="AK112" s="32">
        <v>0</v>
      </c>
      <c r="AL112" s="32">
        <v>0</v>
      </c>
      <c r="AM112" s="32">
        <v>0</v>
      </c>
      <c r="AN112" s="32">
        <v>0</v>
      </c>
      <c r="AO112" s="32">
        <v>0</v>
      </c>
      <c r="AP112" s="32"/>
      <c r="AQ112" s="32">
        <v>0</v>
      </c>
      <c r="AR112" s="32">
        <v>0</v>
      </c>
      <c r="AS112" s="32">
        <v>470720.49</v>
      </c>
      <c r="AT112" s="32" t="s">
        <v>169</v>
      </c>
      <c r="AU112" s="32" t="s">
        <v>170</v>
      </c>
      <c r="AV112" s="32" t="s">
        <v>157</v>
      </c>
      <c r="AW112" s="32" t="s">
        <v>171</v>
      </c>
      <c r="AX112" s="32" t="s">
        <v>966</v>
      </c>
      <c r="AY112" s="32">
        <v>0</v>
      </c>
      <c r="AZ112" s="32">
        <v>169565</v>
      </c>
      <c r="BA112" s="32">
        <v>318</v>
      </c>
      <c r="BB112" s="31">
        <v>46216</v>
      </c>
      <c r="BC112" s="32" t="s">
        <v>172</v>
      </c>
      <c r="BD112" s="32" t="s">
        <v>967</v>
      </c>
      <c r="BE112" s="32" t="s">
        <v>967</v>
      </c>
      <c r="BF112" s="32">
        <v>2.5</v>
      </c>
      <c r="BG112" s="32">
        <v>4239.12</v>
      </c>
      <c r="BH112" s="32">
        <v>2.5</v>
      </c>
      <c r="BI112" s="32">
        <v>4239.12</v>
      </c>
      <c r="BJ112" s="32">
        <v>0</v>
      </c>
      <c r="BK112" s="32">
        <v>0</v>
      </c>
      <c r="BL112" s="32">
        <v>470720.49</v>
      </c>
      <c r="BM112" s="32">
        <v>672143939787</v>
      </c>
      <c r="BN112" s="31">
        <v>46215</v>
      </c>
      <c r="BO112" s="32">
        <v>1100</v>
      </c>
    </row>
    <row r="113" spans="1:67" x14ac:dyDescent="0.25">
      <c r="A113" s="21"/>
      <c r="B113" s="32" t="s">
        <v>167</v>
      </c>
      <c r="C113" s="31">
        <v>46216</v>
      </c>
      <c r="D113" s="32" t="s">
        <v>1091</v>
      </c>
      <c r="E113" s="32" t="s">
        <v>1025</v>
      </c>
      <c r="F113" s="32" t="s">
        <v>709</v>
      </c>
      <c r="G113" s="32" t="s">
        <v>1092</v>
      </c>
      <c r="H113" s="32">
        <v>1375</v>
      </c>
      <c r="I113" s="32">
        <v>1375</v>
      </c>
      <c r="J113" s="32" t="s">
        <v>168</v>
      </c>
      <c r="K113" s="32">
        <v>1375</v>
      </c>
      <c r="L113" s="32">
        <v>0</v>
      </c>
      <c r="M113" s="32">
        <v>1375</v>
      </c>
      <c r="N113" s="32" t="s">
        <v>1093</v>
      </c>
      <c r="O113" s="32" t="s">
        <v>676</v>
      </c>
      <c r="P113" s="32" t="s">
        <v>676</v>
      </c>
      <c r="Q113" s="32" t="s">
        <v>789</v>
      </c>
      <c r="R113" s="31">
        <v>46215</v>
      </c>
      <c r="S113" s="32" t="s">
        <v>987</v>
      </c>
      <c r="T113" s="32" t="s">
        <v>988</v>
      </c>
      <c r="U113" s="32" t="s">
        <v>788</v>
      </c>
      <c r="V113" s="32">
        <v>151.15</v>
      </c>
      <c r="W113" s="32">
        <v>151.15</v>
      </c>
      <c r="X113" s="32" t="s">
        <v>789</v>
      </c>
      <c r="Y113" s="31">
        <v>46215</v>
      </c>
      <c r="Z113" s="32" t="s">
        <v>193</v>
      </c>
      <c r="AA113" s="32" t="s">
        <v>193</v>
      </c>
      <c r="AB113" s="32"/>
      <c r="AC113" s="32" t="s">
        <v>1094</v>
      </c>
      <c r="AD113" s="32">
        <v>1924</v>
      </c>
      <c r="AE113" s="32">
        <v>0</v>
      </c>
      <c r="AF113" s="32">
        <v>0</v>
      </c>
      <c r="AG113" s="32">
        <v>0</v>
      </c>
      <c r="AH113" s="32">
        <v>0</v>
      </c>
      <c r="AI113" s="32">
        <v>0</v>
      </c>
      <c r="AJ113" s="32" t="s">
        <v>965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/>
      <c r="AQ113" s="32">
        <v>0</v>
      </c>
      <c r="AR113" s="32">
        <v>0</v>
      </c>
      <c r="AS113" s="32">
        <v>470720.49</v>
      </c>
      <c r="AT113" s="32" t="s">
        <v>169</v>
      </c>
      <c r="AU113" s="32" t="s">
        <v>170</v>
      </c>
      <c r="AV113" s="32" t="s">
        <v>157</v>
      </c>
      <c r="AW113" s="32" t="s">
        <v>171</v>
      </c>
      <c r="AX113" s="32" t="s">
        <v>966</v>
      </c>
      <c r="AY113" s="32">
        <v>0</v>
      </c>
      <c r="AZ113" s="32">
        <v>207831.25</v>
      </c>
      <c r="BA113" s="32">
        <v>318</v>
      </c>
      <c r="BB113" s="31">
        <v>46216</v>
      </c>
      <c r="BC113" s="32" t="s">
        <v>172</v>
      </c>
      <c r="BD113" s="32" t="s">
        <v>967</v>
      </c>
      <c r="BE113" s="32" t="s">
        <v>967</v>
      </c>
      <c r="BF113" s="32">
        <v>2.5</v>
      </c>
      <c r="BG113" s="32">
        <v>5195.78</v>
      </c>
      <c r="BH113" s="32">
        <v>2.5</v>
      </c>
      <c r="BI113" s="32">
        <v>5195.78</v>
      </c>
      <c r="BJ113" s="32">
        <v>0</v>
      </c>
      <c r="BK113" s="32">
        <v>0</v>
      </c>
      <c r="BL113" s="32">
        <v>0</v>
      </c>
      <c r="BM113" s="32">
        <v>672143939787</v>
      </c>
      <c r="BN113" s="31">
        <v>46215</v>
      </c>
      <c r="BO113" s="32">
        <v>1375</v>
      </c>
    </row>
    <row r="114" spans="1:67" x14ac:dyDescent="0.25">
      <c r="A114" s="21"/>
      <c r="B114" s="32" t="s">
        <v>167</v>
      </c>
      <c r="C114" s="31">
        <v>46216</v>
      </c>
      <c r="D114" s="32" t="s">
        <v>1091</v>
      </c>
      <c r="E114" s="32" t="s">
        <v>1095</v>
      </c>
      <c r="F114" s="32" t="s">
        <v>790</v>
      </c>
      <c r="G114" s="32" t="s">
        <v>1092</v>
      </c>
      <c r="H114" s="32">
        <v>460</v>
      </c>
      <c r="I114" s="32">
        <v>460</v>
      </c>
      <c r="J114" s="32" t="s">
        <v>168</v>
      </c>
      <c r="K114" s="32">
        <v>460</v>
      </c>
      <c r="L114" s="32">
        <v>0</v>
      </c>
      <c r="M114" s="32">
        <v>460</v>
      </c>
      <c r="N114" s="32" t="s">
        <v>1093</v>
      </c>
      <c r="O114" s="32" t="s">
        <v>676</v>
      </c>
      <c r="P114" s="32" t="s">
        <v>676</v>
      </c>
      <c r="Q114" s="32" t="s">
        <v>789</v>
      </c>
      <c r="R114" s="31">
        <v>46215</v>
      </c>
      <c r="S114" s="32" t="s">
        <v>987</v>
      </c>
      <c r="T114" s="32" t="s">
        <v>988</v>
      </c>
      <c r="U114" s="32" t="s">
        <v>788</v>
      </c>
      <c r="V114" s="32">
        <v>154.15</v>
      </c>
      <c r="W114" s="32">
        <v>154.15</v>
      </c>
      <c r="X114" s="32" t="s">
        <v>789</v>
      </c>
      <c r="Y114" s="31">
        <v>46215</v>
      </c>
      <c r="Z114" s="32" t="s">
        <v>193</v>
      </c>
      <c r="AA114" s="32" t="s">
        <v>193</v>
      </c>
      <c r="AB114" s="32"/>
      <c r="AC114" s="32" t="s">
        <v>1094</v>
      </c>
      <c r="AD114" s="32">
        <v>1924</v>
      </c>
      <c r="AE114" s="32">
        <v>0</v>
      </c>
      <c r="AF114" s="32">
        <v>0</v>
      </c>
      <c r="AG114" s="32">
        <v>0</v>
      </c>
      <c r="AH114" s="32">
        <v>0</v>
      </c>
      <c r="AI114" s="32">
        <v>0</v>
      </c>
      <c r="AJ114" s="32" t="s">
        <v>965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/>
      <c r="AQ114" s="32">
        <v>0</v>
      </c>
      <c r="AR114" s="32">
        <v>0</v>
      </c>
      <c r="AS114" s="32">
        <v>470720.49</v>
      </c>
      <c r="AT114" s="32" t="s">
        <v>169</v>
      </c>
      <c r="AU114" s="32" t="s">
        <v>170</v>
      </c>
      <c r="AV114" s="32" t="s">
        <v>157</v>
      </c>
      <c r="AW114" s="32" t="s">
        <v>171</v>
      </c>
      <c r="AX114" s="32" t="s">
        <v>966</v>
      </c>
      <c r="AY114" s="32">
        <v>0</v>
      </c>
      <c r="AZ114" s="32">
        <v>70909</v>
      </c>
      <c r="BA114" s="32">
        <v>318</v>
      </c>
      <c r="BB114" s="31">
        <v>46216</v>
      </c>
      <c r="BC114" s="32" t="s">
        <v>172</v>
      </c>
      <c r="BD114" s="32" t="s">
        <v>967</v>
      </c>
      <c r="BE114" s="32" t="s">
        <v>967</v>
      </c>
      <c r="BF114" s="32">
        <v>2.5</v>
      </c>
      <c r="BG114" s="32">
        <v>1772.72</v>
      </c>
      <c r="BH114" s="32">
        <v>2.5</v>
      </c>
      <c r="BI114" s="32">
        <v>1772.72</v>
      </c>
      <c r="BJ114" s="32">
        <v>0</v>
      </c>
      <c r="BK114" s="32">
        <v>0</v>
      </c>
      <c r="BL114" s="32">
        <v>0</v>
      </c>
      <c r="BM114" s="32">
        <v>672143939787</v>
      </c>
      <c r="BN114" s="31">
        <v>46215</v>
      </c>
      <c r="BO114" s="32">
        <v>460</v>
      </c>
    </row>
    <row r="115" spans="1:67" x14ac:dyDescent="0.25">
      <c r="A115" s="21"/>
      <c r="B115" s="32" t="s">
        <v>167</v>
      </c>
      <c r="C115" s="31">
        <v>46216</v>
      </c>
      <c r="D115" s="32" t="s">
        <v>1096</v>
      </c>
      <c r="E115" s="32" t="s">
        <v>190</v>
      </c>
      <c r="F115" s="32" t="s">
        <v>191</v>
      </c>
      <c r="G115" s="32" t="s">
        <v>1097</v>
      </c>
      <c r="H115" s="32">
        <v>2441.1</v>
      </c>
      <c r="I115" s="32">
        <v>2441.1</v>
      </c>
      <c r="J115" s="32" t="s">
        <v>168</v>
      </c>
      <c r="K115" s="32">
        <v>2441.1</v>
      </c>
      <c r="L115" s="32">
        <v>0</v>
      </c>
      <c r="M115" s="32">
        <v>2441.1</v>
      </c>
      <c r="N115" s="32" t="s">
        <v>1098</v>
      </c>
      <c r="O115" s="32" t="s">
        <v>676</v>
      </c>
      <c r="P115" s="32" t="s">
        <v>676</v>
      </c>
      <c r="Q115" s="32" t="s">
        <v>792</v>
      </c>
      <c r="R115" s="31">
        <v>46215</v>
      </c>
      <c r="S115" s="32" t="s">
        <v>987</v>
      </c>
      <c r="T115" s="32" t="s">
        <v>988</v>
      </c>
      <c r="U115" s="32" t="s">
        <v>791</v>
      </c>
      <c r="V115" s="32">
        <v>213.05</v>
      </c>
      <c r="W115" s="32">
        <v>213.050001253076</v>
      </c>
      <c r="X115" s="32" t="s">
        <v>792</v>
      </c>
      <c r="Y115" s="31">
        <v>46215</v>
      </c>
      <c r="Z115" s="32" t="s">
        <v>193</v>
      </c>
      <c r="AA115" s="32" t="s">
        <v>193</v>
      </c>
      <c r="AB115" s="32"/>
      <c r="AC115" s="32" t="s">
        <v>1099</v>
      </c>
      <c r="AD115" s="32">
        <v>2285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 t="s">
        <v>965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/>
      <c r="AQ115" s="32">
        <v>0</v>
      </c>
      <c r="AR115" s="32">
        <v>0</v>
      </c>
      <c r="AS115" s="32">
        <v>850107.97</v>
      </c>
      <c r="AT115" s="32" t="s">
        <v>192</v>
      </c>
      <c r="AU115" s="32" t="s">
        <v>152</v>
      </c>
      <c r="AV115" s="32" t="s">
        <v>152</v>
      </c>
      <c r="AW115" s="32" t="s">
        <v>171</v>
      </c>
      <c r="AX115" s="32" t="s">
        <v>966</v>
      </c>
      <c r="AY115" s="32">
        <v>0</v>
      </c>
      <c r="AZ115" s="32">
        <v>520076.36</v>
      </c>
      <c r="BA115" s="32">
        <v>319</v>
      </c>
      <c r="BB115" s="31">
        <v>46216</v>
      </c>
      <c r="BC115" s="32" t="s">
        <v>172</v>
      </c>
      <c r="BD115" s="32" t="s">
        <v>967</v>
      </c>
      <c r="BE115" s="32" t="s">
        <v>967</v>
      </c>
      <c r="BF115" s="32">
        <v>9</v>
      </c>
      <c r="BG115" s="32">
        <v>46806.87</v>
      </c>
      <c r="BH115" s="32">
        <v>9</v>
      </c>
      <c r="BI115" s="32">
        <v>46806.87</v>
      </c>
      <c r="BJ115" s="32">
        <v>0</v>
      </c>
      <c r="BK115" s="32">
        <v>0</v>
      </c>
      <c r="BL115" s="32">
        <v>850107.97</v>
      </c>
      <c r="BM115" s="32">
        <v>622143966595</v>
      </c>
      <c r="BN115" s="31">
        <v>46215</v>
      </c>
      <c r="BO115" s="32">
        <v>2441.1</v>
      </c>
    </row>
    <row r="116" spans="1:67" x14ac:dyDescent="0.25">
      <c r="A116" s="21"/>
      <c r="B116" s="32" t="s">
        <v>167</v>
      </c>
      <c r="C116" s="31">
        <v>46216</v>
      </c>
      <c r="D116" s="32" t="s">
        <v>1096</v>
      </c>
      <c r="E116" s="32" t="s">
        <v>190</v>
      </c>
      <c r="F116" s="32" t="s">
        <v>191</v>
      </c>
      <c r="G116" s="32" t="s">
        <v>1097</v>
      </c>
      <c r="H116" s="32">
        <v>801</v>
      </c>
      <c r="I116" s="32">
        <v>801</v>
      </c>
      <c r="J116" s="32" t="s">
        <v>168</v>
      </c>
      <c r="K116" s="32">
        <v>801</v>
      </c>
      <c r="L116" s="32">
        <v>0</v>
      </c>
      <c r="M116" s="32">
        <v>801</v>
      </c>
      <c r="N116" s="32" t="s">
        <v>1098</v>
      </c>
      <c r="O116" s="32" t="s">
        <v>676</v>
      </c>
      <c r="P116" s="32" t="s">
        <v>676</v>
      </c>
      <c r="Q116" s="32" t="s">
        <v>792</v>
      </c>
      <c r="R116" s="31">
        <v>46215</v>
      </c>
      <c r="S116" s="32" t="s">
        <v>987</v>
      </c>
      <c r="T116" s="32" t="s">
        <v>988</v>
      </c>
      <c r="U116" s="32" t="s">
        <v>791</v>
      </c>
      <c r="V116" s="32">
        <v>250.13</v>
      </c>
      <c r="W116" s="32">
        <v>250.130001471166</v>
      </c>
      <c r="X116" s="32" t="s">
        <v>792</v>
      </c>
      <c r="Y116" s="31">
        <v>46215</v>
      </c>
      <c r="Z116" s="32" t="s">
        <v>193</v>
      </c>
      <c r="AA116" s="32" t="s">
        <v>193</v>
      </c>
      <c r="AB116" s="32"/>
      <c r="AC116" s="32" t="s">
        <v>1099</v>
      </c>
      <c r="AD116" s="32">
        <v>2285</v>
      </c>
      <c r="AE116" s="32">
        <v>0</v>
      </c>
      <c r="AF116" s="32">
        <v>0</v>
      </c>
      <c r="AG116" s="32">
        <v>0</v>
      </c>
      <c r="AH116" s="32">
        <v>0</v>
      </c>
      <c r="AI116" s="32">
        <v>0</v>
      </c>
      <c r="AJ116" s="32" t="s">
        <v>965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/>
      <c r="AQ116" s="32">
        <v>0</v>
      </c>
      <c r="AR116" s="32">
        <v>0</v>
      </c>
      <c r="AS116" s="32">
        <v>850107.97</v>
      </c>
      <c r="AT116" s="32" t="s">
        <v>192</v>
      </c>
      <c r="AU116" s="32" t="s">
        <v>152</v>
      </c>
      <c r="AV116" s="32" t="s">
        <v>152</v>
      </c>
      <c r="AW116" s="32" t="s">
        <v>171</v>
      </c>
      <c r="AX116" s="32" t="s">
        <v>966</v>
      </c>
      <c r="AY116" s="32">
        <v>0</v>
      </c>
      <c r="AZ116" s="32">
        <v>200354.13</v>
      </c>
      <c r="BA116" s="32">
        <v>319</v>
      </c>
      <c r="BB116" s="31">
        <v>46216</v>
      </c>
      <c r="BC116" s="32" t="s">
        <v>172</v>
      </c>
      <c r="BD116" s="32" t="s">
        <v>967</v>
      </c>
      <c r="BE116" s="32" t="s">
        <v>967</v>
      </c>
      <c r="BF116" s="32">
        <v>9</v>
      </c>
      <c r="BG116" s="32">
        <v>18031.87</v>
      </c>
      <c r="BH116" s="32">
        <v>9</v>
      </c>
      <c r="BI116" s="32">
        <v>18031.87</v>
      </c>
      <c r="BJ116" s="32">
        <v>0</v>
      </c>
      <c r="BK116" s="32">
        <v>0</v>
      </c>
      <c r="BL116" s="32">
        <v>0</v>
      </c>
      <c r="BM116" s="32">
        <v>622143966595</v>
      </c>
      <c r="BN116" s="31">
        <v>46215</v>
      </c>
      <c r="BO116" s="32">
        <v>801</v>
      </c>
    </row>
    <row r="117" spans="1:67" x14ac:dyDescent="0.25">
      <c r="A117" s="21"/>
      <c r="B117" s="32" t="s">
        <v>167</v>
      </c>
      <c r="C117" s="31">
        <v>46216</v>
      </c>
      <c r="D117" s="32" t="s">
        <v>1100</v>
      </c>
      <c r="E117" s="32" t="s">
        <v>173</v>
      </c>
      <c r="F117" s="32" t="s">
        <v>174</v>
      </c>
      <c r="G117" s="32" t="s">
        <v>1101</v>
      </c>
      <c r="H117" s="32">
        <v>52</v>
      </c>
      <c r="I117" s="32">
        <v>52</v>
      </c>
      <c r="J117" s="32" t="s">
        <v>168</v>
      </c>
      <c r="K117" s="32">
        <v>52</v>
      </c>
      <c r="L117" s="32">
        <v>0</v>
      </c>
      <c r="M117" s="32">
        <v>52</v>
      </c>
      <c r="N117" s="32" t="s">
        <v>960</v>
      </c>
      <c r="O117" s="32" t="s">
        <v>654</v>
      </c>
      <c r="P117" s="32" t="s">
        <v>654</v>
      </c>
      <c r="Q117" s="32" t="s">
        <v>794</v>
      </c>
      <c r="R117" s="31">
        <v>46216</v>
      </c>
      <c r="S117" s="32" t="s">
        <v>987</v>
      </c>
      <c r="T117" s="32" t="s">
        <v>988</v>
      </c>
      <c r="U117" s="32" t="s">
        <v>793</v>
      </c>
      <c r="V117" s="32">
        <v>182.78</v>
      </c>
      <c r="W117" s="32">
        <v>182.78</v>
      </c>
      <c r="X117" s="32" t="s">
        <v>794</v>
      </c>
      <c r="Y117" s="31">
        <v>46216</v>
      </c>
      <c r="Z117" s="32" t="s">
        <v>193</v>
      </c>
      <c r="AA117" s="32" t="s">
        <v>193</v>
      </c>
      <c r="AB117" s="32"/>
      <c r="AC117" s="32" t="s">
        <v>193</v>
      </c>
      <c r="AD117" s="32" t="s">
        <v>193</v>
      </c>
      <c r="AE117" s="32">
        <v>0</v>
      </c>
      <c r="AF117" s="32">
        <v>0</v>
      </c>
      <c r="AG117" s="32">
        <v>0</v>
      </c>
      <c r="AH117" s="32">
        <v>0</v>
      </c>
      <c r="AI117" s="32">
        <v>0</v>
      </c>
      <c r="AJ117" s="32" t="s">
        <v>965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/>
      <c r="AQ117" s="32">
        <v>0</v>
      </c>
      <c r="AR117" s="32">
        <v>0</v>
      </c>
      <c r="AS117" s="32">
        <v>11215.38</v>
      </c>
      <c r="AT117" s="32" t="s">
        <v>169</v>
      </c>
      <c r="AU117" s="32" t="s">
        <v>176</v>
      </c>
      <c r="AV117" s="32" t="s">
        <v>159</v>
      </c>
      <c r="AW117" s="32" t="s">
        <v>171</v>
      </c>
      <c r="AX117" s="32" t="s">
        <v>966</v>
      </c>
      <c r="AY117" s="32">
        <v>0</v>
      </c>
      <c r="AZ117" s="32">
        <v>9504.56</v>
      </c>
      <c r="BA117" s="32">
        <v>321</v>
      </c>
      <c r="BB117" s="31">
        <v>46216</v>
      </c>
      <c r="BC117" s="32" t="s">
        <v>177</v>
      </c>
      <c r="BD117" s="32" t="s">
        <v>967</v>
      </c>
      <c r="BE117" s="32" t="s">
        <v>967</v>
      </c>
      <c r="BF117" s="32">
        <v>9</v>
      </c>
      <c r="BG117" s="32">
        <v>855.41</v>
      </c>
      <c r="BH117" s="32">
        <v>9</v>
      </c>
      <c r="BI117" s="32">
        <v>855.41</v>
      </c>
      <c r="BJ117" s="32">
        <v>0</v>
      </c>
      <c r="BK117" s="32">
        <v>0</v>
      </c>
      <c r="BL117" s="32">
        <v>11215.38</v>
      </c>
      <c r="BM117" s="32">
        <v>612144089661</v>
      </c>
      <c r="BN117" s="31">
        <v>46216</v>
      </c>
      <c r="BO117" s="32">
        <v>52</v>
      </c>
    </row>
    <row r="118" spans="1:67" x14ac:dyDescent="0.25">
      <c r="A118" s="21"/>
      <c r="B118" s="32" t="s">
        <v>167</v>
      </c>
      <c r="C118" s="31">
        <v>46216</v>
      </c>
      <c r="D118" s="32" t="s">
        <v>1102</v>
      </c>
      <c r="E118" s="32" t="s">
        <v>186</v>
      </c>
      <c r="F118" s="32" t="s">
        <v>187</v>
      </c>
      <c r="G118" s="32" t="s">
        <v>1103</v>
      </c>
      <c r="H118" s="32">
        <v>1640</v>
      </c>
      <c r="I118" s="32">
        <v>1640</v>
      </c>
      <c r="J118" s="32" t="s">
        <v>168</v>
      </c>
      <c r="K118" s="32">
        <v>1640</v>
      </c>
      <c r="L118" s="32">
        <v>0</v>
      </c>
      <c r="M118" s="32">
        <v>1640</v>
      </c>
      <c r="N118" s="32" t="s">
        <v>1104</v>
      </c>
      <c r="O118" s="32" t="s">
        <v>659</v>
      </c>
      <c r="P118" s="32" t="s">
        <v>659</v>
      </c>
      <c r="Q118" s="32" t="s">
        <v>798</v>
      </c>
      <c r="R118" s="31">
        <v>46215</v>
      </c>
      <c r="S118" s="32" t="s">
        <v>987</v>
      </c>
      <c r="T118" s="32" t="s">
        <v>988</v>
      </c>
      <c r="U118" s="32" t="s">
        <v>797</v>
      </c>
      <c r="V118" s="32">
        <v>122</v>
      </c>
      <c r="W118" s="32">
        <v>122</v>
      </c>
      <c r="X118" s="32" t="s">
        <v>798</v>
      </c>
      <c r="Y118" s="31">
        <v>46215</v>
      </c>
      <c r="Z118" s="32" t="s">
        <v>193</v>
      </c>
      <c r="AA118" s="32" t="s">
        <v>193</v>
      </c>
      <c r="AB118" s="32"/>
      <c r="AC118" s="32" t="s">
        <v>1069</v>
      </c>
      <c r="AD118" s="32">
        <v>2345</v>
      </c>
      <c r="AE118" s="32">
        <v>0</v>
      </c>
      <c r="AF118" s="32">
        <v>0</v>
      </c>
      <c r="AG118" s="32">
        <v>0</v>
      </c>
      <c r="AH118" s="32">
        <v>0</v>
      </c>
      <c r="AI118" s="32">
        <v>0</v>
      </c>
      <c r="AJ118" s="32" t="s">
        <v>965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/>
      <c r="AQ118" s="32">
        <v>0</v>
      </c>
      <c r="AR118" s="32">
        <v>0</v>
      </c>
      <c r="AS118" s="32">
        <v>236094.4</v>
      </c>
      <c r="AT118" s="32" t="s">
        <v>169</v>
      </c>
      <c r="AU118" s="32" t="s">
        <v>180</v>
      </c>
      <c r="AV118" s="32" t="s">
        <v>155</v>
      </c>
      <c r="AW118" s="32" t="s">
        <v>171</v>
      </c>
      <c r="AX118" s="32" t="s">
        <v>966</v>
      </c>
      <c r="AY118" s="32">
        <v>0</v>
      </c>
      <c r="AZ118" s="32">
        <v>200080</v>
      </c>
      <c r="BA118" s="32">
        <v>320</v>
      </c>
      <c r="BB118" s="31">
        <v>46216</v>
      </c>
      <c r="BC118" s="32" t="s">
        <v>177</v>
      </c>
      <c r="BD118" s="32" t="s">
        <v>967</v>
      </c>
      <c r="BE118" s="32" t="s">
        <v>967</v>
      </c>
      <c r="BF118" s="32">
        <v>9</v>
      </c>
      <c r="BG118" s="32">
        <v>18007.2</v>
      </c>
      <c r="BH118" s="32">
        <v>9</v>
      </c>
      <c r="BI118" s="32">
        <v>18007.2</v>
      </c>
      <c r="BJ118" s="32">
        <v>0</v>
      </c>
      <c r="BK118" s="32">
        <v>0</v>
      </c>
      <c r="BL118" s="32">
        <v>236094.4</v>
      </c>
      <c r="BM118" s="32">
        <v>642143941192</v>
      </c>
      <c r="BN118" s="31">
        <v>46215</v>
      </c>
      <c r="BO118" s="32">
        <v>1640</v>
      </c>
    </row>
    <row r="119" spans="1:67" x14ac:dyDescent="0.25">
      <c r="A119" s="21"/>
      <c r="B119" s="32" t="s">
        <v>167</v>
      </c>
      <c r="C119" s="31">
        <v>46216</v>
      </c>
      <c r="D119" s="32" t="s">
        <v>1105</v>
      </c>
      <c r="E119" s="32" t="s">
        <v>186</v>
      </c>
      <c r="F119" s="32" t="s">
        <v>187</v>
      </c>
      <c r="G119" s="32" t="s">
        <v>1106</v>
      </c>
      <c r="H119" s="32">
        <v>2100</v>
      </c>
      <c r="I119" s="32">
        <v>2100</v>
      </c>
      <c r="J119" s="32" t="s">
        <v>168</v>
      </c>
      <c r="K119" s="32">
        <v>2100</v>
      </c>
      <c r="L119" s="32">
        <v>0</v>
      </c>
      <c r="M119" s="32">
        <v>2100</v>
      </c>
      <c r="N119" s="32" t="s">
        <v>1107</v>
      </c>
      <c r="O119" s="32" t="s">
        <v>665</v>
      </c>
      <c r="P119" s="32" t="s">
        <v>665</v>
      </c>
      <c r="Q119" s="32" t="s">
        <v>784</v>
      </c>
      <c r="R119" s="31">
        <v>46215</v>
      </c>
      <c r="S119" s="32" t="s">
        <v>987</v>
      </c>
      <c r="T119" s="32" t="s">
        <v>988</v>
      </c>
      <c r="U119" s="32" t="s">
        <v>783</v>
      </c>
      <c r="V119" s="32">
        <v>156.49</v>
      </c>
      <c r="W119" s="32">
        <v>156.49</v>
      </c>
      <c r="X119" s="32" t="s">
        <v>784</v>
      </c>
      <c r="Y119" s="31">
        <v>46215</v>
      </c>
      <c r="Z119" s="32"/>
      <c r="AA119" s="32">
        <v>0</v>
      </c>
      <c r="AB119" s="32"/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 t="s">
        <v>965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/>
      <c r="AQ119" s="32">
        <v>0</v>
      </c>
      <c r="AR119" s="32">
        <v>0</v>
      </c>
      <c r="AS119" s="32">
        <v>387782.22</v>
      </c>
      <c r="AT119" s="32" t="s">
        <v>169</v>
      </c>
      <c r="AU119" s="32" t="s">
        <v>180</v>
      </c>
      <c r="AV119" s="32" t="s">
        <v>155</v>
      </c>
      <c r="AW119" s="32" t="s">
        <v>171</v>
      </c>
      <c r="AX119" s="32" t="s">
        <v>966</v>
      </c>
      <c r="AY119" s="32">
        <v>0</v>
      </c>
      <c r="AZ119" s="32">
        <v>328629</v>
      </c>
      <c r="BA119" s="32">
        <v>322</v>
      </c>
      <c r="BB119" s="31">
        <v>46216</v>
      </c>
      <c r="BC119" s="32" t="s">
        <v>189</v>
      </c>
      <c r="BD119" s="32" t="s">
        <v>967</v>
      </c>
      <c r="BE119" s="32" t="s">
        <v>967</v>
      </c>
      <c r="BF119" s="32">
        <v>9</v>
      </c>
      <c r="BG119" s="32">
        <v>29576.61</v>
      </c>
      <c r="BH119" s="32">
        <v>9</v>
      </c>
      <c r="BI119" s="32">
        <v>29576.61</v>
      </c>
      <c r="BJ119" s="32">
        <v>0</v>
      </c>
      <c r="BK119" s="32">
        <v>0</v>
      </c>
      <c r="BL119" s="32">
        <v>387782.22</v>
      </c>
      <c r="BM119" s="32">
        <v>632143939181</v>
      </c>
      <c r="BN119" s="31">
        <v>46215</v>
      </c>
      <c r="BO119" s="32">
        <v>2100</v>
      </c>
    </row>
    <row r="120" spans="1:67" x14ac:dyDescent="0.25">
      <c r="A120" s="21"/>
      <c r="B120" s="32" t="s">
        <v>167</v>
      </c>
      <c r="C120" s="31">
        <v>46216</v>
      </c>
      <c r="D120" s="32" t="s">
        <v>1108</v>
      </c>
      <c r="E120" s="32" t="s">
        <v>186</v>
      </c>
      <c r="F120" s="32" t="s">
        <v>187</v>
      </c>
      <c r="G120" s="32" t="s">
        <v>1109</v>
      </c>
      <c r="H120" s="32">
        <v>320</v>
      </c>
      <c r="I120" s="32">
        <v>320</v>
      </c>
      <c r="J120" s="32" t="s">
        <v>168</v>
      </c>
      <c r="K120" s="32">
        <v>320</v>
      </c>
      <c r="L120" s="32">
        <v>0</v>
      </c>
      <c r="M120" s="32">
        <v>320</v>
      </c>
      <c r="N120" s="32" t="s">
        <v>175</v>
      </c>
      <c r="O120" s="32" t="s">
        <v>654</v>
      </c>
      <c r="P120" s="32" t="s">
        <v>654</v>
      </c>
      <c r="Q120" s="32" t="s">
        <v>796</v>
      </c>
      <c r="R120" s="31">
        <v>46216</v>
      </c>
      <c r="S120" s="32" t="s">
        <v>987</v>
      </c>
      <c r="T120" s="32" t="s">
        <v>988</v>
      </c>
      <c r="U120" s="32" t="s">
        <v>795</v>
      </c>
      <c r="V120" s="32">
        <v>144.49</v>
      </c>
      <c r="W120" s="32">
        <v>144.489999579791</v>
      </c>
      <c r="X120" s="32" t="s">
        <v>796</v>
      </c>
      <c r="Y120" s="31">
        <v>46216</v>
      </c>
      <c r="Z120" s="32" t="s">
        <v>193</v>
      </c>
      <c r="AA120" s="32" t="s">
        <v>193</v>
      </c>
      <c r="AB120" s="32"/>
      <c r="AC120" s="32" t="s">
        <v>193</v>
      </c>
      <c r="AD120" s="32" t="s">
        <v>193</v>
      </c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 t="s">
        <v>965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>
        <v>0</v>
      </c>
      <c r="AR120" s="32">
        <v>0</v>
      </c>
      <c r="AS120" s="32">
        <v>1031557.1</v>
      </c>
      <c r="AT120" s="32" t="s">
        <v>169</v>
      </c>
      <c r="AU120" s="32" t="s">
        <v>180</v>
      </c>
      <c r="AV120" s="32" t="s">
        <v>155</v>
      </c>
      <c r="AW120" s="32" t="s">
        <v>171</v>
      </c>
      <c r="AX120" s="32" t="s">
        <v>966</v>
      </c>
      <c r="AY120" s="32">
        <v>0</v>
      </c>
      <c r="AZ120" s="32">
        <v>46236.800000000003</v>
      </c>
      <c r="BA120" s="32">
        <v>324</v>
      </c>
      <c r="BB120" s="31">
        <v>46216</v>
      </c>
      <c r="BC120" s="32" t="s">
        <v>177</v>
      </c>
      <c r="BD120" s="32" t="s">
        <v>967</v>
      </c>
      <c r="BE120" s="32" t="s">
        <v>967</v>
      </c>
      <c r="BF120" s="32">
        <v>9</v>
      </c>
      <c r="BG120" s="32">
        <v>4161.3100000000004</v>
      </c>
      <c r="BH120" s="32">
        <v>9</v>
      </c>
      <c r="BI120" s="32">
        <v>4161.3100000000004</v>
      </c>
      <c r="BJ120" s="32">
        <v>0</v>
      </c>
      <c r="BK120" s="32">
        <v>0</v>
      </c>
      <c r="BL120" s="32">
        <v>1031557.1</v>
      </c>
      <c r="BM120" s="32">
        <v>692144479051</v>
      </c>
      <c r="BN120" s="31">
        <v>46216</v>
      </c>
      <c r="BO120" s="32">
        <v>320</v>
      </c>
    </row>
    <row r="121" spans="1:67" x14ac:dyDescent="0.25">
      <c r="A121" s="21"/>
      <c r="B121" s="32" t="s">
        <v>167</v>
      </c>
      <c r="C121" s="31">
        <v>46216</v>
      </c>
      <c r="D121" s="32" t="s">
        <v>1108</v>
      </c>
      <c r="E121" s="32" t="s">
        <v>186</v>
      </c>
      <c r="F121" s="32" t="s">
        <v>187</v>
      </c>
      <c r="G121" s="32" t="s">
        <v>1109</v>
      </c>
      <c r="H121" s="32">
        <v>277</v>
      </c>
      <c r="I121" s="32">
        <v>277</v>
      </c>
      <c r="J121" s="32" t="s">
        <v>168</v>
      </c>
      <c r="K121" s="32">
        <v>277</v>
      </c>
      <c r="L121" s="32">
        <v>0</v>
      </c>
      <c r="M121" s="32">
        <v>277</v>
      </c>
      <c r="N121" s="32" t="s">
        <v>175</v>
      </c>
      <c r="O121" s="32" t="s">
        <v>654</v>
      </c>
      <c r="P121" s="32" t="s">
        <v>654</v>
      </c>
      <c r="Q121" s="32" t="s">
        <v>796</v>
      </c>
      <c r="R121" s="31">
        <v>46216</v>
      </c>
      <c r="S121" s="32" t="s">
        <v>987</v>
      </c>
      <c r="T121" s="32" t="s">
        <v>988</v>
      </c>
      <c r="U121" s="32" t="s">
        <v>795</v>
      </c>
      <c r="V121" s="32">
        <v>146.49</v>
      </c>
      <c r="W121" s="32">
        <v>146.48999957397399</v>
      </c>
      <c r="X121" s="32" t="s">
        <v>796</v>
      </c>
      <c r="Y121" s="31">
        <v>46216</v>
      </c>
      <c r="Z121" s="32" t="s">
        <v>193</v>
      </c>
      <c r="AA121" s="32" t="s">
        <v>193</v>
      </c>
      <c r="AB121" s="32"/>
      <c r="AC121" s="32" t="s">
        <v>193</v>
      </c>
      <c r="AD121" s="32" t="s">
        <v>193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 t="s">
        <v>965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/>
      <c r="AQ121" s="32">
        <v>0</v>
      </c>
      <c r="AR121" s="32">
        <v>0</v>
      </c>
      <c r="AS121" s="32">
        <v>1031557.1</v>
      </c>
      <c r="AT121" s="32" t="s">
        <v>169</v>
      </c>
      <c r="AU121" s="32" t="s">
        <v>180</v>
      </c>
      <c r="AV121" s="32" t="s">
        <v>155</v>
      </c>
      <c r="AW121" s="32" t="s">
        <v>171</v>
      </c>
      <c r="AX121" s="32" t="s">
        <v>966</v>
      </c>
      <c r="AY121" s="32">
        <v>0</v>
      </c>
      <c r="AZ121" s="32">
        <v>40577.730000000003</v>
      </c>
      <c r="BA121" s="32">
        <v>324</v>
      </c>
      <c r="BB121" s="31">
        <v>46216</v>
      </c>
      <c r="BC121" s="32" t="s">
        <v>177</v>
      </c>
      <c r="BD121" s="32" t="s">
        <v>967</v>
      </c>
      <c r="BE121" s="32" t="s">
        <v>967</v>
      </c>
      <c r="BF121" s="32">
        <v>9</v>
      </c>
      <c r="BG121" s="32">
        <v>3652</v>
      </c>
      <c r="BH121" s="32">
        <v>9</v>
      </c>
      <c r="BI121" s="32">
        <v>3652</v>
      </c>
      <c r="BJ121" s="32">
        <v>0</v>
      </c>
      <c r="BK121" s="32">
        <v>0</v>
      </c>
      <c r="BL121" s="32">
        <v>0</v>
      </c>
      <c r="BM121" s="32">
        <v>692144479051</v>
      </c>
      <c r="BN121" s="31">
        <v>46216</v>
      </c>
      <c r="BO121" s="32">
        <v>277</v>
      </c>
    </row>
    <row r="122" spans="1:67" x14ac:dyDescent="0.25">
      <c r="A122" s="21"/>
      <c r="B122" s="32" t="s">
        <v>167</v>
      </c>
      <c r="C122" s="31">
        <v>46216</v>
      </c>
      <c r="D122" s="32" t="s">
        <v>1108</v>
      </c>
      <c r="E122" s="32" t="s">
        <v>186</v>
      </c>
      <c r="F122" s="32" t="s">
        <v>187</v>
      </c>
      <c r="G122" s="32" t="s">
        <v>1109</v>
      </c>
      <c r="H122" s="32">
        <v>736</v>
      </c>
      <c r="I122" s="32">
        <v>736</v>
      </c>
      <c r="J122" s="32" t="s">
        <v>168</v>
      </c>
      <c r="K122" s="32">
        <v>736</v>
      </c>
      <c r="L122" s="32">
        <v>0</v>
      </c>
      <c r="M122" s="32">
        <v>736</v>
      </c>
      <c r="N122" s="32" t="s">
        <v>175</v>
      </c>
      <c r="O122" s="32" t="s">
        <v>654</v>
      </c>
      <c r="P122" s="32" t="s">
        <v>654</v>
      </c>
      <c r="Q122" s="32" t="s">
        <v>796</v>
      </c>
      <c r="R122" s="31">
        <v>46216</v>
      </c>
      <c r="S122" s="32" t="s">
        <v>987</v>
      </c>
      <c r="T122" s="32" t="s">
        <v>988</v>
      </c>
      <c r="U122" s="32" t="s">
        <v>795</v>
      </c>
      <c r="V122" s="32">
        <v>152.49</v>
      </c>
      <c r="W122" s="32">
        <v>152.48999955652499</v>
      </c>
      <c r="X122" s="32" t="s">
        <v>796</v>
      </c>
      <c r="Y122" s="31">
        <v>46216</v>
      </c>
      <c r="Z122" s="32" t="s">
        <v>193</v>
      </c>
      <c r="AA122" s="32" t="s">
        <v>193</v>
      </c>
      <c r="AB122" s="32"/>
      <c r="AC122" s="32" t="s">
        <v>193</v>
      </c>
      <c r="AD122" s="32" t="s">
        <v>193</v>
      </c>
      <c r="AE122" s="32">
        <v>0</v>
      </c>
      <c r="AF122" s="32">
        <v>0</v>
      </c>
      <c r="AG122" s="32">
        <v>0</v>
      </c>
      <c r="AH122" s="32">
        <v>0</v>
      </c>
      <c r="AI122" s="32">
        <v>0</v>
      </c>
      <c r="AJ122" s="32" t="s">
        <v>965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/>
      <c r="AQ122" s="32">
        <v>0</v>
      </c>
      <c r="AR122" s="32">
        <v>0</v>
      </c>
      <c r="AS122" s="32">
        <v>1031557.1</v>
      </c>
      <c r="AT122" s="32" t="s">
        <v>169</v>
      </c>
      <c r="AU122" s="32" t="s">
        <v>180</v>
      </c>
      <c r="AV122" s="32" t="s">
        <v>155</v>
      </c>
      <c r="AW122" s="32" t="s">
        <v>171</v>
      </c>
      <c r="AX122" s="32" t="s">
        <v>966</v>
      </c>
      <c r="AY122" s="32">
        <v>0</v>
      </c>
      <c r="AZ122" s="32">
        <v>112232.64</v>
      </c>
      <c r="BA122" s="32">
        <v>324</v>
      </c>
      <c r="BB122" s="31">
        <v>46216</v>
      </c>
      <c r="BC122" s="32" t="s">
        <v>177</v>
      </c>
      <c r="BD122" s="32" t="s">
        <v>967</v>
      </c>
      <c r="BE122" s="32" t="s">
        <v>967</v>
      </c>
      <c r="BF122" s="32">
        <v>9</v>
      </c>
      <c r="BG122" s="32">
        <v>10100.94</v>
      </c>
      <c r="BH122" s="32">
        <v>9</v>
      </c>
      <c r="BI122" s="32">
        <v>10100.94</v>
      </c>
      <c r="BJ122" s="32">
        <v>0</v>
      </c>
      <c r="BK122" s="32">
        <v>0</v>
      </c>
      <c r="BL122" s="32">
        <v>0</v>
      </c>
      <c r="BM122" s="32">
        <v>692144479051</v>
      </c>
      <c r="BN122" s="31">
        <v>46216</v>
      </c>
      <c r="BO122" s="32">
        <v>736</v>
      </c>
    </row>
    <row r="123" spans="1:67" x14ac:dyDescent="0.25">
      <c r="A123" s="21"/>
      <c r="B123" s="32" t="s">
        <v>167</v>
      </c>
      <c r="C123" s="31">
        <v>46216</v>
      </c>
      <c r="D123" s="32" t="s">
        <v>1108</v>
      </c>
      <c r="E123" s="32" t="s">
        <v>178</v>
      </c>
      <c r="F123" s="32" t="s">
        <v>179</v>
      </c>
      <c r="G123" s="32" t="s">
        <v>1109</v>
      </c>
      <c r="H123" s="32">
        <v>3850</v>
      </c>
      <c r="I123" s="32">
        <v>3850</v>
      </c>
      <c r="J123" s="32" t="s">
        <v>168</v>
      </c>
      <c r="K123" s="32">
        <v>3850</v>
      </c>
      <c r="L123" s="32">
        <v>0</v>
      </c>
      <c r="M123" s="32">
        <v>3850</v>
      </c>
      <c r="N123" s="32" t="s">
        <v>175</v>
      </c>
      <c r="O123" s="32" t="s">
        <v>654</v>
      </c>
      <c r="P123" s="32" t="s">
        <v>654</v>
      </c>
      <c r="Q123" s="32" t="s">
        <v>796</v>
      </c>
      <c r="R123" s="31">
        <v>46216</v>
      </c>
      <c r="S123" s="32" t="s">
        <v>987</v>
      </c>
      <c r="T123" s="32" t="s">
        <v>988</v>
      </c>
      <c r="U123" s="32" t="s">
        <v>795</v>
      </c>
      <c r="V123" s="32">
        <v>151.49</v>
      </c>
      <c r="W123" s="32">
        <v>151.48999955943299</v>
      </c>
      <c r="X123" s="32" t="s">
        <v>796</v>
      </c>
      <c r="Y123" s="31">
        <v>46216</v>
      </c>
      <c r="Z123" s="32" t="s">
        <v>193</v>
      </c>
      <c r="AA123" s="32" t="s">
        <v>193</v>
      </c>
      <c r="AB123" s="32"/>
      <c r="AC123" s="32" t="s">
        <v>193</v>
      </c>
      <c r="AD123" s="32" t="s">
        <v>193</v>
      </c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 t="s">
        <v>965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>
        <v>0</v>
      </c>
      <c r="AR123" s="32">
        <v>0</v>
      </c>
      <c r="AS123" s="32">
        <v>1031557.1</v>
      </c>
      <c r="AT123" s="32" t="s">
        <v>169</v>
      </c>
      <c r="AU123" s="32" t="s">
        <v>180</v>
      </c>
      <c r="AV123" s="32" t="s">
        <v>156</v>
      </c>
      <c r="AW123" s="32" t="s">
        <v>171</v>
      </c>
      <c r="AX123" s="32" t="s">
        <v>966</v>
      </c>
      <c r="AY123" s="32">
        <v>0</v>
      </c>
      <c r="AZ123" s="32">
        <v>583236.5</v>
      </c>
      <c r="BA123" s="32">
        <v>324</v>
      </c>
      <c r="BB123" s="31">
        <v>46216</v>
      </c>
      <c r="BC123" s="32" t="s">
        <v>177</v>
      </c>
      <c r="BD123" s="32" t="s">
        <v>967</v>
      </c>
      <c r="BE123" s="32" t="s">
        <v>967</v>
      </c>
      <c r="BF123" s="32">
        <v>9</v>
      </c>
      <c r="BG123" s="32">
        <v>52491.28</v>
      </c>
      <c r="BH123" s="32">
        <v>9</v>
      </c>
      <c r="BI123" s="32">
        <v>52491.28</v>
      </c>
      <c r="BJ123" s="32">
        <v>0</v>
      </c>
      <c r="BK123" s="32">
        <v>0</v>
      </c>
      <c r="BL123" s="32">
        <v>0</v>
      </c>
      <c r="BM123" s="32">
        <v>692144479051</v>
      </c>
      <c r="BN123" s="31">
        <v>46216</v>
      </c>
      <c r="BO123" s="32">
        <v>3850</v>
      </c>
    </row>
    <row r="124" spans="1:67" x14ac:dyDescent="0.25">
      <c r="A124" s="21"/>
      <c r="B124" s="32" t="s">
        <v>167</v>
      </c>
      <c r="C124" s="31">
        <v>46216</v>
      </c>
      <c r="D124" s="32" t="s">
        <v>1108</v>
      </c>
      <c r="E124" s="32" t="s">
        <v>181</v>
      </c>
      <c r="F124" s="32" t="s">
        <v>182</v>
      </c>
      <c r="G124" s="32" t="s">
        <v>1109</v>
      </c>
      <c r="H124" s="32">
        <v>476.8</v>
      </c>
      <c r="I124" s="32">
        <v>476.8</v>
      </c>
      <c r="J124" s="32" t="s">
        <v>168</v>
      </c>
      <c r="K124" s="32">
        <v>476.8</v>
      </c>
      <c r="L124" s="32">
        <v>0</v>
      </c>
      <c r="M124" s="32">
        <v>476.8</v>
      </c>
      <c r="N124" s="32" t="s">
        <v>175</v>
      </c>
      <c r="O124" s="32" t="s">
        <v>654</v>
      </c>
      <c r="P124" s="32" t="s">
        <v>654</v>
      </c>
      <c r="Q124" s="32" t="s">
        <v>796</v>
      </c>
      <c r="R124" s="31">
        <v>46216</v>
      </c>
      <c r="S124" s="32" t="s">
        <v>987</v>
      </c>
      <c r="T124" s="32" t="s">
        <v>988</v>
      </c>
      <c r="U124" s="32" t="s">
        <v>795</v>
      </c>
      <c r="V124" s="32">
        <v>149.49</v>
      </c>
      <c r="W124" s="32">
        <v>149.48999956524901</v>
      </c>
      <c r="X124" s="32" t="s">
        <v>796</v>
      </c>
      <c r="Y124" s="31">
        <v>46216</v>
      </c>
      <c r="Z124" s="32" t="s">
        <v>193</v>
      </c>
      <c r="AA124" s="32" t="s">
        <v>193</v>
      </c>
      <c r="AB124" s="32"/>
      <c r="AC124" s="32" t="s">
        <v>193</v>
      </c>
      <c r="AD124" s="32" t="s">
        <v>193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 t="s">
        <v>965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/>
      <c r="AQ124" s="32">
        <v>0</v>
      </c>
      <c r="AR124" s="32">
        <v>0</v>
      </c>
      <c r="AS124" s="32">
        <v>1031557.1</v>
      </c>
      <c r="AT124" s="32" t="s">
        <v>169</v>
      </c>
      <c r="AU124" s="32" t="s">
        <v>182</v>
      </c>
      <c r="AV124" s="32" t="s">
        <v>154</v>
      </c>
      <c r="AW124" s="32" t="s">
        <v>171</v>
      </c>
      <c r="AX124" s="32" t="s">
        <v>966</v>
      </c>
      <c r="AY124" s="32">
        <v>0</v>
      </c>
      <c r="AZ124" s="32">
        <v>71276.83</v>
      </c>
      <c r="BA124" s="32">
        <v>324</v>
      </c>
      <c r="BB124" s="31">
        <v>46216</v>
      </c>
      <c r="BC124" s="32" t="s">
        <v>177</v>
      </c>
      <c r="BD124" s="32" t="s">
        <v>967</v>
      </c>
      <c r="BE124" s="32" t="s">
        <v>967</v>
      </c>
      <c r="BF124" s="32">
        <v>9</v>
      </c>
      <c r="BG124" s="32">
        <v>6414.91</v>
      </c>
      <c r="BH124" s="32">
        <v>9</v>
      </c>
      <c r="BI124" s="32">
        <v>6414.91</v>
      </c>
      <c r="BJ124" s="32">
        <v>0</v>
      </c>
      <c r="BK124" s="32">
        <v>0</v>
      </c>
      <c r="BL124" s="32">
        <v>0</v>
      </c>
      <c r="BM124" s="32">
        <v>692144479051</v>
      </c>
      <c r="BN124" s="31">
        <v>46216</v>
      </c>
      <c r="BO124" s="32">
        <v>476.8</v>
      </c>
    </row>
    <row r="125" spans="1:67" x14ac:dyDescent="0.25">
      <c r="A125" s="21"/>
      <c r="B125" s="32" t="s">
        <v>167</v>
      </c>
      <c r="C125" s="31">
        <v>46216</v>
      </c>
      <c r="D125" s="32" t="s">
        <v>1108</v>
      </c>
      <c r="E125" s="32" t="s">
        <v>181</v>
      </c>
      <c r="F125" s="32" t="s">
        <v>182</v>
      </c>
      <c r="G125" s="32" t="s">
        <v>1109</v>
      </c>
      <c r="H125" s="32">
        <v>140.9</v>
      </c>
      <c r="I125" s="32">
        <v>140.9</v>
      </c>
      <c r="J125" s="32" t="s">
        <v>168</v>
      </c>
      <c r="K125" s="32">
        <v>140.9</v>
      </c>
      <c r="L125" s="32">
        <v>0</v>
      </c>
      <c r="M125" s="32">
        <v>140.9</v>
      </c>
      <c r="N125" s="32" t="s">
        <v>175</v>
      </c>
      <c r="O125" s="32" t="s">
        <v>654</v>
      </c>
      <c r="P125" s="32" t="s">
        <v>654</v>
      </c>
      <c r="Q125" s="32" t="s">
        <v>796</v>
      </c>
      <c r="R125" s="31">
        <v>46216</v>
      </c>
      <c r="S125" s="32" t="s">
        <v>987</v>
      </c>
      <c r="T125" s="32" t="s">
        <v>988</v>
      </c>
      <c r="U125" s="32" t="s">
        <v>795</v>
      </c>
      <c r="V125" s="32">
        <v>146.49</v>
      </c>
      <c r="W125" s="32">
        <v>146.48999957397399</v>
      </c>
      <c r="X125" s="32" t="s">
        <v>796</v>
      </c>
      <c r="Y125" s="31">
        <v>46216</v>
      </c>
      <c r="Z125" s="32" t="s">
        <v>193</v>
      </c>
      <c r="AA125" s="32" t="s">
        <v>193</v>
      </c>
      <c r="AB125" s="32"/>
      <c r="AC125" s="32" t="s">
        <v>193</v>
      </c>
      <c r="AD125" s="32" t="s">
        <v>193</v>
      </c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 t="s">
        <v>965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/>
      <c r="AQ125" s="32">
        <v>0</v>
      </c>
      <c r="AR125" s="32">
        <v>0</v>
      </c>
      <c r="AS125" s="32">
        <v>1031557.1</v>
      </c>
      <c r="AT125" s="32" t="s">
        <v>169</v>
      </c>
      <c r="AU125" s="32" t="s">
        <v>182</v>
      </c>
      <c r="AV125" s="32" t="s">
        <v>154</v>
      </c>
      <c r="AW125" s="32" t="s">
        <v>171</v>
      </c>
      <c r="AX125" s="32" t="s">
        <v>966</v>
      </c>
      <c r="AY125" s="32">
        <v>0</v>
      </c>
      <c r="AZ125" s="32">
        <v>20640.439999999999</v>
      </c>
      <c r="BA125" s="32">
        <v>324</v>
      </c>
      <c r="BB125" s="31">
        <v>46216</v>
      </c>
      <c r="BC125" s="32" t="s">
        <v>177</v>
      </c>
      <c r="BD125" s="32" t="s">
        <v>967</v>
      </c>
      <c r="BE125" s="32" t="s">
        <v>967</v>
      </c>
      <c r="BF125" s="32">
        <v>9</v>
      </c>
      <c r="BG125" s="32">
        <v>1857.64</v>
      </c>
      <c r="BH125" s="32">
        <v>9</v>
      </c>
      <c r="BI125" s="32">
        <v>1857.64</v>
      </c>
      <c r="BJ125" s="32">
        <v>0</v>
      </c>
      <c r="BK125" s="32">
        <v>0</v>
      </c>
      <c r="BL125" s="32">
        <v>0</v>
      </c>
      <c r="BM125" s="32">
        <v>692144479051</v>
      </c>
      <c r="BN125" s="31">
        <v>46216</v>
      </c>
      <c r="BO125" s="32">
        <v>140.9</v>
      </c>
    </row>
    <row r="126" spans="1:67" x14ac:dyDescent="0.25">
      <c r="A126" s="21"/>
      <c r="B126" s="32" t="s">
        <v>167</v>
      </c>
      <c r="C126" s="31">
        <v>46216</v>
      </c>
      <c r="D126" s="32" t="s">
        <v>1110</v>
      </c>
      <c r="E126" s="32" t="s">
        <v>190</v>
      </c>
      <c r="F126" s="32" t="s">
        <v>191</v>
      </c>
      <c r="G126" s="32" t="s">
        <v>1111</v>
      </c>
      <c r="H126" s="32">
        <v>9143.9</v>
      </c>
      <c r="I126" s="32">
        <v>9143.9</v>
      </c>
      <c r="J126" s="32" t="s">
        <v>168</v>
      </c>
      <c r="K126" s="32">
        <v>9143.9</v>
      </c>
      <c r="L126" s="32">
        <v>0</v>
      </c>
      <c r="M126" s="32">
        <v>9143.9</v>
      </c>
      <c r="N126" s="32" t="s">
        <v>606</v>
      </c>
      <c r="O126" s="32" t="s">
        <v>785</v>
      </c>
      <c r="P126" s="32" t="s">
        <v>785</v>
      </c>
      <c r="Q126" s="32" t="s">
        <v>787</v>
      </c>
      <c r="R126" s="31">
        <v>46214</v>
      </c>
      <c r="S126" s="32" t="s">
        <v>987</v>
      </c>
      <c r="T126" s="32" t="s">
        <v>988</v>
      </c>
      <c r="U126" s="32" t="s">
        <v>786</v>
      </c>
      <c r="V126" s="32">
        <v>181.55</v>
      </c>
      <c r="W126" s="32">
        <v>181.549999288245</v>
      </c>
      <c r="X126" s="32" t="s">
        <v>787</v>
      </c>
      <c r="Y126" s="31">
        <v>46214</v>
      </c>
      <c r="Z126" s="32"/>
      <c r="AA126" s="32">
        <v>0</v>
      </c>
      <c r="AB126" s="32"/>
      <c r="AC126" s="32">
        <v>0</v>
      </c>
      <c r="AD126" s="32">
        <v>0</v>
      </c>
      <c r="AE126" s="32">
        <v>0</v>
      </c>
      <c r="AF126" s="32">
        <v>0</v>
      </c>
      <c r="AG126" s="32">
        <v>0</v>
      </c>
      <c r="AH126" s="32">
        <v>0</v>
      </c>
      <c r="AI126" s="32">
        <v>0</v>
      </c>
      <c r="AJ126" s="32" t="s">
        <v>965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/>
      <c r="AQ126" s="32">
        <v>0</v>
      </c>
      <c r="AR126" s="32">
        <v>0</v>
      </c>
      <c r="AS126" s="32">
        <v>3826105.68</v>
      </c>
      <c r="AT126" s="32" t="s">
        <v>192</v>
      </c>
      <c r="AU126" s="32" t="s">
        <v>152</v>
      </c>
      <c r="AV126" s="32" t="s">
        <v>152</v>
      </c>
      <c r="AW126" s="32" t="s">
        <v>171</v>
      </c>
      <c r="AX126" s="32" t="s">
        <v>966</v>
      </c>
      <c r="AY126" s="32">
        <v>0</v>
      </c>
      <c r="AZ126" s="32">
        <v>1660075.04</v>
      </c>
      <c r="BA126" s="32">
        <v>323</v>
      </c>
      <c r="BB126" s="31">
        <v>46216</v>
      </c>
      <c r="BC126" s="32" t="s">
        <v>189</v>
      </c>
      <c r="BD126" s="32" t="s">
        <v>967</v>
      </c>
      <c r="BE126" s="32" t="s">
        <v>967</v>
      </c>
      <c r="BF126" s="32">
        <v>9</v>
      </c>
      <c r="BG126" s="32">
        <v>149406.75</v>
      </c>
      <c r="BH126" s="32">
        <v>9</v>
      </c>
      <c r="BI126" s="32">
        <v>149406.75</v>
      </c>
      <c r="BJ126" s="32">
        <v>0</v>
      </c>
      <c r="BK126" s="32">
        <v>0</v>
      </c>
      <c r="BL126" s="32">
        <v>3826105.68</v>
      </c>
      <c r="BM126" s="32">
        <v>682143636290</v>
      </c>
      <c r="BN126" s="31">
        <v>46214</v>
      </c>
      <c r="BO126" s="32">
        <v>9143.9</v>
      </c>
    </row>
    <row r="127" spans="1:67" x14ac:dyDescent="0.25">
      <c r="A127" s="21"/>
      <c r="B127" s="32" t="s">
        <v>167</v>
      </c>
      <c r="C127" s="31">
        <v>46216</v>
      </c>
      <c r="D127" s="32" t="s">
        <v>1110</v>
      </c>
      <c r="E127" s="32" t="s">
        <v>190</v>
      </c>
      <c r="F127" s="32" t="s">
        <v>191</v>
      </c>
      <c r="G127" s="32" t="s">
        <v>1111</v>
      </c>
      <c r="H127" s="32">
        <v>845.2</v>
      </c>
      <c r="I127" s="32">
        <v>845.2</v>
      </c>
      <c r="J127" s="32" t="s">
        <v>168</v>
      </c>
      <c r="K127" s="32">
        <v>845.2</v>
      </c>
      <c r="L127" s="32">
        <v>0</v>
      </c>
      <c r="M127" s="32">
        <v>845.2</v>
      </c>
      <c r="N127" s="32" t="s">
        <v>606</v>
      </c>
      <c r="O127" s="32" t="s">
        <v>785</v>
      </c>
      <c r="P127" s="32" t="s">
        <v>785</v>
      </c>
      <c r="Q127" s="32" t="s">
        <v>787</v>
      </c>
      <c r="R127" s="31">
        <v>46214</v>
      </c>
      <c r="S127" s="32" t="s">
        <v>987</v>
      </c>
      <c r="T127" s="32" t="s">
        <v>988</v>
      </c>
      <c r="U127" s="32" t="s">
        <v>786</v>
      </c>
      <c r="V127" s="32">
        <v>178.31</v>
      </c>
      <c r="W127" s="32">
        <v>178.309999300947</v>
      </c>
      <c r="X127" s="32" t="s">
        <v>787</v>
      </c>
      <c r="Y127" s="31">
        <v>46214</v>
      </c>
      <c r="Z127" s="32"/>
      <c r="AA127" s="32">
        <v>0</v>
      </c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>
        <v>0</v>
      </c>
      <c r="AI127" s="32">
        <v>0</v>
      </c>
      <c r="AJ127" s="32" t="s">
        <v>965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>
        <v>0</v>
      </c>
      <c r="AS127" s="32">
        <v>3826105.68</v>
      </c>
      <c r="AT127" s="32" t="s">
        <v>192</v>
      </c>
      <c r="AU127" s="32" t="s">
        <v>152</v>
      </c>
      <c r="AV127" s="32" t="s">
        <v>152</v>
      </c>
      <c r="AW127" s="32" t="s">
        <v>171</v>
      </c>
      <c r="AX127" s="32" t="s">
        <v>966</v>
      </c>
      <c r="AY127" s="32">
        <v>0</v>
      </c>
      <c r="AZ127" s="32">
        <v>150707.60999999999</v>
      </c>
      <c r="BA127" s="32">
        <v>323</v>
      </c>
      <c r="BB127" s="31">
        <v>46216</v>
      </c>
      <c r="BC127" s="32" t="s">
        <v>189</v>
      </c>
      <c r="BD127" s="32" t="s">
        <v>967</v>
      </c>
      <c r="BE127" s="32" t="s">
        <v>967</v>
      </c>
      <c r="BF127" s="32">
        <v>9</v>
      </c>
      <c r="BG127" s="32">
        <v>13563.69</v>
      </c>
      <c r="BH127" s="32">
        <v>9</v>
      </c>
      <c r="BI127" s="32">
        <v>13563.69</v>
      </c>
      <c r="BJ127" s="32">
        <v>0</v>
      </c>
      <c r="BK127" s="32">
        <v>0</v>
      </c>
      <c r="BL127" s="32">
        <v>0</v>
      </c>
      <c r="BM127" s="32">
        <v>682143636290</v>
      </c>
      <c r="BN127" s="31">
        <v>46214</v>
      </c>
      <c r="BO127" s="32">
        <v>845.2</v>
      </c>
    </row>
    <row r="128" spans="1:67" x14ac:dyDescent="0.25">
      <c r="A128" s="21"/>
      <c r="B128" s="32" t="s">
        <v>167</v>
      </c>
      <c r="C128" s="31">
        <v>46216</v>
      </c>
      <c r="D128" s="32" t="s">
        <v>1110</v>
      </c>
      <c r="E128" s="32" t="s">
        <v>190</v>
      </c>
      <c r="F128" s="32" t="s">
        <v>191</v>
      </c>
      <c r="G128" s="32" t="s">
        <v>1111</v>
      </c>
      <c r="H128" s="32">
        <v>5936.6</v>
      </c>
      <c r="I128" s="32">
        <v>5936.6</v>
      </c>
      <c r="J128" s="32" t="s">
        <v>168</v>
      </c>
      <c r="K128" s="32">
        <v>5936.6</v>
      </c>
      <c r="L128" s="32">
        <v>0</v>
      </c>
      <c r="M128" s="32">
        <v>5936.6</v>
      </c>
      <c r="N128" s="32" t="s">
        <v>606</v>
      </c>
      <c r="O128" s="32" t="s">
        <v>785</v>
      </c>
      <c r="P128" s="32" t="s">
        <v>785</v>
      </c>
      <c r="Q128" s="32" t="s">
        <v>787</v>
      </c>
      <c r="R128" s="31">
        <v>46214</v>
      </c>
      <c r="S128" s="32" t="s">
        <v>987</v>
      </c>
      <c r="T128" s="32" t="s">
        <v>988</v>
      </c>
      <c r="U128" s="32" t="s">
        <v>786</v>
      </c>
      <c r="V128" s="32">
        <v>177.66</v>
      </c>
      <c r="W128" s="32">
        <v>177.659999303495</v>
      </c>
      <c r="X128" s="32" t="s">
        <v>787</v>
      </c>
      <c r="Y128" s="31">
        <v>46214</v>
      </c>
      <c r="Z128" s="32"/>
      <c r="AA128" s="32">
        <v>0</v>
      </c>
      <c r="AB128" s="32"/>
      <c r="AC128" s="32">
        <v>0</v>
      </c>
      <c r="AD128" s="32">
        <v>0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 t="s">
        <v>965</v>
      </c>
      <c r="AK128" s="32">
        <v>0</v>
      </c>
      <c r="AL128" s="32">
        <v>0</v>
      </c>
      <c r="AM128" s="32">
        <v>0</v>
      </c>
      <c r="AN128" s="32">
        <v>0</v>
      </c>
      <c r="AO128" s="32">
        <v>0</v>
      </c>
      <c r="AP128" s="32"/>
      <c r="AQ128" s="32">
        <v>0</v>
      </c>
      <c r="AR128" s="32">
        <v>0</v>
      </c>
      <c r="AS128" s="32">
        <v>3826105.68</v>
      </c>
      <c r="AT128" s="32" t="s">
        <v>192</v>
      </c>
      <c r="AU128" s="32" t="s">
        <v>152</v>
      </c>
      <c r="AV128" s="32" t="s">
        <v>152</v>
      </c>
      <c r="AW128" s="32" t="s">
        <v>171</v>
      </c>
      <c r="AX128" s="32" t="s">
        <v>966</v>
      </c>
      <c r="AY128" s="32">
        <v>0</v>
      </c>
      <c r="AZ128" s="32">
        <v>1054696.3500000001</v>
      </c>
      <c r="BA128" s="32">
        <v>323</v>
      </c>
      <c r="BB128" s="31">
        <v>46216</v>
      </c>
      <c r="BC128" s="32" t="s">
        <v>189</v>
      </c>
      <c r="BD128" s="32" t="s">
        <v>967</v>
      </c>
      <c r="BE128" s="32" t="s">
        <v>967</v>
      </c>
      <c r="BF128" s="32">
        <v>9</v>
      </c>
      <c r="BG128" s="32">
        <v>94922.67</v>
      </c>
      <c r="BH128" s="32">
        <v>9</v>
      </c>
      <c r="BI128" s="32">
        <v>94922.67</v>
      </c>
      <c r="BJ128" s="32">
        <v>0</v>
      </c>
      <c r="BK128" s="32">
        <v>0</v>
      </c>
      <c r="BL128" s="32">
        <v>0</v>
      </c>
      <c r="BM128" s="32">
        <v>682143636290</v>
      </c>
      <c r="BN128" s="31">
        <v>46214</v>
      </c>
      <c r="BO128" s="32">
        <v>5936.6</v>
      </c>
    </row>
    <row r="129" spans="1:67" x14ac:dyDescent="0.25">
      <c r="A129" s="21"/>
      <c r="B129" s="32" t="s">
        <v>167</v>
      </c>
      <c r="C129" s="31">
        <v>46216</v>
      </c>
      <c r="D129" s="32" t="s">
        <v>1110</v>
      </c>
      <c r="E129" s="32" t="s">
        <v>190</v>
      </c>
      <c r="F129" s="32" t="s">
        <v>191</v>
      </c>
      <c r="G129" s="32" t="s">
        <v>1111</v>
      </c>
      <c r="H129" s="32">
        <v>832.2</v>
      </c>
      <c r="I129" s="32">
        <v>832.2</v>
      </c>
      <c r="J129" s="32" t="s">
        <v>168</v>
      </c>
      <c r="K129" s="32">
        <v>832.2</v>
      </c>
      <c r="L129" s="32">
        <v>0</v>
      </c>
      <c r="M129" s="32">
        <v>832.2</v>
      </c>
      <c r="N129" s="32" t="s">
        <v>606</v>
      </c>
      <c r="O129" s="32" t="s">
        <v>785</v>
      </c>
      <c r="P129" s="32" t="s">
        <v>785</v>
      </c>
      <c r="Q129" s="32" t="s">
        <v>787</v>
      </c>
      <c r="R129" s="31">
        <v>46214</v>
      </c>
      <c r="S129" s="32" t="s">
        <v>987</v>
      </c>
      <c r="T129" s="32" t="s">
        <v>988</v>
      </c>
      <c r="U129" s="32" t="s">
        <v>786</v>
      </c>
      <c r="V129" s="32">
        <v>181.33</v>
      </c>
      <c r="W129" s="32">
        <v>181.32999928910701</v>
      </c>
      <c r="X129" s="32" t="s">
        <v>787</v>
      </c>
      <c r="Y129" s="31">
        <v>46214</v>
      </c>
      <c r="Z129" s="32"/>
      <c r="AA129" s="32">
        <v>0</v>
      </c>
      <c r="AB129" s="32"/>
      <c r="AC129" s="32">
        <v>0</v>
      </c>
      <c r="AD129" s="32">
        <v>0</v>
      </c>
      <c r="AE129" s="32">
        <v>0</v>
      </c>
      <c r="AF129" s="32">
        <v>0</v>
      </c>
      <c r="AG129" s="32">
        <v>0</v>
      </c>
      <c r="AH129" s="32">
        <v>0</v>
      </c>
      <c r="AI129" s="32">
        <v>0</v>
      </c>
      <c r="AJ129" s="32" t="s">
        <v>965</v>
      </c>
      <c r="AK129" s="32">
        <v>0</v>
      </c>
      <c r="AL129" s="32">
        <v>0</v>
      </c>
      <c r="AM129" s="32">
        <v>0</v>
      </c>
      <c r="AN129" s="32">
        <v>0</v>
      </c>
      <c r="AO129" s="32">
        <v>0</v>
      </c>
      <c r="AP129" s="32"/>
      <c r="AQ129" s="32">
        <v>0</v>
      </c>
      <c r="AR129" s="32">
        <v>0</v>
      </c>
      <c r="AS129" s="32">
        <v>3826105.68</v>
      </c>
      <c r="AT129" s="32" t="s">
        <v>192</v>
      </c>
      <c r="AU129" s="32" t="s">
        <v>152</v>
      </c>
      <c r="AV129" s="32" t="s">
        <v>152</v>
      </c>
      <c r="AW129" s="32" t="s">
        <v>171</v>
      </c>
      <c r="AX129" s="32" t="s">
        <v>966</v>
      </c>
      <c r="AY129" s="32">
        <v>0</v>
      </c>
      <c r="AZ129" s="32">
        <v>150902.82999999999</v>
      </c>
      <c r="BA129" s="32">
        <v>323</v>
      </c>
      <c r="BB129" s="31">
        <v>46216</v>
      </c>
      <c r="BC129" s="32" t="s">
        <v>189</v>
      </c>
      <c r="BD129" s="32" t="s">
        <v>967</v>
      </c>
      <c r="BE129" s="32" t="s">
        <v>967</v>
      </c>
      <c r="BF129" s="32">
        <v>9</v>
      </c>
      <c r="BG129" s="32">
        <v>13581.25</v>
      </c>
      <c r="BH129" s="32">
        <v>9</v>
      </c>
      <c r="BI129" s="32">
        <v>13581.25</v>
      </c>
      <c r="BJ129" s="32">
        <v>0</v>
      </c>
      <c r="BK129" s="32">
        <v>0</v>
      </c>
      <c r="BL129" s="32">
        <v>0</v>
      </c>
      <c r="BM129" s="32">
        <v>682143636290</v>
      </c>
      <c r="BN129" s="31">
        <v>46214</v>
      </c>
      <c r="BO129" s="32">
        <v>832.2</v>
      </c>
    </row>
    <row r="130" spans="1:67" x14ac:dyDescent="0.25">
      <c r="A130" s="21"/>
      <c r="B130" s="32" t="s">
        <v>167</v>
      </c>
      <c r="C130" s="31">
        <v>46216</v>
      </c>
      <c r="D130" s="32" t="s">
        <v>1110</v>
      </c>
      <c r="E130" s="32" t="s">
        <v>190</v>
      </c>
      <c r="F130" s="32" t="s">
        <v>191</v>
      </c>
      <c r="G130" s="32" t="s">
        <v>1111</v>
      </c>
      <c r="H130" s="32">
        <v>1266.7</v>
      </c>
      <c r="I130" s="32">
        <v>1266.7</v>
      </c>
      <c r="J130" s="32" t="s">
        <v>168</v>
      </c>
      <c r="K130" s="32">
        <v>1266.7</v>
      </c>
      <c r="L130" s="32">
        <v>0</v>
      </c>
      <c r="M130" s="32">
        <v>1266.7</v>
      </c>
      <c r="N130" s="32" t="s">
        <v>606</v>
      </c>
      <c r="O130" s="32" t="s">
        <v>785</v>
      </c>
      <c r="P130" s="32" t="s">
        <v>785</v>
      </c>
      <c r="Q130" s="32" t="s">
        <v>787</v>
      </c>
      <c r="R130" s="31">
        <v>46214</v>
      </c>
      <c r="S130" s="32" t="s">
        <v>987</v>
      </c>
      <c r="T130" s="32" t="s">
        <v>988</v>
      </c>
      <c r="U130" s="32" t="s">
        <v>786</v>
      </c>
      <c r="V130" s="32">
        <v>178.48</v>
      </c>
      <c r="W130" s="32">
        <v>178.47999930028101</v>
      </c>
      <c r="X130" s="32" t="s">
        <v>787</v>
      </c>
      <c r="Y130" s="31">
        <v>46214</v>
      </c>
      <c r="Z130" s="32"/>
      <c r="AA130" s="32">
        <v>0</v>
      </c>
      <c r="AB130" s="32"/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32">
        <v>0</v>
      </c>
      <c r="AI130" s="32">
        <v>0</v>
      </c>
      <c r="AJ130" s="32" t="s">
        <v>965</v>
      </c>
      <c r="AK130" s="32">
        <v>0</v>
      </c>
      <c r="AL130" s="32">
        <v>0</v>
      </c>
      <c r="AM130" s="32">
        <v>0</v>
      </c>
      <c r="AN130" s="32">
        <v>0</v>
      </c>
      <c r="AO130" s="32">
        <v>0</v>
      </c>
      <c r="AP130" s="32"/>
      <c r="AQ130" s="32">
        <v>0</v>
      </c>
      <c r="AR130" s="32">
        <v>0</v>
      </c>
      <c r="AS130" s="32">
        <v>3826105.68</v>
      </c>
      <c r="AT130" s="32" t="s">
        <v>192</v>
      </c>
      <c r="AU130" s="32" t="s">
        <v>152</v>
      </c>
      <c r="AV130" s="32" t="s">
        <v>152</v>
      </c>
      <c r="AW130" s="32" t="s">
        <v>171</v>
      </c>
      <c r="AX130" s="32" t="s">
        <v>966</v>
      </c>
      <c r="AY130" s="32">
        <v>0</v>
      </c>
      <c r="AZ130" s="32">
        <v>226080.62</v>
      </c>
      <c r="BA130" s="32">
        <v>323</v>
      </c>
      <c r="BB130" s="31">
        <v>46216</v>
      </c>
      <c r="BC130" s="32" t="s">
        <v>189</v>
      </c>
      <c r="BD130" s="32" t="s">
        <v>967</v>
      </c>
      <c r="BE130" s="32" t="s">
        <v>967</v>
      </c>
      <c r="BF130" s="32">
        <v>9</v>
      </c>
      <c r="BG130" s="32">
        <v>20347.259999999998</v>
      </c>
      <c r="BH130" s="32">
        <v>9</v>
      </c>
      <c r="BI130" s="32">
        <v>20347.259999999998</v>
      </c>
      <c r="BJ130" s="32">
        <v>0</v>
      </c>
      <c r="BK130" s="32">
        <v>0</v>
      </c>
      <c r="BL130" s="32">
        <v>0</v>
      </c>
      <c r="BM130" s="32">
        <v>682143636290</v>
      </c>
      <c r="BN130" s="31">
        <v>46214</v>
      </c>
      <c r="BO130" s="32">
        <v>1266.7</v>
      </c>
    </row>
    <row r="131" spans="1:67" x14ac:dyDescent="0.25">
      <c r="A131" s="21"/>
      <c r="B131" s="32" t="s">
        <v>167</v>
      </c>
      <c r="C131" s="31">
        <v>46217</v>
      </c>
      <c r="D131" s="32" t="s">
        <v>1112</v>
      </c>
      <c r="E131" s="32" t="s">
        <v>190</v>
      </c>
      <c r="F131" s="32" t="s">
        <v>191</v>
      </c>
      <c r="G131" s="32" t="s">
        <v>1113</v>
      </c>
      <c r="H131" s="32">
        <v>6672</v>
      </c>
      <c r="I131" s="32">
        <v>6672</v>
      </c>
      <c r="J131" s="32" t="s">
        <v>168</v>
      </c>
      <c r="K131" s="32">
        <v>6672</v>
      </c>
      <c r="L131" s="32">
        <v>0</v>
      </c>
      <c r="M131" s="32">
        <v>6672</v>
      </c>
      <c r="N131" s="32" t="s">
        <v>1114</v>
      </c>
      <c r="O131" s="32" t="s">
        <v>676</v>
      </c>
      <c r="P131" s="32" t="s">
        <v>676</v>
      </c>
      <c r="Q131" s="32" t="s">
        <v>809</v>
      </c>
      <c r="R131" s="31">
        <v>46216</v>
      </c>
      <c r="S131" s="32" t="s">
        <v>987</v>
      </c>
      <c r="T131" s="32" t="s">
        <v>988</v>
      </c>
      <c r="U131" s="32" t="s">
        <v>808</v>
      </c>
      <c r="V131" s="32">
        <v>300.43</v>
      </c>
      <c r="W131" s="32">
        <v>300.43</v>
      </c>
      <c r="X131" s="32" t="s">
        <v>809</v>
      </c>
      <c r="Y131" s="31">
        <v>46216</v>
      </c>
      <c r="Z131" s="32" t="s">
        <v>193</v>
      </c>
      <c r="AA131" s="32" t="s">
        <v>193</v>
      </c>
      <c r="AB131" s="32"/>
      <c r="AC131" s="32" t="s">
        <v>1069</v>
      </c>
      <c r="AD131" s="32">
        <v>2432</v>
      </c>
      <c r="AE131" s="32">
        <v>0</v>
      </c>
      <c r="AF131" s="32">
        <v>0</v>
      </c>
      <c r="AG131" s="32">
        <v>0</v>
      </c>
      <c r="AH131" s="32">
        <v>0</v>
      </c>
      <c r="AI131" s="32">
        <v>0</v>
      </c>
      <c r="AJ131" s="32" t="s">
        <v>965</v>
      </c>
      <c r="AK131" s="32">
        <v>0</v>
      </c>
      <c r="AL131" s="32">
        <v>0</v>
      </c>
      <c r="AM131" s="32">
        <v>0</v>
      </c>
      <c r="AN131" s="32">
        <v>0</v>
      </c>
      <c r="AO131" s="32">
        <v>0</v>
      </c>
      <c r="AP131" s="32"/>
      <c r="AQ131" s="32">
        <v>0</v>
      </c>
      <c r="AR131" s="32">
        <v>0</v>
      </c>
      <c r="AS131" s="32">
        <v>2365273.38</v>
      </c>
      <c r="AT131" s="32" t="s">
        <v>192</v>
      </c>
      <c r="AU131" s="32" t="s">
        <v>152</v>
      </c>
      <c r="AV131" s="32" t="s">
        <v>152</v>
      </c>
      <c r="AW131" s="32" t="s">
        <v>171</v>
      </c>
      <c r="AX131" s="32" t="s">
        <v>966</v>
      </c>
      <c r="AY131" s="32">
        <v>0</v>
      </c>
      <c r="AZ131" s="32">
        <v>2004468.96</v>
      </c>
      <c r="BA131" s="32">
        <v>325</v>
      </c>
      <c r="BB131" s="31">
        <v>46217</v>
      </c>
      <c r="BC131" s="32" t="s">
        <v>172</v>
      </c>
      <c r="BD131" s="32" t="s">
        <v>967</v>
      </c>
      <c r="BE131" s="32" t="s">
        <v>967</v>
      </c>
      <c r="BF131" s="32">
        <v>9</v>
      </c>
      <c r="BG131" s="32">
        <v>180402.21</v>
      </c>
      <c r="BH131" s="32">
        <v>9</v>
      </c>
      <c r="BI131" s="32">
        <v>180402.21</v>
      </c>
      <c r="BJ131" s="32">
        <v>0</v>
      </c>
      <c r="BK131" s="32">
        <v>0</v>
      </c>
      <c r="BL131" s="32">
        <v>2365273.38</v>
      </c>
      <c r="BM131" s="32">
        <v>632144575319</v>
      </c>
      <c r="BN131" s="31">
        <v>46216</v>
      </c>
      <c r="BO131" s="32">
        <v>6672</v>
      </c>
    </row>
    <row r="132" spans="1:67" x14ac:dyDescent="0.25">
      <c r="A132" s="21"/>
      <c r="B132" s="32" t="s">
        <v>167</v>
      </c>
      <c r="C132" s="31">
        <v>46217</v>
      </c>
      <c r="D132" s="32" t="s">
        <v>1115</v>
      </c>
      <c r="E132" s="32" t="s">
        <v>186</v>
      </c>
      <c r="F132" s="32" t="s">
        <v>187</v>
      </c>
      <c r="G132" s="32" t="s">
        <v>1116</v>
      </c>
      <c r="H132" s="32">
        <v>1099</v>
      </c>
      <c r="I132" s="32">
        <v>1099</v>
      </c>
      <c r="J132" s="32" t="s">
        <v>168</v>
      </c>
      <c r="K132" s="32">
        <v>1099</v>
      </c>
      <c r="L132" s="32">
        <v>0</v>
      </c>
      <c r="M132" s="32">
        <v>1099</v>
      </c>
      <c r="N132" s="32" t="s">
        <v>198</v>
      </c>
      <c r="O132" s="32" t="s">
        <v>654</v>
      </c>
      <c r="P132" s="32" t="s">
        <v>654</v>
      </c>
      <c r="Q132" s="32" t="s">
        <v>811</v>
      </c>
      <c r="R132" s="31">
        <v>46217</v>
      </c>
      <c r="S132" s="32" t="s">
        <v>987</v>
      </c>
      <c r="T132" s="32" t="s">
        <v>988</v>
      </c>
      <c r="U132" s="32" t="s">
        <v>810</v>
      </c>
      <c r="V132" s="32">
        <v>144.49</v>
      </c>
      <c r="W132" s="32">
        <v>144.49</v>
      </c>
      <c r="X132" s="32" t="s">
        <v>811</v>
      </c>
      <c r="Y132" s="31">
        <v>46217</v>
      </c>
      <c r="Z132" s="32" t="s">
        <v>193</v>
      </c>
      <c r="AA132" s="32" t="s">
        <v>193</v>
      </c>
      <c r="AB132" s="32"/>
      <c r="AC132" s="32" t="s">
        <v>193</v>
      </c>
      <c r="AD132" s="32" t="s">
        <v>193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 t="s">
        <v>965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/>
      <c r="AQ132" s="32">
        <v>0</v>
      </c>
      <c r="AR132" s="32">
        <v>0</v>
      </c>
      <c r="AS132" s="32">
        <v>187377.53</v>
      </c>
      <c r="AT132" s="32" t="s">
        <v>169</v>
      </c>
      <c r="AU132" s="32" t="s">
        <v>180</v>
      </c>
      <c r="AV132" s="32" t="s">
        <v>155</v>
      </c>
      <c r="AW132" s="32" t="s">
        <v>171</v>
      </c>
      <c r="AX132" s="32" t="s">
        <v>966</v>
      </c>
      <c r="AY132" s="32">
        <v>0</v>
      </c>
      <c r="AZ132" s="32">
        <v>158794.51</v>
      </c>
      <c r="BA132" s="32">
        <v>326</v>
      </c>
      <c r="BB132" s="31">
        <v>46217</v>
      </c>
      <c r="BC132" s="32" t="s">
        <v>177</v>
      </c>
      <c r="BD132" s="32" t="s">
        <v>967</v>
      </c>
      <c r="BE132" s="32" t="s">
        <v>967</v>
      </c>
      <c r="BF132" s="32">
        <v>9</v>
      </c>
      <c r="BG132" s="32">
        <v>14291.51</v>
      </c>
      <c r="BH132" s="32">
        <v>9</v>
      </c>
      <c r="BI132" s="32">
        <v>14291.51</v>
      </c>
      <c r="BJ132" s="32">
        <v>0</v>
      </c>
      <c r="BK132" s="32">
        <v>0</v>
      </c>
      <c r="BL132" s="32">
        <v>187377.53</v>
      </c>
      <c r="BM132" s="32">
        <v>692144918161</v>
      </c>
      <c r="BN132" s="31">
        <v>46217</v>
      </c>
      <c r="BO132" s="32">
        <v>1099</v>
      </c>
    </row>
    <row r="133" spans="1:67" x14ac:dyDescent="0.25">
      <c r="A133" s="21"/>
      <c r="B133" s="32" t="s">
        <v>167</v>
      </c>
      <c r="C133" s="31">
        <v>46217</v>
      </c>
      <c r="D133" s="32" t="s">
        <v>1117</v>
      </c>
      <c r="E133" s="32" t="s">
        <v>1118</v>
      </c>
      <c r="F133" s="32" t="s">
        <v>815</v>
      </c>
      <c r="G133" s="32" t="s">
        <v>1119</v>
      </c>
      <c r="H133" s="32">
        <v>2000</v>
      </c>
      <c r="I133" s="32">
        <v>2000</v>
      </c>
      <c r="J133" s="32" t="s">
        <v>168</v>
      </c>
      <c r="K133" s="32">
        <v>2000</v>
      </c>
      <c r="L133" s="32">
        <v>0</v>
      </c>
      <c r="M133" s="32">
        <v>2000</v>
      </c>
      <c r="N133" s="32" t="s">
        <v>175</v>
      </c>
      <c r="O133" s="32" t="s">
        <v>654</v>
      </c>
      <c r="P133" s="32" t="s">
        <v>654</v>
      </c>
      <c r="Q133" s="32" t="s">
        <v>813</v>
      </c>
      <c r="R133" s="31">
        <v>46217</v>
      </c>
      <c r="S133" s="32" t="s">
        <v>987</v>
      </c>
      <c r="T133" s="32" t="s">
        <v>988</v>
      </c>
      <c r="U133" s="32" t="s">
        <v>812</v>
      </c>
      <c r="V133" s="32">
        <v>145</v>
      </c>
      <c r="W133" s="32">
        <v>145</v>
      </c>
      <c r="X133" s="32" t="s">
        <v>813</v>
      </c>
      <c r="Y133" s="31">
        <v>46217</v>
      </c>
      <c r="Z133" s="32" t="s">
        <v>193</v>
      </c>
      <c r="AA133" s="32" t="s">
        <v>193</v>
      </c>
      <c r="AB133" s="32"/>
      <c r="AC133" s="32" t="s">
        <v>193</v>
      </c>
      <c r="AD133" s="32" t="s">
        <v>193</v>
      </c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 t="s">
        <v>965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>
        <v>0</v>
      </c>
      <c r="AS133" s="32">
        <v>342200</v>
      </c>
      <c r="AT133" s="32" t="s">
        <v>171</v>
      </c>
      <c r="AU133" s="32" t="s">
        <v>185</v>
      </c>
      <c r="AV133" s="32" t="s">
        <v>814</v>
      </c>
      <c r="AW133" s="32" t="s">
        <v>171</v>
      </c>
      <c r="AX133" s="32"/>
      <c r="AY133" s="32">
        <v>0</v>
      </c>
      <c r="AZ133" s="32">
        <v>290000</v>
      </c>
      <c r="BA133" s="32">
        <v>327</v>
      </c>
      <c r="BB133" s="31">
        <v>46217</v>
      </c>
      <c r="BC133" s="32" t="s">
        <v>177</v>
      </c>
      <c r="BD133" s="32" t="s">
        <v>967</v>
      </c>
      <c r="BE133" s="32" t="s">
        <v>967</v>
      </c>
      <c r="BF133" s="32">
        <v>9</v>
      </c>
      <c r="BG133" s="32">
        <v>26100</v>
      </c>
      <c r="BH133" s="32">
        <v>9</v>
      </c>
      <c r="BI133" s="32">
        <v>26100</v>
      </c>
      <c r="BJ133" s="32">
        <v>0</v>
      </c>
      <c r="BK133" s="32">
        <v>0</v>
      </c>
      <c r="BL133" s="32">
        <v>342200</v>
      </c>
      <c r="BM133" s="32">
        <v>612145181573</v>
      </c>
      <c r="BN133" s="31">
        <v>46217</v>
      </c>
      <c r="BO133" s="32">
        <v>2000</v>
      </c>
    </row>
    <row r="134" spans="1:67" x14ac:dyDescent="0.25">
      <c r="A134" s="21"/>
      <c r="B134" s="32" t="s">
        <v>167</v>
      </c>
      <c r="C134" s="31">
        <v>46218</v>
      </c>
      <c r="D134" s="32" t="s">
        <v>1120</v>
      </c>
      <c r="E134" s="32" t="s">
        <v>190</v>
      </c>
      <c r="F134" s="32" t="s">
        <v>191</v>
      </c>
      <c r="G134" s="32" t="s">
        <v>1121</v>
      </c>
      <c r="H134" s="32">
        <v>5437</v>
      </c>
      <c r="I134" s="32">
        <v>5437</v>
      </c>
      <c r="J134" s="32" t="s">
        <v>168</v>
      </c>
      <c r="K134" s="32">
        <v>5437</v>
      </c>
      <c r="L134" s="32">
        <v>0</v>
      </c>
      <c r="M134" s="32">
        <v>5437</v>
      </c>
      <c r="N134" s="32" t="s">
        <v>1122</v>
      </c>
      <c r="O134" s="32" t="s">
        <v>659</v>
      </c>
      <c r="P134" s="32" t="s">
        <v>659</v>
      </c>
      <c r="Q134" s="32" t="s">
        <v>827</v>
      </c>
      <c r="R134" s="31">
        <v>46218</v>
      </c>
      <c r="S134" s="32" t="s">
        <v>987</v>
      </c>
      <c r="T134" s="32" t="s">
        <v>988</v>
      </c>
      <c r="U134" s="32" t="s">
        <v>826</v>
      </c>
      <c r="V134" s="32">
        <v>232.54</v>
      </c>
      <c r="W134" s="32">
        <v>232.54</v>
      </c>
      <c r="X134" s="32" t="s">
        <v>827</v>
      </c>
      <c r="Y134" s="31">
        <v>46218</v>
      </c>
      <c r="Z134" s="32"/>
      <c r="AA134" s="32">
        <v>0</v>
      </c>
      <c r="AB134" s="32"/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32" t="s">
        <v>965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/>
      <c r="AQ134" s="32">
        <v>0</v>
      </c>
      <c r="AR134" s="32">
        <v>0</v>
      </c>
      <c r="AS134" s="32">
        <v>1491897.58</v>
      </c>
      <c r="AT134" s="32" t="s">
        <v>192</v>
      </c>
      <c r="AU134" s="32" t="s">
        <v>152</v>
      </c>
      <c r="AV134" s="32" t="s">
        <v>152</v>
      </c>
      <c r="AW134" s="32" t="s">
        <v>171</v>
      </c>
      <c r="AX134" s="32" t="s">
        <v>966</v>
      </c>
      <c r="AY134" s="32">
        <v>0</v>
      </c>
      <c r="AZ134" s="32">
        <v>1264319.98</v>
      </c>
      <c r="BA134" s="32">
        <v>332</v>
      </c>
      <c r="BB134" s="31">
        <v>46218</v>
      </c>
      <c r="BC134" s="32" t="s">
        <v>177</v>
      </c>
      <c r="BD134" s="32" t="s">
        <v>967</v>
      </c>
      <c r="BE134" s="32" t="s">
        <v>967</v>
      </c>
      <c r="BF134" s="32">
        <v>9</v>
      </c>
      <c r="BG134" s="32">
        <v>113788.8</v>
      </c>
      <c r="BH134" s="32">
        <v>9</v>
      </c>
      <c r="BI134" s="32">
        <v>113788.8</v>
      </c>
      <c r="BJ134" s="32">
        <v>0</v>
      </c>
      <c r="BK134" s="32">
        <v>0</v>
      </c>
      <c r="BL134" s="32">
        <v>1491897.58</v>
      </c>
      <c r="BM134" s="32">
        <v>642145560263</v>
      </c>
      <c r="BN134" s="31">
        <v>46218</v>
      </c>
      <c r="BO134" s="32">
        <v>5437</v>
      </c>
    </row>
    <row r="135" spans="1:67" x14ac:dyDescent="0.25">
      <c r="A135" s="21"/>
      <c r="B135" s="32" t="s">
        <v>167</v>
      </c>
      <c r="C135" s="31">
        <v>46218</v>
      </c>
      <c r="D135" s="32" t="s">
        <v>1123</v>
      </c>
      <c r="E135" s="32" t="s">
        <v>183</v>
      </c>
      <c r="F135" s="32" t="s">
        <v>184</v>
      </c>
      <c r="G135" s="32" t="s">
        <v>1124</v>
      </c>
      <c r="H135" s="32">
        <v>4000</v>
      </c>
      <c r="I135" s="32">
        <v>4000</v>
      </c>
      <c r="J135" s="32" t="s">
        <v>168</v>
      </c>
      <c r="K135" s="32">
        <v>4000</v>
      </c>
      <c r="L135" s="32">
        <v>0</v>
      </c>
      <c r="M135" s="32">
        <v>4000</v>
      </c>
      <c r="N135" s="32" t="s">
        <v>1051</v>
      </c>
      <c r="O135" s="32" t="s">
        <v>665</v>
      </c>
      <c r="P135" s="32" t="s">
        <v>665</v>
      </c>
      <c r="Q135" s="32" t="s">
        <v>817</v>
      </c>
      <c r="R135" s="31">
        <v>46217</v>
      </c>
      <c r="S135" s="32" t="s">
        <v>987</v>
      </c>
      <c r="T135" s="32" t="s">
        <v>988</v>
      </c>
      <c r="U135" s="32" t="s">
        <v>816</v>
      </c>
      <c r="V135" s="32">
        <v>38</v>
      </c>
      <c r="W135" s="32">
        <v>38</v>
      </c>
      <c r="X135" s="32" t="s">
        <v>817</v>
      </c>
      <c r="Y135" s="31">
        <v>46217</v>
      </c>
      <c r="Z135" s="32"/>
      <c r="AA135" s="32">
        <v>0</v>
      </c>
      <c r="AB135" s="32"/>
      <c r="AC135" s="32">
        <v>0</v>
      </c>
      <c r="AD135" s="32">
        <v>0</v>
      </c>
      <c r="AE135" s="32">
        <v>0</v>
      </c>
      <c r="AF135" s="32">
        <v>0</v>
      </c>
      <c r="AG135" s="32">
        <v>0</v>
      </c>
      <c r="AH135" s="32">
        <v>0</v>
      </c>
      <c r="AI135" s="32">
        <v>0</v>
      </c>
      <c r="AJ135" s="32" t="s">
        <v>965</v>
      </c>
      <c r="AK135" s="32">
        <v>0</v>
      </c>
      <c r="AL135" s="32">
        <v>0</v>
      </c>
      <c r="AM135" s="32">
        <v>0</v>
      </c>
      <c r="AN135" s="32">
        <v>0</v>
      </c>
      <c r="AO135" s="32">
        <v>0</v>
      </c>
      <c r="AP135" s="32"/>
      <c r="AQ135" s="32">
        <v>0</v>
      </c>
      <c r="AR135" s="32">
        <v>0</v>
      </c>
      <c r="AS135" s="32">
        <v>620508.43000000005</v>
      </c>
      <c r="AT135" s="32" t="s">
        <v>171</v>
      </c>
      <c r="AU135" s="32" t="s">
        <v>185</v>
      </c>
      <c r="AV135" s="32" t="s">
        <v>164</v>
      </c>
      <c r="AW135" s="32" t="s">
        <v>171</v>
      </c>
      <c r="AX135" s="32" t="s">
        <v>1125</v>
      </c>
      <c r="AY135" s="32">
        <v>0</v>
      </c>
      <c r="AZ135" s="32">
        <v>152000</v>
      </c>
      <c r="BA135" s="32">
        <v>330</v>
      </c>
      <c r="BB135" s="31">
        <v>46218</v>
      </c>
      <c r="BC135" s="32" t="s">
        <v>189</v>
      </c>
      <c r="BD135" s="32" t="s">
        <v>967</v>
      </c>
      <c r="BE135" s="32" t="s">
        <v>967</v>
      </c>
      <c r="BF135" s="32">
        <v>9</v>
      </c>
      <c r="BG135" s="32">
        <v>13680</v>
      </c>
      <c r="BH135" s="32">
        <v>9</v>
      </c>
      <c r="BI135" s="32">
        <v>13680</v>
      </c>
      <c r="BJ135" s="32">
        <v>0</v>
      </c>
      <c r="BK135" s="32">
        <v>0</v>
      </c>
      <c r="BL135" s="32">
        <v>620508.43000000005</v>
      </c>
      <c r="BM135" s="32">
        <v>632145137093</v>
      </c>
      <c r="BN135" s="31">
        <v>46217</v>
      </c>
      <c r="BO135" s="32">
        <v>4000</v>
      </c>
    </row>
    <row r="136" spans="1:67" x14ac:dyDescent="0.25">
      <c r="A136" s="21"/>
      <c r="B136" s="32" t="s">
        <v>167</v>
      </c>
      <c r="C136" s="31">
        <v>46218</v>
      </c>
      <c r="D136" s="32" t="s">
        <v>1123</v>
      </c>
      <c r="E136" s="32" t="s">
        <v>186</v>
      </c>
      <c r="F136" s="32" t="s">
        <v>187</v>
      </c>
      <c r="G136" s="32" t="s">
        <v>1124</v>
      </c>
      <c r="H136" s="32">
        <v>2389</v>
      </c>
      <c r="I136" s="32">
        <v>2389</v>
      </c>
      <c r="J136" s="32" t="s">
        <v>168</v>
      </c>
      <c r="K136" s="32">
        <v>2389</v>
      </c>
      <c r="L136" s="32">
        <v>0</v>
      </c>
      <c r="M136" s="32">
        <v>2389</v>
      </c>
      <c r="N136" s="32" t="s">
        <v>1051</v>
      </c>
      <c r="O136" s="32" t="s">
        <v>665</v>
      </c>
      <c r="P136" s="32" t="s">
        <v>665</v>
      </c>
      <c r="Q136" s="32" t="s">
        <v>817</v>
      </c>
      <c r="R136" s="31">
        <v>46217</v>
      </c>
      <c r="S136" s="32" t="s">
        <v>987</v>
      </c>
      <c r="T136" s="32" t="s">
        <v>988</v>
      </c>
      <c r="U136" s="32" t="s">
        <v>816</v>
      </c>
      <c r="V136" s="32">
        <v>156.49</v>
      </c>
      <c r="W136" s="32">
        <v>156.49</v>
      </c>
      <c r="X136" s="32" t="s">
        <v>817</v>
      </c>
      <c r="Y136" s="31">
        <v>46217</v>
      </c>
      <c r="Z136" s="32"/>
      <c r="AA136" s="32">
        <v>0</v>
      </c>
      <c r="AB136" s="32"/>
      <c r="AC136" s="32">
        <v>0</v>
      </c>
      <c r="AD136" s="32">
        <v>0</v>
      </c>
      <c r="AE136" s="32">
        <v>0</v>
      </c>
      <c r="AF136" s="32">
        <v>0</v>
      </c>
      <c r="AG136" s="32">
        <v>0</v>
      </c>
      <c r="AH136" s="32">
        <v>0</v>
      </c>
      <c r="AI136" s="32">
        <v>0</v>
      </c>
      <c r="AJ136" s="32" t="s">
        <v>965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/>
      <c r="AQ136" s="32">
        <v>0</v>
      </c>
      <c r="AR136" s="32">
        <v>0</v>
      </c>
      <c r="AS136" s="32">
        <v>620508.43000000005</v>
      </c>
      <c r="AT136" s="32" t="s">
        <v>169</v>
      </c>
      <c r="AU136" s="32" t="s">
        <v>180</v>
      </c>
      <c r="AV136" s="32" t="s">
        <v>155</v>
      </c>
      <c r="AW136" s="32" t="s">
        <v>171</v>
      </c>
      <c r="AX136" s="32" t="s">
        <v>966</v>
      </c>
      <c r="AY136" s="32">
        <v>0</v>
      </c>
      <c r="AZ136" s="32">
        <v>373854.61</v>
      </c>
      <c r="BA136" s="32">
        <v>330</v>
      </c>
      <c r="BB136" s="31">
        <v>46218</v>
      </c>
      <c r="BC136" s="32" t="s">
        <v>189</v>
      </c>
      <c r="BD136" s="32" t="s">
        <v>967</v>
      </c>
      <c r="BE136" s="32" t="s">
        <v>967</v>
      </c>
      <c r="BF136" s="32">
        <v>9</v>
      </c>
      <c r="BG136" s="32">
        <v>33646.910000000003</v>
      </c>
      <c r="BH136" s="32">
        <v>9</v>
      </c>
      <c r="BI136" s="32">
        <v>33646.910000000003</v>
      </c>
      <c r="BJ136" s="32">
        <v>0</v>
      </c>
      <c r="BK136" s="32">
        <v>0</v>
      </c>
      <c r="BL136" s="32">
        <v>0</v>
      </c>
      <c r="BM136" s="32">
        <v>632145137093</v>
      </c>
      <c r="BN136" s="31">
        <v>46217</v>
      </c>
      <c r="BO136" s="32">
        <v>2389</v>
      </c>
    </row>
    <row r="137" spans="1:67" x14ac:dyDescent="0.25">
      <c r="A137" s="21"/>
      <c r="B137" s="32" t="s">
        <v>167</v>
      </c>
      <c r="C137" s="31">
        <v>46218</v>
      </c>
      <c r="D137" s="32" t="s">
        <v>1126</v>
      </c>
      <c r="E137" s="32" t="s">
        <v>301</v>
      </c>
      <c r="F137" s="32" t="s">
        <v>302</v>
      </c>
      <c r="G137" s="32" t="s">
        <v>1127</v>
      </c>
      <c r="H137" s="32">
        <v>5000</v>
      </c>
      <c r="I137" s="32">
        <v>5028.7</v>
      </c>
      <c r="J137" s="32" t="s">
        <v>168</v>
      </c>
      <c r="K137" s="32">
        <v>5028.7</v>
      </c>
      <c r="L137" s="32">
        <v>-28.6999999999998</v>
      </c>
      <c r="M137" s="32">
        <v>5028.7</v>
      </c>
      <c r="N137" s="32" t="s">
        <v>1128</v>
      </c>
      <c r="O137" s="32" t="s">
        <v>820</v>
      </c>
      <c r="P137" s="32" t="s">
        <v>820</v>
      </c>
      <c r="Q137" s="32" t="s">
        <v>822</v>
      </c>
      <c r="R137" s="31">
        <v>46217</v>
      </c>
      <c r="S137" s="32" t="s">
        <v>987</v>
      </c>
      <c r="T137" s="32" t="s">
        <v>988</v>
      </c>
      <c r="U137" s="32" t="s">
        <v>821</v>
      </c>
      <c r="V137" s="32">
        <v>177</v>
      </c>
      <c r="W137" s="32">
        <v>177</v>
      </c>
      <c r="X137" s="32" t="s">
        <v>822</v>
      </c>
      <c r="Y137" s="31">
        <v>46217</v>
      </c>
      <c r="Z137" s="32"/>
      <c r="AA137" s="32">
        <v>0</v>
      </c>
      <c r="AB137" s="32"/>
      <c r="AC137" s="32" t="s">
        <v>1033</v>
      </c>
      <c r="AD137" s="32">
        <v>2041</v>
      </c>
      <c r="AE137" s="32">
        <v>0</v>
      </c>
      <c r="AF137" s="32">
        <v>0</v>
      </c>
      <c r="AG137" s="32">
        <v>0</v>
      </c>
      <c r="AH137" s="32">
        <v>0</v>
      </c>
      <c r="AI137" s="32">
        <v>0</v>
      </c>
      <c r="AJ137" s="32" t="s">
        <v>965</v>
      </c>
      <c r="AK137" s="32">
        <v>0</v>
      </c>
      <c r="AL137" s="32">
        <v>0</v>
      </c>
      <c r="AM137" s="32">
        <v>0</v>
      </c>
      <c r="AN137" s="32">
        <v>0</v>
      </c>
      <c r="AO137" s="32">
        <v>0</v>
      </c>
      <c r="AP137" s="32"/>
      <c r="AQ137" s="32">
        <v>0</v>
      </c>
      <c r="AR137" s="32">
        <v>0</v>
      </c>
      <c r="AS137" s="32">
        <v>934583.9</v>
      </c>
      <c r="AT137" s="32" t="s">
        <v>169</v>
      </c>
      <c r="AU137" s="32" t="s">
        <v>170</v>
      </c>
      <c r="AV137" s="32" t="s">
        <v>157</v>
      </c>
      <c r="AW137" s="32" t="s">
        <v>171</v>
      </c>
      <c r="AX137" s="32" t="s">
        <v>966</v>
      </c>
      <c r="AY137" s="32">
        <v>0</v>
      </c>
      <c r="AZ137" s="32">
        <v>890079.9</v>
      </c>
      <c r="BA137" s="32">
        <v>328</v>
      </c>
      <c r="BB137" s="31">
        <v>46218</v>
      </c>
      <c r="BC137" s="32" t="s">
        <v>823</v>
      </c>
      <c r="BD137" s="32" t="s">
        <v>967</v>
      </c>
      <c r="BE137" s="32" t="s">
        <v>1129</v>
      </c>
      <c r="BF137" s="32">
        <v>2.5</v>
      </c>
      <c r="BG137" s="32">
        <v>22252</v>
      </c>
      <c r="BH137" s="32">
        <v>2.5</v>
      </c>
      <c r="BI137" s="32">
        <v>22252</v>
      </c>
      <c r="BJ137" s="32">
        <v>0</v>
      </c>
      <c r="BK137" s="32">
        <v>0</v>
      </c>
      <c r="BL137" s="32">
        <v>934583.9</v>
      </c>
      <c r="BM137" s="32">
        <v>672145188345</v>
      </c>
      <c r="BN137" s="31">
        <v>46217</v>
      </c>
      <c r="BO137" s="32">
        <v>5028.7</v>
      </c>
    </row>
    <row r="138" spans="1:67" x14ac:dyDescent="0.25">
      <c r="A138" s="21"/>
      <c r="B138" s="32" t="s">
        <v>167</v>
      </c>
      <c r="C138" s="31">
        <v>46218</v>
      </c>
      <c r="D138" s="32" t="s">
        <v>1130</v>
      </c>
      <c r="E138" s="32" t="s">
        <v>301</v>
      </c>
      <c r="F138" s="32" t="s">
        <v>302</v>
      </c>
      <c r="G138" s="32" t="s">
        <v>1131</v>
      </c>
      <c r="H138" s="32">
        <v>1190</v>
      </c>
      <c r="I138" s="32">
        <v>1190</v>
      </c>
      <c r="J138" s="32" t="s">
        <v>168</v>
      </c>
      <c r="K138" s="32">
        <v>1190</v>
      </c>
      <c r="L138" s="32">
        <v>0</v>
      </c>
      <c r="M138" s="32">
        <v>1190</v>
      </c>
      <c r="N138" s="32" t="s">
        <v>1132</v>
      </c>
      <c r="O138" s="32" t="s">
        <v>676</v>
      </c>
      <c r="P138" s="32" t="s">
        <v>676</v>
      </c>
      <c r="Q138" s="32" t="s">
        <v>819</v>
      </c>
      <c r="R138" s="31">
        <v>46217</v>
      </c>
      <c r="S138" s="32" t="s">
        <v>987</v>
      </c>
      <c r="T138" s="32" t="s">
        <v>988</v>
      </c>
      <c r="U138" s="32" t="s">
        <v>818</v>
      </c>
      <c r="V138" s="32">
        <v>166.65</v>
      </c>
      <c r="W138" s="32">
        <v>166.65</v>
      </c>
      <c r="X138" s="32" t="s">
        <v>819</v>
      </c>
      <c r="Y138" s="31">
        <v>46217</v>
      </c>
      <c r="Z138" s="32"/>
      <c r="AA138" s="32">
        <v>0</v>
      </c>
      <c r="AB138" s="32"/>
      <c r="AC138" s="32">
        <v>0</v>
      </c>
      <c r="AD138" s="32">
        <v>0</v>
      </c>
      <c r="AE138" s="32">
        <v>0</v>
      </c>
      <c r="AF138" s="32">
        <v>0</v>
      </c>
      <c r="AG138" s="32">
        <v>0</v>
      </c>
      <c r="AH138" s="32">
        <v>0</v>
      </c>
      <c r="AI138" s="32">
        <v>0</v>
      </c>
      <c r="AJ138" s="32" t="s">
        <v>965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/>
      <c r="AQ138" s="32">
        <v>0</v>
      </c>
      <c r="AR138" s="32">
        <v>0</v>
      </c>
      <c r="AS138" s="32">
        <v>208229.18</v>
      </c>
      <c r="AT138" s="32" t="s">
        <v>169</v>
      </c>
      <c r="AU138" s="32" t="s">
        <v>170</v>
      </c>
      <c r="AV138" s="32" t="s">
        <v>157</v>
      </c>
      <c r="AW138" s="32" t="s">
        <v>171</v>
      </c>
      <c r="AX138" s="32" t="s">
        <v>966</v>
      </c>
      <c r="AY138" s="32">
        <v>0</v>
      </c>
      <c r="AZ138" s="32">
        <v>198313.5</v>
      </c>
      <c r="BA138" s="32">
        <v>329</v>
      </c>
      <c r="BB138" s="31">
        <v>46218</v>
      </c>
      <c r="BC138" s="32" t="s">
        <v>172</v>
      </c>
      <c r="BD138" s="32" t="s">
        <v>967</v>
      </c>
      <c r="BE138" s="32" t="s">
        <v>967</v>
      </c>
      <c r="BF138" s="32">
        <v>2.5</v>
      </c>
      <c r="BG138" s="32">
        <v>4957.84</v>
      </c>
      <c r="BH138" s="32">
        <v>2.5</v>
      </c>
      <c r="BI138" s="32">
        <v>4957.84</v>
      </c>
      <c r="BJ138" s="32">
        <v>0</v>
      </c>
      <c r="BK138" s="32">
        <v>0</v>
      </c>
      <c r="BL138" s="32">
        <v>208229.18</v>
      </c>
      <c r="BM138" s="32">
        <v>602145160384</v>
      </c>
      <c r="BN138" s="31">
        <v>46217</v>
      </c>
      <c r="BO138" s="32">
        <v>1190</v>
      </c>
    </row>
    <row r="139" spans="1:67" x14ac:dyDescent="0.25">
      <c r="A139" s="21"/>
      <c r="B139" s="32" t="s">
        <v>167</v>
      </c>
      <c r="C139" s="31">
        <v>46218</v>
      </c>
      <c r="D139" s="32" t="s">
        <v>1133</v>
      </c>
      <c r="E139" s="32" t="s">
        <v>186</v>
      </c>
      <c r="F139" s="32" t="s">
        <v>187</v>
      </c>
      <c r="G139" s="32" t="s">
        <v>1134</v>
      </c>
      <c r="H139" s="32">
        <v>549</v>
      </c>
      <c r="I139" s="32">
        <v>549</v>
      </c>
      <c r="J139" s="32" t="s">
        <v>168</v>
      </c>
      <c r="K139" s="32">
        <v>549</v>
      </c>
      <c r="L139" s="32">
        <v>0</v>
      </c>
      <c r="M139" s="32">
        <v>549</v>
      </c>
      <c r="N139" s="32" t="s">
        <v>175</v>
      </c>
      <c r="O139" s="32" t="s">
        <v>654</v>
      </c>
      <c r="P139" s="32" t="s">
        <v>654</v>
      </c>
      <c r="Q139" s="32" t="s">
        <v>825</v>
      </c>
      <c r="R139" s="31">
        <v>46218</v>
      </c>
      <c r="S139" s="32" t="s">
        <v>987</v>
      </c>
      <c r="T139" s="32" t="s">
        <v>988</v>
      </c>
      <c r="U139" s="32" t="s">
        <v>824</v>
      </c>
      <c r="V139" s="32">
        <v>144.49</v>
      </c>
      <c r="W139" s="32">
        <v>144.490000258489</v>
      </c>
      <c r="X139" s="32" t="s">
        <v>825</v>
      </c>
      <c r="Y139" s="31">
        <v>46218</v>
      </c>
      <c r="Z139" s="32"/>
      <c r="AA139" s="32">
        <v>0</v>
      </c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 t="s">
        <v>965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/>
      <c r="AQ139" s="32">
        <v>0</v>
      </c>
      <c r="AR139" s="32">
        <v>0</v>
      </c>
      <c r="AS139" s="32">
        <v>1117957.1200000001</v>
      </c>
      <c r="AT139" s="32" t="s">
        <v>169</v>
      </c>
      <c r="AU139" s="32" t="s">
        <v>180</v>
      </c>
      <c r="AV139" s="32" t="s">
        <v>155</v>
      </c>
      <c r="AW139" s="32" t="s">
        <v>171</v>
      </c>
      <c r="AX139" s="32" t="s">
        <v>966</v>
      </c>
      <c r="AY139" s="32">
        <v>0</v>
      </c>
      <c r="AZ139" s="32">
        <v>79325.009999999995</v>
      </c>
      <c r="BA139" s="32">
        <v>331</v>
      </c>
      <c r="BB139" s="31">
        <v>46218</v>
      </c>
      <c r="BC139" s="32" t="s">
        <v>177</v>
      </c>
      <c r="BD139" s="32" t="s">
        <v>967</v>
      </c>
      <c r="BE139" s="32" t="s">
        <v>967</v>
      </c>
      <c r="BF139" s="32">
        <v>9</v>
      </c>
      <c r="BG139" s="32">
        <v>7139.25</v>
      </c>
      <c r="BH139" s="32">
        <v>9</v>
      </c>
      <c r="BI139" s="32">
        <v>7139.25</v>
      </c>
      <c r="BJ139" s="32">
        <v>0</v>
      </c>
      <c r="BK139" s="32">
        <v>0</v>
      </c>
      <c r="BL139" s="32">
        <v>1117957.1200000001</v>
      </c>
      <c r="BM139" s="32">
        <v>652145457830</v>
      </c>
      <c r="BN139" s="31">
        <v>46218</v>
      </c>
      <c r="BO139" s="32">
        <v>549</v>
      </c>
    </row>
    <row r="140" spans="1:67" x14ac:dyDescent="0.25">
      <c r="A140" s="21"/>
      <c r="B140" s="32" t="s">
        <v>167</v>
      </c>
      <c r="C140" s="31">
        <v>46218</v>
      </c>
      <c r="D140" s="32" t="s">
        <v>1133</v>
      </c>
      <c r="E140" s="32" t="s">
        <v>186</v>
      </c>
      <c r="F140" s="32" t="s">
        <v>187</v>
      </c>
      <c r="G140" s="32" t="s">
        <v>1134</v>
      </c>
      <c r="H140" s="32">
        <v>1281</v>
      </c>
      <c r="I140" s="32">
        <v>1281</v>
      </c>
      <c r="J140" s="32" t="s">
        <v>168</v>
      </c>
      <c r="K140" s="32">
        <v>1281</v>
      </c>
      <c r="L140" s="32">
        <v>0</v>
      </c>
      <c r="M140" s="32">
        <v>1281</v>
      </c>
      <c r="N140" s="32" t="s">
        <v>175</v>
      </c>
      <c r="O140" s="32" t="s">
        <v>654</v>
      </c>
      <c r="P140" s="32" t="s">
        <v>654</v>
      </c>
      <c r="Q140" s="32" t="s">
        <v>825</v>
      </c>
      <c r="R140" s="31">
        <v>46218</v>
      </c>
      <c r="S140" s="32" t="s">
        <v>987</v>
      </c>
      <c r="T140" s="32" t="s">
        <v>988</v>
      </c>
      <c r="U140" s="32" t="s">
        <v>824</v>
      </c>
      <c r="V140" s="32">
        <v>149.49</v>
      </c>
      <c r="W140" s="32">
        <v>149.490000267434</v>
      </c>
      <c r="X140" s="32" t="s">
        <v>825</v>
      </c>
      <c r="Y140" s="31">
        <v>46218</v>
      </c>
      <c r="Z140" s="32"/>
      <c r="AA140" s="32">
        <v>0</v>
      </c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 t="s">
        <v>965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/>
      <c r="AQ140" s="32">
        <v>0</v>
      </c>
      <c r="AR140" s="32">
        <v>0</v>
      </c>
      <c r="AS140" s="32">
        <v>1117957.1200000001</v>
      </c>
      <c r="AT140" s="32" t="s">
        <v>169</v>
      </c>
      <c r="AU140" s="32" t="s">
        <v>180</v>
      </c>
      <c r="AV140" s="32" t="s">
        <v>155</v>
      </c>
      <c r="AW140" s="32" t="s">
        <v>171</v>
      </c>
      <c r="AX140" s="32" t="s">
        <v>966</v>
      </c>
      <c r="AY140" s="32">
        <v>0</v>
      </c>
      <c r="AZ140" s="32">
        <v>191496.69</v>
      </c>
      <c r="BA140" s="32">
        <v>331</v>
      </c>
      <c r="BB140" s="31">
        <v>46218</v>
      </c>
      <c r="BC140" s="32" t="s">
        <v>177</v>
      </c>
      <c r="BD140" s="32" t="s">
        <v>967</v>
      </c>
      <c r="BE140" s="32" t="s">
        <v>967</v>
      </c>
      <c r="BF140" s="32">
        <v>9</v>
      </c>
      <c r="BG140" s="32">
        <v>17234.7</v>
      </c>
      <c r="BH140" s="32">
        <v>9</v>
      </c>
      <c r="BI140" s="32">
        <v>17234.7</v>
      </c>
      <c r="BJ140" s="32">
        <v>0</v>
      </c>
      <c r="BK140" s="32">
        <v>0</v>
      </c>
      <c r="BL140" s="32">
        <v>0</v>
      </c>
      <c r="BM140" s="32">
        <v>652145457830</v>
      </c>
      <c r="BN140" s="31">
        <v>46218</v>
      </c>
      <c r="BO140" s="32">
        <v>1281</v>
      </c>
    </row>
    <row r="141" spans="1:67" x14ac:dyDescent="0.25">
      <c r="A141" s="21"/>
      <c r="B141" s="32" t="s">
        <v>167</v>
      </c>
      <c r="C141" s="31">
        <v>46218</v>
      </c>
      <c r="D141" s="32" t="s">
        <v>1133</v>
      </c>
      <c r="E141" s="32" t="s">
        <v>301</v>
      </c>
      <c r="F141" s="32" t="s">
        <v>302</v>
      </c>
      <c r="G141" s="32" t="s">
        <v>1134</v>
      </c>
      <c r="H141" s="32">
        <v>32</v>
      </c>
      <c r="I141" s="32">
        <v>32</v>
      </c>
      <c r="J141" s="32" t="s">
        <v>168</v>
      </c>
      <c r="K141" s="32">
        <v>32</v>
      </c>
      <c r="L141" s="32">
        <v>0</v>
      </c>
      <c r="M141" s="32">
        <v>32</v>
      </c>
      <c r="N141" s="32" t="s">
        <v>175</v>
      </c>
      <c r="O141" s="32" t="s">
        <v>654</v>
      </c>
      <c r="P141" s="32" t="s">
        <v>654</v>
      </c>
      <c r="Q141" s="32" t="s">
        <v>825</v>
      </c>
      <c r="R141" s="31">
        <v>46218</v>
      </c>
      <c r="S141" s="32" t="s">
        <v>987</v>
      </c>
      <c r="T141" s="32" t="s">
        <v>988</v>
      </c>
      <c r="U141" s="32" t="s">
        <v>824</v>
      </c>
      <c r="V141" s="32">
        <v>157.99</v>
      </c>
      <c r="W141" s="32">
        <v>157.99000028264101</v>
      </c>
      <c r="X141" s="32" t="s">
        <v>825</v>
      </c>
      <c r="Y141" s="31">
        <v>46218</v>
      </c>
      <c r="Z141" s="32"/>
      <c r="AA141" s="32">
        <v>0</v>
      </c>
      <c r="AB141" s="32"/>
      <c r="AC141" s="32">
        <v>0</v>
      </c>
      <c r="AD141" s="32">
        <v>0</v>
      </c>
      <c r="AE141" s="32">
        <v>0</v>
      </c>
      <c r="AF141" s="32">
        <v>0</v>
      </c>
      <c r="AG141" s="32">
        <v>0</v>
      </c>
      <c r="AH141" s="32">
        <v>0</v>
      </c>
      <c r="AI141" s="32">
        <v>0</v>
      </c>
      <c r="AJ141" s="32" t="s">
        <v>965</v>
      </c>
      <c r="AK141" s="32">
        <v>0</v>
      </c>
      <c r="AL141" s="32">
        <v>0</v>
      </c>
      <c r="AM141" s="32">
        <v>0</v>
      </c>
      <c r="AN141" s="32">
        <v>0</v>
      </c>
      <c r="AO141" s="32">
        <v>0</v>
      </c>
      <c r="AP141" s="32"/>
      <c r="AQ141" s="32">
        <v>0</v>
      </c>
      <c r="AR141" s="32">
        <v>0</v>
      </c>
      <c r="AS141" s="32">
        <v>1117957.1200000001</v>
      </c>
      <c r="AT141" s="32" t="s">
        <v>169</v>
      </c>
      <c r="AU141" s="32" t="s">
        <v>170</v>
      </c>
      <c r="AV141" s="32" t="s">
        <v>157</v>
      </c>
      <c r="AW141" s="32" t="s">
        <v>171</v>
      </c>
      <c r="AX141" s="32" t="s">
        <v>966</v>
      </c>
      <c r="AY141" s="32">
        <v>0</v>
      </c>
      <c r="AZ141" s="32">
        <v>5055.68</v>
      </c>
      <c r="BA141" s="32">
        <v>331</v>
      </c>
      <c r="BB141" s="31">
        <v>46218</v>
      </c>
      <c r="BC141" s="32" t="s">
        <v>177</v>
      </c>
      <c r="BD141" s="32" t="s">
        <v>967</v>
      </c>
      <c r="BE141" s="32" t="s">
        <v>967</v>
      </c>
      <c r="BF141" s="32">
        <v>2.5</v>
      </c>
      <c r="BG141" s="32">
        <v>126.39</v>
      </c>
      <c r="BH141" s="32">
        <v>2.5</v>
      </c>
      <c r="BI141" s="32">
        <v>126.39</v>
      </c>
      <c r="BJ141" s="32">
        <v>0</v>
      </c>
      <c r="BK141" s="32">
        <v>0</v>
      </c>
      <c r="BL141" s="32">
        <v>0</v>
      </c>
      <c r="BM141" s="32">
        <v>652145457830</v>
      </c>
      <c r="BN141" s="31">
        <v>46218</v>
      </c>
      <c r="BO141" s="32">
        <v>32</v>
      </c>
    </row>
    <row r="142" spans="1:67" x14ac:dyDescent="0.25">
      <c r="A142" s="21"/>
      <c r="B142" s="32" t="s">
        <v>167</v>
      </c>
      <c r="C142" s="31">
        <v>46218</v>
      </c>
      <c r="D142" s="32" t="s">
        <v>1133</v>
      </c>
      <c r="E142" s="32" t="s">
        <v>199</v>
      </c>
      <c r="F142" s="32" t="s">
        <v>200</v>
      </c>
      <c r="G142" s="32" t="s">
        <v>1134</v>
      </c>
      <c r="H142" s="32">
        <v>673.9</v>
      </c>
      <c r="I142" s="32">
        <v>673.9</v>
      </c>
      <c r="J142" s="32" t="s">
        <v>168</v>
      </c>
      <c r="K142" s="32">
        <v>673.9</v>
      </c>
      <c r="L142" s="32">
        <v>0</v>
      </c>
      <c r="M142" s="32">
        <v>673.9</v>
      </c>
      <c r="N142" s="32" t="s">
        <v>175</v>
      </c>
      <c r="O142" s="32" t="s">
        <v>654</v>
      </c>
      <c r="P142" s="32" t="s">
        <v>654</v>
      </c>
      <c r="Q142" s="32" t="s">
        <v>825</v>
      </c>
      <c r="R142" s="31">
        <v>46218</v>
      </c>
      <c r="S142" s="32" t="s">
        <v>987</v>
      </c>
      <c r="T142" s="32" t="s">
        <v>988</v>
      </c>
      <c r="U142" s="32" t="s">
        <v>824</v>
      </c>
      <c r="V142" s="32">
        <v>172.78</v>
      </c>
      <c r="W142" s="32">
        <v>172.78000030909999</v>
      </c>
      <c r="X142" s="32" t="s">
        <v>825</v>
      </c>
      <c r="Y142" s="31">
        <v>46218</v>
      </c>
      <c r="Z142" s="32"/>
      <c r="AA142" s="32">
        <v>0</v>
      </c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 t="s">
        <v>965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/>
      <c r="AQ142" s="32">
        <v>0</v>
      </c>
      <c r="AR142" s="32">
        <v>0</v>
      </c>
      <c r="AS142" s="32">
        <v>1117957.1200000001</v>
      </c>
      <c r="AT142" s="32" t="s">
        <v>169</v>
      </c>
      <c r="AU142" s="32" t="s">
        <v>201</v>
      </c>
      <c r="AV142" s="32" t="s">
        <v>158</v>
      </c>
      <c r="AW142" s="32" t="s">
        <v>171</v>
      </c>
      <c r="AX142" s="32" t="s">
        <v>966</v>
      </c>
      <c r="AY142" s="32">
        <v>0</v>
      </c>
      <c r="AZ142" s="32">
        <v>116436.44</v>
      </c>
      <c r="BA142" s="32">
        <v>331</v>
      </c>
      <c r="BB142" s="31">
        <v>46218</v>
      </c>
      <c r="BC142" s="32" t="s">
        <v>177</v>
      </c>
      <c r="BD142" s="32" t="s">
        <v>967</v>
      </c>
      <c r="BE142" s="32" t="s">
        <v>967</v>
      </c>
      <c r="BF142" s="32">
        <v>9</v>
      </c>
      <c r="BG142" s="32">
        <v>10479.280000000001</v>
      </c>
      <c r="BH142" s="32">
        <v>9</v>
      </c>
      <c r="BI142" s="32">
        <v>10479.280000000001</v>
      </c>
      <c r="BJ142" s="32">
        <v>0</v>
      </c>
      <c r="BK142" s="32">
        <v>0</v>
      </c>
      <c r="BL142" s="32">
        <v>0</v>
      </c>
      <c r="BM142" s="32">
        <v>652145457830</v>
      </c>
      <c r="BN142" s="31">
        <v>46218</v>
      </c>
      <c r="BO142" s="32">
        <v>673.9</v>
      </c>
    </row>
    <row r="143" spans="1:67" x14ac:dyDescent="0.25">
      <c r="A143" s="21"/>
      <c r="B143" s="32" t="s">
        <v>167</v>
      </c>
      <c r="C143" s="31">
        <v>46218</v>
      </c>
      <c r="D143" s="32" t="s">
        <v>1133</v>
      </c>
      <c r="E143" s="32" t="s">
        <v>173</v>
      </c>
      <c r="F143" s="32" t="s">
        <v>174</v>
      </c>
      <c r="G143" s="32" t="s">
        <v>1134</v>
      </c>
      <c r="H143" s="32">
        <v>458</v>
      </c>
      <c r="I143" s="32">
        <v>458</v>
      </c>
      <c r="J143" s="32" t="s">
        <v>168</v>
      </c>
      <c r="K143" s="32">
        <v>458</v>
      </c>
      <c r="L143" s="32">
        <v>0</v>
      </c>
      <c r="M143" s="32">
        <v>458</v>
      </c>
      <c r="N143" s="32" t="s">
        <v>175</v>
      </c>
      <c r="O143" s="32" t="s">
        <v>654</v>
      </c>
      <c r="P143" s="32" t="s">
        <v>654</v>
      </c>
      <c r="Q143" s="32" t="s">
        <v>825</v>
      </c>
      <c r="R143" s="31">
        <v>46218</v>
      </c>
      <c r="S143" s="32" t="s">
        <v>987</v>
      </c>
      <c r="T143" s="32" t="s">
        <v>988</v>
      </c>
      <c r="U143" s="32" t="s">
        <v>824</v>
      </c>
      <c r="V143" s="32">
        <v>182.78</v>
      </c>
      <c r="W143" s="32">
        <v>182.78000032698901</v>
      </c>
      <c r="X143" s="32" t="s">
        <v>825</v>
      </c>
      <c r="Y143" s="31">
        <v>46218</v>
      </c>
      <c r="Z143" s="32"/>
      <c r="AA143" s="32">
        <v>0</v>
      </c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 t="s">
        <v>965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/>
      <c r="AQ143" s="32">
        <v>0</v>
      </c>
      <c r="AR143" s="32">
        <v>0</v>
      </c>
      <c r="AS143" s="32">
        <v>1117957.1200000001</v>
      </c>
      <c r="AT143" s="32" t="s">
        <v>169</v>
      </c>
      <c r="AU143" s="32" t="s">
        <v>176</v>
      </c>
      <c r="AV143" s="32" t="s">
        <v>159</v>
      </c>
      <c r="AW143" s="32" t="s">
        <v>171</v>
      </c>
      <c r="AX143" s="32" t="s">
        <v>966</v>
      </c>
      <c r="AY143" s="32">
        <v>0</v>
      </c>
      <c r="AZ143" s="32">
        <v>83713.240000000005</v>
      </c>
      <c r="BA143" s="32">
        <v>331</v>
      </c>
      <c r="BB143" s="31">
        <v>46218</v>
      </c>
      <c r="BC143" s="32" t="s">
        <v>177</v>
      </c>
      <c r="BD143" s="32" t="s">
        <v>967</v>
      </c>
      <c r="BE143" s="32" t="s">
        <v>967</v>
      </c>
      <c r="BF143" s="32">
        <v>9</v>
      </c>
      <c r="BG143" s="32">
        <v>7534.19</v>
      </c>
      <c r="BH143" s="32">
        <v>9</v>
      </c>
      <c r="BI143" s="32">
        <v>7534.19</v>
      </c>
      <c r="BJ143" s="32">
        <v>0</v>
      </c>
      <c r="BK143" s="32">
        <v>0</v>
      </c>
      <c r="BL143" s="32">
        <v>0</v>
      </c>
      <c r="BM143" s="32">
        <v>652145457830</v>
      </c>
      <c r="BN143" s="31">
        <v>46218</v>
      </c>
      <c r="BO143" s="32">
        <v>458</v>
      </c>
    </row>
    <row r="144" spans="1:67" x14ac:dyDescent="0.25">
      <c r="A144" s="21"/>
      <c r="B144" s="32" t="s">
        <v>167</v>
      </c>
      <c r="C144" s="31">
        <v>46218</v>
      </c>
      <c r="D144" s="32" t="s">
        <v>1133</v>
      </c>
      <c r="E144" s="32" t="s">
        <v>173</v>
      </c>
      <c r="F144" s="32" t="s">
        <v>174</v>
      </c>
      <c r="G144" s="32" t="s">
        <v>1134</v>
      </c>
      <c r="H144" s="32">
        <v>571.70000000000005</v>
      </c>
      <c r="I144" s="32">
        <v>571.70000000000005</v>
      </c>
      <c r="J144" s="32" t="s">
        <v>168</v>
      </c>
      <c r="K144" s="32">
        <v>571.70000000000005</v>
      </c>
      <c r="L144" s="32">
        <v>0</v>
      </c>
      <c r="M144" s="32">
        <v>571.70000000000005</v>
      </c>
      <c r="N144" s="32" t="s">
        <v>175</v>
      </c>
      <c r="O144" s="32" t="s">
        <v>654</v>
      </c>
      <c r="P144" s="32" t="s">
        <v>654</v>
      </c>
      <c r="Q144" s="32" t="s">
        <v>825</v>
      </c>
      <c r="R144" s="31">
        <v>46218</v>
      </c>
      <c r="S144" s="32" t="s">
        <v>987</v>
      </c>
      <c r="T144" s="32" t="s">
        <v>988</v>
      </c>
      <c r="U144" s="32" t="s">
        <v>824</v>
      </c>
      <c r="V144" s="32">
        <v>206.78</v>
      </c>
      <c r="W144" s="32">
        <v>206.78000036992501</v>
      </c>
      <c r="X144" s="32" t="s">
        <v>825</v>
      </c>
      <c r="Y144" s="31">
        <v>46218</v>
      </c>
      <c r="Z144" s="32"/>
      <c r="AA144" s="32">
        <v>0</v>
      </c>
      <c r="AB144" s="32"/>
      <c r="AC144" s="32">
        <v>0</v>
      </c>
      <c r="AD144" s="32">
        <v>0</v>
      </c>
      <c r="AE144" s="32">
        <v>0</v>
      </c>
      <c r="AF144" s="32">
        <v>0</v>
      </c>
      <c r="AG144" s="32">
        <v>0</v>
      </c>
      <c r="AH144" s="32">
        <v>0</v>
      </c>
      <c r="AI144" s="32">
        <v>0</v>
      </c>
      <c r="AJ144" s="32" t="s">
        <v>965</v>
      </c>
      <c r="AK144" s="32">
        <v>0</v>
      </c>
      <c r="AL144" s="32">
        <v>0</v>
      </c>
      <c r="AM144" s="32">
        <v>0</v>
      </c>
      <c r="AN144" s="32">
        <v>0</v>
      </c>
      <c r="AO144" s="32">
        <v>0</v>
      </c>
      <c r="AP144" s="32"/>
      <c r="AQ144" s="32">
        <v>0</v>
      </c>
      <c r="AR144" s="32">
        <v>0</v>
      </c>
      <c r="AS144" s="32">
        <v>1117957.1200000001</v>
      </c>
      <c r="AT144" s="32" t="s">
        <v>169</v>
      </c>
      <c r="AU144" s="32" t="s">
        <v>176</v>
      </c>
      <c r="AV144" s="32" t="s">
        <v>159</v>
      </c>
      <c r="AW144" s="32" t="s">
        <v>171</v>
      </c>
      <c r="AX144" s="32" t="s">
        <v>966</v>
      </c>
      <c r="AY144" s="32">
        <v>0</v>
      </c>
      <c r="AZ144" s="32">
        <v>118216.13</v>
      </c>
      <c r="BA144" s="32">
        <v>331</v>
      </c>
      <c r="BB144" s="31">
        <v>46218</v>
      </c>
      <c r="BC144" s="32" t="s">
        <v>177</v>
      </c>
      <c r="BD144" s="32" t="s">
        <v>967</v>
      </c>
      <c r="BE144" s="32" t="s">
        <v>967</v>
      </c>
      <c r="BF144" s="32">
        <v>9</v>
      </c>
      <c r="BG144" s="32">
        <v>10639.45</v>
      </c>
      <c r="BH144" s="32">
        <v>9</v>
      </c>
      <c r="BI144" s="32">
        <v>10639.45</v>
      </c>
      <c r="BJ144" s="32">
        <v>0</v>
      </c>
      <c r="BK144" s="32">
        <v>0</v>
      </c>
      <c r="BL144" s="32">
        <v>0</v>
      </c>
      <c r="BM144" s="32">
        <v>652145457830</v>
      </c>
      <c r="BN144" s="31">
        <v>46218</v>
      </c>
      <c r="BO144" s="32">
        <v>571.70000000000005</v>
      </c>
    </row>
    <row r="145" spans="1:67" x14ac:dyDescent="0.25">
      <c r="A145" s="21"/>
      <c r="B145" s="32" t="s">
        <v>167</v>
      </c>
      <c r="C145" s="31">
        <v>46218</v>
      </c>
      <c r="D145" s="32" t="s">
        <v>1133</v>
      </c>
      <c r="E145" s="32" t="s">
        <v>181</v>
      </c>
      <c r="F145" s="32" t="s">
        <v>182</v>
      </c>
      <c r="G145" s="32" t="s">
        <v>1134</v>
      </c>
      <c r="H145" s="32">
        <v>1290.4000000000001</v>
      </c>
      <c r="I145" s="32">
        <v>1290.4000000000001</v>
      </c>
      <c r="J145" s="32" t="s">
        <v>168</v>
      </c>
      <c r="K145" s="32">
        <v>1290.4000000000001</v>
      </c>
      <c r="L145" s="32">
        <v>0</v>
      </c>
      <c r="M145" s="32">
        <v>1290.4000000000001</v>
      </c>
      <c r="N145" s="32" t="s">
        <v>175</v>
      </c>
      <c r="O145" s="32" t="s">
        <v>654</v>
      </c>
      <c r="P145" s="32" t="s">
        <v>654</v>
      </c>
      <c r="Q145" s="32" t="s">
        <v>825</v>
      </c>
      <c r="R145" s="31">
        <v>46218</v>
      </c>
      <c r="S145" s="32" t="s">
        <v>987</v>
      </c>
      <c r="T145" s="32" t="s">
        <v>988</v>
      </c>
      <c r="U145" s="32" t="s">
        <v>824</v>
      </c>
      <c r="V145" s="32">
        <v>149.49</v>
      </c>
      <c r="W145" s="32">
        <v>149.490000267434</v>
      </c>
      <c r="X145" s="32" t="s">
        <v>825</v>
      </c>
      <c r="Y145" s="31">
        <v>46218</v>
      </c>
      <c r="Z145" s="32"/>
      <c r="AA145" s="32">
        <v>0</v>
      </c>
      <c r="AB145" s="32"/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 t="s">
        <v>965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/>
      <c r="AQ145" s="32">
        <v>0</v>
      </c>
      <c r="AR145" s="32">
        <v>0</v>
      </c>
      <c r="AS145" s="32">
        <v>1117957.1200000001</v>
      </c>
      <c r="AT145" s="32" t="s">
        <v>169</v>
      </c>
      <c r="AU145" s="32" t="s">
        <v>182</v>
      </c>
      <c r="AV145" s="32" t="s">
        <v>154</v>
      </c>
      <c r="AW145" s="32" t="s">
        <v>171</v>
      </c>
      <c r="AX145" s="32" t="s">
        <v>966</v>
      </c>
      <c r="AY145" s="32">
        <v>0</v>
      </c>
      <c r="AZ145" s="32">
        <v>192901.9</v>
      </c>
      <c r="BA145" s="32">
        <v>331</v>
      </c>
      <c r="BB145" s="31">
        <v>46218</v>
      </c>
      <c r="BC145" s="32" t="s">
        <v>177</v>
      </c>
      <c r="BD145" s="32" t="s">
        <v>967</v>
      </c>
      <c r="BE145" s="32" t="s">
        <v>967</v>
      </c>
      <c r="BF145" s="32">
        <v>9</v>
      </c>
      <c r="BG145" s="32">
        <v>17361.169999999998</v>
      </c>
      <c r="BH145" s="32">
        <v>9</v>
      </c>
      <c r="BI145" s="32">
        <v>17361.169999999998</v>
      </c>
      <c r="BJ145" s="32">
        <v>0</v>
      </c>
      <c r="BK145" s="32">
        <v>0</v>
      </c>
      <c r="BL145" s="32">
        <v>0</v>
      </c>
      <c r="BM145" s="32">
        <v>652145457830</v>
      </c>
      <c r="BN145" s="31">
        <v>46218</v>
      </c>
      <c r="BO145" s="32">
        <v>1290.4000000000001</v>
      </c>
    </row>
    <row r="146" spans="1:67" x14ac:dyDescent="0.25">
      <c r="A146" s="21"/>
      <c r="B146" s="32" t="s">
        <v>167</v>
      </c>
      <c r="C146" s="31">
        <v>46218</v>
      </c>
      <c r="D146" s="32" t="s">
        <v>1133</v>
      </c>
      <c r="E146" s="32" t="s">
        <v>181</v>
      </c>
      <c r="F146" s="32" t="s">
        <v>182</v>
      </c>
      <c r="G146" s="32" t="s">
        <v>1134</v>
      </c>
      <c r="H146" s="32">
        <v>144.6</v>
      </c>
      <c r="I146" s="32">
        <v>144.6</v>
      </c>
      <c r="J146" s="32" t="s">
        <v>168</v>
      </c>
      <c r="K146" s="32">
        <v>144.6</v>
      </c>
      <c r="L146" s="32">
        <v>0</v>
      </c>
      <c r="M146" s="32">
        <v>144.6</v>
      </c>
      <c r="N146" s="32" t="s">
        <v>175</v>
      </c>
      <c r="O146" s="32" t="s">
        <v>654</v>
      </c>
      <c r="P146" s="32" t="s">
        <v>654</v>
      </c>
      <c r="Q146" s="32" t="s">
        <v>825</v>
      </c>
      <c r="R146" s="31">
        <v>46218</v>
      </c>
      <c r="S146" s="32" t="s">
        <v>987</v>
      </c>
      <c r="T146" s="32" t="s">
        <v>988</v>
      </c>
      <c r="U146" s="32" t="s">
        <v>824</v>
      </c>
      <c r="V146" s="32">
        <v>146.49</v>
      </c>
      <c r="W146" s="32">
        <v>146.49000026206701</v>
      </c>
      <c r="X146" s="32" t="s">
        <v>825</v>
      </c>
      <c r="Y146" s="31">
        <v>46218</v>
      </c>
      <c r="Z146" s="32"/>
      <c r="AA146" s="32">
        <v>0</v>
      </c>
      <c r="AB146" s="32"/>
      <c r="AC146" s="32">
        <v>0</v>
      </c>
      <c r="AD146" s="32">
        <v>0</v>
      </c>
      <c r="AE146" s="32">
        <v>0</v>
      </c>
      <c r="AF146" s="32">
        <v>0</v>
      </c>
      <c r="AG146" s="32">
        <v>0</v>
      </c>
      <c r="AH146" s="32">
        <v>0</v>
      </c>
      <c r="AI146" s="32">
        <v>0</v>
      </c>
      <c r="AJ146" s="32" t="s">
        <v>965</v>
      </c>
      <c r="AK146" s="32">
        <v>0</v>
      </c>
      <c r="AL146" s="32">
        <v>0</v>
      </c>
      <c r="AM146" s="32">
        <v>0</v>
      </c>
      <c r="AN146" s="32">
        <v>0</v>
      </c>
      <c r="AO146" s="32">
        <v>0</v>
      </c>
      <c r="AP146" s="32"/>
      <c r="AQ146" s="32">
        <v>0</v>
      </c>
      <c r="AR146" s="32">
        <v>0</v>
      </c>
      <c r="AS146" s="32">
        <v>1117957.1200000001</v>
      </c>
      <c r="AT146" s="32" t="s">
        <v>169</v>
      </c>
      <c r="AU146" s="32" t="s">
        <v>182</v>
      </c>
      <c r="AV146" s="32" t="s">
        <v>154</v>
      </c>
      <c r="AW146" s="32" t="s">
        <v>171</v>
      </c>
      <c r="AX146" s="32" t="s">
        <v>966</v>
      </c>
      <c r="AY146" s="32">
        <v>0</v>
      </c>
      <c r="AZ146" s="32">
        <v>21182.45</v>
      </c>
      <c r="BA146" s="32">
        <v>331</v>
      </c>
      <c r="BB146" s="31">
        <v>46218</v>
      </c>
      <c r="BC146" s="32" t="s">
        <v>177</v>
      </c>
      <c r="BD146" s="32" t="s">
        <v>967</v>
      </c>
      <c r="BE146" s="32" t="s">
        <v>967</v>
      </c>
      <c r="BF146" s="32">
        <v>9</v>
      </c>
      <c r="BG146" s="32">
        <v>1906.42</v>
      </c>
      <c r="BH146" s="32">
        <v>9</v>
      </c>
      <c r="BI146" s="32">
        <v>1906.42</v>
      </c>
      <c r="BJ146" s="32">
        <v>0</v>
      </c>
      <c r="BK146" s="32">
        <v>0</v>
      </c>
      <c r="BL146" s="32">
        <v>0</v>
      </c>
      <c r="BM146" s="32">
        <v>652145457830</v>
      </c>
      <c r="BN146" s="31">
        <v>46218</v>
      </c>
      <c r="BO146" s="32">
        <v>144.6</v>
      </c>
    </row>
    <row r="147" spans="1:67" x14ac:dyDescent="0.25">
      <c r="A147" s="21"/>
      <c r="B147" s="32" t="s">
        <v>167</v>
      </c>
      <c r="C147" s="31">
        <v>46218</v>
      </c>
      <c r="D147" s="32" t="s">
        <v>1133</v>
      </c>
      <c r="E147" s="32" t="s">
        <v>1008</v>
      </c>
      <c r="F147" s="32" t="s">
        <v>685</v>
      </c>
      <c r="G147" s="32" t="s">
        <v>1134</v>
      </c>
      <c r="H147" s="32">
        <v>224</v>
      </c>
      <c r="I147" s="32">
        <v>224</v>
      </c>
      <c r="J147" s="32" t="s">
        <v>188</v>
      </c>
      <c r="K147" s="32">
        <v>224</v>
      </c>
      <c r="L147" s="32">
        <v>0</v>
      </c>
      <c r="M147" s="32">
        <v>224</v>
      </c>
      <c r="N147" s="32" t="s">
        <v>175</v>
      </c>
      <c r="O147" s="32" t="s">
        <v>654</v>
      </c>
      <c r="P147" s="32" t="s">
        <v>654</v>
      </c>
      <c r="Q147" s="32" t="s">
        <v>825</v>
      </c>
      <c r="R147" s="31">
        <v>46218</v>
      </c>
      <c r="S147" s="32" t="s">
        <v>987</v>
      </c>
      <c r="T147" s="32" t="s">
        <v>988</v>
      </c>
      <c r="U147" s="32" t="s">
        <v>824</v>
      </c>
      <c r="V147" s="32">
        <v>159.49</v>
      </c>
      <c r="W147" s="32">
        <v>159.49000028532399</v>
      </c>
      <c r="X147" s="32" t="s">
        <v>825</v>
      </c>
      <c r="Y147" s="31">
        <v>46218</v>
      </c>
      <c r="Z147" s="32"/>
      <c r="AA147" s="32">
        <v>0</v>
      </c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 t="s">
        <v>965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>
        <v>0</v>
      </c>
      <c r="AS147" s="32">
        <v>1117957.1200000001</v>
      </c>
      <c r="AT147" s="32" t="s">
        <v>169</v>
      </c>
      <c r="AU147" s="32" t="s">
        <v>170</v>
      </c>
      <c r="AV147" s="32" t="s">
        <v>157</v>
      </c>
      <c r="AW147" s="32" t="s">
        <v>171</v>
      </c>
      <c r="AX147" s="32"/>
      <c r="AY147" s="32">
        <v>0</v>
      </c>
      <c r="AZ147" s="32">
        <v>35725.760000000002</v>
      </c>
      <c r="BA147" s="32">
        <v>331</v>
      </c>
      <c r="BB147" s="31">
        <v>46218</v>
      </c>
      <c r="BC147" s="32" t="s">
        <v>177</v>
      </c>
      <c r="BD147" s="32" t="s">
        <v>967</v>
      </c>
      <c r="BE147" s="32" t="s">
        <v>967</v>
      </c>
      <c r="BF147" s="32">
        <v>2.5</v>
      </c>
      <c r="BG147" s="32">
        <v>893.14</v>
      </c>
      <c r="BH147" s="32">
        <v>2.5</v>
      </c>
      <c r="BI147" s="32">
        <v>893.14</v>
      </c>
      <c r="BJ147" s="32">
        <v>0</v>
      </c>
      <c r="BK147" s="32">
        <v>0</v>
      </c>
      <c r="BL147" s="32">
        <v>0</v>
      </c>
      <c r="BM147" s="32">
        <v>652145457830</v>
      </c>
      <c r="BN147" s="31">
        <v>46218</v>
      </c>
      <c r="BO147" s="32">
        <v>224</v>
      </c>
    </row>
    <row r="148" spans="1:67" x14ac:dyDescent="0.25">
      <c r="A148" s="21"/>
      <c r="B148" s="32" t="s">
        <v>167</v>
      </c>
      <c r="C148" s="31">
        <v>46218</v>
      </c>
      <c r="D148" s="32" t="s">
        <v>1133</v>
      </c>
      <c r="E148" s="32" t="s">
        <v>178</v>
      </c>
      <c r="F148" s="32" t="s">
        <v>179</v>
      </c>
      <c r="G148" s="32" t="s">
        <v>1134</v>
      </c>
      <c r="H148" s="32">
        <v>712</v>
      </c>
      <c r="I148" s="32">
        <v>712</v>
      </c>
      <c r="J148" s="32" t="s">
        <v>168</v>
      </c>
      <c r="K148" s="32">
        <v>712</v>
      </c>
      <c r="L148" s="32">
        <v>0</v>
      </c>
      <c r="M148" s="32">
        <v>712</v>
      </c>
      <c r="N148" s="32" t="s">
        <v>175</v>
      </c>
      <c r="O148" s="32" t="s">
        <v>654</v>
      </c>
      <c r="P148" s="32" t="s">
        <v>654</v>
      </c>
      <c r="Q148" s="32" t="s">
        <v>825</v>
      </c>
      <c r="R148" s="31">
        <v>46218</v>
      </c>
      <c r="S148" s="32" t="s">
        <v>987</v>
      </c>
      <c r="T148" s="32" t="s">
        <v>988</v>
      </c>
      <c r="U148" s="32" t="s">
        <v>824</v>
      </c>
      <c r="V148" s="32">
        <v>151.49</v>
      </c>
      <c r="W148" s="32">
        <v>151.49000027101201</v>
      </c>
      <c r="X148" s="32" t="s">
        <v>825</v>
      </c>
      <c r="Y148" s="31">
        <v>46218</v>
      </c>
      <c r="Z148" s="32"/>
      <c r="AA148" s="32">
        <v>0</v>
      </c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 t="s">
        <v>965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/>
      <c r="AQ148" s="32">
        <v>0</v>
      </c>
      <c r="AR148" s="32">
        <v>0</v>
      </c>
      <c r="AS148" s="32">
        <v>1117957.1200000001</v>
      </c>
      <c r="AT148" s="32" t="s">
        <v>169</v>
      </c>
      <c r="AU148" s="32" t="s">
        <v>180</v>
      </c>
      <c r="AV148" s="32" t="s">
        <v>156</v>
      </c>
      <c r="AW148" s="32" t="s">
        <v>171</v>
      </c>
      <c r="AX148" s="32" t="s">
        <v>966</v>
      </c>
      <c r="AY148" s="32">
        <v>0</v>
      </c>
      <c r="AZ148" s="32">
        <v>107860.88</v>
      </c>
      <c r="BA148" s="32">
        <v>331</v>
      </c>
      <c r="BB148" s="31">
        <v>46218</v>
      </c>
      <c r="BC148" s="32" t="s">
        <v>177</v>
      </c>
      <c r="BD148" s="32" t="s">
        <v>967</v>
      </c>
      <c r="BE148" s="32" t="s">
        <v>967</v>
      </c>
      <c r="BF148" s="32">
        <v>9</v>
      </c>
      <c r="BG148" s="32">
        <v>9707.48</v>
      </c>
      <c r="BH148" s="32">
        <v>9</v>
      </c>
      <c r="BI148" s="32">
        <v>9707.48</v>
      </c>
      <c r="BJ148" s="32">
        <v>0</v>
      </c>
      <c r="BK148" s="32">
        <v>0</v>
      </c>
      <c r="BL148" s="32">
        <v>0</v>
      </c>
      <c r="BM148" s="32">
        <v>652145457830</v>
      </c>
      <c r="BN148" s="31">
        <v>46218</v>
      </c>
      <c r="BO148" s="32">
        <v>712</v>
      </c>
    </row>
    <row r="149" spans="1:67" x14ac:dyDescent="0.25">
      <c r="A149" s="21"/>
      <c r="B149" s="32" t="s">
        <v>167</v>
      </c>
      <c r="C149" s="31">
        <v>46219</v>
      </c>
      <c r="D149" s="32" t="s">
        <v>1135</v>
      </c>
      <c r="E149" s="32" t="s">
        <v>1136</v>
      </c>
      <c r="F149" s="32" t="s">
        <v>834</v>
      </c>
      <c r="G149" s="32" t="s">
        <v>1137</v>
      </c>
      <c r="H149" s="32">
        <v>2500</v>
      </c>
      <c r="I149" s="32">
        <v>2500</v>
      </c>
      <c r="J149" s="32" t="s">
        <v>168</v>
      </c>
      <c r="K149" s="32">
        <v>2500</v>
      </c>
      <c r="L149" s="32">
        <v>0</v>
      </c>
      <c r="M149" s="32">
        <v>2500</v>
      </c>
      <c r="N149" s="32" t="s">
        <v>1138</v>
      </c>
      <c r="O149" s="32" t="s">
        <v>659</v>
      </c>
      <c r="P149" s="32" t="s">
        <v>659</v>
      </c>
      <c r="Q149" s="32" t="s">
        <v>833</v>
      </c>
      <c r="R149" s="31">
        <v>46218</v>
      </c>
      <c r="S149" s="32" t="s">
        <v>987</v>
      </c>
      <c r="T149" s="32" t="s">
        <v>988</v>
      </c>
      <c r="U149" s="32" t="s">
        <v>832</v>
      </c>
      <c r="V149" s="32">
        <v>180</v>
      </c>
      <c r="W149" s="32">
        <v>180</v>
      </c>
      <c r="X149" s="32" t="s">
        <v>833</v>
      </c>
      <c r="Y149" s="31">
        <v>46218</v>
      </c>
      <c r="Z149" s="32" t="s">
        <v>193</v>
      </c>
      <c r="AA149" s="32" t="s">
        <v>193</v>
      </c>
      <c r="AB149" s="32"/>
      <c r="AC149" s="32" t="s">
        <v>1069</v>
      </c>
      <c r="AD149" s="32">
        <v>2349</v>
      </c>
      <c r="AE149" s="32">
        <v>0</v>
      </c>
      <c r="AF149" s="32">
        <v>0</v>
      </c>
      <c r="AG149" s="32">
        <v>0</v>
      </c>
      <c r="AH149" s="32">
        <v>0</v>
      </c>
      <c r="AI149" s="32">
        <v>0</v>
      </c>
      <c r="AJ149" s="32" t="s">
        <v>965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/>
      <c r="AQ149" s="32">
        <v>0</v>
      </c>
      <c r="AR149" s="32">
        <v>0</v>
      </c>
      <c r="AS149" s="32">
        <v>531000</v>
      </c>
      <c r="AT149" s="32" t="s">
        <v>171</v>
      </c>
      <c r="AU149" s="32" t="s">
        <v>185</v>
      </c>
      <c r="AV149" s="32" t="s">
        <v>733</v>
      </c>
      <c r="AW149" s="32" t="s">
        <v>171</v>
      </c>
      <c r="AX149" s="32" t="s">
        <v>966</v>
      </c>
      <c r="AY149" s="32">
        <v>0</v>
      </c>
      <c r="AZ149" s="32">
        <v>450000</v>
      </c>
      <c r="BA149" s="32">
        <v>333</v>
      </c>
      <c r="BB149" s="31">
        <v>46219</v>
      </c>
      <c r="BC149" s="32" t="s">
        <v>177</v>
      </c>
      <c r="BD149" s="32" t="s">
        <v>967</v>
      </c>
      <c r="BE149" s="32" t="s">
        <v>967</v>
      </c>
      <c r="BF149" s="32">
        <v>9</v>
      </c>
      <c r="BG149" s="32">
        <v>40500</v>
      </c>
      <c r="BH149" s="32">
        <v>9</v>
      </c>
      <c r="BI149" s="32">
        <v>40500</v>
      </c>
      <c r="BJ149" s="32">
        <v>0</v>
      </c>
      <c r="BK149" s="32">
        <v>0</v>
      </c>
      <c r="BL149" s="32">
        <v>531000</v>
      </c>
      <c r="BM149" s="32">
        <v>642145581813</v>
      </c>
      <c r="BN149" s="31">
        <v>46218</v>
      </c>
      <c r="BO149" s="32">
        <v>2500</v>
      </c>
    </row>
    <row r="150" spans="1:67" x14ac:dyDescent="0.25">
      <c r="A150" s="21"/>
      <c r="B150" s="32" t="s">
        <v>167</v>
      </c>
      <c r="C150" s="31">
        <v>46219</v>
      </c>
      <c r="D150" s="32" t="s">
        <v>1139</v>
      </c>
      <c r="E150" s="32" t="s">
        <v>186</v>
      </c>
      <c r="F150" s="32" t="s">
        <v>187</v>
      </c>
      <c r="G150" s="32" t="s">
        <v>1140</v>
      </c>
      <c r="H150" s="32">
        <v>280</v>
      </c>
      <c r="I150" s="32">
        <v>280</v>
      </c>
      <c r="J150" s="32" t="s">
        <v>168</v>
      </c>
      <c r="K150" s="32">
        <v>280</v>
      </c>
      <c r="L150" s="32">
        <v>0</v>
      </c>
      <c r="M150" s="32">
        <v>280</v>
      </c>
      <c r="N150" s="32" t="s">
        <v>1141</v>
      </c>
      <c r="O150" s="32" t="s">
        <v>665</v>
      </c>
      <c r="P150" s="32" t="s">
        <v>665</v>
      </c>
      <c r="Q150" s="32" t="s">
        <v>829</v>
      </c>
      <c r="R150" s="31">
        <v>46218</v>
      </c>
      <c r="S150" s="32" t="s">
        <v>987</v>
      </c>
      <c r="T150" s="32" t="s">
        <v>988</v>
      </c>
      <c r="U150" s="32" t="s">
        <v>828</v>
      </c>
      <c r="V150" s="32">
        <v>159.49</v>
      </c>
      <c r="W150" s="32">
        <v>159.49</v>
      </c>
      <c r="X150" s="32" t="s">
        <v>829</v>
      </c>
      <c r="Y150" s="31">
        <v>46218</v>
      </c>
      <c r="Z150" s="32" t="s">
        <v>193</v>
      </c>
      <c r="AA150" s="32" t="s">
        <v>193</v>
      </c>
      <c r="AB150" s="32"/>
      <c r="AC150" s="32" t="s">
        <v>1069</v>
      </c>
      <c r="AD150" s="32">
        <v>2510</v>
      </c>
      <c r="AE150" s="32">
        <v>0</v>
      </c>
      <c r="AF150" s="32">
        <v>0</v>
      </c>
      <c r="AG150" s="32">
        <v>0</v>
      </c>
      <c r="AH150" s="32">
        <v>0</v>
      </c>
      <c r="AI150" s="32">
        <v>0</v>
      </c>
      <c r="AJ150" s="32" t="s">
        <v>965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/>
      <c r="AQ150" s="32">
        <v>0</v>
      </c>
      <c r="AR150" s="32">
        <v>0</v>
      </c>
      <c r="AS150" s="32">
        <v>319341.94</v>
      </c>
      <c r="AT150" s="32" t="s">
        <v>169</v>
      </c>
      <c r="AU150" s="32" t="s">
        <v>180</v>
      </c>
      <c r="AV150" s="32" t="s">
        <v>155</v>
      </c>
      <c r="AW150" s="32" t="s">
        <v>171</v>
      </c>
      <c r="AX150" s="32" t="s">
        <v>966</v>
      </c>
      <c r="AY150" s="32">
        <v>0</v>
      </c>
      <c r="AZ150" s="32">
        <v>44657.2</v>
      </c>
      <c r="BA150" s="32">
        <v>334</v>
      </c>
      <c r="BB150" s="31">
        <v>46219</v>
      </c>
      <c r="BC150" s="32" t="s">
        <v>189</v>
      </c>
      <c r="BD150" s="32" t="s">
        <v>967</v>
      </c>
      <c r="BE150" s="32" t="s">
        <v>967</v>
      </c>
      <c r="BF150" s="32">
        <v>9</v>
      </c>
      <c r="BG150" s="32">
        <v>4019.15</v>
      </c>
      <c r="BH150" s="32">
        <v>9</v>
      </c>
      <c r="BI150" s="32">
        <v>4019.15</v>
      </c>
      <c r="BJ150" s="32">
        <v>0</v>
      </c>
      <c r="BK150" s="32">
        <v>0</v>
      </c>
      <c r="BL150" s="32">
        <v>319341.94</v>
      </c>
      <c r="BM150" s="32">
        <v>612145717237</v>
      </c>
      <c r="BN150" s="31">
        <v>46218</v>
      </c>
      <c r="BO150" s="32">
        <v>280</v>
      </c>
    </row>
    <row r="151" spans="1:67" x14ac:dyDescent="0.25">
      <c r="A151" s="21"/>
      <c r="B151" s="32" t="s">
        <v>167</v>
      </c>
      <c r="C151" s="31">
        <v>46219</v>
      </c>
      <c r="D151" s="32" t="s">
        <v>1139</v>
      </c>
      <c r="E151" s="32" t="s">
        <v>186</v>
      </c>
      <c r="F151" s="32" t="s">
        <v>187</v>
      </c>
      <c r="G151" s="32" t="s">
        <v>1140</v>
      </c>
      <c r="H151" s="32">
        <v>1444</v>
      </c>
      <c r="I151" s="32">
        <v>1444</v>
      </c>
      <c r="J151" s="32" t="s">
        <v>168</v>
      </c>
      <c r="K151" s="32">
        <v>1444</v>
      </c>
      <c r="L151" s="32">
        <v>0</v>
      </c>
      <c r="M151" s="32">
        <v>1444</v>
      </c>
      <c r="N151" s="32" t="s">
        <v>1141</v>
      </c>
      <c r="O151" s="32" t="s">
        <v>665</v>
      </c>
      <c r="P151" s="32" t="s">
        <v>665</v>
      </c>
      <c r="Q151" s="32" t="s">
        <v>829</v>
      </c>
      <c r="R151" s="31">
        <v>46218</v>
      </c>
      <c r="S151" s="32" t="s">
        <v>987</v>
      </c>
      <c r="T151" s="32" t="s">
        <v>988</v>
      </c>
      <c r="U151" s="32" t="s">
        <v>828</v>
      </c>
      <c r="V151" s="32">
        <v>156.49</v>
      </c>
      <c r="W151" s="32">
        <v>156.49</v>
      </c>
      <c r="X151" s="32" t="s">
        <v>829</v>
      </c>
      <c r="Y151" s="31">
        <v>46218</v>
      </c>
      <c r="Z151" s="32" t="s">
        <v>193</v>
      </c>
      <c r="AA151" s="32" t="s">
        <v>193</v>
      </c>
      <c r="AB151" s="32"/>
      <c r="AC151" s="32" t="s">
        <v>1069</v>
      </c>
      <c r="AD151" s="32">
        <v>2510</v>
      </c>
      <c r="AE151" s="32">
        <v>0</v>
      </c>
      <c r="AF151" s="32">
        <v>0</v>
      </c>
      <c r="AG151" s="32">
        <v>0</v>
      </c>
      <c r="AH151" s="32">
        <v>0</v>
      </c>
      <c r="AI151" s="32">
        <v>0</v>
      </c>
      <c r="AJ151" s="32" t="s">
        <v>965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/>
      <c r="AQ151" s="32">
        <v>0</v>
      </c>
      <c r="AR151" s="32">
        <v>0</v>
      </c>
      <c r="AS151" s="32">
        <v>319341.94</v>
      </c>
      <c r="AT151" s="32" t="s">
        <v>169</v>
      </c>
      <c r="AU151" s="32" t="s">
        <v>180</v>
      </c>
      <c r="AV151" s="32" t="s">
        <v>155</v>
      </c>
      <c r="AW151" s="32" t="s">
        <v>171</v>
      </c>
      <c r="AX151" s="32" t="s">
        <v>966</v>
      </c>
      <c r="AY151" s="32">
        <v>0</v>
      </c>
      <c r="AZ151" s="32">
        <v>225971.56</v>
      </c>
      <c r="BA151" s="32">
        <v>334</v>
      </c>
      <c r="BB151" s="31">
        <v>46219</v>
      </c>
      <c r="BC151" s="32" t="s">
        <v>189</v>
      </c>
      <c r="BD151" s="32" t="s">
        <v>967</v>
      </c>
      <c r="BE151" s="32" t="s">
        <v>967</v>
      </c>
      <c r="BF151" s="32">
        <v>9</v>
      </c>
      <c r="BG151" s="32">
        <v>20337.439999999999</v>
      </c>
      <c r="BH151" s="32">
        <v>9</v>
      </c>
      <c r="BI151" s="32">
        <v>20337.439999999999</v>
      </c>
      <c r="BJ151" s="32">
        <v>0</v>
      </c>
      <c r="BK151" s="32">
        <v>0</v>
      </c>
      <c r="BL151" s="32">
        <v>0</v>
      </c>
      <c r="BM151" s="32">
        <v>612145717237</v>
      </c>
      <c r="BN151" s="31">
        <v>46218</v>
      </c>
      <c r="BO151" s="32">
        <v>1444</v>
      </c>
    </row>
    <row r="152" spans="1:67" x14ac:dyDescent="0.25">
      <c r="A152" s="21"/>
      <c r="B152" s="32" t="s">
        <v>167</v>
      </c>
      <c r="C152" s="31">
        <v>46219</v>
      </c>
      <c r="D152" s="32" t="s">
        <v>1142</v>
      </c>
      <c r="E152" s="32" t="s">
        <v>173</v>
      </c>
      <c r="F152" s="32" t="s">
        <v>174</v>
      </c>
      <c r="G152" s="32" t="s">
        <v>1143</v>
      </c>
      <c r="H152" s="32">
        <v>939.1</v>
      </c>
      <c r="I152" s="32">
        <v>939.1</v>
      </c>
      <c r="J152" s="32" t="s">
        <v>168</v>
      </c>
      <c r="K152" s="32">
        <v>939.1</v>
      </c>
      <c r="L152" s="32">
        <v>0</v>
      </c>
      <c r="M152" s="32">
        <v>939.1</v>
      </c>
      <c r="N152" s="32" t="s">
        <v>175</v>
      </c>
      <c r="O152" s="32" t="s">
        <v>654</v>
      </c>
      <c r="P152" s="32" t="s">
        <v>654</v>
      </c>
      <c r="Q152" s="32" t="s">
        <v>831</v>
      </c>
      <c r="R152" s="31">
        <v>46219</v>
      </c>
      <c r="S152" s="32" t="s">
        <v>987</v>
      </c>
      <c r="T152" s="32" t="s">
        <v>988</v>
      </c>
      <c r="U152" s="32" t="s">
        <v>830</v>
      </c>
      <c r="V152" s="32">
        <v>206.78</v>
      </c>
      <c r="W152" s="32">
        <v>206.78000172790399</v>
      </c>
      <c r="X152" s="32" t="s">
        <v>831</v>
      </c>
      <c r="Y152" s="31">
        <v>46219</v>
      </c>
      <c r="Z152" s="32" t="s">
        <v>193</v>
      </c>
      <c r="AA152" s="32" t="s">
        <v>193</v>
      </c>
      <c r="AB152" s="32"/>
      <c r="AC152" s="32" t="s">
        <v>193</v>
      </c>
      <c r="AD152" s="32" t="s">
        <v>193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 t="s">
        <v>965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/>
      <c r="AQ152" s="32">
        <v>0</v>
      </c>
      <c r="AR152" s="32">
        <v>0</v>
      </c>
      <c r="AS152" s="32">
        <v>837697.05</v>
      </c>
      <c r="AT152" s="32" t="s">
        <v>169</v>
      </c>
      <c r="AU152" s="32" t="s">
        <v>176</v>
      </c>
      <c r="AV152" s="32" t="s">
        <v>159</v>
      </c>
      <c r="AW152" s="32" t="s">
        <v>171</v>
      </c>
      <c r="AX152" s="32" t="s">
        <v>966</v>
      </c>
      <c r="AY152" s="32">
        <v>0</v>
      </c>
      <c r="AZ152" s="32">
        <v>194187.1</v>
      </c>
      <c r="BA152" s="32">
        <v>335</v>
      </c>
      <c r="BB152" s="31">
        <v>46219</v>
      </c>
      <c r="BC152" s="32" t="s">
        <v>177</v>
      </c>
      <c r="BD152" s="32" t="s">
        <v>967</v>
      </c>
      <c r="BE152" s="32" t="s">
        <v>967</v>
      </c>
      <c r="BF152" s="32">
        <v>9</v>
      </c>
      <c r="BG152" s="32">
        <v>17476.84</v>
      </c>
      <c r="BH152" s="32">
        <v>9</v>
      </c>
      <c r="BI152" s="32">
        <v>17476.84</v>
      </c>
      <c r="BJ152" s="32">
        <v>0</v>
      </c>
      <c r="BK152" s="32">
        <v>0</v>
      </c>
      <c r="BL152" s="32">
        <v>837697.05</v>
      </c>
      <c r="BM152" s="32">
        <v>642146246359</v>
      </c>
      <c r="BN152" s="31">
        <v>46219</v>
      </c>
      <c r="BO152" s="32">
        <v>939.1</v>
      </c>
    </row>
    <row r="153" spans="1:67" x14ac:dyDescent="0.25">
      <c r="A153" s="21"/>
      <c r="B153" s="32" t="s">
        <v>167</v>
      </c>
      <c r="C153" s="31">
        <v>46219</v>
      </c>
      <c r="D153" s="32" t="s">
        <v>1142</v>
      </c>
      <c r="E153" s="32" t="s">
        <v>173</v>
      </c>
      <c r="F153" s="32" t="s">
        <v>174</v>
      </c>
      <c r="G153" s="32" t="s">
        <v>1143</v>
      </c>
      <c r="H153" s="32">
        <v>811</v>
      </c>
      <c r="I153" s="32">
        <v>811</v>
      </c>
      <c r="J153" s="32" t="s">
        <v>168</v>
      </c>
      <c r="K153" s="32">
        <v>811</v>
      </c>
      <c r="L153" s="32">
        <v>0</v>
      </c>
      <c r="M153" s="32">
        <v>811</v>
      </c>
      <c r="N153" s="32" t="s">
        <v>175</v>
      </c>
      <c r="O153" s="32" t="s">
        <v>654</v>
      </c>
      <c r="P153" s="32" t="s">
        <v>654</v>
      </c>
      <c r="Q153" s="32" t="s">
        <v>831</v>
      </c>
      <c r="R153" s="31">
        <v>46219</v>
      </c>
      <c r="S153" s="32" t="s">
        <v>987</v>
      </c>
      <c r="T153" s="32" t="s">
        <v>988</v>
      </c>
      <c r="U153" s="32" t="s">
        <v>830</v>
      </c>
      <c r="V153" s="32">
        <v>202.78</v>
      </c>
      <c r="W153" s="32">
        <v>202.78000169447901</v>
      </c>
      <c r="X153" s="32" t="s">
        <v>831</v>
      </c>
      <c r="Y153" s="31">
        <v>46219</v>
      </c>
      <c r="Z153" s="32" t="s">
        <v>193</v>
      </c>
      <c r="AA153" s="32" t="s">
        <v>193</v>
      </c>
      <c r="AB153" s="32"/>
      <c r="AC153" s="32" t="s">
        <v>193</v>
      </c>
      <c r="AD153" s="32" t="s">
        <v>193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 t="s">
        <v>965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/>
      <c r="AQ153" s="32">
        <v>0</v>
      </c>
      <c r="AR153" s="32">
        <v>0</v>
      </c>
      <c r="AS153" s="32">
        <v>837697.05</v>
      </c>
      <c r="AT153" s="32" t="s">
        <v>169</v>
      </c>
      <c r="AU153" s="32" t="s">
        <v>176</v>
      </c>
      <c r="AV153" s="32" t="s">
        <v>159</v>
      </c>
      <c r="AW153" s="32" t="s">
        <v>171</v>
      </c>
      <c r="AX153" s="32" t="s">
        <v>966</v>
      </c>
      <c r="AY153" s="32">
        <v>0</v>
      </c>
      <c r="AZ153" s="32">
        <v>164454.57999999999</v>
      </c>
      <c r="BA153" s="32">
        <v>335</v>
      </c>
      <c r="BB153" s="31">
        <v>46219</v>
      </c>
      <c r="BC153" s="32" t="s">
        <v>177</v>
      </c>
      <c r="BD153" s="32" t="s">
        <v>967</v>
      </c>
      <c r="BE153" s="32" t="s">
        <v>967</v>
      </c>
      <c r="BF153" s="32">
        <v>9</v>
      </c>
      <c r="BG153" s="32">
        <v>14800.91</v>
      </c>
      <c r="BH153" s="32">
        <v>9</v>
      </c>
      <c r="BI153" s="32">
        <v>14800.91</v>
      </c>
      <c r="BJ153" s="32">
        <v>0</v>
      </c>
      <c r="BK153" s="32">
        <v>0</v>
      </c>
      <c r="BL153" s="32">
        <v>0</v>
      </c>
      <c r="BM153" s="32">
        <v>642146246359</v>
      </c>
      <c r="BN153" s="31">
        <v>46219</v>
      </c>
      <c r="BO153" s="32">
        <v>811</v>
      </c>
    </row>
    <row r="154" spans="1:67" x14ac:dyDescent="0.25">
      <c r="A154" s="21"/>
      <c r="B154" s="32" t="s">
        <v>167</v>
      </c>
      <c r="C154" s="31">
        <v>46219</v>
      </c>
      <c r="D154" s="32" t="s">
        <v>1142</v>
      </c>
      <c r="E154" s="32" t="s">
        <v>181</v>
      </c>
      <c r="F154" s="32" t="s">
        <v>182</v>
      </c>
      <c r="G154" s="32" t="s">
        <v>1143</v>
      </c>
      <c r="H154" s="32">
        <v>511.3</v>
      </c>
      <c r="I154" s="32">
        <v>511.3</v>
      </c>
      <c r="J154" s="32" t="s">
        <v>168</v>
      </c>
      <c r="K154" s="32">
        <v>511.3</v>
      </c>
      <c r="L154" s="32">
        <v>0</v>
      </c>
      <c r="M154" s="32">
        <v>511.3</v>
      </c>
      <c r="N154" s="32" t="s">
        <v>175</v>
      </c>
      <c r="O154" s="32" t="s">
        <v>654</v>
      </c>
      <c r="P154" s="32" t="s">
        <v>654</v>
      </c>
      <c r="Q154" s="32" t="s">
        <v>831</v>
      </c>
      <c r="R154" s="31">
        <v>46219</v>
      </c>
      <c r="S154" s="32" t="s">
        <v>987</v>
      </c>
      <c r="T154" s="32" t="s">
        <v>988</v>
      </c>
      <c r="U154" s="32" t="s">
        <v>830</v>
      </c>
      <c r="V154" s="32">
        <v>149.49</v>
      </c>
      <c r="W154" s="32">
        <v>149.49000124917501</v>
      </c>
      <c r="X154" s="32" t="s">
        <v>831</v>
      </c>
      <c r="Y154" s="31">
        <v>46219</v>
      </c>
      <c r="Z154" s="32" t="s">
        <v>193</v>
      </c>
      <c r="AA154" s="32" t="s">
        <v>193</v>
      </c>
      <c r="AB154" s="32"/>
      <c r="AC154" s="32" t="s">
        <v>193</v>
      </c>
      <c r="AD154" s="32" t="s">
        <v>193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 t="s">
        <v>965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/>
      <c r="AQ154" s="32">
        <v>0</v>
      </c>
      <c r="AR154" s="32">
        <v>0</v>
      </c>
      <c r="AS154" s="32">
        <v>837697.05</v>
      </c>
      <c r="AT154" s="32" t="s">
        <v>169</v>
      </c>
      <c r="AU154" s="32" t="s">
        <v>182</v>
      </c>
      <c r="AV154" s="32" t="s">
        <v>154</v>
      </c>
      <c r="AW154" s="32" t="s">
        <v>171</v>
      </c>
      <c r="AX154" s="32" t="s">
        <v>966</v>
      </c>
      <c r="AY154" s="32">
        <v>0</v>
      </c>
      <c r="AZ154" s="32">
        <v>76434.240000000005</v>
      </c>
      <c r="BA154" s="32">
        <v>335</v>
      </c>
      <c r="BB154" s="31">
        <v>46219</v>
      </c>
      <c r="BC154" s="32" t="s">
        <v>177</v>
      </c>
      <c r="BD154" s="32" t="s">
        <v>967</v>
      </c>
      <c r="BE154" s="32" t="s">
        <v>967</v>
      </c>
      <c r="BF154" s="32">
        <v>9</v>
      </c>
      <c r="BG154" s="32">
        <v>6879.08</v>
      </c>
      <c r="BH154" s="32">
        <v>9</v>
      </c>
      <c r="BI154" s="32">
        <v>6879.08</v>
      </c>
      <c r="BJ154" s="32">
        <v>0</v>
      </c>
      <c r="BK154" s="32">
        <v>0</v>
      </c>
      <c r="BL154" s="32">
        <v>0</v>
      </c>
      <c r="BM154" s="32">
        <v>642146246359</v>
      </c>
      <c r="BN154" s="31">
        <v>46219</v>
      </c>
      <c r="BO154" s="32">
        <v>511.3</v>
      </c>
    </row>
    <row r="155" spans="1:67" x14ac:dyDescent="0.25">
      <c r="A155" s="21"/>
      <c r="B155" s="32" t="s">
        <v>167</v>
      </c>
      <c r="C155" s="31">
        <v>46219</v>
      </c>
      <c r="D155" s="32" t="s">
        <v>1142</v>
      </c>
      <c r="E155" s="32" t="s">
        <v>181</v>
      </c>
      <c r="F155" s="32" t="s">
        <v>182</v>
      </c>
      <c r="G155" s="32" t="s">
        <v>1143</v>
      </c>
      <c r="H155" s="32">
        <v>238</v>
      </c>
      <c r="I155" s="32">
        <v>238</v>
      </c>
      <c r="J155" s="32" t="s">
        <v>168</v>
      </c>
      <c r="K155" s="32">
        <v>238</v>
      </c>
      <c r="L155" s="32">
        <v>0</v>
      </c>
      <c r="M155" s="32">
        <v>238</v>
      </c>
      <c r="N155" s="32" t="s">
        <v>175</v>
      </c>
      <c r="O155" s="32" t="s">
        <v>654</v>
      </c>
      <c r="P155" s="32" t="s">
        <v>654</v>
      </c>
      <c r="Q155" s="32" t="s">
        <v>831</v>
      </c>
      <c r="R155" s="31">
        <v>46219</v>
      </c>
      <c r="S155" s="32" t="s">
        <v>987</v>
      </c>
      <c r="T155" s="32" t="s">
        <v>988</v>
      </c>
      <c r="U155" s="32" t="s">
        <v>830</v>
      </c>
      <c r="V155" s="32">
        <v>146.49</v>
      </c>
      <c r="W155" s="32">
        <v>146.49000122410601</v>
      </c>
      <c r="X155" s="32" t="s">
        <v>831</v>
      </c>
      <c r="Y155" s="31">
        <v>46219</v>
      </c>
      <c r="Z155" s="32" t="s">
        <v>193</v>
      </c>
      <c r="AA155" s="32" t="s">
        <v>193</v>
      </c>
      <c r="AB155" s="32"/>
      <c r="AC155" s="32" t="s">
        <v>193</v>
      </c>
      <c r="AD155" s="32" t="s">
        <v>193</v>
      </c>
      <c r="AE155" s="32">
        <v>0</v>
      </c>
      <c r="AF155" s="32">
        <v>0</v>
      </c>
      <c r="AG155" s="32">
        <v>0</v>
      </c>
      <c r="AH155" s="32">
        <v>0</v>
      </c>
      <c r="AI155" s="32">
        <v>0</v>
      </c>
      <c r="AJ155" s="32" t="s">
        <v>965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/>
      <c r="AQ155" s="32">
        <v>0</v>
      </c>
      <c r="AR155" s="32">
        <v>0</v>
      </c>
      <c r="AS155" s="32">
        <v>837697.05</v>
      </c>
      <c r="AT155" s="32" t="s">
        <v>169</v>
      </c>
      <c r="AU155" s="32" t="s">
        <v>182</v>
      </c>
      <c r="AV155" s="32" t="s">
        <v>154</v>
      </c>
      <c r="AW155" s="32" t="s">
        <v>171</v>
      </c>
      <c r="AX155" s="32" t="s">
        <v>966</v>
      </c>
      <c r="AY155" s="32">
        <v>0</v>
      </c>
      <c r="AZ155" s="32">
        <v>34864.620000000003</v>
      </c>
      <c r="BA155" s="32">
        <v>335</v>
      </c>
      <c r="BB155" s="31">
        <v>46219</v>
      </c>
      <c r="BC155" s="32" t="s">
        <v>177</v>
      </c>
      <c r="BD155" s="32" t="s">
        <v>967</v>
      </c>
      <c r="BE155" s="32" t="s">
        <v>967</v>
      </c>
      <c r="BF155" s="32">
        <v>9</v>
      </c>
      <c r="BG155" s="32">
        <v>3137.82</v>
      </c>
      <c r="BH155" s="32">
        <v>9</v>
      </c>
      <c r="BI155" s="32">
        <v>3137.82</v>
      </c>
      <c r="BJ155" s="32">
        <v>0</v>
      </c>
      <c r="BK155" s="32">
        <v>0</v>
      </c>
      <c r="BL155" s="32">
        <v>0</v>
      </c>
      <c r="BM155" s="32">
        <v>642146246359</v>
      </c>
      <c r="BN155" s="31">
        <v>46219</v>
      </c>
      <c r="BO155" s="32">
        <v>238</v>
      </c>
    </row>
    <row r="156" spans="1:67" x14ac:dyDescent="0.25">
      <c r="A156" s="21"/>
      <c r="B156" s="32" t="s">
        <v>167</v>
      </c>
      <c r="C156" s="31">
        <v>46219</v>
      </c>
      <c r="D156" s="32" t="s">
        <v>1142</v>
      </c>
      <c r="E156" s="32" t="s">
        <v>292</v>
      </c>
      <c r="F156" s="32" t="s">
        <v>291</v>
      </c>
      <c r="G156" s="32" t="s">
        <v>1143</v>
      </c>
      <c r="H156" s="32">
        <v>423.8</v>
      </c>
      <c r="I156" s="32">
        <v>423.8</v>
      </c>
      <c r="J156" s="32" t="s">
        <v>188</v>
      </c>
      <c r="K156" s="32">
        <v>423.8</v>
      </c>
      <c r="L156" s="32">
        <v>0</v>
      </c>
      <c r="M156" s="32">
        <v>423.8</v>
      </c>
      <c r="N156" s="32" t="s">
        <v>175</v>
      </c>
      <c r="O156" s="32" t="s">
        <v>654</v>
      </c>
      <c r="P156" s="32" t="s">
        <v>654</v>
      </c>
      <c r="Q156" s="32" t="s">
        <v>831</v>
      </c>
      <c r="R156" s="31">
        <v>46219</v>
      </c>
      <c r="S156" s="32" t="s">
        <v>987</v>
      </c>
      <c r="T156" s="32" t="s">
        <v>988</v>
      </c>
      <c r="U156" s="32" t="s">
        <v>830</v>
      </c>
      <c r="V156" s="32">
        <v>159.49</v>
      </c>
      <c r="W156" s="32">
        <v>159.49000133273699</v>
      </c>
      <c r="X156" s="32" t="s">
        <v>831</v>
      </c>
      <c r="Y156" s="31">
        <v>46219</v>
      </c>
      <c r="Z156" s="32" t="s">
        <v>193</v>
      </c>
      <c r="AA156" s="32" t="s">
        <v>193</v>
      </c>
      <c r="AB156" s="32"/>
      <c r="AC156" s="32" t="s">
        <v>193</v>
      </c>
      <c r="AD156" s="32" t="s">
        <v>193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 t="s">
        <v>965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/>
      <c r="AQ156" s="32">
        <v>0</v>
      </c>
      <c r="AR156" s="32">
        <v>0</v>
      </c>
      <c r="AS156" s="32">
        <v>837697.05</v>
      </c>
      <c r="AT156" s="32" t="s">
        <v>169</v>
      </c>
      <c r="AU156" s="32" t="s">
        <v>170</v>
      </c>
      <c r="AV156" s="32" t="s">
        <v>157</v>
      </c>
      <c r="AW156" s="32" t="s">
        <v>171</v>
      </c>
      <c r="AX156" s="32"/>
      <c r="AY156" s="32">
        <v>0</v>
      </c>
      <c r="AZ156" s="32">
        <v>67591.86</v>
      </c>
      <c r="BA156" s="32">
        <v>335</v>
      </c>
      <c r="BB156" s="31">
        <v>46219</v>
      </c>
      <c r="BC156" s="32" t="s">
        <v>177</v>
      </c>
      <c r="BD156" s="32" t="s">
        <v>967</v>
      </c>
      <c r="BE156" s="32" t="s">
        <v>967</v>
      </c>
      <c r="BF156" s="32">
        <v>2.5</v>
      </c>
      <c r="BG156" s="32">
        <v>1689.8</v>
      </c>
      <c r="BH156" s="32">
        <v>2.5</v>
      </c>
      <c r="BI156" s="32">
        <v>1689.8</v>
      </c>
      <c r="BJ156" s="32">
        <v>0</v>
      </c>
      <c r="BK156" s="32">
        <v>0</v>
      </c>
      <c r="BL156" s="32">
        <v>0</v>
      </c>
      <c r="BM156" s="32">
        <v>642146246359</v>
      </c>
      <c r="BN156" s="31">
        <v>46219</v>
      </c>
      <c r="BO156" s="32">
        <v>423.8</v>
      </c>
    </row>
    <row r="157" spans="1:67" x14ac:dyDescent="0.25">
      <c r="A157" s="21"/>
      <c r="B157" s="32" t="s">
        <v>167</v>
      </c>
      <c r="C157" s="31">
        <v>46219</v>
      </c>
      <c r="D157" s="32" t="s">
        <v>1142</v>
      </c>
      <c r="E157" s="32" t="s">
        <v>1009</v>
      </c>
      <c r="F157" s="32" t="s">
        <v>684</v>
      </c>
      <c r="G157" s="32" t="s">
        <v>1143</v>
      </c>
      <c r="H157" s="32">
        <v>465.4</v>
      </c>
      <c r="I157" s="32">
        <v>465.4</v>
      </c>
      <c r="J157" s="32" t="s">
        <v>188</v>
      </c>
      <c r="K157" s="32">
        <v>465.4</v>
      </c>
      <c r="L157" s="32">
        <v>0</v>
      </c>
      <c r="M157" s="32">
        <v>465.4</v>
      </c>
      <c r="N157" s="32" t="s">
        <v>175</v>
      </c>
      <c r="O157" s="32" t="s">
        <v>654</v>
      </c>
      <c r="P157" s="32" t="s">
        <v>654</v>
      </c>
      <c r="Q157" s="32" t="s">
        <v>831</v>
      </c>
      <c r="R157" s="31">
        <v>46219</v>
      </c>
      <c r="S157" s="32" t="s">
        <v>987</v>
      </c>
      <c r="T157" s="32" t="s">
        <v>988</v>
      </c>
      <c r="U157" s="32" t="s">
        <v>830</v>
      </c>
      <c r="V157" s="32">
        <v>156.49</v>
      </c>
      <c r="W157" s="32">
        <v>156.490001307668</v>
      </c>
      <c r="X157" s="32" t="s">
        <v>831</v>
      </c>
      <c r="Y157" s="31">
        <v>46219</v>
      </c>
      <c r="Z157" s="32" t="s">
        <v>193</v>
      </c>
      <c r="AA157" s="32" t="s">
        <v>193</v>
      </c>
      <c r="AB157" s="32"/>
      <c r="AC157" s="32" t="s">
        <v>193</v>
      </c>
      <c r="AD157" s="32" t="s">
        <v>193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 t="s">
        <v>965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/>
      <c r="AQ157" s="32">
        <v>0</v>
      </c>
      <c r="AR157" s="32">
        <v>0</v>
      </c>
      <c r="AS157" s="32">
        <v>837697.05</v>
      </c>
      <c r="AT157" s="32" t="s">
        <v>169</v>
      </c>
      <c r="AU157" s="32" t="s">
        <v>170</v>
      </c>
      <c r="AV157" s="32" t="s">
        <v>157</v>
      </c>
      <c r="AW157" s="32" t="s">
        <v>171</v>
      </c>
      <c r="AX157" s="32"/>
      <c r="AY157" s="32">
        <v>0</v>
      </c>
      <c r="AZ157" s="32">
        <v>72830.45</v>
      </c>
      <c r="BA157" s="32">
        <v>335</v>
      </c>
      <c r="BB157" s="31">
        <v>46219</v>
      </c>
      <c r="BC157" s="32" t="s">
        <v>177</v>
      </c>
      <c r="BD157" s="32" t="s">
        <v>967</v>
      </c>
      <c r="BE157" s="32" t="s">
        <v>967</v>
      </c>
      <c r="BF157" s="32">
        <v>2.5</v>
      </c>
      <c r="BG157" s="32">
        <v>1820.76</v>
      </c>
      <c r="BH157" s="32">
        <v>2.5</v>
      </c>
      <c r="BI157" s="32">
        <v>1820.76</v>
      </c>
      <c r="BJ157" s="32">
        <v>0</v>
      </c>
      <c r="BK157" s="32">
        <v>0</v>
      </c>
      <c r="BL157" s="32">
        <v>0</v>
      </c>
      <c r="BM157" s="32">
        <v>642146246359</v>
      </c>
      <c r="BN157" s="31">
        <v>46219</v>
      </c>
      <c r="BO157" s="32">
        <v>465.4</v>
      </c>
    </row>
    <row r="158" spans="1:67" x14ac:dyDescent="0.25">
      <c r="A158" s="21"/>
      <c r="B158" s="32" t="s">
        <v>167</v>
      </c>
      <c r="C158" s="31">
        <v>46219</v>
      </c>
      <c r="D158" s="32" t="s">
        <v>1142</v>
      </c>
      <c r="E158" s="32" t="s">
        <v>1079</v>
      </c>
      <c r="F158" s="32" t="s">
        <v>767</v>
      </c>
      <c r="G158" s="32" t="s">
        <v>1143</v>
      </c>
      <c r="H158" s="32">
        <v>826</v>
      </c>
      <c r="I158" s="32">
        <v>826</v>
      </c>
      <c r="J158" s="32" t="s">
        <v>188</v>
      </c>
      <c r="K158" s="32">
        <v>826</v>
      </c>
      <c r="L158" s="32">
        <v>0</v>
      </c>
      <c r="M158" s="32">
        <v>826</v>
      </c>
      <c r="N158" s="32" t="s">
        <v>175</v>
      </c>
      <c r="O158" s="32" t="s">
        <v>654</v>
      </c>
      <c r="P158" s="32" t="s">
        <v>654</v>
      </c>
      <c r="Q158" s="32" t="s">
        <v>831</v>
      </c>
      <c r="R158" s="31">
        <v>46219</v>
      </c>
      <c r="S158" s="32" t="s">
        <v>987</v>
      </c>
      <c r="T158" s="32" t="s">
        <v>988</v>
      </c>
      <c r="U158" s="32" t="s">
        <v>830</v>
      </c>
      <c r="V158" s="32">
        <v>156.49</v>
      </c>
      <c r="W158" s="32">
        <v>156.490001307668</v>
      </c>
      <c r="X158" s="32" t="s">
        <v>831</v>
      </c>
      <c r="Y158" s="31">
        <v>46219</v>
      </c>
      <c r="Z158" s="32" t="s">
        <v>193</v>
      </c>
      <c r="AA158" s="32" t="s">
        <v>193</v>
      </c>
      <c r="AB158" s="32"/>
      <c r="AC158" s="32" t="s">
        <v>193</v>
      </c>
      <c r="AD158" s="32" t="s">
        <v>193</v>
      </c>
      <c r="AE158" s="32">
        <v>0</v>
      </c>
      <c r="AF158" s="32">
        <v>0</v>
      </c>
      <c r="AG158" s="32">
        <v>0</v>
      </c>
      <c r="AH158" s="32">
        <v>0</v>
      </c>
      <c r="AI158" s="32">
        <v>0</v>
      </c>
      <c r="AJ158" s="32" t="s">
        <v>965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/>
      <c r="AQ158" s="32">
        <v>0</v>
      </c>
      <c r="AR158" s="32">
        <v>0</v>
      </c>
      <c r="AS158" s="32">
        <v>837697.05</v>
      </c>
      <c r="AT158" s="32" t="s">
        <v>169</v>
      </c>
      <c r="AU158" s="32" t="s">
        <v>170</v>
      </c>
      <c r="AV158" s="32" t="s">
        <v>157</v>
      </c>
      <c r="AW158" s="32" t="s">
        <v>171</v>
      </c>
      <c r="AX158" s="32"/>
      <c r="AY158" s="32">
        <v>0</v>
      </c>
      <c r="AZ158" s="32">
        <v>129260.74</v>
      </c>
      <c r="BA158" s="32">
        <v>335</v>
      </c>
      <c r="BB158" s="31">
        <v>46219</v>
      </c>
      <c r="BC158" s="32" t="s">
        <v>177</v>
      </c>
      <c r="BD158" s="32" t="s">
        <v>967</v>
      </c>
      <c r="BE158" s="32" t="s">
        <v>967</v>
      </c>
      <c r="BF158" s="32">
        <v>2.5</v>
      </c>
      <c r="BG158" s="32">
        <v>3231.52</v>
      </c>
      <c r="BH158" s="32">
        <v>2.5</v>
      </c>
      <c r="BI158" s="32">
        <v>3231.52</v>
      </c>
      <c r="BJ158" s="32">
        <v>0</v>
      </c>
      <c r="BK158" s="32">
        <v>0</v>
      </c>
      <c r="BL158" s="32">
        <v>0</v>
      </c>
      <c r="BM158" s="32">
        <v>642146246359</v>
      </c>
      <c r="BN158" s="31">
        <v>46219</v>
      </c>
      <c r="BO158" s="32">
        <v>826</v>
      </c>
    </row>
    <row r="159" spans="1:67" x14ac:dyDescent="0.25">
      <c r="A159" s="21"/>
      <c r="B159" s="32" t="s">
        <v>167</v>
      </c>
      <c r="C159" s="31">
        <v>46220</v>
      </c>
      <c r="D159" s="32" t="s">
        <v>1144</v>
      </c>
      <c r="E159" s="32" t="s">
        <v>186</v>
      </c>
      <c r="F159" s="32" t="s">
        <v>187</v>
      </c>
      <c r="G159" s="32" t="s">
        <v>1145</v>
      </c>
      <c r="H159" s="32">
        <v>2144</v>
      </c>
      <c r="I159" s="32">
        <v>2144</v>
      </c>
      <c r="J159" s="32" t="s">
        <v>168</v>
      </c>
      <c r="K159" s="32">
        <v>2144</v>
      </c>
      <c r="L159" s="32">
        <v>0</v>
      </c>
      <c r="M159" s="32">
        <v>2144</v>
      </c>
      <c r="N159" s="32" t="s">
        <v>1068</v>
      </c>
      <c r="O159" s="32" t="s">
        <v>665</v>
      </c>
      <c r="P159" s="32" t="s">
        <v>665</v>
      </c>
      <c r="Q159" s="32" t="s">
        <v>841</v>
      </c>
      <c r="R159" s="31">
        <v>46219</v>
      </c>
      <c r="S159" s="32" t="s">
        <v>987</v>
      </c>
      <c r="T159" s="32" t="s">
        <v>988</v>
      </c>
      <c r="U159" s="32" t="s">
        <v>840</v>
      </c>
      <c r="V159" s="32">
        <v>156.49</v>
      </c>
      <c r="W159" s="32">
        <v>156.48999881027501</v>
      </c>
      <c r="X159" s="32" t="s">
        <v>841</v>
      </c>
      <c r="Y159" s="31">
        <v>46219</v>
      </c>
      <c r="Z159" s="32"/>
      <c r="AA159" s="32">
        <v>0</v>
      </c>
      <c r="AB159" s="32"/>
      <c r="AC159" s="32" t="s">
        <v>1069</v>
      </c>
      <c r="AD159" s="32">
        <v>2511</v>
      </c>
      <c r="AE159" s="32">
        <v>0</v>
      </c>
      <c r="AF159" s="32">
        <v>0</v>
      </c>
      <c r="AG159" s="32">
        <v>0</v>
      </c>
      <c r="AH159" s="32">
        <v>0</v>
      </c>
      <c r="AI159" s="32">
        <v>0</v>
      </c>
      <c r="AJ159" s="32" t="s">
        <v>965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/>
      <c r="AQ159" s="32">
        <v>0</v>
      </c>
      <c r="AR159" s="32">
        <v>0</v>
      </c>
      <c r="AS159" s="32">
        <v>657672.95999999996</v>
      </c>
      <c r="AT159" s="32" t="s">
        <v>169</v>
      </c>
      <c r="AU159" s="32" t="s">
        <v>180</v>
      </c>
      <c r="AV159" s="32" t="s">
        <v>155</v>
      </c>
      <c r="AW159" s="32" t="s">
        <v>171</v>
      </c>
      <c r="AX159" s="32" t="s">
        <v>966</v>
      </c>
      <c r="AY159" s="32">
        <v>0</v>
      </c>
      <c r="AZ159" s="32">
        <v>335514.56</v>
      </c>
      <c r="BA159" s="32">
        <v>337</v>
      </c>
      <c r="BB159" s="31">
        <v>46220</v>
      </c>
      <c r="BC159" s="32" t="s">
        <v>189</v>
      </c>
      <c r="BD159" s="32" t="s">
        <v>967</v>
      </c>
      <c r="BE159" s="32" t="s">
        <v>967</v>
      </c>
      <c r="BF159" s="32">
        <v>9</v>
      </c>
      <c r="BG159" s="32">
        <v>30196.31</v>
      </c>
      <c r="BH159" s="32">
        <v>9</v>
      </c>
      <c r="BI159" s="32">
        <v>30196.31</v>
      </c>
      <c r="BJ159" s="32">
        <v>0</v>
      </c>
      <c r="BK159" s="32">
        <v>0</v>
      </c>
      <c r="BL159" s="32">
        <v>657672.95999999996</v>
      </c>
      <c r="BM159" s="32">
        <v>622146386068</v>
      </c>
      <c r="BN159" s="31">
        <v>46219</v>
      </c>
      <c r="BO159" s="32">
        <v>2144</v>
      </c>
    </row>
    <row r="160" spans="1:67" x14ac:dyDescent="0.25">
      <c r="A160" s="21"/>
      <c r="B160" s="32" t="s">
        <v>167</v>
      </c>
      <c r="C160" s="31">
        <v>46220</v>
      </c>
      <c r="D160" s="32" t="s">
        <v>1144</v>
      </c>
      <c r="E160" s="32" t="s">
        <v>173</v>
      </c>
      <c r="F160" s="32" t="s">
        <v>174</v>
      </c>
      <c r="G160" s="32" t="s">
        <v>1145</v>
      </c>
      <c r="H160" s="32">
        <v>514.5</v>
      </c>
      <c r="I160" s="32">
        <v>514.5</v>
      </c>
      <c r="J160" s="32" t="s">
        <v>168</v>
      </c>
      <c r="K160" s="32">
        <v>514.5</v>
      </c>
      <c r="L160" s="32">
        <v>0</v>
      </c>
      <c r="M160" s="32">
        <v>514.5</v>
      </c>
      <c r="N160" s="32" t="s">
        <v>1068</v>
      </c>
      <c r="O160" s="32" t="s">
        <v>665</v>
      </c>
      <c r="P160" s="32" t="s">
        <v>665</v>
      </c>
      <c r="Q160" s="32" t="s">
        <v>841</v>
      </c>
      <c r="R160" s="31">
        <v>46219</v>
      </c>
      <c r="S160" s="32" t="s">
        <v>987</v>
      </c>
      <c r="T160" s="32" t="s">
        <v>988</v>
      </c>
      <c r="U160" s="32" t="s">
        <v>840</v>
      </c>
      <c r="V160" s="32">
        <v>167.89</v>
      </c>
      <c r="W160" s="32">
        <v>167.889998723606</v>
      </c>
      <c r="X160" s="32" t="s">
        <v>841</v>
      </c>
      <c r="Y160" s="31">
        <v>46219</v>
      </c>
      <c r="Z160" s="32"/>
      <c r="AA160" s="32">
        <v>0</v>
      </c>
      <c r="AB160" s="32"/>
      <c r="AC160" s="32" t="s">
        <v>1069</v>
      </c>
      <c r="AD160" s="32">
        <v>2511</v>
      </c>
      <c r="AE160" s="32">
        <v>0</v>
      </c>
      <c r="AF160" s="32">
        <v>0</v>
      </c>
      <c r="AG160" s="32">
        <v>0</v>
      </c>
      <c r="AH160" s="32">
        <v>0</v>
      </c>
      <c r="AI160" s="32">
        <v>0</v>
      </c>
      <c r="AJ160" s="32" t="s">
        <v>965</v>
      </c>
      <c r="AK160" s="32">
        <v>0</v>
      </c>
      <c r="AL160" s="32">
        <v>0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>
        <v>0</v>
      </c>
      <c r="AS160" s="32">
        <v>657672.95999999996</v>
      </c>
      <c r="AT160" s="32" t="s">
        <v>169</v>
      </c>
      <c r="AU160" s="32" t="s">
        <v>176</v>
      </c>
      <c r="AV160" s="32" t="s">
        <v>159</v>
      </c>
      <c r="AW160" s="32" t="s">
        <v>171</v>
      </c>
      <c r="AX160" s="32" t="s">
        <v>966</v>
      </c>
      <c r="AY160" s="32">
        <v>0</v>
      </c>
      <c r="AZ160" s="32">
        <v>86379.4</v>
      </c>
      <c r="BA160" s="32">
        <v>337</v>
      </c>
      <c r="BB160" s="31">
        <v>46220</v>
      </c>
      <c r="BC160" s="32" t="s">
        <v>189</v>
      </c>
      <c r="BD160" s="32" t="s">
        <v>967</v>
      </c>
      <c r="BE160" s="32" t="s">
        <v>967</v>
      </c>
      <c r="BF160" s="32">
        <v>9</v>
      </c>
      <c r="BG160" s="32">
        <v>7774.15</v>
      </c>
      <c r="BH160" s="32">
        <v>9</v>
      </c>
      <c r="BI160" s="32">
        <v>7774.15</v>
      </c>
      <c r="BJ160" s="32">
        <v>0</v>
      </c>
      <c r="BK160" s="32">
        <v>0</v>
      </c>
      <c r="BL160" s="32">
        <v>0</v>
      </c>
      <c r="BM160" s="32">
        <v>622146386068</v>
      </c>
      <c r="BN160" s="31">
        <v>46219</v>
      </c>
      <c r="BO160" s="32">
        <v>514.5</v>
      </c>
    </row>
    <row r="161" spans="1:67" x14ac:dyDescent="0.25">
      <c r="A161" s="21"/>
      <c r="B161" s="32" t="s">
        <v>167</v>
      </c>
      <c r="C161" s="31">
        <v>46220</v>
      </c>
      <c r="D161" s="32" t="s">
        <v>1144</v>
      </c>
      <c r="E161" s="32" t="s">
        <v>1146</v>
      </c>
      <c r="F161" s="32" t="s">
        <v>842</v>
      </c>
      <c r="G161" s="32" t="s">
        <v>1145</v>
      </c>
      <c r="H161" s="32">
        <v>1200</v>
      </c>
      <c r="I161" s="32">
        <v>1200</v>
      </c>
      <c r="J161" s="32" t="s">
        <v>168</v>
      </c>
      <c r="K161" s="32">
        <v>1200</v>
      </c>
      <c r="L161" s="32">
        <v>0</v>
      </c>
      <c r="M161" s="32">
        <v>1200</v>
      </c>
      <c r="N161" s="32" t="s">
        <v>1068</v>
      </c>
      <c r="O161" s="32" t="s">
        <v>665</v>
      </c>
      <c r="P161" s="32" t="s">
        <v>665</v>
      </c>
      <c r="Q161" s="32" t="s">
        <v>841</v>
      </c>
      <c r="R161" s="31">
        <v>46219</v>
      </c>
      <c r="S161" s="32" t="s">
        <v>987</v>
      </c>
      <c r="T161" s="32" t="s">
        <v>988</v>
      </c>
      <c r="U161" s="32" t="s">
        <v>840</v>
      </c>
      <c r="V161" s="32">
        <v>112.88</v>
      </c>
      <c r="W161" s="32">
        <v>112.87999914182301</v>
      </c>
      <c r="X161" s="32" t="s">
        <v>841</v>
      </c>
      <c r="Y161" s="31">
        <v>46219</v>
      </c>
      <c r="Z161" s="32"/>
      <c r="AA161" s="32">
        <v>0</v>
      </c>
      <c r="AB161" s="32"/>
      <c r="AC161" s="32" t="s">
        <v>1069</v>
      </c>
      <c r="AD161" s="32">
        <v>2511</v>
      </c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 t="s">
        <v>965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>
        <v>0</v>
      </c>
      <c r="AS161" s="32">
        <v>657672.95999999996</v>
      </c>
      <c r="AT161" s="32" t="s">
        <v>171</v>
      </c>
      <c r="AU161" s="32" t="s">
        <v>185</v>
      </c>
      <c r="AV161" s="32" t="s">
        <v>814</v>
      </c>
      <c r="AW161" s="32" t="s">
        <v>171</v>
      </c>
      <c r="AX161" s="32" t="s">
        <v>966</v>
      </c>
      <c r="AY161" s="32">
        <v>0</v>
      </c>
      <c r="AZ161" s="32">
        <v>135456</v>
      </c>
      <c r="BA161" s="32">
        <v>337</v>
      </c>
      <c r="BB161" s="31">
        <v>46220</v>
      </c>
      <c r="BC161" s="32" t="s">
        <v>189</v>
      </c>
      <c r="BD161" s="32" t="s">
        <v>967</v>
      </c>
      <c r="BE161" s="32" t="s">
        <v>967</v>
      </c>
      <c r="BF161" s="32">
        <v>9</v>
      </c>
      <c r="BG161" s="32">
        <v>12191.04</v>
      </c>
      <c r="BH161" s="32">
        <v>9</v>
      </c>
      <c r="BI161" s="32">
        <v>12191.04</v>
      </c>
      <c r="BJ161" s="32">
        <v>0</v>
      </c>
      <c r="BK161" s="32">
        <v>0</v>
      </c>
      <c r="BL161" s="32">
        <v>0</v>
      </c>
      <c r="BM161" s="32">
        <v>622146386068</v>
      </c>
      <c r="BN161" s="31">
        <v>46219</v>
      </c>
      <c r="BO161" s="32">
        <v>1200</v>
      </c>
    </row>
    <row r="162" spans="1:67" x14ac:dyDescent="0.25">
      <c r="A162" s="21"/>
      <c r="B162" s="32" t="s">
        <v>167</v>
      </c>
      <c r="C162" s="31">
        <v>46220</v>
      </c>
      <c r="D162" s="32" t="s">
        <v>1147</v>
      </c>
      <c r="E162" s="32" t="s">
        <v>1136</v>
      </c>
      <c r="F162" s="32" t="s">
        <v>834</v>
      </c>
      <c r="G162" s="32" t="s">
        <v>1148</v>
      </c>
      <c r="H162" s="32">
        <v>3000</v>
      </c>
      <c r="I162" s="32">
        <v>3000</v>
      </c>
      <c r="J162" s="32" t="s">
        <v>168</v>
      </c>
      <c r="K162" s="32">
        <v>3000</v>
      </c>
      <c r="L162" s="32">
        <v>0</v>
      </c>
      <c r="M162" s="32">
        <v>3000</v>
      </c>
      <c r="N162" s="32" t="s">
        <v>1149</v>
      </c>
      <c r="O162" s="32" t="s">
        <v>659</v>
      </c>
      <c r="P162" s="32" t="s">
        <v>659</v>
      </c>
      <c r="Q162" s="32" t="s">
        <v>851</v>
      </c>
      <c r="R162" s="31">
        <v>46219</v>
      </c>
      <c r="S162" s="32" t="s">
        <v>987</v>
      </c>
      <c r="T162" s="32" t="s">
        <v>988</v>
      </c>
      <c r="U162" s="32" t="s">
        <v>850</v>
      </c>
      <c r="V162" s="32">
        <v>180</v>
      </c>
      <c r="W162" s="32">
        <v>180</v>
      </c>
      <c r="X162" s="32" t="s">
        <v>851</v>
      </c>
      <c r="Y162" s="31">
        <v>46219</v>
      </c>
      <c r="Z162" s="32"/>
      <c r="AA162" s="32">
        <v>0</v>
      </c>
      <c r="AB162" s="32"/>
      <c r="AC162" s="32" t="s">
        <v>1033</v>
      </c>
      <c r="AD162" s="32">
        <v>2043</v>
      </c>
      <c r="AE162" s="32">
        <v>0</v>
      </c>
      <c r="AF162" s="32">
        <v>0</v>
      </c>
      <c r="AG162" s="32">
        <v>0</v>
      </c>
      <c r="AH162" s="32">
        <v>0</v>
      </c>
      <c r="AI162" s="32">
        <v>0</v>
      </c>
      <c r="AJ162" s="32" t="s">
        <v>965</v>
      </c>
      <c r="AK162" s="32">
        <v>0</v>
      </c>
      <c r="AL162" s="32">
        <v>0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>
        <v>0</v>
      </c>
      <c r="AS162" s="32">
        <v>1202834.3899999999</v>
      </c>
      <c r="AT162" s="32" t="s">
        <v>171</v>
      </c>
      <c r="AU162" s="32" t="s">
        <v>185</v>
      </c>
      <c r="AV162" s="32" t="s">
        <v>733</v>
      </c>
      <c r="AW162" s="32" t="s">
        <v>171</v>
      </c>
      <c r="AX162" s="32" t="s">
        <v>966</v>
      </c>
      <c r="AY162" s="32">
        <v>0</v>
      </c>
      <c r="AZ162" s="32">
        <v>540000</v>
      </c>
      <c r="BA162" s="32">
        <v>336</v>
      </c>
      <c r="BB162" s="31">
        <v>46220</v>
      </c>
      <c r="BC162" s="32" t="s">
        <v>177</v>
      </c>
      <c r="BD162" s="32" t="s">
        <v>967</v>
      </c>
      <c r="BE162" s="32" t="s">
        <v>967</v>
      </c>
      <c r="BF162" s="32">
        <v>9</v>
      </c>
      <c r="BG162" s="32">
        <v>48600</v>
      </c>
      <c r="BH162" s="32">
        <v>9</v>
      </c>
      <c r="BI162" s="32">
        <v>48600</v>
      </c>
      <c r="BJ162" s="32">
        <v>0</v>
      </c>
      <c r="BK162" s="32">
        <v>0</v>
      </c>
      <c r="BL162" s="32">
        <v>1202834.3899999999</v>
      </c>
      <c r="BM162" s="32">
        <v>672146317414</v>
      </c>
      <c r="BN162" s="31">
        <v>46219</v>
      </c>
      <c r="BO162" s="32">
        <v>3000</v>
      </c>
    </row>
    <row r="163" spans="1:67" x14ac:dyDescent="0.25">
      <c r="A163" s="21"/>
      <c r="B163" s="32" t="s">
        <v>167</v>
      </c>
      <c r="C163" s="31">
        <v>46220</v>
      </c>
      <c r="D163" s="32" t="s">
        <v>1147</v>
      </c>
      <c r="E163" s="32" t="s">
        <v>190</v>
      </c>
      <c r="F163" s="32" t="s">
        <v>191</v>
      </c>
      <c r="G163" s="32" t="s">
        <v>1148</v>
      </c>
      <c r="H163" s="32">
        <v>826</v>
      </c>
      <c r="I163" s="32">
        <v>826</v>
      </c>
      <c r="J163" s="32" t="s">
        <v>168</v>
      </c>
      <c r="K163" s="32">
        <v>826</v>
      </c>
      <c r="L163" s="32">
        <v>0</v>
      </c>
      <c r="M163" s="32">
        <v>826</v>
      </c>
      <c r="N163" s="32" t="s">
        <v>1149</v>
      </c>
      <c r="O163" s="32" t="s">
        <v>659</v>
      </c>
      <c r="P163" s="32" t="s">
        <v>659</v>
      </c>
      <c r="Q163" s="32" t="s">
        <v>851</v>
      </c>
      <c r="R163" s="31">
        <v>46219</v>
      </c>
      <c r="S163" s="32" t="s">
        <v>987</v>
      </c>
      <c r="T163" s="32" t="s">
        <v>988</v>
      </c>
      <c r="U163" s="32" t="s">
        <v>850</v>
      </c>
      <c r="V163" s="32">
        <v>206.04</v>
      </c>
      <c r="W163" s="32">
        <v>206.04</v>
      </c>
      <c r="X163" s="32" t="s">
        <v>851</v>
      </c>
      <c r="Y163" s="31">
        <v>46219</v>
      </c>
      <c r="Z163" s="32"/>
      <c r="AA163" s="32">
        <v>0</v>
      </c>
      <c r="AB163" s="32"/>
      <c r="AC163" s="32" t="s">
        <v>1033</v>
      </c>
      <c r="AD163" s="32">
        <v>2043</v>
      </c>
      <c r="AE163" s="32">
        <v>0</v>
      </c>
      <c r="AF163" s="32">
        <v>0</v>
      </c>
      <c r="AG163" s="32">
        <v>0</v>
      </c>
      <c r="AH163" s="32">
        <v>0</v>
      </c>
      <c r="AI163" s="32">
        <v>0</v>
      </c>
      <c r="AJ163" s="32" t="s">
        <v>965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>
        <v>0</v>
      </c>
      <c r="AS163" s="32">
        <v>1202834.3899999999</v>
      </c>
      <c r="AT163" s="32" t="s">
        <v>192</v>
      </c>
      <c r="AU163" s="32" t="s">
        <v>152</v>
      </c>
      <c r="AV163" s="32" t="s">
        <v>152</v>
      </c>
      <c r="AW163" s="32" t="s">
        <v>171</v>
      </c>
      <c r="AX163" s="32" t="s">
        <v>966</v>
      </c>
      <c r="AY163" s="32">
        <v>0</v>
      </c>
      <c r="AZ163" s="32">
        <v>170189.04</v>
      </c>
      <c r="BA163" s="32">
        <v>336</v>
      </c>
      <c r="BB163" s="31">
        <v>46220</v>
      </c>
      <c r="BC163" s="32" t="s">
        <v>177</v>
      </c>
      <c r="BD163" s="32" t="s">
        <v>967</v>
      </c>
      <c r="BE163" s="32" t="s">
        <v>967</v>
      </c>
      <c r="BF163" s="32">
        <v>9</v>
      </c>
      <c r="BG163" s="32">
        <v>15317.01</v>
      </c>
      <c r="BH163" s="32">
        <v>9</v>
      </c>
      <c r="BI163" s="32">
        <v>15317.01</v>
      </c>
      <c r="BJ163" s="32">
        <v>0</v>
      </c>
      <c r="BK163" s="32">
        <v>0</v>
      </c>
      <c r="BL163" s="32">
        <v>0</v>
      </c>
      <c r="BM163" s="32">
        <v>672146317414</v>
      </c>
      <c r="BN163" s="31">
        <v>46219</v>
      </c>
      <c r="BO163" s="32">
        <v>826</v>
      </c>
    </row>
    <row r="164" spans="1:67" x14ac:dyDescent="0.25">
      <c r="A164" s="21"/>
      <c r="B164" s="32" t="s">
        <v>167</v>
      </c>
      <c r="C164" s="31">
        <v>46220</v>
      </c>
      <c r="D164" s="32" t="s">
        <v>1147</v>
      </c>
      <c r="E164" s="32" t="s">
        <v>190</v>
      </c>
      <c r="F164" s="32" t="s">
        <v>191</v>
      </c>
      <c r="G164" s="32" t="s">
        <v>1148</v>
      </c>
      <c r="H164" s="32">
        <v>1485</v>
      </c>
      <c r="I164" s="32">
        <v>1485</v>
      </c>
      <c r="J164" s="32" t="s">
        <v>168</v>
      </c>
      <c r="K164" s="32">
        <v>1485</v>
      </c>
      <c r="L164" s="32">
        <v>0</v>
      </c>
      <c r="M164" s="32">
        <v>1485</v>
      </c>
      <c r="N164" s="32" t="s">
        <v>1149</v>
      </c>
      <c r="O164" s="32" t="s">
        <v>659</v>
      </c>
      <c r="P164" s="32" t="s">
        <v>659</v>
      </c>
      <c r="Q164" s="32" t="s">
        <v>851</v>
      </c>
      <c r="R164" s="31">
        <v>46219</v>
      </c>
      <c r="S164" s="32" t="s">
        <v>987</v>
      </c>
      <c r="T164" s="32" t="s">
        <v>988</v>
      </c>
      <c r="U164" s="32" t="s">
        <v>850</v>
      </c>
      <c r="V164" s="32">
        <v>208.19</v>
      </c>
      <c r="W164" s="32">
        <v>208.19</v>
      </c>
      <c r="X164" s="32" t="s">
        <v>851</v>
      </c>
      <c r="Y164" s="31">
        <v>46219</v>
      </c>
      <c r="Z164" s="32"/>
      <c r="AA164" s="32">
        <v>0</v>
      </c>
      <c r="AB164" s="32"/>
      <c r="AC164" s="32" t="s">
        <v>1033</v>
      </c>
      <c r="AD164" s="32">
        <v>2043</v>
      </c>
      <c r="AE164" s="32">
        <v>0</v>
      </c>
      <c r="AF164" s="32">
        <v>0</v>
      </c>
      <c r="AG164" s="32">
        <v>0</v>
      </c>
      <c r="AH164" s="32">
        <v>0</v>
      </c>
      <c r="AI164" s="32">
        <v>0</v>
      </c>
      <c r="AJ164" s="32" t="s">
        <v>965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>
        <v>0</v>
      </c>
      <c r="AS164" s="32">
        <v>1202834.3899999999</v>
      </c>
      <c r="AT164" s="32" t="s">
        <v>192</v>
      </c>
      <c r="AU164" s="32" t="s">
        <v>152</v>
      </c>
      <c r="AV164" s="32" t="s">
        <v>152</v>
      </c>
      <c r="AW164" s="32" t="s">
        <v>171</v>
      </c>
      <c r="AX164" s="32" t="s">
        <v>966</v>
      </c>
      <c r="AY164" s="32">
        <v>0</v>
      </c>
      <c r="AZ164" s="32">
        <v>309162.15000000002</v>
      </c>
      <c r="BA164" s="32">
        <v>336</v>
      </c>
      <c r="BB164" s="31">
        <v>46220</v>
      </c>
      <c r="BC164" s="32" t="s">
        <v>177</v>
      </c>
      <c r="BD164" s="32" t="s">
        <v>967</v>
      </c>
      <c r="BE164" s="32" t="s">
        <v>967</v>
      </c>
      <c r="BF164" s="32">
        <v>9</v>
      </c>
      <c r="BG164" s="32">
        <v>27824.59</v>
      </c>
      <c r="BH164" s="32">
        <v>9</v>
      </c>
      <c r="BI164" s="32">
        <v>27824.59</v>
      </c>
      <c r="BJ164" s="32">
        <v>0</v>
      </c>
      <c r="BK164" s="32">
        <v>0</v>
      </c>
      <c r="BL164" s="32">
        <v>0</v>
      </c>
      <c r="BM164" s="32">
        <v>672146317414</v>
      </c>
      <c r="BN164" s="31">
        <v>46219</v>
      </c>
      <c r="BO164" s="32">
        <v>1485</v>
      </c>
    </row>
    <row r="165" spans="1:67" x14ac:dyDescent="0.25">
      <c r="A165" s="21"/>
      <c r="B165" s="32" t="s">
        <v>167</v>
      </c>
      <c r="C165" s="31">
        <v>46220</v>
      </c>
      <c r="D165" s="32" t="s">
        <v>1150</v>
      </c>
      <c r="E165" s="32" t="s">
        <v>1151</v>
      </c>
      <c r="F165" s="32" t="s">
        <v>845</v>
      </c>
      <c r="G165" s="32" t="s">
        <v>1152</v>
      </c>
      <c r="H165" s="32">
        <v>2000</v>
      </c>
      <c r="I165" s="32">
        <v>2000</v>
      </c>
      <c r="J165" s="32" t="s">
        <v>168</v>
      </c>
      <c r="K165" s="32">
        <v>2000</v>
      </c>
      <c r="L165" s="32">
        <v>0</v>
      </c>
      <c r="M165" s="32">
        <v>2000</v>
      </c>
      <c r="N165" s="32" t="s">
        <v>175</v>
      </c>
      <c r="O165" s="32" t="s">
        <v>654</v>
      </c>
      <c r="P165" s="32" t="s">
        <v>654</v>
      </c>
      <c r="Q165" s="32" t="s">
        <v>844</v>
      </c>
      <c r="R165" s="31">
        <v>46220</v>
      </c>
      <c r="S165" s="32" t="s">
        <v>987</v>
      </c>
      <c r="T165" s="32" t="s">
        <v>988</v>
      </c>
      <c r="U165" s="32" t="s">
        <v>843</v>
      </c>
      <c r="V165" s="32">
        <v>124.4</v>
      </c>
      <c r="W165" s="32">
        <v>124.4</v>
      </c>
      <c r="X165" s="32" t="s">
        <v>844</v>
      </c>
      <c r="Y165" s="31">
        <v>46220</v>
      </c>
      <c r="Z165" s="32"/>
      <c r="AA165" s="32">
        <v>0</v>
      </c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>
        <v>0</v>
      </c>
      <c r="AI165" s="32">
        <v>0</v>
      </c>
      <c r="AJ165" s="32" t="s">
        <v>965</v>
      </c>
      <c r="AK165" s="32">
        <v>0</v>
      </c>
      <c r="AL165" s="32">
        <v>0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>
        <v>0</v>
      </c>
      <c r="AS165" s="32">
        <v>293584</v>
      </c>
      <c r="AT165" s="32" t="s">
        <v>171</v>
      </c>
      <c r="AU165" s="32" t="s">
        <v>185</v>
      </c>
      <c r="AV165" s="32" t="s">
        <v>704</v>
      </c>
      <c r="AW165" s="32" t="s">
        <v>171</v>
      </c>
      <c r="AX165" s="32"/>
      <c r="AY165" s="32">
        <v>0</v>
      </c>
      <c r="AZ165" s="32">
        <v>248800</v>
      </c>
      <c r="BA165" s="32">
        <v>338</v>
      </c>
      <c r="BB165" s="31">
        <v>46220</v>
      </c>
      <c r="BC165" s="32" t="s">
        <v>177</v>
      </c>
      <c r="BD165" s="32" t="s">
        <v>967</v>
      </c>
      <c r="BE165" s="32" t="s">
        <v>967</v>
      </c>
      <c r="BF165" s="32">
        <v>9</v>
      </c>
      <c r="BG165" s="32">
        <v>22392</v>
      </c>
      <c r="BH165" s="32">
        <v>9</v>
      </c>
      <c r="BI165" s="32">
        <v>22392</v>
      </c>
      <c r="BJ165" s="32">
        <v>0</v>
      </c>
      <c r="BK165" s="32">
        <v>0</v>
      </c>
      <c r="BL165" s="32">
        <v>293584</v>
      </c>
      <c r="BM165" s="32">
        <v>692146656748</v>
      </c>
      <c r="BN165" s="31">
        <v>46220</v>
      </c>
      <c r="BO165" s="32">
        <v>2000</v>
      </c>
    </row>
    <row r="166" spans="1:67" x14ac:dyDescent="0.25">
      <c r="A166" s="21"/>
      <c r="B166" s="32" t="s">
        <v>167</v>
      </c>
      <c r="C166" s="31">
        <v>46220</v>
      </c>
      <c r="D166" s="32" t="s">
        <v>1153</v>
      </c>
      <c r="E166" s="32" t="s">
        <v>183</v>
      </c>
      <c r="F166" s="32" t="s">
        <v>184</v>
      </c>
      <c r="G166" s="32" t="s">
        <v>1154</v>
      </c>
      <c r="H166" s="32">
        <v>3000</v>
      </c>
      <c r="I166" s="32">
        <v>3000</v>
      </c>
      <c r="J166" s="32" t="s">
        <v>168</v>
      </c>
      <c r="K166" s="32">
        <v>3000</v>
      </c>
      <c r="L166" s="32">
        <v>0</v>
      </c>
      <c r="M166" s="32">
        <v>3000</v>
      </c>
      <c r="N166" s="32" t="s">
        <v>175</v>
      </c>
      <c r="O166" s="32" t="s">
        <v>654</v>
      </c>
      <c r="P166" s="32" t="s">
        <v>654</v>
      </c>
      <c r="Q166" s="32" t="s">
        <v>847</v>
      </c>
      <c r="R166" s="31">
        <v>46220</v>
      </c>
      <c r="S166" s="32" t="s">
        <v>987</v>
      </c>
      <c r="T166" s="32" t="s">
        <v>988</v>
      </c>
      <c r="U166" s="32" t="s">
        <v>846</v>
      </c>
      <c r="V166" s="32">
        <v>39</v>
      </c>
      <c r="W166" s="32">
        <v>39</v>
      </c>
      <c r="X166" s="32" t="s">
        <v>847</v>
      </c>
      <c r="Y166" s="31">
        <v>46220</v>
      </c>
      <c r="Z166" s="32"/>
      <c r="AA166" s="32">
        <v>0</v>
      </c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>
        <v>0</v>
      </c>
      <c r="AI166" s="32">
        <v>0</v>
      </c>
      <c r="AJ166" s="32" t="s">
        <v>965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>
        <v>0</v>
      </c>
      <c r="AS166" s="32">
        <v>138060</v>
      </c>
      <c r="AT166" s="32" t="s">
        <v>171</v>
      </c>
      <c r="AU166" s="32" t="s">
        <v>185</v>
      </c>
      <c r="AV166" s="32" t="s">
        <v>164</v>
      </c>
      <c r="AW166" s="32" t="s">
        <v>169</v>
      </c>
      <c r="AX166" s="32" t="s">
        <v>1125</v>
      </c>
      <c r="AY166" s="32">
        <v>0</v>
      </c>
      <c r="AZ166" s="32">
        <v>117000</v>
      </c>
      <c r="BA166" s="32">
        <v>339</v>
      </c>
      <c r="BB166" s="31">
        <v>46220</v>
      </c>
      <c r="BC166" s="32" t="s">
        <v>177</v>
      </c>
      <c r="BD166" s="32" t="s">
        <v>967</v>
      </c>
      <c r="BE166" s="32" t="s">
        <v>967</v>
      </c>
      <c r="BF166" s="32">
        <v>9</v>
      </c>
      <c r="BG166" s="32">
        <v>10530</v>
      </c>
      <c r="BH166" s="32">
        <v>9</v>
      </c>
      <c r="BI166" s="32">
        <v>10530</v>
      </c>
      <c r="BJ166" s="32">
        <v>0</v>
      </c>
      <c r="BK166" s="32">
        <v>0</v>
      </c>
      <c r="BL166" s="32">
        <v>138060</v>
      </c>
      <c r="BM166" s="32">
        <v>662146700918</v>
      </c>
      <c r="BN166" s="31">
        <v>46220</v>
      </c>
      <c r="BO166" s="32">
        <v>3000</v>
      </c>
    </row>
    <row r="167" spans="1:67" x14ac:dyDescent="0.25">
      <c r="A167" s="21"/>
      <c r="B167" s="32" t="s">
        <v>167</v>
      </c>
      <c r="C167" s="31">
        <v>46220</v>
      </c>
      <c r="D167" s="32" t="s">
        <v>1155</v>
      </c>
      <c r="E167" s="32" t="s">
        <v>1156</v>
      </c>
      <c r="F167" s="32" t="s">
        <v>838</v>
      </c>
      <c r="G167" s="32" t="s">
        <v>1157</v>
      </c>
      <c r="H167" s="32">
        <v>54000</v>
      </c>
      <c r="I167" s="32">
        <v>54000</v>
      </c>
      <c r="J167" s="32" t="s">
        <v>168</v>
      </c>
      <c r="K167" s="32">
        <v>54000</v>
      </c>
      <c r="L167" s="32">
        <v>0</v>
      </c>
      <c r="M167" s="32">
        <v>54000</v>
      </c>
      <c r="N167" s="32" t="s">
        <v>1158</v>
      </c>
      <c r="O167" s="32" t="s">
        <v>835</v>
      </c>
      <c r="P167" s="32" t="s">
        <v>835</v>
      </c>
      <c r="Q167" s="32" t="s">
        <v>837</v>
      </c>
      <c r="R167" s="31">
        <v>46220</v>
      </c>
      <c r="S167" s="32" t="s">
        <v>987</v>
      </c>
      <c r="T167" s="32" t="s">
        <v>988</v>
      </c>
      <c r="U167" s="32" t="s">
        <v>836</v>
      </c>
      <c r="V167" s="32">
        <v>124</v>
      </c>
      <c r="W167" s="32">
        <v>124</v>
      </c>
      <c r="X167" s="32" t="s">
        <v>837</v>
      </c>
      <c r="Y167" s="31">
        <v>46220</v>
      </c>
      <c r="Z167" s="32"/>
      <c r="AA167" s="32">
        <v>0</v>
      </c>
      <c r="AB167" s="32"/>
      <c r="AC167" s="32" t="s">
        <v>1159</v>
      </c>
      <c r="AD167" s="32" t="s">
        <v>1160</v>
      </c>
      <c r="AE167" s="32">
        <v>0</v>
      </c>
      <c r="AF167" s="32">
        <v>0</v>
      </c>
      <c r="AG167" s="32">
        <v>0</v>
      </c>
      <c r="AH167" s="32">
        <v>0</v>
      </c>
      <c r="AI167" s="32">
        <v>0</v>
      </c>
      <c r="AJ167" s="32" t="s">
        <v>965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>
        <v>0</v>
      </c>
      <c r="AS167" s="32">
        <v>7901280</v>
      </c>
      <c r="AT167" s="32" t="s">
        <v>171</v>
      </c>
      <c r="AU167" s="32" t="s">
        <v>185</v>
      </c>
      <c r="AV167" s="32" t="s">
        <v>166</v>
      </c>
      <c r="AW167" s="32" t="s">
        <v>171</v>
      </c>
      <c r="AX167" s="32"/>
      <c r="AY167" s="32">
        <v>0</v>
      </c>
      <c r="AZ167" s="32">
        <v>6696000</v>
      </c>
      <c r="BA167" s="32">
        <v>340</v>
      </c>
      <c r="BB167" s="31">
        <v>46220</v>
      </c>
      <c r="BC167" s="32" t="s">
        <v>839</v>
      </c>
      <c r="BD167" s="32" t="s">
        <v>967</v>
      </c>
      <c r="BE167" s="32" t="s">
        <v>967</v>
      </c>
      <c r="BF167" s="32">
        <v>9</v>
      </c>
      <c r="BG167" s="32">
        <v>602640</v>
      </c>
      <c r="BH167" s="32">
        <v>9</v>
      </c>
      <c r="BI167" s="32">
        <v>602640</v>
      </c>
      <c r="BJ167" s="32">
        <v>0</v>
      </c>
      <c r="BK167" s="32">
        <v>0</v>
      </c>
      <c r="BL167" s="32">
        <v>7901280</v>
      </c>
      <c r="BM167" s="32">
        <v>612145899663</v>
      </c>
      <c r="BN167" s="31">
        <v>46219</v>
      </c>
      <c r="BO167" s="32">
        <v>54000</v>
      </c>
    </row>
    <row r="168" spans="1:67" x14ac:dyDescent="0.25">
      <c r="A168" s="21"/>
      <c r="B168" s="32" t="s">
        <v>167</v>
      </c>
      <c r="C168" s="31">
        <v>46220</v>
      </c>
      <c r="D168" s="32" t="s">
        <v>1161</v>
      </c>
      <c r="E168" s="32" t="s">
        <v>173</v>
      </c>
      <c r="F168" s="32" t="s">
        <v>174</v>
      </c>
      <c r="G168" s="32" t="s">
        <v>1162</v>
      </c>
      <c r="H168" s="32">
        <v>1013</v>
      </c>
      <c r="I168" s="32">
        <v>1013</v>
      </c>
      <c r="J168" s="32" t="s">
        <v>168</v>
      </c>
      <c r="K168" s="32">
        <v>1013</v>
      </c>
      <c r="L168" s="32">
        <v>0</v>
      </c>
      <c r="M168" s="32">
        <v>1013</v>
      </c>
      <c r="N168" s="32" t="s">
        <v>175</v>
      </c>
      <c r="O168" s="32" t="s">
        <v>654</v>
      </c>
      <c r="P168" s="32" t="s">
        <v>654</v>
      </c>
      <c r="Q168" s="32" t="s">
        <v>849</v>
      </c>
      <c r="R168" s="31">
        <v>46220</v>
      </c>
      <c r="S168" s="32" t="s">
        <v>987</v>
      </c>
      <c r="T168" s="32" t="s">
        <v>988</v>
      </c>
      <c r="U168" s="32" t="s">
        <v>848</v>
      </c>
      <c r="V168" s="32">
        <v>182.78</v>
      </c>
      <c r="W168" s="32">
        <v>182.78000110120999</v>
      </c>
      <c r="X168" s="32" t="s">
        <v>849</v>
      </c>
      <c r="Y168" s="31">
        <v>46220</v>
      </c>
      <c r="Z168" s="32"/>
      <c r="AA168" s="32">
        <v>0</v>
      </c>
      <c r="AB168" s="32"/>
      <c r="AC168" s="32">
        <v>0</v>
      </c>
      <c r="AD168" s="32">
        <v>0</v>
      </c>
      <c r="AE168" s="32">
        <v>0</v>
      </c>
      <c r="AF168" s="32">
        <v>0</v>
      </c>
      <c r="AG168" s="32">
        <v>0</v>
      </c>
      <c r="AH168" s="32">
        <v>0</v>
      </c>
      <c r="AI168" s="32">
        <v>0</v>
      </c>
      <c r="AJ168" s="32" t="s">
        <v>965</v>
      </c>
      <c r="AK168" s="32">
        <v>0</v>
      </c>
      <c r="AL168" s="32">
        <v>0</v>
      </c>
      <c r="AM168" s="32">
        <v>0</v>
      </c>
      <c r="AN168" s="32">
        <v>0</v>
      </c>
      <c r="AO168" s="32">
        <v>0</v>
      </c>
      <c r="AP168" s="32"/>
      <c r="AQ168" s="32">
        <v>0</v>
      </c>
      <c r="AR168" s="32">
        <v>0</v>
      </c>
      <c r="AS168" s="32">
        <v>829904.95</v>
      </c>
      <c r="AT168" s="32" t="s">
        <v>169</v>
      </c>
      <c r="AU168" s="32" t="s">
        <v>176</v>
      </c>
      <c r="AV168" s="32" t="s">
        <v>159</v>
      </c>
      <c r="AW168" s="32" t="s">
        <v>171</v>
      </c>
      <c r="AX168" s="32" t="s">
        <v>966</v>
      </c>
      <c r="AY168" s="32">
        <v>0</v>
      </c>
      <c r="AZ168" s="32">
        <v>185156.14</v>
      </c>
      <c r="BA168" s="32">
        <v>341</v>
      </c>
      <c r="BB168" s="31">
        <v>46220</v>
      </c>
      <c r="BC168" s="32" t="s">
        <v>177</v>
      </c>
      <c r="BD168" s="32" t="s">
        <v>967</v>
      </c>
      <c r="BE168" s="32" t="s">
        <v>967</v>
      </c>
      <c r="BF168" s="32">
        <v>9</v>
      </c>
      <c r="BG168" s="32">
        <v>16664.05</v>
      </c>
      <c r="BH168" s="32">
        <v>9</v>
      </c>
      <c r="BI168" s="32">
        <v>16664.05</v>
      </c>
      <c r="BJ168" s="32">
        <v>0</v>
      </c>
      <c r="BK168" s="32">
        <v>0</v>
      </c>
      <c r="BL168" s="32">
        <v>829904.95</v>
      </c>
      <c r="BM168" s="32">
        <v>682147080224</v>
      </c>
      <c r="BN168" s="31">
        <v>46220</v>
      </c>
      <c r="BO168" s="32">
        <v>1013</v>
      </c>
    </row>
    <row r="169" spans="1:67" x14ac:dyDescent="0.25">
      <c r="A169" s="21"/>
      <c r="B169" s="32" t="s">
        <v>167</v>
      </c>
      <c r="C169" s="31">
        <v>46220</v>
      </c>
      <c r="D169" s="32" t="s">
        <v>1161</v>
      </c>
      <c r="E169" s="32" t="s">
        <v>186</v>
      </c>
      <c r="F169" s="32" t="s">
        <v>187</v>
      </c>
      <c r="G169" s="32" t="s">
        <v>1162</v>
      </c>
      <c r="H169" s="32">
        <v>355</v>
      </c>
      <c r="I169" s="32">
        <v>355</v>
      </c>
      <c r="J169" s="32" t="s">
        <v>168</v>
      </c>
      <c r="K169" s="32">
        <v>355</v>
      </c>
      <c r="L169" s="32">
        <v>0</v>
      </c>
      <c r="M169" s="32">
        <v>355</v>
      </c>
      <c r="N169" s="32" t="s">
        <v>175</v>
      </c>
      <c r="O169" s="32" t="s">
        <v>654</v>
      </c>
      <c r="P169" s="32" t="s">
        <v>654</v>
      </c>
      <c r="Q169" s="32" t="s">
        <v>849</v>
      </c>
      <c r="R169" s="31">
        <v>46220</v>
      </c>
      <c r="S169" s="32" t="s">
        <v>987</v>
      </c>
      <c r="T169" s="32" t="s">
        <v>988</v>
      </c>
      <c r="U169" s="32" t="s">
        <v>848</v>
      </c>
      <c r="V169" s="32">
        <v>147.49</v>
      </c>
      <c r="W169" s="32">
        <v>147.490000888596</v>
      </c>
      <c r="X169" s="32" t="s">
        <v>849</v>
      </c>
      <c r="Y169" s="31">
        <v>46220</v>
      </c>
      <c r="Z169" s="32"/>
      <c r="AA169" s="32">
        <v>0</v>
      </c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>
        <v>0</v>
      </c>
      <c r="AI169" s="32">
        <v>0</v>
      </c>
      <c r="AJ169" s="32" t="s">
        <v>965</v>
      </c>
      <c r="AK169" s="32">
        <v>0</v>
      </c>
      <c r="AL169" s="32">
        <v>0</v>
      </c>
      <c r="AM169" s="32">
        <v>0</v>
      </c>
      <c r="AN169" s="32">
        <v>0</v>
      </c>
      <c r="AO169" s="32">
        <v>0</v>
      </c>
      <c r="AP169" s="32"/>
      <c r="AQ169" s="32">
        <v>0</v>
      </c>
      <c r="AR169" s="32">
        <v>0</v>
      </c>
      <c r="AS169" s="32">
        <v>829904.95</v>
      </c>
      <c r="AT169" s="32" t="s">
        <v>169</v>
      </c>
      <c r="AU169" s="32" t="s">
        <v>180</v>
      </c>
      <c r="AV169" s="32" t="s">
        <v>155</v>
      </c>
      <c r="AW169" s="32" t="s">
        <v>171</v>
      </c>
      <c r="AX169" s="32" t="s">
        <v>966</v>
      </c>
      <c r="AY169" s="32">
        <v>0</v>
      </c>
      <c r="AZ169" s="32">
        <v>52358.95</v>
      </c>
      <c r="BA169" s="32">
        <v>341</v>
      </c>
      <c r="BB169" s="31">
        <v>46220</v>
      </c>
      <c r="BC169" s="32" t="s">
        <v>177</v>
      </c>
      <c r="BD169" s="32" t="s">
        <v>967</v>
      </c>
      <c r="BE169" s="32" t="s">
        <v>967</v>
      </c>
      <c r="BF169" s="32">
        <v>9</v>
      </c>
      <c r="BG169" s="32">
        <v>4712.3100000000004</v>
      </c>
      <c r="BH169" s="32">
        <v>9</v>
      </c>
      <c r="BI169" s="32">
        <v>4712.3100000000004</v>
      </c>
      <c r="BJ169" s="32">
        <v>0</v>
      </c>
      <c r="BK169" s="32">
        <v>0</v>
      </c>
      <c r="BL169" s="32">
        <v>0</v>
      </c>
      <c r="BM169" s="32">
        <v>682147080224</v>
      </c>
      <c r="BN169" s="31">
        <v>46220</v>
      </c>
      <c r="BO169" s="32">
        <v>355</v>
      </c>
    </row>
    <row r="170" spans="1:67" x14ac:dyDescent="0.25">
      <c r="A170" s="21"/>
      <c r="B170" s="32" t="s">
        <v>167</v>
      </c>
      <c r="C170" s="31">
        <v>46220</v>
      </c>
      <c r="D170" s="32" t="s">
        <v>1161</v>
      </c>
      <c r="E170" s="32" t="s">
        <v>186</v>
      </c>
      <c r="F170" s="32" t="s">
        <v>187</v>
      </c>
      <c r="G170" s="32" t="s">
        <v>1162</v>
      </c>
      <c r="H170" s="32">
        <v>1385</v>
      </c>
      <c r="I170" s="32">
        <v>1385</v>
      </c>
      <c r="J170" s="32" t="s">
        <v>168</v>
      </c>
      <c r="K170" s="32">
        <v>1385</v>
      </c>
      <c r="L170" s="32">
        <v>0</v>
      </c>
      <c r="M170" s="32">
        <v>1385</v>
      </c>
      <c r="N170" s="32" t="s">
        <v>175</v>
      </c>
      <c r="O170" s="32" t="s">
        <v>654</v>
      </c>
      <c r="P170" s="32" t="s">
        <v>654</v>
      </c>
      <c r="Q170" s="32" t="s">
        <v>849</v>
      </c>
      <c r="R170" s="31">
        <v>46220</v>
      </c>
      <c r="S170" s="32" t="s">
        <v>987</v>
      </c>
      <c r="T170" s="32" t="s">
        <v>988</v>
      </c>
      <c r="U170" s="32" t="s">
        <v>848</v>
      </c>
      <c r="V170" s="32">
        <v>146.49</v>
      </c>
      <c r="W170" s="32">
        <v>146.490000882571</v>
      </c>
      <c r="X170" s="32" t="s">
        <v>849</v>
      </c>
      <c r="Y170" s="31">
        <v>46220</v>
      </c>
      <c r="Z170" s="32"/>
      <c r="AA170" s="32">
        <v>0</v>
      </c>
      <c r="AB170" s="32"/>
      <c r="AC170" s="32">
        <v>0</v>
      </c>
      <c r="AD170" s="32">
        <v>0</v>
      </c>
      <c r="AE170" s="32">
        <v>0</v>
      </c>
      <c r="AF170" s="32">
        <v>0</v>
      </c>
      <c r="AG170" s="32">
        <v>0</v>
      </c>
      <c r="AH170" s="32">
        <v>0</v>
      </c>
      <c r="AI170" s="32">
        <v>0</v>
      </c>
      <c r="AJ170" s="32" t="s">
        <v>965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/>
      <c r="AQ170" s="32">
        <v>0</v>
      </c>
      <c r="AR170" s="32">
        <v>0</v>
      </c>
      <c r="AS170" s="32">
        <v>829904.95</v>
      </c>
      <c r="AT170" s="32" t="s">
        <v>169</v>
      </c>
      <c r="AU170" s="32" t="s">
        <v>180</v>
      </c>
      <c r="AV170" s="32" t="s">
        <v>155</v>
      </c>
      <c r="AW170" s="32" t="s">
        <v>171</v>
      </c>
      <c r="AX170" s="32" t="s">
        <v>966</v>
      </c>
      <c r="AY170" s="32">
        <v>0</v>
      </c>
      <c r="AZ170" s="32">
        <v>202888.65</v>
      </c>
      <c r="BA170" s="32">
        <v>341</v>
      </c>
      <c r="BB170" s="31">
        <v>46220</v>
      </c>
      <c r="BC170" s="32" t="s">
        <v>177</v>
      </c>
      <c r="BD170" s="32" t="s">
        <v>967</v>
      </c>
      <c r="BE170" s="32" t="s">
        <v>967</v>
      </c>
      <c r="BF170" s="32">
        <v>9</v>
      </c>
      <c r="BG170" s="32">
        <v>18259.98</v>
      </c>
      <c r="BH170" s="32">
        <v>9</v>
      </c>
      <c r="BI170" s="32">
        <v>18259.98</v>
      </c>
      <c r="BJ170" s="32">
        <v>0</v>
      </c>
      <c r="BK170" s="32">
        <v>0</v>
      </c>
      <c r="BL170" s="32">
        <v>0</v>
      </c>
      <c r="BM170" s="32">
        <v>682147080224</v>
      </c>
      <c r="BN170" s="31">
        <v>46220</v>
      </c>
      <c r="BO170" s="32">
        <v>1385</v>
      </c>
    </row>
    <row r="171" spans="1:67" x14ac:dyDescent="0.25">
      <c r="A171" s="21"/>
      <c r="B171" s="32" t="s">
        <v>167</v>
      </c>
      <c r="C171" s="31">
        <v>46220</v>
      </c>
      <c r="D171" s="32" t="s">
        <v>1161</v>
      </c>
      <c r="E171" s="32" t="s">
        <v>186</v>
      </c>
      <c r="F171" s="32" t="s">
        <v>187</v>
      </c>
      <c r="G171" s="32" t="s">
        <v>1162</v>
      </c>
      <c r="H171" s="32">
        <v>1113</v>
      </c>
      <c r="I171" s="32">
        <v>1113</v>
      </c>
      <c r="J171" s="32" t="s">
        <v>168</v>
      </c>
      <c r="K171" s="32">
        <v>1113</v>
      </c>
      <c r="L171" s="32">
        <v>0</v>
      </c>
      <c r="M171" s="32">
        <v>1113</v>
      </c>
      <c r="N171" s="32" t="s">
        <v>175</v>
      </c>
      <c r="O171" s="32" t="s">
        <v>654</v>
      </c>
      <c r="P171" s="32" t="s">
        <v>654</v>
      </c>
      <c r="Q171" s="32" t="s">
        <v>849</v>
      </c>
      <c r="R171" s="31">
        <v>46220</v>
      </c>
      <c r="S171" s="32" t="s">
        <v>987</v>
      </c>
      <c r="T171" s="32" t="s">
        <v>988</v>
      </c>
      <c r="U171" s="32" t="s">
        <v>848</v>
      </c>
      <c r="V171" s="32">
        <v>149.49</v>
      </c>
      <c r="W171" s="32">
        <v>149.49000090064499</v>
      </c>
      <c r="X171" s="32" t="s">
        <v>849</v>
      </c>
      <c r="Y171" s="31">
        <v>46220</v>
      </c>
      <c r="Z171" s="32"/>
      <c r="AA171" s="32">
        <v>0</v>
      </c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>
        <v>0</v>
      </c>
      <c r="AI171" s="32">
        <v>0</v>
      </c>
      <c r="AJ171" s="32" t="s">
        <v>965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/>
      <c r="AQ171" s="32">
        <v>0</v>
      </c>
      <c r="AR171" s="32">
        <v>0</v>
      </c>
      <c r="AS171" s="32">
        <v>829904.95</v>
      </c>
      <c r="AT171" s="32" t="s">
        <v>169</v>
      </c>
      <c r="AU171" s="32" t="s">
        <v>180</v>
      </c>
      <c r="AV171" s="32" t="s">
        <v>155</v>
      </c>
      <c r="AW171" s="32" t="s">
        <v>171</v>
      </c>
      <c r="AX171" s="32" t="s">
        <v>966</v>
      </c>
      <c r="AY171" s="32">
        <v>0</v>
      </c>
      <c r="AZ171" s="32">
        <v>166382.37</v>
      </c>
      <c r="BA171" s="32">
        <v>341</v>
      </c>
      <c r="BB171" s="31">
        <v>46220</v>
      </c>
      <c r="BC171" s="32" t="s">
        <v>177</v>
      </c>
      <c r="BD171" s="32" t="s">
        <v>967</v>
      </c>
      <c r="BE171" s="32" t="s">
        <v>967</v>
      </c>
      <c r="BF171" s="32">
        <v>9</v>
      </c>
      <c r="BG171" s="32">
        <v>14974.41</v>
      </c>
      <c r="BH171" s="32">
        <v>9</v>
      </c>
      <c r="BI171" s="32">
        <v>14974.41</v>
      </c>
      <c r="BJ171" s="32">
        <v>0</v>
      </c>
      <c r="BK171" s="32">
        <v>0</v>
      </c>
      <c r="BL171" s="32">
        <v>0</v>
      </c>
      <c r="BM171" s="32">
        <v>682147080224</v>
      </c>
      <c r="BN171" s="31">
        <v>46220</v>
      </c>
      <c r="BO171" s="32">
        <v>1113</v>
      </c>
    </row>
    <row r="172" spans="1:67" x14ac:dyDescent="0.25">
      <c r="A172" s="21"/>
      <c r="B172" s="32" t="s">
        <v>167</v>
      </c>
      <c r="C172" s="31">
        <v>46220</v>
      </c>
      <c r="D172" s="32" t="s">
        <v>1161</v>
      </c>
      <c r="E172" s="32" t="s">
        <v>181</v>
      </c>
      <c r="F172" s="32" t="s">
        <v>182</v>
      </c>
      <c r="G172" s="32" t="s">
        <v>1162</v>
      </c>
      <c r="H172" s="32">
        <v>459.3</v>
      </c>
      <c r="I172" s="32">
        <v>459.3</v>
      </c>
      <c r="J172" s="32" t="s">
        <v>168</v>
      </c>
      <c r="K172" s="32">
        <v>459.3</v>
      </c>
      <c r="L172" s="32">
        <v>0</v>
      </c>
      <c r="M172" s="32">
        <v>459.3</v>
      </c>
      <c r="N172" s="32" t="s">
        <v>175</v>
      </c>
      <c r="O172" s="32" t="s">
        <v>654</v>
      </c>
      <c r="P172" s="32" t="s">
        <v>654</v>
      </c>
      <c r="Q172" s="32" t="s">
        <v>849</v>
      </c>
      <c r="R172" s="31">
        <v>46220</v>
      </c>
      <c r="S172" s="32" t="s">
        <v>987</v>
      </c>
      <c r="T172" s="32" t="s">
        <v>988</v>
      </c>
      <c r="U172" s="32" t="s">
        <v>848</v>
      </c>
      <c r="V172" s="32">
        <v>149.49</v>
      </c>
      <c r="W172" s="32">
        <v>149.49000090064499</v>
      </c>
      <c r="X172" s="32" t="s">
        <v>849</v>
      </c>
      <c r="Y172" s="31">
        <v>46220</v>
      </c>
      <c r="Z172" s="32"/>
      <c r="AA172" s="32">
        <v>0</v>
      </c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>
        <v>0</v>
      </c>
      <c r="AI172" s="32">
        <v>0</v>
      </c>
      <c r="AJ172" s="32" t="s">
        <v>965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/>
      <c r="AQ172" s="32">
        <v>0</v>
      </c>
      <c r="AR172" s="32">
        <v>0</v>
      </c>
      <c r="AS172" s="32">
        <v>829904.95</v>
      </c>
      <c r="AT172" s="32" t="s">
        <v>169</v>
      </c>
      <c r="AU172" s="32" t="s">
        <v>182</v>
      </c>
      <c r="AV172" s="32" t="s">
        <v>154</v>
      </c>
      <c r="AW172" s="32" t="s">
        <v>171</v>
      </c>
      <c r="AX172" s="32" t="s">
        <v>966</v>
      </c>
      <c r="AY172" s="32">
        <v>0</v>
      </c>
      <c r="AZ172" s="32">
        <v>68660.759999999995</v>
      </c>
      <c r="BA172" s="32">
        <v>341</v>
      </c>
      <c r="BB172" s="31">
        <v>46220</v>
      </c>
      <c r="BC172" s="32" t="s">
        <v>177</v>
      </c>
      <c r="BD172" s="32" t="s">
        <v>967</v>
      </c>
      <c r="BE172" s="32" t="s">
        <v>967</v>
      </c>
      <c r="BF172" s="32">
        <v>9</v>
      </c>
      <c r="BG172" s="32">
        <v>6179.47</v>
      </c>
      <c r="BH172" s="32">
        <v>9</v>
      </c>
      <c r="BI172" s="32">
        <v>6179.47</v>
      </c>
      <c r="BJ172" s="32">
        <v>0</v>
      </c>
      <c r="BK172" s="32">
        <v>0</v>
      </c>
      <c r="BL172" s="32">
        <v>0</v>
      </c>
      <c r="BM172" s="32">
        <v>682147080224</v>
      </c>
      <c r="BN172" s="31">
        <v>46220</v>
      </c>
      <c r="BO172" s="32">
        <v>459.3</v>
      </c>
    </row>
    <row r="173" spans="1:67" x14ac:dyDescent="0.25">
      <c r="A173" s="21"/>
      <c r="B173" s="32" t="s">
        <v>167</v>
      </c>
      <c r="C173" s="31">
        <v>46220</v>
      </c>
      <c r="D173" s="32" t="s">
        <v>1161</v>
      </c>
      <c r="E173" s="32" t="s">
        <v>181</v>
      </c>
      <c r="F173" s="32" t="s">
        <v>182</v>
      </c>
      <c r="G173" s="32" t="s">
        <v>1162</v>
      </c>
      <c r="H173" s="32">
        <v>190.2</v>
      </c>
      <c r="I173" s="32">
        <v>190.2</v>
      </c>
      <c r="J173" s="32" t="s">
        <v>168</v>
      </c>
      <c r="K173" s="32">
        <v>190.2</v>
      </c>
      <c r="L173" s="32">
        <v>0</v>
      </c>
      <c r="M173" s="32">
        <v>190.2</v>
      </c>
      <c r="N173" s="32" t="s">
        <v>175</v>
      </c>
      <c r="O173" s="32" t="s">
        <v>654</v>
      </c>
      <c r="P173" s="32" t="s">
        <v>654</v>
      </c>
      <c r="Q173" s="32" t="s">
        <v>849</v>
      </c>
      <c r="R173" s="31">
        <v>46220</v>
      </c>
      <c r="S173" s="32" t="s">
        <v>987</v>
      </c>
      <c r="T173" s="32" t="s">
        <v>988</v>
      </c>
      <c r="U173" s="32" t="s">
        <v>848</v>
      </c>
      <c r="V173" s="32">
        <v>146.49</v>
      </c>
      <c r="W173" s="32">
        <v>146.490000882571</v>
      </c>
      <c r="X173" s="32" t="s">
        <v>849</v>
      </c>
      <c r="Y173" s="31">
        <v>46220</v>
      </c>
      <c r="Z173" s="32"/>
      <c r="AA173" s="32">
        <v>0</v>
      </c>
      <c r="AB173" s="32"/>
      <c r="AC173" s="32">
        <v>0</v>
      </c>
      <c r="AD173" s="32">
        <v>0</v>
      </c>
      <c r="AE173" s="32">
        <v>0</v>
      </c>
      <c r="AF173" s="32">
        <v>0</v>
      </c>
      <c r="AG173" s="32">
        <v>0</v>
      </c>
      <c r="AH173" s="32">
        <v>0</v>
      </c>
      <c r="AI173" s="32">
        <v>0</v>
      </c>
      <c r="AJ173" s="32" t="s">
        <v>965</v>
      </c>
      <c r="AK173" s="32">
        <v>0</v>
      </c>
      <c r="AL173" s="32">
        <v>0</v>
      </c>
      <c r="AM173" s="32">
        <v>0</v>
      </c>
      <c r="AN173" s="32">
        <v>0</v>
      </c>
      <c r="AO173" s="32">
        <v>0</v>
      </c>
      <c r="AP173" s="32"/>
      <c r="AQ173" s="32">
        <v>0</v>
      </c>
      <c r="AR173" s="32">
        <v>0</v>
      </c>
      <c r="AS173" s="32">
        <v>829904.95</v>
      </c>
      <c r="AT173" s="32" t="s">
        <v>169</v>
      </c>
      <c r="AU173" s="32" t="s">
        <v>182</v>
      </c>
      <c r="AV173" s="32" t="s">
        <v>154</v>
      </c>
      <c r="AW173" s="32" t="s">
        <v>171</v>
      </c>
      <c r="AX173" s="32" t="s">
        <v>966</v>
      </c>
      <c r="AY173" s="32">
        <v>0</v>
      </c>
      <c r="AZ173" s="32">
        <v>27862.400000000001</v>
      </c>
      <c r="BA173" s="32">
        <v>341</v>
      </c>
      <c r="BB173" s="31">
        <v>46220</v>
      </c>
      <c r="BC173" s="32" t="s">
        <v>177</v>
      </c>
      <c r="BD173" s="32" t="s">
        <v>967</v>
      </c>
      <c r="BE173" s="32" t="s">
        <v>967</v>
      </c>
      <c r="BF173" s="32">
        <v>9</v>
      </c>
      <c r="BG173" s="32">
        <v>2507.62</v>
      </c>
      <c r="BH173" s="32">
        <v>9</v>
      </c>
      <c r="BI173" s="32">
        <v>2507.62</v>
      </c>
      <c r="BJ173" s="32">
        <v>0</v>
      </c>
      <c r="BK173" s="32">
        <v>0</v>
      </c>
      <c r="BL173" s="32">
        <v>0</v>
      </c>
      <c r="BM173" s="32">
        <v>682147080224</v>
      </c>
      <c r="BN173" s="31">
        <v>46220</v>
      </c>
      <c r="BO173" s="32">
        <v>190.2</v>
      </c>
    </row>
    <row r="174" spans="1:67" x14ac:dyDescent="0.25">
      <c r="A174" s="21"/>
      <c r="B174" s="32" t="s">
        <v>167</v>
      </c>
      <c r="C174" s="31">
        <v>46221</v>
      </c>
      <c r="D174" s="32" t="s">
        <v>1163</v>
      </c>
      <c r="E174" s="32" t="s">
        <v>181</v>
      </c>
      <c r="F174" s="32" t="s">
        <v>182</v>
      </c>
      <c r="G174" s="32" t="s">
        <v>1164</v>
      </c>
      <c r="H174" s="32">
        <v>553.4</v>
      </c>
      <c r="I174" s="32">
        <v>553.4</v>
      </c>
      <c r="J174" s="32" t="s">
        <v>168</v>
      </c>
      <c r="K174" s="32">
        <v>553.4</v>
      </c>
      <c r="L174" s="32">
        <v>0</v>
      </c>
      <c r="M174" s="32">
        <v>553.4</v>
      </c>
      <c r="N174" s="32" t="s">
        <v>615</v>
      </c>
      <c r="O174" s="32" t="s">
        <v>654</v>
      </c>
      <c r="P174" s="32" t="s">
        <v>654</v>
      </c>
      <c r="Q174" s="32" t="s">
        <v>858</v>
      </c>
      <c r="R174" s="31">
        <v>46221</v>
      </c>
      <c r="S174" s="32" t="s">
        <v>987</v>
      </c>
      <c r="T174" s="32" t="s">
        <v>988</v>
      </c>
      <c r="U174" s="32" t="s">
        <v>857</v>
      </c>
      <c r="V174" s="32">
        <v>146.49</v>
      </c>
      <c r="W174" s="32">
        <v>146.490001571645</v>
      </c>
      <c r="X174" s="32" t="s">
        <v>858</v>
      </c>
      <c r="Y174" s="31">
        <v>46221</v>
      </c>
      <c r="Z174" s="32"/>
      <c r="AA174" s="32">
        <v>0</v>
      </c>
      <c r="AB174" s="32"/>
      <c r="AC174" s="32">
        <v>0</v>
      </c>
      <c r="AD174" s="32">
        <v>0</v>
      </c>
      <c r="AE174" s="32">
        <v>0</v>
      </c>
      <c r="AF174" s="32">
        <v>0</v>
      </c>
      <c r="AG174" s="32">
        <v>0</v>
      </c>
      <c r="AH174" s="32">
        <v>0</v>
      </c>
      <c r="AI174" s="32">
        <v>0</v>
      </c>
      <c r="AJ174" s="32" t="s">
        <v>965</v>
      </c>
      <c r="AK174" s="32">
        <v>0</v>
      </c>
      <c r="AL174" s="32">
        <v>0</v>
      </c>
      <c r="AM174" s="32">
        <v>0</v>
      </c>
      <c r="AN174" s="32">
        <v>0</v>
      </c>
      <c r="AO174" s="32">
        <v>0</v>
      </c>
      <c r="AP174" s="32"/>
      <c r="AQ174" s="32">
        <v>0</v>
      </c>
      <c r="AR174" s="32">
        <v>0</v>
      </c>
      <c r="AS174" s="32">
        <v>372832.25</v>
      </c>
      <c r="AT174" s="32" t="s">
        <v>169</v>
      </c>
      <c r="AU174" s="32" t="s">
        <v>182</v>
      </c>
      <c r="AV174" s="32" t="s">
        <v>154</v>
      </c>
      <c r="AW174" s="32" t="s">
        <v>171</v>
      </c>
      <c r="AX174" s="32" t="s">
        <v>966</v>
      </c>
      <c r="AY174" s="32">
        <v>0</v>
      </c>
      <c r="AZ174" s="32">
        <v>81067.570000000007</v>
      </c>
      <c r="BA174" s="32">
        <v>342</v>
      </c>
      <c r="BB174" s="31">
        <v>46221</v>
      </c>
      <c r="BC174" s="32" t="s">
        <v>177</v>
      </c>
      <c r="BD174" s="32" t="s">
        <v>967</v>
      </c>
      <c r="BE174" s="32" t="s">
        <v>967</v>
      </c>
      <c r="BF174" s="32">
        <v>9</v>
      </c>
      <c r="BG174" s="32">
        <v>7296.08</v>
      </c>
      <c r="BH174" s="32">
        <v>9</v>
      </c>
      <c r="BI174" s="32">
        <v>7296.08</v>
      </c>
      <c r="BJ174" s="32">
        <v>0</v>
      </c>
      <c r="BK174" s="32">
        <v>0</v>
      </c>
      <c r="BL174" s="32">
        <v>372832.25</v>
      </c>
      <c r="BM174" s="32">
        <v>652147255625</v>
      </c>
      <c r="BN174" s="31">
        <v>46221</v>
      </c>
      <c r="BO174" s="32">
        <v>553.4</v>
      </c>
    </row>
    <row r="175" spans="1:67" x14ac:dyDescent="0.25">
      <c r="A175" s="21"/>
      <c r="B175" s="32" t="s">
        <v>167</v>
      </c>
      <c r="C175" s="31">
        <v>46221</v>
      </c>
      <c r="D175" s="32" t="s">
        <v>1163</v>
      </c>
      <c r="E175" s="32" t="s">
        <v>186</v>
      </c>
      <c r="F175" s="32" t="s">
        <v>187</v>
      </c>
      <c r="G175" s="32" t="s">
        <v>1164</v>
      </c>
      <c r="H175" s="32">
        <v>1626</v>
      </c>
      <c r="I175" s="32">
        <v>1626</v>
      </c>
      <c r="J175" s="32" t="s">
        <v>168</v>
      </c>
      <c r="K175" s="32">
        <v>1626</v>
      </c>
      <c r="L175" s="32">
        <v>0</v>
      </c>
      <c r="M175" s="32">
        <v>1626</v>
      </c>
      <c r="N175" s="32" t="s">
        <v>615</v>
      </c>
      <c r="O175" s="32" t="s">
        <v>654</v>
      </c>
      <c r="P175" s="32" t="s">
        <v>654</v>
      </c>
      <c r="Q175" s="32" t="s">
        <v>858</v>
      </c>
      <c r="R175" s="31">
        <v>46221</v>
      </c>
      <c r="S175" s="32" t="s">
        <v>987</v>
      </c>
      <c r="T175" s="32" t="s">
        <v>988</v>
      </c>
      <c r="U175" s="32" t="s">
        <v>857</v>
      </c>
      <c r="V175" s="32">
        <v>144.46</v>
      </c>
      <c r="W175" s="32">
        <v>144.46000154986601</v>
      </c>
      <c r="X175" s="32" t="s">
        <v>858</v>
      </c>
      <c r="Y175" s="31">
        <v>46221</v>
      </c>
      <c r="Z175" s="32"/>
      <c r="AA175" s="32">
        <v>0</v>
      </c>
      <c r="AB175" s="32"/>
      <c r="AC175" s="32">
        <v>0</v>
      </c>
      <c r="AD175" s="32">
        <v>0</v>
      </c>
      <c r="AE175" s="32">
        <v>0</v>
      </c>
      <c r="AF175" s="32">
        <v>0</v>
      </c>
      <c r="AG175" s="32">
        <v>0</v>
      </c>
      <c r="AH175" s="32">
        <v>0</v>
      </c>
      <c r="AI175" s="32">
        <v>0</v>
      </c>
      <c r="AJ175" s="32" t="s">
        <v>965</v>
      </c>
      <c r="AK175" s="32">
        <v>0</v>
      </c>
      <c r="AL175" s="32">
        <v>0</v>
      </c>
      <c r="AM175" s="32">
        <v>0</v>
      </c>
      <c r="AN175" s="32">
        <v>0</v>
      </c>
      <c r="AO175" s="32">
        <v>0</v>
      </c>
      <c r="AP175" s="32"/>
      <c r="AQ175" s="32">
        <v>0</v>
      </c>
      <c r="AR175" s="32">
        <v>0</v>
      </c>
      <c r="AS175" s="32">
        <v>372832.25</v>
      </c>
      <c r="AT175" s="32" t="s">
        <v>169</v>
      </c>
      <c r="AU175" s="32" t="s">
        <v>180</v>
      </c>
      <c r="AV175" s="32" t="s">
        <v>155</v>
      </c>
      <c r="AW175" s="32" t="s">
        <v>171</v>
      </c>
      <c r="AX175" s="32" t="s">
        <v>966</v>
      </c>
      <c r="AY175" s="32">
        <v>0</v>
      </c>
      <c r="AZ175" s="32">
        <v>234891.96</v>
      </c>
      <c r="BA175" s="32">
        <v>342</v>
      </c>
      <c r="BB175" s="31">
        <v>46221</v>
      </c>
      <c r="BC175" s="32" t="s">
        <v>177</v>
      </c>
      <c r="BD175" s="32" t="s">
        <v>967</v>
      </c>
      <c r="BE175" s="32" t="s">
        <v>967</v>
      </c>
      <c r="BF175" s="32">
        <v>9</v>
      </c>
      <c r="BG175" s="32">
        <v>21140.28</v>
      </c>
      <c r="BH175" s="32">
        <v>9</v>
      </c>
      <c r="BI175" s="32">
        <v>21140.28</v>
      </c>
      <c r="BJ175" s="32">
        <v>0</v>
      </c>
      <c r="BK175" s="32">
        <v>0</v>
      </c>
      <c r="BL175" s="32">
        <v>0</v>
      </c>
      <c r="BM175" s="32">
        <v>652147255625</v>
      </c>
      <c r="BN175" s="31">
        <v>46221</v>
      </c>
      <c r="BO175" s="32">
        <v>1626</v>
      </c>
    </row>
    <row r="176" spans="1:67" x14ac:dyDescent="0.25">
      <c r="A176" s="21"/>
      <c r="B176" s="32" t="s">
        <v>167</v>
      </c>
      <c r="C176" s="31">
        <v>46221</v>
      </c>
      <c r="D176" s="32" t="s">
        <v>1165</v>
      </c>
      <c r="E176" s="32" t="s">
        <v>190</v>
      </c>
      <c r="F176" s="32" t="s">
        <v>191</v>
      </c>
      <c r="G176" s="32" t="s">
        <v>1166</v>
      </c>
      <c r="H176" s="32">
        <v>4973</v>
      </c>
      <c r="I176" s="32">
        <v>4973</v>
      </c>
      <c r="J176" s="32" t="s">
        <v>168</v>
      </c>
      <c r="K176" s="32">
        <v>4973</v>
      </c>
      <c r="L176" s="32">
        <v>0</v>
      </c>
      <c r="M176" s="32">
        <v>4973</v>
      </c>
      <c r="N176" s="32" t="s">
        <v>612</v>
      </c>
      <c r="O176" s="32" t="s">
        <v>654</v>
      </c>
      <c r="P176" s="32" t="s">
        <v>654</v>
      </c>
      <c r="Q176" s="32" t="s">
        <v>860</v>
      </c>
      <c r="R176" s="31">
        <v>46221</v>
      </c>
      <c r="S176" s="32" t="s">
        <v>987</v>
      </c>
      <c r="T176" s="32" t="s">
        <v>988</v>
      </c>
      <c r="U176" s="32" t="s">
        <v>859</v>
      </c>
      <c r="V176" s="32">
        <v>219.46</v>
      </c>
      <c r="W176" s="32">
        <v>219.46</v>
      </c>
      <c r="X176" s="32" t="s">
        <v>860</v>
      </c>
      <c r="Y176" s="31">
        <v>46221</v>
      </c>
      <c r="Z176" s="32"/>
      <c r="AA176" s="32">
        <v>0</v>
      </c>
      <c r="AB176" s="32"/>
      <c r="AC176" s="32">
        <v>0</v>
      </c>
      <c r="AD176" s="32">
        <v>0</v>
      </c>
      <c r="AE176" s="32">
        <v>0</v>
      </c>
      <c r="AF176" s="32">
        <v>0</v>
      </c>
      <c r="AG176" s="32">
        <v>0</v>
      </c>
      <c r="AH176" s="32">
        <v>0</v>
      </c>
      <c r="AI176" s="32">
        <v>0</v>
      </c>
      <c r="AJ176" s="32" t="s">
        <v>965</v>
      </c>
      <c r="AK176" s="32">
        <v>0</v>
      </c>
      <c r="AL176" s="32">
        <v>0</v>
      </c>
      <c r="AM176" s="32">
        <v>0</v>
      </c>
      <c r="AN176" s="32">
        <v>0</v>
      </c>
      <c r="AO176" s="32">
        <v>0</v>
      </c>
      <c r="AP176" s="32"/>
      <c r="AQ176" s="32">
        <v>0</v>
      </c>
      <c r="AR176" s="32">
        <v>0</v>
      </c>
      <c r="AS176" s="32">
        <v>1287822</v>
      </c>
      <c r="AT176" s="32" t="s">
        <v>192</v>
      </c>
      <c r="AU176" s="32" t="s">
        <v>152</v>
      </c>
      <c r="AV176" s="32" t="s">
        <v>152</v>
      </c>
      <c r="AW176" s="32" t="s">
        <v>171</v>
      </c>
      <c r="AX176" s="32" t="s">
        <v>966</v>
      </c>
      <c r="AY176" s="32">
        <v>0</v>
      </c>
      <c r="AZ176" s="32">
        <v>1091374.58</v>
      </c>
      <c r="BA176" s="32">
        <v>344</v>
      </c>
      <c r="BB176" s="31">
        <v>46221</v>
      </c>
      <c r="BC176" s="32" t="s">
        <v>177</v>
      </c>
      <c r="BD176" s="32" t="s">
        <v>967</v>
      </c>
      <c r="BE176" s="32" t="s">
        <v>967</v>
      </c>
      <c r="BF176" s="32">
        <v>9</v>
      </c>
      <c r="BG176" s="32">
        <v>98223.71</v>
      </c>
      <c r="BH176" s="32">
        <v>9</v>
      </c>
      <c r="BI176" s="32">
        <v>98223.71</v>
      </c>
      <c r="BJ176" s="32">
        <v>0</v>
      </c>
      <c r="BK176" s="32">
        <v>0</v>
      </c>
      <c r="BL176" s="32">
        <v>1287822</v>
      </c>
      <c r="BM176" s="32">
        <v>682147464613</v>
      </c>
      <c r="BN176" s="31">
        <v>46221</v>
      </c>
      <c r="BO176" s="32">
        <v>4973</v>
      </c>
    </row>
    <row r="177" spans="1:67" x14ac:dyDescent="0.25">
      <c r="A177" s="21"/>
      <c r="B177" s="32" t="s">
        <v>167</v>
      </c>
      <c r="C177" s="31">
        <v>46221</v>
      </c>
      <c r="D177" s="32" t="s">
        <v>1167</v>
      </c>
      <c r="E177" s="32" t="s">
        <v>190</v>
      </c>
      <c r="F177" s="32" t="s">
        <v>191</v>
      </c>
      <c r="G177" s="32" t="s">
        <v>1168</v>
      </c>
      <c r="H177" s="32">
        <v>10402.5</v>
      </c>
      <c r="I177" s="32">
        <v>10402.5</v>
      </c>
      <c r="J177" s="32" t="s">
        <v>168</v>
      </c>
      <c r="K177" s="32">
        <v>10402.5</v>
      </c>
      <c r="L177" s="32">
        <v>0</v>
      </c>
      <c r="M177" s="32">
        <v>10402.5</v>
      </c>
      <c r="N177" s="32" t="s">
        <v>1169</v>
      </c>
      <c r="O177" s="32" t="s">
        <v>676</v>
      </c>
      <c r="P177" s="32" t="s">
        <v>676</v>
      </c>
      <c r="Q177" s="32" t="s">
        <v>856</v>
      </c>
      <c r="R177" s="31">
        <v>46220</v>
      </c>
      <c r="S177" s="32" t="s">
        <v>987</v>
      </c>
      <c r="T177" s="32" t="s">
        <v>988</v>
      </c>
      <c r="U177" s="32" t="s">
        <v>855</v>
      </c>
      <c r="V177" s="32">
        <v>276.68</v>
      </c>
      <c r="W177" s="32">
        <v>276.68</v>
      </c>
      <c r="X177" s="32" t="s">
        <v>856</v>
      </c>
      <c r="Y177" s="31">
        <v>46220</v>
      </c>
      <c r="Z177" s="32"/>
      <c r="AA177" s="32">
        <v>0</v>
      </c>
      <c r="AB177" s="32"/>
      <c r="AC177" s="32" t="s">
        <v>1033</v>
      </c>
      <c r="AD177" s="32">
        <v>2438</v>
      </c>
      <c r="AE177" s="32">
        <v>0</v>
      </c>
      <c r="AF177" s="32">
        <v>0</v>
      </c>
      <c r="AG177" s="32">
        <v>0</v>
      </c>
      <c r="AH177" s="32">
        <v>0</v>
      </c>
      <c r="AI177" s="32">
        <v>0</v>
      </c>
      <c r="AJ177" s="32" t="s">
        <v>965</v>
      </c>
      <c r="AK177" s="32">
        <v>0</v>
      </c>
      <c r="AL177" s="32">
        <v>0</v>
      </c>
      <c r="AM177" s="32">
        <v>0</v>
      </c>
      <c r="AN177" s="32">
        <v>0</v>
      </c>
      <c r="AO177" s="32">
        <v>0</v>
      </c>
      <c r="AP177" s="32"/>
      <c r="AQ177" s="32">
        <v>0</v>
      </c>
      <c r="AR177" s="32">
        <v>0</v>
      </c>
      <c r="AS177" s="32">
        <v>3396233.16</v>
      </c>
      <c r="AT177" s="32" t="s">
        <v>192</v>
      </c>
      <c r="AU177" s="32" t="s">
        <v>152</v>
      </c>
      <c r="AV177" s="32" t="s">
        <v>152</v>
      </c>
      <c r="AW177" s="32" t="s">
        <v>171</v>
      </c>
      <c r="AX177" s="32" t="s">
        <v>966</v>
      </c>
      <c r="AY177" s="32">
        <v>0</v>
      </c>
      <c r="AZ177" s="32">
        <v>2878163.7</v>
      </c>
      <c r="BA177" s="32">
        <v>343</v>
      </c>
      <c r="BB177" s="31">
        <v>46221</v>
      </c>
      <c r="BC177" s="32" t="s">
        <v>172</v>
      </c>
      <c r="BD177" s="32" t="s">
        <v>967</v>
      </c>
      <c r="BE177" s="32" t="s">
        <v>967</v>
      </c>
      <c r="BF177" s="32">
        <v>9</v>
      </c>
      <c r="BG177" s="32">
        <v>259034.73</v>
      </c>
      <c r="BH177" s="32">
        <v>9</v>
      </c>
      <c r="BI177" s="32">
        <v>259034.73</v>
      </c>
      <c r="BJ177" s="32">
        <v>0</v>
      </c>
      <c r="BK177" s="32">
        <v>0</v>
      </c>
      <c r="BL177" s="32">
        <v>3396233.16</v>
      </c>
      <c r="BM177" s="32">
        <v>602147005702</v>
      </c>
      <c r="BN177" s="31">
        <v>46220</v>
      </c>
      <c r="BO177" s="32">
        <v>10402.5</v>
      </c>
    </row>
    <row r="178" spans="1:67" x14ac:dyDescent="0.25">
      <c r="A178" s="21"/>
      <c r="B178" s="32" t="s">
        <v>167</v>
      </c>
      <c r="C178" s="31">
        <v>46221</v>
      </c>
      <c r="D178" s="32" t="s">
        <v>1170</v>
      </c>
      <c r="E178" s="32" t="s">
        <v>173</v>
      </c>
      <c r="F178" s="32" t="s">
        <v>174</v>
      </c>
      <c r="G178" s="32" t="s">
        <v>1171</v>
      </c>
      <c r="H178" s="32">
        <v>416</v>
      </c>
      <c r="I178" s="32">
        <v>416</v>
      </c>
      <c r="J178" s="32" t="s">
        <v>168</v>
      </c>
      <c r="K178" s="32">
        <v>416</v>
      </c>
      <c r="L178" s="32">
        <v>0</v>
      </c>
      <c r="M178" s="32">
        <v>416</v>
      </c>
      <c r="N178" s="32" t="s">
        <v>175</v>
      </c>
      <c r="O178" s="32" t="s">
        <v>654</v>
      </c>
      <c r="P178" s="32" t="s">
        <v>654</v>
      </c>
      <c r="Q178" s="32" t="s">
        <v>862</v>
      </c>
      <c r="R178" s="31">
        <v>46221</v>
      </c>
      <c r="S178" s="32" t="s">
        <v>987</v>
      </c>
      <c r="T178" s="32" t="s">
        <v>988</v>
      </c>
      <c r="U178" s="32" t="s">
        <v>861</v>
      </c>
      <c r="V178" s="32">
        <v>186.78</v>
      </c>
      <c r="W178" s="32">
        <v>186.78000086112701</v>
      </c>
      <c r="X178" s="32" t="s">
        <v>862</v>
      </c>
      <c r="Y178" s="31">
        <v>46221</v>
      </c>
      <c r="Z178" s="32" t="s">
        <v>193</v>
      </c>
      <c r="AA178" s="32" t="s">
        <v>193</v>
      </c>
      <c r="AB178" s="32"/>
      <c r="AC178" s="32" t="s">
        <v>193</v>
      </c>
      <c r="AD178" s="32" t="s">
        <v>193</v>
      </c>
      <c r="AE178" s="32">
        <v>0</v>
      </c>
      <c r="AF178" s="32">
        <v>0</v>
      </c>
      <c r="AG178" s="32">
        <v>0</v>
      </c>
      <c r="AH178" s="32">
        <v>0</v>
      </c>
      <c r="AI178" s="32">
        <v>0</v>
      </c>
      <c r="AJ178" s="32" t="s">
        <v>965</v>
      </c>
      <c r="AK178" s="32">
        <v>0</v>
      </c>
      <c r="AL178" s="32">
        <v>0</v>
      </c>
      <c r="AM178" s="32">
        <v>0</v>
      </c>
      <c r="AN178" s="32">
        <v>0</v>
      </c>
      <c r="AO178" s="32">
        <v>0</v>
      </c>
      <c r="AP178" s="32"/>
      <c r="AQ178" s="32">
        <v>0</v>
      </c>
      <c r="AR178" s="32">
        <v>0</v>
      </c>
      <c r="AS178" s="32">
        <v>1084508.8500000001</v>
      </c>
      <c r="AT178" s="32" t="s">
        <v>169</v>
      </c>
      <c r="AU178" s="32" t="s">
        <v>176</v>
      </c>
      <c r="AV178" s="32" t="s">
        <v>159</v>
      </c>
      <c r="AW178" s="32" t="s">
        <v>171</v>
      </c>
      <c r="AX178" s="32" t="s">
        <v>966</v>
      </c>
      <c r="AY178" s="32">
        <v>0</v>
      </c>
      <c r="AZ178" s="32">
        <v>77700.479999999996</v>
      </c>
      <c r="BA178" s="32">
        <v>345</v>
      </c>
      <c r="BB178" s="31">
        <v>46221</v>
      </c>
      <c r="BC178" s="32" t="s">
        <v>177</v>
      </c>
      <c r="BD178" s="32" t="s">
        <v>967</v>
      </c>
      <c r="BE178" s="32" t="s">
        <v>967</v>
      </c>
      <c r="BF178" s="32">
        <v>9</v>
      </c>
      <c r="BG178" s="32">
        <v>6993.04</v>
      </c>
      <c r="BH178" s="32">
        <v>9</v>
      </c>
      <c r="BI178" s="32">
        <v>6993.04</v>
      </c>
      <c r="BJ178" s="32">
        <v>0</v>
      </c>
      <c r="BK178" s="32">
        <v>0</v>
      </c>
      <c r="BL178" s="32">
        <v>1084508.8500000001</v>
      </c>
      <c r="BM178" s="32">
        <v>622147780090</v>
      </c>
      <c r="BN178" s="31">
        <v>46221</v>
      </c>
      <c r="BO178" s="32">
        <v>416</v>
      </c>
    </row>
    <row r="179" spans="1:67" x14ac:dyDescent="0.25">
      <c r="A179" s="21"/>
      <c r="B179" s="32" t="s">
        <v>167</v>
      </c>
      <c r="C179" s="31">
        <v>46221</v>
      </c>
      <c r="D179" s="32" t="s">
        <v>1170</v>
      </c>
      <c r="E179" s="32" t="s">
        <v>178</v>
      </c>
      <c r="F179" s="32" t="s">
        <v>179</v>
      </c>
      <c r="G179" s="32" t="s">
        <v>1171</v>
      </c>
      <c r="H179" s="32">
        <v>4058.7</v>
      </c>
      <c r="I179" s="32">
        <v>4058.7</v>
      </c>
      <c r="J179" s="32" t="s">
        <v>168</v>
      </c>
      <c r="K179" s="32">
        <v>4058.7</v>
      </c>
      <c r="L179" s="32">
        <v>0</v>
      </c>
      <c r="M179" s="32">
        <v>4058.7</v>
      </c>
      <c r="N179" s="32" t="s">
        <v>175</v>
      </c>
      <c r="O179" s="32" t="s">
        <v>654</v>
      </c>
      <c r="P179" s="32" t="s">
        <v>654</v>
      </c>
      <c r="Q179" s="32" t="s">
        <v>862</v>
      </c>
      <c r="R179" s="31">
        <v>46221</v>
      </c>
      <c r="S179" s="32" t="s">
        <v>987</v>
      </c>
      <c r="T179" s="32" t="s">
        <v>988</v>
      </c>
      <c r="U179" s="32" t="s">
        <v>861</v>
      </c>
      <c r="V179" s="32">
        <v>161.74</v>
      </c>
      <c r="W179" s="32">
        <v>161.74000074568301</v>
      </c>
      <c r="X179" s="32" t="s">
        <v>862</v>
      </c>
      <c r="Y179" s="31">
        <v>46221</v>
      </c>
      <c r="Z179" s="32" t="s">
        <v>193</v>
      </c>
      <c r="AA179" s="32" t="s">
        <v>193</v>
      </c>
      <c r="AB179" s="32"/>
      <c r="AC179" s="32" t="s">
        <v>193</v>
      </c>
      <c r="AD179" s="32" t="s">
        <v>193</v>
      </c>
      <c r="AE179" s="32">
        <v>0</v>
      </c>
      <c r="AF179" s="32">
        <v>0</v>
      </c>
      <c r="AG179" s="32">
        <v>0</v>
      </c>
      <c r="AH179" s="32">
        <v>0</v>
      </c>
      <c r="AI179" s="32">
        <v>0</v>
      </c>
      <c r="AJ179" s="32" t="s">
        <v>965</v>
      </c>
      <c r="AK179" s="32">
        <v>0</v>
      </c>
      <c r="AL179" s="32">
        <v>0</v>
      </c>
      <c r="AM179" s="32">
        <v>0</v>
      </c>
      <c r="AN179" s="32">
        <v>0</v>
      </c>
      <c r="AO179" s="32">
        <v>0</v>
      </c>
      <c r="AP179" s="32"/>
      <c r="AQ179" s="32">
        <v>0</v>
      </c>
      <c r="AR179" s="32">
        <v>0</v>
      </c>
      <c r="AS179" s="32">
        <v>1084508.8500000001</v>
      </c>
      <c r="AT179" s="32" t="s">
        <v>169</v>
      </c>
      <c r="AU179" s="32" t="s">
        <v>180</v>
      </c>
      <c r="AV179" s="32" t="s">
        <v>156</v>
      </c>
      <c r="AW179" s="32" t="s">
        <v>171</v>
      </c>
      <c r="AX179" s="32" t="s">
        <v>966</v>
      </c>
      <c r="AY179" s="32">
        <v>0</v>
      </c>
      <c r="AZ179" s="32">
        <v>656454.14</v>
      </c>
      <c r="BA179" s="32">
        <v>345</v>
      </c>
      <c r="BB179" s="31">
        <v>46221</v>
      </c>
      <c r="BC179" s="32" t="s">
        <v>177</v>
      </c>
      <c r="BD179" s="32" t="s">
        <v>967</v>
      </c>
      <c r="BE179" s="32" t="s">
        <v>967</v>
      </c>
      <c r="BF179" s="32">
        <v>9</v>
      </c>
      <c r="BG179" s="32">
        <v>59080.87</v>
      </c>
      <c r="BH179" s="32">
        <v>9</v>
      </c>
      <c r="BI179" s="32">
        <v>59080.87</v>
      </c>
      <c r="BJ179" s="32">
        <v>0</v>
      </c>
      <c r="BK179" s="32">
        <v>0</v>
      </c>
      <c r="BL179" s="32">
        <v>0</v>
      </c>
      <c r="BM179" s="32">
        <v>622147780090</v>
      </c>
      <c r="BN179" s="31">
        <v>46221</v>
      </c>
      <c r="BO179" s="32">
        <v>4058.7</v>
      </c>
    </row>
    <row r="180" spans="1:67" x14ac:dyDescent="0.25">
      <c r="A180" s="21"/>
      <c r="B180" s="32" t="s">
        <v>167</v>
      </c>
      <c r="C180" s="31">
        <v>46221</v>
      </c>
      <c r="D180" s="32" t="s">
        <v>1170</v>
      </c>
      <c r="E180" s="32" t="s">
        <v>181</v>
      </c>
      <c r="F180" s="32" t="s">
        <v>182</v>
      </c>
      <c r="G180" s="32" t="s">
        <v>1171</v>
      </c>
      <c r="H180" s="32">
        <v>783.4</v>
      </c>
      <c r="I180" s="32">
        <v>783.4</v>
      </c>
      <c r="J180" s="32" t="s">
        <v>168</v>
      </c>
      <c r="K180" s="32">
        <v>783.4</v>
      </c>
      <c r="L180" s="32">
        <v>0</v>
      </c>
      <c r="M180" s="32">
        <v>783.4</v>
      </c>
      <c r="N180" s="32" t="s">
        <v>175</v>
      </c>
      <c r="O180" s="32" t="s">
        <v>654</v>
      </c>
      <c r="P180" s="32" t="s">
        <v>654</v>
      </c>
      <c r="Q180" s="32" t="s">
        <v>862</v>
      </c>
      <c r="R180" s="31">
        <v>46221</v>
      </c>
      <c r="S180" s="32" t="s">
        <v>987</v>
      </c>
      <c r="T180" s="32" t="s">
        <v>988</v>
      </c>
      <c r="U180" s="32" t="s">
        <v>861</v>
      </c>
      <c r="V180" s="32">
        <v>149.49</v>
      </c>
      <c r="W180" s="32">
        <v>149.490000689206</v>
      </c>
      <c r="X180" s="32" t="s">
        <v>862</v>
      </c>
      <c r="Y180" s="31">
        <v>46221</v>
      </c>
      <c r="Z180" s="32" t="s">
        <v>193</v>
      </c>
      <c r="AA180" s="32" t="s">
        <v>193</v>
      </c>
      <c r="AB180" s="32"/>
      <c r="AC180" s="32" t="s">
        <v>193</v>
      </c>
      <c r="AD180" s="32" t="s">
        <v>193</v>
      </c>
      <c r="AE180" s="32">
        <v>0</v>
      </c>
      <c r="AF180" s="32">
        <v>0</v>
      </c>
      <c r="AG180" s="32">
        <v>0</v>
      </c>
      <c r="AH180" s="32">
        <v>0</v>
      </c>
      <c r="AI180" s="32">
        <v>0</v>
      </c>
      <c r="AJ180" s="32" t="s">
        <v>965</v>
      </c>
      <c r="AK180" s="32">
        <v>0</v>
      </c>
      <c r="AL180" s="32">
        <v>0</v>
      </c>
      <c r="AM180" s="32">
        <v>0</v>
      </c>
      <c r="AN180" s="32">
        <v>0</v>
      </c>
      <c r="AO180" s="32">
        <v>0</v>
      </c>
      <c r="AP180" s="32"/>
      <c r="AQ180" s="32">
        <v>0</v>
      </c>
      <c r="AR180" s="32">
        <v>0</v>
      </c>
      <c r="AS180" s="32">
        <v>1084508.8500000001</v>
      </c>
      <c r="AT180" s="32" t="s">
        <v>169</v>
      </c>
      <c r="AU180" s="32" t="s">
        <v>182</v>
      </c>
      <c r="AV180" s="32" t="s">
        <v>154</v>
      </c>
      <c r="AW180" s="32" t="s">
        <v>171</v>
      </c>
      <c r="AX180" s="32" t="s">
        <v>966</v>
      </c>
      <c r="AY180" s="32">
        <v>0</v>
      </c>
      <c r="AZ180" s="32">
        <v>117110.47</v>
      </c>
      <c r="BA180" s="32">
        <v>345</v>
      </c>
      <c r="BB180" s="31">
        <v>46221</v>
      </c>
      <c r="BC180" s="32" t="s">
        <v>177</v>
      </c>
      <c r="BD180" s="32" t="s">
        <v>967</v>
      </c>
      <c r="BE180" s="32" t="s">
        <v>967</v>
      </c>
      <c r="BF180" s="32">
        <v>9</v>
      </c>
      <c r="BG180" s="32">
        <v>10539.94</v>
      </c>
      <c r="BH180" s="32">
        <v>9</v>
      </c>
      <c r="BI180" s="32">
        <v>10539.94</v>
      </c>
      <c r="BJ180" s="32">
        <v>0</v>
      </c>
      <c r="BK180" s="32">
        <v>0</v>
      </c>
      <c r="BL180" s="32">
        <v>0</v>
      </c>
      <c r="BM180" s="32">
        <v>622147780090</v>
      </c>
      <c r="BN180" s="31">
        <v>46221</v>
      </c>
      <c r="BO180" s="32">
        <v>783.4</v>
      </c>
    </row>
    <row r="181" spans="1:67" x14ac:dyDescent="0.25">
      <c r="A181" s="21"/>
      <c r="B181" s="32" t="s">
        <v>167</v>
      </c>
      <c r="C181" s="31">
        <v>46221</v>
      </c>
      <c r="D181" s="32" t="s">
        <v>1170</v>
      </c>
      <c r="E181" s="32" t="s">
        <v>181</v>
      </c>
      <c r="F181" s="32" t="s">
        <v>182</v>
      </c>
      <c r="G181" s="32" t="s">
        <v>1171</v>
      </c>
      <c r="H181" s="32">
        <v>462.9</v>
      </c>
      <c r="I181" s="32">
        <v>462.9</v>
      </c>
      <c r="J181" s="32" t="s">
        <v>168</v>
      </c>
      <c r="K181" s="32">
        <v>462.9</v>
      </c>
      <c r="L181" s="32">
        <v>0</v>
      </c>
      <c r="M181" s="32">
        <v>462.9</v>
      </c>
      <c r="N181" s="32" t="s">
        <v>175</v>
      </c>
      <c r="O181" s="32" t="s">
        <v>654</v>
      </c>
      <c r="P181" s="32" t="s">
        <v>654</v>
      </c>
      <c r="Q181" s="32" t="s">
        <v>862</v>
      </c>
      <c r="R181" s="31">
        <v>46221</v>
      </c>
      <c r="S181" s="32" t="s">
        <v>987</v>
      </c>
      <c r="T181" s="32" t="s">
        <v>988</v>
      </c>
      <c r="U181" s="32" t="s">
        <v>861</v>
      </c>
      <c r="V181" s="32">
        <v>146.49</v>
      </c>
      <c r="W181" s="32">
        <v>146.490000675375</v>
      </c>
      <c r="X181" s="32" t="s">
        <v>862</v>
      </c>
      <c r="Y181" s="31">
        <v>46221</v>
      </c>
      <c r="Z181" s="32" t="s">
        <v>193</v>
      </c>
      <c r="AA181" s="32" t="s">
        <v>193</v>
      </c>
      <c r="AB181" s="32"/>
      <c r="AC181" s="32" t="s">
        <v>193</v>
      </c>
      <c r="AD181" s="32" t="s">
        <v>193</v>
      </c>
      <c r="AE181" s="32">
        <v>0</v>
      </c>
      <c r="AF181" s="32">
        <v>0</v>
      </c>
      <c r="AG181" s="32">
        <v>0</v>
      </c>
      <c r="AH181" s="32">
        <v>0</v>
      </c>
      <c r="AI181" s="32">
        <v>0</v>
      </c>
      <c r="AJ181" s="32" t="s">
        <v>965</v>
      </c>
      <c r="AK181" s="32">
        <v>0</v>
      </c>
      <c r="AL181" s="32">
        <v>0</v>
      </c>
      <c r="AM181" s="32">
        <v>0</v>
      </c>
      <c r="AN181" s="32">
        <v>0</v>
      </c>
      <c r="AO181" s="32">
        <v>0</v>
      </c>
      <c r="AP181" s="32"/>
      <c r="AQ181" s="32">
        <v>0</v>
      </c>
      <c r="AR181" s="32">
        <v>0</v>
      </c>
      <c r="AS181" s="32">
        <v>1084508.8500000001</v>
      </c>
      <c r="AT181" s="32" t="s">
        <v>169</v>
      </c>
      <c r="AU181" s="32" t="s">
        <v>182</v>
      </c>
      <c r="AV181" s="32" t="s">
        <v>154</v>
      </c>
      <c r="AW181" s="32" t="s">
        <v>171</v>
      </c>
      <c r="AX181" s="32" t="s">
        <v>966</v>
      </c>
      <c r="AY181" s="32">
        <v>0</v>
      </c>
      <c r="AZ181" s="32">
        <v>67810.22</v>
      </c>
      <c r="BA181" s="32">
        <v>345</v>
      </c>
      <c r="BB181" s="31">
        <v>46221</v>
      </c>
      <c r="BC181" s="32" t="s">
        <v>177</v>
      </c>
      <c r="BD181" s="32" t="s">
        <v>967</v>
      </c>
      <c r="BE181" s="32" t="s">
        <v>967</v>
      </c>
      <c r="BF181" s="32">
        <v>9</v>
      </c>
      <c r="BG181" s="32">
        <v>6102.92</v>
      </c>
      <c r="BH181" s="32">
        <v>9</v>
      </c>
      <c r="BI181" s="32">
        <v>6102.92</v>
      </c>
      <c r="BJ181" s="32">
        <v>0</v>
      </c>
      <c r="BK181" s="32">
        <v>0</v>
      </c>
      <c r="BL181" s="32">
        <v>0</v>
      </c>
      <c r="BM181" s="32">
        <v>622147780090</v>
      </c>
      <c r="BN181" s="31">
        <v>46221</v>
      </c>
      <c r="BO181" s="32">
        <v>462.9</v>
      </c>
    </row>
    <row r="182" spans="1:67" x14ac:dyDescent="0.25">
      <c r="A182" s="21"/>
      <c r="B182" s="32" t="s">
        <v>167</v>
      </c>
      <c r="C182" s="31">
        <v>46222</v>
      </c>
      <c r="D182" s="32" t="s">
        <v>1172</v>
      </c>
      <c r="E182" s="32" t="s">
        <v>181</v>
      </c>
      <c r="F182" s="32" t="s">
        <v>182</v>
      </c>
      <c r="G182" s="32" t="s">
        <v>1173</v>
      </c>
      <c r="H182" s="32">
        <v>1632.7</v>
      </c>
      <c r="I182" s="32">
        <v>1632.7</v>
      </c>
      <c r="J182" s="32" t="s">
        <v>168</v>
      </c>
      <c r="K182" s="32">
        <v>1632.7</v>
      </c>
      <c r="L182" s="32">
        <v>0</v>
      </c>
      <c r="M182" s="32">
        <v>1632.7</v>
      </c>
      <c r="N182" s="32" t="s">
        <v>1174</v>
      </c>
      <c r="O182" s="32" t="s">
        <v>659</v>
      </c>
      <c r="P182" s="32" t="s">
        <v>659</v>
      </c>
      <c r="Q182" s="32" t="s">
        <v>871</v>
      </c>
      <c r="R182" s="31">
        <v>46221</v>
      </c>
      <c r="S182" s="32" t="s">
        <v>987</v>
      </c>
      <c r="T182" s="32" t="s">
        <v>988</v>
      </c>
      <c r="U182" s="32" t="s">
        <v>870</v>
      </c>
      <c r="V182" s="32">
        <v>111.6</v>
      </c>
      <c r="W182" s="32">
        <v>111.6</v>
      </c>
      <c r="X182" s="32" t="s">
        <v>871</v>
      </c>
      <c r="Y182" s="31">
        <v>46221</v>
      </c>
      <c r="Z182" s="32" t="s">
        <v>193</v>
      </c>
      <c r="AA182" s="32" t="s">
        <v>193</v>
      </c>
      <c r="AB182" s="32"/>
      <c r="AC182" s="32" t="s">
        <v>1069</v>
      </c>
      <c r="AD182" s="32">
        <v>2552</v>
      </c>
      <c r="AE182" s="32">
        <v>0</v>
      </c>
      <c r="AF182" s="32">
        <v>0</v>
      </c>
      <c r="AG182" s="32">
        <v>0</v>
      </c>
      <c r="AH182" s="32">
        <v>0</v>
      </c>
      <c r="AI182" s="32">
        <v>0</v>
      </c>
      <c r="AJ182" s="32" t="s">
        <v>965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/>
      <c r="AQ182" s="32">
        <v>0</v>
      </c>
      <c r="AR182" s="32">
        <v>0</v>
      </c>
      <c r="AS182" s="32">
        <v>343090.92</v>
      </c>
      <c r="AT182" s="32" t="s">
        <v>169</v>
      </c>
      <c r="AU182" s="32" t="s">
        <v>182</v>
      </c>
      <c r="AV182" s="32" t="s">
        <v>154</v>
      </c>
      <c r="AW182" s="32" t="s">
        <v>171</v>
      </c>
      <c r="AX182" s="32" t="s">
        <v>966</v>
      </c>
      <c r="AY182" s="32">
        <v>0</v>
      </c>
      <c r="AZ182" s="32">
        <v>182209.32</v>
      </c>
      <c r="BA182" s="32">
        <v>346</v>
      </c>
      <c r="BB182" s="31">
        <v>46222</v>
      </c>
      <c r="BC182" s="32" t="s">
        <v>177</v>
      </c>
      <c r="BD182" s="32" t="s">
        <v>967</v>
      </c>
      <c r="BE182" s="32" t="s">
        <v>967</v>
      </c>
      <c r="BF182" s="32">
        <v>9</v>
      </c>
      <c r="BG182" s="32">
        <v>16398.84</v>
      </c>
      <c r="BH182" s="32">
        <v>9</v>
      </c>
      <c r="BI182" s="32">
        <v>16398.84</v>
      </c>
      <c r="BJ182" s="32">
        <v>0</v>
      </c>
      <c r="BK182" s="32">
        <v>0</v>
      </c>
      <c r="BL182" s="32">
        <v>343090.92</v>
      </c>
      <c r="BM182" s="32">
        <v>622147653705</v>
      </c>
      <c r="BN182" s="31">
        <v>46221</v>
      </c>
      <c r="BO182" s="32">
        <v>1632.7</v>
      </c>
    </row>
    <row r="183" spans="1:67" x14ac:dyDescent="0.25">
      <c r="A183" s="21"/>
      <c r="B183" s="32" t="s">
        <v>167</v>
      </c>
      <c r="C183" s="31">
        <v>46222</v>
      </c>
      <c r="D183" s="32" t="s">
        <v>1172</v>
      </c>
      <c r="E183" s="32" t="s">
        <v>181</v>
      </c>
      <c r="F183" s="32" t="s">
        <v>182</v>
      </c>
      <c r="G183" s="32" t="s">
        <v>1173</v>
      </c>
      <c r="H183" s="32">
        <v>999.5</v>
      </c>
      <c r="I183" s="32">
        <v>999.5</v>
      </c>
      <c r="J183" s="32" t="s">
        <v>168</v>
      </c>
      <c r="K183" s="32">
        <v>999.5</v>
      </c>
      <c r="L183" s="32">
        <v>0</v>
      </c>
      <c r="M183" s="32">
        <v>999.5</v>
      </c>
      <c r="N183" s="32" t="s">
        <v>1174</v>
      </c>
      <c r="O183" s="32" t="s">
        <v>659</v>
      </c>
      <c r="P183" s="32" t="s">
        <v>659</v>
      </c>
      <c r="Q183" s="32" t="s">
        <v>871</v>
      </c>
      <c r="R183" s="31">
        <v>46221</v>
      </c>
      <c r="S183" s="32" t="s">
        <v>987</v>
      </c>
      <c r="T183" s="32" t="s">
        <v>988</v>
      </c>
      <c r="U183" s="32" t="s">
        <v>870</v>
      </c>
      <c r="V183" s="32">
        <v>108.6</v>
      </c>
      <c r="W183" s="32">
        <v>108.6</v>
      </c>
      <c r="X183" s="32" t="s">
        <v>871</v>
      </c>
      <c r="Y183" s="31">
        <v>46221</v>
      </c>
      <c r="Z183" s="32" t="s">
        <v>193</v>
      </c>
      <c r="AA183" s="32" t="s">
        <v>193</v>
      </c>
      <c r="AB183" s="32"/>
      <c r="AC183" s="32" t="s">
        <v>1069</v>
      </c>
      <c r="AD183" s="32">
        <v>2552</v>
      </c>
      <c r="AE183" s="32">
        <v>0</v>
      </c>
      <c r="AF183" s="32">
        <v>0</v>
      </c>
      <c r="AG183" s="32">
        <v>0</v>
      </c>
      <c r="AH183" s="32">
        <v>0</v>
      </c>
      <c r="AI183" s="32">
        <v>0</v>
      </c>
      <c r="AJ183" s="32" t="s">
        <v>965</v>
      </c>
      <c r="AK183" s="32">
        <v>0</v>
      </c>
      <c r="AL183" s="32">
        <v>0</v>
      </c>
      <c r="AM183" s="32">
        <v>0</v>
      </c>
      <c r="AN183" s="32">
        <v>0</v>
      </c>
      <c r="AO183" s="32">
        <v>0</v>
      </c>
      <c r="AP183" s="32"/>
      <c r="AQ183" s="32">
        <v>0</v>
      </c>
      <c r="AR183" s="32">
        <v>0</v>
      </c>
      <c r="AS183" s="32">
        <v>343090.92</v>
      </c>
      <c r="AT183" s="32" t="s">
        <v>169</v>
      </c>
      <c r="AU183" s="32" t="s">
        <v>182</v>
      </c>
      <c r="AV183" s="32" t="s">
        <v>154</v>
      </c>
      <c r="AW183" s="32" t="s">
        <v>171</v>
      </c>
      <c r="AX183" s="32" t="s">
        <v>966</v>
      </c>
      <c r="AY183" s="32">
        <v>0</v>
      </c>
      <c r="AZ183" s="32">
        <v>108545.7</v>
      </c>
      <c r="BA183" s="32">
        <v>346</v>
      </c>
      <c r="BB183" s="31">
        <v>46222</v>
      </c>
      <c r="BC183" s="32" t="s">
        <v>177</v>
      </c>
      <c r="BD183" s="32" t="s">
        <v>967</v>
      </c>
      <c r="BE183" s="32" t="s">
        <v>967</v>
      </c>
      <c r="BF183" s="32">
        <v>9</v>
      </c>
      <c r="BG183" s="32">
        <v>9769.11</v>
      </c>
      <c r="BH183" s="32">
        <v>9</v>
      </c>
      <c r="BI183" s="32">
        <v>9769.11</v>
      </c>
      <c r="BJ183" s="32">
        <v>0</v>
      </c>
      <c r="BK183" s="32">
        <v>0</v>
      </c>
      <c r="BL183" s="32">
        <v>0</v>
      </c>
      <c r="BM183" s="32">
        <v>622147653705</v>
      </c>
      <c r="BN183" s="31">
        <v>46221</v>
      </c>
      <c r="BO183" s="32">
        <v>999.5</v>
      </c>
    </row>
    <row r="184" spans="1:67" x14ac:dyDescent="0.25">
      <c r="A184" s="21"/>
      <c r="B184" s="32" t="s">
        <v>167</v>
      </c>
      <c r="C184" s="31">
        <v>46222</v>
      </c>
      <c r="D184" s="32" t="s">
        <v>1175</v>
      </c>
      <c r="E184" s="32" t="s">
        <v>194</v>
      </c>
      <c r="F184" s="32" t="s">
        <v>195</v>
      </c>
      <c r="G184" s="32" t="s">
        <v>1176</v>
      </c>
      <c r="H184" s="32">
        <v>2856</v>
      </c>
      <c r="I184" s="32">
        <v>2856</v>
      </c>
      <c r="J184" s="32" t="s">
        <v>168</v>
      </c>
      <c r="K184" s="32">
        <v>2856</v>
      </c>
      <c r="L184" s="32">
        <v>0</v>
      </c>
      <c r="M184" s="32">
        <v>2856</v>
      </c>
      <c r="N184" s="32" t="s">
        <v>1093</v>
      </c>
      <c r="O184" s="32" t="s">
        <v>676</v>
      </c>
      <c r="P184" s="32" t="s">
        <v>676</v>
      </c>
      <c r="Q184" s="32" t="s">
        <v>865</v>
      </c>
      <c r="R184" s="31">
        <v>46221</v>
      </c>
      <c r="S184" s="32" t="s">
        <v>987</v>
      </c>
      <c r="T184" s="32" t="s">
        <v>988</v>
      </c>
      <c r="U184" s="32" t="s">
        <v>864</v>
      </c>
      <c r="V184" s="32">
        <v>250.51</v>
      </c>
      <c r="W184" s="32">
        <v>250.51</v>
      </c>
      <c r="X184" s="32" t="s">
        <v>865</v>
      </c>
      <c r="Y184" s="31">
        <v>46221</v>
      </c>
      <c r="Z184" s="32" t="s">
        <v>193</v>
      </c>
      <c r="AA184" s="32" t="s">
        <v>193</v>
      </c>
      <c r="AB184" s="32"/>
      <c r="AC184" s="32" t="s">
        <v>1094</v>
      </c>
      <c r="AD184" s="32">
        <v>1926</v>
      </c>
      <c r="AE184" s="32">
        <v>0</v>
      </c>
      <c r="AF184" s="32">
        <v>0</v>
      </c>
      <c r="AG184" s="32">
        <v>0</v>
      </c>
      <c r="AH184" s="32">
        <v>0</v>
      </c>
      <c r="AI184" s="32">
        <v>0</v>
      </c>
      <c r="AJ184" s="32" t="s">
        <v>965</v>
      </c>
      <c r="AK184" s="32">
        <v>0</v>
      </c>
      <c r="AL184" s="32">
        <v>0</v>
      </c>
      <c r="AM184" s="32">
        <v>0</v>
      </c>
      <c r="AN184" s="32">
        <v>0</v>
      </c>
      <c r="AO184" s="32">
        <v>0</v>
      </c>
      <c r="AP184" s="32"/>
      <c r="AQ184" s="32">
        <v>0</v>
      </c>
      <c r="AR184" s="32">
        <v>0</v>
      </c>
      <c r="AS184" s="32">
        <v>2620310.0299999998</v>
      </c>
      <c r="AT184" s="32" t="s">
        <v>192</v>
      </c>
      <c r="AU184" s="32" t="s">
        <v>152</v>
      </c>
      <c r="AV184" s="32" t="s">
        <v>152</v>
      </c>
      <c r="AW184" s="32" t="s">
        <v>171</v>
      </c>
      <c r="AX184" s="32" t="s">
        <v>966</v>
      </c>
      <c r="AY184" s="32">
        <v>0</v>
      </c>
      <c r="AZ184" s="32">
        <v>715456.56</v>
      </c>
      <c r="BA184" s="32">
        <v>347</v>
      </c>
      <c r="BB184" s="31">
        <v>46222</v>
      </c>
      <c r="BC184" s="32" t="s">
        <v>172</v>
      </c>
      <c r="BD184" s="32" t="s">
        <v>967</v>
      </c>
      <c r="BE184" s="32" t="s">
        <v>967</v>
      </c>
      <c r="BF184" s="32">
        <v>9</v>
      </c>
      <c r="BG184" s="32">
        <v>64391.09</v>
      </c>
      <c r="BH184" s="32">
        <v>9</v>
      </c>
      <c r="BI184" s="32">
        <v>64391.09</v>
      </c>
      <c r="BJ184" s="32">
        <v>0</v>
      </c>
      <c r="BK184" s="32">
        <v>0</v>
      </c>
      <c r="BL184" s="32">
        <v>2620310.0299999998</v>
      </c>
      <c r="BM184" s="32">
        <v>692147727212</v>
      </c>
      <c r="BN184" s="31">
        <v>46221</v>
      </c>
      <c r="BO184" s="32">
        <v>2856</v>
      </c>
    </row>
    <row r="185" spans="1:67" x14ac:dyDescent="0.25">
      <c r="A185" s="21"/>
      <c r="B185" s="32" t="s">
        <v>167</v>
      </c>
      <c r="C185" s="31">
        <v>46222</v>
      </c>
      <c r="D185" s="32" t="s">
        <v>1175</v>
      </c>
      <c r="E185" s="32" t="s">
        <v>190</v>
      </c>
      <c r="F185" s="32" t="s">
        <v>191</v>
      </c>
      <c r="G185" s="32" t="s">
        <v>1176</v>
      </c>
      <c r="H185" s="32">
        <v>2588.5</v>
      </c>
      <c r="I185" s="32">
        <v>2588.5</v>
      </c>
      <c r="J185" s="32" t="s">
        <v>168</v>
      </c>
      <c r="K185" s="32">
        <v>2588.5</v>
      </c>
      <c r="L185" s="32">
        <v>0</v>
      </c>
      <c r="M185" s="32">
        <v>2588.5</v>
      </c>
      <c r="N185" s="32" t="s">
        <v>1093</v>
      </c>
      <c r="O185" s="32" t="s">
        <v>676</v>
      </c>
      <c r="P185" s="32" t="s">
        <v>676</v>
      </c>
      <c r="Q185" s="32" t="s">
        <v>865</v>
      </c>
      <c r="R185" s="31">
        <v>46221</v>
      </c>
      <c r="S185" s="32" t="s">
        <v>987</v>
      </c>
      <c r="T185" s="32" t="s">
        <v>988</v>
      </c>
      <c r="U185" s="32" t="s">
        <v>864</v>
      </c>
      <c r="V185" s="32">
        <v>276.2</v>
      </c>
      <c r="W185" s="32">
        <v>276.2</v>
      </c>
      <c r="X185" s="32" t="s">
        <v>865</v>
      </c>
      <c r="Y185" s="31">
        <v>46221</v>
      </c>
      <c r="Z185" s="32" t="s">
        <v>193</v>
      </c>
      <c r="AA185" s="32" t="s">
        <v>193</v>
      </c>
      <c r="AB185" s="32"/>
      <c r="AC185" s="32" t="s">
        <v>1094</v>
      </c>
      <c r="AD185" s="32">
        <v>1926</v>
      </c>
      <c r="AE185" s="32">
        <v>0</v>
      </c>
      <c r="AF185" s="32">
        <v>0</v>
      </c>
      <c r="AG185" s="32">
        <v>0</v>
      </c>
      <c r="AH185" s="32">
        <v>0</v>
      </c>
      <c r="AI185" s="32">
        <v>0</v>
      </c>
      <c r="AJ185" s="32" t="s">
        <v>965</v>
      </c>
      <c r="AK185" s="32">
        <v>0</v>
      </c>
      <c r="AL185" s="32">
        <v>0</v>
      </c>
      <c r="AM185" s="32">
        <v>0</v>
      </c>
      <c r="AN185" s="32">
        <v>0</v>
      </c>
      <c r="AO185" s="32">
        <v>0</v>
      </c>
      <c r="AP185" s="32"/>
      <c r="AQ185" s="32">
        <v>0</v>
      </c>
      <c r="AR185" s="32">
        <v>0</v>
      </c>
      <c r="AS185" s="32">
        <v>2620310.0299999998</v>
      </c>
      <c r="AT185" s="32" t="s">
        <v>192</v>
      </c>
      <c r="AU185" s="32" t="s">
        <v>152</v>
      </c>
      <c r="AV185" s="32" t="s">
        <v>152</v>
      </c>
      <c r="AW185" s="32" t="s">
        <v>171</v>
      </c>
      <c r="AX185" s="32" t="s">
        <v>966</v>
      </c>
      <c r="AY185" s="32">
        <v>0</v>
      </c>
      <c r="AZ185" s="32">
        <v>714943.7</v>
      </c>
      <c r="BA185" s="32">
        <v>347</v>
      </c>
      <c r="BB185" s="31">
        <v>46222</v>
      </c>
      <c r="BC185" s="32" t="s">
        <v>172</v>
      </c>
      <c r="BD185" s="32" t="s">
        <v>967</v>
      </c>
      <c r="BE185" s="32" t="s">
        <v>967</v>
      </c>
      <c r="BF185" s="32">
        <v>9</v>
      </c>
      <c r="BG185" s="32">
        <v>64344.93</v>
      </c>
      <c r="BH185" s="32">
        <v>9</v>
      </c>
      <c r="BI185" s="32">
        <v>64344.93</v>
      </c>
      <c r="BJ185" s="32">
        <v>0</v>
      </c>
      <c r="BK185" s="32">
        <v>0</v>
      </c>
      <c r="BL185" s="32">
        <v>0</v>
      </c>
      <c r="BM185" s="32">
        <v>692147727212</v>
      </c>
      <c r="BN185" s="31">
        <v>46221</v>
      </c>
      <c r="BO185" s="32">
        <v>2588.5</v>
      </c>
    </row>
    <row r="186" spans="1:67" x14ac:dyDescent="0.25">
      <c r="A186" s="21"/>
      <c r="B186" s="32" t="s">
        <v>167</v>
      </c>
      <c r="C186" s="31">
        <v>46222</v>
      </c>
      <c r="D186" s="32" t="s">
        <v>1175</v>
      </c>
      <c r="E186" s="32" t="s">
        <v>194</v>
      </c>
      <c r="F186" s="32" t="s">
        <v>195</v>
      </c>
      <c r="G186" s="32" t="s">
        <v>1176</v>
      </c>
      <c r="H186" s="32">
        <v>2883</v>
      </c>
      <c r="I186" s="32">
        <v>2883</v>
      </c>
      <c r="J186" s="32" t="s">
        <v>168</v>
      </c>
      <c r="K186" s="32">
        <v>2883</v>
      </c>
      <c r="L186" s="32">
        <v>0</v>
      </c>
      <c r="M186" s="32">
        <v>2883</v>
      </c>
      <c r="N186" s="32" t="s">
        <v>1093</v>
      </c>
      <c r="O186" s="32" t="s">
        <v>676</v>
      </c>
      <c r="P186" s="32" t="s">
        <v>676</v>
      </c>
      <c r="Q186" s="32" t="s">
        <v>865</v>
      </c>
      <c r="R186" s="31">
        <v>46221</v>
      </c>
      <c r="S186" s="32" t="s">
        <v>987</v>
      </c>
      <c r="T186" s="32" t="s">
        <v>988</v>
      </c>
      <c r="U186" s="32" t="s">
        <v>864</v>
      </c>
      <c r="V186" s="32">
        <v>274.08999999999997</v>
      </c>
      <c r="W186" s="32">
        <v>274.08999999999997</v>
      </c>
      <c r="X186" s="32" t="s">
        <v>865</v>
      </c>
      <c r="Y186" s="31">
        <v>46221</v>
      </c>
      <c r="Z186" s="32" t="s">
        <v>193</v>
      </c>
      <c r="AA186" s="32" t="s">
        <v>193</v>
      </c>
      <c r="AB186" s="32"/>
      <c r="AC186" s="32" t="s">
        <v>1094</v>
      </c>
      <c r="AD186" s="32">
        <v>1926</v>
      </c>
      <c r="AE186" s="32">
        <v>0</v>
      </c>
      <c r="AF186" s="32">
        <v>0</v>
      </c>
      <c r="AG186" s="32">
        <v>0</v>
      </c>
      <c r="AH186" s="32">
        <v>0</v>
      </c>
      <c r="AI186" s="32">
        <v>0</v>
      </c>
      <c r="AJ186" s="32" t="s">
        <v>965</v>
      </c>
      <c r="AK186" s="32">
        <v>0</v>
      </c>
      <c r="AL186" s="32">
        <v>0</v>
      </c>
      <c r="AM186" s="32">
        <v>0</v>
      </c>
      <c r="AN186" s="32">
        <v>0</v>
      </c>
      <c r="AO186" s="32">
        <v>0</v>
      </c>
      <c r="AP186" s="32"/>
      <c r="AQ186" s="32">
        <v>0</v>
      </c>
      <c r="AR186" s="32">
        <v>0</v>
      </c>
      <c r="AS186" s="32">
        <v>2620310.0299999998</v>
      </c>
      <c r="AT186" s="32" t="s">
        <v>192</v>
      </c>
      <c r="AU186" s="32" t="s">
        <v>152</v>
      </c>
      <c r="AV186" s="32" t="s">
        <v>152</v>
      </c>
      <c r="AW186" s="32" t="s">
        <v>171</v>
      </c>
      <c r="AX186" s="32" t="s">
        <v>966</v>
      </c>
      <c r="AY186" s="32">
        <v>0</v>
      </c>
      <c r="AZ186" s="32">
        <v>790201.47</v>
      </c>
      <c r="BA186" s="32">
        <v>347</v>
      </c>
      <c r="BB186" s="31">
        <v>46222</v>
      </c>
      <c r="BC186" s="32" t="s">
        <v>172</v>
      </c>
      <c r="BD186" s="32" t="s">
        <v>967</v>
      </c>
      <c r="BE186" s="32" t="s">
        <v>967</v>
      </c>
      <c r="BF186" s="32">
        <v>9</v>
      </c>
      <c r="BG186" s="32">
        <v>71118.13</v>
      </c>
      <c r="BH186" s="32">
        <v>9</v>
      </c>
      <c r="BI186" s="32">
        <v>71118.13</v>
      </c>
      <c r="BJ186" s="32">
        <v>0</v>
      </c>
      <c r="BK186" s="32">
        <v>0</v>
      </c>
      <c r="BL186" s="32">
        <v>0</v>
      </c>
      <c r="BM186" s="32">
        <v>692147727212</v>
      </c>
      <c r="BN186" s="31">
        <v>46221</v>
      </c>
      <c r="BO186" s="32">
        <v>2883</v>
      </c>
    </row>
    <row r="187" spans="1:67" x14ac:dyDescent="0.25">
      <c r="A187" s="21"/>
      <c r="B187" s="32" t="s">
        <v>167</v>
      </c>
      <c r="C187" s="31">
        <v>46222</v>
      </c>
      <c r="D187" s="32" t="s">
        <v>1177</v>
      </c>
      <c r="E187" s="32" t="s">
        <v>1009</v>
      </c>
      <c r="F187" s="32" t="s">
        <v>684</v>
      </c>
      <c r="G187" s="32" t="s">
        <v>1178</v>
      </c>
      <c r="H187" s="32">
        <v>245</v>
      </c>
      <c r="I187" s="32">
        <v>245</v>
      </c>
      <c r="J187" s="32" t="s">
        <v>188</v>
      </c>
      <c r="K187" s="32">
        <v>245</v>
      </c>
      <c r="L187" s="32">
        <v>0</v>
      </c>
      <c r="M187" s="32">
        <v>245</v>
      </c>
      <c r="N187" s="32" t="s">
        <v>175</v>
      </c>
      <c r="O187" s="32" t="s">
        <v>654</v>
      </c>
      <c r="P187" s="32" t="s">
        <v>654</v>
      </c>
      <c r="Q187" s="32" t="s">
        <v>867</v>
      </c>
      <c r="R187" s="31">
        <v>46221</v>
      </c>
      <c r="S187" s="32" t="s">
        <v>987</v>
      </c>
      <c r="T187" s="32" t="s">
        <v>988</v>
      </c>
      <c r="U187" s="32" t="s">
        <v>866</v>
      </c>
      <c r="V187" s="32">
        <v>156.49</v>
      </c>
      <c r="W187" s="32">
        <v>156.49</v>
      </c>
      <c r="X187" s="32" t="s">
        <v>867</v>
      </c>
      <c r="Y187" s="31">
        <v>46221</v>
      </c>
      <c r="Z187" s="32" t="s">
        <v>193</v>
      </c>
      <c r="AA187" s="32" t="s">
        <v>193</v>
      </c>
      <c r="AB187" s="32"/>
      <c r="AC187" s="32" t="s">
        <v>193</v>
      </c>
      <c r="AD187" s="32" t="s">
        <v>193</v>
      </c>
      <c r="AE187" s="32">
        <v>0</v>
      </c>
      <c r="AF187" s="32">
        <v>0</v>
      </c>
      <c r="AG187" s="32">
        <v>0</v>
      </c>
      <c r="AH187" s="32">
        <v>0</v>
      </c>
      <c r="AI187" s="32">
        <v>0</v>
      </c>
      <c r="AJ187" s="32" t="s">
        <v>965</v>
      </c>
      <c r="AK187" s="32">
        <v>0</v>
      </c>
      <c r="AL187" s="32">
        <v>0</v>
      </c>
      <c r="AM187" s="32">
        <v>0</v>
      </c>
      <c r="AN187" s="32">
        <v>0</v>
      </c>
      <c r="AO187" s="32">
        <v>0</v>
      </c>
      <c r="AP187" s="32"/>
      <c r="AQ187" s="32">
        <v>0</v>
      </c>
      <c r="AR187" s="32">
        <v>0</v>
      </c>
      <c r="AS187" s="32">
        <v>40257.050000000003</v>
      </c>
      <c r="AT187" s="32" t="s">
        <v>169</v>
      </c>
      <c r="AU187" s="32" t="s">
        <v>170</v>
      </c>
      <c r="AV187" s="32" t="s">
        <v>157</v>
      </c>
      <c r="AW187" s="32" t="s">
        <v>171</v>
      </c>
      <c r="AX187" s="32"/>
      <c r="AY187" s="32">
        <v>0</v>
      </c>
      <c r="AZ187" s="32">
        <v>38340.050000000003</v>
      </c>
      <c r="BA187" s="32">
        <v>349</v>
      </c>
      <c r="BB187" s="31">
        <v>46222</v>
      </c>
      <c r="BC187" s="32" t="s">
        <v>177</v>
      </c>
      <c r="BD187" s="32" t="s">
        <v>967</v>
      </c>
      <c r="BE187" s="32" t="s">
        <v>967</v>
      </c>
      <c r="BF187" s="32">
        <v>2.5</v>
      </c>
      <c r="BG187" s="32">
        <v>958.5</v>
      </c>
      <c r="BH187" s="32">
        <v>2.5</v>
      </c>
      <c r="BI187" s="32">
        <v>958.5</v>
      </c>
      <c r="BJ187" s="32">
        <v>0</v>
      </c>
      <c r="BK187" s="32">
        <v>0</v>
      </c>
      <c r="BL187" s="32">
        <v>40257.050000000003</v>
      </c>
      <c r="BM187" s="32">
        <v>682147765839</v>
      </c>
      <c r="BN187" s="31">
        <v>46221</v>
      </c>
      <c r="BO187" s="32">
        <v>245</v>
      </c>
    </row>
    <row r="188" spans="1:67" x14ac:dyDescent="0.25">
      <c r="A188" s="21"/>
      <c r="B188" s="32" t="s">
        <v>167</v>
      </c>
      <c r="C188" s="31">
        <v>46222</v>
      </c>
      <c r="D188" s="32" t="s">
        <v>1179</v>
      </c>
      <c r="E188" s="32" t="s">
        <v>1009</v>
      </c>
      <c r="F188" s="32" t="s">
        <v>684</v>
      </c>
      <c r="G188" s="32" t="s">
        <v>1180</v>
      </c>
      <c r="H188" s="32">
        <v>925.7</v>
      </c>
      <c r="I188" s="32">
        <v>925.7</v>
      </c>
      <c r="J188" s="32" t="s">
        <v>188</v>
      </c>
      <c r="K188" s="32">
        <v>925.7</v>
      </c>
      <c r="L188" s="32">
        <v>0</v>
      </c>
      <c r="M188" s="32">
        <v>925.7</v>
      </c>
      <c r="N188" s="32" t="s">
        <v>175</v>
      </c>
      <c r="O188" s="32" t="s">
        <v>654</v>
      </c>
      <c r="P188" s="32" t="s">
        <v>654</v>
      </c>
      <c r="Q188" s="32" t="s">
        <v>869</v>
      </c>
      <c r="R188" s="31">
        <v>46222</v>
      </c>
      <c r="S188" s="32" t="s">
        <v>987</v>
      </c>
      <c r="T188" s="32" t="s">
        <v>988</v>
      </c>
      <c r="U188" s="32" t="s">
        <v>868</v>
      </c>
      <c r="V188" s="32">
        <v>156.49</v>
      </c>
      <c r="W188" s="32">
        <v>156.48999854836299</v>
      </c>
      <c r="X188" s="32" t="s">
        <v>869</v>
      </c>
      <c r="Y188" s="31">
        <v>46222</v>
      </c>
      <c r="Z188" s="32" t="s">
        <v>193</v>
      </c>
      <c r="AA188" s="32" t="s">
        <v>193</v>
      </c>
      <c r="AB188" s="32"/>
      <c r="AC188" s="32" t="s">
        <v>193</v>
      </c>
      <c r="AD188" s="32" t="s">
        <v>193</v>
      </c>
      <c r="AE188" s="32">
        <v>0</v>
      </c>
      <c r="AF188" s="32">
        <v>0</v>
      </c>
      <c r="AG188" s="32">
        <v>0</v>
      </c>
      <c r="AH188" s="32">
        <v>0</v>
      </c>
      <c r="AI188" s="32">
        <v>0</v>
      </c>
      <c r="AJ188" s="32" t="s">
        <v>965</v>
      </c>
      <c r="AK188" s="32">
        <v>0</v>
      </c>
      <c r="AL188" s="32">
        <v>0</v>
      </c>
      <c r="AM188" s="32">
        <v>0</v>
      </c>
      <c r="AN188" s="32">
        <v>0</v>
      </c>
      <c r="AO188" s="32">
        <v>0</v>
      </c>
      <c r="AP188" s="32"/>
      <c r="AQ188" s="32">
        <v>0</v>
      </c>
      <c r="AR188" s="32">
        <v>0</v>
      </c>
      <c r="AS188" s="32">
        <v>1509233.9</v>
      </c>
      <c r="AT188" s="32" t="s">
        <v>169</v>
      </c>
      <c r="AU188" s="32" t="s">
        <v>170</v>
      </c>
      <c r="AV188" s="32" t="s">
        <v>157</v>
      </c>
      <c r="AW188" s="32" t="s">
        <v>171</v>
      </c>
      <c r="AX188" s="32"/>
      <c r="AY188" s="32">
        <v>0</v>
      </c>
      <c r="AZ188" s="32">
        <v>144862.79</v>
      </c>
      <c r="BA188" s="32">
        <v>348</v>
      </c>
      <c r="BB188" s="31">
        <v>46222</v>
      </c>
      <c r="BC188" s="32" t="s">
        <v>177</v>
      </c>
      <c r="BD188" s="32" t="s">
        <v>967</v>
      </c>
      <c r="BE188" s="32" t="s">
        <v>967</v>
      </c>
      <c r="BF188" s="32">
        <v>2.5</v>
      </c>
      <c r="BG188" s="32">
        <v>3621.57</v>
      </c>
      <c r="BH188" s="32">
        <v>2.5</v>
      </c>
      <c r="BI188" s="32">
        <v>3621.57</v>
      </c>
      <c r="BJ188" s="32">
        <v>0</v>
      </c>
      <c r="BK188" s="32">
        <v>0</v>
      </c>
      <c r="BL188" s="32">
        <v>1509233.9</v>
      </c>
      <c r="BM188" s="32">
        <v>632148032609</v>
      </c>
      <c r="BN188" s="31">
        <v>46222</v>
      </c>
      <c r="BO188" s="32">
        <v>925.7</v>
      </c>
    </row>
    <row r="189" spans="1:67" x14ac:dyDescent="0.25">
      <c r="A189" s="21"/>
      <c r="B189" s="32" t="s">
        <v>167</v>
      </c>
      <c r="C189" s="31">
        <v>46222</v>
      </c>
      <c r="D189" s="32" t="s">
        <v>1179</v>
      </c>
      <c r="E189" s="32" t="s">
        <v>181</v>
      </c>
      <c r="F189" s="32" t="s">
        <v>182</v>
      </c>
      <c r="G189" s="32" t="s">
        <v>1180</v>
      </c>
      <c r="H189" s="32">
        <v>623.70000000000005</v>
      </c>
      <c r="I189" s="32">
        <v>623.70000000000005</v>
      </c>
      <c r="J189" s="32" t="s">
        <v>168</v>
      </c>
      <c r="K189" s="32">
        <v>623.70000000000005</v>
      </c>
      <c r="L189" s="32">
        <v>0</v>
      </c>
      <c r="M189" s="32">
        <v>623.70000000000005</v>
      </c>
      <c r="N189" s="32" t="s">
        <v>175</v>
      </c>
      <c r="O189" s="32" t="s">
        <v>654</v>
      </c>
      <c r="P189" s="32" t="s">
        <v>654</v>
      </c>
      <c r="Q189" s="32" t="s">
        <v>869</v>
      </c>
      <c r="R189" s="31">
        <v>46222</v>
      </c>
      <c r="S189" s="32" t="s">
        <v>987</v>
      </c>
      <c r="T189" s="32" t="s">
        <v>988</v>
      </c>
      <c r="U189" s="32" t="s">
        <v>868</v>
      </c>
      <c r="V189" s="32">
        <v>149.49</v>
      </c>
      <c r="W189" s="32">
        <v>149.489998613296</v>
      </c>
      <c r="X189" s="32" t="s">
        <v>869</v>
      </c>
      <c r="Y189" s="31">
        <v>46222</v>
      </c>
      <c r="Z189" s="32" t="s">
        <v>193</v>
      </c>
      <c r="AA189" s="32" t="s">
        <v>193</v>
      </c>
      <c r="AB189" s="32"/>
      <c r="AC189" s="32" t="s">
        <v>193</v>
      </c>
      <c r="AD189" s="32" t="s">
        <v>193</v>
      </c>
      <c r="AE189" s="32">
        <v>0</v>
      </c>
      <c r="AF189" s="32">
        <v>0</v>
      </c>
      <c r="AG189" s="32">
        <v>0</v>
      </c>
      <c r="AH189" s="32">
        <v>0</v>
      </c>
      <c r="AI189" s="32">
        <v>0</v>
      </c>
      <c r="AJ189" s="32" t="s">
        <v>965</v>
      </c>
      <c r="AK189" s="32">
        <v>0</v>
      </c>
      <c r="AL189" s="32">
        <v>0</v>
      </c>
      <c r="AM189" s="32">
        <v>0</v>
      </c>
      <c r="AN189" s="32">
        <v>0</v>
      </c>
      <c r="AO189" s="32">
        <v>0</v>
      </c>
      <c r="AP189" s="32"/>
      <c r="AQ189" s="32">
        <v>0</v>
      </c>
      <c r="AR189" s="32">
        <v>0</v>
      </c>
      <c r="AS189" s="32">
        <v>1509233.9</v>
      </c>
      <c r="AT189" s="32" t="s">
        <v>169</v>
      </c>
      <c r="AU189" s="32" t="s">
        <v>182</v>
      </c>
      <c r="AV189" s="32" t="s">
        <v>154</v>
      </c>
      <c r="AW189" s="32" t="s">
        <v>171</v>
      </c>
      <c r="AX189" s="32" t="s">
        <v>966</v>
      </c>
      <c r="AY189" s="32">
        <v>0</v>
      </c>
      <c r="AZ189" s="32">
        <v>93236.91</v>
      </c>
      <c r="BA189" s="32">
        <v>348</v>
      </c>
      <c r="BB189" s="31">
        <v>46222</v>
      </c>
      <c r="BC189" s="32" t="s">
        <v>177</v>
      </c>
      <c r="BD189" s="32" t="s">
        <v>967</v>
      </c>
      <c r="BE189" s="32" t="s">
        <v>967</v>
      </c>
      <c r="BF189" s="32">
        <v>9</v>
      </c>
      <c r="BG189" s="32">
        <v>8391.32</v>
      </c>
      <c r="BH189" s="32">
        <v>9</v>
      </c>
      <c r="BI189" s="32">
        <v>8391.32</v>
      </c>
      <c r="BJ189" s="32">
        <v>0</v>
      </c>
      <c r="BK189" s="32">
        <v>0</v>
      </c>
      <c r="BL189" s="32">
        <v>0</v>
      </c>
      <c r="BM189" s="32">
        <v>632148032609</v>
      </c>
      <c r="BN189" s="31">
        <v>46222</v>
      </c>
      <c r="BO189" s="32">
        <v>623.70000000000005</v>
      </c>
    </row>
    <row r="190" spans="1:67" x14ac:dyDescent="0.25">
      <c r="A190" s="21"/>
      <c r="B190" s="32" t="s">
        <v>167</v>
      </c>
      <c r="C190" s="31">
        <v>46222</v>
      </c>
      <c r="D190" s="32" t="s">
        <v>1179</v>
      </c>
      <c r="E190" s="32" t="s">
        <v>181</v>
      </c>
      <c r="F190" s="32" t="s">
        <v>182</v>
      </c>
      <c r="G190" s="32" t="s">
        <v>1180</v>
      </c>
      <c r="H190" s="32">
        <v>471.6</v>
      </c>
      <c r="I190" s="32">
        <v>471.6</v>
      </c>
      <c r="J190" s="32" t="s">
        <v>168</v>
      </c>
      <c r="K190" s="32">
        <v>471.6</v>
      </c>
      <c r="L190" s="32">
        <v>0</v>
      </c>
      <c r="M190" s="32">
        <v>471.6</v>
      </c>
      <c r="N190" s="32" t="s">
        <v>175</v>
      </c>
      <c r="O190" s="32" t="s">
        <v>654</v>
      </c>
      <c r="P190" s="32" t="s">
        <v>654</v>
      </c>
      <c r="Q190" s="32" t="s">
        <v>869</v>
      </c>
      <c r="R190" s="31">
        <v>46222</v>
      </c>
      <c r="S190" s="32" t="s">
        <v>987</v>
      </c>
      <c r="T190" s="32" t="s">
        <v>988</v>
      </c>
      <c r="U190" s="32" t="s">
        <v>868</v>
      </c>
      <c r="V190" s="32">
        <v>146.49</v>
      </c>
      <c r="W190" s="32">
        <v>146.489998641125</v>
      </c>
      <c r="X190" s="32" t="s">
        <v>869</v>
      </c>
      <c r="Y190" s="31">
        <v>46222</v>
      </c>
      <c r="Z190" s="32" t="s">
        <v>193</v>
      </c>
      <c r="AA190" s="32" t="s">
        <v>193</v>
      </c>
      <c r="AB190" s="32"/>
      <c r="AC190" s="32" t="s">
        <v>193</v>
      </c>
      <c r="AD190" s="32" t="s">
        <v>193</v>
      </c>
      <c r="AE190" s="32">
        <v>0</v>
      </c>
      <c r="AF190" s="32">
        <v>0</v>
      </c>
      <c r="AG190" s="32">
        <v>0</v>
      </c>
      <c r="AH190" s="32">
        <v>0</v>
      </c>
      <c r="AI190" s="32">
        <v>0</v>
      </c>
      <c r="AJ190" s="32" t="s">
        <v>965</v>
      </c>
      <c r="AK190" s="32">
        <v>0</v>
      </c>
      <c r="AL190" s="32">
        <v>0</v>
      </c>
      <c r="AM190" s="32">
        <v>0</v>
      </c>
      <c r="AN190" s="32">
        <v>0</v>
      </c>
      <c r="AO190" s="32">
        <v>0</v>
      </c>
      <c r="AP190" s="32"/>
      <c r="AQ190" s="32">
        <v>0</v>
      </c>
      <c r="AR190" s="32">
        <v>0</v>
      </c>
      <c r="AS190" s="32">
        <v>1509233.9</v>
      </c>
      <c r="AT190" s="32" t="s">
        <v>169</v>
      </c>
      <c r="AU190" s="32" t="s">
        <v>182</v>
      </c>
      <c r="AV190" s="32" t="s">
        <v>154</v>
      </c>
      <c r="AW190" s="32" t="s">
        <v>171</v>
      </c>
      <c r="AX190" s="32" t="s">
        <v>966</v>
      </c>
      <c r="AY190" s="32">
        <v>0</v>
      </c>
      <c r="AZ190" s="32">
        <v>69084.679999999993</v>
      </c>
      <c r="BA190" s="32">
        <v>348</v>
      </c>
      <c r="BB190" s="31">
        <v>46222</v>
      </c>
      <c r="BC190" s="32" t="s">
        <v>177</v>
      </c>
      <c r="BD190" s="32" t="s">
        <v>967</v>
      </c>
      <c r="BE190" s="32" t="s">
        <v>967</v>
      </c>
      <c r="BF190" s="32">
        <v>9</v>
      </c>
      <c r="BG190" s="32">
        <v>6217.62</v>
      </c>
      <c r="BH190" s="32">
        <v>9</v>
      </c>
      <c r="BI190" s="32">
        <v>6217.62</v>
      </c>
      <c r="BJ190" s="32">
        <v>0</v>
      </c>
      <c r="BK190" s="32">
        <v>0</v>
      </c>
      <c r="BL190" s="32">
        <v>0</v>
      </c>
      <c r="BM190" s="32">
        <v>632148032609</v>
      </c>
      <c r="BN190" s="31">
        <v>46222</v>
      </c>
      <c r="BO190" s="32">
        <v>471.6</v>
      </c>
    </row>
    <row r="191" spans="1:67" x14ac:dyDescent="0.25">
      <c r="A191" s="21"/>
      <c r="B191" s="32" t="s">
        <v>167</v>
      </c>
      <c r="C191" s="31">
        <v>46222</v>
      </c>
      <c r="D191" s="32" t="s">
        <v>1179</v>
      </c>
      <c r="E191" s="32" t="s">
        <v>178</v>
      </c>
      <c r="F191" s="32" t="s">
        <v>179</v>
      </c>
      <c r="G191" s="32" t="s">
        <v>1180</v>
      </c>
      <c r="H191" s="32">
        <v>2742</v>
      </c>
      <c r="I191" s="32">
        <v>2742</v>
      </c>
      <c r="J191" s="32" t="s">
        <v>168</v>
      </c>
      <c r="K191" s="32">
        <v>2742</v>
      </c>
      <c r="L191" s="32">
        <v>0</v>
      </c>
      <c r="M191" s="32">
        <v>2742</v>
      </c>
      <c r="N191" s="32" t="s">
        <v>175</v>
      </c>
      <c r="O191" s="32" t="s">
        <v>654</v>
      </c>
      <c r="P191" s="32" t="s">
        <v>654</v>
      </c>
      <c r="Q191" s="32" t="s">
        <v>869</v>
      </c>
      <c r="R191" s="31">
        <v>46222</v>
      </c>
      <c r="S191" s="32" t="s">
        <v>987</v>
      </c>
      <c r="T191" s="32" t="s">
        <v>988</v>
      </c>
      <c r="U191" s="32" t="s">
        <v>868</v>
      </c>
      <c r="V191" s="32">
        <v>151.49</v>
      </c>
      <c r="W191" s="32">
        <v>151.48999859474401</v>
      </c>
      <c r="X191" s="32" t="s">
        <v>869</v>
      </c>
      <c r="Y191" s="31">
        <v>46222</v>
      </c>
      <c r="Z191" s="32" t="s">
        <v>193</v>
      </c>
      <c r="AA191" s="32" t="s">
        <v>193</v>
      </c>
      <c r="AB191" s="32"/>
      <c r="AC191" s="32" t="s">
        <v>193</v>
      </c>
      <c r="AD191" s="32" t="s">
        <v>193</v>
      </c>
      <c r="AE191" s="32">
        <v>0</v>
      </c>
      <c r="AF191" s="32">
        <v>0</v>
      </c>
      <c r="AG191" s="32">
        <v>0</v>
      </c>
      <c r="AH191" s="32">
        <v>0</v>
      </c>
      <c r="AI191" s="32">
        <v>0</v>
      </c>
      <c r="AJ191" s="32" t="s">
        <v>965</v>
      </c>
      <c r="AK191" s="32">
        <v>0</v>
      </c>
      <c r="AL191" s="32">
        <v>0</v>
      </c>
      <c r="AM191" s="32">
        <v>0</v>
      </c>
      <c r="AN191" s="32">
        <v>0</v>
      </c>
      <c r="AO191" s="32">
        <v>0</v>
      </c>
      <c r="AP191" s="32"/>
      <c r="AQ191" s="32">
        <v>0</v>
      </c>
      <c r="AR191" s="32">
        <v>0</v>
      </c>
      <c r="AS191" s="32">
        <v>1509233.9</v>
      </c>
      <c r="AT191" s="32" t="s">
        <v>169</v>
      </c>
      <c r="AU191" s="32" t="s">
        <v>180</v>
      </c>
      <c r="AV191" s="32" t="s">
        <v>156</v>
      </c>
      <c r="AW191" s="32" t="s">
        <v>171</v>
      </c>
      <c r="AX191" s="32" t="s">
        <v>966</v>
      </c>
      <c r="AY191" s="32">
        <v>0</v>
      </c>
      <c r="AZ191" s="32">
        <v>415385.58</v>
      </c>
      <c r="BA191" s="32">
        <v>348</v>
      </c>
      <c r="BB191" s="31">
        <v>46222</v>
      </c>
      <c r="BC191" s="32" t="s">
        <v>177</v>
      </c>
      <c r="BD191" s="32" t="s">
        <v>967</v>
      </c>
      <c r="BE191" s="32" t="s">
        <v>967</v>
      </c>
      <c r="BF191" s="32">
        <v>9</v>
      </c>
      <c r="BG191" s="32">
        <v>37384.699999999997</v>
      </c>
      <c r="BH191" s="32">
        <v>9</v>
      </c>
      <c r="BI191" s="32">
        <v>37384.699999999997</v>
      </c>
      <c r="BJ191" s="32">
        <v>0</v>
      </c>
      <c r="BK191" s="32">
        <v>0</v>
      </c>
      <c r="BL191" s="32">
        <v>0</v>
      </c>
      <c r="BM191" s="32">
        <v>632148032609</v>
      </c>
      <c r="BN191" s="31">
        <v>46222</v>
      </c>
      <c r="BO191" s="32">
        <v>2742</v>
      </c>
    </row>
    <row r="192" spans="1:67" x14ac:dyDescent="0.25">
      <c r="A192" s="21"/>
      <c r="B192" s="32" t="s">
        <v>167</v>
      </c>
      <c r="C192" s="31">
        <v>46222</v>
      </c>
      <c r="D192" s="32" t="s">
        <v>1179</v>
      </c>
      <c r="E192" s="32" t="s">
        <v>173</v>
      </c>
      <c r="F192" s="32" t="s">
        <v>174</v>
      </c>
      <c r="G192" s="32" t="s">
        <v>1180</v>
      </c>
      <c r="H192" s="32">
        <v>1174.3</v>
      </c>
      <c r="I192" s="32">
        <v>1174.3</v>
      </c>
      <c r="J192" s="32" t="s">
        <v>168</v>
      </c>
      <c r="K192" s="32">
        <v>1174.3</v>
      </c>
      <c r="L192" s="32">
        <v>0</v>
      </c>
      <c r="M192" s="32">
        <v>1174.3</v>
      </c>
      <c r="N192" s="32" t="s">
        <v>175</v>
      </c>
      <c r="O192" s="32" t="s">
        <v>654</v>
      </c>
      <c r="P192" s="32" t="s">
        <v>654</v>
      </c>
      <c r="Q192" s="32" t="s">
        <v>869</v>
      </c>
      <c r="R192" s="31">
        <v>46222</v>
      </c>
      <c r="S192" s="32" t="s">
        <v>987</v>
      </c>
      <c r="T192" s="32" t="s">
        <v>988</v>
      </c>
      <c r="U192" s="32" t="s">
        <v>868</v>
      </c>
      <c r="V192" s="32">
        <v>182.78</v>
      </c>
      <c r="W192" s="32">
        <v>182.77999830449099</v>
      </c>
      <c r="X192" s="32" t="s">
        <v>869</v>
      </c>
      <c r="Y192" s="31">
        <v>46222</v>
      </c>
      <c r="Z192" s="32" t="s">
        <v>193</v>
      </c>
      <c r="AA192" s="32" t="s">
        <v>193</v>
      </c>
      <c r="AB192" s="32"/>
      <c r="AC192" s="32" t="s">
        <v>193</v>
      </c>
      <c r="AD192" s="32" t="s">
        <v>193</v>
      </c>
      <c r="AE192" s="32">
        <v>0</v>
      </c>
      <c r="AF192" s="32">
        <v>0</v>
      </c>
      <c r="AG192" s="32">
        <v>0</v>
      </c>
      <c r="AH192" s="32">
        <v>0</v>
      </c>
      <c r="AI192" s="32">
        <v>0</v>
      </c>
      <c r="AJ192" s="32" t="s">
        <v>965</v>
      </c>
      <c r="AK192" s="32">
        <v>0</v>
      </c>
      <c r="AL192" s="32">
        <v>0</v>
      </c>
      <c r="AM192" s="32">
        <v>0</v>
      </c>
      <c r="AN192" s="32">
        <v>0</v>
      </c>
      <c r="AO192" s="32">
        <v>0</v>
      </c>
      <c r="AP192" s="32"/>
      <c r="AQ192" s="32">
        <v>0</v>
      </c>
      <c r="AR192" s="32">
        <v>0</v>
      </c>
      <c r="AS192" s="32">
        <v>1509233.9</v>
      </c>
      <c r="AT192" s="32" t="s">
        <v>169</v>
      </c>
      <c r="AU192" s="32" t="s">
        <v>176</v>
      </c>
      <c r="AV192" s="32" t="s">
        <v>159</v>
      </c>
      <c r="AW192" s="32" t="s">
        <v>171</v>
      </c>
      <c r="AX192" s="32" t="s">
        <v>966</v>
      </c>
      <c r="AY192" s="32">
        <v>0</v>
      </c>
      <c r="AZ192" s="32">
        <v>214638.55</v>
      </c>
      <c r="BA192" s="32">
        <v>348</v>
      </c>
      <c r="BB192" s="31">
        <v>46222</v>
      </c>
      <c r="BC192" s="32" t="s">
        <v>177</v>
      </c>
      <c r="BD192" s="32" t="s">
        <v>967</v>
      </c>
      <c r="BE192" s="32" t="s">
        <v>967</v>
      </c>
      <c r="BF192" s="32">
        <v>9</v>
      </c>
      <c r="BG192" s="32">
        <v>19317.47</v>
      </c>
      <c r="BH192" s="32">
        <v>9</v>
      </c>
      <c r="BI192" s="32">
        <v>19317.47</v>
      </c>
      <c r="BJ192" s="32">
        <v>0</v>
      </c>
      <c r="BK192" s="32">
        <v>0</v>
      </c>
      <c r="BL192" s="32">
        <v>0</v>
      </c>
      <c r="BM192" s="32">
        <v>632148032609</v>
      </c>
      <c r="BN192" s="31">
        <v>46222</v>
      </c>
      <c r="BO192" s="32">
        <v>1174.3</v>
      </c>
    </row>
    <row r="193" spans="1:67" x14ac:dyDescent="0.25">
      <c r="A193" s="21"/>
      <c r="B193" s="32" t="s">
        <v>167</v>
      </c>
      <c r="C193" s="31">
        <v>46222</v>
      </c>
      <c r="D193" s="32" t="s">
        <v>1179</v>
      </c>
      <c r="E193" s="32" t="s">
        <v>173</v>
      </c>
      <c r="F193" s="32" t="s">
        <v>174</v>
      </c>
      <c r="G193" s="32" t="s">
        <v>1180</v>
      </c>
      <c r="H193" s="32">
        <v>527</v>
      </c>
      <c r="I193" s="32">
        <v>527</v>
      </c>
      <c r="J193" s="32" t="s">
        <v>168</v>
      </c>
      <c r="K193" s="32">
        <v>527</v>
      </c>
      <c r="L193" s="32">
        <v>0</v>
      </c>
      <c r="M193" s="32">
        <v>527</v>
      </c>
      <c r="N193" s="32" t="s">
        <v>175</v>
      </c>
      <c r="O193" s="32" t="s">
        <v>654</v>
      </c>
      <c r="P193" s="32" t="s">
        <v>654</v>
      </c>
      <c r="Q193" s="32" t="s">
        <v>869</v>
      </c>
      <c r="R193" s="31">
        <v>46222</v>
      </c>
      <c r="S193" s="32" t="s">
        <v>987</v>
      </c>
      <c r="T193" s="32" t="s">
        <v>988</v>
      </c>
      <c r="U193" s="32" t="s">
        <v>868</v>
      </c>
      <c r="V193" s="32">
        <v>202.78</v>
      </c>
      <c r="W193" s="32">
        <v>202.77999811896601</v>
      </c>
      <c r="X193" s="32" t="s">
        <v>869</v>
      </c>
      <c r="Y193" s="31">
        <v>46222</v>
      </c>
      <c r="Z193" s="32" t="s">
        <v>193</v>
      </c>
      <c r="AA193" s="32" t="s">
        <v>193</v>
      </c>
      <c r="AB193" s="32"/>
      <c r="AC193" s="32" t="s">
        <v>193</v>
      </c>
      <c r="AD193" s="32" t="s">
        <v>193</v>
      </c>
      <c r="AE193" s="32">
        <v>0</v>
      </c>
      <c r="AF193" s="32">
        <v>0</v>
      </c>
      <c r="AG193" s="32">
        <v>0</v>
      </c>
      <c r="AH193" s="32">
        <v>0</v>
      </c>
      <c r="AI193" s="32">
        <v>0</v>
      </c>
      <c r="AJ193" s="32" t="s">
        <v>965</v>
      </c>
      <c r="AK193" s="32">
        <v>0</v>
      </c>
      <c r="AL193" s="32">
        <v>0</v>
      </c>
      <c r="AM193" s="32">
        <v>0</v>
      </c>
      <c r="AN193" s="32">
        <v>0</v>
      </c>
      <c r="AO193" s="32">
        <v>0</v>
      </c>
      <c r="AP193" s="32"/>
      <c r="AQ193" s="32">
        <v>0</v>
      </c>
      <c r="AR193" s="32">
        <v>0</v>
      </c>
      <c r="AS193" s="32">
        <v>1509233.9</v>
      </c>
      <c r="AT193" s="32" t="s">
        <v>169</v>
      </c>
      <c r="AU193" s="32" t="s">
        <v>176</v>
      </c>
      <c r="AV193" s="32" t="s">
        <v>159</v>
      </c>
      <c r="AW193" s="32" t="s">
        <v>171</v>
      </c>
      <c r="AX193" s="32" t="s">
        <v>966</v>
      </c>
      <c r="AY193" s="32">
        <v>0</v>
      </c>
      <c r="AZ193" s="32">
        <v>106865.06</v>
      </c>
      <c r="BA193" s="32">
        <v>348</v>
      </c>
      <c r="BB193" s="31">
        <v>46222</v>
      </c>
      <c r="BC193" s="32" t="s">
        <v>177</v>
      </c>
      <c r="BD193" s="32" t="s">
        <v>967</v>
      </c>
      <c r="BE193" s="32" t="s">
        <v>967</v>
      </c>
      <c r="BF193" s="32">
        <v>9</v>
      </c>
      <c r="BG193" s="32">
        <v>9617.86</v>
      </c>
      <c r="BH193" s="32">
        <v>9</v>
      </c>
      <c r="BI193" s="32">
        <v>9617.86</v>
      </c>
      <c r="BJ193" s="32">
        <v>0</v>
      </c>
      <c r="BK193" s="32">
        <v>0</v>
      </c>
      <c r="BL193" s="32">
        <v>0</v>
      </c>
      <c r="BM193" s="32">
        <v>632148032609</v>
      </c>
      <c r="BN193" s="31">
        <v>46222</v>
      </c>
      <c r="BO193" s="32">
        <v>527</v>
      </c>
    </row>
    <row r="194" spans="1:67" x14ac:dyDescent="0.25">
      <c r="A194" s="21"/>
      <c r="B194" s="32" t="s">
        <v>167</v>
      </c>
      <c r="C194" s="31">
        <v>46222</v>
      </c>
      <c r="D194" s="32" t="s">
        <v>1179</v>
      </c>
      <c r="E194" s="32" t="s">
        <v>186</v>
      </c>
      <c r="F194" s="32" t="s">
        <v>187</v>
      </c>
      <c r="G194" s="32" t="s">
        <v>1180</v>
      </c>
      <c r="H194" s="32">
        <v>1336</v>
      </c>
      <c r="I194" s="32">
        <v>1336</v>
      </c>
      <c r="J194" s="32" t="s">
        <v>168</v>
      </c>
      <c r="K194" s="32">
        <v>1336</v>
      </c>
      <c r="L194" s="32">
        <v>0</v>
      </c>
      <c r="M194" s="32">
        <v>1336</v>
      </c>
      <c r="N194" s="32" t="s">
        <v>175</v>
      </c>
      <c r="O194" s="32" t="s">
        <v>654</v>
      </c>
      <c r="P194" s="32" t="s">
        <v>654</v>
      </c>
      <c r="Q194" s="32" t="s">
        <v>869</v>
      </c>
      <c r="R194" s="31">
        <v>46222</v>
      </c>
      <c r="S194" s="32" t="s">
        <v>987</v>
      </c>
      <c r="T194" s="32" t="s">
        <v>988</v>
      </c>
      <c r="U194" s="32" t="s">
        <v>868</v>
      </c>
      <c r="V194" s="32">
        <v>149.49</v>
      </c>
      <c r="W194" s="32">
        <v>149.489998613296</v>
      </c>
      <c r="X194" s="32" t="s">
        <v>869</v>
      </c>
      <c r="Y194" s="31">
        <v>46222</v>
      </c>
      <c r="Z194" s="32" t="s">
        <v>193</v>
      </c>
      <c r="AA194" s="32" t="s">
        <v>193</v>
      </c>
      <c r="AB194" s="32"/>
      <c r="AC194" s="32" t="s">
        <v>193</v>
      </c>
      <c r="AD194" s="32" t="s">
        <v>193</v>
      </c>
      <c r="AE194" s="32">
        <v>0</v>
      </c>
      <c r="AF194" s="32">
        <v>0</v>
      </c>
      <c r="AG194" s="32">
        <v>0</v>
      </c>
      <c r="AH194" s="32">
        <v>0</v>
      </c>
      <c r="AI194" s="32">
        <v>0</v>
      </c>
      <c r="AJ194" s="32" t="s">
        <v>965</v>
      </c>
      <c r="AK194" s="32">
        <v>0</v>
      </c>
      <c r="AL194" s="32">
        <v>0</v>
      </c>
      <c r="AM194" s="32">
        <v>0</v>
      </c>
      <c r="AN194" s="32">
        <v>0</v>
      </c>
      <c r="AO194" s="32">
        <v>0</v>
      </c>
      <c r="AP194" s="32"/>
      <c r="AQ194" s="32">
        <v>0</v>
      </c>
      <c r="AR194" s="32">
        <v>0</v>
      </c>
      <c r="AS194" s="32">
        <v>1509233.9</v>
      </c>
      <c r="AT194" s="32" t="s">
        <v>169</v>
      </c>
      <c r="AU194" s="32" t="s">
        <v>180</v>
      </c>
      <c r="AV194" s="32" t="s">
        <v>155</v>
      </c>
      <c r="AW194" s="32" t="s">
        <v>171</v>
      </c>
      <c r="AX194" s="32" t="s">
        <v>966</v>
      </c>
      <c r="AY194" s="32">
        <v>0</v>
      </c>
      <c r="AZ194" s="32">
        <v>199718.64</v>
      </c>
      <c r="BA194" s="32">
        <v>348</v>
      </c>
      <c r="BB194" s="31">
        <v>46222</v>
      </c>
      <c r="BC194" s="32" t="s">
        <v>177</v>
      </c>
      <c r="BD194" s="32" t="s">
        <v>967</v>
      </c>
      <c r="BE194" s="32" t="s">
        <v>967</v>
      </c>
      <c r="BF194" s="32">
        <v>9</v>
      </c>
      <c r="BG194" s="32">
        <v>17974.68</v>
      </c>
      <c r="BH194" s="32">
        <v>9</v>
      </c>
      <c r="BI194" s="32">
        <v>17974.68</v>
      </c>
      <c r="BJ194" s="32">
        <v>0</v>
      </c>
      <c r="BK194" s="32">
        <v>0</v>
      </c>
      <c r="BL194" s="32">
        <v>0</v>
      </c>
      <c r="BM194" s="32">
        <v>632148032609</v>
      </c>
      <c r="BN194" s="31">
        <v>46222</v>
      </c>
      <c r="BO194" s="32">
        <v>1336</v>
      </c>
    </row>
    <row r="195" spans="1:67" x14ac:dyDescent="0.25">
      <c r="A195" s="21"/>
      <c r="B195" s="32" t="s">
        <v>167</v>
      </c>
      <c r="C195" s="31">
        <v>46222</v>
      </c>
      <c r="D195" s="32" t="s">
        <v>1179</v>
      </c>
      <c r="E195" s="32" t="s">
        <v>186</v>
      </c>
      <c r="F195" s="32" t="s">
        <v>187</v>
      </c>
      <c r="G195" s="32" t="s">
        <v>1180</v>
      </c>
      <c r="H195" s="32">
        <v>347</v>
      </c>
      <c r="I195" s="32">
        <v>347</v>
      </c>
      <c r="J195" s="32" t="s">
        <v>168</v>
      </c>
      <c r="K195" s="32">
        <v>347</v>
      </c>
      <c r="L195" s="32">
        <v>0</v>
      </c>
      <c r="M195" s="32">
        <v>347</v>
      </c>
      <c r="N195" s="32" t="s">
        <v>175</v>
      </c>
      <c r="O195" s="32" t="s">
        <v>654</v>
      </c>
      <c r="P195" s="32" t="s">
        <v>654</v>
      </c>
      <c r="Q195" s="32" t="s">
        <v>869</v>
      </c>
      <c r="R195" s="31">
        <v>46222</v>
      </c>
      <c r="S195" s="32" t="s">
        <v>987</v>
      </c>
      <c r="T195" s="32" t="s">
        <v>988</v>
      </c>
      <c r="U195" s="32" t="s">
        <v>868</v>
      </c>
      <c r="V195" s="32">
        <v>147.49</v>
      </c>
      <c r="W195" s="32">
        <v>147.48999863184901</v>
      </c>
      <c r="X195" s="32" t="s">
        <v>869</v>
      </c>
      <c r="Y195" s="31">
        <v>46222</v>
      </c>
      <c r="Z195" s="32" t="s">
        <v>193</v>
      </c>
      <c r="AA195" s="32" t="s">
        <v>193</v>
      </c>
      <c r="AB195" s="32"/>
      <c r="AC195" s="32" t="s">
        <v>193</v>
      </c>
      <c r="AD195" s="32" t="s">
        <v>193</v>
      </c>
      <c r="AE195" s="32">
        <v>0</v>
      </c>
      <c r="AF195" s="32">
        <v>0</v>
      </c>
      <c r="AG195" s="32">
        <v>0</v>
      </c>
      <c r="AH195" s="32">
        <v>0</v>
      </c>
      <c r="AI195" s="32">
        <v>0</v>
      </c>
      <c r="AJ195" s="32" t="s">
        <v>965</v>
      </c>
      <c r="AK195" s="32">
        <v>0</v>
      </c>
      <c r="AL195" s="32">
        <v>0</v>
      </c>
      <c r="AM195" s="32">
        <v>0</v>
      </c>
      <c r="AN195" s="32">
        <v>0</v>
      </c>
      <c r="AO195" s="32">
        <v>0</v>
      </c>
      <c r="AP195" s="32"/>
      <c r="AQ195" s="32">
        <v>0</v>
      </c>
      <c r="AR195" s="32">
        <v>0</v>
      </c>
      <c r="AS195" s="32">
        <v>1509233.9</v>
      </c>
      <c r="AT195" s="32" t="s">
        <v>169</v>
      </c>
      <c r="AU195" s="32" t="s">
        <v>180</v>
      </c>
      <c r="AV195" s="32" t="s">
        <v>155</v>
      </c>
      <c r="AW195" s="32" t="s">
        <v>171</v>
      </c>
      <c r="AX195" s="32" t="s">
        <v>966</v>
      </c>
      <c r="AY195" s="32">
        <v>0</v>
      </c>
      <c r="AZ195" s="32">
        <v>51179.03</v>
      </c>
      <c r="BA195" s="32">
        <v>348</v>
      </c>
      <c r="BB195" s="31">
        <v>46222</v>
      </c>
      <c r="BC195" s="32" t="s">
        <v>177</v>
      </c>
      <c r="BD195" s="32" t="s">
        <v>967</v>
      </c>
      <c r="BE195" s="32" t="s">
        <v>967</v>
      </c>
      <c r="BF195" s="32">
        <v>9</v>
      </c>
      <c r="BG195" s="32">
        <v>4606.1099999999997</v>
      </c>
      <c r="BH195" s="32">
        <v>9</v>
      </c>
      <c r="BI195" s="32">
        <v>4606.1099999999997</v>
      </c>
      <c r="BJ195" s="32">
        <v>0</v>
      </c>
      <c r="BK195" s="32">
        <v>0</v>
      </c>
      <c r="BL195" s="32">
        <v>0</v>
      </c>
      <c r="BM195" s="32">
        <v>632148032609</v>
      </c>
      <c r="BN195" s="31">
        <v>46222</v>
      </c>
      <c r="BO195" s="32">
        <v>347</v>
      </c>
    </row>
    <row r="196" spans="1:67" x14ac:dyDescent="0.25">
      <c r="A196" s="21"/>
      <c r="B196" s="32" t="s">
        <v>167</v>
      </c>
      <c r="C196" s="31">
        <v>46223</v>
      </c>
      <c r="D196" s="32" t="s">
        <v>1181</v>
      </c>
      <c r="E196" s="32" t="s">
        <v>1088</v>
      </c>
      <c r="F196" s="32" t="s">
        <v>779</v>
      </c>
      <c r="G196" s="32" t="s">
        <v>1182</v>
      </c>
      <c r="H196" s="32">
        <v>5075</v>
      </c>
      <c r="I196" s="32">
        <v>5075</v>
      </c>
      <c r="J196" s="32" t="s">
        <v>168</v>
      </c>
      <c r="K196" s="32">
        <v>5075</v>
      </c>
      <c r="L196" s="32">
        <v>0</v>
      </c>
      <c r="M196" s="32">
        <v>5075</v>
      </c>
      <c r="N196" s="32" t="s">
        <v>175</v>
      </c>
      <c r="O196" s="32" t="s">
        <v>654</v>
      </c>
      <c r="P196" s="32" t="s">
        <v>654</v>
      </c>
      <c r="Q196" s="32" t="s">
        <v>877</v>
      </c>
      <c r="R196" s="31">
        <v>46223</v>
      </c>
      <c r="S196" s="32" t="s">
        <v>987</v>
      </c>
      <c r="T196" s="32" t="s">
        <v>988</v>
      </c>
      <c r="U196" s="32" t="s">
        <v>876</v>
      </c>
      <c r="V196" s="32">
        <v>105</v>
      </c>
      <c r="W196" s="32">
        <v>105</v>
      </c>
      <c r="X196" s="32" t="s">
        <v>877</v>
      </c>
      <c r="Y196" s="31">
        <v>46223</v>
      </c>
      <c r="Z196" s="32"/>
      <c r="AA196" s="32">
        <v>0</v>
      </c>
      <c r="AB196" s="32"/>
      <c r="AC196" s="32">
        <v>0</v>
      </c>
      <c r="AD196" s="32">
        <v>0</v>
      </c>
      <c r="AE196" s="32">
        <v>0</v>
      </c>
      <c r="AF196" s="32">
        <v>0</v>
      </c>
      <c r="AG196" s="32">
        <v>0</v>
      </c>
      <c r="AH196" s="32">
        <v>0</v>
      </c>
      <c r="AI196" s="32">
        <v>0</v>
      </c>
      <c r="AJ196" s="32" t="s">
        <v>965</v>
      </c>
      <c r="AK196" s="32">
        <v>0</v>
      </c>
      <c r="AL196" s="32">
        <v>0</v>
      </c>
      <c r="AM196" s="32">
        <v>0</v>
      </c>
      <c r="AN196" s="32">
        <v>0</v>
      </c>
      <c r="AO196" s="32">
        <v>0</v>
      </c>
      <c r="AP196" s="32"/>
      <c r="AQ196" s="32">
        <v>0</v>
      </c>
      <c r="AR196" s="32">
        <v>0</v>
      </c>
      <c r="AS196" s="32">
        <v>628792.5</v>
      </c>
      <c r="AT196" s="32" t="s">
        <v>169</v>
      </c>
      <c r="AU196" s="32" t="s">
        <v>779</v>
      </c>
      <c r="AV196" s="32" t="s">
        <v>779</v>
      </c>
      <c r="AW196" s="32" t="s">
        <v>169</v>
      </c>
      <c r="AX196" s="32" t="s">
        <v>966</v>
      </c>
      <c r="AY196" s="32">
        <v>0</v>
      </c>
      <c r="AZ196" s="32">
        <v>532875</v>
      </c>
      <c r="BA196" s="32">
        <v>353</v>
      </c>
      <c r="BB196" s="31">
        <v>46223</v>
      </c>
      <c r="BC196" s="32" t="s">
        <v>177</v>
      </c>
      <c r="BD196" s="32" t="s">
        <v>967</v>
      </c>
      <c r="BE196" s="32" t="s">
        <v>967</v>
      </c>
      <c r="BF196" s="32">
        <v>9</v>
      </c>
      <c r="BG196" s="32">
        <v>47958.75</v>
      </c>
      <c r="BH196" s="32">
        <v>9</v>
      </c>
      <c r="BI196" s="32">
        <v>47958.75</v>
      </c>
      <c r="BJ196" s="32">
        <v>0</v>
      </c>
      <c r="BK196" s="32">
        <v>0</v>
      </c>
      <c r="BL196" s="32">
        <v>628792.5</v>
      </c>
      <c r="BM196" s="32">
        <v>692148346537</v>
      </c>
      <c r="BN196" s="31">
        <v>46223</v>
      </c>
      <c r="BO196" s="32">
        <v>5075</v>
      </c>
    </row>
    <row r="197" spans="1:67" x14ac:dyDescent="0.25">
      <c r="A197" s="21"/>
      <c r="B197" s="32" t="s">
        <v>167</v>
      </c>
      <c r="C197" s="31">
        <v>46223</v>
      </c>
      <c r="D197" s="32" t="s">
        <v>1183</v>
      </c>
      <c r="E197" s="32" t="s">
        <v>202</v>
      </c>
      <c r="F197" s="32" t="s">
        <v>203</v>
      </c>
      <c r="G197" s="32" t="s">
        <v>1184</v>
      </c>
      <c r="H197" s="32">
        <v>170</v>
      </c>
      <c r="I197" s="32">
        <v>170</v>
      </c>
      <c r="J197" s="32" t="s">
        <v>168</v>
      </c>
      <c r="K197" s="32">
        <v>170</v>
      </c>
      <c r="L197" s="32">
        <v>0</v>
      </c>
      <c r="M197" s="32">
        <v>170</v>
      </c>
      <c r="N197" s="32" t="s">
        <v>1185</v>
      </c>
      <c r="O197" s="32" t="s">
        <v>670</v>
      </c>
      <c r="P197" s="32" t="s">
        <v>670</v>
      </c>
      <c r="Q197" s="32" t="s">
        <v>873</v>
      </c>
      <c r="R197" s="31">
        <v>46223</v>
      </c>
      <c r="S197" s="32" t="s">
        <v>987</v>
      </c>
      <c r="T197" s="32" t="s">
        <v>988</v>
      </c>
      <c r="U197" s="32" t="s">
        <v>872</v>
      </c>
      <c r="V197" s="32">
        <v>282</v>
      </c>
      <c r="W197" s="32">
        <v>282</v>
      </c>
      <c r="X197" s="32" t="s">
        <v>873</v>
      </c>
      <c r="Y197" s="31">
        <v>46223</v>
      </c>
      <c r="Z197" s="32"/>
      <c r="AA197" s="32">
        <v>0</v>
      </c>
      <c r="AB197" s="32"/>
      <c r="AC197" s="32">
        <v>0</v>
      </c>
      <c r="AD197" s="32">
        <v>0</v>
      </c>
      <c r="AE197" s="32">
        <v>0</v>
      </c>
      <c r="AF197" s="32">
        <v>0</v>
      </c>
      <c r="AG197" s="32">
        <v>0</v>
      </c>
      <c r="AH197" s="32">
        <v>0</v>
      </c>
      <c r="AI197" s="32">
        <v>0</v>
      </c>
      <c r="AJ197" s="32" t="s">
        <v>965</v>
      </c>
      <c r="AK197" s="32">
        <v>0</v>
      </c>
      <c r="AL197" s="32">
        <v>0</v>
      </c>
      <c r="AM197" s="32">
        <v>0</v>
      </c>
      <c r="AN197" s="32">
        <v>0</v>
      </c>
      <c r="AO197" s="32">
        <v>0</v>
      </c>
      <c r="AP197" s="32"/>
      <c r="AQ197" s="32">
        <v>0</v>
      </c>
      <c r="AR197" s="32">
        <v>0</v>
      </c>
      <c r="AS197" s="32">
        <v>56569.2</v>
      </c>
      <c r="AT197" s="32" t="s">
        <v>204</v>
      </c>
      <c r="AU197" s="32" t="s">
        <v>160</v>
      </c>
      <c r="AV197" s="32" t="s">
        <v>165</v>
      </c>
      <c r="AW197" s="32" t="s">
        <v>204</v>
      </c>
      <c r="AX197" s="32" t="s">
        <v>966</v>
      </c>
      <c r="AY197" s="32">
        <v>0</v>
      </c>
      <c r="AZ197" s="32">
        <v>47940</v>
      </c>
      <c r="BA197" s="32">
        <v>350</v>
      </c>
      <c r="BB197" s="31">
        <v>46223</v>
      </c>
      <c r="BC197" s="32" t="s">
        <v>189</v>
      </c>
      <c r="BD197" s="32" t="s">
        <v>967</v>
      </c>
      <c r="BE197" s="32" t="s">
        <v>967</v>
      </c>
      <c r="BF197" s="32">
        <v>9</v>
      </c>
      <c r="BG197" s="32">
        <v>4314.6000000000004</v>
      </c>
      <c r="BH197" s="32">
        <v>9</v>
      </c>
      <c r="BI197" s="32">
        <v>4314.6000000000004</v>
      </c>
      <c r="BJ197" s="32">
        <v>0</v>
      </c>
      <c r="BK197" s="32">
        <v>0</v>
      </c>
      <c r="BL197" s="32">
        <v>56569.2</v>
      </c>
      <c r="BM197" s="32">
        <v>662148472846</v>
      </c>
      <c r="BN197" s="31">
        <v>46223</v>
      </c>
      <c r="BO197" s="32">
        <v>170</v>
      </c>
    </row>
    <row r="198" spans="1:67" x14ac:dyDescent="0.25">
      <c r="A198" s="21"/>
      <c r="B198" s="32" t="s">
        <v>167</v>
      </c>
      <c r="C198" s="31">
        <v>46223</v>
      </c>
      <c r="D198" s="32" t="s">
        <v>1186</v>
      </c>
      <c r="E198" s="32" t="s">
        <v>178</v>
      </c>
      <c r="F198" s="32" t="s">
        <v>179</v>
      </c>
      <c r="G198" s="32" t="s">
        <v>1187</v>
      </c>
      <c r="H198" s="32">
        <v>292</v>
      </c>
      <c r="I198" s="32">
        <v>292</v>
      </c>
      <c r="J198" s="32" t="s">
        <v>168</v>
      </c>
      <c r="K198" s="32">
        <v>292</v>
      </c>
      <c r="L198" s="32">
        <v>0</v>
      </c>
      <c r="M198" s="32">
        <v>292</v>
      </c>
      <c r="N198" s="32" t="s">
        <v>175</v>
      </c>
      <c r="O198" s="32" t="s">
        <v>654</v>
      </c>
      <c r="P198" s="32" t="s">
        <v>654</v>
      </c>
      <c r="Q198" s="32" t="s">
        <v>879</v>
      </c>
      <c r="R198" s="31">
        <v>46223</v>
      </c>
      <c r="S198" s="32" t="s">
        <v>987</v>
      </c>
      <c r="T198" s="32" t="s">
        <v>988</v>
      </c>
      <c r="U198" s="32" t="s">
        <v>878</v>
      </c>
      <c r="V198" s="32">
        <v>151.49</v>
      </c>
      <c r="W198" s="32">
        <v>151.49</v>
      </c>
      <c r="X198" s="32" t="s">
        <v>879</v>
      </c>
      <c r="Y198" s="31">
        <v>46223</v>
      </c>
      <c r="Z198" s="32"/>
      <c r="AA198" s="32">
        <v>0</v>
      </c>
      <c r="AB198" s="32"/>
      <c r="AC198" s="32">
        <v>0</v>
      </c>
      <c r="AD198" s="32">
        <v>0</v>
      </c>
      <c r="AE198" s="32">
        <v>0</v>
      </c>
      <c r="AF198" s="32">
        <v>0</v>
      </c>
      <c r="AG198" s="32">
        <v>0</v>
      </c>
      <c r="AH198" s="32">
        <v>0</v>
      </c>
      <c r="AI198" s="32">
        <v>0</v>
      </c>
      <c r="AJ198" s="32" t="s">
        <v>965</v>
      </c>
      <c r="AK198" s="32">
        <v>0</v>
      </c>
      <c r="AL198" s="32">
        <v>0</v>
      </c>
      <c r="AM198" s="32">
        <v>0</v>
      </c>
      <c r="AN198" s="32">
        <v>0</v>
      </c>
      <c r="AO198" s="32">
        <v>0</v>
      </c>
      <c r="AP198" s="32"/>
      <c r="AQ198" s="32">
        <v>0</v>
      </c>
      <c r="AR198" s="32">
        <v>0</v>
      </c>
      <c r="AS198" s="32">
        <v>52197.4</v>
      </c>
      <c r="AT198" s="32" t="s">
        <v>169</v>
      </c>
      <c r="AU198" s="32" t="s">
        <v>180</v>
      </c>
      <c r="AV198" s="32" t="s">
        <v>156</v>
      </c>
      <c r="AW198" s="32" t="s">
        <v>171</v>
      </c>
      <c r="AX198" s="32" t="s">
        <v>966</v>
      </c>
      <c r="AY198" s="32">
        <v>0</v>
      </c>
      <c r="AZ198" s="32">
        <v>44235.08</v>
      </c>
      <c r="BA198" s="32">
        <v>352</v>
      </c>
      <c r="BB198" s="31">
        <v>46223</v>
      </c>
      <c r="BC198" s="32" t="s">
        <v>177</v>
      </c>
      <c r="BD198" s="32" t="s">
        <v>967</v>
      </c>
      <c r="BE198" s="32" t="s">
        <v>967</v>
      </c>
      <c r="BF198" s="32">
        <v>9</v>
      </c>
      <c r="BG198" s="32">
        <v>3981.16</v>
      </c>
      <c r="BH198" s="32">
        <v>9</v>
      </c>
      <c r="BI198" s="32">
        <v>3981.16</v>
      </c>
      <c r="BJ198" s="32">
        <v>0</v>
      </c>
      <c r="BK198" s="32">
        <v>0</v>
      </c>
      <c r="BL198" s="32">
        <v>52197.4</v>
      </c>
      <c r="BM198" s="32">
        <v>682148498918</v>
      </c>
      <c r="BN198" s="31">
        <v>46223</v>
      </c>
      <c r="BO198" s="32">
        <v>292</v>
      </c>
    </row>
    <row r="199" spans="1:67" x14ac:dyDescent="0.25">
      <c r="A199" s="21"/>
      <c r="B199" s="32" t="s">
        <v>167</v>
      </c>
      <c r="C199" s="31">
        <v>46223</v>
      </c>
      <c r="D199" s="32" t="s">
        <v>1188</v>
      </c>
      <c r="E199" s="32" t="s">
        <v>178</v>
      </c>
      <c r="F199" s="32" t="s">
        <v>179</v>
      </c>
      <c r="G199" s="32" t="s">
        <v>1189</v>
      </c>
      <c r="H199" s="32">
        <v>507</v>
      </c>
      <c r="I199" s="32">
        <v>507</v>
      </c>
      <c r="J199" s="32" t="s">
        <v>168</v>
      </c>
      <c r="K199" s="32">
        <v>507</v>
      </c>
      <c r="L199" s="32">
        <v>0</v>
      </c>
      <c r="M199" s="32">
        <v>507</v>
      </c>
      <c r="N199" s="32" t="s">
        <v>175</v>
      </c>
      <c r="O199" s="32" t="s">
        <v>654</v>
      </c>
      <c r="P199" s="32" t="s">
        <v>654</v>
      </c>
      <c r="Q199" s="32" t="s">
        <v>881</v>
      </c>
      <c r="R199" s="31">
        <v>46223</v>
      </c>
      <c r="S199" s="32" t="s">
        <v>987</v>
      </c>
      <c r="T199" s="32" t="s">
        <v>988</v>
      </c>
      <c r="U199" s="32" t="s">
        <v>880</v>
      </c>
      <c r="V199" s="32">
        <v>148.49</v>
      </c>
      <c r="W199" s="32">
        <v>148.49000727276101</v>
      </c>
      <c r="X199" s="32" t="s">
        <v>881</v>
      </c>
      <c r="Y199" s="31">
        <v>46223</v>
      </c>
      <c r="Z199" s="32"/>
      <c r="AA199" s="32">
        <v>0</v>
      </c>
      <c r="AB199" s="32"/>
      <c r="AC199" s="32">
        <v>0</v>
      </c>
      <c r="AD199" s="32">
        <v>0</v>
      </c>
      <c r="AE199" s="32">
        <v>0</v>
      </c>
      <c r="AF199" s="32">
        <v>0</v>
      </c>
      <c r="AG199" s="32">
        <v>0</v>
      </c>
      <c r="AH199" s="32">
        <v>0</v>
      </c>
      <c r="AI199" s="32">
        <v>0</v>
      </c>
      <c r="AJ199" s="32" t="s">
        <v>965</v>
      </c>
      <c r="AK199" s="32">
        <v>0</v>
      </c>
      <c r="AL199" s="32">
        <v>0</v>
      </c>
      <c r="AM199" s="32">
        <v>0</v>
      </c>
      <c r="AN199" s="32">
        <v>0</v>
      </c>
      <c r="AO199" s="32">
        <v>0</v>
      </c>
      <c r="AP199" s="32"/>
      <c r="AQ199" s="32">
        <v>0</v>
      </c>
      <c r="AR199" s="32">
        <v>0</v>
      </c>
      <c r="AS199" s="32">
        <v>428762.91</v>
      </c>
      <c r="AT199" s="32" t="s">
        <v>169</v>
      </c>
      <c r="AU199" s="32" t="s">
        <v>180</v>
      </c>
      <c r="AV199" s="32" t="s">
        <v>156</v>
      </c>
      <c r="AW199" s="32" t="s">
        <v>171</v>
      </c>
      <c r="AX199" s="32" t="s">
        <v>966</v>
      </c>
      <c r="AY199" s="32">
        <v>0</v>
      </c>
      <c r="AZ199" s="32">
        <v>75284.429999999993</v>
      </c>
      <c r="BA199" s="32">
        <v>351</v>
      </c>
      <c r="BB199" s="31">
        <v>46223</v>
      </c>
      <c r="BC199" s="32" t="s">
        <v>177</v>
      </c>
      <c r="BD199" s="32" t="s">
        <v>967</v>
      </c>
      <c r="BE199" s="32" t="s">
        <v>967</v>
      </c>
      <c r="BF199" s="32">
        <v>9</v>
      </c>
      <c r="BG199" s="32">
        <v>6775.6</v>
      </c>
      <c r="BH199" s="32">
        <v>9</v>
      </c>
      <c r="BI199" s="32">
        <v>6775.6</v>
      </c>
      <c r="BJ199" s="32">
        <v>0</v>
      </c>
      <c r="BK199" s="32">
        <v>0</v>
      </c>
      <c r="BL199" s="32">
        <v>428762.91</v>
      </c>
      <c r="BM199" s="32">
        <v>682148459382</v>
      </c>
      <c r="BN199" s="31">
        <v>46223</v>
      </c>
      <c r="BO199" s="32">
        <v>507</v>
      </c>
    </row>
    <row r="200" spans="1:67" x14ac:dyDescent="0.25">
      <c r="A200" s="21"/>
      <c r="B200" s="32" t="s">
        <v>167</v>
      </c>
      <c r="C200" s="31">
        <v>46223</v>
      </c>
      <c r="D200" s="32" t="s">
        <v>1188</v>
      </c>
      <c r="E200" s="32" t="s">
        <v>178</v>
      </c>
      <c r="F200" s="32" t="s">
        <v>179</v>
      </c>
      <c r="G200" s="32" t="s">
        <v>1189</v>
      </c>
      <c r="H200" s="32">
        <v>375</v>
      </c>
      <c r="I200" s="32">
        <v>375</v>
      </c>
      <c r="J200" s="32" t="s">
        <v>168</v>
      </c>
      <c r="K200" s="32">
        <v>375</v>
      </c>
      <c r="L200" s="32">
        <v>0</v>
      </c>
      <c r="M200" s="32">
        <v>375</v>
      </c>
      <c r="N200" s="32" t="s">
        <v>175</v>
      </c>
      <c r="O200" s="32" t="s">
        <v>654</v>
      </c>
      <c r="P200" s="32" t="s">
        <v>654</v>
      </c>
      <c r="Q200" s="32" t="s">
        <v>881</v>
      </c>
      <c r="R200" s="31">
        <v>46223</v>
      </c>
      <c r="S200" s="32" t="s">
        <v>987</v>
      </c>
      <c r="T200" s="32" t="s">
        <v>988</v>
      </c>
      <c r="U200" s="32" t="s">
        <v>880</v>
      </c>
      <c r="V200" s="32">
        <v>151.49</v>
      </c>
      <c r="W200" s="32">
        <v>151.49000741969499</v>
      </c>
      <c r="X200" s="32" t="s">
        <v>881</v>
      </c>
      <c r="Y200" s="31">
        <v>46223</v>
      </c>
      <c r="Z200" s="32"/>
      <c r="AA200" s="32">
        <v>0</v>
      </c>
      <c r="AB200" s="32"/>
      <c r="AC200" s="32">
        <v>0</v>
      </c>
      <c r="AD200" s="32">
        <v>0</v>
      </c>
      <c r="AE200" s="32">
        <v>0</v>
      </c>
      <c r="AF200" s="32">
        <v>0</v>
      </c>
      <c r="AG200" s="32">
        <v>0</v>
      </c>
      <c r="AH200" s="32">
        <v>0</v>
      </c>
      <c r="AI200" s="32">
        <v>0</v>
      </c>
      <c r="AJ200" s="32" t="s">
        <v>965</v>
      </c>
      <c r="AK200" s="32">
        <v>0</v>
      </c>
      <c r="AL200" s="32">
        <v>0</v>
      </c>
      <c r="AM200" s="32">
        <v>0</v>
      </c>
      <c r="AN200" s="32">
        <v>0</v>
      </c>
      <c r="AO200" s="32">
        <v>0</v>
      </c>
      <c r="AP200" s="32"/>
      <c r="AQ200" s="32">
        <v>0</v>
      </c>
      <c r="AR200" s="32">
        <v>0</v>
      </c>
      <c r="AS200" s="32">
        <v>428762.91</v>
      </c>
      <c r="AT200" s="32" t="s">
        <v>169</v>
      </c>
      <c r="AU200" s="32" t="s">
        <v>180</v>
      </c>
      <c r="AV200" s="32" t="s">
        <v>156</v>
      </c>
      <c r="AW200" s="32" t="s">
        <v>171</v>
      </c>
      <c r="AX200" s="32" t="s">
        <v>966</v>
      </c>
      <c r="AY200" s="32">
        <v>0</v>
      </c>
      <c r="AZ200" s="32">
        <v>56808.75</v>
      </c>
      <c r="BA200" s="32">
        <v>351</v>
      </c>
      <c r="BB200" s="31">
        <v>46223</v>
      </c>
      <c r="BC200" s="32" t="s">
        <v>177</v>
      </c>
      <c r="BD200" s="32" t="s">
        <v>967</v>
      </c>
      <c r="BE200" s="32" t="s">
        <v>967</v>
      </c>
      <c r="BF200" s="32">
        <v>9</v>
      </c>
      <c r="BG200" s="32">
        <v>5112.79</v>
      </c>
      <c r="BH200" s="32">
        <v>9</v>
      </c>
      <c r="BI200" s="32">
        <v>5112.79</v>
      </c>
      <c r="BJ200" s="32">
        <v>0</v>
      </c>
      <c r="BK200" s="32">
        <v>0</v>
      </c>
      <c r="BL200" s="32">
        <v>0</v>
      </c>
      <c r="BM200" s="32">
        <v>682148459382</v>
      </c>
      <c r="BN200" s="31">
        <v>46223</v>
      </c>
      <c r="BO200" s="32">
        <v>375</v>
      </c>
    </row>
    <row r="201" spans="1:67" x14ac:dyDescent="0.25">
      <c r="A201" s="21"/>
      <c r="B201" s="32" t="s">
        <v>167</v>
      </c>
      <c r="C201" s="31">
        <v>46223</v>
      </c>
      <c r="D201" s="32" t="s">
        <v>1188</v>
      </c>
      <c r="E201" s="32" t="s">
        <v>181</v>
      </c>
      <c r="F201" s="32" t="s">
        <v>182</v>
      </c>
      <c r="G201" s="32" t="s">
        <v>1189</v>
      </c>
      <c r="H201" s="32">
        <v>850.7</v>
      </c>
      <c r="I201" s="32">
        <v>850.7</v>
      </c>
      <c r="J201" s="32" t="s">
        <v>168</v>
      </c>
      <c r="K201" s="32">
        <v>850.7</v>
      </c>
      <c r="L201" s="32">
        <v>0</v>
      </c>
      <c r="M201" s="32">
        <v>850.7</v>
      </c>
      <c r="N201" s="32" t="s">
        <v>175</v>
      </c>
      <c r="O201" s="32" t="s">
        <v>654</v>
      </c>
      <c r="P201" s="32" t="s">
        <v>654</v>
      </c>
      <c r="Q201" s="32" t="s">
        <v>881</v>
      </c>
      <c r="R201" s="31">
        <v>46223</v>
      </c>
      <c r="S201" s="32" t="s">
        <v>987</v>
      </c>
      <c r="T201" s="32" t="s">
        <v>988</v>
      </c>
      <c r="U201" s="32" t="s">
        <v>880</v>
      </c>
      <c r="V201" s="32">
        <v>146.49</v>
      </c>
      <c r="W201" s="32">
        <v>146.49000717480499</v>
      </c>
      <c r="X201" s="32" t="s">
        <v>881</v>
      </c>
      <c r="Y201" s="31">
        <v>46223</v>
      </c>
      <c r="Z201" s="32"/>
      <c r="AA201" s="32">
        <v>0</v>
      </c>
      <c r="AB201" s="32"/>
      <c r="AC201" s="32">
        <v>0</v>
      </c>
      <c r="AD201" s="32">
        <v>0</v>
      </c>
      <c r="AE201" s="32">
        <v>0</v>
      </c>
      <c r="AF201" s="32">
        <v>0</v>
      </c>
      <c r="AG201" s="32">
        <v>0</v>
      </c>
      <c r="AH201" s="32">
        <v>0</v>
      </c>
      <c r="AI201" s="32">
        <v>0</v>
      </c>
      <c r="AJ201" s="32" t="s">
        <v>965</v>
      </c>
      <c r="AK201" s="32">
        <v>0</v>
      </c>
      <c r="AL201" s="32">
        <v>0</v>
      </c>
      <c r="AM201" s="32">
        <v>0</v>
      </c>
      <c r="AN201" s="32">
        <v>0</v>
      </c>
      <c r="AO201" s="32">
        <v>0</v>
      </c>
      <c r="AP201" s="32"/>
      <c r="AQ201" s="32">
        <v>0</v>
      </c>
      <c r="AR201" s="32">
        <v>0</v>
      </c>
      <c r="AS201" s="32">
        <v>428762.91</v>
      </c>
      <c r="AT201" s="32" t="s">
        <v>169</v>
      </c>
      <c r="AU201" s="32" t="s">
        <v>182</v>
      </c>
      <c r="AV201" s="32" t="s">
        <v>154</v>
      </c>
      <c r="AW201" s="32" t="s">
        <v>171</v>
      </c>
      <c r="AX201" s="32" t="s">
        <v>966</v>
      </c>
      <c r="AY201" s="32">
        <v>0</v>
      </c>
      <c r="AZ201" s="32">
        <v>124619.05</v>
      </c>
      <c r="BA201" s="32">
        <v>351</v>
      </c>
      <c r="BB201" s="31">
        <v>46223</v>
      </c>
      <c r="BC201" s="32" t="s">
        <v>177</v>
      </c>
      <c r="BD201" s="32" t="s">
        <v>967</v>
      </c>
      <c r="BE201" s="32" t="s">
        <v>967</v>
      </c>
      <c r="BF201" s="32">
        <v>9</v>
      </c>
      <c r="BG201" s="32">
        <v>11215.71</v>
      </c>
      <c r="BH201" s="32">
        <v>9</v>
      </c>
      <c r="BI201" s="32">
        <v>11215.71</v>
      </c>
      <c r="BJ201" s="32">
        <v>0</v>
      </c>
      <c r="BK201" s="32">
        <v>0</v>
      </c>
      <c r="BL201" s="32">
        <v>0</v>
      </c>
      <c r="BM201" s="32">
        <v>682148459382</v>
      </c>
      <c r="BN201" s="31">
        <v>46223</v>
      </c>
      <c r="BO201" s="32">
        <v>850.7</v>
      </c>
    </row>
    <row r="202" spans="1:67" x14ac:dyDescent="0.25">
      <c r="A202" s="21"/>
      <c r="B202" s="32" t="s">
        <v>167</v>
      </c>
      <c r="C202" s="31">
        <v>46223</v>
      </c>
      <c r="D202" s="32" t="s">
        <v>1188</v>
      </c>
      <c r="E202" s="32" t="s">
        <v>181</v>
      </c>
      <c r="F202" s="32" t="s">
        <v>182</v>
      </c>
      <c r="G202" s="32" t="s">
        <v>1189</v>
      </c>
      <c r="H202" s="32">
        <v>713.4</v>
      </c>
      <c r="I202" s="32">
        <v>713.4</v>
      </c>
      <c r="J202" s="32" t="s">
        <v>168</v>
      </c>
      <c r="K202" s="32">
        <v>713.4</v>
      </c>
      <c r="L202" s="32">
        <v>0</v>
      </c>
      <c r="M202" s="32">
        <v>713.4</v>
      </c>
      <c r="N202" s="32" t="s">
        <v>175</v>
      </c>
      <c r="O202" s="32" t="s">
        <v>654</v>
      </c>
      <c r="P202" s="32" t="s">
        <v>654</v>
      </c>
      <c r="Q202" s="32" t="s">
        <v>881</v>
      </c>
      <c r="R202" s="31">
        <v>46223</v>
      </c>
      <c r="S202" s="32" t="s">
        <v>987</v>
      </c>
      <c r="T202" s="32" t="s">
        <v>988</v>
      </c>
      <c r="U202" s="32" t="s">
        <v>880</v>
      </c>
      <c r="V202" s="32">
        <v>149.49</v>
      </c>
      <c r="W202" s="32">
        <v>149.490007321739</v>
      </c>
      <c r="X202" s="32" t="s">
        <v>881</v>
      </c>
      <c r="Y202" s="31">
        <v>46223</v>
      </c>
      <c r="Z202" s="32"/>
      <c r="AA202" s="32">
        <v>0</v>
      </c>
      <c r="AB202" s="32"/>
      <c r="AC202" s="32">
        <v>0</v>
      </c>
      <c r="AD202" s="32">
        <v>0</v>
      </c>
      <c r="AE202" s="32">
        <v>0</v>
      </c>
      <c r="AF202" s="32">
        <v>0</v>
      </c>
      <c r="AG202" s="32">
        <v>0</v>
      </c>
      <c r="AH202" s="32">
        <v>0</v>
      </c>
      <c r="AI202" s="32">
        <v>0</v>
      </c>
      <c r="AJ202" s="32" t="s">
        <v>965</v>
      </c>
      <c r="AK202" s="32">
        <v>0</v>
      </c>
      <c r="AL202" s="32">
        <v>0</v>
      </c>
      <c r="AM202" s="32">
        <v>0</v>
      </c>
      <c r="AN202" s="32">
        <v>0</v>
      </c>
      <c r="AO202" s="32">
        <v>0</v>
      </c>
      <c r="AP202" s="32"/>
      <c r="AQ202" s="32">
        <v>0</v>
      </c>
      <c r="AR202" s="32">
        <v>0</v>
      </c>
      <c r="AS202" s="32">
        <v>428762.91</v>
      </c>
      <c r="AT202" s="32" t="s">
        <v>169</v>
      </c>
      <c r="AU202" s="32" t="s">
        <v>182</v>
      </c>
      <c r="AV202" s="32" t="s">
        <v>154</v>
      </c>
      <c r="AW202" s="32" t="s">
        <v>171</v>
      </c>
      <c r="AX202" s="32" t="s">
        <v>966</v>
      </c>
      <c r="AY202" s="32">
        <v>0</v>
      </c>
      <c r="AZ202" s="32">
        <v>106646.17</v>
      </c>
      <c r="BA202" s="32">
        <v>351</v>
      </c>
      <c r="BB202" s="31">
        <v>46223</v>
      </c>
      <c r="BC202" s="32" t="s">
        <v>177</v>
      </c>
      <c r="BD202" s="32" t="s">
        <v>967</v>
      </c>
      <c r="BE202" s="32" t="s">
        <v>967</v>
      </c>
      <c r="BF202" s="32">
        <v>9</v>
      </c>
      <c r="BG202" s="32">
        <v>9598.15</v>
      </c>
      <c r="BH202" s="32">
        <v>9</v>
      </c>
      <c r="BI202" s="32">
        <v>9598.15</v>
      </c>
      <c r="BJ202" s="32">
        <v>0</v>
      </c>
      <c r="BK202" s="32">
        <v>0</v>
      </c>
      <c r="BL202" s="32">
        <v>0</v>
      </c>
      <c r="BM202" s="32">
        <v>682148459382</v>
      </c>
      <c r="BN202" s="31">
        <v>46223</v>
      </c>
      <c r="BO202" s="32">
        <v>713.4</v>
      </c>
    </row>
    <row r="203" spans="1:67" x14ac:dyDescent="0.25">
      <c r="A203" s="21"/>
      <c r="B203" s="32" t="s">
        <v>167</v>
      </c>
      <c r="C203" s="31">
        <v>46223</v>
      </c>
      <c r="D203" s="32" t="s">
        <v>1190</v>
      </c>
      <c r="E203" s="32" t="s">
        <v>194</v>
      </c>
      <c r="F203" s="32" t="s">
        <v>195</v>
      </c>
      <c r="G203" s="32" t="s">
        <v>1191</v>
      </c>
      <c r="H203" s="32">
        <v>1262</v>
      </c>
      <c r="I203" s="32">
        <v>1262</v>
      </c>
      <c r="J203" s="32" t="s">
        <v>168</v>
      </c>
      <c r="K203" s="32">
        <v>1262</v>
      </c>
      <c r="L203" s="32">
        <v>0</v>
      </c>
      <c r="M203" s="32">
        <v>1262</v>
      </c>
      <c r="N203" s="32" t="s">
        <v>1114</v>
      </c>
      <c r="O203" s="32" t="s">
        <v>676</v>
      </c>
      <c r="P203" s="32" t="s">
        <v>676</v>
      </c>
      <c r="Q203" s="32" t="s">
        <v>875</v>
      </c>
      <c r="R203" s="31">
        <v>46222</v>
      </c>
      <c r="S203" s="32" t="s">
        <v>987</v>
      </c>
      <c r="T203" s="32" t="s">
        <v>988</v>
      </c>
      <c r="U203" s="32" t="s">
        <v>874</v>
      </c>
      <c r="V203" s="32">
        <v>250.51</v>
      </c>
      <c r="W203" s="32">
        <v>250.51</v>
      </c>
      <c r="X203" s="32" t="s">
        <v>875</v>
      </c>
      <c r="Y203" s="31">
        <v>46222</v>
      </c>
      <c r="Z203" s="32"/>
      <c r="AA203" s="32">
        <v>0</v>
      </c>
      <c r="AB203" s="32"/>
      <c r="AC203" s="32">
        <v>0</v>
      </c>
      <c r="AD203" s="32">
        <v>0</v>
      </c>
      <c r="AE203" s="32">
        <v>0</v>
      </c>
      <c r="AF203" s="32">
        <v>0</v>
      </c>
      <c r="AG203" s="32">
        <v>0</v>
      </c>
      <c r="AH203" s="32">
        <v>0</v>
      </c>
      <c r="AI203" s="32">
        <v>0</v>
      </c>
      <c r="AJ203" s="32" t="s">
        <v>965</v>
      </c>
      <c r="AK203" s="32">
        <v>0</v>
      </c>
      <c r="AL203" s="32">
        <v>0</v>
      </c>
      <c r="AM203" s="32">
        <v>0</v>
      </c>
      <c r="AN203" s="32">
        <v>0</v>
      </c>
      <c r="AO203" s="32">
        <v>0</v>
      </c>
      <c r="AP203" s="32"/>
      <c r="AQ203" s="32">
        <v>0</v>
      </c>
      <c r="AR203" s="32">
        <v>0</v>
      </c>
      <c r="AS203" s="32">
        <v>373049.48</v>
      </c>
      <c r="AT203" s="32" t="s">
        <v>192</v>
      </c>
      <c r="AU203" s="32" t="s">
        <v>152</v>
      </c>
      <c r="AV203" s="32" t="s">
        <v>152</v>
      </c>
      <c r="AW203" s="32" t="s">
        <v>171</v>
      </c>
      <c r="AX203" s="32" t="s">
        <v>966</v>
      </c>
      <c r="AY203" s="32">
        <v>0</v>
      </c>
      <c r="AZ203" s="32">
        <v>316143.62</v>
      </c>
      <c r="BA203" s="32">
        <v>354</v>
      </c>
      <c r="BB203" s="31">
        <v>46223</v>
      </c>
      <c r="BC203" s="32" t="s">
        <v>172</v>
      </c>
      <c r="BD203" s="32" t="s">
        <v>967</v>
      </c>
      <c r="BE203" s="32" t="s">
        <v>967</v>
      </c>
      <c r="BF203" s="32">
        <v>9</v>
      </c>
      <c r="BG203" s="32">
        <v>28452.93</v>
      </c>
      <c r="BH203" s="32">
        <v>9</v>
      </c>
      <c r="BI203" s="32">
        <v>28452.93</v>
      </c>
      <c r="BJ203" s="32">
        <v>0</v>
      </c>
      <c r="BK203" s="32">
        <v>0</v>
      </c>
      <c r="BL203" s="32">
        <v>373049.48</v>
      </c>
      <c r="BM203" s="32">
        <v>672148039293</v>
      </c>
      <c r="BN203" s="31">
        <v>46222</v>
      </c>
      <c r="BO203" s="32">
        <v>1262</v>
      </c>
    </row>
    <row r="204" spans="1:67" x14ac:dyDescent="0.25">
      <c r="A204" s="21"/>
      <c r="B204" s="32" t="s">
        <v>167</v>
      </c>
      <c r="C204" s="31">
        <v>46224</v>
      </c>
      <c r="D204" s="32" t="s">
        <v>1192</v>
      </c>
      <c r="E204" s="32" t="s">
        <v>186</v>
      </c>
      <c r="F204" s="32" t="s">
        <v>187</v>
      </c>
      <c r="G204" s="32" t="s">
        <v>1193</v>
      </c>
      <c r="H204" s="32">
        <v>3690</v>
      </c>
      <c r="I204" s="32">
        <v>3690</v>
      </c>
      <c r="J204" s="32" t="s">
        <v>168</v>
      </c>
      <c r="K204" s="32">
        <v>3690</v>
      </c>
      <c r="L204" s="32">
        <v>0</v>
      </c>
      <c r="M204" s="32">
        <v>3690</v>
      </c>
      <c r="N204" s="32" t="s">
        <v>1194</v>
      </c>
      <c r="O204" s="32" t="s">
        <v>665</v>
      </c>
      <c r="P204" s="32" t="s">
        <v>665</v>
      </c>
      <c r="Q204" s="32" t="s">
        <v>883</v>
      </c>
      <c r="R204" s="31">
        <v>46223</v>
      </c>
      <c r="S204" s="32" t="s">
        <v>987</v>
      </c>
      <c r="T204" s="32" t="s">
        <v>988</v>
      </c>
      <c r="U204" s="32" t="s">
        <v>882</v>
      </c>
      <c r="V204" s="32">
        <v>156.49</v>
      </c>
      <c r="W204" s="32">
        <v>156.49</v>
      </c>
      <c r="X204" s="32" t="s">
        <v>883</v>
      </c>
      <c r="Y204" s="31">
        <v>46223</v>
      </c>
      <c r="Z204" s="32" t="s">
        <v>193</v>
      </c>
      <c r="AA204" s="32" t="s">
        <v>193</v>
      </c>
      <c r="AB204" s="32"/>
      <c r="AC204" s="32" t="s">
        <v>1069</v>
      </c>
      <c r="AD204" s="32">
        <v>2514</v>
      </c>
      <c r="AE204" s="32">
        <v>0</v>
      </c>
      <c r="AF204" s="32">
        <v>0</v>
      </c>
      <c r="AG204" s="32">
        <v>0</v>
      </c>
      <c r="AH204" s="32">
        <v>0</v>
      </c>
      <c r="AI204" s="32">
        <v>0</v>
      </c>
      <c r="AJ204" s="32" t="s">
        <v>965</v>
      </c>
      <c r="AK204" s="32">
        <v>0</v>
      </c>
      <c r="AL204" s="32">
        <v>0</v>
      </c>
      <c r="AM204" s="32">
        <v>0</v>
      </c>
      <c r="AN204" s="32">
        <v>0</v>
      </c>
      <c r="AO204" s="32">
        <v>0</v>
      </c>
      <c r="AP204" s="32"/>
      <c r="AQ204" s="32">
        <v>0</v>
      </c>
      <c r="AR204" s="32">
        <v>0</v>
      </c>
      <c r="AS204" s="32">
        <v>681388.76</v>
      </c>
      <c r="AT204" s="32" t="s">
        <v>169</v>
      </c>
      <c r="AU204" s="32" t="s">
        <v>180</v>
      </c>
      <c r="AV204" s="32" t="s">
        <v>155</v>
      </c>
      <c r="AW204" s="32" t="s">
        <v>171</v>
      </c>
      <c r="AX204" s="32" t="s">
        <v>966</v>
      </c>
      <c r="AY204" s="32">
        <v>0</v>
      </c>
      <c r="AZ204" s="32">
        <v>577448.1</v>
      </c>
      <c r="BA204" s="32">
        <v>355</v>
      </c>
      <c r="BB204" s="31">
        <v>46224</v>
      </c>
      <c r="BC204" s="32" t="s">
        <v>189</v>
      </c>
      <c r="BD204" s="32" t="s">
        <v>967</v>
      </c>
      <c r="BE204" s="32" t="s">
        <v>967</v>
      </c>
      <c r="BF204" s="32">
        <v>9</v>
      </c>
      <c r="BG204" s="32">
        <v>51970.33</v>
      </c>
      <c r="BH204" s="32">
        <v>9</v>
      </c>
      <c r="BI204" s="32">
        <v>51970.33</v>
      </c>
      <c r="BJ204" s="32">
        <v>0</v>
      </c>
      <c r="BK204" s="32">
        <v>0</v>
      </c>
      <c r="BL204" s="32">
        <v>681388.76</v>
      </c>
      <c r="BM204" s="32">
        <v>642148573680</v>
      </c>
      <c r="BN204" s="31">
        <v>46223</v>
      </c>
      <c r="BO204" s="32">
        <v>3690</v>
      </c>
    </row>
    <row r="205" spans="1:67" x14ac:dyDescent="0.25">
      <c r="A205" s="21"/>
      <c r="B205" s="32" t="s">
        <v>167</v>
      </c>
      <c r="C205" s="31">
        <v>46224</v>
      </c>
      <c r="D205" s="32" t="s">
        <v>1195</v>
      </c>
      <c r="E205" s="32" t="s">
        <v>186</v>
      </c>
      <c r="F205" s="32" t="s">
        <v>187</v>
      </c>
      <c r="G205" s="32" t="s">
        <v>1196</v>
      </c>
      <c r="H205" s="32">
        <v>3239</v>
      </c>
      <c r="I205" s="32">
        <v>3239</v>
      </c>
      <c r="J205" s="32" t="s">
        <v>168</v>
      </c>
      <c r="K205" s="32">
        <v>3239</v>
      </c>
      <c r="L205" s="32">
        <v>0</v>
      </c>
      <c r="M205" s="32">
        <v>3239</v>
      </c>
      <c r="N205" s="32" t="s">
        <v>1197</v>
      </c>
      <c r="O205" s="32" t="s">
        <v>659</v>
      </c>
      <c r="P205" s="32" t="s">
        <v>659</v>
      </c>
      <c r="Q205" s="32" t="s">
        <v>891</v>
      </c>
      <c r="R205" s="31">
        <v>46223</v>
      </c>
      <c r="S205" s="32" t="s">
        <v>987</v>
      </c>
      <c r="T205" s="32" t="s">
        <v>988</v>
      </c>
      <c r="U205" s="32" t="s">
        <v>890</v>
      </c>
      <c r="V205" s="32">
        <v>122</v>
      </c>
      <c r="W205" s="32">
        <v>122</v>
      </c>
      <c r="X205" s="32" t="s">
        <v>891</v>
      </c>
      <c r="Y205" s="31">
        <v>46223</v>
      </c>
      <c r="Z205" s="32" t="s">
        <v>193</v>
      </c>
      <c r="AA205" s="32" t="s">
        <v>193</v>
      </c>
      <c r="AB205" s="32"/>
      <c r="AC205" s="32" t="s">
        <v>1198</v>
      </c>
      <c r="AD205" s="32">
        <v>462</v>
      </c>
      <c r="AE205" s="32">
        <v>0</v>
      </c>
      <c r="AF205" s="32">
        <v>0</v>
      </c>
      <c r="AG205" s="32">
        <v>0</v>
      </c>
      <c r="AH205" s="32">
        <v>0</v>
      </c>
      <c r="AI205" s="32">
        <v>0</v>
      </c>
      <c r="AJ205" s="32" t="s">
        <v>965</v>
      </c>
      <c r="AK205" s="32">
        <v>0</v>
      </c>
      <c r="AL205" s="32">
        <v>0</v>
      </c>
      <c r="AM205" s="32">
        <v>0</v>
      </c>
      <c r="AN205" s="32">
        <v>0</v>
      </c>
      <c r="AO205" s="32">
        <v>0</v>
      </c>
      <c r="AP205" s="32"/>
      <c r="AQ205" s="32">
        <v>0</v>
      </c>
      <c r="AR205" s="32">
        <v>0</v>
      </c>
      <c r="AS205" s="32">
        <v>653835.5</v>
      </c>
      <c r="AT205" s="32" t="s">
        <v>169</v>
      </c>
      <c r="AU205" s="32" t="s">
        <v>180</v>
      </c>
      <c r="AV205" s="32" t="s">
        <v>155</v>
      </c>
      <c r="AW205" s="32" t="s">
        <v>171</v>
      </c>
      <c r="AX205" s="32" t="s">
        <v>966</v>
      </c>
      <c r="AY205" s="32">
        <v>0</v>
      </c>
      <c r="AZ205" s="32">
        <v>395158</v>
      </c>
      <c r="BA205" s="32">
        <v>3556</v>
      </c>
      <c r="BB205" s="31">
        <v>46224</v>
      </c>
      <c r="BC205" s="32" t="s">
        <v>177</v>
      </c>
      <c r="BD205" s="32" t="s">
        <v>967</v>
      </c>
      <c r="BE205" s="32" t="s">
        <v>967</v>
      </c>
      <c r="BF205" s="32">
        <v>9</v>
      </c>
      <c r="BG205" s="32">
        <v>35564.22</v>
      </c>
      <c r="BH205" s="32">
        <v>9</v>
      </c>
      <c r="BI205" s="32">
        <v>35564.22</v>
      </c>
      <c r="BJ205" s="32">
        <v>0</v>
      </c>
      <c r="BK205" s="32">
        <v>0</v>
      </c>
      <c r="BL205" s="32">
        <v>653835.5</v>
      </c>
      <c r="BM205" s="32">
        <v>692148605511</v>
      </c>
      <c r="BN205" s="31">
        <v>46223</v>
      </c>
      <c r="BO205" s="32">
        <v>3239</v>
      </c>
    </row>
    <row r="206" spans="1:67" x14ac:dyDescent="0.25">
      <c r="A206" s="21"/>
      <c r="B206" s="32" t="s">
        <v>167</v>
      </c>
      <c r="C206" s="31">
        <v>46224</v>
      </c>
      <c r="D206" s="32" t="s">
        <v>1195</v>
      </c>
      <c r="E206" s="32" t="s">
        <v>181</v>
      </c>
      <c r="F206" s="32" t="s">
        <v>182</v>
      </c>
      <c r="G206" s="32" t="s">
        <v>1196</v>
      </c>
      <c r="H206" s="32">
        <v>388.6</v>
      </c>
      <c r="I206" s="32">
        <v>388.6</v>
      </c>
      <c r="J206" s="32" t="s">
        <v>168</v>
      </c>
      <c r="K206" s="32">
        <v>388.6</v>
      </c>
      <c r="L206" s="32">
        <v>0</v>
      </c>
      <c r="M206" s="32">
        <v>388.6</v>
      </c>
      <c r="N206" s="32" t="s">
        <v>1197</v>
      </c>
      <c r="O206" s="32" t="s">
        <v>659</v>
      </c>
      <c r="P206" s="32" t="s">
        <v>659</v>
      </c>
      <c r="Q206" s="32" t="s">
        <v>891</v>
      </c>
      <c r="R206" s="31">
        <v>46223</v>
      </c>
      <c r="S206" s="32" t="s">
        <v>987</v>
      </c>
      <c r="T206" s="32" t="s">
        <v>988</v>
      </c>
      <c r="U206" s="32" t="s">
        <v>890</v>
      </c>
      <c r="V206" s="32">
        <v>111.6</v>
      </c>
      <c r="W206" s="32">
        <v>111.6</v>
      </c>
      <c r="X206" s="32" t="s">
        <v>891</v>
      </c>
      <c r="Y206" s="31">
        <v>46223</v>
      </c>
      <c r="Z206" s="32" t="s">
        <v>193</v>
      </c>
      <c r="AA206" s="32" t="s">
        <v>193</v>
      </c>
      <c r="AB206" s="32"/>
      <c r="AC206" s="32" t="s">
        <v>1198</v>
      </c>
      <c r="AD206" s="32">
        <v>462</v>
      </c>
      <c r="AE206" s="32">
        <v>0</v>
      </c>
      <c r="AF206" s="32">
        <v>0</v>
      </c>
      <c r="AG206" s="32">
        <v>0</v>
      </c>
      <c r="AH206" s="32">
        <v>0</v>
      </c>
      <c r="AI206" s="32">
        <v>0</v>
      </c>
      <c r="AJ206" s="32" t="s">
        <v>965</v>
      </c>
      <c r="AK206" s="32">
        <v>0</v>
      </c>
      <c r="AL206" s="32">
        <v>0</v>
      </c>
      <c r="AM206" s="32">
        <v>0</v>
      </c>
      <c r="AN206" s="32">
        <v>0</v>
      </c>
      <c r="AO206" s="32">
        <v>0</v>
      </c>
      <c r="AP206" s="32"/>
      <c r="AQ206" s="32">
        <v>0</v>
      </c>
      <c r="AR206" s="32">
        <v>0</v>
      </c>
      <c r="AS206" s="32">
        <v>653835.5</v>
      </c>
      <c r="AT206" s="32" t="s">
        <v>169</v>
      </c>
      <c r="AU206" s="32" t="s">
        <v>182</v>
      </c>
      <c r="AV206" s="32" t="s">
        <v>154</v>
      </c>
      <c r="AW206" s="32" t="s">
        <v>171</v>
      </c>
      <c r="AX206" s="32" t="s">
        <v>966</v>
      </c>
      <c r="AY206" s="32">
        <v>0</v>
      </c>
      <c r="AZ206" s="32">
        <v>43367.76</v>
      </c>
      <c r="BA206" s="32">
        <v>3556</v>
      </c>
      <c r="BB206" s="31">
        <v>46224</v>
      </c>
      <c r="BC206" s="32" t="s">
        <v>177</v>
      </c>
      <c r="BD206" s="32" t="s">
        <v>967</v>
      </c>
      <c r="BE206" s="32" t="s">
        <v>967</v>
      </c>
      <c r="BF206" s="32">
        <v>9</v>
      </c>
      <c r="BG206" s="32">
        <v>3903.1</v>
      </c>
      <c r="BH206" s="32">
        <v>9</v>
      </c>
      <c r="BI206" s="32">
        <v>3903.1</v>
      </c>
      <c r="BJ206" s="32">
        <v>0</v>
      </c>
      <c r="BK206" s="32">
        <v>0</v>
      </c>
      <c r="BL206" s="32">
        <v>0</v>
      </c>
      <c r="BM206" s="32">
        <v>692148605511</v>
      </c>
      <c r="BN206" s="31">
        <v>46223</v>
      </c>
      <c r="BO206" s="32">
        <v>388.6</v>
      </c>
    </row>
    <row r="207" spans="1:67" x14ac:dyDescent="0.25">
      <c r="A207" s="21"/>
      <c r="B207" s="32" t="s">
        <v>167</v>
      </c>
      <c r="C207" s="31">
        <v>46224</v>
      </c>
      <c r="D207" s="32" t="s">
        <v>1195</v>
      </c>
      <c r="E207" s="32" t="s">
        <v>181</v>
      </c>
      <c r="F207" s="32" t="s">
        <v>182</v>
      </c>
      <c r="G207" s="32" t="s">
        <v>1196</v>
      </c>
      <c r="H207" s="32">
        <v>1064.2</v>
      </c>
      <c r="I207" s="32">
        <v>1064.2</v>
      </c>
      <c r="J207" s="32" t="s">
        <v>168</v>
      </c>
      <c r="K207" s="32">
        <v>1064.2</v>
      </c>
      <c r="L207" s="32">
        <v>0</v>
      </c>
      <c r="M207" s="32">
        <v>1064.2</v>
      </c>
      <c r="N207" s="32" t="s">
        <v>1197</v>
      </c>
      <c r="O207" s="32" t="s">
        <v>659</v>
      </c>
      <c r="P207" s="32" t="s">
        <v>659</v>
      </c>
      <c r="Q207" s="32" t="s">
        <v>891</v>
      </c>
      <c r="R207" s="31">
        <v>46223</v>
      </c>
      <c r="S207" s="32" t="s">
        <v>987</v>
      </c>
      <c r="T207" s="32" t="s">
        <v>988</v>
      </c>
      <c r="U207" s="32" t="s">
        <v>890</v>
      </c>
      <c r="V207" s="32">
        <v>108.6</v>
      </c>
      <c r="W207" s="32">
        <v>108.6</v>
      </c>
      <c r="X207" s="32" t="s">
        <v>891</v>
      </c>
      <c r="Y207" s="31">
        <v>46223</v>
      </c>
      <c r="Z207" s="32" t="s">
        <v>193</v>
      </c>
      <c r="AA207" s="32" t="s">
        <v>193</v>
      </c>
      <c r="AB207" s="32"/>
      <c r="AC207" s="32" t="s">
        <v>1198</v>
      </c>
      <c r="AD207" s="32">
        <v>462</v>
      </c>
      <c r="AE207" s="32">
        <v>0</v>
      </c>
      <c r="AF207" s="32">
        <v>0</v>
      </c>
      <c r="AG207" s="32">
        <v>0</v>
      </c>
      <c r="AH207" s="32">
        <v>0</v>
      </c>
      <c r="AI207" s="32">
        <v>0</v>
      </c>
      <c r="AJ207" s="32" t="s">
        <v>965</v>
      </c>
      <c r="AK207" s="32">
        <v>0</v>
      </c>
      <c r="AL207" s="32">
        <v>0</v>
      </c>
      <c r="AM207" s="32">
        <v>0</v>
      </c>
      <c r="AN207" s="32">
        <v>0</v>
      </c>
      <c r="AO207" s="32">
        <v>0</v>
      </c>
      <c r="AP207" s="32"/>
      <c r="AQ207" s="32">
        <v>0</v>
      </c>
      <c r="AR207" s="32">
        <v>0</v>
      </c>
      <c r="AS207" s="32">
        <v>653835.5</v>
      </c>
      <c r="AT207" s="32" t="s">
        <v>169</v>
      </c>
      <c r="AU207" s="32" t="s">
        <v>182</v>
      </c>
      <c r="AV207" s="32" t="s">
        <v>154</v>
      </c>
      <c r="AW207" s="32" t="s">
        <v>171</v>
      </c>
      <c r="AX207" s="32" t="s">
        <v>966</v>
      </c>
      <c r="AY207" s="32">
        <v>0</v>
      </c>
      <c r="AZ207" s="32">
        <v>115572.12</v>
      </c>
      <c r="BA207" s="32">
        <v>3556</v>
      </c>
      <c r="BB207" s="31">
        <v>46224</v>
      </c>
      <c r="BC207" s="32" t="s">
        <v>177</v>
      </c>
      <c r="BD207" s="32" t="s">
        <v>967</v>
      </c>
      <c r="BE207" s="32" t="s">
        <v>967</v>
      </c>
      <c r="BF207" s="32">
        <v>9</v>
      </c>
      <c r="BG207" s="32">
        <v>10401.49</v>
      </c>
      <c r="BH207" s="32">
        <v>9</v>
      </c>
      <c r="BI207" s="32">
        <v>10401.49</v>
      </c>
      <c r="BJ207" s="32">
        <v>0</v>
      </c>
      <c r="BK207" s="32">
        <v>0</v>
      </c>
      <c r="BL207" s="32">
        <v>0</v>
      </c>
      <c r="BM207" s="32">
        <v>692148605511</v>
      </c>
      <c r="BN207" s="31">
        <v>46223</v>
      </c>
      <c r="BO207" s="32">
        <v>1064.2</v>
      </c>
    </row>
    <row r="208" spans="1:67" x14ac:dyDescent="0.25">
      <c r="A208" s="21"/>
      <c r="B208" s="32" t="s">
        <v>167</v>
      </c>
      <c r="C208" s="31">
        <v>46224</v>
      </c>
      <c r="D208" s="32" t="s">
        <v>1199</v>
      </c>
      <c r="E208" s="32" t="s">
        <v>181</v>
      </c>
      <c r="F208" s="32" t="s">
        <v>182</v>
      </c>
      <c r="G208" s="32" t="s">
        <v>1200</v>
      </c>
      <c r="H208" s="32">
        <v>519.5</v>
      </c>
      <c r="I208" s="32">
        <v>519.5</v>
      </c>
      <c r="J208" s="32" t="s">
        <v>168</v>
      </c>
      <c r="K208" s="32">
        <v>519.5</v>
      </c>
      <c r="L208" s="32">
        <v>0</v>
      </c>
      <c r="M208" s="32">
        <v>519.5</v>
      </c>
      <c r="N208" s="32" t="s">
        <v>307</v>
      </c>
      <c r="O208" s="32" t="s">
        <v>654</v>
      </c>
      <c r="P208" s="32" t="s">
        <v>654</v>
      </c>
      <c r="Q208" s="32" t="s">
        <v>885</v>
      </c>
      <c r="R208" s="31">
        <v>46224</v>
      </c>
      <c r="S208" s="32" t="s">
        <v>987</v>
      </c>
      <c r="T208" s="32" t="s">
        <v>988</v>
      </c>
      <c r="U208" s="32" t="s">
        <v>884</v>
      </c>
      <c r="V208" s="32">
        <v>146.49</v>
      </c>
      <c r="W208" s="32">
        <v>146.49000256981699</v>
      </c>
      <c r="X208" s="32" t="s">
        <v>885</v>
      </c>
      <c r="Y208" s="31">
        <v>46224</v>
      </c>
      <c r="Z208" s="32" t="s">
        <v>193</v>
      </c>
      <c r="AA208" s="32" t="s">
        <v>193</v>
      </c>
      <c r="AB208" s="32"/>
      <c r="AC208" s="32" t="s">
        <v>193</v>
      </c>
      <c r="AD208" s="32" t="s">
        <v>193</v>
      </c>
      <c r="AE208" s="32">
        <v>0</v>
      </c>
      <c r="AF208" s="32">
        <v>0</v>
      </c>
      <c r="AG208" s="32">
        <v>0</v>
      </c>
      <c r="AH208" s="32">
        <v>0</v>
      </c>
      <c r="AI208" s="32">
        <v>0</v>
      </c>
      <c r="AJ208" s="32" t="s">
        <v>965</v>
      </c>
      <c r="AK208" s="32">
        <v>0</v>
      </c>
      <c r="AL208" s="32">
        <v>0</v>
      </c>
      <c r="AM208" s="32">
        <v>0</v>
      </c>
      <c r="AN208" s="32">
        <v>0</v>
      </c>
      <c r="AO208" s="32">
        <v>0</v>
      </c>
      <c r="AP208" s="32"/>
      <c r="AQ208" s="32">
        <v>0</v>
      </c>
      <c r="AR208" s="32">
        <v>0</v>
      </c>
      <c r="AS208" s="32">
        <v>285020.27</v>
      </c>
      <c r="AT208" s="32" t="s">
        <v>169</v>
      </c>
      <c r="AU208" s="32" t="s">
        <v>182</v>
      </c>
      <c r="AV208" s="32" t="s">
        <v>154</v>
      </c>
      <c r="AW208" s="32" t="s">
        <v>171</v>
      </c>
      <c r="AX208" s="32" t="s">
        <v>966</v>
      </c>
      <c r="AY208" s="32">
        <v>0</v>
      </c>
      <c r="AZ208" s="32">
        <v>76101.56</v>
      </c>
      <c r="BA208" s="32">
        <v>357</v>
      </c>
      <c r="BB208" s="31">
        <v>46224</v>
      </c>
      <c r="BC208" s="32" t="s">
        <v>177</v>
      </c>
      <c r="BD208" s="32" t="s">
        <v>967</v>
      </c>
      <c r="BE208" s="32" t="s">
        <v>967</v>
      </c>
      <c r="BF208" s="32">
        <v>9</v>
      </c>
      <c r="BG208" s="32">
        <v>6849.14</v>
      </c>
      <c r="BH208" s="32">
        <v>9</v>
      </c>
      <c r="BI208" s="32">
        <v>6849.14</v>
      </c>
      <c r="BJ208" s="32">
        <v>0</v>
      </c>
      <c r="BK208" s="32">
        <v>0</v>
      </c>
      <c r="BL208" s="32">
        <v>285020.27</v>
      </c>
      <c r="BM208" s="32">
        <v>642148860243</v>
      </c>
      <c r="BN208" s="31">
        <v>46224</v>
      </c>
      <c r="BO208" s="32">
        <v>519.5</v>
      </c>
    </row>
    <row r="209" spans="1:67" x14ac:dyDescent="0.25">
      <c r="A209" s="21"/>
      <c r="B209" s="32" t="s">
        <v>167</v>
      </c>
      <c r="C209" s="31">
        <v>46224</v>
      </c>
      <c r="D209" s="32" t="s">
        <v>1199</v>
      </c>
      <c r="E209" s="32" t="s">
        <v>186</v>
      </c>
      <c r="F209" s="32" t="s">
        <v>187</v>
      </c>
      <c r="G209" s="32" t="s">
        <v>1200</v>
      </c>
      <c r="H209" s="32">
        <v>1145</v>
      </c>
      <c r="I209" s="32">
        <v>1145</v>
      </c>
      <c r="J209" s="32" t="s">
        <v>168</v>
      </c>
      <c r="K209" s="32">
        <v>1145</v>
      </c>
      <c r="L209" s="32">
        <v>0</v>
      </c>
      <c r="M209" s="32">
        <v>1145</v>
      </c>
      <c r="N209" s="32" t="s">
        <v>307</v>
      </c>
      <c r="O209" s="32" t="s">
        <v>654</v>
      </c>
      <c r="P209" s="32" t="s">
        <v>654</v>
      </c>
      <c r="Q209" s="32" t="s">
        <v>885</v>
      </c>
      <c r="R209" s="31">
        <v>46224</v>
      </c>
      <c r="S209" s="32" t="s">
        <v>987</v>
      </c>
      <c r="T209" s="32" t="s">
        <v>988</v>
      </c>
      <c r="U209" s="32" t="s">
        <v>884</v>
      </c>
      <c r="V209" s="32">
        <v>144.49</v>
      </c>
      <c r="W209" s="32">
        <v>144.49000253473201</v>
      </c>
      <c r="X209" s="32" t="s">
        <v>885</v>
      </c>
      <c r="Y209" s="31">
        <v>46224</v>
      </c>
      <c r="Z209" s="32" t="s">
        <v>193</v>
      </c>
      <c r="AA209" s="32" t="s">
        <v>193</v>
      </c>
      <c r="AB209" s="32"/>
      <c r="AC209" s="32" t="s">
        <v>193</v>
      </c>
      <c r="AD209" s="32" t="s">
        <v>193</v>
      </c>
      <c r="AE209" s="32">
        <v>0</v>
      </c>
      <c r="AF209" s="32">
        <v>0</v>
      </c>
      <c r="AG209" s="32">
        <v>0</v>
      </c>
      <c r="AH209" s="32">
        <v>0</v>
      </c>
      <c r="AI209" s="32">
        <v>0</v>
      </c>
      <c r="AJ209" s="32" t="s">
        <v>965</v>
      </c>
      <c r="AK209" s="32">
        <v>0</v>
      </c>
      <c r="AL209" s="32">
        <v>0</v>
      </c>
      <c r="AM209" s="32">
        <v>0</v>
      </c>
      <c r="AN209" s="32">
        <v>0</v>
      </c>
      <c r="AO209" s="32">
        <v>0</v>
      </c>
      <c r="AP209" s="32"/>
      <c r="AQ209" s="32">
        <v>0</v>
      </c>
      <c r="AR209" s="32">
        <v>0</v>
      </c>
      <c r="AS209" s="32">
        <v>285020.27</v>
      </c>
      <c r="AT209" s="32" t="s">
        <v>169</v>
      </c>
      <c r="AU209" s="32" t="s">
        <v>180</v>
      </c>
      <c r="AV209" s="32" t="s">
        <v>155</v>
      </c>
      <c r="AW209" s="32" t="s">
        <v>171</v>
      </c>
      <c r="AX209" s="32" t="s">
        <v>966</v>
      </c>
      <c r="AY209" s="32">
        <v>0</v>
      </c>
      <c r="AZ209" s="32">
        <v>165441.04999999999</v>
      </c>
      <c r="BA209" s="32">
        <v>357</v>
      </c>
      <c r="BB209" s="31">
        <v>46224</v>
      </c>
      <c r="BC209" s="32" t="s">
        <v>177</v>
      </c>
      <c r="BD209" s="32" t="s">
        <v>967</v>
      </c>
      <c r="BE209" s="32" t="s">
        <v>967</v>
      </c>
      <c r="BF209" s="32">
        <v>9</v>
      </c>
      <c r="BG209" s="32">
        <v>14889.69</v>
      </c>
      <c r="BH209" s="32">
        <v>9</v>
      </c>
      <c r="BI209" s="32">
        <v>14889.69</v>
      </c>
      <c r="BJ209" s="32">
        <v>0</v>
      </c>
      <c r="BK209" s="32">
        <v>0</v>
      </c>
      <c r="BL209" s="32">
        <v>0</v>
      </c>
      <c r="BM209" s="32">
        <v>642148860243</v>
      </c>
      <c r="BN209" s="31">
        <v>46224</v>
      </c>
      <c r="BO209" s="32">
        <v>1145</v>
      </c>
    </row>
    <row r="210" spans="1:67" x14ac:dyDescent="0.25">
      <c r="A210" s="21"/>
      <c r="B210" s="32" t="s">
        <v>167</v>
      </c>
      <c r="C210" s="31">
        <v>46224</v>
      </c>
      <c r="D210" s="32" t="s">
        <v>1201</v>
      </c>
      <c r="E210" s="32" t="s">
        <v>183</v>
      </c>
      <c r="F210" s="32" t="s">
        <v>184</v>
      </c>
      <c r="G210" s="32" t="s">
        <v>1202</v>
      </c>
      <c r="H210" s="32">
        <v>6000</v>
      </c>
      <c r="I210" s="32">
        <v>6000</v>
      </c>
      <c r="J210" s="32" t="s">
        <v>168</v>
      </c>
      <c r="K210" s="32">
        <v>6000</v>
      </c>
      <c r="L210" s="32">
        <v>0</v>
      </c>
      <c r="M210" s="32">
        <v>6000</v>
      </c>
      <c r="N210" s="32" t="s">
        <v>175</v>
      </c>
      <c r="O210" s="32" t="s">
        <v>654</v>
      </c>
      <c r="P210" s="32" t="s">
        <v>654</v>
      </c>
      <c r="Q210" s="32" t="s">
        <v>887</v>
      </c>
      <c r="R210" s="31">
        <v>46224</v>
      </c>
      <c r="S210" s="32" t="s">
        <v>987</v>
      </c>
      <c r="T210" s="32" t="s">
        <v>988</v>
      </c>
      <c r="U210" s="32" t="s">
        <v>886</v>
      </c>
      <c r="V210" s="32">
        <v>39</v>
      </c>
      <c r="W210" s="32">
        <v>39</v>
      </c>
      <c r="X210" s="32" t="s">
        <v>887</v>
      </c>
      <c r="Y210" s="31">
        <v>46224</v>
      </c>
      <c r="Z210" s="32" t="s">
        <v>193</v>
      </c>
      <c r="AA210" s="32" t="s">
        <v>193</v>
      </c>
      <c r="AB210" s="32"/>
      <c r="AC210" s="32" t="s">
        <v>193</v>
      </c>
      <c r="AD210" s="32" t="s">
        <v>193</v>
      </c>
      <c r="AE210" s="32">
        <v>0</v>
      </c>
      <c r="AF210" s="32">
        <v>0</v>
      </c>
      <c r="AG210" s="32">
        <v>0</v>
      </c>
      <c r="AH210" s="32">
        <v>0</v>
      </c>
      <c r="AI210" s="32">
        <v>0</v>
      </c>
      <c r="AJ210" s="32" t="s">
        <v>965</v>
      </c>
      <c r="AK210" s="32">
        <v>0</v>
      </c>
      <c r="AL210" s="32">
        <v>0</v>
      </c>
      <c r="AM210" s="32">
        <v>0</v>
      </c>
      <c r="AN210" s="32">
        <v>0</v>
      </c>
      <c r="AO210" s="32">
        <v>0</v>
      </c>
      <c r="AP210" s="32"/>
      <c r="AQ210" s="32">
        <v>0</v>
      </c>
      <c r="AR210" s="32">
        <v>0</v>
      </c>
      <c r="AS210" s="32">
        <v>276120</v>
      </c>
      <c r="AT210" s="32" t="s">
        <v>171</v>
      </c>
      <c r="AU210" s="32" t="s">
        <v>185</v>
      </c>
      <c r="AV210" s="32" t="s">
        <v>164</v>
      </c>
      <c r="AW210" s="32" t="s">
        <v>169</v>
      </c>
      <c r="AX210" s="32" t="s">
        <v>1125</v>
      </c>
      <c r="AY210" s="32">
        <v>0</v>
      </c>
      <c r="AZ210" s="32">
        <v>234000</v>
      </c>
      <c r="BA210" s="32">
        <v>359</v>
      </c>
      <c r="BB210" s="31">
        <v>46224</v>
      </c>
      <c r="BC210" s="32" t="s">
        <v>177</v>
      </c>
      <c r="BD210" s="32" t="s">
        <v>967</v>
      </c>
      <c r="BE210" s="32" t="s">
        <v>967</v>
      </c>
      <c r="BF210" s="32">
        <v>9</v>
      </c>
      <c r="BG210" s="32">
        <v>21060</v>
      </c>
      <c r="BH210" s="32">
        <v>9</v>
      </c>
      <c r="BI210" s="32">
        <v>21060</v>
      </c>
      <c r="BJ210" s="32">
        <v>0</v>
      </c>
      <c r="BK210" s="32">
        <v>0</v>
      </c>
      <c r="BL210" s="32">
        <v>276120</v>
      </c>
      <c r="BM210" s="32">
        <v>642149068482</v>
      </c>
      <c r="BN210" s="31">
        <v>46224</v>
      </c>
      <c r="BO210" s="32">
        <v>6000</v>
      </c>
    </row>
    <row r="211" spans="1:67" x14ac:dyDescent="0.25">
      <c r="A211" s="21"/>
      <c r="B211" s="32" t="s">
        <v>167</v>
      </c>
      <c r="C211" s="31">
        <v>46224</v>
      </c>
      <c r="D211" s="32" t="s">
        <v>1203</v>
      </c>
      <c r="E211" s="32" t="s">
        <v>196</v>
      </c>
      <c r="F211" s="32" t="s">
        <v>161</v>
      </c>
      <c r="G211" s="32" t="s">
        <v>1204</v>
      </c>
      <c r="H211" s="32">
        <v>91</v>
      </c>
      <c r="I211" s="32">
        <v>91</v>
      </c>
      <c r="J211" s="32" t="s">
        <v>168</v>
      </c>
      <c r="K211" s="32">
        <v>91</v>
      </c>
      <c r="L211" s="32">
        <v>0</v>
      </c>
      <c r="M211" s="32">
        <v>91</v>
      </c>
      <c r="N211" s="32" t="s">
        <v>175</v>
      </c>
      <c r="O211" s="32" t="s">
        <v>654</v>
      </c>
      <c r="P211" s="32" t="s">
        <v>654</v>
      </c>
      <c r="Q211" s="32" t="s">
        <v>889</v>
      </c>
      <c r="R211" s="31">
        <v>46224</v>
      </c>
      <c r="S211" s="32" t="s">
        <v>987</v>
      </c>
      <c r="T211" s="32" t="s">
        <v>988</v>
      </c>
      <c r="U211" s="32" t="s">
        <v>888</v>
      </c>
      <c r="V211" s="32">
        <v>137.49</v>
      </c>
      <c r="W211" s="32">
        <v>137.490000568418</v>
      </c>
      <c r="X211" s="32" t="s">
        <v>889</v>
      </c>
      <c r="Y211" s="31">
        <v>46224</v>
      </c>
      <c r="Z211" s="32" t="s">
        <v>193</v>
      </c>
      <c r="AA211" s="32" t="s">
        <v>193</v>
      </c>
      <c r="AB211" s="32"/>
      <c r="AC211" s="32" t="s">
        <v>193</v>
      </c>
      <c r="AD211" s="32" t="s">
        <v>193</v>
      </c>
      <c r="AE211" s="32">
        <v>0</v>
      </c>
      <c r="AF211" s="32">
        <v>0</v>
      </c>
      <c r="AG211" s="32">
        <v>0</v>
      </c>
      <c r="AH211" s="32">
        <v>0</v>
      </c>
      <c r="AI211" s="32">
        <v>0</v>
      </c>
      <c r="AJ211" s="32" t="s">
        <v>965</v>
      </c>
      <c r="AK211" s="32">
        <v>0</v>
      </c>
      <c r="AL211" s="32">
        <v>0</v>
      </c>
      <c r="AM211" s="32">
        <v>0</v>
      </c>
      <c r="AN211" s="32">
        <v>0</v>
      </c>
      <c r="AO211" s="32">
        <v>0</v>
      </c>
      <c r="AP211" s="32"/>
      <c r="AQ211" s="32">
        <v>0</v>
      </c>
      <c r="AR211" s="32">
        <v>0</v>
      </c>
      <c r="AS211" s="32">
        <v>1209410.05</v>
      </c>
      <c r="AT211" s="32" t="s">
        <v>169</v>
      </c>
      <c r="AU211" s="32" t="s">
        <v>197</v>
      </c>
      <c r="AV211" s="32" t="s">
        <v>161</v>
      </c>
      <c r="AW211" s="32" t="s">
        <v>171</v>
      </c>
      <c r="AX211" s="32" t="s">
        <v>966</v>
      </c>
      <c r="AY211" s="32">
        <v>0</v>
      </c>
      <c r="AZ211" s="32">
        <v>12511.59</v>
      </c>
      <c r="BA211" s="32">
        <v>358</v>
      </c>
      <c r="BB211" s="31">
        <v>46224</v>
      </c>
      <c r="BC211" s="32" t="s">
        <v>177</v>
      </c>
      <c r="BD211" s="32" t="s">
        <v>967</v>
      </c>
      <c r="BE211" s="32" t="s">
        <v>967</v>
      </c>
      <c r="BF211" s="32">
        <v>9</v>
      </c>
      <c r="BG211" s="32">
        <v>1126.04</v>
      </c>
      <c r="BH211" s="32">
        <v>9</v>
      </c>
      <c r="BI211" s="32">
        <v>1126.04</v>
      </c>
      <c r="BJ211" s="32">
        <v>0</v>
      </c>
      <c r="BK211" s="32">
        <v>0</v>
      </c>
      <c r="BL211" s="32">
        <v>1209410.05</v>
      </c>
      <c r="BM211" s="32">
        <v>692149226999</v>
      </c>
      <c r="BN211" s="31">
        <v>46224</v>
      </c>
      <c r="BO211" s="32">
        <v>91</v>
      </c>
    </row>
    <row r="212" spans="1:67" x14ac:dyDescent="0.25">
      <c r="A212" s="21"/>
      <c r="B212" s="32" t="s">
        <v>167</v>
      </c>
      <c r="C212" s="31">
        <v>46224</v>
      </c>
      <c r="D212" s="32" t="s">
        <v>1203</v>
      </c>
      <c r="E212" s="32" t="s">
        <v>186</v>
      </c>
      <c r="F212" s="32" t="s">
        <v>187</v>
      </c>
      <c r="G212" s="32" t="s">
        <v>1204</v>
      </c>
      <c r="H212" s="32">
        <v>5478</v>
      </c>
      <c r="I212" s="32">
        <v>5478</v>
      </c>
      <c r="J212" s="32" t="s">
        <v>168</v>
      </c>
      <c r="K212" s="32">
        <v>5478</v>
      </c>
      <c r="L212" s="32">
        <v>0</v>
      </c>
      <c r="M212" s="32">
        <v>5478</v>
      </c>
      <c r="N212" s="32" t="s">
        <v>175</v>
      </c>
      <c r="O212" s="32" t="s">
        <v>654</v>
      </c>
      <c r="P212" s="32" t="s">
        <v>654</v>
      </c>
      <c r="Q212" s="32" t="s">
        <v>889</v>
      </c>
      <c r="R212" s="31">
        <v>46224</v>
      </c>
      <c r="S212" s="32" t="s">
        <v>987</v>
      </c>
      <c r="T212" s="32" t="s">
        <v>988</v>
      </c>
      <c r="U212" s="32" t="s">
        <v>888</v>
      </c>
      <c r="V212" s="32">
        <v>149.49</v>
      </c>
      <c r="W212" s="32">
        <v>149.490000618029</v>
      </c>
      <c r="X212" s="32" t="s">
        <v>889</v>
      </c>
      <c r="Y212" s="31">
        <v>46224</v>
      </c>
      <c r="Z212" s="32" t="s">
        <v>193</v>
      </c>
      <c r="AA212" s="32" t="s">
        <v>193</v>
      </c>
      <c r="AB212" s="32"/>
      <c r="AC212" s="32" t="s">
        <v>193</v>
      </c>
      <c r="AD212" s="32" t="s">
        <v>193</v>
      </c>
      <c r="AE212" s="32">
        <v>0</v>
      </c>
      <c r="AF212" s="32">
        <v>0</v>
      </c>
      <c r="AG212" s="32">
        <v>0</v>
      </c>
      <c r="AH212" s="32">
        <v>0</v>
      </c>
      <c r="AI212" s="32">
        <v>0</v>
      </c>
      <c r="AJ212" s="32" t="s">
        <v>965</v>
      </c>
      <c r="AK212" s="32">
        <v>0</v>
      </c>
      <c r="AL212" s="32">
        <v>0</v>
      </c>
      <c r="AM212" s="32">
        <v>0</v>
      </c>
      <c r="AN212" s="32">
        <v>0</v>
      </c>
      <c r="AO212" s="32">
        <v>0</v>
      </c>
      <c r="AP212" s="32"/>
      <c r="AQ212" s="32">
        <v>0</v>
      </c>
      <c r="AR212" s="32">
        <v>0</v>
      </c>
      <c r="AS212" s="32">
        <v>1209410.05</v>
      </c>
      <c r="AT212" s="32" t="s">
        <v>169</v>
      </c>
      <c r="AU212" s="32" t="s">
        <v>180</v>
      </c>
      <c r="AV212" s="32" t="s">
        <v>155</v>
      </c>
      <c r="AW212" s="32" t="s">
        <v>171</v>
      </c>
      <c r="AX212" s="32" t="s">
        <v>966</v>
      </c>
      <c r="AY212" s="32">
        <v>0</v>
      </c>
      <c r="AZ212" s="32">
        <v>818906.22</v>
      </c>
      <c r="BA212" s="32">
        <v>358</v>
      </c>
      <c r="BB212" s="31">
        <v>46224</v>
      </c>
      <c r="BC212" s="32" t="s">
        <v>177</v>
      </c>
      <c r="BD212" s="32" t="s">
        <v>967</v>
      </c>
      <c r="BE212" s="32" t="s">
        <v>967</v>
      </c>
      <c r="BF212" s="32">
        <v>9</v>
      </c>
      <c r="BG212" s="32">
        <v>73701.56</v>
      </c>
      <c r="BH212" s="32">
        <v>9</v>
      </c>
      <c r="BI212" s="32">
        <v>73701.56</v>
      </c>
      <c r="BJ212" s="32">
        <v>0</v>
      </c>
      <c r="BK212" s="32">
        <v>0</v>
      </c>
      <c r="BL212" s="32">
        <v>0</v>
      </c>
      <c r="BM212" s="32">
        <v>692149226999</v>
      </c>
      <c r="BN212" s="31">
        <v>46224</v>
      </c>
      <c r="BO212" s="32">
        <v>5478</v>
      </c>
    </row>
    <row r="213" spans="1:67" x14ac:dyDescent="0.25">
      <c r="A213" s="21"/>
      <c r="B213" s="32" t="s">
        <v>167</v>
      </c>
      <c r="C213" s="31">
        <v>46224</v>
      </c>
      <c r="D213" s="32" t="s">
        <v>1203</v>
      </c>
      <c r="E213" s="32" t="s">
        <v>181</v>
      </c>
      <c r="F213" s="32" t="s">
        <v>182</v>
      </c>
      <c r="G213" s="32" t="s">
        <v>1204</v>
      </c>
      <c r="H213" s="32">
        <v>559.1</v>
      </c>
      <c r="I213" s="32">
        <v>559.1</v>
      </c>
      <c r="J213" s="32" t="s">
        <v>168</v>
      </c>
      <c r="K213" s="32">
        <v>559.1</v>
      </c>
      <c r="L213" s="32">
        <v>0</v>
      </c>
      <c r="M213" s="32">
        <v>559.1</v>
      </c>
      <c r="N213" s="32" t="s">
        <v>175</v>
      </c>
      <c r="O213" s="32" t="s">
        <v>654</v>
      </c>
      <c r="P213" s="32" t="s">
        <v>654</v>
      </c>
      <c r="Q213" s="32" t="s">
        <v>889</v>
      </c>
      <c r="R213" s="31">
        <v>46224</v>
      </c>
      <c r="S213" s="32" t="s">
        <v>987</v>
      </c>
      <c r="T213" s="32" t="s">
        <v>988</v>
      </c>
      <c r="U213" s="32" t="s">
        <v>888</v>
      </c>
      <c r="V213" s="32">
        <v>149.49</v>
      </c>
      <c r="W213" s="32">
        <v>149.490000618029</v>
      </c>
      <c r="X213" s="32" t="s">
        <v>889</v>
      </c>
      <c r="Y213" s="31">
        <v>46224</v>
      </c>
      <c r="Z213" s="32" t="s">
        <v>193</v>
      </c>
      <c r="AA213" s="32" t="s">
        <v>193</v>
      </c>
      <c r="AB213" s="32"/>
      <c r="AC213" s="32" t="s">
        <v>193</v>
      </c>
      <c r="AD213" s="32" t="s">
        <v>193</v>
      </c>
      <c r="AE213" s="32">
        <v>0</v>
      </c>
      <c r="AF213" s="32">
        <v>0</v>
      </c>
      <c r="AG213" s="32">
        <v>0</v>
      </c>
      <c r="AH213" s="32">
        <v>0</v>
      </c>
      <c r="AI213" s="32">
        <v>0</v>
      </c>
      <c r="AJ213" s="32" t="s">
        <v>965</v>
      </c>
      <c r="AK213" s="32">
        <v>0</v>
      </c>
      <c r="AL213" s="32">
        <v>0</v>
      </c>
      <c r="AM213" s="32">
        <v>0</v>
      </c>
      <c r="AN213" s="32">
        <v>0</v>
      </c>
      <c r="AO213" s="32">
        <v>0</v>
      </c>
      <c r="AP213" s="32"/>
      <c r="AQ213" s="32">
        <v>0</v>
      </c>
      <c r="AR213" s="32">
        <v>0</v>
      </c>
      <c r="AS213" s="32">
        <v>1209410.05</v>
      </c>
      <c r="AT213" s="32" t="s">
        <v>169</v>
      </c>
      <c r="AU213" s="32" t="s">
        <v>182</v>
      </c>
      <c r="AV213" s="32" t="s">
        <v>154</v>
      </c>
      <c r="AW213" s="32" t="s">
        <v>171</v>
      </c>
      <c r="AX213" s="32" t="s">
        <v>966</v>
      </c>
      <c r="AY213" s="32">
        <v>0</v>
      </c>
      <c r="AZ213" s="32">
        <v>83579.86</v>
      </c>
      <c r="BA213" s="32">
        <v>358</v>
      </c>
      <c r="BB213" s="31">
        <v>46224</v>
      </c>
      <c r="BC213" s="32" t="s">
        <v>177</v>
      </c>
      <c r="BD213" s="32" t="s">
        <v>967</v>
      </c>
      <c r="BE213" s="32" t="s">
        <v>967</v>
      </c>
      <c r="BF213" s="32">
        <v>9</v>
      </c>
      <c r="BG213" s="32">
        <v>7522.19</v>
      </c>
      <c r="BH213" s="32">
        <v>9</v>
      </c>
      <c r="BI213" s="32">
        <v>7522.19</v>
      </c>
      <c r="BJ213" s="32">
        <v>0</v>
      </c>
      <c r="BK213" s="32">
        <v>0</v>
      </c>
      <c r="BL213" s="32">
        <v>0</v>
      </c>
      <c r="BM213" s="32">
        <v>692149226999</v>
      </c>
      <c r="BN213" s="31">
        <v>46224</v>
      </c>
      <c r="BO213" s="32">
        <v>559.1</v>
      </c>
    </row>
    <row r="214" spans="1:67" x14ac:dyDescent="0.25">
      <c r="A214" s="21"/>
      <c r="B214" s="32" t="s">
        <v>167</v>
      </c>
      <c r="C214" s="31">
        <v>46224</v>
      </c>
      <c r="D214" s="32" t="s">
        <v>1203</v>
      </c>
      <c r="E214" s="32" t="s">
        <v>181</v>
      </c>
      <c r="F214" s="32" t="s">
        <v>182</v>
      </c>
      <c r="G214" s="32" t="s">
        <v>1204</v>
      </c>
      <c r="H214" s="32">
        <v>750.4</v>
      </c>
      <c r="I214" s="32">
        <v>750.4</v>
      </c>
      <c r="J214" s="32" t="s">
        <v>168</v>
      </c>
      <c r="K214" s="32">
        <v>750.4</v>
      </c>
      <c r="L214" s="32">
        <v>0</v>
      </c>
      <c r="M214" s="32">
        <v>750.4</v>
      </c>
      <c r="N214" s="32" t="s">
        <v>175</v>
      </c>
      <c r="O214" s="32" t="s">
        <v>654</v>
      </c>
      <c r="P214" s="32" t="s">
        <v>654</v>
      </c>
      <c r="Q214" s="32" t="s">
        <v>889</v>
      </c>
      <c r="R214" s="31">
        <v>46224</v>
      </c>
      <c r="S214" s="32" t="s">
        <v>987</v>
      </c>
      <c r="T214" s="32" t="s">
        <v>988</v>
      </c>
      <c r="U214" s="32" t="s">
        <v>888</v>
      </c>
      <c r="V214" s="32">
        <v>146.49</v>
      </c>
      <c r="W214" s="32">
        <v>146.49000060562599</v>
      </c>
      <c r="X214" s="32" t="s">
        <v>889</v>
      </c>
      <c r="Y214" s="31">
        <v>46224</v>
      </c>
      <c r="Z214" s="32" t="s">
        <v>193</v>
      </c>
      <c r="AA214" s="32" t="s">
        <v>193</v>
      </c>
      <c r="AB214" s="32"/>
      <c r="AC214" s="32" t="s">
        <v>193</v>
      </c>
      <c r="AD214" s="32" t="s">
        <v>193</v>
      </c>
      <c r="AE214" s="32">
        <v>0</v>
      </c>
      <c r="AF214" s="32">
        <v>0</v>
      </c>
      <c r="AG214" s="32">
        <v>0</v>
      </c>
      <c r="AH214" s="32">
        <v>0</v>
      </c>
      <c r="AI214" s="32">
        <v>0</v>
      </c>
      <c r="AJ214" s="32" t="s">
        <v>965</v>
      </c>
      <c r="AK214" s="32">
        <v>0</v>
      </c>
      <c r="AL214" s="32">
        <v>0</v>
      </c>
      <c r="AM214" s="32">
        <v>0</v>
      </c>
      <c r="AN214" s="32">
        <v>0</v>
      </c>
      <c r="AO214" s="32">
        <v>0</v>
      </c>
      <c r="AP214" s="32"/>
      <c r="AQ214" s="32">
        <v>0</v>
      </c>
      <c r="AR214" s="32">
        <v>0</v>
      </c>
      <c r="AS214" s="32">
        <v>1209410.05</v>
      </c>
      <c r="AT214" s="32" t="s">
        <v>169</v>
      </c>
      <c r="AU214" s="32" t="s">
        <v>182</v>
      </c>
      <c r="AV214" s="32" t="s">
        <v>154</v>
      </c>
      <c r="AW214" s="32" t="s">
        <v>171</v>
      </c>
      <c r="AX214" s="32" t="s">
        <v>966</v>
      </c>
      <c r="AY214" s="32">
        <v>0</v>
      </c>
      <c r="AZ214" s="32">
        <v>109926.1</v>
      </c>
      <c r="BA214" s="32">
        <v>358</v>
      </c>
      <c r="BB214" s="31">
        <v>46224</v>
      </c>
      <c r="BC214" s="32" t="s">
        <v>177</v>
      </c>
      <c r="BD214" s="32" t="s">
        <v>967</v>
      </c>
      <c r="BE214" s="32" t="s">
        <v>967</v>
      </c>
      <c r="BF214" s="32">
        <v>9</v>
      </c>
      <c r="BG214" s="32">
        <v>9893.35</v>
      </c>
      <c r="BH214" s="32">
        <v>9</v>
      </c>
      <c r="BI214" s="32">
        <v>9893.35</v>
      </c>
      <c r="BJ214" s="32">
        <v>0</v>
      </c>
      <c r="BK214" s="32">
        <v>0</v>
      </c>
      <c r="BL214" s="32">
        <v>0</v>
      </c>
      <c r="BM214" s="32">
        <v>692149226999</v>
      </c>
      <c r="BN214" s="31">
        <v>46224</v>
      </c>
      <c r="BO214" s="32">
        <v>750.4</v>
      </c>
    </row>
    <row r="215" spans="1:67" x14ac:dyDescent="0.25">
      <c r="A215" s="21"/>
      <c r="B215" s="32" t="s">
        <v>167</v>
      </c>
      <c r="C215" s="31">
        <v>46225</v>
      </c>
      <c r="D215" s="32" t="s">
        <v>1205</v>
      </c>
      <c r="E215" s="32" t="s">
        <v>181</v>
      </c>
      <c r="F215" s="32" t="s">
        <v>182</v>
      </c>
      <c r="G215" s="32" t="s">
        <v>1206</v>
      </c>
      <c r="H215" s="32">
        <v>1253.5999999999999</v>
      </c>
      <c r="I215" s="32">
        <v>1253.5999999999999</v>
      </c>
      <c r="J215" s="32" t="s">
        <v>168</v>
      </c>
      <c r="K215" s="32">
        <v>1253.5999999999999</v>
      </c>
      <c r="L215" s="32">
        <v>0</v>
      </c>
      <c r="M215" s="32">
        <v>1253.5999999999999</v>
      </c>
      <c r="N215" s="32" t="s">
        <v>175</v>
      </c>
      <c r="O215" s="32" t="s">
        <v>654</v>
      </c>
      <c r="P215" s="32" t="s">
        <v>654</v>
      </c>
      <c r="Q215" s="32" t="s">
        <v>893</v>
      </c>
      <c r="R215" s="31">
        <v>46225</v>
      </c>
      <c r="S215" s="32" t="s">
        <v>987</v>
      </c>
      <c r="T215" s="32" t="s">
        <v>988</v>
      </c>
      <c r="U215" s="32" t="s">
        <v>892</v>
      </c>
      <c r="V215" s="32">
        <v>149.49</v>
      </c>
      <c r="W215" s="32">
        <v>149.489999777425</v>
      </c>
      <c r="X215" s="32" t="s">
        <v>893</v>
      </c>
      <c r="Y215" s="31">
        <v>46225</v>
      </c>
      <c r="Z215" s="32"/>
      <c r="AA215" s="32">
        <v>0</v>
      </c>
      <c r="AB215" s="32"/>
      <c r="AC215" s="32">
        <v>0</v>
      </c>
      <c r="AD215" s="32">
        <v>0</v>
      </c>
      <c r="AE215" s="32">
        <v>0</v>
      </c>
      <c r="AF215" s="32">
        <v>0</v>
      </c>
      <c r="AG215" s="32">
        <v>0</v>
      </c>
      <c r="AH215" s="32">
        <v>0</v>
      </c>
      <c r="AI215" s="32">
        <v>0</v>
      </c>
      <c r="AJ215" s="32" t="s">
        <v>965</v>
      </c>
      <c r="AK215" s="32">
        <v>0</v>
      </c>
      <c r="AL215" s="32">
        <v>0</v>
      </c>
      <c r="AM215" s="32">
        <v>0</v>
      </c>
      <c r="AN215" s="32">
        <v>0</v>
      </c>
      <c r="AO215" s="32">
        <v>0</v>
      </c>
      <c r="AP215" s="32"/>
      <c r="AQ215" s="32">
        <v>0</v>
      </c>
      <c r="AR215" s="32">
        <v>0</v>
      </c>
      <c r="AS215" s="32">
        <v>671638.7</v>
      </c>
      <c r="AT215" s="32" t="s">
        <v>169</v>
      </c>
      <c r="AU215" s="32" t="s">
        <v>182</v>
      </c>
      <c r="AV215" s="32" t="s">
        <v>154</v>
      </c>
      <c r="AW215" s="32" t="s">
        <v>171</v>
      </c>
      <c r="AX215" s="32" t="s">
        <v>966</v>
      </c>
      <c r="AY215" s="32">
        <v>0</v>
      </c>
      <c r="AZ215" s="32">
        <v>187400.66</v>
      </c>
      <c r="BA215" s="32">
        <v>360</v>
      </c>
      <c r="BB215" s="31">
        <v>46225</v>
      </c>
      <c r="BC215" s="32" t="s">
        <v>177</v>
      </c>
      <c r="BD215" s="32" t="s">
        <v>967</v>
      </c>
      <c r="BE215" s="32" t="s">
        <v>967</v>
      </c>
      <c r="BF215" s="32">
        <v>9</v>
      </c>
      <c r="BG215" s="32">
        <v>16866.060000000001</v>
      </c>
      <c r="BH215" s="32">
        <v>9</v>
      </c>
      <c r="BI215" s="32">
        <v>16866.060000000001</v>
      </c>
      <c r="BJ215" s="32">
        <v>0</v>
      </c>
      <c r="BK215" s="32">
        <v>0</v>
      </c>
      <c r="BL215" s="32">
        <v>671638.7</v>
      </c>
      <c r="BM215" s="32">
        <v>692149766002</v>
      </c>
      <c r="BN215" s="31">
        <v>46225</v>
      </c>
      <c r="BO215" s="32">
        <v>1253.5999999999999</v>
      </c>
    </row>
    <row r="216" spans="1:67" x14ac:dyDescent="0.25">
      <c r="A216" s="21"/>
      <c r="B216" s="32" t="s">
        <v>167</v>
      </c>
      <c r="C216" s="31">
        <v>46225</v>
      </c>
      <c r="D216" s="32" t="s">
        <v>1205</v>
      </c>
      <c r="E216" s="32" t="s">
        <v>181</v>
      </c>
      <c r="F216" s="32" t="s">
        <v>182</v>
      </c>
      <c r="G216" s="32" t="s">
        <v>1206</v>
      </c>
      <c r="H216" s="32">
        <v>1165.3</v>
      </c>
      <c r="I216" s="32">
        <v>1165.3</v>
      </c>
      <c r="J216" s="32" t="s">
        <v>168</v>
      </c>
      <c r="K216" s="32">
        <v>1165.3</v>
      </c>
      <c r="L216" s="32">
        <v>0</v>
      </c>
      <c r="M216" s="32">
        <v>1165.3</v>
      </c>
      <c r="N216" s="32" t="s">
        <v>175</v>
      </c>
      <c r="O216" s="32" t="s">
        <v>654</v>
      </c>
      <c r="P216" s="32" t="s">
        <v>654</v>
      </c>
      <c r="Q216" s="32" t="s">
        <v>893</v>
      </c>
      <c r="R216" s="31">
        <v>46225</v>
      </c>
      <c r="S216" s="32" t="s">
        <v>987</v>
      </c>
      <c r="T216" s="32" t="s">
        <v>988</v>
      </c>
      <c r="U216" s="32" t="s">
        <v>892</v>
      </c>
      <c r="V216" s="32">
        <v>146.49</v>
      </c>
      <c r="W216" s="32">
        <v>146.48999978189201</v>
      </c>
      <c r="X216" s="32" t="s">
        <v>893</v>
      </c>
      <c r="Y216" s="31">
        <v>46225</v>
      </c>
      <c r="Z216" s="32"/>
      <c r="AA216" s="32">
        <v>0</v>
      </c>
      <c r="AB216" s="32"/>
      <c r="AC216" s="32">
        <v>0</v>
      </c>
      <c r="AD216" s="32">
        <v>0</v>
      </c>
      <c r="AE216" s="32">
        <v>0</v>
      </c>
      <c r="AF216" s="32">
        <v>0</v>
      </c>
      <c r="AG216" s="32">
        <v>0</v>
      </c>
      <c r="AH216" s="32">
        <v>0</v>
      </c>
      <c r="AI216" s="32">
        <v>0</v>
      </c>
      <c r="AJ216" s="32" t="s">
        <v>965</v>
      </c>
      <c r="AK216" s="32">
        <v>0</v>
      </c>
      <c r="AL216" s="32">
        <v>0</v>
      </c>
      <c r="AM216" s="32">
        <v>0</v>
      </c>
      <c r="AN216" s="32">
        <v>0</v>
      </c>
      <c r="AO216" s="32">
        <v>0</v>
      </c>
      <c r="AP216" s="32"/>
      <c r="AQ216" s="32">
        <v>0</v>
      </c>
      <c r="AR216" s="32">
        <v>0</v>
      </c>
      <c r="AS216" s="32">
        <v>671638.7</v>
      </c>
      <c r="AT216" s="32" t="s">
        <v>169</v>
      </c>
      <c r="AU216" s="32" t="s">
        <v>182</v>
      </c>
      <c r="AV216" s="32" t="s">
        <v>154</v>
      </c>
      <c r="AW216" s="32" t="s">
        <v>171</v>
      </c>
      <c r="AX216" s="32" t="s">
        <v>966</v>
      </c>
      <c r="AY216" s="32">
        <v>0</v>
      </c>
      <c r="AZ216" s="32">
        <v>170704.8</v>
      </c>
      <c r="BA216" s="32">
        <v>360</v>
      </c>
      <c r="BB216" s="31">
        <v>46225</v>
      </c>
      <c r="BC216" s="32" t="s">
        <v>177</v>
      </c>
      <c r="BD216" s="32" t="s">
        <v>967</v>
      </c>
      <c r="BE216" s="32" t="s">
        <v>967</v>
      </c>
      <c r="BF216" s="32">
        <v>9</v>
      </c>
      <c r="BG216" s="32">
        <v>15363.43</v>
      </c>
      <c r="BH216" s="32">
        <v>9</v>
      </c>
      <c r="BI216" s="32">
        <v>15363.43</v>
      </c>
      <c r="BJ216" s="32">
        <v>0</v>
      </c>
      <c r="BK216" s="32">
        <v>0</v>
      </c>
      <c r="BL216" s="32">
        <v>0</v>
      </c>
      <c r="BM216" s="32">
        <v>692149766002</v>
      </c>
      <c r="BN216" s="31">
        <v>46225</v>
      </c>
      <c r="BO216" s="32">
        <v>1165.3</v>
      </c>
    </row>
    <row r="217" spans="1:67" x14ac:dyDescent="0.25">
      <c r="A217" s="21"/>
      <c r="B217" s="32" t="s">
        <v>167</v>
      </c>
      <c r="C217" s="31">
        <v>46225</v>
      </c>
      <c r="D217" s="32" t="s">
        <v>1205</v>
      </c>
      <c r="E217" s="32" t="s">
        <v>186</v>
      </c>
      <c r="F217" s="32" t="s">
        <v>187</v>
      </c>
      <c r="G217" s="32" t="s">
        <v>1206</v>
      </c>
      <c r="H217" s="32">
        <v>1412</v>
      </c>
      <c r="I217" s="32">
        <v>1412</v>
      </c>
      <c r="J217" s="32" t="s">
        <v>168</v>
      </c>
      <c r="K217" s="32">
        <v>1412</v>
      </c>
      <c r="L217" s="32">
        <v>0</v>
      </c>
      <c r="M217" s="32">
        <v>1412</v>
      </c>
      <c r="N217" s="32" t="s">
        <v>175</v>
      </c>
      <c r="O217" s="32" t="s">
        <v>654</v>
      </c>
      <c r="P217" s="32" t="s">
        <v>654</v>
      </c>
      <c r="Q217" s="32" t="s">
        <v>893</v>
      </c>
      <c r="R217" s="31">
        <v>46225</v>
      </c>
      <c r="S217" s="32" t="s">
        <v>987</v>
      </c>
      <c r="T217" s="32" t="s">
        <v>988</v>
      </c>
      <c r="U217" s="32" t="s">
        <v>892</v>
      </c>
      <c r="V217" s="32">
        <v>149.49</v>
      </c>
      <c r="W217" s="32">
        <v>149.489999777425</v>
      </c>
      <c r="X217" s="32" t="s">
        <v>893</v>
      </c>
      <c r="Y217" s="31">
        <v>46225</v>
      </c>
      <c r="Z217" s="32"/>
      <c r="AA217" s="32">
        <v>0</v>
      </c>
      <c r="AB217" s="32"/>
      <c r="AC217" s="32">
        <v>0</v>
      </c>
      <c r="AD217" s="32">
        <v>0</v>
      </c>
      <c r="AE217" s="32">
        <v>0</v>
      </c>
      <c r="AF217" s="32">
        <v>0</v>
      </c>
      <c r="AG217" s="32">
        <v>0</v>
      </c>
      <c r="AH217" s="32">
        <v>0</v>
      </c>
      <c r="AI217" s="32">
        <v>0</v>
      </c>
      <c r="AJ217" s="32" t="s">
        <v>965</v>
      </c>
      <c r="AK217" s="32">
        <v>0</v>
      </c>
      <c r="AL217" s="32">
        <v>0</v>
      </c>
      <c r="AM217" s="32">
        <v>0</v>
      </c>
      <c r="AN217" s="32">
        <v>0</v>
      </c>
      <c r="AO217" s="32">
        <v>0</v>
      </c>
      <c r="AP217" s="32"/>
      <c r="AQ217" s="32">
        <v>0</v>
      </c>
      <c r="AR217" s="32">
        <v>0</v>
      </c>
      <c r="AS217" s="32">
        <v>671638.7</v>
      </c>
      <c r="AT217" s="32" t="s">
        <v>169</v>
      </c>
      <c r="AU217" s="32" t="s">
        <v>180</v>
      </c>
      <c r="AV217" s="32" t="s">
        <v>155</v>
      </c>
      <c r="AW217" s="32" t="s">
        <v>171</v>
      </c>
      <c r="AX217" s="32" t="s">
        <v>966</v>
      </c>
      <c r="AY217" s="32">
        <v>0</v>
      </c>
      <c r="AZ217" s="32">
        <v>211079.88</v>
      </c>
      <c r="BA217" s="32">
        <v>360</v>
      </c>
      <c r="BB217" s="31">
        <v>46225</v>
      </c>
      <c r="BC217" s="32" t="s">
        <v>177</v>
      </c>
      <c r="BD217" s="32" t="s">
        <v>967</v>
      </c>
      <c r="BE217" s="32" t="s">
        <v>967</v>
      </c>
      <c r="BF217" s="32">
        <v>9</v>
      </c>
      <c r="BG217" s="32">
        <v>18997.189999999999</v>
      </c>
      <c r="BH217" s="32">
        <v>9</v>
      </c>
      <c r="BI217" s="32">
        <v>18997.189999999999</v>
      </c>
      <c r="BJ217" s="32">
        <v>0</v>
      </c>
      <c r="BK217" s="32">
        <v>0</v>
      </c>
      <c r="BL217" s="32">
        <v>0</v>
      </c>
      <c r="BM217" s="32">
        <v>692149766002</v>
      </c>
      <c r="BN217" s="31">
        <v>46225</v>
      </c>
      <c r="BO217" s="32">
        <v>1412</v>
      </c>
    </row>
    <row r="218" spans="1:67" x14ac:dyDescent="0.25">
      <c r="A218" s="21"/>
      <c r="B218" s="32" t="s">
        <v>167</v>
      </c>
      <c r="C218" s="31">
        <v>46225</v>
      </c>
      <c r="D218" s="32" t="s">
        <v>1207</v>
      </c>
      <c r="E218" s="32" t="s">
        <v>1047</v>
      </c>
      <c r="F218" s="32" t="s">
        <v>735</v>
      </c>
      <c r="G218" s="32" t="s">
        <v>1208</v>
      </c>
      <c r="H218" s="32">
        <v>100</v>
      </c>
      <c r="I218" s="32">
        <v>100</v>
      </c>
      <c r="J218" s="32" t="s">
        <v>168</v>
      </c>
      <c r="K218" s="32">
        <v>100</v>
      </c>
      <c r="L218" s="32">
        <v>0</v>
      </c>
      <c r="M218" s="32">
        <v>100</v>
      </c>
      <c r="N218" s="32" t="s">
        <v>960</v>
      </c>
      <c r="O218" s="32" t="s">
        <v>654</v>
      </c>
      <c r="P218" s="32" t="s">
        <v>654</v>
      </c>
      <c r="Q218" s="32" t="s">
        <v>895</v>
      </c>
      <c r="R218" s="31">
        <v>46225</v>
      </c>
      <c r="S218" s="32" t="s">
        <v>987</v>
      </c>
      <c r="T218" s="32" t="s">
        <v>988</v>
      </c>
      <c r="U218" s="32" t="s">
        <v>894</v>
      </c>
      <c r="V218" s="32">
        <v>155</v>
      </c>
      <c r="W218" s="32">
        <v>155</v>
      </c>
      <c r="X218" s="32" t="s">
        <v>895</v>
      </c>
      <c r="Y218" s="31">
        <v>46225</v>
      </c>
      <c r="Z218" s="32"/>
      <c r="AA218" s="32">
        <v>0</v>
      </c>
      <c r="AB218" s="32"/>
      <c r="AC218" s="32">
        <v>0</v>
      </c>
      <c r="AD218" s="32">
        <v>0</v>
      </c>
      <c r="AE218" s="32">
        <v>0</v>
      </c>
      <c r="AF218" s="32">
        <v>0</v>
      </c>
      <c r="AG218" s="32">
        <v>0</v>
      </c>
      <c r="AH218" s="32">
        <v>0</v>
      </c>
      <c r="AI218" s="32">
        <v>0</v>
      </c>
      <c r="AJ218" s="32" t="s">
        <v>965</v>
      </c>
      <c r="AK218" s="32">
        <v>0</v>
      </c>
      <c r="AL218" s="32">
        <v>0</v>
      </c>
      <c r="AM218" s="32">
        <v>0</v>
      </c>
      <c r="AN218" s="32">
        <v>0</v>
      </c>
      <c r="AO218" s="32">
        <v>0</v>
      </c>
      <c r="AP218" s="32"/>
      <c r="AQ218" s="32">
        <v>0</v>
      </c>
      <c r="AR218" s="32">
        <v>0</v>
      </c>
      <c r="AS218" s="32">
        <v>18290</v>
      </c>
      <c r="AT218" s="32" t="s">
        <v>171</v>
      </c>
      <c r="AU218" s="32" t="s">
        <v>185</v>
      </c>
      <c r="AV218" s="32" t="s">
        <v>733</v>
      </c>
      <c r="AW218" s="32" t="s">
        <v>171</v>
      </c>
      <c r="AX218" s="32"/>
      <c r="AY218" s="32">
        <v>0</v>
      </c>
      <c r="AZ218" s="32">
        <v>15500</v>
      </c>
      <c r="BA218" s="32">
        <v>361</v>
      </c>
      <c r="BB218" s="31">
        <v>46225</v>
      </c>
      <c r="BC218" s="32" t="s">
        <v>177</v>
      </c>
      <c r="BD218" s="32" t="s">
        <v>967</v>
      </c>
      <c r="BE218" s="32" t="s">
        <v>967</v>
      </c>
      <c r="BF218" s="32">
        <v>9</v>
      </c>
      <c r="BG218" s="32">
        <v>1395</v>
      </c>
      <c r="BH218" s="32">
        <v>9</v>
      </c>
      <c r="BI218" s="32">
        <v>1395</v>
      </c>
      <c r="BJ218" s="32">
        <v>0</v>
      </c>
      <c r="BK218" s="32">
        <v>0</v>
      </c>
      <c r="BL218" s="32">
        <v>18290</v>
      </c>
      <c r="BM218" s="32">
        <v>622149812755</v>
      </c>
      <c r="BN218" s="31">
        <v>46225</v>
      </c>
      <c r="BO218" s="32">
        <v>100</v>
      </c>
    </row>
    <row r="219" spans="1:67" x14ac:dyDescent="0.25">
      <c r="A219" s="21"/>
      <c r="B219" s="32" t="s">
        <v>167</v>
      </c>
      <c r="C219" s="31">
        <v>46226</v>
      </c>
      <c r="D219" s="32" t="s">
        <v>1209</v>
      </c>
      <c r="E219" s="32" t="s">
        <v>186</v>
      </c>
      <c r="F219" s="32" t="s">
        <v>187</v>
      </c>
      <c r="G219" s="32" t="s">
        <v>1210</v>
      </c>
      <c r="H219" s="32">
        <v>1026</v>
      </c>
      <c r="I219" s="32">
        <v>1026</v>
      </c>
      <c r="J219" s="32" t="s">
        <v>168</v>
      </c>
      <c r="K219" s="32">
        <v>1026</v>
      </c>
      <c r="L219" s="32">
        <v>0</v>
      </c>
      <c r="M219" s="32">
        <v>1026</v>
      </c>
      <c r="N219" s="32" t="s">
        <v>198</v>
      </c>
      <c r="O219" s="32" t="s">
        <v>654</v>
      </c>
      <c r="P219" s="32" t="s">
        <v>654</v>
      </c>
      <c r="Q219" s="32" t="s">
        <v>901</v>
      </c>
      <c r="R219" s="31">
        <v>46225</v>
      </c>
      <c r="S219" s="32" t="s">
        <v>987</v>
      </c>
      <c r="T219" s="32" t="s">
        <v>988</v>
      </c>
      <c r="U219" s="32" t="s">
        <v>900</v>
      </c>
      <c r="V219" s="32">
        <v>144.49</v>
      </c>
      <c r="W219" s="32">
        <v>144.49</v>
      </c>
      <c r="X219" s="32" t="s">
        <v>901</v>
      </c>
      <c r="Y219" s="31">
        <v>46225</v>
      </c>
      <c r="Z219" s="32" t="s">
        <v>193</v>
      </c>
      <c r="AA219" s="32" t="s">
        <v>193</v>
      </c>
      <c r="AB219" s="32"/>
      <c r="AC219" s="32" t="s">
        <v>193</v>
      </c>
      <c r="AD219" s="32" t="s">
        <v>193</v>
      </c>
      <c r="AE219" s="32">
        <v>0</v>
      </c>
      <c r="AF219" s="32">
        <v>0</v>
      </c>
      <c r="AG219" s="32">
        <v>0</v>
      </c>
      <c r="AH219" s="32">
        <v>0</v>
      </c>
      <c r="AI219" s="32">
        <v>0</v>
      </c>
      <c r="AJ219" s="32" t="s">
        <v>965</v>
      </c>
      <c r="AK219" s="32">
        <v>0</v>
      </c>
      <c r="AL219" s="32">
        <v>0</v>
      </c>
      <c r="AM219" s="32">
        <v>0</v>
      </c>
      <c r="AN219" s="32">
        <v>0</v>
      </c>
      <c r="AO219" s="32">
        <v>0</v>
      </c>
      <c r="AP219" s="32"/>
      <c r="AQ219" s="32">
        <v>0</v>
      </c>
      <c r="AR219" s="32">
        <v>0</v>
      </c>
      <c r="AS219" s="32">
        <v>260323.12</v>
      </c>
      <c r="AT219" s="32" t="s">
        <v>169</v>
      </c>
      <c r="AU219" s="32" t="s">
        <v>180</v>
      </c>
      <c r="AV219" s="32" t="s">
        <v>155</v>
      </c>
      <c r="AW219" s="32" t="s">
        <v>171</v>
      </c>
      <c r="AX219" s="32" t="s">
        <v>966</v>
      </c>
      <c r="AY219" s="32">
        <v>0</v>
      </c>
      <c r="AZ219" s="32">
        <v>148246.74</v>
      </c>
      <c r="BA219" s="32">
        <v>362</v>
      </c>
      <c r="BB219" s="31">
        <v>46226</v>
      </c>
      <c r="BC219" s="32" t="s">
        <v>177</v>
      </c>
      <c r="BD219" s="32" t="s">
        <v>967</v>
      </c>
      <c r="BE219" s="32" t="s">
        <v>967</v>
      </c>
      <c r="BF219" s="32">
        <v>9</v>
      </c>
      <c r="BG219" s="32">
        <v>13342.21</v>
      </c>
      <c r="BH219" s="32">
        <v>9</v>
      </c>
      <c r="BI219" s="32">
        <v>13342.21</v>
      </c>
      <c r="BJ219" s="32">
        <v>0</v>
      </c>
      <c r="BK219" s="32">
        <v>0</v>
      </c>
      <c r="BL219" s="32">
        <v>260323.12</v>
      </c>
      <c r="BM219" s="32">
        <v>612149914748</v>
      </c>
      <c r="BN219" s="31">
        <v>46225</v>
      </c>
      <c r="BO219" s="32">
        <v>1026</v>
      </c>
    </row>
    <row r="220" spans="1:67" x14ac:dyDescent="0.25">
      <c r="A220" s="21"/>
      <c r="B220" s="32" t="s">
        <v>167</v>
      </c>
      <c r="C220" s="31">
        <v>46226</v>
      </c>
      <c r="D220" s="32" t="s">
        <v>1209</v>
      </c>
      <c r="E220" s="32" t="s">
        <v>181</v>
      </c>
      <c r="F220" s="32" t="s">
        <v>182</v>
      </c>
      <c r="G220" s="32" t="s">
        <v>1210</v>
      </c>
      <c r="H220" s="32">
        <v>494</v>
      </c>
      <c r="I220" s="32">
        <v>494</v>
      </c>
      <c r="J220" s="32" t="s">
        <v>168</v>
      </c>
      <c r="K220" s="32">
        <v>494</v>
      </c>
      <c r="L220" s="32">
        <v>0</v>
      </c>
      <c r="M220" s="32">
        <v>494</v>
      </c>
      <c r="N220" s="32" t="s">
        <v>198</v>
      </c>
      <c r="O220" s="32" t="s">
        <v>654</v>
      </c>
      <c r="P220" s="32" t="s">
        <v>654</v>
      </c>
      <c r="Q220" s="32" t="s">
        <v>901</v>
      </c>
      <c r="R220" s="31">
        <v>46225</v>
      </c>
      <c r="S220" s="32" t="s">
        <v>987</v>
      </c>
      <c r="T220" s="32" t="s">
        <v>988</v>
      </c>
      <c r="U220" s="32" t="s">
        <v>900</v>
      </c>
      <c r="V220" s="32">
        <v>146.49</v>
      </c>
      <c r="W220" s="32">
        <v>146.49</v>
      </c>
      <c r="X220" s="32" t="s">
        <v>901</v>
      </c>
      <c r="Y220" s="31">
        <v>46225</v>
      </c>
      <c r="Z220" s="32" t="s">
        <v>193</v>
      </c>
      <c r="AA220" s="32" t="s">
        <v>193</v>
      </c>
      <c r="AB220" s="32"/>
      <c r="AC220" s="32" t="s">
        <v>193</v>
      </c>
      <c r="AD220" s="32" t="s">
        <v>193</v>
      </c>
      <c r="AE220" s="32">
        <v>0</v>
      </c>
      <c r="AF220" s="32">
        <v>0</v>
      </c>
      <c r="AG220" s="32">
        <v>0</v>
      </c>
      <c r="AH220" s="32">
        <v>0</v>
      </c>
      <c r="AI220" s="32">
        <v>0</v>
      </c>
      <c r="AJ220" s="32" t="s">
        <v>965</v>
      </c>
      <c r="AK220" s="32">
        <v>0</v>
      </c>
      <c r="AL220" s="32">
        <v>0</v>
      </c>
      <c r="AM220" s="32">
        <v>0</v>
      </c>
      <c r="AN220" s="32">
        <v>0</v>
      </c>
      <c r="AO220" s="32">
        <v>0</v>
      </c>
      <c r="AP220" s="32"/>
      <c r="AQ220" s="32">
        <v>0</v>
      </c>
      <c r="AR220" s="32">
        <v>0</v>
      </c>
      <c r="AS220" s="32">
        <v>260323.12</v>
      </c>
      <c r="AT220" s="32" t="s">
        <v>169</v>
      </c>
      <c r="AU220" s="32" t="s">
        <v>182</v>
      </c>
      <c r="AV220" s="32" t="s">
        <v>154</v>
      </c>
      <c r="AW220" s="32" t="s">
        <v>171</v>
      </c>
      <c r="AX220" s="32" t="s">
        <v>966</v>
      </c>
      <c r="AY220" s="32">
        <v>0</v>
      </c>
      <c r="AZ220" s="32">
        <v>72366.06</v>
      </c>
      <c r="BA220" s="32">
        <v>362</v>
      </c>
      <c r="BB220" s="31">
        <v>46226</v>
      </c>
      <c r="BC220" s="32" t="s">
        <v>177</v>
      </c>
      <c r="BD220" s="32" t="s">
        <v>967</v>
      </c>
      <c r="BE220" s="32" t="s">
        <v>967</v>
      </c>
      <c r="BF220" s="32">
        <v>9</v>
      </c>
      <c r="BG220" s="32">
        <v>6512.95</v>
      </c>
      <c r="BH220" s="32">
        <v>9</v>
      </c>
      <c r="BI220" s="32">
        <v>6512.95</v>
      </c>
      <c r="BJ220" s="32">
        <v>0</v>
      </c>
      <c r="BK220" s="32">
        <v>0</v>
      </c>
      <c r="BL220" s="32">
        <v>0</v>
      </c>
      <c r="BM220" s="32">
        <v>612149914748</v>
      </c>
      <c r="BN220" s="31">
        <v>46225</v>
      </c>
      <c r="BO220" s="32">
        <v>494</v>
      </c>
    </row>
    <row r="221" spans="1:67" x14ac:dyDescent="0.25">
      <c r="A221" s="21"/>
      <c r="B221" s="32" t="s">
        <v>167</v>
      </c>
      <c r="C221" s="31">
        <v>46226</v>
      </c>
      <c r="D221" s="32" t="s">
        <v>1211</v>
      </c>
      <c r="E221" s="32" t="s">
        <v>186</v>
      </c>
      <c r="F221" s="32" t="s">
        <v>187</v>
      </c>
      <c r="G221" s="32" t="s">
        <v>1212</v>
      </c>
      <c r="H221" s="32">
        <v>651</v>
      </c>
      <c r="I221" s="32">
        <v>651</v>
      </c>
      <c r="J221" s="32" t="s">
        <v>168</v>
      </c>
      <c r="K221" s="32">
        <v>651</v>
      </c>
      <c r="L221" s="32">
        <v>0</v>
      </c>
      <c r="M221" s="32">
        <v>651</v>
      </c>
      <c r="N221" s="32" t="s">
        <v>1032</v>
      </c>
      <c r="O221" s="32" t="s">
        <v>665</v>
      </c>
      <c r="P221" s="32" t="s">
        <v>665</v>
      </c>
      <c r="Q221" s="32" t="s">
        <v>897</v>
      </c>
      <c r="R221" s="31">
        <v>46225</v>
      </c>
      <c r="S221" s="32" t="s">
        <v>987</v>
      </c>
      <c r="T221" s="32" t="s">
        <v>988</v>
      </c>
      <c r="U221" s="32" t="s">
        <v>896</v>
      </c>
      <c r="V221" s="32">
        <v>159.49</v>
      </c>
      <c r="W221" s="32">
        <v>159.49</v>
      </c>
      <c r="X221" s="32" t="s">
        <v>897</v>
      </c>
      <c r="Y221" s="31">
        <v>46225</v>
      </c>
      <c r="Z221" s="32"/>
      <c r="AA221" s="32">
        <v>0</v>
      </c>
      <c r="AB221" s="32"/>
      <c r="AC221" s="32">
        <v>0</v>
      </c>
      <c r="AD221" s="32">
        <v>0</v>
      </c>
      <c r="AE221" s="32">
        <v>0</v>
      </c>
      <c r="AF221" s="32">
        <v>0</v>
      </c>
      <c r="AG221" s="32">
        <v>0</v>
      </c>
      <c r="AH221" s="32">
        <v>0</v>
      </c>
      <c r="AI221" s="32">
        <v>0</v>
      </c>
      <c r="AJ221" s="32" t="s">
        <v>965</v>
      </c>
      <c r="AK221" s="32">
        <v>0</v>
      </c>
      <c r="AL221" s="32">
        <v>0</v>
      </c>
      <c r="AM221" s="32">
        <v>0</v>
      </c>
      <c r="AN221" s="32">
        <v>0</v>
      </c>
      <c r="AO221" s="32">
        <v>0</v>
      </c>
      <c r="AP221" s="32"/>
      <c r="AQ221" s="32">
        <v>0</v>
      </c>
      <c r="AR221" s="32">
        <v>0</v>
      </c>
      <c r="AS221" s="32">
        <v>644915.07999999996</v>
      </c>
      <c r="AT221" s="32" t="s">
        <v>169</v>
      </c>
      <c r="AU221" s="32" t="s">
        <v>180</v>
      </c>
      <c r="AV221" s="32" t="s">
        <v>155</v>
      </c>
      <c r="AW221" s="32" t="s">
        <v>171</v>
      </c>
      <c r="AX221" s="32" t="s">
        <v>966</v>
      </c>
      <c r="AY221" s="32">
        <v>0</v>
      </c>
      <c r="AZ221" s="32">
        <v>103827.99</v>
      </c>
      <c r="BA221" s="32">
        <v>363</v>
      </c>
      <c r="BB221" s="31">
        <v>46226</v>
      </c>
      <c r="BC221" s="32" t="s">
        <v>189</v>
      </c>
      <c r="BD221" s="32" t="s">
        <v>967</v>
      </c>
      <c r="BE221" s="32" t="s">
        <v>967</v>
      </c>
      <c r="BF221" s="32">
        <v>9</v>
      </c>
      <c r="BG221" s="32">
        <v>9344.52</v>
      </c>
      <c r="BH221" s="32">
        <v>9</v>
      </c>
      <c r="BI221" s="32">
        <v>9344.52</v>
      </c>
      <c r="BJ221" s="32">
        <v>0</v>
      </c>
      <c r="BK221" s="32">
        <v>0</v>
      </c>
      <c r="BL221" s="32">
        <v>644915.07999999996</v>
      </c>
      <c r="BM221" s="32">
        <v>642149892753</v>
      </c>
      <c r="BN221" s="31">
        <v>46225</v>
      </c>
      <c r="BO221" s="32">
        <v>651</v>
      </c>
    </row>
    <row r="222" spans="1:67" x14ac:dyDescent="0.25">
      <c r="A222" s="21"/>
      <c r="B222" s="32" t="s">
        <v>167</v>
      </c>
      <c r="C222" s="31">
        <v>46226</v>
      </c>
      <c r="D222" s="32" t="s">
        <v>1211</v>
      </c>
      <c r="E222" s="32" t="s">
        <v>186</v>
      </c>
      <c r="F222" s="32" t="s">
        <v>187</v>
      </c>
      <c r="G222" s="32" t="s">
        <v>1212</v>
      </c>
      <c r="H222" s="32">
        <v>2829</v>
      </c>
      <c r="I222" s="32">
        <v>2829</v>
      </c>
      <c r="J222" s="32" t="s">
        <v>168</v>
      </c>
      <c r="K222" s="32">
        <v>2829</v>
      </c>
      <c r="L222" s="32">
        <v>0</v>
      </c>
      <c r="M222" s="32">
        <v>2829</v>
      </c>
      <c r="N222" s="32" t="s">
        <v>1032</v>
      </c>
      <c r="O222" s="32" t="s">
        <v>665</v>
      </c>
      <c r="P222" s="32" t="s">
        <v>665</v>
      </c>
      <c r="Q222" s="32" t="s">
        <v>897</v>
      </c>
      <c r="R222" s="31">
        <v>46225</v>
      </c>
      <c r="S222" s="32" t="s">
        <v>987</v>
      </c>
      <c r="T222" s="32" t="s">
        <v>988</v>
      </c>
      <c r="U222" s="32" t="s">
        <v>896</v>
      </c>
      <c r="V222" s="32">
        <v>156.49</v>
      </c>
      <c r="W222" s="32">
        <v>156.49</v>
      </c>
      <c r="X222" s="32" t="s">
        <v>897</v>
      </c>
      <c r="Y222" s="31">
        <v>46225</v>
      </c>
      <c r="Z222" s="32"/>
      <c r="AA222" s="32">
        <v>0</v>
      </c>
      <c r="AB222" s="32"/>
      <c r="AC222" s="32">
        <v>0</v>
      </c>
      <c r="AD222" s="32">
        <v>0</v>
      </c>
      <c r="AE222" s="32">
        <v>0</v>
      </c>
      <c r="AF222" s="32">
        <v>0</v>
      </c>
      <c r="AG222" s="32">
        <v>0</v>
      </c>
      <c r="AH222" s="32">
        <v>0</v>
      </c>
      <c r="AI222" s="32">
        <v>0</v>
      </c>
      <c r="AJ222" s="32" t="s">
        <v>965</v>
      </c>
      <c r="AK222" s="32">
        <v>0</v>
      </c>
      <c r="AL222" s="32">
        <v>0</v>
      </c>
      <c r="AM222" s="32">
        <v>0</v>
      </c>
      <c r="AN222" s="32">
        <v>0</v>
      </c>
      <c r="AO222" s="32">
        <v>0</v>
      </c>
      <c r="AP222" s="32"/>
      <c r="AQ222" s="32">
        <v>0</v>
      </c>
      <c r="AR222" s="32">
        <v>0</v>
      </c>
      <c r="AS222" s="32">
        <v>644915.07999999996</v>
      </c>
      <c r="AT222" s="32" t="s">
        <v>169</v>
      </c>
      <c r="AU222" s="32" t="s">
        <v>180</v>
      </c>
      <c r="AV222" s="32" t="s">
        <v>155</v>
      </c>
      <c r="AW222" s="32" t="s">
        <v>171</v>
      </c>
      <c r="AX222" s="32" t="s">
        <v>966</v>
      </c>
      <c r="AY222" s="32">
        <v>0</v>
      </c>
      <c r="AZ222" s="32">
        <v>442710.21</v>
      </c>
      <c r="BA222" s="32">
        <v>363</v>
      </c>
      <c r="BB222" s="31">
        <v>46226</v>
      </c>
      <c r="BC222" s="32" t="s">
        <v>189</v>
      </c>
      <c r="BD222" s="32" t="s">
        <v>967</v>
      </c>
      <c r="BE222" s="32" t="s">
        <v>967</v>
      </c>
      <c r="BF222" s="32">
        <v>9</v>
      </c>
      <c r="BG222" s="32">
        <v>39843.919999999998</v>
      </c>
      <c r="BH222" s="32">
        <v>9</v>
      </c>
      <c r="BI222" s="32">
        <v>39843.919999999998</v>
      </c>
      <c r="BJ222" s="32">
        <v>0</v>
      </c>
      <c r="BK222" s="32">
        <v>0</v>
      </c>
      <c r="BL222" s="32">
        <v>0</v>
      </c>
      <c r="BM222" s="32">
        <v>642149892753</v>
      </c>
      <c r="BN222" s="31">
        <v>46225</v>
      </c>
      <c r="BO222" s="32">
        <v>2829</v>
      </c>
    </row>
    <row r="223" spans="1:67" x14ac:dyDescent="0.25">
      <c r="A223" s="21"/>
      <c r="B223" s="32" t="s">
        <v>167</v>
      </c>
      <c r="C223" s="31">
        <v>46226</v>
      </c>
      <c r="D223" s="32" t="s">
        <v>1213</v>
      </c>
      <c r="E223" s="32" t="s">
        <v>181</v>
      </c>
      <c r="F223" s="32" t="s">
        <v>182</v>
      </c>
      <c r="G223" s="32" t="s">
        <v>1214</v>
      </c>
      <c r="H223" s="32">
        <v>1207.3</v>
      </c>
      <c r="I223" s="32">
        <v>1207.3</v>
      </c>
      <c r="J223" s="32" t="s">
        <v>168</v>
      </c>
      <c r="K223" s="32">
        <v>1207.3</v>
      </c>
      <c r="L223" s="32">
        <v>0</v>
      </c>
      <c r="M223" s="32">
        <v>1207.3</v>
      </c>
      <c r="N223" s="32" t="s">
        <v>175</v>
      </c>
      <c r="O223" s="32" t="s">
        <v>654</v>
      </c>
      <c r="P223" s="32" t="s">
        <v>654</v>
      </c>
      <c r="Q223" s="32" t="s">
        <v>903</v>
      </c>
      <c r="R223" s="31">
        <v>46226</v>
      </c>
      <c r="S223" s="32" t="s">
        <v>987</v>
      </c>
      <c r="T223" s="32" t="s">
        <v>988</v>
      </c>
      <c r="U223" s="32" t="s">
        <v>902</v>
      </c>
      <c r="V223" s="32">
        <v>149.49</v>
      </c>
      <c r="W223" s="32">
        <v>149.490005850599</v>
      </c>
      <c r="X223" s="32" t="s">
        <v>903</v>
      </c>
      <c r="Y223" s="31">
        <v>46226</v>
      </c>
      <c r="Z223" s="32" t="s">
        <v>193</v>
      </c>
      <c r="AA223" s="32" t="s">
        <v>193</v>
      </c>
      <c r="AB223" s="32"/>
      <c r="AC223" s="32" t="s">
        <v>193</v>
      </c>
      <c r="AD223" s="32" t="s">
        <v>193</v>
      </c>
      <c r="AE223" s="32">
        <v>0</v>
      </c>
      <c r="AF223" s="32">
        <v>0</v>
      </c>
      <c r="AG223" s="32">
        <v>0</v>
      </c>
      <c r="AH223" s="32">
        <v>0</v>
      </c>
      <c r="AI223" s="32">
        <v>0</v>
      </c>
      <c r="AJ223" s="32" t="s">
        <v>965</v>
      </c>
      <c r="AK223" s="32">
        <v>0</v>
      </c>
      <c r="AL223" s="32">
        <v>0</v>
      </c>
      <c r="AM223" s="32">
        <v>0</v>
      </c>
      <c r="AN223" s="32">
        <v>0</v>
      </c>
      <c r="AO223" s="32">
        <v>0</v>
      </c>
      <c r="AP223" s="32"/>
      <c r="AQ223" s="32">
        <v>0</v>
      </c>
      <c r="AR223" s="32">
        <v>0</v>
      </c>
      <c r="AS223" s="32">
        <v>434370.96</v>
      </c>
      <c r="AT223" s="32" t="s">
        <v>169</v>
      </c>
      <c r="AU223" s="32" t="s">
        <v>182</v>
      </c>
      <c r="AV223" s="32" t="s">
        <v>154</v>
      </c>
      <c r="AW223" s="32" t="s">
        <v>171</v>
      </c>
      <c r="AX223" s="32" t="s">
        <v>966</v>
      </c>
      <c r="AY223" s="32">
        <v>0</v>
      </c>
      <c r="AZ223" s="32">
        <v>180479.28</v>
      </c>
      <c r="BA223" s="32">
        <v>365</v>
      </c>
      <c r="BB223" s="31">
        <v>46226</v>
      </c>
      <c r="BC223" s="32" t="s">
        <v>177</v>
      </c>
      <c r="BD223" s="32" t="s">
        <v>967</v>
      </c>
      <c r="BE223" s="32" t="s">
        <v>967</v>
      </c>
      <c r="BF223" s="32">
        <v>9</v>
      </c>
      <c r="BG223" s="32">
        <v>16243.13</v>
      </c>
      <c r="BH223" s="32">
        <v>9</v>
      </c>
      <c r="BI223" s="32">
        <v>16243.13</v>
      </c>
      <c r="BJ223" s="32">
        <v>0</v>
      </c>
      <c r="BK223" s="32">
        <v>0</v>
      </c>
      <c r="BL223" s="32">
        <v>434370.96</v>
      </c>
      <c r="BM223" s="32">
        <v>692150304143</v>
      </c>
      <c r="BN223" s="31">
        <v>46226</v>
      </c>
      <c r="BO223" s="32">
        <v>1207.3</v>
      </c>
    </row>
    <row r="224" spans="1:67" x14ac:dyDescent="0.25">
      <c r="A224" s="21"/>
      <c r="B224" s="32" t="s">
        <v>167</v>
      </c>
      <c r="C224" s="31">
        <v>46226</v>
      </c>
      <c r="D224" s="32" t="s">
        <v>1213</v>
      </c>
      <c r="E224" s="32" t="s">
        <v>181</v>
      </c>
      <c r="F224" s="32" t="s">
        <v>182</v>
      </c>
      <c r="G224" s="32" t="s">
        <v>1214</v>
      </c>
      <c r="H224" s="32">
        <v>1123.7</v>
      </c>
      <c r="I224" s="32">
        <v>1123.7</v>
      </c>
      <c r="J224" s="32" t="s">
        <v>168</v>
      </c>
      <c r="K224" s="32">
        <v>1123.7</v>
      </c>
      <c r="L224" s="32">
        <v>0</v>
      </c>
      <c r="M224" s="32">
        <v>1123.7</v>
      </c>
      <c r="N224" s="32" t="s">
        <v>175</v>
      </c>
      <c r="O224" s="32" t="s">
        <v>654</v>
      </c>
      <c r="P224" s="32" t="s">
        <v>654</v>
      </c>
      <c r="Q224" s="32" t="s">
        <v>903</v>
      </c>
      <c r="R224" s="31">
        <v>46226</v>
      </c>
      <c r="S224" s="32" t="s">
        <v>987</v>
      </c>
      <c r="T224" s="32" t="s">
        <v>988</v>
      </c>
      <c r="U224" s="32" t="s">
        <v>902</v>
      </c>
      <c r="V224" s="32">
        <v>146.49</v>
      </c>
      <c r="W224" s="32">
        <v>146.49000573318699</v>
      </c>
      <c r="X224" s="32" t="s">
        <v>903</v>
      </c>
      <c r="Y224" s="31">
        <v>46226</v>
      </c>
      <c r="Z224" s="32" t="s">
        <v>193</v>
      </c>
      <c r="AA224" s="32" t="s">
        <v>193</v>
      </c>
      <c r="AB224" s="32"/>
      <c r="AC224" s="32" t="s">
        <v>193</v>
      </c>
      <c r="AD224" s="32" t="s">
        <v>193</v>
      </c>
      <c r="AE224" s="32">
        <v>0</v>
      </c>
      <c r="AF224" s="32">
        <v>0</v>
      </c>
      <c r="AG224" s="32">
        <v>0</v>
      </c>
      <c r="AH224" s="32">
        <v>0</v>
      </c>
      <c r="AI224" s="32">
        <v>0</v>
      </c>
      <c r="AJ224" s="32" t="s">
        <v>965</v>
      </c>
      <c r="AK224" s="32">
        <v>0</v>
      </c>
      <c r="AL224" s="32">
        <v>0</v>
      </c>
      <c r="AM224" s="32">
        <v>0</v>
      </c>
      <c r="AN224" s="32">
        <v>0</v>
      </c>
      <c r="AO224" s="32">
        <v>0</v>
      </c>
      <c r="AP224" s="32"/>
      <c r="AQ224" s="32">
        <v>0</v>
      </c>
      <c r="AR224" s="32">
        <v>0</v>
      </c>
      <c r="AS224" s="32">
        <v>434370.96</v>
      </c>
      <c r="AT224" s="32" t="s">
        <v>169</v>
      </c>
      <c r="AU224" s="32" t="s">
        <v>182</v>
      </c>
      <c r="AV224" s="32" t="s">
        <v>154</v>
      </c>
      <c r="AW224" s="32" t="s">
        <v>171</v>
      </c>
      <c r="AX224" s="32" t="s">
        <v>966</v>
      </c>
      <c r="AY224" s="32">
        <v>0</v>
      </c>
      <c r="AZ224" s="32">
        <v>164610.82</v>
      </c>
      <c r="BA224" s="32">
        <v>365</v>
      </c>
      <c r="BB224" s="31">
        <v>46226</v>
      </c>
      <c r="BC224" s="32" t="s">
        <v>177</v>
      </c>
      <c r="BD224" s="32" t="s">
        <v>967</v>
      </c>
      <c r="BE224" s="32" t="s">
        <v>967</v>
      </c>
      <c r="BF224" s="32">
        <v>9</v>
      </c>
      <c r="BG224" s="32">
        <v>14814.97</v>
      </c>
      <c r="BH224" s="32">
        <v>9</v>
      </c>
      <c r="BI224" s="32">
        <v>14814.97</v>
      </c>
      <c r="BJ224" s="32">
        <v>0</v>
      </c>
      <c r="BK224" s="32">
        <v>0</v>
      </c>
      <c r="BL224" s="32">
        <v>0</v>
      </c>
      <c r="BM224" s="32">
        <v>692150304143</v>
      </c>
      <c r="BN224" s="31">
        <v>46226</v>
      </c>
      <c r="BO224" s="32">
        <v>1123.7</v>
      </c>
    </row>
    <row r="225" spans="1:67" x14ac:dyDescent="0.25">
      <c r="A225" s="21"/>
      <c r="B225" s="32" t="s">
        <v>167</v>
      </c>
      <c r="C225" s="31">
        <v>46226</v>
      </c>
      <c r="D225" s="32" t="s">
        <v>1213</v>
      </c>
      <c r="E225" s="32" t="s">
        <v>1006</v>
      </c>
      <c r="F225" s="32" t="s">
        <v>681</v>
      </c>
      <c r="G225" s="32" t="s">
        <v>1214</v>
      </c>
      <c r="H225" s="32">
        <v>160.69999999999999</v>
      </c>
      <c r="I225" s="32">
        <v>160.69999999999999</v>
      </c>
      <c r="J225" s="32" t="s">
        <v>168</v>
      </c>
      <c r="K225" s="32">
        <v>160.69999999999999</v>
      </c>
      <c r="L225" s="32">
        <v>0</v>
      </c>
      <c r="M225" s="32">
        <v>160.69999999999999</v>
      </c>
      <c r="N225" s="32" t="s">
        <v>175</v>
      </c>
      <c r="O225" s="32" t="s">
        <v>654</v>
      </c>
      <c r="P225" s="32" t="s">
        <v>654</v>
      </c>
      <c r="Q225" s="32" t="s">
        <v>903</v>
      </c>
      <c r="R225" s="31">
        <v>46226</v>
      </c>
      <c r="S225" s="32" t="s">
        <v>987</v>
      </c>
      <c r="T225" s="32" t="s">
        <v>988</v>
      </c>
      <c r="U225" s="32" t="s">
        <v>902</v>
      </c>
      <c r="V225" s="32">
        <v>160.99</v>
      </c>
      <c r="W225" s="32">
        <v>160.99000630067499</v>
      </c>
      <c r="X225" s="32" t="s">
        <v>903</v>
      </c>
      <c r="Y225" s="31">
        <v>46226</v>
      </c>
      <c r="Z225" s="32" t="s">
        <v>193</v>
      </c>
      <c r="AA225" s="32" t="s">
        <v>193</v>
      </c>
      <c r="AB225" s="32"/>
      <c r="AC225" s="32" t="s">
        <v>193</v>
      </c>
      <c r="AD225" s="32" t="s">
        <v>193</v>
      </c>
      <c r="AE225" s="32">
        <v>0</v>
      </c>
      <c r="AF225" s="32">
        <v>0</v>
      </c>
      <c r="AG225" s="32">
        <v>0</v>
      </c>
      <c r="AH225" s="32">
        <v>0</v>
      </c>
      <c r="AI225" s="32">
        <v>0</v>
      </c>
      <c r="AJ225" s="32" t="s">
        <v>965</v>
      </c>
      <c r="AK225" s="32">
        <v>0</v>
      </c>
      <c r="AL225" s="32">
        <v>0</v>
      </c>
      <c r="AM225" s="32">
        <v>0</v>
      </c>
      <c r="AN225" s="32">
        <v>0</v>
      </c>
      <c r="AO225" s="32">
        <v>0</v>
      </c>
      <c r="AP225" s="32"/>
      <c r="AQ225" s="32">
        <v>0</v>
      </c>
      <c r="AR225" s="32">
        <v>0</v>
      </c>
      <c r="AS225" s="32">
        <v>434370.96</v>
      </c>
      <c r="AT225" s="32" t="s">
        <v>169</v>
      </c>
      <c r="AU225" s="32" t="s">
        <v>170</v>
      </c>
      <c r="AV225" s="32" t="s">
        <v>157</v>
      </c>
      <c r="AW225" s="32" t="s">
        <v>171</v>
      </c>
      <c r="AX225" s="32" t="s">
        <v>966</v>
      </c>
      <c r="AY225" s="32">
        <v>0</v>
      </c>
      <c r="AZ225" s="32">
        <v>25871.09</v>
      </c>
      <c r="BA225" s="32">
        <v>365</v>
      </c>
      <c r="BB225" s="31">
        <v>46226</v>
      </c>
      <c r="BC225" s="32" t="s">
        <v>177</v>
      </c>
      <c r="BD225" s="32" t="s">
        <v>967</v>
      </c>
      <c r="BE225" s="32" t="s">
        <v>967</v>
      </c>
      <c r="BF225" s="32">
        <v>2.5</v>
      </c>
      <c r="BG225" s="32">
        <v>646.78</v>
      </c>
      <c r="BH225" s="32">
        <v>2.5</v>
      </c>
      <c r="BI225" s="32">
        <v>646.78</v>
      </c>
      <c r="BJ225" s="32">
        <v>0</v>
      </c>
      <c r="BK225" s="32">
        <v>0</v>
      </c>
      <c r="BL225" s="32">
        <v>0</v>
      </c>
      <c r="BM225" s="32">
        <v>692150304143</v>
      </c>
      <c r="BN225" s="31">
        <v>46226</v>
      </c>
      <c r="BO225" s="32">
        <v>160.69999999999999</v>
      </c>
    </row>
    <row r="226" spans="1:67" x14ac:dyDescent="0.25">
      <c r="A226" s="21"/>
      <c r="B226" s="32" t="s">
        <v>167</v>
      </c>
      <c r="C226" s="31">
        <v>46226</v>
      </c>
      <c r="D226" s="32" t="s">
        <v>1215</v>
      </c>
      <c r="E226" s="32" t="s">
        <v>190</v>
      </c>
      <c r="F226" s="32" t="s">
        <v>191</v>
      </c>
      <c r="G226" s="32" t="s">
        <v>1216</v>
      </c>
      <c r="H226" s="32">
        <v>853.8</v>
      </c>
      <c r="I226" s="32">
        <v>853.8</v>
      </c>
      <c r="J226" s="32" t="s">
        <v>168</v>
      </c>
      <c r="K226" s="32">
        <v>853.8</v>
      </c>
      <c r="L226" s="32">
        <v>0</v>
      </c>
      <c r="M226" s="32">
        <v>853.8</v>
      </c>
      <c r="N226" s="32" t="s">
        <v>307</v>
      </c>
      <c r="O226" s="32" t="s">
        <v>676</v>
      </c>
      <c r="P226" s="32" t="s">
        <v>676</v>
      </c>
      <c r="Q226" s="32" t="s">
        <v>899</v>
      </c>
      <c r="R226" s="31">
        <v>46225</v>
      </c>
      <c r="S226" s="32" t="s">
        <v>987</v>
      </c>
      <c r="T226" s="32" t="s">
        <v>988</v>
      </c>
      <c r="U226" s="32" t="s">
        <v>898</v>
      </c>
      <c r="V226" s="32">
        <v>257.88</v>
      </c>
      <c r="W226" s="32">
        <v>257.879998696141</v>
      </c>
      <c r="X226" s="32" t="s">
        <v>899</v>
      </c>
      <c r="Y226" s="31">
        <v>46225</v>
      </c>
      <c r="Z226" s="32" t="s">
        <v>193</v>
      </c>
      <c r="AA226" s="32" t="s">
        <v>193</v>
      </c>
      <c r="AB226" s="32"/>
      <c r="AC226" s="32" t="s">
        <v>1217</v>
      </c>
      <c r="AD226" s="32">
        <v>4</v>
      </c>
      <c r="AE226" s="32">
        <v>0</v>
      </c>
      <c r="AF226" s="32">
        <v>0</v>
      </c>
      <c r="AG226" s="32">
        <v>0</v>
      </c>
      <c r="AH226" s="32">
        <v>0</v>
      </c>
      <c r="AI226" s="32">
        <v>0</v>
      </c>
      <c r="AJ226" s="32" t="s">
        <v>965</v>
      </c>
      <c r="AK226" s="32">
        <v>0</v>
      </c>
      <c r="AL226" s="32">
        <v>0</v>
      </c>
      <c r="AM226" s="32">
        <v>0</v>
      </c>
      <c r="AN226" s="32">
        <v>0</v>
      </c>
      <c r="AO226" s="32">
        <v>0</v>
      </c>
      <c r="AP226" s="32"/>
      <c r="AQ226" s="32">
        <v>0</v>
      </c>
      <c r="AR226" s="32">
        <v>0</v>
      </c>
      <c r="AS226" s="32">
        <v>988910.35</v>
      </c>
      <c r="AT226" s="32" t="s">
        <v>192</v>
      </c>
      <c r="AU226" s="32" t="s">
        <v>152</v>
      </c>
      <c r="AV226" s="32" t="s">
        <v>152</v>
      </c>
      <c r="AW226" s="32" t="s">
        <v>171</v>
      </c>
      <c r="AX226" s="32" t="s">
        <v>966</v>
      </c>
      <c r="AY226" s="32">
        <v>0</v>
      </c>
      <c r="AZ226" s="32">
        <v>220177.94</v>
      </c>
      <c r="BA226" s="32">
        <v>364</v>
      </c>
      <c r="BB226" s="31">
        <v>46226</v>
      </c>
      <c r="BC226" s="32" t="s">
        <v>172</v>
      </c>
      <c r="BD226" s="32" t="s">
        <v>967</v>
      </c>
      <c r="BE226" s="32" t="s">
        <v>967</v>
      </c>
      <c r="BF226" s="32">
        <v>9</v>
      </c>
      <c r="BG226" s="32">
        <v>19816.009999999998</v>
      </c>
      <c r="BH226" s="32">
        <v>9</v>
      </c>
      <c r="BI226" s="32">
        <v>19816.009999999998</v>
      </c>
      <c r="BJ226" s="32">
        <v>0</v>
      </c>
      <c r="BK226" s="32">
        <v>0</v>
      </c>
      <c r="BL226" s="32">
        <v>988910.35</v>
      </c>
      <c r="BM226" s="32">
        <v>672149916739</v>
      </c>
      <c r="BN226" s="31">
        <v>46225</v>
      </c>
      <c r="BO226" s="32">
        <v>853.8</v>
      </c>
    </row>
    <row r="227" spans="1:67" x14ac:dyDescent="0.25">
      <c r="A227" s="21"/>
      <c r="B227" s="32" t="s">
        <v>167</v>
      </c>
      <c r="C227" s="31">
        <v>46226</v>
      </c>
      <c r="D227" s="32" t="s">
        <v>1215</v>
      </c>
      <c r="E227" s="32" t="s">
        <v>190</v>
      </c>
      <c r="F227" s="32" t="s">
        <v>191</v>
      </c>
      <c r="G227" s="32" t="s">
        <v>1216</v>
      </c>
      <c r="H227" s="32">
        <v>2407.3000000000002</v>
      </c>
      <c r="I227" s="32">
        <v>2407.3000000000002</v>
      </c>
      <c r="J227" s="32" t="s">
        <v>168</v>
      </c>
      <c r="K227" s="32">
        <v>2407.3000000000002</v>
      </c>
      <c r="L227" s="32">
        <v>0</v>
      </c>
      <c r="M227" s="32">
        <v>2407.3000000000002</v>
      </c>
      <c r="N227" s="32" t="s">
        <v>307</v>
      </c>
      <c r="O227" s="32" t="s">
        <v>676</v>
      </c>
      <c r="P227" s="32" t="s">
        <v>676</v>
      </c>
      <c r="Q227" s="32" t="s">
        <v>899</v>
      </c>
      <c r="R227" s="31">
        <v>46225</v>
      </c>
      <c r="S227" s="32" t="s">
        <v>987</v>
      </c>
      <c r="T227" s="32" t="s">
        <v>988</v>
      </c>
      <c r="U227" s="32" t="s">
        <v>898</v>
      </c>
      <c r="V227" s="32">
        <v>256.67</v>
      </c>
      <c r="W227" s="32">
        <v>256.66999870225902</v>
      </c>
      <c r="X227" s="32" t="s">
        <v>899</v>
      </c>
      <c r="Y227" s="31">
        <v>46225</v>
      </c>
      <c r="Z227" s="32" t="s">
        <v>193</v>
      </c>
      <c r="AA227" s="32" t="s">
        <v>193</v>
      </c>
      <c r="AB227" s="32"/>
      <c r="AC227" s="32" t="s">
        <v>1217</v>
      </c>
      <c r="AD227" s="32">
        <v>4</v>
      </c>
      <c r="AE227" s="32">
        <v>0</v>
      </c>
      <c r="AF227" s="32">
        <v>0</v>
      </c>
      <c r="AG227" s="32">
        <v>0</v>
      </c>
      <c r="AH227" s="32">
        <v>0</v>
      </c>
      <c r="AI227" s="32">
        <v>0</v>
      </c>
      <c r="AJ227" s="32" t="s">
        <v>965</v>
      </c>
      <c r="AK227" s="32">
        <v>0</v>
      </c>
      <c r="AL227" s="32">
        <v>0</v>
      </c>
      <c r="AM227" s="32">
        <v>0</v>
      </c>
      <c r="AN227" s="32">
        <v>0</v>
      </c>
      <c r="AO227" s="32">
        <v>0</v>
      </c>
      <c r="AP227" s="32"/>
      <c r="AQ227" s="32">
        <v>0</v>
      </c>
      <c r="AR227" s="32">
        <v>0</v>
      </c>
      <c r="AS227" s="32">
        <v>988910.35</v>
      </c>
      <c r="AT227" s="32" t="s">
        <v>192</v>
      </c>
      <c r="AU227" s="32" t="s">
        <v>152</v>
      </c>
      <c r="AV227" s="32" t="s">
        <v>152</v>
      </c>
      <c r="AW227" s="32" t="s">
        <v>171</v>
      </c>
      <c r="AX227" s="32" t="s">
        <v>966</v>
      </c>
      <c r="AY227" s="32">
        <v>0</v>
      </c>
      <c r="AZ227" s="32">
        <v>617881.68999999994</v>
      </c>
      <c r="BA227" s="32">
        <v>364</v>
      </c>
      <c r="BB227" s="31">
        <v>46226</v>
      </c>
      <c r="BC227" s="32" t="s">
        <v>172</v>
      </c>
      <c r="BD227" s="32" t="s">
        <v>967</v>
      </c>
      <c r="BE227" s="32" t="s">
        <v>967</v>
      </c>
      <c r="BF227" s="32">
        <v>9</v>
      </c>
      <c r="BG227" s="32">
        <v>55609.35</v>
      </c>
      <c r="BH227" s="32">
        <v>9</v>
      </c>
      <c r="BI227" s="32">
        <v>55609.35</v>
      </c>
      <c r="BJ227" s="32">
        <v>0</v>
      </c>
      <c r="BK227" s="32">
        <v>0</v>
      </c>
      <c r="BL227" s="32">
        <v>0</v>
      </c>
      <c r="BM227" s="32">
        <v>672149916739</v>
      </c>
      <c r="BN227" s="31">
        <v>46225</v>
      </c>
      <c r="BO227" s="32">
        <v>2407.3000000000002</v>
      </c>
    </row>
    <row r="228" spans="1:67" x14ac:dyDescent="0.25">
      <c r="A228" s="21"/>
      <c r="B228" s="32" t="s">
        <v>167</v>
      </c>
      <c r="C228" s="31">
        <v>46227</v>
      </c>
      <c r="D228" s="32" t="s">
        <v>1218</v>
      </c>
      <c r="E228" s="32" t="s">
        <v>303</v>
      </c>
      <c r="F228" s="32" t="s">
        <v>304</v>
      </c>
      <c r="G228" s="32" t="s">
        <v>1219</v>
      </c>
      <c r="H228" s="32">
        <v>50</v>
      </c>
      <c r="I228" s="32">
        <v>50</v>
      </c>
      <c r="J228" s="32" t="s">
        <v>168</v>
      </c>
      <c r="K228" s="32">
        <v>50</v>
      </c>
      <c r="L228" s="32">
        <v>0</v>
      </c>
      <c r="M228" s="32">
        <v>50</v>
      </c>
      <c r="N228" s="32" t="s">
        <v>1220</v>
      </c>
      <c r="O228" s="32" t="s">
        <v>908</v>
      </c>
      <c r="P228" s="32" t="s">
        <v>908</v>
      </c>
      <c r="Q228" s="32" t="s">
        <v>911</v>
      </c>
      <c r="R228" s="31">
        <v>46219</v>
      </c>
      <c r="S228" s="32" t="s">
        <v>987</v>
      </c>
      <c r="T228" s="32" t="s">
        <v>988</v>
      </c>
      <c r="U228" s="32" t="s">
        <v>909</v>
      </c>
      <c r="V228" s="32">
        <v>217</v>
      </c>
      <c r="W228" s="32">
        <v>238.22605518837301</v>
      </c>
      <c r="X228" s="32" t="s">
        <v>911</v>
      </c>
      <c r="Y228" s="31">
        <v>46219</v>
      </c>
      <c r="Z228" s="32"/>
      <c r="AA228" s="32">
        <v>0</v>
      </c>
      <c r="AB228" s="32"/>
      <c r="AC228" s="32" t="s">
        <v>1221</v>
      </c>
      <c r="AD228" s="32">
        <v>4102516008</v>
      </c>
      <c r="AE228" s="32">
        <v>0</v>
      </c>
      <c r="AF228" s="32">
        <v>0</v>
      </c>
      <c r="AG228" s="32">
        <v>0</v>
      </c>
      <c r="AH228" s="32">
        <v>0</v>
      </c>
      <c r="AI228" s="32">
        <v>0</v>
      </c>
      <c r="AJ228" s="32" t="s">
        <v>965</v>
      </c>
      <c r="AK228" s="32">
        <v>0</v>
      </c>
      <c r="AL228" s="32">
        <v>0</v>
      </c>
      <c r="AM228" s="32">
        <v>0</v>
      </c>
      <c r="AN228" s="32">
        <v>0</v>
      </c>
      <c r="AO228" s="32">
        <v>0</v>
      </c>
      <c r="AP228" s="32"/>
      <c r="AQ228" s="32">
        <v>0</v>
      </c>
      <c r="AR228" s="32">
        <v>0</v>
      </c>
      <c r="AS228" s="32">
        <v>277058</v>
      </c>
      <c r="AT228" s="32" t="s">
        <v>204</v>
      </c>
      <c r="AU228" s="32" t="s">
        <v>160</v>
      </c>
      <c r="AV228" s="32" t="s">
        <v>160</v>
      </c>
      <c r="AW228" s="32" t="s">
        <v>204</v>
      </c>
      <c r="AX228" s="32"/>
      <c r="AY228" s="32">
        <v>0</v>
      </c>
      <c r="AZ228" s="32">
        <v>11911.3</v>
      </c>
      <c r="BA228" s="32">
        <v>367</v>
      </c>
      <c r="BB228" s="31">
        <v>46227</v>
      </c>
      <c r="BC228" s="32" t="s">
        <v>912</v>
      </c>
      <c r="BD228" s="32" t="s">
        <v>967</v>
      </c>
      <c r="BE228" s="32" t="s">
        <v>1222</v>
      </c>
      <c r="BF228" s="32">
        <v>0</v>
      </c>
      <c r="BG228" s="32">
        <v>0</v>
      </c>
      <c r="BH228" s="32">
        <v>0</v>
      </c>
      <c r="BI228" s="32">
        <v>0</v>
      </c>
      <c r="BJ228" s="32">
        <v>18</v>
      </c>
      <c r="BK228" s="32">
        <v>1953</v>
      </c>
      <c r="BL228" s="32">
        <v>277058</v>
      </c>
      <c r="BM228" s="32">
        <v>252244921045</v>
      </c>
      <c r="BN228" s="31">
        <v>46219</v>
      </c>
      <c r="BO228" s="32">
        <v>50</v>
      </c>
    </row>
    <row r="229" spans="1:67" x14ac:dyDescent="0.25">
      <c r="A229" s="21"/>
      <c r="B229" s="32" t="s">
        <v>167</v>
      </c>
      <c r="C229" s="31">
        <v>46227</v>
      </c>
      <c r="D229" s="32" t="s">
        <v>1218</v>
      </c>
      <c r="E229" s="32" t="s">
        <v>305</v>
      </c>
      <c r="F229" s="32" t="s">
        <v>306</v>
      </c>
      <c r="G229" s="32" t="s">
        <v>1219</v>
      </c>
      <c r="H229" s="32">
        <v>50</v>
      </c>
      <c r="I229" s="32">
        <v>50</v>
      </c>
      <c r="J229" s="32" t="s">
        <v>168</v>
      </c>
      <c r="K229" s="32">
        <v>50</v>
      </c>
      <c r="L229" s="32">
        <v>0</v>
      </c>
      <c r="M229" s="32">
        <v>50</v>
      </c>
      <c r="N229" s="32" t="s">
        <v>1220</v>
      </c>
      <c r="O229" s="32" t="s">
        <v>908</v>
      </c>
      <c r="P229" s="32" t="s">
        <v>908</v>
      </c>
      <c r="Q229" s="32" t="s">
        <v>911</v>
      </c>
      <c r="R229" s="31">
        <v>46219</v>
      </c>
      <c r="S229" s="32" t="s">
        <v>987</v>
      </c>
      <c r="T229" s="32" t="s">
        <v>988</v>
      </c>
      <c r="U229" s="32" t="s">
        <v>909</v>
      </c>
      <c r="V229" s="32">
        <v>277</v>
      </c>
      <c r="W229" s="32">
        <v>298.34960658083003</v>
      </c>
      <c r="X229" s="32" t="s">
        <v>911</v>
      </c>
      <c r="Y229" s="31">
        <v>46219</v>
      </c>
      <c r="Z229" s="32"/>
      <c r="AA229" s="32">
        <v>0</v>
      </c>
      <c r="AB229" s="32"/>
      <c r="AC229" s="32" t="s">
        <v>1221</v>
      </c>
      <c r="AD229" s="32">
        <v>4102516008</v>
      </c>
      <c r="AE229" s="32">
        <v>0</v>
      </c>
      <c r="AF229" s="32">
        <v>0</v>
      </c>
      <c r="AG229" s="32">
        <v>0</v>
      </c>
      <c r="AH229" s="32">
        <v>0</v>
      </c>
      <c r="AI229" s="32">
        <v>0</v>
      </c>
      <c r="AJ229" s="32" t="s">
        <v>965</v>
      </c>
      <c r="AK229" s="32">
        <v>0</v>
      </c>
      <c r="AL229" s="32">
        <v>0</v>
      </c>
      <c r="AM229" s="32">
        <v>0</v>
      </c>
      <c r="AN229" s="32">
        <v>0</v>
      </c>
      <c r="AO229" s="32">
        <v>0</v>
      </c>
      <c r="AP229" s="32"/>
      <c r="AQ229" s="32">
        <v>0</v>
      </c>
      <c r="AR229" s="32">
        <v>0</v>
      </c>
      <c r="AS229" s="32">
        <v>277058</v>
      </c>
      <c r="AT229" s="32" t="s">
        <v>204</v>
      </c>
      <c r="AU229" s="32" t="s">
        <v>160</v>
      </c>
      <c r="AV229" s="32" t="s">
        <v>160</v>
      </c>
      <c r="AW229" s="32" t="s">
        <v>204</v>
      </c>
      <c r="AX229" s="32"/>
      <c r="AY229" s="32">
        <v>0</v>
      </c>
      <c r="AZ229" s="32">
        <v>14917.48</v>
      </c>
      <c r="BA229" s="32">
        <v>367</v>
      </c>
      <c r="BB229" s="31">
        <v>46227</v>
      </c>
      <c r="BC229" s="32" t="s">
        <v>912</v>
      </c>
      <c r="BD229" s="32" t="s">
        <v>967</v>
      </c>
      <c r="BE229" s="32" t="s">
        <v>1222</v>
      </c>
      <c r="BF229" s="32">
        <v>0</v>
      </c>
      <c r="BG229" s="32">
        <v>0</v>
      </c>
      <c r="BH229" s="32">
        <v>0</v>
      </c>
      <c r="BI229" s="32">
        <v>0</v>
      </c>
      <c r="BJ229" s="32">
        <v>18</v>
      </c>
      <c r="BK229" s="32">
        <v>2493</v>
      </c>
      <c r="BL229" s="32">
        <v>0</v>
      </c>
      <c r="BM229" s="32">
        <v>252244921045</v>
      </c>
      <c r="BN229" s="31">
        <v>46219</v>
      </c>
      <c r="BO229" s="32">
        <v>50</v>
      </c>
    </row>
    <row r="230" spans="1:67" x14ac:dyDescent="0.25">
      <c r="A230" s="21"/>
      <c r="B230" s="32" t="s">
        <v>167</v>
      </c>
      <c r="C230" s="31">
        <v>46227</v>
      </c>
      <c r="D230" s="32" t="s">
        <v>1218</v>
      </c>
      <c r="E230" s="32" t="s">
        <v>617</v>
      </c>
      <c r="F230" s="32" t="s">
        <v>470</v>
      </c>
      <c r="G230" s="32" t="s">
        <v>1219</v>
      </c>
      <c r="H230" s="32">
        <v>50</v>
      </c>
      <c r="I230" s="32">
        <v>50</v>
      </c>
      <c r="J230" s="32" t="s">
        <v>168</v>
      </c>
      <c r="K230" s="32">
        <v>50</v>
      </c>
      <c r="L230" s="32">
        <v>0</v>
      </c>
      <c r="M230" s="32">
        <v>50</v>
      </c>
      <c r="N230" s="32" t="s">
        <v>1220</v>
      </c>
      <c r="O230" s="32" t="s">
        <v>908</v>
      </c>
      <c r="P230" s="32" t="s">
        <v>908</v>
      </c>
      <c r="Q230" s="32" t="s">
        <v>911</v>
      </c>
      <c r="R230" s="31">
        <v>46219</v>
      </c>
      <c r="S230" s="32" t="s">
        <v>987</v>
      </c>
      <c r="T230" s="32" t="s">
        <v>988</v>
      </c>
      <c r="U230" s="32" t="s">
        <v>909</v>
      </c>
      <c r="V230" s="32">
        <v>311</v>
      </c>
      <c r="W230" s="32">
        <v>331.421838098975</v>
      </c>
      <c r="X230" s="32" t="s">
        <v>911</v>
      </c>
      <c r="Y230" s="31">
        <v>46219</v>
      </c>
      <c r="Z230" s="32"/>
      <c r="AA230" s="32">
        <v>0</v>
      </c>
      <c r="AB230" s="32"/>
      <c r="AC230" s="32" t="s">
        <v>1221</v>
      </c>
      <c r="AD230" s="32">
        <v>4102516008</v>
      </c>
      <c r="AE230" s="32">
        <v>0</v>
      </c>
      <c r="AF230" s="32">
        <v>0</v>
      </c>
      <c r="AG230" s="32">
        <v>0</v>
      </c>
      <c r="AH230" s="32">
        <v>0</v>
      </c>
      <c r="AI230" s="32">
        <v>0</v>
      </c>
      <c r="AJ230" s="32" t="s">
        <v>965</v>
      </c>
      <c r="AK230" s="32">
        <v>0</v>
      </c>
      <c r="AL230" s="32">
        <v>0</v>
      </c>
      <c r="AM230" s="32">
        <v>0</v>
      </c>
      <c r="AN230" s="32">
        <v>0</v>
      </c>
      <c r="AO230" s="32">
        <v>0</v>
      </c>
      <c r="AP230" s="32"/>
      <c r="AQ230" s="32">
        <v>0</v>
      </c>
      <c r="AR230" s="32">
        <v>0</v>
      </c>
      <c r="AS230" s="32">
        <v>277058</v>
      </c>
      <c r="AT230" s="32" t="s">
        <v>204</v>
      </c>
      <c r="AU230" s="32" t="s">
        <v>160</v>
      </c>
      <c r="AV230" s="32" t="s">
        <v>160</v>
      </c>
      <c r="AW230" s="32" t="s">
        <v>204</v>
      </c>
      <c r="AX230" s="32" t="s">
        <v>966</v>
      </c>
      <c r="AY230" s="32">
        <v>0</v>
      </c>
      <c r="AZ230" s="32">
        <v>16571.09</v>
      </c>
      <c r="BA230" s="32">
        <v>367</v>
      </c>
      <c r="BB230" s="31">
        <v>46227</v>
      </c>
      <c r="BC230" s="32" t="s">
        <v>912</v>
      </c>
      <c r="BD230" s="32" t="s">
        <v>967</v>
      </c>
      <c r="BE230" s="32" t="s">
        <v>1222</v>
      </c>
      <c r="BF230" s="32">
        <v>0</v>
      </c>
      <c r="BG230" s="32">
        <v>0</v>
      </c>
      <c r="BH230" s="32">
        <v>0</v>
      </c>
      <c r="BI230" s="32">
        <v>0</v>
      </c>
      <c r="BJ230" s="32">
        <v>18</v>
      </c>
      <c r="BK230" s="32">
        <v>2799</v>
      </c>
      <c r="BL230" s="32">
        <v>0</v>
      </c>
      <c r="BM230" s="32">
        <v>252244921045</v>
      </c>
      <c r="BN230" s="31">
        <v>46219</v>
      </c>
      <c r="BO230" s="32">
        <v>50</v>
      </c>
    </row>
    <row r="231" spans="1:67" x14ac:dyDescent="0.25">
      <c r="A231" s="21"/>
      <c r="B231" s="32" t="s">
        <v>167</v>
      </c>
      <c r="C231" s="31">
        <v>46227</v>
      </c>
      <c r="D231" s="32" t="s">
        <v>1218</v>
      </c>
      <c r="E231" s="32" t="s">
        <v>581</v>
      </c>
      <c r="F231" s="32" t="s">
        <v>331</v>
      </c>
      <c r="G231" s="32" t="s">
        <v>1219</v>
      </c>
      <c r="H231" s="32">
        <v>50</v>
      </c>
      <c r="I231" s="32">
        <v>50</v>
      </c>
      <c r="J231" s="32" t="s">
        <v>168</v>
      </c>
      <c r="K231" s="32">
        <v>50</v>
      </c>
      <c r="L231" s="32">
        <v>0</v>
      </c>
      <c r="M231" s="32">
        <v>50</v>
      </c>
      <c r="N231" s="32" t="s">
        <v>1220</v>
      </c>
      <c r="O231" s="32" t="s">
        <v>908</v>
      </c>
      <c r="P231" s="32" t="s">
        <v>908</v>
      </c>
      <c r="Q231" s="32" t="s">
        <v>911</v>
      </c>
      <c r="R231" s="31">
        <v>46219</v>
      </c>
      <c r="S231" s="32" t="s">
        <v>987</v>
      </c>
      <c r="T231" s="32" t="s">
        <v>988</v>
      </c>
      <c r="U231" s="32" t="s">
        <v>909</v>
      </c>
      <c r="V231" s="32">
        <v>282</v>
      </c>
      <c r="W231" s="32">
        <v>303.25751347826599</v>
      </c>
      <c r="X231" s="32" t="s">
        <v>911</v>
      </c>
      <c r="Y231" s="31">
        <v>46219</v>
      </c>
      <c r="Z231" s="32"/>
      <c r="AA231" s="32">
        <v>0</v>
      </c>
      <c r="AB231" s="32"/>
      <c r="AC231" s="32" t="s">
        <v>1221</v>
      </c>
      <c r="AD231" s="32">
        <v>4102516008</v>
      </c>
      <c r="AE231" s="32">
        <v>0</v>
      </c>
      <c r="AF231" s="32">
        <v>0</v>
      </c>
      <c r="AG231" s="32">
        <v>0</v>
      </c>
      <c r="AH231" s="32">
        <v>0</v>
      </c>
      <c r="AI231" s="32">
        <v>0</v>
      </c>
      <c r="AJ231" s="32" t="s">
        <v>965</v>
      </c>
      <c r="AK231" s="32">
        <v>0</v>
      </c>
      <c r="AL231" s="32">
        <v>0</v>
      </c>
      <c r="AM231" s="32">
        <v>0</v>
      </c>
      <c r="AN231" s="32">
        <v>0</v>
      </c>
      <c r="AO231" s="32">
        <v>0</v>
      </c>
      <c r="AP231" s="32"/>
      <c r="AQ231" s="32">
        <v>0</v>
      </c>
      <c r="AR231" s="32">
        <v>0</v>
      </c>
      <c r="AS231" s="32">
        <v>277058</v>
      </c>
      <c r="AT231" s="32" t="s">
        <v>204</v>
      </c>
      <c r="AU231" s="32" t="s">
        <v>160</v>
      </c>
      <c r="AV231" s="32" t="s">
        <v>160</v>
      </c>
      <c r="AW231" s="32" t="s">
        <v>204</v>
      </c>
      <c r="AX231" s="32" t="s">
        <v>966</v>
      </c>
      <c r="AY231" s="32">
        <v>0</v>
      </c>
      <c r="AZ231" s="32">
        <v>15162.88</v>
      </c>
      <c r="BA231" s="32">
        <v>367</v>
      </c>
      <c r="BB231" s="31">
        <v>46227</v>
      </c>
      <c r="BC231" s="32" t="s">
        <v>912</v>
      </c>
      <c r="BD231" s="32" t="s">
        <v>967</v>
      </c>
      <c r="BE231" s="32" t="s">
        <v>1222</v>
      </c>
      <c r="BF231" s="32">
        <v>0</v>
      </c>
      <c r="BG231" s="32">
        <v>0</v>
      </c>
      <c r="BH231" s="32">
        <v>0</v>
      </c>
      <c r="BI231" s="32">
        <v>0</v>
      </c>
      <c r="BJ231" s="32">
        <v>18</v>
      </c>
      <c r="BK231" s="32">
        <v>2538</v>
      </c>
      <c r="BL231" s="32">
        <v>0</v>
      </c>
      <c r="BM231" s="32">
        <v>252244921045</v>
      </c>
      <c r="BN231" s="31">
        <v>46219</v>
      </c>
      <c r="BO231" s="32">
        <v>50</v>
      </c>
    </row>
    <row r="232" spans="1:67" x14ac:dyDescent="0.25">
      <c r="A232" s="21"/>
      <c r="B232" s="32" t="s">
        <v>167</v>
      </c>
      <c r="C232" s="31">
        <v>46227</v>
      </c>
      <c r="D232" s="32" t="s">
        <v>1218</v>
      </c>
      <c r="E232" s="32" t="s">
        <v>1223</v>
      </c>
      <c r="F232" s="32" t="s">
        <v>913</v>
      </c>
      <c r="G232" s="32" t="s">
        <v>1219</v>
      </c>
      <c r="H232" s="32">
        <v>50</v>
      </c>
      <c r="I232" s="32">
        <v>50</v>
      </c>
      <c r="J232" s="32" t="s">
        <v>168</v>
      </c>
      <c r="K232" s="32">
        <v>50</v>
      </c>
      <c r="L232" s="32">
        <v>0</v>
      </c>
      <c r="M232" s="32">
        <v>50</v>
      </c>
      <c r="N232" s="32" t="s">
        <v>1220</v>
      </c>
      <c r="O232" s="32" t="s">
        <v>908</v>
      </c>
      <c r="P232" s="32" t="s">
        <v>908</v>
      </c>
      <c r="Q232" s="32" t="s">
        <v>911</v>
      </c>
      <c r="R232" s="31">
        <v>46219</v>
      </c>
      <c r="S232" s="32" t="s">
        <v>987</v>
      </c>
      <c r="T232" s="32" t="s">
        <v>988</v>
      </c>
      <c r="U232" s="32" t="s">
        <v>909</v>
      </c>
      <c r="V232" s="32">
        <v>330</v>
      </c>
      <c r="W232" s="32">
        <v>349.6</v>
      </c>
      <c r="X232" s="32" t="s">
        <v>911</v>
      </c>
      <c r="Y232" s="31">
        <v>46219</v>
      </c>
      <c r="Z232" s="32"/>
      <c r="AA232" s="32">
        <v>0</v>
      </c>
      <c r="AB232" s="32"/>
      <c r="AC232" s="32" t="s">
        <v>1221</v>
      </c>
      <c r="AD232" s="32">
        <v>4102516008</v>
      </c>
      <c r="AE232" s="32">
        <v>0</v>
      </c>
      <c r="AF232" s="32">
        <v>0</v>
      </c>
      <c r="AG232" s="32">
        <v>0</v>
      </c>
      <c r="AH232" s="32">
        <v>0</v>
      </c>
      <c r="AI232" s="32">
        <v>0</v>
      </c>
      <c r="AJ232" s="32" t="s">
        <v>965</v>
      </c>
      <c r="AK232" s="32">
        <v>0</v>
      </c>
      <c r="AL232" s="32">
        <v>0</v>
      </c>
      <c r="AM232" s="32">
        <v>0</v>
      </c>
      <c r="AN232" s="32">
        <v>0</v>
      </c>
      <c r="AO232" s="32">
        <v>0</v>
      </c>
      <c r="AP232" s="32"/>
      <c r="AQ232" s="32">
        <v>0</v>
      </c>
      <c r="AR232" s="32">
        <v>0</v>
      </c>
      <c r="AS232" s="32">
        <v>277058</v>
      </c>
      <c r="AT232" s="32" t="s">
        <v>204</v>
      </c>
      <c r="AU232" s="32" t="s">
        <v>160</v>
      </c>
      <c r="AV232" s="32" t="s">
        <v>160</v>
      </c>
      <c r="AW232" s="32" t="s">
        <v>204</v>
      </c>
      <c r="AX232" s="32" t="s">
        <v>966</v>
      </c>
      <c r="AY232" s="32">
        <v>0</v>
      </c>
      <c r="AZ232" s="32">
        <v>17480</v>
      </c>
      <c r="BA232" s="32">
        <v>367</v>
      </c>
      <c r="BB232" s="31">
        <v>46227</v>
      </c>
      <c r="BC232" s="32" t="s">
        <v>912</v>
      </c>
      <c r="BD232" s="32" t="s">
        <v>967</v>
      </c>
      <c r="BE232" s="32" t="s">
        <v>1222</v>
      </c>
      <c r="BF232" s="32">
        <v>0</v>
      </c>
      <c r="BG232" s="32">
        <v>0</v>
      </c>
      <c r="BH232" s="32">
        <v>0</v>
      </c>
      <c r="BI232" s="32">
        <v>0</v>
      </c>
      <c r="BJ232" s="32">
        <v>18</v>
      </c>
      <c r="BK232" s="32">
        <v>2970</v>
      </c>
      <c r="BL232" s="32">
        <v>0</v>
      </c>
      <c r="BM232" s="32">
        <v>252244921045</v>
      </c>
      <c r="BN232" s="31">
        <v>46219</v>
      </c>
      <c r="BO232" s="32">
        <v>50</v>
      </c>
    </row>
    <row r="233" spans="1:67" x14ac:dyDescent="0.25">
      <c r="A233" s="21"/>
      <c r="B233" s="32" t="s">
        <v>167</v>
      </c>
      <c r="C233" s="31">
        <v>46227</v>
      </c>
      <c r="D233" s="32" t="s">
        <v>1218</v>
      </c>
      <c r="E233" s="32" t="s">
        <v>1224</v>
      </c>
      <c r="F233" s="32" t="s">
        <v>914</v>
      </c>
      <c r="G233" s="32" t="s">
        <v>1219</v>
      </c>
      <c r="H233" s="32">
        <v>25</v>
      </c>
      <c r="I233" s="32">
        <v>25</v>
      </c>
      <c r="J233" s="32" t="s">
        <v>168</v>
      </c>
      <c r="K233" s="32">
        <v>25</v>
      </c>
      <c r="L233" s="32">
        <v>0</v>
      </c>
      <c r="M233" s="32">
        <v>25</v>
      </c>
      <c r="N233" s="32" t="s">
        <v>1220</v>
      </c>
      <c r="O233" s="32" t="s">
        <v>908</v>
      </c>
      <c r="P233" s="32" t="s">
        <v>908</v>
      </c>
      <c r="Q233" s="32" t="s">
        <v>911</v>
      </c>
      <c r="R233" s="31">
        <v>46219</v>
      </c>
      <c r="S233" s="32" t="s">
        <v>987</v>
      </c>
      <c r="T233" s="32" t="s">
        <v>988</v>
      </c>
      <c r="U233" s="32" t="s">
        <v>909</v>
      </c>
      <c r="V233" s="32">
        <v>277</v>
      </c>
      <c r="W233" s="32">
        <v>311.95469354324098</v>
      </c>
      <c r="X233" s="32" t="s">
        <v>911</v>
      </c>
      <c r="Y233" s="31">
        <v>46219</v>
      </c>
      <c r="Z233" s="32"/>
      <c r="AA233" s="32">
        <v>0</v>
      </c>
      <c r="AB233" s="32"/>
      <c r="AC233" s="32" t="s">
        <v>1221</v>
      </c>
      <c r="AD233" s="32">
        <v>4102516008</v>
      </c>
      <c r="AE233" s="32">
        <v>0</v>
      </c>
      <c r="AF233" s="32">
        <v>0</v>
      </c>
      <c r="AG233" s="32">
        <v>0</v>
      </c>
      <c r="AH233" s="32">
        <v>0</v>
      </c>
      <c r="AI233" s="32">
        <v>0</v>
      </c>
      <c r="AJ233" s="32" t="s">
        <v>965</v>
      </c>
      <c r="AK233" s="32">
        <v>0</v>
      </c>
      <c r="AL233" s="32">
        <v>0</v>
      </c>
      <c r="AM233" s="32">
        <v>0</v>
      </c>
      <c r="AN233" s="32">
        <v>0</v>
      </c>
      <c r="AO233" s="32">
        <v>0</v>
      </c>
      <c r="AP233" s="32"/>
      <c r="AQ233" s="32">
        <v>0</v>
      </c>
      <c r="AR233" s="32">
        <v>0</v>
      </c>
      <c r="AS233" s="32">
        <v>277058</v>
      </c>
      <c r="AT233" s="32" t="s">
        <v>204</v>
      </c>
      <c r="AU233" s="32" t="s">
        <v>160</v>
      </c>
      <c r="AV233" s="32" t="s">
        <v>160</v>
      </c>
      <c r="AW233" s="32" t="s">
        <v>204</v>
      </c>
      <c r="AX233" s="32" t="s">
        <v>966</v>
      </c>
      <c r="AY233" s="32">
        <v>0</v>
      </c>
      <c r="AZ233" s="32">
        <v>7798.87</v>
      </c>
      <c r="BA233" s="32">
        <v>367</v>
      </c>
      <c r="BB233" s="31">
        <v>46227</v>
      </c>
      <c r="BC233" s="32" t="s">
        <v>912</v>
      </c>
      <c r="BD233" s="32" t="s">
        <v>967</v>
      </c>
      <c r="BE233" s="32" t="s">
        <v>1222</v>
      </c>
      <c r="BF233" s="32">
        <v>0</v>
      </c>
      <c r="BG233" s="32">
        <v>0</v>
      </c>
      <c r="BH233" s="32">
        <v>0</v>
      </c>
      <c r="BI233" s="32">
        <v>0</v>
      </c>
      <c r="BJ233" s="32">
        <v>18</v>
      </c>
      <c r="BK233" s="32">
        <v>1246.5</v>
      </c>
      <c r="BL233" s="32">
        <v>0</v>
      </c>
      <c r="BM233" s="32">
        <v>252244921045</v>
      </c>
      <c r="BN233" s="31">
        <v>46219</v>
      </c>
      <c r="BO233" s="32">
        <v>25</v>
      </c>
    </row>
    <row r="234" spans="1:67" x14ac:dyDescent="0.25">
      <c r="A234" s="21"/>
      <c r="B234" s="32" t="s">
        <v>167</v>
      </c>
      <c r="C234" s="31">
        <v>46227</v>
      </c>
      <c r="D234" s="32" t="s">
        <v>1218</v>
      </c>
      <c r="E234" s="32" t="s">
        <v>1225</v>
      </c>
      <c r="F234" s="32" t="s">
        <v>915</v>
      </c>
      <c r="G234" s="32" t="s">
        <v>1219</v>
      </c>
      <c r="H234" s="32">
        <v>50</v>
      </c>
      <c r="I234" s="32">
        <v>50</v>
      </c>
      <c r="J234" s="32" t="s">
        <v>168</v>
      </c>
      <c r="K234" s="32">
        <v>50</v>
      </c>
      <c r="L234" s="32">
        <v>0</v>
      </c>
      <c r="M234" s="32">
        <v>50</v>
      </c>
      <c r="N234" s="32" t="s">
        <v>1220</v>
      </c>
      <c r="O234" s="32" t="s">
        <v>908</v>
      </c>
      <c r="P234" s="32" t="s">
        <v>908</v>
      </c>
      <c r="Q234" s="32" t="s">
        <v>911</v>
      </c>
      <c r="R234" s="31">
        <v>46219</v>
      </c>
      <c r="S234" s="32" t="s">
        <v>987</v>
      </c>
      <c r="T234" s="32" t="s">
        <v>988</v>
      </c>
      <c r="U234" s="32" t="s">
        <v>909</v>
      </c>
      <c r="V234" s="32">
        <v>285</v>
      </c>
      <c r="W234" s="32">
        <v>306.19485807352299</v>
      </c>
      <c r="X234" s="32" t="s">
        <v>911</v>
      </c>
      <c r="Y234" s="31">
        <v>46219</v>
      </c>
      <c r="Z234" s="32"/>
      <c r="AA234" s="32">
        <v>0</v>
      </c>
      <c r="AB234" s="32"/>
      <c r="AC234" s="32" t="s">
        <v>1221</v>
      </c>
      <c r="AD234" s="32">
        <v>4102516008</v>
      </c>
      <c r="AE234" s="32">
        <v>0</v>
      </c>
      <c r="AF234" s="32">
        <v>0</v>
      </c>
      <c r="AG234" s="32">
        <v>0</v>
      </c>
      <c r="AH234" s="32">
        <v>0</v>
      </c>
      <c r="AI234" s="32">
        <v>0</v>
      </c>
      <c r="AJ234" s="32" t="s">
        <v>965</v>
      </c>
      <c r="AK234" s="32">
        <v>0</v>
      </c>
      <c r="AL234" s="32">
        <v>0</v>
      </c>
      <c r="AM234" s="32">
        <v>0</v>
      </c>
      <c r="AN234" s="32">
        <v>0</v>
      </c>
      <c r="AO234" s="32">
        <v>0</v>
      </c>
      <c r="AP234" s="32"/>
      <c r="AQ234" s="32">
        <v>0</v>
      </c>
      <c r="AR234" s="32">
        <v>0</v>
      </c>
      <c r="AS234" s="32">
        <v>277058</v>
      </c>
      <c r="AT234" s="32" t="s">
        <v>204</v>
      </c>
      <c r="AU234" s="32" t="s">
        <v>160</v>
      </c>
      <c r="AV234" s="32" t="s">
        <v>160</v>
      </c>
      <c r="AW234" s="32" t="s">
        <v>204</v>
      </c>
      <c r="AX234" s="32" t="s">
        <v>966</v>
      </c>
      <c r="AY234" s="32">
        <v>0</v>
      </c>
      <c r="AZ234" s="32">
        <v>15309.74</v>
      </c>
      <c r="BA234" s="32">
        <v>367</v>
      </c>
      <c r="BB234" s="31">
        <v>46227</v>
      </c>
      <c r="BC234" s="32" t="s">
        <v>912</v>
      </c>
      <c r="BD234" s="32" t="s">
        <v>967</v>
      </c>
      <c r="BE234" s="32" t="s">
        <v>1222</v>
      </c>
      <c r="BF234" s="32">
        <v>0</v>
      </c>
      <c r="BG234" s="32">
        <v>0</v>
      </c>
      <c r="BH234" s="32">
        <v>0</v>
      </c>
      <c r="BI234" s="32">
        <v>0</v>
      </c>
      <c r="BJ234" s="32">
        <v>18</v>
      </c>
      <c r="BK234" s="32">
        <v>2565</v>
      </c>
      <c r="BL234" s="32">
        <v>0</v>
      </c>
      <c r="BM234" s="32">
        <v>252244921045</v>
      </c>
      <c r="BN234" s="31">
        <v>46219</v>
      </c>
      <c r="BO234" s="32">
        <v>50</v>
      </c>
    </row>
    <row r="235" spans="1:67" x14ac:dyDescent="0.25">
      <c r="A235" s="21"/>
      <c r="B235" s="32" t="s">
        <v>167</v>
      </c>
      <c r="C235" s="31">
        <v>46227</v>
      </c>
      <c r="D235" s="32" t="s">
        <v>1218</v>
      </c>
      <c r="E235" s="32" t="s">
        <v>1226</v>
      </c>
      <c r="F235" s="32" t="s">
        <v>916</v>
      </c>
      <c r="G235" s="32" t="s">
        <v>1219</v>
      </c>
      <c r="H235" s="32">
        <v>50</v>
      </c>
      <c r="I235" s="32">
        <v>50</v>
      </c>
      <c r="J235" s="32" t="s">
        <v>168</v>
      </c>
      <c r="K235" s="32">
        <v>50</v>
      </c>
      <c r="L235" s="32">
        <v>0</v>
      </c>
      <c r="M235" s="32">
        <v>50</v>
      </c>
      <c r="N235" s="32" t="s">
        <v>1220</v>
      </c>
      <c r="O235" s="32" t="s">
        <v>908</v>
      </c>
      <c r="P235" s="32" t="s">
        <v>908</v>
      </c>
      <c r="Q235" s="32" t="s">
        <v>911</v>
      </c>
      <c r="R235" s="31">
        <v>46219</v>
      </c>
      <c r="S235" s="32" t="s">
        <v>987</v>
      </c>
      <c r="T235" s="32" t="s">
        <v>988</v>
      </c>
      <c r="U235" s="32" t="s">
        <v>909</v>
      </c>
      <c r="V235" s="32">
        <v>285</v>
      </c>
      <c r="W235" s="32">
        <v>306.19485807352299</v>
      </c>
      <c r="X235" s="32" t="s">
        <v>911</v>
      </c>
      <c r="Y235" s="31">
        <v>46219</v>
      </c>
      <c r="Z235" s="32"/>
      <c r="AA235" s="32">
        <v>0</v>
      </c>
      <c r="AB235" s="32"/>
      <c r="AC235" s="32" t="s">
        <v>1221</v>
      </c>
      <c r="AD235" s="32">
        <v>4102516008</v>
      </c>
      <c r="AE235" s="32">
        <v>0</v>
      </c>
      <c r="AF235" s="32">
        <v>0</v>
      </c>
      <c r="AG235" s="32">
        <v>0</v>
      </c>
      <c r="AH235" s="32">
        <v>0</v>
      </c>
      <c r="AI235" s="32">
        <v>0</v>
      </c>
      <c r="AJ235" s="32" t="s">
        <v>965</v>
      </c>
      <c r="AK235" s="32">
        <v>0</v>
      </c>
      <c r="AL235" s="32">
        <v>0</v>
      </c>
      <c r="AM235" s="32">
        <v>0</v>
      </c>
      <c r="AN235" s="32">
        <v>0</v>
      </c>
      <c r="AO235" s="32">
        <v>0</v>
      </c>
      <c r="AP235" s="32"/>
      <c r="AQ235" s="32">
        <v>0</v>
      </c>
      <c r="AR235" s="32">
        <v>0</v>
      </c>
      <c r="AS235" s="32">
        <v>277058</v>
      </c>
      <c r="AT235" s="32" t="s">
        <v>204</v>
      </c>
      <c r="AU235" s="32" t="s">
        <v>160</v>
      </c>
      <c r="AV235" s="32" t="s">
        <v>160</v>
      </c>
      <c r="AW235" s="32" t="s">
        <v>204</v>
      </c>
      <c r="AX235" s="32" t="s">
        <v>966</v>
      </c>
      <c r="AY235" s="32">
        <v>0</v>
      </c>
      <c r="AZ235" s="32">
        <v>15309.74</v>
      </c>
      <c r="BA235" s="32">
        <v>367</v>
      </c>
      <c r="BB235" s="31">
        <v>46227</v>
      </c>
      <c r="BC235" s="32" t="s">
        <v>912</v>
      </c>
      <c r="BD235" s="32" t="s">
        <v>967</v>
      </c>
      <c r="BE235" s="32" t="s">
        <v>1222</v>
      </c>
      <c r="BF235" s="32">
        <v>0</v>
      </c>
      <c r="BG235" s="32">
        <v>0</v>
      </c>
      <c r="BH235" s="32">
        <v>0</v>
      </c>
      <c r="BI235" s="32">
        <v>0</v>
      </c>
      <c r="BJ235" s="32">
        <v>18</v>
      </c>
      <c r="BK235" s="32">
        <v>2565</v>
      </c>
      <c r="BL235" s="32">
        <v>0</v>
      </c>
      <c r="BM235" s="32">
        <v>252244921045</v>
      </c>
      <c r="BN235" s="31">
        <v>46219</v>
      </c>
      <c r="BO235" s="32">
        <v>50</v>
      </c>
    </row>
    <row r="236" spans="1:67" x14ac:dyDescent="0.25">
      <c r="A236" s="21"/>
      <c r="B236" s="32" t="s">
        <v>167</v>
      </c>
      <c r="C236" s="31">
        <v>46227</v>
      </c>
      <c r="D236" s="32" t="s">
        <v>1218</v>
      </c>
      <c r="E236" s="32" t="s">
        <v>202</v>
      </c>
      <c r="F236" s="32" t="s">
        <v>203</v>
      </c>
      <c r="G236" s="32" t="s">
        <v>1219</v>
      </c>
      <c r="H236" s="32">
        <v>1190</v>
      </c>
      <c r="I236" s="32">
        <v>1190</v>
      </c>
      <c r="J236" s="32" t="s">
        <v>168</v>
      </c>
      <c r="K236" s="32">
        <v>1190</v>
      </c>
      <c r="L236" s="32">
        <v>0</v>
      </c>
      <c r="M236" s="32">
        <v>1190</v>
      </c>
      <c r="N236" s="32" t="s">
        <v>1220</v>
      </c>
      <c r="O236" s="32" t="s">
        <v>908</v>
      </c>
      <c r="P236" s="32" t="s">
        <v>908</v>
      </c>
      <c r="Q236" s="32" t="s">
        <v>911</v>
      </c>
      <c r="R236" s="31">
        <v>46219</v>
      </c>
      <c r="S236" s="32" t="s">
        <v>987</v>
      </c>
      <c r="T236" s="32" t="s">
        <v>988</v>
      </c>
      <c r="U236" s="32" t="s">
        <v>909</v>
      </c>
      <c r="V236" s="32">
        <v>108</v>
      </c>
      <c r="W236" s="32">
        <v>67.545010422183097</v>
      </c>
      <c r="X236" s="32" t="s">
        <v>911</v>
      </c>
      <c r="Y236" s="31">
        <v>46219</v>
      </c>
      <c r="Z236" s="32"/>
      <c r="AA236" s="32">
        <v>0</v>
      </c>
      <c r="AB236" s="32"/>
      <c r="AC236" s="32" t="s">
        <v>1221</v>
      </c>
      <c r="AD236" s="32">
        <v>4102516008</v>
      </c>
      <c r="AE236" s="32">
        <v>0</v>
      </c>
      <c r="AF236" s="32">
        <v>0</v>
      </c>
      <c r="AG236" s="32">
        <v>0</v>
      </c>
      <c r="AH236" s="32">
        <v>0</v>
      </c>
      <c r="AI236" s="32">
        <v>0</v>
      </c>
      <c r="AJ236" s="32" t="s">
        <v>965</v>
      </c>
      <c r="AK236" s="32">
        <v>0</v>
      </c>
      <c r="AL236" s="32">
        <v>0</v>
      </c>
      <c r="AM236" s="32">
        <v>0</v>
      </c>
      <c r="AN236" s="32">
        <v>0</v>
      </c>
      <c r="AO236" s="32">
        <v>0</v>
      </c>
      <c r="AP236" s="32"/>
      <c r="AQ236" s="32">
        <v>0</v>
      </c>
      <c r="AR236" s="32">
        <v>0</v>
      </c>
      <c r="AS236" s="32">
        <v>277058</v>
      </c>
      <c r="AT236" s="32" t="s">
        <v>204</v>
      </c>
      <c r="AU236" s="32" t="s">
        <v>160</v>
      </c>
      <c r="AV236" s="32" t="s">
        <v>165</v>
      </c>
      <c r="AW236" s="32" t="s">
        <v>204</v>
      </c>
      <c r="AX236" s="32" t="s">
        <v>966</v>
      </c>
      <c r="AY236" s="32">
        <v>0</v>
      </c>
      <c r="AZ236" s="32">
        <v>80378.559999999998</v>
      </c>
      <c r="BA236" s="32">
        <v>367</v>
      </c>
      <c r="BB236" s="31">
        <v>46227</v>
      </c>
      <c r="BC236" s="32" t="s">
        <v>912</v>
      </c>
      <c r="BD236" s="32" t="s">
        <v>967</v>
      </c>
      <c r="BE236" s="32" t="s">
        <v>1222</v>
      </c>
      <c r="BF236" s="32">
        <v>0</v>
      </c>
      <c r="BG236" s="32">
        <v>0</v>
      </c>
      <c r="BH236" s="32">
        <v>0</v>
      </c>
      <c r="BI236" s="32">
        <v>0</v>
      </c>
      <c r="BJ236" s="32">
        <v>18</v>
      </c>
      <c r="BK236" s="32">
        <v>23133.599999999999</v>
      </c>
      <c r="BL236" s="32">
        <v>0</v>
      </c>
      <c r="BM236" s="32">
        <v>252244921045</v>
      </c>
      <c r="BN236" s="31">
        <v>46219</v>
      </c>
      <c r="BO236" s="32">
        <v>1190</v>
      </c>
    </row>
    <row r="237" spans="1:67" x14ac:dyDescent="0.25">
      <c r="A237" s="21"/>
      <c r="B237" s="32" t="s">
        <v>167</v>
      </c>
      <c r="C237" s="31">
        <v>46227</v>
      </c>
      <c r="D237" s="32" t="s">
        <v>1227</v>
      </c>
      <c r="E237" s="32" t="s">
        <v>186</v>
      </c>
      <c r="F237" s="32" t="s">
        <v>187</v>
      </c>
      <c r="G237" s="32" t="s">
        <v>1228</v>
      </c>
      <c r="H237" s="32">
        <v>892</v>
      </c>
      <c r="I237" s="32">
        <v>892</v>
      </c>
      <c r="J237" s="32" t="s">
        <v>168</v>
      </c>
      <c r="K237" s="32">
        <v>892</v>
      </c>
      <c r="L237" s="32">
        <v>0</v>
      </c>
      <c r="M237" s="32">
        <v>892</v>
      </c>
      <c r="N237" s="32" t="s">
        <v>1229</v>
      </c>
      <c r="O237" s="32" t="s">
        <v>654</v>
      </c>
      <c r="P237" s="32" t="s">
        <v>654</v>
      </c>
      <c r="Q237" s="32" t="s">
        <v>905</v>
      </c>
      <c r="R237" s="31">
        <v>46227</v>
      </c>
      <c r="S237" s="32" t="s">
        <v>987</v>
      </c>
      <c r="T237" s="32" t="s">
        <v>988</v>
      </c>
      <c r="U237" s="32" t="s">
        <v>904</v>
      </c>
      <c r="V237" s="32">
        <v>149.49</v>
      </c>
      <c r="W237" s="32">
        <v>149.49</v>
      </c>
      <c r="X237" s="32" t="s">
        <v>905</v>
      </c>
      <c r="Y237" s="31">
        <v>46227</v>
      </c>
      <c r="Z237" s="32"/>
      <c r="AA237" s="32">
        <v>0</v>
      </c>
      <c r="AB237" s="32"/>
      <c r="AC237" s="32">
        <v>0</v>
      </c>
      <c r="AD237" s="32">
        <v>0</v>
      </c>
      <c r="AE237" s="32">
        <v>0</v>
      </c>
      <c r="AF237" s="32">
        <v>0</v>
      </c>
      <c r="AG237" s="32">
        <v>0</v>
      </c>
      <c r="AH237" s="32">
        <v>0</v>
      </c>
      <c r="AI237" s="32">
        <v>0</v>
      </c>
      <c r="AJ237" s="32" t="s">
        <v>965</v>
      </c>
      <c r="AK237" s="32">
        <v>0</v>
      </c>
      <c r="AL237" s="32">
        <v>0</v>
      </c>
      <c r="AM237" s="32">
        <v>0</v>
      </c>
      <c r="AN237" s="32">
        <v>0</v>
      </c>
      <c r="AO237" s="32">
        <v>0</v>
      </c>
      <c r="AP237" s="32"/>
      <c r="AQ237" s="32">
        <v>0</v>
      </c>
      <c r="AR237" s="32">
        <v>0</v>
      </c>
      <c r="AS237" s="32">
        <v>157347.20000000001</v>
      </c>
      <c r="AT237" s="32" t="s">
        <v>169</v>
      </c>
      <c r="AU237" s="32" t="s">
        <v>180</v>
      </c>
      <c r="AV237" s="32" t="s">
        <v>155</v>
      </c>
      <c r="AW237" s="32" t="s">
        <v>171</v>
      </c>
      <c r="AX237" s="32" t="s">
        <v>966</v>
      </c>
      <c r="AY237" s="32">
        <v>0</v>
      </c>
      <c r="AZ237" s="32">
        <v>133345.07999999999</v>
      </c>
      <c r="BA237" s="32">
        <v>366</v>
      </c>
      <c r="BB237" s="31">
        <v>46227</v>
      </c>
      <c r="BC237" s="32" t="s">
        <v>177</v>
      </c>
      <c r="BD237" s="32" t="s">
        <v>967</v>
      </c>
      <c r="BE237" s="32" t="s">
        <v>967</v>
      </c>
      <c r="BF237" s="32">
        <v>9</v>
      </c>
      <c r="BG237" s="32">
        <v>12001.06</v>
      </c>
      <c r="BH237" s="32">
        <v>9</v>
      </c>
      <c r="BI237" s="32">
        <v>12001.06</v>
      </c>
      <c r="BJ237" s="32">
        <v>0</v>
      </c>
      <c r="BK237" s="32">
        <v>0</v>
      </c>
      <c r="BL237" s="32">
        <v>157347.20000000001</v>
      </c>
      <c r="BM237" s="32">
        <v>612150400249</v>
      </c>
      <c r="BN237" s="31">
        <v>46227</v>
      </c>
      <c r="BO237" s="32">
        <v>892</v>
      </c>
    </row>
    <row r="238" spans="1:67" x14ac:dyDescent="0.25">
      <c r="A238" s="21"/>
      <c r="B238" s="32" t="s">
        <v>167</v>
      </c>
      <c r="C238" s="31">
        <v>46227</v>
      </c>
      <c r="D238" s="32" t="s">
        <v>1230</v>
      </c>
      <c r="E238" s="32" t="s">
        <v>1151</v>
      </c>
      <c r="F238" s="32" t="s">
        <v>845</v>
      </c>
      <c r="G238" s="32" t="s">
        <v>1231</v>
      </c>
      <c r="H238" s="32">
        <v>5000</v>
      </c>
      <c r="I238" s="32">
        <v>5000</v>
      </c>
      <c r="J238" s="32" t="s">
        <v>168</v>
      </c>
      <c r="K238" s="32">
        <v>5000</v>
      </c>
      <c r="L238" s="32">
        <v>0</v>
      </c>
      <c r="M238" s="32">
        <v>5000</v>
      </c>
      <c r="N238" s="32" t="s">
        <v>175</v>
      </c>
      <c r="O238" s="32" t="s">
        <v>654</v>
      </c>
      <c r="P238" s="32" t="s">
        <v>654</v>
      </c>
      <c r="Q238" s="32" t="s">
        <v>907</v>
      </c>
      <c r="R238" s="31">
        <v>46227</v>
      </c>
      <c r="S238" s="32" t="s">
        <v>987</v>
      </c>
      <c r="T238" s="32" t="s">
        <v>988</v>
      </c>
      <c r="U238" s="32" t="s">
        <v>906</v>
      </c>
      <c r="V238" s="32">
        <v>124.4</v>
      </c>
      <c r="W238" s="32">
        <v>124.4</v>
      </c>
      <c r="X238" s="32" t="s">
        <v>907</v>
      </c>
      <c r="Y238" s="31">
        <v>46227</v>
      </c>
      <c r="Z238" s="32"/>
      <c r="AA238" s="32">
        <v>0</v>
      </c>
      <c r="AB238" s="32"/>
      <c r="AC238" s="32">
        <v>0</v>
      </c>
      <c r="AD238" s="32">
        <v>0</v>
      </c>
      <c r="AE238" s="32">
        <v>0</v>
      </c>
      <c r="AF238" s="32">
        <v>0</v>
      </c>
      <c r="AG238" s="32">
        <v>0</v>
      </c>
      <c r="AH238" s="32">
        <v>0</v>
      </c>
      <c r="AI238" s="32">
        <v>0</v>
      </c>
      <c r="AJ238" s="32" t="s">
        <v>965</v>
      </c>
      <c r="AK238" s="32">
        <v>0</v>
      </c>
      <c r="AL238" s="32">
        <v>0</v>
      </c>
      <c r="AM238" s="32">
        <v>0</v>
      </c>
      <c r="AN238" s="32">
        <v>0</v>
      </c>
      <c r="AO238" s="32">
        <v>0</v>
      </c>
      <c r="AP238" s="32"/>
      <c r="AQ238" s="32">
        <v>0</v>
      </c>
      <c r="AR238" s="32">
        <v>0</v>
      </c>
      <c r="AS238" s="32">
        <v>733960</v>
      </c>
      <c r="AT238" s="32" t="s">
        <v>171</v>
      </c>
      <c r="AU238" s="32" t="s">
        <v>185</v>
      </c>
      <c r="AV238" s="32" t="s">
        <v>704</v>
      </c>
      <c r="AW238" s="32" t="s">
        <v>171</v>
      </c>
      <c r="AX238" s="32"/>
      <c r="AY238" s="32">
        <v>0</v>
      </c>
      <c r="AZ238" s="32">
        <v>622000</v>
      </c>
      <c r="BA238" s="32">
        <v>368</v>
      </c>
      <c r="BB238" s="31">
        <v>46227</v>
      </c>
      <c r="BC238" s="32" t="s">
        <v>177</v>
      </c>
      <c r="BD238" s="32" t="s">
        <v>967</v>
      </c>
      <c r="BE238" s="32" t="s">
        <v>967</v>
      </c>
      <c r="BF238" s="32">
        <v>9</v>
      </c>
      <c r="BG238" s="32">
        <v>55980</v>
      </c>
      <c r="BH238" s="32">
        <v>9</v>
      </c>
      <c r="BI238" s="32">
        <v>55980</v>
      </c>
      <c r="BJ238" s="32">
        <v>0</v>
      </c>
      <c r="BK238" s="32">
        <v>0</v>
      </c>
      <c r="BL238" s="32">
        <v>733960</v>
      </c>
      <c r="BM238" s="32">
        <v>652150632589</v>
      </c>
      <c r="BN238" s="31">
        <v>46227</v>
      </c>
      <c r="BO238" s="32">
        <v>5000</v>
      </c>
    </row>
    <row r="239" spans="1:67" x14ac:dyDescent="0.25">
      <c r="A239" s="21"/>
      <c r="B239" s="32" t="s">
        <v>167</v>
      </c>
      <c r="C239" s="31">
        <v>46228</v>
      </c>
      <c r="D239" s="32" t="s">
        <v>1232</v>
      </c>
      <c r="E239" s="32" t="s">
        <v>173</v>
      </c>
      <c r="F239" s="32" t="s">
        <v>174</v>
      </c>
      <c r="G239" s="32" t="s">
        <v>1233</v>
      </c>
      <c r="H239" s="32">
        <v>1386</v>
      </c>
      <c r="I239" s="32">
        <v>1386</v>
      </c>
      <c r="J239" s="32" t="s">
        <v>168</v>
      </c>
      <c r="K239" s="32">
        <v>1386</v>
      </c>
      <c r="L239" s="32">
        <v>0</v>
      </c>
      <c r="M239" s="32">
        <v>1386</v>
      </c>
      <c r="N239" s="32" t="s">
        <v>175</v>
      </c>
      <c r="O239" s="32" t="s">
        <v>654</v>
      </c>
      <c r="P239" s="32" t="s">
        <v>654</v>
      </c>
      <c r="Q239" s="32" t="s">
        <v>918</v>
      </c>
      <c r="R239" s="31">
        <v>46228</v>
      </c>
      <c r="S239" s="32" t="s">
        <v>987</v>
      </c>
      <c r="T239" s="32" t="s">
        <v>988</v>
      </c>
      <c r="U239" s="32" t="s">
        <v>917</v>
      </c>
      <c r="V239" s="32">
        <v>182.78</v>
      </c>
      <c r="W239" s="32">
        <v>182.779998453345</v>
      </c>
      <c r="X239" s="32" t="s">
        <v>918</v>
      </c>
      <c r="Y239" s="31">
        <v>46228</v>
      </c>
      <c r="Z239" s="32" t="s">
        <v>193</v>
      </c>
      <c r="AA239" s="32" t="s">
        <v>193</v>
      </c>
      <c r="AB239" s="32"/>
      <c r="AC239" s="32" t="s">
        <v>193</v>
      </c>
      <c r="AD239" s="32" t="s">
        <v>193</v>
      </c>
      <c r="AE239" s="32">
        <v>0</v>
      </c>
      <c r="AF239" s="32">
        <v>0</v>
      </c>
      <c r="AG239" s="32">
        <v>0</v>
      </c>
      <c r="AH239" s="32">
        <v>0</v>
      </c>
      <c r="AI239" s="32">
        <v>0</v>
      </c>
      <c r="AJ239" s="32" t="s">
        <v>965</v>
      </c>
      <c r="AK239" s="32">
        <v>0</v>
      </c>
      <c r="AL239" s="32">
        <v>0</v>
      </c>
      <c r="AM239" s="32">
        <v>0</v>
      </c>
      <c r="AN239" s="32">
        <v>0</v>
      </c>
      <c r="AO239" s="32">
        <v>0</v>
      </c>
      <c r="AP239" s="32"/>
      <c r="AQ239" s="32">
        <v>0</v>
      </c>
      <c r="AR239" s="32">
        <v>0</v>
      </c>
      <c r="AS239" s="32">
        <v>1063598.71</v>
      </c>
      <c r="AT239" s="32" t="s">
        <v>169</v>
      </c>
      <c r="AU239" s="32" t="s">
        <v>176</v>
      </c>
      <c r="AV239" s="32" t="s">
        <v>159</v>
      </c>
      <c r="AW239" s="32" t="s">
        <v>171</v>
      </c>
      <c r="AX239" s="32" t="s">
        <v>966</v>
      </c>
      <c r="AY239" s="32">
        <v>0</v>
      </c>
      <c r="AZ239" s="32">
        <v>253333.08</v>
      </c>
      <c r="BA239" s="32">
        <v>369</v>
      </c>
      <c r="BB239" s="31">
        <v>46228</v>
      </c>
      <c r="BC239" s="32" t="s">
        <v>177</v>
      </c>
      <c r="BD239" s="32" t="s">
        <v>967</v>
      </c>
      <c r="BE239" s="32" t="s">
        <v>967</v>
      </c>
      <c r="BF239" s="32">
        <v>9</v>
      </c>
      <c r="BG239" s="32">
        <v>22799.98</v>
      </c>
      <c r="BH239" s="32">
        <v>9</v>
      </c>
      <c r="BI239" s="32">
        <v>22799.98</v>
      </c>
      <c r="BJ239" s="32">
        <v>0</v>
      </c>
      <c r="BK239" s="32">
        <v>0</v>
      </c>
      <c r="BL239" s="32">
        <v>1063598.71</v>
      </c>
      <c r="BM239" s="32">
        <v>682151328107</v>
      </c>
      <c r="BN239" s="31">
        <v>46228</v>
      </c>
      <c r="BO239" s="32">
        <v>1386</v>
      </c>
    </row>
    <row r="240" spans="1:67" x14ac:dyDescent="0.25">
      <c r="A240" s="21"/>
      <c r="B240" s="32" t="s">
        <v>167</v>
      </c>
      <c r="C240" s="31">
        <v>46228</v>
      </c>
      <c r="D240" s="32" t="s">
        <v>1232</v>
      </c>
      <c r="E240" s="32" t="s">
        <v>1009</v>
      </c>
      <c r="F240" s="32" t="s">
        <v>684</v>
      </c>
      <c r="G240" s="32" t="s">
        <v>1233</v>
      </c>
      <c r="H240" s="32">
        <v>948.6</v>
      </c>
      <c r="I240" s="32">
        <v>948.6</v>
      </c>
      <c r="J240" s="32" t="s">
        <v>188</v>
      </c>
      <c r="K240" s="32">
        <v>948.6</v>
      </c>
      <c r="L240" s="32">
        <v>0</v>
      </c>
      <c r="M240" s="32">
        <v>948.6</v>
      </c>
      <c r="N240" s="32" t="s">
        <v>175</v>
      </c>
      <c r="O240" s="32" t="s">
        <v>654</v>
      </c>
      <c r="P240" s="32" t="s">
        <v>654</v>
      </c>
      <c r="Q240" s="32" t="s">
        <v>918</v>
      </c>
      <c r="R240" s="31">
        <v>46228</v>
      </c>
      <c r="S240" s="32" t="s">
        <v>987</v>
      </c>
      <c r="T240" s="32" t="s">
        <v>988</v>
      </c>
      <c r="U240" s="32" t="s">
        <v>917</v>
      </c>
      <c r="V240" s="32">
        <v>156.49</v>
      </c>
      <c r="W240" s="32">
        <v>156.48999867580699</v>
      </c>
      <c r="X240" s="32" t="s">
        <v>918</v>
      </c>
      <c r="Y240" s="31">
        <v>46228</v>
      </c>
      <c r="Z240" s="32" t="s">
        <v>193</v>
      </c>
      <c r="AA240" s="32" t="s">
        <v>193</v>
      </c>
      <c r="AB240" s="32"/>
      <c r="AC240" s="32" t="s">
        <v>193</v>
      </c>
      <c r="AD240" s="32" t="s">
        <v>193</v>
      </c>
      <c r="AE240" s="32">
        <v>0</v>
      </c>
      <c r="AF240" s="32">
        <v>0</v>
      </c>
      <c r="AG240" s="32">
        <v>0</v>
      </c>
      <c r="AH240" s="32">
        <v>0</v>
      </c>
      <c r="AI240" s="32">
        <v>0</v>
      </c>
      <c r="AJ240" s="32" t="s">
        <v>965</v>
      </c>
      <c r="AK240" s="32">
        <v>0</v>
      </c>
      <c r="AL240" s="32">
        <v>0</v>
      </c>
      <c r="AM240" s="32">
        <v>0</v>
      </c>
      <c r="AN240" s="32">
        <v>0</v>
      </c>
      <c r="AO240" s="32">
        <v>0</v>
      </c>
      <c r="AP240" s="32"/>
      <c r="AQ240" s="32">
        <v>0</v>
      </c>
      <c r="AR240" s="32">
        <v>0</v>
      </c>
      <c r="AS240" s="32">
        <v>1063598.71</v>
      </c>
      <c r="AT240" s="32" t="s">
        <v>169</v>
      </c>
      <c r="AU240" s="32" t="s">
        <v>170</v>
      </c>
      <c r="AV240" s="32" t="s">
        <v>157</v>
      </c>
      <c r="AW240" s="32" t="s">
        <v>171</v>
      </c>
      <c r="AX240" s="32"/>
      <c r="AY240" s="32">
        <v>0</v>
      </c>
      <c r="AZ240" s="32">
        <v>148446.41</v>
      </c>
      <c r="BA240" s="32">
        <v>369</v>
      </c>
      <c r="BB240" s="31">
        <v>46228</v>
      </c>
      <c r="BC240" s="32" t="s">
        <v>177</v>
      </c>
      <c r="BD240" s="32" t="s">
        <v>967</v>
      </c>
      <c r="BE240" s="32" t="s">
        <v>967</v>
      </c>
      <c r="BF240" s="32">
        <v>2.5</v>
      </c>
      <c r="BG240" s="32">
        <v>3711.16</v>
      </c>
      <c r="BH240" s="32">
        <v>2.5</v>
      </c>
      <c r="BI240" s="32">
        <v>3711.16</v>
      </c>
      <c r="BJ240" s="32">
        <v>0</v>
      </c>
      <c r="BK240" s="32">
        <v>0</v>
      </c>
      <c r="BL240" s="32">
        <v>0</v>
      </c>
      <c r="BM240" s="32">
        <v>682151328107</v>
      </c>
      <c r="BN240" s="31">
        <v>46228</v>
      </c>
      <c r="BO240" s="32">
        <v>948.6</v>
      </c>
    </row>
    <row r="241" spans="1:67" x14ac:dyDescent="0.25">
      <c r="A241" s="21"/>
      <c r="B241" s="32" t="s">
        <v>167</v>
      </c>
      <c r="C241" s="31">
        <v>46228</v>
      </c>
      <c r="D241" s="32" t="s">
        <v>1232</v>
      </c>
      <c r="E241" s="32" t="s">
        <v>1006</v>
      </c>
      <c r="F241" s="32" t="s">
        <v>681</v>
      </c>
      <c r="G241" s="32" t="s">
        <v>1233</v>
      </c>
      <c r="H241" s="32">
        <v>54</v>
      </c>
      <c r="I241" s="32">
        <v>54</v>
      </c>
      <c r="J241" s="32" t="s">
        <v>168</v>
      </c>
      <c r="K241" s="32">
        <v>54</v>
      </c>
      <c r="L241" s="32">
        <v>0</v>
      </c>
      <c r="M241" s="32">
        <v>54</v>
      </c>
      <c r="N241" s="32" t="s">
        <v>175</v>
      </c>
      <c r="O241" s="32" t="s">
        <v>654</v>
      </c>
      <c r="P241" s="32" t="s">
        <v>654</v>
      </c>
      <c r="Q241" s="32" t="s">
        <v>918</v>
      </c>
      <c r="R241" s="31">
        <v>46228</v>
      </c>
      <c r="S241" s="32" t="s">
        <v>987</v>
      </c>
      <c r="T241" s="32" t="s">
        <v>988</v>
      </c>
      <c r="U241" s="32" t="s">
        <v>917</v>
      </c>
      <c r="V241" s="32">
        <v>160.99</v>
      </c>
      <c r="W241" s="32">
        <v>160.989998637729</v>
      </c>
      <c r="X241" s="32" t="s">
        <v>918</v>
      </c>
      <c r="Y241" s="31">
        <v>46228</v>
      </c>
      <c r="Z241" s="32" t="s">
        <v>193</v>
      </c>
      <c r="AA241" s="32" t="s">
        <v>193</v>
      </c>
      <c r="AB241" s="32"/>
      <c r="AC241" s="32" t="s">
        <v>193</v>
      </c>
      <c r="AD241" s="32" t="s">
        <v>193</v>
      </c>
      <c r="AE241" s="32">
        <v>0</v>
      </c>
      <c r="AF241" s="32">
        <v>0</v>
      </c>
      <c r="AG241" s="32">
        <v>0</v>
      </c>
      <c r="AH241" s="32">
        <v>0</v>
      </c>
      <c r="AI241" s="32">
        <v>0</v>
      </c>
      <c r="AJ241" s="32" t="s">
        <v>965</v>
      </c>
      <c r="AK241" s="32">
        <v>0</v>
      </c>
      <c r="AL241" s="32">
        <v>0</v>
      </c>
      <c r="AM241" s="32">
        <v>0</v>
      </c>
      <c r="AN241" s="32">
        <v>0</v>
      </c>
      <c r="AO241" s="32">
        <v>0</v>
      </c>
      <c r="AP241" s="32"/>
      <c r="AQ241" s="32">
        <v>0</v>
      </c>
      <c r="AR241" s="32">
        <v>0</v>
      </c>
      <c r="AS241" s="32">
        <v>1063598.71</v>
      </c>
      <c r="AT241" s="32" t="s">
        <v>169</v>
      </c>
      <c r="AU241" s="32" t="s">
        <v>170</v>
      </c>
      <c r="AV241" s="32" t="s">
        <v>157</v>
      </c>
      <c r="AW241" s="32" t="s">
        <v>171</v>
      </c>
      <c r="AX241" s="32" t="s">
        <v>966</v>
      </c>
      <c r="AY241" s="32">
        <v>0</v>
      </c>
      <c r="AZ241" s="32">
        <v>8693.4599999999991</v>
      </c>
      <c r="BA241" s="32">
        <v>369</v>
      </c>
      <c r="BB241" s="31">
        <v>46228</v>
      </c>
      <c r="BC241" s="32" t="s">
        <v>177</v>
      </c>
      <c r="BD241" s="32" t="s">
        <v>967</v>
      </c>
      <c r="BE241" s="32" t="s">
        <v>967</v>
      </c>
      <c r="BF241" s="32">
        <v>2.5</v>
      </c>
      <c r="BG241" s="32">
        <v>217.34</v>
      </c>
      <c r="BH241" s="32">
        <v>2.5</v>
      </c>
      <c r="BI241" s="32">
        <v>217.34</v>
      </c>
      <c r="BJ241" s="32">
        <v>0</v>
      </c>
      <c r="BK241" s="32">
        <v>0</v>
      </c>
      <c r="BL241" s="32">
        <v>0</v>
      </c>
      <c r="BM241" s="32">
        <v>682151328107</v>
      </c>
      <c r="BN241" s="31">
        <v>46228</v>
      </c>
      <c r="BO241" s="32">
        <v>54</v>
      </c>
    </row>
    <row r="242" spans="1:67" x14ac:dyDescent="0.25">
      <c r="A242" s="21"/>
      <c r="B242" s="32" t="s">
        <v>167</v>
      </c>
      <c r="C242" s="31">
        <v>46228</v>
      </c>
      <c r="D242" s="32" t="s">
        <v>1232</v>
      </c>
      <c r="E242" s="32" t="s">
        <v>181</v>
      </c>
      <c r="F242" s="32" t="s">
        <v>182</v>
      </c>
      <c r="G242" s="32" t="s">
        <v>1233</v>
      </c>
      <c r="H242" s="32">
        <v>1007.9</v>
      </c>
      <c r="I242" s="32">
        <v>1007.9</v>
      </c>
      <c r="J242" s="32" t="s">
        <v>168</v>
      </c>
      <c r="K242" s="32">
        <v>1007.9</v>
      </c>
      <c r="L242" s="32">
        <v>0</v>
      </c>
      <c r="M242" s="32">
        <v>1007.9</v>
      </c>
      <c r="N242" s="32" t="s">
        <v>175</v>
      </c>
      <c r="O242" s="32" t="s">
        <v>654</v>
      </c>
      <c r="P242" s="32" t="s">
        <v>654</v>
      </c>
      <c r="Q242" s="32" t="s">
        <v>918</v>
      </c>
      <c r="R242" s="31">
        <v>46228</v>
      </c>
      <c r="S242" s="32" t="s">
        <v>987</v>
      </c>
      <c r="T242" s="32" t="s">
        <v>988</v>
      </c>
      <c r="U242" s="32" t="s">
        <v>917</v>
      </c>
      <c r="V242" s="32">
        <v>149.49</v>
      </c>
      <c r="W242" s="32">
        <v>149.48999873503999</v>
      </c>
      <c r="X242" s="32" t="s">
        <v>918</v>
      </c>
      <c r="Y242" s="31">
        <v>46228</v>
      </c>
      <c r="Z242" s="32" t="s">
        <v>193</v>
      </c>
      <c r="AA242" s="32" t="s">
        <v>193</v>
      </c>
      <c r="AB242" s="32"/>
      <c r="AC242" s="32" t="s">
        <v>193</v>
      </c>
      <c r="AD242" s="32" t="s">
        <v>193</v>
      </c>
      <c r="AE242" s="32">
        <v>0</v>
      </c>
      <c r="AF242" s="32">
        <v>0</v>
      </c>
      <c r="AG242" s="32">
        <v>0</v>
      </c>
      <c r="AH242" s="32">
        <v>0</v>
      </c>
      <c r="AI242" s="32">
        <v>0</v>
      </c>
      <c r="AJ242" s="32" t="s">
        <v>965</v>
      </c>
      <c r="AK242" s="32">
        <v>0</v>
      </c>
      <c r="AL242" s="32">
        <v>0</v>
      </c>
      <c r="AM242" s="32">
        <v>0</v>
      </c>
      <c r="AN242" s="32">
        <v>0</v>
      </c>
      <c r="AO242" s="32">
        <v>0</v>
      </c>
      <c r="AP242" s="32"/>
      <c r="AQ242" s="32">
        <v>0</v>
      </c>
      <c r="AR242" s="32">
        <v>0</v>
      </c>
      <c r="AS242" s="32">
        <v>1063598.71</v>
      </c>
      <c r="AT242" s="32" t="s">
        <v>169</v>
      </c>
      <c r="AU242" s="32" t="s">
        <v>182</v>
      </c>
      <c r="AV242" s="32" t="s">
        <v>154</v>
      </c>
      <c r="AW242" s="32" t="s">
        <v>171</v>
      </c>
      <c r="AX242" s="32" t="s">
        <v>966</v>
      </c>
      <c r="AY242" s="32">
        <v>0</v>
      </c>
      <c r="AZ242" s="32">
        <v>150670.97</v>
      </c>
      <c r="BA242" s="32">
        <v>369</v>
      </c>
      <c r="BB242" s="31">
        <v>46228</v>
      </c>
      <c r="BC242" s="32" t="s">
        <v>177</v>
      </c>
      <c r="BD242" s="32" t="s">
        <v>967</v>
      </c>
      <c r="BE242" s="32" t="s">
        <v>967</v>
      </c>
      <c r="BF242" s="32">
        <v>9</v>
      </c>
      <c r="BG242" s="32">
        <v>13560.39</v>
      </c>
      <c r="BH242" s="32">
        <v>9</v>
      </c>
      <c r="BI242" s="32">
        <v>13560.39</v>
      </c>
      <c r="BJ242" s="32">
        <v>0</v>
      </c>
      <c r="BK242" s="32">
        <v>0</v>
      </c>
      <c r="BL242" s="32">
        <v>0</v>
      </c>
      <c r="BM242" s="32">
        <v>682151328107</v>
      </c>
      <c r="BN242" s="31">
        <v>46228</v>
      </c>
      <c r="BO242" s="32">
        <v>1007.9</v>
      </c>
    </row>
    <row r="243" spans="1:67" x14ac:dyDescent="0.25">
      <c r="A243" s="21"/>
      <c r="B243" s="32" t="s">
        <v>167</v>
      </c>
      <c r="C243" s="31">
        <v>46228</v>
      </c>
      <c r="D243" s="32" t="s">
        <v>1232</v>
      </c>
      <c r="E243" s="32" t="s">
        <v>181</v>
      </c>
      <c r="F243" s="32" t="s">
        <v>182</v>
      </c>
      <c r="G243" s="32" t="s">
        <v>1233</v>
      </c>
      <c r="H243" s="32">
        <v>1107.5999999999999</v>
      </c>
      <c r="I243" s="32">
        <v>1107.5999999999999</v>
      </c>
      <c r="J243" s="32" t="s">
        <v>168</v>
      </c>
      <c r="K243" s="32">
        <v>1107.5999999999999</v>
      </c>
      <c r="L243" s="32">
        <v>0</v>
      </c>
      <c r="M243" s="32">
        <v>1107.5999999999999</v>
      </c>
      <c r="N243" s="32" t="s">
        <v>175</v>
      </c>
      <c r="O243" s="32" t="s">
        <v>654</v>
      </c>
      <c r="P243" s="32" t="s">
        <v>654</v>
      </c>
      <c r="Q243" s="32" t="s">
        <v>918</v>
      </c>
      <c r="R243" s="31">
        <v>46228</v>
      </c>
      <c r="S243" s="32" t="s">
        <v>987</v>
      </c>
      <c r="T243" s="32" t="s">
        <v>988</v>
      </c>
      <c r="U243" s="32" t="s">
        <v>917</v>
      </c>
      <c r="V243" s="32">
        <v>146.49</v>
      </c>
      <c r="W243" s="32">
        <v>146.48999876042501</v>
      </c>
      <c r="X243" s="32" t="s">
        <v>918</v>
      </c>
      <c r="Y243" s="31">
        <v>46228</v>
      </c>
      <c r="Z243" s="32" t="s">
        <v>193</v>
      </c>
      <c r="AA243" s="32" t="s">
        <v>193</v>
      </c>
      <c r="AB243" s="32"/>
      <c r="AC243" s="32" t="s">
        <v>193</v>
      </c>
      <c r="AD243" s="32" t="s">
        <v>193</v>
      </c>
      <c r="AE243" s="32">
        <v>0</v>
      </c>
      <c r="AF243" s="32">
        <v>0</v>
      </c>
      <c r="AG243" s="32">
        <v>0</v>
      </c>
      <c r="AH243" s="32">
        <v>0</v>
      </c>
      <c r="AI243" s="32">
        <v>0</v>
      </c>
      <c r="AJ243" s="32" t="s">
        <v>965</v>
      </c>
      <c r="AK243" s="32">
        <v>0</v>
      </c>
      <c r="AL243" s="32">
        <v>0</v>
      </c>
      <c r="AM243" s="32">
        <v>0</v>
      </c>
      <c r="AN243" s="32">
        <v>0</v>
      </c>
      <c r="AO243" s="32">
        <v>0</v>
      </c>
      <c r="AP243" s="32"/>
      <c r="AQ243" s="32">
        <v>0</v>
      </c>
      <c r="AR243" s="32">
        <v>0</v>
      </c>
      <c r="AS243" s="32">
        <v>1063598.71</v>
      </c>
      <c r="AT243" s="32" t="s">
        <v>169</v>
      </c>
      <c r="AU243" s="32" t="s">
        <v>182</v>
      </c>
      <c r="AV243" s="32" t="s">
        <v>154</v>
      </c>
      <c r="AW243" s="32" t="s">
        <v>171</v>
      </c>
      <c r="AX243" s="32" t="s">
        <v>966</v>
      </c>
      <c r="AY243" s="32">
        <v>0</v>
      </c>
      <c r="AZ243" s="32">
        <v>162252.32</v>
      </c>
      <c r="BA243" s="32">
        <v>369</v>
      </c>
      <c r="BB243" s="31">
        <v>46228</v>
      </c>
      <c r="BC243" s="32" t="s">
        <v>177</v>
      </c>
      <c r="BD243" s="32" t="s">
        <v>967</v>
      </c>
      <c r="BE243" s="32" t="s">
        <v>967</v>
      </c>
      <c r="BF243" s="32">
        <v>9</v>
      </c>
      <c r="BG243" s="32">
        <v>14602.71</v>
      </c>
      <c r="BH243" s="32">
        <v>9</v>
      </c>
      <c r="BI243" s="32">
        <v>14602.71</v>
      </c>
      <c r="BJ243" s="32">
        <v>0</v>
      </c>
      <c r="BK243" s="32">
        <v>0</v>
      </c>
      <c r="BL243" s="32">
        <v>0</v>
      </c>
      <c r="BM243" s="32">
        <v>682151328107</v>
      </c>
      <c r="BN243" s="31">
        <v>46228</v>
      </c>
      <c r="BO243" s="32">
        <v>1107.5999999999999</v>
      </c>
    </row>
    <row r="244" spans="1:67" x14ac:dyDescent="0.25">
      <c r="A244" s="21"/>
      <c r="B244" s="32" t="s">
        <v>167</v>
      </c>
      <c r="C244" s="31">
        <v>46228</v>
      </c>
      <c r="D244" s="32" t="s">
        <v>1232</v>
      </c>
      <c r="E244" s="32" t="s">
        <v>178</v>
      </c>
      <c r="F244" s="32" t="s">
        <v>179</v>
      </c>
      <c r="G244" s="32" t="s">
        <v>1233</v>
      </c>
      <c r="H244" s="32">
        <v>1289</v>
      </c>
      <c r="I244" s="32">
        <v>1289</v>
      </c>
      <c r="J244" s="32" t="s">
        <v>168</v>
      </c>
      <c r="K244" s="32">
        <v>1289</v>
      </c>
      <c r="L244" s="32">
        <v>0</v>
      </c>
      <c r="M244" s="32">
        <v>1289</v>
      </c>
      <c r="N244" s="32" t="s">
        <v>175</v>
      </c>
      <c r="O244" s="32" t="s">
        <v>654</v>
      </c>
      <c r="P244" s="32" t="s">
        <v>654</v>
      </c>
      <c r="Q244" s="32" t="s">
        <v>918</v>
      </c>
      <c r="R244" s="31">
        <v>46228</v>
      </c>
      <c r="S244" s="32" t="s">
        <v>987</v>
      </c>
      <c r="T244" s="32" t="s">
        <v>988</v>
      </c>
      <c r="U244" s="32" t="s">
        <v>917</v>
      </c>
      <c r="V244" s="32">
        <v>151.49</v>
      </c>
      <c r="W244" s="32">
        <v>151.489998718116</v>
      </c>
      <c r="X244" s="32" t="s">
        <v>918</v>
      </c>
      <c r="Y244" s="31">
        <v>46228</v>
      </c>
      <c r="Z244" s="32" t="s">
        <v>193</v>
      </c>
      <c r="AA244" s="32" t="s">
        <v>193</v>
      </c>
      <c r="AB244" s="32"/>
      <c r="AC244" s="32" t="s">
        <v>193</v>
      </c>
      <c r="AD244" s="32" t="s">
        <v>193</v>
      </c>
      <c r="AE244" s="32">
        <v>0</v>
      </c>
      <c r="AF244" s="32">
        <v>0</v>
      </c>
      <c r="AG244" s="32">
        <v>0</v>
      </c>
      <c r="AH244" s="32">
        <v>0</v>
      </c>
      <c r="AI244" s="32">
        <v>0</v>
      </c>
      <c r="AJ244" s="32" t="s">
        <v>965</v>
      </c>
      <c r="AK244" s="32">
        <v>0</v>
      </c>
      <c r="AL244" s="32">
        <v>0</v>
      </c>
      <c r="AM244" s="32">
        <v>0</v>
      </c>
      <c r="AN244" s="32">
        <v>0</v>
      </c>
      <c r="AO244" s="32">
        <v>0</v>
      </c>
      <c r="AP244" s="32"/>
      <c r="AQ244" s="32">
        <v>0</v>
      </c>
      <c r="AR244" s="32">
        <v>0</v>
      </c>
      <c r="AS244" s="32">
        <v>1063598.71</v>
      </c>
      <c r="AT244" s="32" t="s">
        <v>169</v>
      </c>
      <c r="AU244" s="32" t="s">
        <v>180</v>
      </c>
      <c r="AV244" s="32" t="s">
        <v>156</v>
      </c>
      <c r="AW244" s="32" t="s">
        <v>171</v>
      </c>
      <c r="AX244" s="32" t="s">
        <v>966</v>
      </c>
      <c r="AY244" s="32">
        <v>0</v>
      </c>
      <c r="AZ244" s="32">
        <v>195270.61</v>
      </c>
      <c r="BA244" s="32">
        <v>369</v>
      </c>
      <c r="BB244" s="31">
        <v>46228</v>
      </c>
      <c r="BC244" s="32" t="s">
        <v>177</v>
      </c>
      <c r="BD244" s="32" t="s">
        <v>967</v>
      </c>
      <c r="BE244" s="32" t="s">
        <v>967</v>
      </c>
      <c r="BF244" s="32">
        <v>9</v>
      </c>
      <c r="BG244" s="32">
        <v>17574.349999999999</v>
      </c>
      <c r="BH244" s="32">
        <v>9</v>
      </c>
      <c r="BI244" s="32">
        <v>17574.349999999999</v>
      </c>
      <c r="BJ244" s="32">
        <v>0</v>
      </c>
      <c r="BK244" s="32">
        <v>0</v>
      </c>
      <c r="BL244" s="32">
        <v>0</v>
      </c>
      <c r="BM244" s="32">
        <v>682151328107</v>
      </c>
      <c r="BN244" s="31">
        <v>46228</v>
      </c>
      <c r="BO244" s="32">
        <v>1289</v>
      </c>
    </row>
    <row r="245" spans="1:67" x14ac:dyDescent="0.25">
      <c r="A245" s="21"/>
      <c r="B245" s="32" t="s">
        <v>167</v>
      </c>
      <c r="C245" s="31">
        <v>46229</v>
      </c>
      <c r="D245" s="32" t="s">
        <v>1234</v>
      </c>
      <c r="E245" s="32" t="s">
        <v>186</v>
      </c>
      <c r="F245" s="32" t="s">
        <v>187</v>
      </c>
      <c r="G245" s="32" t="s">
        <v>1235</v>
      </c>
      <c r="H245" s="32">
        <v>412</v>
      </c>
      <c r="I245" s="32">
        <v>412</v>
      </c>
      <c r="J245" s="32" t="s">
        <v>168</v>
      </c>
      <c r="K245" s="32">
        <v>412</v>
      </c>
      <c r="L245" s="32">
        <v>0</v>
      </c>
      <c r="M245" s="32">
        <v>412</v>
      </c>
      <c r="N245" s="32" t="s">
        <v>198</v>
      </c>
      <c r="O245" s="32" t="s">
        <v>654</v>
      </c>
      <c r="P245" s="32" t="s">
        <v>654</v>
      </c>
      <c r="Q245" s="32" t="s">
        <v>920</v>
      </c>
      <c r="R245" s="31">
        <v>46229</v>
      </c>
      <c r="S245" s="32" t="s">
        <v>987</v>
      </c>
      <c r="T245" s="32" t="s">
        <v>988</v>
      </c>
      <c r="U245" s="32" t="s">
        <v>919</v>
      </c>
      <c r="V245" s="32">
        <v>144.49</v>
      </c>
      <c r="W245" s="32">
        <v>144.49</v>
      </c>
      <c r="X245" s="32" t="s">
        <v>920</v>
      </c>
      <c r="Y245" s="31">
        <v>46229</v>
      </c>
      <c r="Z245" s="32" t="s">
        <v>193</v>
      </c>
      <c r="AA245" s="32" t="s">
        <v>193</v>
      </c>
      <c r="AB245" s="32"/>
      <c r="AC245" s="32" t="s">
        <v>193</v>
      </c>
      <c r="AD245" s="32" t="s">
        <v>193</v>
      </c>
      <c r="AE245" s="32">
        <v>0</v>
      </c>
      <c r="AF245" s="32">
        <v>0</v>
      </c>
      <c r="AG245" s="32">
        <v>0</v>
      </c>
      <c r="AH245" s="32">
        <v>0</v>
      </c>
      <c r="AI245" s="32">
        <v>0</v>
      </c>
      <c r="AJ245" s="32" t="s">
        <v>965</v>
      </c>
      <c r="AK245" s="32">
        <v>0</v>
      </c>
      <c r="AL245" s="32">
        <v>0</v>
      </c>
      <c r="AM245" s="32">
        <v>0</v>
      </c>
      <c r="AN245" s="32">
        <v>0</v>
      </c>
      <c r="AO245" s="32">
        <v>0</v>
      </c>
      <c r="AP245" s="32"/>
      <c r="AQ245" s="32">
        <v>0</v>
      </c>
      <c r="AR245" s="32">
        <v>0</v>
      </c>
      <c r="AS245" s="32">
        <v>70245.259999999995</v>
      </c>
      <c r="AT245" s="32" t="s">
        <v>169</v>
      </c>
      <c r="AU245" s="32" t="s">
        <v>180</v>
      </c>
      <c r="AV245" s="32" t="s">
        <v>155</v>
      </c>
      <c r="AW245" s="32" t="s">
        <v>171</v>
      </c>
      <c r="AX245" s="32" t="s">
        <v>966</v>
      </c>
      <c r="AY245" s="32">
        <v>0</v>
      </c>
      <c r="AZ245" s="32">
        <v>59529.88</v>
      </c>
      <c r="BA245" s="32">
        <v>370</v>
      </c>
      <c r="BB245" s="31">
        <v>46229</v>
      </c>
      <c r="BC245" s="32" t="s">
        <v>177</v>
      </c>
      <c r="BD245" s="32" t="s">
        <v>967</v>
      </c>
      <c r="BE245" s="32" t="s">
        <v>967</v>
      </c>
      <c r="BF245" s="32">
        <v>9</v>
      </c>
      <c r="BG245" s="32">
        <v>5357.69</v>
      </c>
      <c r="BH245" s="32">
        <v>9</v>
      </c>
      <c r="BI245" s="32">
        <v>5357.69</v>
      </c>
      <c r="BJ245" s="32">
        <v>0</v>
      </c>
      <c r="BK245" s="32">
        <v>0</v>
      </c>
      <c r="BL245" s="32">
        <v>70245.259999999995</v>
      </c>
      <c r="BM245" s="32">
        <v>682151459027</v>
      </c>
      <c r="BN245" s="31">
        <v>46229</v>
      </c>
      <c r="BO245" s="32">
        <v>412</v>
      </c>
    </row>
    <row r="246" spans="1:67" x14ac:dyDescent="0.25">
      <c r="A246" s="21"/>
      <c r="B246" s="32" t="s">
        <v>167</v>
      </c>
      <c r="C246" s="31">
        <v>46229</v>
      </c>
      <c r="D246" s="32" t="s">
        <v>1236</v>
      </c>
      <c r="E246" s="32" t="s">
        <v>186</v>
      </c>
      <c r="F246" s="32" t="s">
        <v>187</v>
      </c>
      <c r="G246" s="32" t="s">
        <v>1237</v>
      </c>
      <c r="H246" s="32">
        <v>1266</v>
      </c>
      <c r="I246" s="32">
        <v>1266</v>
      </c>
      <c r="J246" s="32" t="s">
        <v>168</v>
      </c>
      <c r="K246" s="32">
        <v>1266</v>
      </c>
      <c r="L246" s="32">
        <v>0</v>
      </c>
      <c r="M246" s="32">
        <v>1266</v>
      </c>
      <c r="N246" s="32" t="s">
        <v>175</v>
      </c>
      <c r="O246" s="32" t="s">
        <v>654</v>
      </c>
      <c r="P246" s="32" t="s">
        <v>654</v>
      </c>
      <c r="Q246" s="32" t="s">
        <v>922</v>
      </c>
      <c r="R246" s="31">
        <v>46229</v>
      </c>
      <c r="S246" s="32" t="s">
        <v>987</v>
      </c>
      <c r="T246" s="32" t="s">
        <v>988</v>
      </c>
      <c r="U246" s="32" t="s">
        <v>921</v>
      </c>
      <c r="V246" s="32">
        <v>146.49</v>
      </c>
      <c r="W246" s="32">
        <v>146.490000784269</v>
      </c>
      <c r="X246" s="32" t="s">
        <v>922</v>
      </c>
      <c r="Y246" s="31">
        <v>46229</v>
      </c>
      <c r="Z246" s="32" t="s">
        <v>193</v>
      </c>
      <c r="AA246" s="32" t="s">
        <v>193</v>
      </c>
      <c r="AB246" s="32"/>
      <c r="AC246" s="32" t="s">
        <v>193</v>
      </c>
      <c r="AD246" s="32" t="s">
        <v>193</v>
      </c>
      <c r="AE246" s="32">
        <v>0</v>
      </c>
      <c r="AF246" s="32">
        <v>0</v>
      </c>
      <c r="AG246" s="32">
        <v>0</v>
      </c>
      <c r="AH246" s="32">
        <v>0</v>
      </c>
      <c r="AI246" s="32">
        <v>0</v>
      </c>
      <c r="AJ246" s="32" t="s">
        <v>965</v>
      </c>
      <c r="AK246" s="32">
        <v>0</v>
      </c>
      <c r="AL246" s="32">
        <v>0</v>
      </c>
      <c r="AM246" s="32">
        <v>0</v>
      </c>
      <c r="AN246" s="32">
        <v>0</v>
      </c>
      <c r="AO246" s="32">
        <v>0</v>
      </c>
      <c r="AP246" s="32"/>
      <c r="AQ246" s="32">
        <v>0</v>
      </c>
      <c r="AR246" s="32">
        <v>0</v>
      </c>
      <c r="AS246" s="32">
        <v>560356.22</v>
      </c>
      <c r="AT246" s="32" t="s">
        <v>169</v>
      </c>
      <c r="AU246" s="32" t="s">
        <v>180</v>
      </c>
      <c r="AV246" s="32" t="s">
        <v>155</v>
      </c>
      <c r="AW246" s="32" t="s">
        <v>171</v>
      </c>
      <c r="AX246" s="32" t="s">
        <v>966</v>
      </c>
      <c r="AY246" s="32">
        <v>0</v>
      </c>
      <c r="AZ246" s="32">
        <v>185456.34</v>
      </c>
      <c r="BA246" s="32">
        <v>371</v>
      </c>
      <c r="BB246" s="31">
        <v>46229</v>
      </c>
      <c r="BC246" s="32" t="s">
        <v>177</v>
      </c>
      <c r="BD246" s="32" t="s">
        <v>967</v>
      </c>
      <c r="BE246" s="32" t="s">
        <v>967</v>
      </c>
      <c r="BF246" s="32">
        <v>9</v>
      </c>
      <c r="BG246" s="32">
        <v>16691.07</v>
      </c>
      <c r="BH246" s="32">
        <v>9</v>
      </c>
      <c r="BI246" s="32">
        <v>16691.07</v>
      </c>
      <c r="BJ246" s="32">
        <v>0</v>
      </c>
      <c r="BK246" s="32">
        <v>0</v>
      </c>
      <c r="BL246" s="32">
        <v>560356.22</v>
      </c>
      <c r="BM246" s="32">
        <v>642151544420</v>
      </c>
      <c r="BN246" s="31">
        <v>46229</v>
      </c>
      <c r="BO246" s="32">
        <v>1266</v>
      </c>
    </row>
    <row r="247" spans="1:67" x14ac:dyDescent="0.25">
      <c r="A247" s="21"/>
      <c r="B247" s="32" t="s">
        <v>167</v>
      </c>
      <c r="C247" s="31">
        <v>46229</v>
      </c>
      <c r="D247" s="32" t="s">
        <v>1236</v>
      </c>
      <c r="E247" s="32" t="s">
        <v>178</v>
      </c>
      <c r="F247" s="32" t="s">
        <v>179</v>
      </c>
      <c r="G247" s="32" t="s">
        <v>1237</v>
      </c>
      <c r="H247" s="32">
        <v>1368</v>
      </c>
      <c r="I247" s="32">
        <v>1368</v>
      </c>
      <c r="J247" s="32" t="s">
        <v>168</v>
      </c>
      <c r="K247" s="32">
        <v>1368</v>
      </c>
      <c r="L247" s="32">
        <v>0</v>
      </c>
      <c r="M247" s="32">
        <v>1368</v>
      </c>
      <c r="N247" s="32" t="s">
        <v>175</v>
      </c>
      <c r="O247" s="32" t="s">
        <v>654</v>
      </c>
      <c r="P247" s="32" t="s">
        <v>654</v>
      </c>
      <c r="Q247" s="32" t="s">
        <v>922</v>
      </c>
      <c r="R247" s="31">
        <v>46229</v>
      </c>
      <c r="S247" s="32" t="s">
        <v>987</v>
      </c>
      <c r="T247" s="32" t="s">
        <v>988</v>
      </c>
      <c r="U247" s="32" t="s">
        <v>921</v>
      </c>
      <c r="V247" s="32">
        <v>151.49</v>
      </c>
      <c r="W247" s="32">
        <v>151.49000081103799</v>
      </c>
      <c r="X247" s="32" t="s">
        <v>922</v>
      </c>
      <c r="Y247" s="31">
        <v>46229</v>
      </c>
      <c r="Z247" s="32" t="s">
        <v>193</v>
      </c>
      <c r="AA247" s="32" t="s">
        <v>193</v>
      </c>
      <c r="AB247" s="32"/>
      <c r="AC247" s="32" t="s">
        <v>193</v>
      </c>
      <c r="AD247" s="32" t="s">
        <v>193</v>
      </c>
      <c r="AE247" s="32">
        <v>0</v>
      </c>
      <c r="AF247" s="32">
        <v>0</v>
      </c>
      <c r="AG247" s="32">
        <v>0</v>
      </c>
      <c r="AH247" s="32">
        <v>0</v>
      </c>
      <c r="AI247" s="32">
        <v>0</v>
      </c>
      <c r="AJ247" s="32" t="s">
        <v>965</v>
      </c>
      <c r="AK247" s="32">
        <v>0</v>
      </c>
      <c r="AL247" s="32">
        <v>0</v>
      </c>
      <c r="AM247" s="32">
        <v>0</v>
      </c>
      <c r="AN247" s="32">
        <v>0</v>
      </c>
      <c r="AO247" s="32">
        <v>0</v>
      </c>
      <c r="AP247" s="32"/>
      <c r="AQ247" s="32">
        <v>0</v>
      </c>
      <c r="AR247" s="32">
        <v>0</v>
      </c>
      <c r="AS247" s="32">
        <v>560356.22</v>
      </c>
      <c r="AT247" s="32" t="s">
        <v>169</v>
      </c>
      <c r="AU247" s="32" t="s">
        <v>180</v>
      </c>
      <c r="AV247" s="32" t="s">
        <v>156</v>
      </c>
      <c r="AW247" s="32" t="s">
        <v>171</v>
      </c>
      <c r="AX247" s="32" t="s">
        <v>966</v>
      </c>
      <c r="AY247" s="32">
        <v>0</v>
      </c>
      <c r="AZ247" s="32">
        <v>207238.32</v>
      </c>
      <c r="BA247" s="32">
        <v>371</v>
      </c>
      <c r="BB247" s="31">
        <v>46229</v>
      </c>
      <c r="BC247" s="32" t="s">
        <v>177</v>
      </c>
      <c r="BD247" s="32" t="s">
        <v>967</v>
      </c>
      <c r="BE247" s="32" t="s">
        <v>967</v>
      </c>
      <c r="BF247" s="32">
        <v>9</v>
      </c>
      <c r="BG247" s="32">
        <v>18651.45</v>
      </c>
      <c r="BH247" s="32">
        <v>9</v>
      </c>
      <c r="BI247" s="32">
        <v>18651.45</v>
      </c>
      <c r="BJ247" s="32">
        <v>0</v>
      </c>
      <c r="BK247" s="32">
        <v>0</v>
      </c>
      <c r="BL247" s="32">
        <v>0</v>
      </c>
      <c r="BM247" s="32">
        <v>642151544420</v>
      </c>
      <c r="BN247" s="31">
        <v>46229</v>
      </c>
      <c r="BO247" s="32">
        <v>1368</v>
      </c>
    </row>
    <row r="248" spans="1:67" x14ac:dyDescent="0.25">
      <c r="A248" s="21"/>
      <c r="B248" s="32" t="s">
        <v>167</v>
      </c>
      <c r="C248" s="31">
        <v>46229</v>
      </c>
      <c r="D248" s="32" t="s">
        <v>1236</v>
      </c>
      <c r="E248" s="32" t="s">
        <v>181</v>
      </c>
      <c r="F248" s="32" t="s">
        <v>182</v>
      </c>
      <c r="G248" s="32" t="s">
        <v>1237</v>
      </c>
      <c r="H248" s="32">
        <v>276.10000000000002</v>
      </c>
      <c r="I248" s="32">
        <v>276.10000000000002</v>
      </c>
      <c r="J248" s="32" t="s">
        <v>168</v>
      </c>
      <c r="K248" s="32">
        <v>276.10000000000002</v>
      </c>
      <c r="L248" s="32">
        <v>0</v>
      </c>
      <c r="M248" s="32">
        <v>276.10000000000002</v>
      </c>
      <c r="N248" s="32" t="s">
        <v>175</v>
      </c>
      <c r="O248" s="32" t="s">
        <v>654</v>
      </c>
      <c r="P248" s="32" t="s">
        <v>654</v>
      </c>
      <c r="Q248" s="32" t="s">
        <v>922</v>
      </c>
      <c r="R248" s="31">
        <v>46229</v>
      </c>
      <c r="S248" s="32" t="s">
        <v>987</v>
      </c>
      <c r="T248" s="32" t="s">
        <v>988</v>
      </c>
      <c r="U248" s="32" t="s">
        <v>921</v>
      </c>
      <c r="V248" s="32">
        <v>146.49</v>
      </c>
      <c r="W248" s="32">
        <v>146.490000784269</v>
      </c>
      <c r="X248" s="32" t="s">
        <v>922</v>
      </c>
      <c r="Y248" s="31">
        <v>46229</v>
      </c>
      <c r="Z248" s="32" t="s">
        <v>193</v>
      </c>
      <c r="AA248" s="32" t="s">
        <v>193</v>
      </c>
      <c r="AB248" s="32"/>
      <c r="AC248" s="32" t="s">
        <v>193</v>
      </c>
      <c r="AD248" s="32" t="s">
        <v>193</v>
      </c>
      <c r="AE248" s="32">
        <v>0</v>
      </c>
      <c r="AF248" s="32">
        <v>0</v>
      </c>
      <c r="AG248" s="32">
        <v>0</v>
      </c>
      <c r="AH248" s="32">
        <v>0</v>
      </c>
      <c r="AI248" s="32">
        <v>0</v>
      </c>
      <c r="AJ248" s="32" t="s">
        <v>965</v>
      </c>
      <c r="AK248" s="32">
        <v>0</v>
      </c>
      <c r="AL248" s="32">
        <v>0</v>
      </c>
      <c r="AM248" s="32">
        <v>0</v>
      </c>
      <c r="AN248" s="32">
        <v>0</v>
      </c>
      <c r="AO248" s="32">
        <v>0</v>
      </c>
      <c r="AP248" s="32"/>
      <c r="AQ248" s="32">
        <v>0</v>
      </c>
      <c r="AR248" s="32">
        <v>0</v>
      </c>
      <c r="AS248" s="32">
        <v>560356.22</v>
      </c>
      <c r="AT248" s="32" t="s">
        <v>169</v>
      </c>
      <c r="AU248" s="32" t="s">
        <v>182</v>
      </c>
      <c r="AV248" s="32" t="s">
        <v>154</v>
      </c>
      <c r="AW248" s="32" t="s">
        <v>171</v>
      </c>
      <c r="AX248" s="32" t="s">
        <v>966</v>
      </c>
      <c r="AY248" s="32">
        <v>0</v>
      </c>
      <c r="AZ248" s="32">
        <v>40445.89</v>
      </c>
      <c r="BA248" s="32">
        <v>371</v>
      </c>
      <c r="BB248" s="31">
        <v>46229</v>
      </c>
      <c r="BC248" s="32" t="s">
        <v>177</v>
      </c>
      <c r="BD248" s="32" t="s">
        <v>967</v>
      </c>
      <c r="BE248" s="32" t="s">
        <v>967</v>
      </c>
      <c r="BF248" s="32">
        <v>9</v>
      </c>
      <c r="BG248" s="32">
        <v>3640.13</v>
      </c>
      <c r="BH248" s="32">
        <v>9</v>
      </c>
      <c r="BI248" s="32">
        <v>3640.13</v>
      </c>
      <c r="BJ248" s="32">
        <v>0</v>
      </c>
      <c r="BK248" s="32">
        <v>0</v>
      </c>
      <c r="BL248" s="32">
        <v>0</v>
      </c>
      <c r="BM248" s="32">
        <v>642151544420</v>
      </c>
      <c r="BN248" s="31">
        <v>46229</v>
      </c>
      <c r="BO248" s="32">
        <v>276.10000000000002</v>
      </c>
    </row>
    <row r="249" spans="1:67" x14ac:dyDescent="0.25">
      <c r="A249" s="21"/>
      <c r="B249" s="32" t="s">
        <v>167</v>
      </c>
      <c r="C249" s="31">
        <v>46229</v>
      </c>
      <c r="D249" s="32" t="s">
        <v>1236</v>
      </c>
      <c r="E249" s="32" t="s">
        <v>181</v>
      </c>
      <c r="F249" s="32" t="s">
        <v>182</v>
      </c>
      <c r="G249" s="32" t="s">
        <v>1237</v>
      </c>
      <c r="H249" s="32">
        <v>279.2</v>
      </c>
      <c r="I249" s="32">
        <v>279.2</v>
      </c>
      <c r="J249" s="32" t="s">
        <v>168</v>
      </c>
      <c r="K249" s="32">
        <v>279.2</v>
      </c>
      <c r="L249" s="32">
        <v>0</v>
      </c>
      <c r="M249" s="32">
        <v>279.2</v>
      </c>
      <c r="N249" s="32" t="s">
        <v>175</v>
      </c>
      <c r="O249" s="32" t="s">
        <v>654</v>
      </c>
      <c r="P249" s="32" t="s">
        <v>654</v>
      </c>
      <c r="Q249" s="32" t="s">
        <v>922</v>
      </c>
      <c r="R249" s="31">
        <v>46229</v>
      </c>
      <c r="S249" s="32" t="s">
        <v>987</v>
      </c>
      <c r="T249" s="32" t="s">
        <v>988</v>
      </c>
      <c r="U249" s="32" t="s">
        <v>921</v>
      </c>
      <c r="V249" s="32">
        <v>149.49</v>
      </c>
      <c r="W249" s="32">
        <v>149.49000080032999</v>
      </c>
      <c r="X249" s="32" t="s">
        <v>922</v>
      </c>
      <c r="Y249" s="31">
        <v>46229</v>
      </c>
      <c r="Z249" s="32" t="s">
        <v>193</v>
      </c>
      <c r="AA249" s="32" t="s">
        <v>193</v>
      </c>
      <c r="AB249" s="32"/>
      <c r="AC249" s="32" t="s">
        <v>193</v>
      </c>
      <c r="AD249" s="32" t="s">
        <v>193</v>
      </c>
      <c r="AE249" s="32">
        <v>0</v>
      </c>
      <c r="AF249" s="32">
        <v>0</v>
      </c>
      <c r="AG249" s="32">
        <v>0</v>
      </c>
      <c r="AH249" s="32">
        <v>0</v>
      </c>
      <c r="AI249" s="32">
        <v>0</v>
      </c>
      <c r="AJ249" s="32" t="s">
        <v>965</v>
      </c>
      <c r="AK249" s="32">
        <v>0</v>
      </c>
      <c r="AL249" s="32">
        <v>0</v>
      </c>
      <c r="AM249" s="32">
        <v>0</v>
      </c>
      <c r="AN249" s="32">
        <v>0</v>
      </c>
      <c r="AO249" s="32">
        <v>0</v>
      </c>
      <c r="AP249" s="32"/>
      <c r="AQ249" s="32">
        <v>0</v>
      </c>
      <c r="AR249" s="32">
        <v>0</v>
      </c>
      <c r="AS249" s="32">
        <v>560356.22</v>
      </c>
      <c r="AT249" s="32" t="s">
        <v>169</v>
      </c>
      <c r="AU249" s="32" t="s">
        <v>182</v>
      </c>
      <c r="AV249" s="32" t="s">
        <v>154</v>
      </c>
      <c r="AW249" s="32" t="s">
        <v>171</v>
      </c>
      <c r="AX249" s="32" t="s">
        <v>966</v>
      </c>
      <c r="AY249" s="32">
        <v>0</v>
      </c>
      <c r="AZ249" s="32">
        <v>41737.61</v>
      </c>
      <c r="BA249" s="32">
        <v>371</v>
      </c>
      <c r="BB249" s="31">
        <v>46229</v>
      </c>
      <c r="BC249" s="32" t="s">
        <v>177</v>
      </c>
      <c r="BD249" s="32" t="s">
        <v>967</v>
      </c>
      <c r="BE249" s="32" t="s">
        <v>967</v>
      </c>
      <c r="BF249" s="32">
        <v>9</v>
      </c>
      <c r="BG249" s="32">
        <v>3756.38</v>
      </c>
      <c r="BH249" s="32">
        <v>9</v>
      </c>
      <c r="BI249" s="32">
        <v>3756.38</v>
      </c>
      <c r="BJ249" s="32">
        <v>0</v>
      </c>
      <c r="BK249" s="32">
        <v>0</v>
      </c>
      <c r="BL249" s="32">
        <v>0</v>
      </c>
      <c r="BM249" s="32">
        <v>642151544420</v>
      </c>
      <c r="BN249" s="31">
        <v>46229</v>
      </c>
      <c r="BO249" s="32">
        <v>279.2</v>
      </c>
    </row>
    <row r="250" spans="1:67" x14ac:dyDescent="0.25">
      <c r="B250" s="32" t="s">
        <v>167</v>
      </c>
      <c r="C250" s="31">
        <v>46230</v>
      </c>
      <c r="D250" s="32" t="s">
        <v>1238</v>
      </c>
      <c r="E250" s="32" t="s">
        <v>190</v>
      </c>
      <c r="F250" s="32" t="s">
        <v>191</v>
      </c>
      <c r="G250" s="32" t="s">
        <v>1239</v>
      </c>
      <c r="H250" s="32">
        <v>19608</v>
      </c>
      <c r="I250" s="32">
        <v>19608</v>
      </c>
      <c r="J250" s="32" t="s">
        <v>168</v>
      </c>
      <c r="K250" s="32">
        <v>19608</v>
      </c>
      <c r="L250" s="32">
        <v>0</v>
      </c>
      <c r="M250" s="32">
        <v>19608</v>
      </c>
      <c r="N250" s="32" t="s">
        <v>637</v>
      </c>
      <c r="O250" s="32" t="s">
        <v>659</v>
      </c>
      <c r="P250" s="32" t="s">
        <v>659</v>
      </c>
      <c r="Q250" s="32" t="s">
        <v>929</v>
      </c>
      <c r="R250" s="31">
        <v>46229</v>
      </c>
      <c r="S250" s="32" t="s">
        <v>987</v>
      </c>
      <c r="T250" s="32" t="s">
        <v>988</v>
      </c>
      <c r="U250" s="32" t="s">
        <v>928</v>
      </c>
      <c r="V250" s="32">
        <v>226.12</v>
      </c>
      <c r="W250" s="32">
        <v>226.12</v>
      </c>
      <c r="X250" s="32" t="s">
        <v>929</v>
      </c>
      <c r="Y250" s="31">
        <v>46229</v>
      </c>
      <c r="Z250" s="32"/>
      <c r="AA250" s="32">
        <v>0</v>
      </c>
      <c r="AB250" s="32"/>
      <c r="AC250" s="32">
        <v>0</v>
      </c>
      <c r="AD250" s="32">
        <v>0</v>
      </c>
      <c r="AE250" s="32">
        <v>0</v>
      </c>
      <c r="AF250" s="32">
        <v>0</v>
      </c>
      <c r="AG250" s="32">
        <v>0</v>
      </c>
      <c r="AH250" s="32">
        <v>0</v>
      </c>
      <c r="AI250" s="32">
        <v>0</v>
      </c>
      <c r="AJ250" s="32" t="s">
        <v>965</v>
      </c>
      <c r="AK250" s="32">
        <v>0</v>
      </c>
      <c r="AL250" s="32">
        <v>0</v>
      </c>
      <c r="AM250" s="32">
        <v>0</v>
      </c>
      <c r="AN250" s="32">
        <v>0</v>
      </c>
      <c r="AO250" s="32">
        <v>0</v>
      </c>
      <c r="AP250" s="32"/>
      <c r="AQ250" s="32">
        <v>0</v>
      </c>
      <c r="AR250" s="32">
        <v>0</v>
      </c>
      <c r="AS250" s="32">
        <v>5231837.9400000004</v>
      </c>
      <c r="AT250" s="32" t="s">
        <v>192</v>
      </c>
      <c r="AU250" s="32" t="s">
        <v>152</v>
      </c>
      <c r="AV250" s="32" t="s">
        <v>152</v>
      </c>
      <c r="AW250" s="32" t="s">
        <v>171</v>
      </c>
      <c r="AX250" s="32" t="s">
        <v>966</v>
      </c>
      <c r="AY250" s="32">
        <v>0</v>
      </c>
      <c r="AZ250" s="32">
        <v>4433760.96</v>
      </c>
      <c r="BA250" s="32">
        <v>373</v>
      </c>
      <c r="BB250" s="31">
        <v>46230</v>
      </c>
      <c r="BC250" s="32" t="s">
        <v>177</v>
      </c>
      <c r="BD250" s="32" t="s">
        <v>967</v>
      </c>
      <c r="BE250" s="32" t="s">
        <v>967</v>
      </c>
      <c r="BF250" s="32">
        <v>9</v>
      </c>
      <c r="BG250" s="32">
        <v>399038.49</v>
      </c>
      <c r="BH250" s="32">
        <v>9</v>
      </c>
      <c r="BI250" s="32">
        <v>399038.49</v>
      </c>
      <c r="BJ250" s="32">
        <v>0</v>
      </c>
      <c r="BK250" s="32">
        <v>0</v>
      </c>
      <c r="BL250" s="32">
        <v>5231837.9400000004</v>
      </c>
      <c r="BM250" s="32">
        <v>662151561115</v>
      </c>
      <c r="BN250" s="31">
        <v>46229</v>
      </c>
      <c r="BO250" s="32">
        <v>19608</v>
      </c>
    </row>
    <row r="251" spans="1:67" x14ac:dyDescent="0.25">
      <c r="B251" s="32" t="s">
        <v>167</v>
      </c>
      <c r="C251" s="31">
        <v>46230</v>
      </c>
      <c r="D251" s="32" t="s">
        <v>1240</v>
      </c>
      <c r="E251" s="32" t="s">
        <v>186</v>
      </c>
      <c r="F251" s="32" t="s">
        <v>187</v>
      </c>
      <c r="G251" s="32" t="s">
        <v>1241</v>
      </c>
      <c r="H251" s="32">
        <v>188</v>
      </c>
      <c r="I251" s="32">
        <v>188</v>
      </c>
      <c r="J251" s="32" t="s">
        <v>168</v>
      </c>
      <c r="K251" s="32">
        <v>188</v>
      </c>
      <c r="L251" s="32">
        <v>0</v>
      </c>
      <c r="M251" s="32">
        <v>188</v>
      </c>
      <c r="N251" s="32" t="s">
        <v>1194</v>
      </c>
      <c r="O251" s="32" t="s">
        <v>665</v>
      </c>
      <c r="P251" s="32" t="s">
        <v>665</v>
      </c>
      <c r="Q251" s="32" t="s">
        <v>924</v>
      </c>
      <c r="R251" s="31">
        <v>46228</v>
      </c>
      <c r="S251" s="32" t="s">
        <v>987</v>
      </c>
      <c r="T251" s="32" t="s">
        <v>988</v>
      </c>
      <c r="U251" s="32" t="s">
        <v>923</v>
      </c>
      <c r="V251" s="32">
        <v>159.49</v>
      </c>
      <c r="W251" s="32">
        <v>159.49</v>
      </c>
      <c r="X251" s="32" t="s">
        <v>924</v>
      </c>
      <c r="Y251" s="31">
        <v>46228</v>
      </c>
      <c r="Z251" s="32"/>
      <c r="AA251" s="32">
        <v>0</v>
      </c>
      <c r="AB251" s="32"/>
      <c r="AC251" s="32" t="s">
        <v>1033</v>
      </c>
      <c r="AD251" s="32">
        <v>2524</v>
      </c>
      <c r="AE251" s="32">
        <v>0</v>
      </c>
      <c r="AF251" s="32">
        <v>0</v>
      </c>
      <c r="AG251" s="32">
        <v>0</v>
      </c>
      <c r="AH251" s="32">
        <v>0</v>
      </c>
      <c r="AI251" s="32">
        <v>0</v>
      </c>
      <c r="AJ251" s="32" t="s">
        <v>965</v>
      </c>
      <c r="AK251" s="32">
        <v>0</v>
      </c>
      <c r="AL251" s="32">
        <v>0</v>
      </c>
      <c r="AM251" s="32">
        <v>0</v>
      </c>
      <c r="AN251" s="32">
        <v>0</v>
      </c>
      <c r="AO251" s="32">
        <v>0</v>
      </c>
      <c r="AP251" s="32"/>
      <c r="AQ251" s="32">
        <v>0</v>
      </c>
      <c r="AR251" s="32">
        <v>0</v>
      </c>
      <c r="AS251" s="32">
        <v>1202429.18</v>
      </c>
      <c r="AT251" s="32" t="s">
        <v>169</v>
      </c>
      <c r="AU251" s="32" t="s">
        <v>180</v>
      </c>
      <c r="AV251" s="32" t="s">
        <v>155</v>
      </c>
      <c r="AW251" s="32" t="s">
        <v>171</v>
      </c>
      <c r="AX251" s="32" t="s">
        <v>966</v>
      </c>
      <c r="AY251" s="32">
        <v>0</v>
      </c>
      <c r="AZ251" s="32">
        <v>29984.12</v>
      </c>
      <c r="BA251" s="32">
        <v>372</v>
      </c>
      <c r="BB251" s="31">
        <v>46230</v>
      </c>
      <c r="BC251" s="32" t="s">
        <v>189</v>
      </c>
      <c r="BD251" s="32" t="s">
        <v>967</v>
      </c>
      <c r="BE251" s="32" t="s">
        <v>967</v>
      </c>
      <c r="BF251" s="32">
        <v>9</v>
      </c>
      <c r="BG251" s="32">
        <v>2698.57</v>
      </c>
      <c r="BH251" s="32">
        <v>9</v>
      </c>
      <c r="BI251" s="32">
        <v>2698.57</v>
      </c>
      <c r="BJ251" s="32">
        <v>0</v>
      </c>
      <c r="BK251" s="32">
        <v>0</v>
      </c>
      <c r="BL251" s="32">
        <v>1202429.18</v>
      </c>
      <c r="BM251" s="32">
        <v>662151460432</v>
      </c>
      <c r="BN251" s="31">
        <v>46229</v>
      </c>
      <c r="BO251" s="32">
        <v>188</v>
      </c>
    </row>
    <row r="252" spans="1:67" x14ac:dyDescent="0.25">
      <c r="B252" s="32" t="s">
        <v>167</v>
      </c>
      <c r="C252" s="31">
        <v>46230</v>
      </c>
      <c r="D252" s="32" t="s">
        <v>1240</v>
      </c>
      <c r="E252" s="32" t="s">
        <v>186</v>
      </c>
      <c r="F252" s="32" t="s">
        <v>187</v>
      </c>
      <c r="G252" s="32" t="s">
        <v>1241</v>
      </c>
      <c r="H252" s="32">
        <v>5908</v>
      </c>
      <c r="I252" s="32">
        <v>5908</v>
      </c>
      <c r="J252" s="32" t="s">
        <v>168</v>
      </c>
      <c r="K252" s="32">
        <v>5908</v>
      </c>
      <c r="L252" s="32">
        <v>0</v>
      </c>
      <c r="M252" s="32">
        <v>5908</v>
      </c>
      <c r="N252" s="32" t="s">
        <v>1194</v>
      </c>
      <c r="O252" s="32" t="s">
        <v>665</v>
      </c>
      <c r="P252" s="32" t="s">
        <v>665</v>
      </c>
      <c r="Q252" s="32" t="s">
        <v>924</v>
      </c>
      <c r="R252" s="31">
        <v>46228</v>
      </c>
      <c r="S252" s="32" t="s">
        <v>987</v>
      </c>
      <c r="T252" s="32" t="s">
        <v>988</v>
      </c>
      <c r="U252" s="32" t="s">
        <v>923</v>
      </c>
      <c r="V252" s="32">
        <v>156.49</v>
      </c>
      <c r="W252" s="32">
        <v>156.49</v>
      </c>
      <c r="X252" s="32" t="s">
        <v>924</v>
      </c>
      <c r="Y252" s="31">
        <v>46228</v>
      </c>
      <c r="Z252" s="32"/>
      <c r="AA252" s="32">
        <v>0</v>
      </c>
      <c r="AB252" s="32"/>
      <c r="AC252" s="32" t="s">
        <v>1033</v>
      </c>
      <c r="AD252" s="32">
        <v>2524</v>
      </c>
      <c r="AE252" s="32">
        <v>0</v>
      </c>
      <c r="AF252" s="32">
        <v>0</v>
      </c>
      <c r="AG252" s="32">
        <v>0</v>
      </c>
      <c r="AH252" s="32">
        <v>0</v>
      </c>
      <c r="AI252" s="32">
        <v>0</v>
      </c>
      <c r="AJ252" s="32" t="s">
        <v>965</v>
      </c>
      <c r="AK252" s="32">
        <v>0</v>
      </c>
      <c r="AL252" s="32">
        <v>0</v>
      </c>
      <c r="AM252" s="32">
        <v>0</v>
      </c>
      <c r="AN252" s="32">
        <v>0</v>
      </c>
      <c r="AO252" s="32">
        <v>0</v>
      </c>
      <c r="AP252" s="32"/>
      <c r="AQ252" s="32">
        <v>0</v>
      </c>
      <c r="AR252" s="32">
        <v>0</v>
      </c>
      <c r="AS252" s="32">
        <v>1202429.18</v>
      </c>
      <c r="AT252" s="32" t="s">
        <v>169</v>
      </c>
      <c r="AU252" s="32" t="s">
        <v>180</v>
      </c>
      <c r="AV252" s="32" t="s">
        <v>155</v>
      </c>
      <c r="AW252" s="32" t="s">
        <v>171</v>
      </c>
      <c r="AX252" s="32" t="s">
        <v>966</v>
      </c>
      <c r="AY252" s="32">
        <v>0</v>
      </c>
      <c r="AZ252" s="32">
        <v>924542.92</v>
      </c>
      <c r="BA252" s="32">
        <v>372</v>
      </c>
      <c r="BB252" s="31">
        <v>46230</v>
      </c>
      <c r="BC252" s="32" t="s">
        <v>189</v>
      </c>
      <c r="BD252" s="32" t="s">
        <v>967</v>
      </c>
      <c r="BE252" s="32" t="s">
        <v>967</v>
      </c>
      <c r="BF252" s="32">
        <v>9</v>
      </c>
      <c r="BG252" s="32">
        <v>83208.86</v>
      </c>
      <c r="BH252" s="32">
        <v>9</v>
      </c>
      <c r="BI252" s="32">
        <v>83208.86</v>
      </c>
      <c r="BJ252" s="32">
        <v>0</v>
      </c>
      <c r="BK252" s="32">
        <v>0</v>
      </c>
      <c r="BL252" s="32">
        <v>0</v>
      </c>
      <c r="BM252" s="32">
        <v>662151460432</v>
      </c>
      <c r="BN252" s="31">
        <v>46229</v>
      </c>
      <c r="BO252" s="32">
        <v>5908</v>
      </c>
    </row>
    <row r="253" spans="1:67" x14ac:dyDescent="0.25">
      <c r="B253" s="32" t="s">
        <v>167</v>
      </c>
      <c r="C253" s="31">
        <v>46230</v>
      </c>
      <c r="D253" s="32" t="s">
        <v>1240</v>
      </c>
      <c r="E253" s="32" t="s">
        <v>173</v>
      </c>
      <c r="F253" s="32" t="s">
        <v>174</v>
      </c>
      <c r="G253" s="32" t="s">
        <v>1241</v>
      </c>
      <c r="H253" s="32">
        <v>397</v>
      </c>
      <c r="I253" s="32">
        <v>397</v>
      </c>
      <c r="J253" s="32" t="s">
        <v>168</v>
      </c>
      <c r="K253" s="32">
        <v>397</v>
      </c>
      <c r="L253" s="32">
        <v>0</v>
      </c>
      <c r="M253" s="32">
        <v>397</v>
      </c>
      <c r="N253" s="32" t="s">
        <v>1194</v>
      </c>
      <c r="O253" s="32" t="s">
        <v>665</v>
      </c>
      <c r="P253" s="32" t="s">
        <v>665</v>
      </c>
      <c r="Q253" s="32" t="s">
        <v>924</v>
      </c>
      <c r="R253" s="31">
        <v>46228</v>
      </c>
      <c r="S253" s="32" t="s">
        <v>987</v>
      </c>
      <c r="T253" s="32" t="s">
        <v>988</v>
      </c>
      <c r="U253" s="32" t="s">
        <v>923</v>
      </c>
      <c r="V253" s="32">
        <v>162.41999999999999</v>
      </c>
      <c r="W253" s="32">
        <v>162.41999999999999</v>
      </c>
      <c r="X253" s="32" t="s">
        <v>924</v>
      </c>
      <c r="Y253" s="31">
        <v>46228</v>
      </c>
      <c r="Z253" s="32"/>
      <c r="AA253" s="32">
        <v>0</v>
      </c>
      <c r="AB253" s="32"/>
      <c r="AC253" s="32" t="s">
        <v>1033</v>
      </c>
      <c r="AD253" s="32">
        <v>2524</v>
      </c>
      <c r="AE253" s="32">
        <v>0</v>
      </c>
      <c r="AF253" s="32">
        <v>0</v>
      </c>
      <c r="AG253" s="32">
        <v>0</v>
      </c>
      <c r="AH253" s="32">
        <v>0</v>
      </c>
      <c r="AI253" s="32">
        <v>0</v>
      </c>
      <c r="AJ253" s="32" t="s">
        <v>965</v>
      </c>
      <c r="AK253" s="32">
        <v>0</v>
      </c>
      <c r="AL253" s="32">
        <v>0</v>
      </c>
      <c r="AM253" s="32">
        <v>0</v>
      </c>
      <c r="AN253" s="32">
        <v>0</v>
      </c>
      <c r="AO253" s="32">
        <v>0</v>
      </c>
      <c r="AP253" s="32"/>
      <c r="AQ253" s="32">
        <v>0</v>
      </c>
      <c r="AR253" s="32">
        <v>0</v>
      </c>
      <c r="AS253" s="32">
        <v>1202429.18</v>
      </c>
      <c r="AT253" s="32" t="s">
        <v>169</v>
      </c>
      <c r="AU253" s="32" t="s">
        <v>176</v>
      </c>
      <c r="AV253" s="32" t="s">
        <v>159</v>
      </c>
      <c r="AW253" s="32" t="s">
        <v>171</v>
      </c>
      <c r="AX253" s="32" t="s">
        <v>966</v>
      </c>
      <c r="AY253" s="32">
        <v>0</v>
      </c>
      <c r="AZ253" s="32">
        <v>64480.74</v>
      </c>
      <c r="BA253" s="32">
        <v>372</v>
      </c>
      <c r="BB253" s="31">
        <v>46230</v>
      </c>
      <c r="BC253" s="32" t="s">
        <v>189</v>
      </c>
      <c r="BD253" s="32" t="s">
        <v>967</v>
      </c>
      <c r="BE253" s="32" t="s">
        <v>967</v>
      </c>
      <c r="BF253" s="32">
        <v>9</v>
      </c>
      <c r="BG253" s="32">
        <v>5803.27</v>
      </c>
      <c r="BH253" s="32">
        <v>9</v>
      </c>
      <c r="BI253" s="32">
        <v>5803.27</v>
      </c>
      <c r="BJ253" s="32">
        <v>0</v>
      </c>
      <c r="BK253" s="32">
        <v>0</v>
      </c>
      <c r="BL253" s="32">
        <v>0</v>
      </c>
      <c r="BM253" s="32">
        <v>662151460432</v>
      </c>
      <c r="BN253" s="31">
        <v>46229</v>
      </c>
      <c r="BO253" s="32">
        <v>397</v>
      </c>
    </row>
    <row r="254" spans="1:67" x14ac:dyDescent="0.25">
      <c r="B254" s="32" t="s">
        <v>167</v>
      </c>
      <c r="C254" s="31">
        <v>46230</v>
      </c>
      <c r="D254" s="32" t="s">
        <v>1242</v>
      </c>
      <c r="E254" s="32" t="s">
        <v>299</v>
      </c>
      <c r="F254" s="32" t="s">
        <v>300</v>
      </c>
      <c r="G254" s="32" t="s">
        <v>1243</v>
      </c>
      <c r="H254" s="32">
        <v>879.61</v>
      </c>
      <c r="I254" s="32">
        <v>879.61</v>
      </c>
      <c r="J254" s="32" t="s">
        <v>168</v>
      </c>
      <c r="K254" s="32">
        <v>879.61</v>
      </c>
      <c r="L254" s="32">
        <v>0</v>
      </c>
      <c r="M254" s="32">
        <v>879.61</v>
      </c>
      <c r="N254" s="32" t="s">
        <v>1244</v>
      </c>
      <c r="O254" s="32" t="s">
        <v>659</v>
      </c>
      <c r="P254" s="32" t="s">
        <v>659</v>
      </c>
      <c r="Q254" s="32" t="s">
        <v>931</v>
      </c>
      <c r="R254" s="31">
        <v>46230</v>
      </c>
      <c r="S254" s="32" t="s">
        <v>987</v>
      </c>
      <c r="T254" s="32" t="s">
        <v>988</v>
      </c>
      <c r="U254" s="32" t="s">
        <v>930</v>
      </c>
      <c r="V254" s="32">
        <v>132</v>
      </c>
      <c r="W254" s="32">
        <v>132.00000026154899</v>
      </c>
      <c r="X254" s="32" t="s">
        <v>931</v>
      </c>
      <c r="Y254" s="31">
        <v>46230</v>
      </c>
      <c r="Z254" s="32"/>
      <c r="AA254" s="32">
        <v>0</v>
      </c>
      <c r="AB254" s="32"/>
      <c r="AC254" s="32">
        <v>0</v>
      </c>
      <c r="AD254" s="32">
        <v>0</v>
      </c>
      <c r="AE254" s="32">
        <v>0</v>
      </c>
      <c r="AF254" s="32">
        <v>0</v>
      </c>
      <c r="AG254" s="32">
        <v>0</v>
      </c>
      <c r="AH254" s="32">
        <v>0</v>
      </c>
      <c r="AI254" s="32">
        <v>0</v>
      </c>
      <c r="AJ254" s="32" t="s">
        <v>965</v>
      </c>
      <c r="AK254" s="32">
        <v>0</v>
      </c>
      <c r="AL254" s="32">
        <v>0</v>
      </c>
      <c r="AM254" s="32">
        <v>0</v>
      </c>
      <c r="AN254" s="32">
        <v>0</v>
      </c>
      <c r="AO254" s="32">
        <v>0</v>
      </c>
      <c r="AP254" s="32"/>
      <c r="AQ254" s="32">
        <v>0</v>
      </c>
      <c r="AR254" s="32">
        <v>0</v>
      </c>
      <c r="AS254" s="32">
        <v>1009372.81</v>
      </c>
      <c r="AT254" s="32" t="s">
        <v>169</v>
      </c>
      <c r="AU254" s="32" t="s">
        <v>170</v>
      </c>
      <c r="AV254" s="32" t="s">
        <v>157</v>
      </c>
      <c r="AW254" s="32" t="s">
        <v>171</v>
      </c>
      <c r="AX254" s="32" t="s">
        <v>966</v>
      </c>
      <c r="AY254" s="32">
        <v>0</v>
      </c>
      <c r="AZ254" s="32">
        <v>116108.52</v>
      </c>
      <c r="BA254" s="32">
        <v>374</v>
      </c>
      <c r="BB254" s="31">
        <v>46230</v>
      </c>
      <c r="BC254" s="32" t="s">
        <v>177</v>
      </c>
      <c r="BD254" s="32" t="s">
        <v>967</v>
      </c>
      <c r="BE254" s="32" t="s">
        <v>967</v>
      </c>
      <c r="BF254" s="32">
        <v>2.5</v>
      </c>
      <c r="BG254" s="32">
        <v>2902.71</v>
      </c>
      <c r="BH254" s="32">
        <v>2.5</v>
      </c>
      <c r="BI254" s="32">
        <v>2902.71</v>
      </c>
      <c r="BJ254" s="32">
        <v>0</v>
      </c>
      <c r="BK254" s="32">
        <v>0</v>
      </c>
      <c r="BL254" s="32">
        <v>1009372.81</v>
      </c>
      <c r="BM254" s="32">
        <v>0</v>
      </c>
      <c r="BN254" s="31">
        <v>46230</v>
      </c>
      <c r="BO254" s="32">
        <v>879.61</v>
      </c>
    </row>
    <row r="255" spans="1:67" x14ac:dyDescent="0.25">
      <c r="B255" s="32" t="s">
        <v>167</v>
      </c>
      <c r="C255" s="31">
        <v>46230</v>
      </c>
      <c r="D255" s="32" t="s">
        <v>1242</v>
      </c>
      <c r="E255" s="32" t="s">
        <v>301</v>
      </c>
      <c r="F255" s="32" t="s">
        <v>302</v>
      </c>
      <c r="G255" s="32" t="s">
        <v>1243</v>
      </c>
      <c r="H255" s="32">
        <v>6199.2</v>
      </c>
      <c r="I255" s="32">
        <v>6199.2</v>
      </c>
      <c r="J255" s="32" t="s">
        <v>168</v>
      </c>
      <c r="K255" s="32">
        <v>6199.2</v>
      </c>
      <c r="L255" s="32">
        <v>0</v>
      </c>
      <c r="M255" s="32">
        <v>6199.2</v>
      </c>
      <c r="N255" s="32" t="s">
        <v>1244</v>
      </c>
      <c r="O255" s="32" t="s">
        <v>659</v>
      </c>
      <c r="P255" s="32" t="s">
        <v>659</v>
      </c>
      <c r="Q255" s="32" t="s">
        <v>931</v>
      </c>
      <c r="R255" s="31">
        <v>46230</v>
      </c>
      <c r="S255" s="32" t="s">
        <v>987</v>
      </c>
      <c r="T255" s="32" t="s">
        <v>988</v>
      </c>
      <c r="U255" s="32" t="s">
        <v>930</v>
      </c>
      <c r="V255" s="32">
        <v>136.34</v>
      </c>
      <c r="W255" s="32">
        <v>136.34000027014801</v>
      </c>
      <c r="X255" s="32" t="s">
        <v>931</v>
      </c>
      <c r="Y255" s="31">
        <v>46230</v>
      </c>
      <c r="Z255" s="32"/>
      <c r="AA255" s="32">
        <v>0</v>
      </c>
      <c r="AB255" s="32"/>
      <c r="AC255" s="32">
        <v>0</v>
      </c>
      <c r="AD255" s="32">
        <v>0</v>
      </c>
      <c r="AE255" s="32">
        <v>0</v>
      </c>
      <c r="AF255" s="32">
        <v>0</v>
      </c>
      <c r="AG255" s="32">
        <v>0</v>
      </c>
      <c r="AH255" s="32">
        <v>0</v>
      </c>
      <c r="AI255" s="32">
        <v>0</v>
      </c>
      <c r="AJ255" s="32" t="s">
        <v>965</v>
      </c>
      <c r="AK255" s="32">
        <v>0</v>
      </c>
      <c r="AL255" s="32">
        <v>0</v>
      </c>
      <c r="AM255" s="32">
        <v>0</v>
      </c>
      <c r="AN255" s="32">
        <v>0</v>
      </c>
      <c r="AO255" s="32">
        <v>0</v>
      </c>
      <c r="AP255" s="32"/>
      <c r="AQ255" s="32">
        <v>0</v>
      </c>
      <c r="AR255" s="32">
        <v>0</v>
      </c>
      <c r="AS255" s="32">
        <v>1009372.81</v>
      </c>
      <c r="AT255" s="32" t="s">
        <v>169</v>
      </c>
      <c r="AU255" s="32" t="s">
        <v>170</v>
      </c>
      <c r="AV255" s="32" t="s">
        <v>157</v>
      </c>
      <c r="AW255" s="32" t="s">
        <v>171</v>
      </c>
      <c r="AX255" s="32" t="s">
        <v>966</v>
      </c>
      <c r="AY255" s="32">
        <v>0</v>
      </c>
      <c r="AZ255" s="32">
        <v>845198.93</v>
      </c>
      <c r="BA255" s="32">
        <v>374</v>
      </c>
      <c r="BB255" s="31">
        <v>46230</v>
      </c>
      <c r="BC255" s="32" t="s">
        <v>177</v>
      </c>
      <c r="BD255" s="32" t="s">
        <v>967</v>
      </c>
      <c r="BE255" s="32" t="s">
        <v>967</v>
      </c>
      <c r="BF255" s="32">
        <v>2.5</v>
      </c>
      <c r="BG255" s="32">
        <v>21129.97</v>
      </c>
      <c r="BH255" s="32">
        <v>2.5</v>
      </c>
      <c r="BI255" s="32">
        <v>21129.97</v>
      </c>
      <c r="BJ255" s="32">
        <v>0</v>
      </c>
      <c r="BK255" s="32">
        <v>0</v>
      </c>
      <c r="BL255" s="32">
        <v>0</v>
      </c>
      <c r="BM255" s="32">
        <v>0</v>
      </c>
      <c r="BN255" s="31">
        <v>46230</v>
      </c>
      <c r="BO255" s="32">
        <v>6199.2</v>
      </c>
    </row>
    <row r="256" spans="1:67" x14ac:dyDescent="0.25">
      <c r="B256" s="32" t="s">
        <v>167</v>
      </c>
      <c r="C256" s="31">
        <v>46230</v>
      </c>
      <c r="D256" s="32" t="s">
        <v>1245</v>
      </c>
      <c r="E256" s="32" t="s">
        <v>186</v>
      </c>
      <c r="F256" s="32" t="s">
        <v>187</v>
      </c>
      <c r="G256" s="32" t="s">
        <v>1246</v>
      </c>
      <c r="H256" s="32">
        <v>2048</v>
      </c>
      <c r="I256" s="32">
        <v>2048</v>
      </c>
      <c r="J256" s="32" t="s">
        <v>168</v>
      </c>
      <c r="K256" s="32">
        <v>2048</v>
      </c>
      <c r="L256" s="32">
        <v>0</v>
      </c>
      <c r="M256" s="32">
        <v>2048</v>
      </c>
      <c r="N256" s="32" t="s">
        <v>175</v>
      </c>
      <c r="O256" s="32" t="s">
        <v>654</v>
      </c>
      <c r="P256" s="32" t="s">
        <v>654</v>
      </c>
      <c r="Q256" s="32" t="s">
        <v>927</v>
      </c>
      <c r="R256" s="31">
        <v>46230</v>
      </c>
      <c r="S256" s="32" t="s">
        <v>987</v>
      </c>
      <c r="T256" s="32" t="s">
        <v>988</v>
      </c>
      <c r="U256" s="32" t="s">
        <v>926</v>
      </c>
      <c r="V256" s="32">
        <v>149.49</v>
      </c>
      <c r="W256" s="32">
        <v>149.490000941912</v>
      </c>
      <c r="X256" s="32" t="s">
        <v>927</v>
      </c>
      <c r="Y256" s="31">
        <v>46230</v>
      </c>
      <c r="Z256" s="32" t="s">
        <v>193</v>
      </c>
      <c r="AA256" s="32" t="s">
        <v>193</v>
      </c>
      <c r="AB256" s="32"/>
      <c r="AC256" s="32" t="s">
        <v>193</v>
      </c>
      <c r="AD256" s="32" t="s">
        <v>193</v>
      </c>
      <c r="AE256" s="32">
        <v>0</v>
      </c>
      <c r="AF256" s="32">
        <v>0</v>
      </c>
      <c r="AG256" s="32">
        <v>0</v>
      </c>
      <c r="AH256" s="32">
        <v>0</v>
      </c>
      <c r="AI256" s="32">
        <v>0</v>
      </c>
      <c r="AJ256" s="32" t="s">
        <v>965</v>
      </c>
      <c r="AK256" s="32">
        <v>0</v>
      </c>
      <c r="AL256" s="32">
        <v>0</v>
      </c>
      <c r="AM256" s="32">
        <v>0</v>
      </c>
      <c r="AN256" s="32">
        <v>0</v>
      </c>
      <c r="AO256" s="32">
        <v>0</v>
      </c>
      <c r="AP256" s="32"/>
      <c r="AQ256" s="32">
        <v>0</v>
      </c>
      <c r="AR256" s="32">
        <v>0</v>
      </c>
      <c r="AS256" s="32">
        <v>1587091.58</v>
      </c>
      <c r="AT256" s="32" t="s">
        <v>169</v>
      </c>
      <c r="AU256" s="32" t="s">
        <v>180</v>
      </c>
      <c r="AV256" s="32" t="s">
        <v>155</v>
      </c>
      <c r="AW256" s="32" t="s">
        <v>171</v>
      </c>
      <c r="AX256" s="32" t="s">
        <v>966</v>
      </c>
      <c r="AY256" s="32">
        <v>0</v>
      </c>
      <c r="AZ256" s="32">
        <v>306155.52000000002</v>
      </c>
      <c r="BA256" s="32">
        <v>375</v>
      </c>
      <c r="BB256" s="31">
        <v>46230</v>
      </c>
      <c r="BC256" s="32" t="s">
        <v>177</v>
      </c>
      <c r="BD256" s="32" t="s">
        <v>967</v>
      </c>
      <c r="BE256" s="32" t="s">
        <v>967</v>
      </c>
      <c r="BF256" s="32">
        <v>9</v>
      </c>
      <c r="BG256" s="32">
        <v>27554</v>
      </c>
      <c r="BH256" s="32">
        <v>9</v>
      </c>
      <c r="BI256" s="32">
        <v>27554</v>
      </c>
      <c r="BJ256" s="32">
        <v>0</v>
      </c>
      <c r="BK256" s="32">
        <v>0</v>
      </c>
      <c r="BL256" s="32">
        <v>1587091.58</v>
      </c>
      <c r="BM256" s="32">
        <v>672152103708</v>
      </c>
      <c r="BN256" s="31">
        <v>46230</v>
      </c>
      <c r="BO256" s="32">
        <v>2048</v>
      </c>
    </row>
    <row r="257" spans="2:67" x14ac:dyDescent="0.25">
      <c r="B257" s="32" t="s">
        <v>167</v>
      </c>
      <c r="C257" s="31">
        <v>46230</v>
      </c>
      <c r="D257" s="32" t="s">
        <v>1245</v>
      </c>
      <c r="E257" s="32" t="s">
        <v>181</v>
      </c>
      <c r="F257" s="32" t="s">
        <v>182</v>
      </c>
      <c r="G257" s="32" t="s">
        <v>1246</v>
      </c>
      <c r="H257" s="32">
        <v>243.5</v>
      </c>
      <c r="I257" s="32">
        <v>243.5</v>
      </c>
      <c r="J257" s="32" t="s">
        <v>168</v>
      </c>
      <c r="K257" s="32">
        <v>243.5</v>
      </c>
      <c r="L257" s="32">
        <v>0</v>
      </c>
      <c r="M257" s="32">
        <v>243.5</v>
      </c>
      <c r="N257" s="32" t="s">
        <v>175</v>
      </c>
      <c r="O257" s="32" t="s">
        <v>654</v>
      </c>
      <c r="P257" s="32" t="s">
        <v>654</v>
      </c>
      <c r="Q257" s="32" t="s">
        <v>927</v>
      </c>
      <c r="R257" s="31">
        <v>46230</v>
      </c>
      <c r="S257" s="32" t="s">
        <v>987</v>
      </c>
      <c r="T257" s="32" t="s">
        <v>988</v>
      </c>
      <c r="U257" s="32" t="s">
        <v>926</v>
      </c>
      <c r="V257" s="32">
        <v>146.49</v>
      </c>
      <c r="W257" s="32">
        <v>146.49000092300901</v>
      </c>
      <c r="X257" s="32" t="s">
        <v>927</v>
      </c>
      <c r="Y257" s="31">
        <v>46230</v>
      </c>
      <c r="Z257" s="32" t="s">
        <v>193</v>
      </c>
      <c r="AA257" s="32" t="s">
        <v>193</v>
      </c>
      <c r="AB257" s="32"/>
      <c r="AC257" s="32" t="s">
        <v>193</v>
      </c>
      <c r="AD257" s="32" t="s">
        <v>193</v>
      </c>
      <c r="AE257" s="32">
        <v>0</v>
      </c>
      <c r="AF257" s="32">
        <v>0</v>
      </c>
      <c r="AG257" s="32">
        <v>0</v>
      </c>
      <c r="AH257" s="32">
        <v>0</v>
      </c>
      <c r="AI257" s="32">
        <v>0</v>
      </c>
      <c r="AJ257" s="32" t="s">
        <v>965</v>
      </c>
      <c r="AK257" s="32">
        <v>0</v>
      </c>
      <c r="AL257" s="32">
        <v>0</v>
      </c>
      <c r="AM257" s="32">
        <v>0</v>
      </c>
      <c r="AN257" s="32">
        <v>0</v>
      </c>
      <c r="AO257" s="32">
        <v>0</v>
      </c>
      <c r="AP257" s="32"/>
      <c r="AQ257" s="32">
        <v>0</v>
      </c>
      <c r="AR257" s="32">
        <v>0</v>
      </c>
      <c r="AS257" s="32">
        <v>1587091.58</v>
      </c>
      <c r="AT257" s="32" t="s">
        <v>169</v>
      </c>
      <c r="AU257" s="32" t="s">
        <v>182</v>
      </c>
      <c r="AV257" s="32" t="s">
        <v>154</v>
      </c>
      <c r="AW257" s="32" t="s">
        <v>171</v>
      </c>
      <c r="AX257" s="32" t="s">
        <v>966</v>
      </c>
      <c r="AY257" s="32">
        <v>0</v>
      </c>
      <c r="AZ257" s="32">
        <v>35670.32</v>
      </c>
      <c r="BA257" s="32">
        <v>375</v>
      </c>
      <c r="BB257" s="31">
        <v>46230</v>
      </c>
      <c r="BC257" s="32" t="s">
        <v>177</v>
      </c>
      <c r="BD257" s="32" t="s">
        <v>967</v>
      </c>
      <c r="BE257" s="32" t="s">
        <v>967</v>
      </c>
      <c r="BF257" s="32">
        <v>9</v>
      </c>
      <c r="BG257" s="32">
        <v>3210.33</v>
      </c>
      <c r="BH257" s="32">
        <v>9</v>
      </c>
      <c r="BI257" s="32">
        <v>3210.33</v>
      </c>
      <c r="BJ257" s="32">
        <v>0</v>
      </c>
      <c r="BK257" s="32">
        <v>0</v>
      </c>
      <c r="BL257" s="32">
        <v>0</v>
      </c>
      <c r="BM257" s="32">
        <v>672152103708</v>
      </c>
      <c r="BN257" s="31">
        <v>46230</v>
      </c>
      <c r="BO257" s="32">
        <v>243.5</v>
      </c>
    </row>
    <row r="258" spans="2:67" x14ac:dyDescent="0.25">
      <c r="B258" s="32" t="s">
        <v>167</v>
      </c>
      <c r="C258" s="31">
        <v>46230</v>
      </c>
      <c r="D258" s="32" t="s">
        <v>1245</v>
      </c>
      <c r="E258" s="32" t="s">
        <v>181</v>
      </c>
      <c r="F258" s="32" t="s">
        <v>182</v>
      </c>
      <c r="G258" s="32" t="s">
        <v>1246</v>
      </c>
      <c r="H258" s="32">
        <v>113.5</v>
      </c>
      <c r="I258" s="32">
        <v>113.5</v>
      </c>
      <c r="J258" s="32" t="s">
        <v>168</v>
      </c>
      <c r="K258" s="32">
        <v>113.5</v>
      </c>
      <c r="L258" s="32">
        <v>0</v>
      </c>
      <c r="M258" s="32">
        <v>113.5</v>
      </c>
      <c r="N258" s="32" t="s">
        <v>175</v>
      </c>
      <c r="O258" s="32" t="s">
        <v>654</v>
      </c>
      <c r="P258" s="32" t="s">
        <v>654</v>
      </c>
      <c r="Q258" s="32" t="s">
        <v>927</v>
      </c>
      <c r="R258" s="31">
        <v>46230</v>
      </c>
      <c r="S258" s="32" t="s">
        <v>987</v>
      </c>
      <c r="T258" s="32" t="s">
        <v>988</v>
      </c>
      <c r="U258" s="32" t="s">
        <v>926</v>
      </c>
      <c r="V258" s="32">
        <v>149.49</v>
      </c>
      <c r="W258" s="32">
        <v>149.490000941912</v>
      </c>
      <c r="X258" s="32" t="s">
        <v>927</v>
      </c>
      <c r="Y258" s="31">
        <v>46230</v>
      </c>
      <c r="Z258" s="32" t="s">
        <v>193</v>
      </c>
      <c r="AA258" s="32" t="s">
        <v>193</v>
      </c>
      <c r="AB258" s="32"/>
      <c r="AC258" s="32" t="s">
        <v>193</v>
      </c>
      <c r="AD258" s="32" t="s">
        <v>193</v>
      </c>
      <c r="AE258" s="32">
        <v>0</v>
      </c>
      <c r="AF258" s="32">
        <v>0</v>
      </c>
      <c r="AG258" s="32">
        <v>0</v>
      </c>
      <c r="AH258" s="32">
        <v>0</v>
      </c>
      <c r="AI258" s="32">
        <v>0</v>
      </c>
      <c r="AJ258" s="32" t="s">
        <v>965</v>
      </c>
      <c r="AK258" s="32">
        <v>0</v>
      </c>
      <c r="AL258" s="32">
        <v>0</v>
      </c>
      <c r="AM258" s="32">
        <v>0</v>
      </c>
      <c r="AN258" s="32">
        <v>0</v>
      </c>
      <c r="AO258" s="32">
        <v>0</v>
      </c>
      <c r="AP258" s="32"/>
      <c r="AQ258" s="32">
        <v>0</v>
      </c>
      <c r="AR258" s="32">
        <v>0</v>
      </c>
      <c r="AS258" s="32">
        <v>1587091.58</v>
      </c>
      <c r="AT258" s="32" t="s">
        <v>169</v>
      </c>
      <c r="AU258" s="32" t="s">
        <v>182</v>
      </c>
      <c r="AV258" s="32" t="s">
        <v>154</v>
      </c>
      <c r="AW258" s="32" t="s">
        <v>171</v>
      </c>
      <c r="AX258" s="32" t="s">
        <v>966</v>
      </c>
      <c r="AY258" s="32">
        <v>0</v>
      </c>
      <c r="AZ258" s="32">
        <v>16967.12</v>
      </c>
      <c r="BA258" s="32">
        <v>375</v>
      </c>
      <c r="BB258" s="31">
        <v>46230</v>
      </c>
      <c r="BC258" s="32" t="s">
        <v>177</v>
      </c>
      <c r="BD258" s="32" t="s">
        <v>967</v>
      </c>
      <c r="BE258" s="32" t="s">
        <v>967</v>
      </c>
      <c r="BF258" s="32">
        <v>9</v>
      </c>
      <c r="BG258" s="32">
        <v>1527.04</v>
      </c>
      <c r="BH258" s="32">
        <v>9</v>
      </c>
      <c r="BI258" s="32">
        <v>1527.04</v>
      </c>
      <c r="BJ258" s="32">
        <v>0</v>
      </c>
      <c r="BK258" s="32">
        <v>0</v>
      </c>
      <c r="BL258" s="32">
        <v>0</v>
      </c>
      <c r="BM258" s="32">
        <v>672152103708</v>
      </c>
      <c r="BN258" s="31">
        <v>46230</v>
      </c>
      <c r="BO258" s="32">
        <v>113.5</v>
      </c>
    </row>
    <row r="259" spans="2:67" x14ac:dyDescent="0.25">
      <c r="B259" s="32" t="s">
        <v>167</v>
      </c>
      <c r="C259" s="31">
        <v>46230</v>
      </c>
      <c r="D259" s="32" t="s">
        <v>1245</v>
      </c>
      <c r="E259" s="32" t="s">
        <v>178</v>
      </c>
      <c r="F259" s="32" t="s">
        <v>179</v>
      </c>
      <c r="G259" s="32" t="s">
        <v>1246</v>
      </c>
      <c r="H259" s="32">
        <v>6510</v>
      </c>
      <c r="I259" s="32">
        <v>6510</v>
      </c>
      <c r="J259" s="32" t="s">
        <v>168</v>
      </c>
      <c r="K259" s="32">
        <v>6510</v>
      </c>
      <c r="L259" s="32">
        <v>0</v>
      </c>
      <c r="M259" s="32">
        <v>6510</v>
      </c>
      <c r="N259" s="32" t="s">
        <v>175</v>
      </c>
      <c r="O259" s="32" t="s">
        <v>654</v>
      </c>
      <c r="P259" s="32" t="s">
        <v>654</v>
      </c>
      <c r="Q259" s="32" t="s">
        <v>927</v>
      </c>
      <c r="R259" s="31">
        <v>46230</v>
      </c>
      <c r="S259" s="32" t="s">
        <v>987</v>
      </c>
      <c r="T259" s="32" t="s">
        <v>988</v>
      </c>
      <c r="U259" s="32" t="s">
        <v>926</v>
      </c>
      <c r="V259" s="32">
        <v>151.49</v>
      </c>
      <c r="W259" s="32">
        <v>151.49000095451299</v>
      </c>
      <c r="X259" s="32" t="s">
        <v>927</v>
      </c>
      <c r="Y259" s="31">
        <v>46230</v>
      </c>
      <c r="Z259" s="32" t="s">
        <v>193</v>
      </c>
      <c r="AA259" s="32" t="s">
        <v>193</v>
      </c>
      <c r="AB259" s="32"/>
      <c r="AC259" s="32" t="s">
        <v>193</v>
      </c>
      <c r="AD259" s="32" t="s">
        <v>193</v>
      </c>
      <c r="AE259" s="32">
        <v>0</v>
      </c>
      <c r="AF259" s="32">
        <v>0</v>
      </c>
      <c r="AG259" s="32">
        <v>0</v>
      </c>
      <c r="AH259" s="32">
        <v>0</v>
      </c>
      <c r="AI259" s="32">
        <v>0</v>
      </c>
      <c r="AJ259" s="32" t="s">
        <v>965</v>
      </c>
      <c r="AK259" s="32">
        <v>0</v>
      </c>
      <c r="AL259" s="32">
        <v>0</v>
      </c>
      <c r="AM259" s="32">
        <v>0</v>
      </c>
      <c r="AN259" s="32">
        <v>0</v>
      </c>
      <c r="AO259" s="32">
        <v>0</v>
      </c>
      <c r="AP259" s="32"/>
      <c r="AQ259" s="32">
        <v>0</v>
      </c>
      <c r="AR259" s="32">
        <v>0</v>
      </c>
      <c r="AS259" s="32">
        <v>1587091.58</v>
      </c>
      <c r="AT259" s="32" t="s">
        <v>169</v>
      </c>
      <c r="AU259" s="32" t="s">
        <v>180</v>
      </c>
      <c r="AV259" s="32" t="s">
        <v>156</v>
      </c>
      <c r="AW259" s="32" t="s">
        <v>171</v>
      </c>
      <c r="AX259" s="32" t="s">
        <v>966</v>
      </c>
      <c r="AY259" s="32">
        <v>0</v>
      </c>
      <c r="AZ259" s="32">
        <v>986199.91</v>
      </c>
      <c r="BA259" s="32">
        <v>375</v>
      </c>
      <c r="BB259" s="31">
        <v>46230</v>
      </c>
      <c r="BC259" s="32" t="s">
        <v>177</v>
      </c>
      <c r="BD259" s="32" t="s">
        <v>967</v>
      </c>
      <c r="BE259" s="32" t="s">
        <v>967</v>
      </c>
      <c r="BF259" s="32">
        <v>9</v>
      </c>
      <c r="BG259" s="32">
        <v>88757.99</v>
      </c>
      <c r="BH259" s="32">
        <v>9</v>
      </c>
      <c r="BI259" s="32">
        <v>88757.99</v>
      </c>
      <c r="BJ259" s="32">
        <v>0</v>
      </c>
      <c r="BK259" s="32">
        <v>0</v>
      </c>
      <c r="BL259" s="32">
        <v>0</v>
      </c>
      <c r="BM259" s="32">
        <v>672152103708</v>
      </c>
      <c r="BN259" s="31">
        <v>46230</v>
      </c>
      <c r="BO259" s="32">
        <v>6510</v>
      </c>
    </row>
    <row r="260" spans="2:67" x14ac:dyDescent="0.25">
      <c r="B260" s="32" t="s">
        <v>167</v>
      </c>
      <c r="C260" s="31">
        <v>46231</v>
      </c>
      <c r="D260" s="32" t="s">
        <v>1247</v>
      </c>
      <c r="E260" s="32" t="s">
        <v>186</v>
      </c>
      <c r="F260" s="32" t="s">
        <v>187</v>
      </c>
      <c r="G260" s="32" t="s">
        <v>1248</v>
      </c>
      <c r="H260" s="32">
        <v>961</v>
      </c>
      <c r="I260" s="32">
        <v>961</v>
      </c>
      <c r="J260" s="32" t="s">
        <v>168</v>
      </c>
      <c r="K260" s="32">
        <v>961</v>
      </c>
      <c r="L260" s="32">
        <v>0</v>
      </c>
      <c r="M260" s="32">
        <v>961</v>
      </c>
      <c r="N260" s="32" t="s">
        <v>198</v>
      </c>
      <c r="O260" s="32" t="s">
        <v>654</v>
      </c>
      <c r="P260" s="32" t="s">
        <v>654</v>
      </c>
      <c r="Q260" s="32" t="s">
        <v>935</v>
      </c>
      <c r="R260" s="31">
        <v>46231</v>
      </c>
      <c r="S260" s="32" t="s">
        <v>987</v>
      </c>
      <c r="T260" s="32" t="s">
        <v>988</v>
      </c>
      <c r="U260" s="32" t="s">
        <v>934</v>
      </c>
      <c r="V260" s="32">
        <v>144.6</v>
      </c>
      <c r="W260" s="32">
        <v>144.6</v>
      </c>
      <c r="X260" s="32" t="s">
        <v>935</v>
      </c>
      <c r="Y260" s="31">
        <v>46231</v>
      </c>
      <c r="Z260" s="32" t="s">
        <v>193</v>
      </c>
      <c r="AA260" s="32" t="s">
        <v>193</v>
      </c>
      <c r="AB260" s="32"/>
      <c r="AC260" s="32" t="s">
        <v>193</v>
      </c>
      <c r="AD260" s="32" t="s">
        <v>193</v>
      </c>
      <c r="AE260" s="32">
        <v>0</v>
      </c>
      <c r="AF260" s="32">
        <v>0</v>
      </c>
      <c r="AG260" s="32">
        <v>0</v>
      </c>
      <c r="AH260" s="32">
        <v>0</v>
      </c>
      <c r="AI260" s="32">
        <v>0</v>
      </c>
      <c r="AJ260" s="32" t="s">
        <v>965</v>
      </c>
      <c r="AK260" s="32">
        <v>0</v>
      </c>
      <c r="AL260" s="32">
        <v>0</v>
      </c>
      <c r="AM260" s="32">
        <v>0</v>
      </c>
      <c r="AN260" s="32">
        <v>0</v>
      </c>
      <c r="AO260" s="32">
        <v>0</v>
      </c>
      <c r="AP260" s="32"/>
      <c r="AQ260" s="32">
        <v>0</v>
      </c>
      <c r="AR260" s="32">
        <v>0</v>
      </c>
      <c r="AS260" s="32">
        <v>163973.5</v>
      </c>
      <c r="AT260" s="32" t="s">
        <v>169</v>
      </c>
      <c r="AU260" s="32" t="s">
        <v>180</v>
      </c>
      <c r="AV260" s="32" t="s">
        <v>155</v>
      </c>
      <c r="AW260" s="32" t="s">
        <v>171</v>
      </c>
      <c r="AX260" s="32" t="s">
        <v>966</v>
      </c>
      <c r="AY260" s="32">
        <v>0</v>
      </c>
      <c r="AZ260" s="32">
        <v>138960.6</v>
      </c>
      <c r="BA260" s="32">
        <v>376</v>
      </c>
      <c r="BB260" s="31">
        <v>46231</v>
      </c>
      <c r="BC260" s="32" t="s">
        <v>177</v>
      </c>
      <c r="BD260" s="32" t="s">
        <v>967</v>
      </c>
      <c r="BE260" s="32" t="s">
        <v>967</v>
      </c>
      <c r="BF260" s="32">
        <v>9</v>
      </c>
      <c r="BG260" s="32">
        <v>12506.45</v>
      </c>
      <c r="BH260" s="32">
        <v>9</v>
      </c>
      <c r="BI260" s="32">
        <v>12506.45</v>
      </c>
      <c r="BJ260" s="32">
        <v>0</v>
      </c>
      <c r="BK260" s="32">
        <v>0</v>
      </c>
      <c r="BL260" s="32">
        <v>163973.5</v>
      </c>
      <c r="BM260" s="32">
        <v>632152435188</v>
      </c>
      <c r="BN260" s="31">
        <v>46231</v>
      </c>
      <c r="BO260" s="32">
        <v>961</v>
      </c>
    </row>
    <row r="261" spans="2:67" x14ac:dyDescent="0.25">
      <c r="B261" s="32" t="s">
        <v>167</v>
      </c>
      <c r="C261" s="31">
        <v>46232</v>
      </c>
      <c r="D261" s="32" t="s">
        <v>1249</v>
      </c>
      <c r="E261" s="32" t="s">
        <v>173</v>
      </c>
      <c r="F261" s="32" t="s">
        <v>174</v>
      </c>
      <c r="G261" s="32" t="s">
        <v>1250</v>
      </c>
      <c r="H261" s="32">
        <v>1096.5</v>
      </c>
      <c r="I261" s="32">
        <v>1096.5</v>
      </c>
      <c r="J261" s="32" t="s">
        <v>168</v>
      </c>
      <c r="K261" s="32">
        <v>1096.5</v>
      </c>
      <c r="L261" s="32">
        <v>0</v>
      </c>
      <c r="M261" s="32">
        <v>1096.5</v>
      </c>
      <c r="N261" s="32" t="s">
        <v>175</v>
      </c>
      <c r="O261" s="32" t="s">
        <v>654</v>
      </c>
      <c r="P261" s="32" t="s">
        <v>654</v>
      </c>
      <c r="Q261" s="32" t="s">
        <v>938</v>
      </c>
      <c r="R261" s="31">
        <v>46232</v>
      </c>
      <c r="S261" s="32" t="s">
        <v>987</v>
      </c>
      <c r="T261" s="32" t="s">
        <v>988</v>
      </c>
      <c r="U261" s="32" t="s">
        <v>937</v>
      </c>
      <c r="V261" s="32">
        <v>186.78</v>
      </c>
      <c r="W261" s="32">
        <v>186.78000316361101</v>
      </c>
      <c r="X261" s="32" t="s">
        <v>938</v>
      </c>
      <c r="Y261" s="31">
        <v>46232</v>
      </c>
      <c r="Z261" s="32" t="s">
        <v>193</v>
      </c>
      <c r="AA261" s="32" t="s">
        <v>193</v>
      </c>
      <c r="AB261" s="32"/>
      <c r="AC261" s="32" t="s">
        <v>193</v>
      </c>
      <c r="AD261" s="32" t="s">
        <v>193</v>
      </c>
      <c r="AE261" s="32">
        <v>0</v>
      </c>
      <c r="AF261" s="32">
        <v>0</v>
      </c>
      <c r="AG261" s="32">
        <v>0</v>
      </c>
      <c r="AH261" s="32">
        <v>0</v>
      </c>
      <c r="AI261" s="32">
        <v>0</v>
      </c>
      <c r="AJ261" s="32" t="s">
        <v>965</v>
      </c>
      <c r="AK261" s="32">
        <v>0</v>
      </c>
      <c r="AL261" s="32">
        <v>0</v>
      </c>
      <c r="AM261" s="32">
        <v>0</v>
      </c>
      <c r="AN261" s="32">
        <v>0</v>
      </c>
      <c r="AO261" s="32">
        <v>0</v>
      </c>
      <c r="AP261" s="32"/>
      <c r="AQ261" s="32">
        <v>0</v>
      </c>
      <c r="AR261" s="32">
        <v>0</v>
      </c>
      <c r="AS261" s="32">
        <v>531361.22</v>
      </c>
      <c r="AT261" s="32" t="s">
        <v>169</v>
      </c>
      <c r="AU261" s="32" t="s">
        <v>176</v>
      </c>
      <c r="AV261" s="32" t="s">
        <v>159</v>
      </c>
      <c r="AW261" s="32" t="s">
        <v>171</v>
      </c>
      <c r="AX261" s="32" t="s">
        <v>966</v>
      </c>
      <c r="AY261" s="32">
        <v>0</v>
      </c>
      <c r="AZ261" s="32">
        <v>204804.27</v>
      </c>
      <c r="BA261" s="32">
        <v>377</v>
      </c>
      <c r="BB261" s="31">
        <v>46232</v>
      </c>
      <c r="BC261" s="32" t="s">
        <v>177</v>
      </c>
      <c r="BD261" s="32" t="s">
        <v>967</v>
      </c>
      <c r="BE261" s="32" t="s">
        <v>967</v>
      </c>
      <c r="BF261" s="32">
        <v>9</v>
      </c>
      <c r="BG261" s="32">
        <v>18432.38</v>
      </c>
      <c r="BH261" s="32">
        <v>9</v>
      </c>
      <c r="BI261" s="32">
        <v>18432.38</v>
      </c>
      <c r="BJ261" s="32">
        <v>0</v>
      </c>
      <c r="BK261" s="32">
        <v>0</v>
      </c>
      <c r="BL261" s="32">
        <v>531361.22</v>
      </c>
      <c r="BM261" s="32">
        <v>682153399060</v>
      </c>
      <c r="BN261" s="31">
        <v>46232</v>
      </c>
      <c r="BO261" s="32">
        <v>1096.5</v>
      </c>
    </row>
    <row r="262" spans="2:67" x14ac:dyDescent="0.25">
      <c r="B262" s="32" t="s">
        <v>167</v>
      </c>
      <c r="C262" s="31">
        <v>46232</v>
      </c>
      <c r="D262" s="32" t="s">
        <v>1249</v>
      </c>
      <c r="E262" s="32" t="s">
        <v>186</v>
      </c>
      <c r="F262" s="32" t="s">
        <v>187</v>
      </c>
      <c r="G262" s="32" t="s">
        <v>1250</v>
      </c>
      <c r="H262" s="32">
        <v>299</v>
      </c>
      <c r="I262" s="32">
        <v>299</v>
      </c>
      <c r="J262" s="32" t="s">
        <v>168</v>
      </c>
      <c r="K262" s="32">
        <v>299</v>
      </c>
      <c r="L262" s="32">
        <v>0</v>
      </c>
      <c r="M262" s="32">
        <v>299</v>
      </c>
      <c r="N262" s="32" t="s">
        <v>175</v>
      </c>
      <c r="O262" s="32" t="s">
        <v>654</v>
      </c>
      <c r="P262" s="32" t="s">
        <v>654</v>
      </c>
      <c r="Q262" s="32" t="s">
        <v>938</v>
      </c>
      <c r="R262" s="31">
        <v>46232</v>
      </c>
      <c r="S262" s="32" t="s">
        <v>987</v>
      </c>
      <c r="T262" s="32" t="s">
        <v>988</v>
      </c>
      <c r="U262" s="32" t="s">
        <v>937</v>
      </c>
      <c r="V262" s="32">
        <v>146.49</v>
      </c>
      <c r="W262" s="32">
        <v>146.49000248119401</v>
      </c>
      <c r="X262" s="32" t="s">
        <v>938</v>
      </c>
      <c r="Y262" s="31">
        <v>46232</v>
      </c>
      <c r="Z262" s="32" t="s">
        <v>193</v>
      </c>
      <c r="AA262" s="32" t="s">
        <v>193</v>
      </c>
      <c r="AB262" s="32"/>
      <c r="AC262" s="32" t="s">
        <v>193</v>
      </c>
      <c r="AD262" s="32" t="s">
        <v>193</v>
      </c>
      <c r="AE262" s="32">
        <v>0</v>
      </c>
      <c r="AF262" s="32">
        <v>0</v>
      </c>
      <c r="AG262" s="32">
        <v>0</v>
      </c>
      <c r="AH262" s="32">
        <v>0</v>
      </c>
      <c r="AI262" s="32">
        <v>0</v>
      </c>
      <c r="AJ262" s="32" t="s">
        <v>965</v>
      </c>
      <c r="AK262" s="32">
        <v>0</v>
      </c>
      <c r="AL262" s="32">
        <v>0</v>
      </c>
      <c r="AM262" s="32">
        <v>0</v>
      </c>
      <c r="AN262" s="32">
        <v>0</v>
      </c>
      <c r="AO262" s="32">
        <v>0</v>
      </c>
      <c r="AP262" s="32"/>
      <c r="AQ262" s="32">
        <v>0</v>
      </c>
      <c r="AR262" s="32">
        <v>0</v>
      </c>
      <c r="AS262" s="32">
        <v>531361.22</v>
      </c>
      <c r="AT262" s="32" t="s">
        <v>169</v>
      </c>
      <c r="AU262" s="32" t="s">
        <v>180</v>
      </c>
      <c r="AV262" s="32" t="s">
        <v>155</v>
      </c>
      <c r="AW262" s="32" t="s">
        <v>171</v>
      </c>
      <c r="AX262" s="32" t="s">
        <v>966</v>
      </c>
      <c r="AY262" s="32">
        <v>0</v>
      </c>
      <c r="AZ262" s="32">
        <v>43800.51</v>
      </c>
      <c r="BA262" s="32">
        <v>377</v>
      </c>
      <c r="BB262" s="31">
        <v>46232</v>
      </c>
      <c r="BC262" s="32" t="s">
        <v>177</v>
      </c>
      <c r="BD262" s="32" t="s">
        <v>967</v>
      </c>
      <c r="BE262" s="32" t="s">
        <v>967</v>
      </c>
      <c r="BF262" s="32">
        <v>9</v>
      </c>
      <c r="BG262" s="32">
        <v>3942.05</v>
      </c>
      <c r="BH262" s="32">
        <v>9</v>
      </c>
      <c r="BI262" s="32">
        <v>3942.05</v>
      </c>
      <c r="BJ262" s="32">
        <v>0</v>
      </c>
      <c r="BK262" s="32">
        <v>0</v>
      </c>
      <c r="BL262" s="32">
        <v>0</v>
      </c>
      <c r="BM262" s="32">
        <v>682153399060</v>
      </c>
      <c r="BN262" s="31">
        <v>46232</v>
      </c>
      <c r="BO262" s="32">
        <v>299</v>
      </c>
    </row>
    <row r="263" spans="2:67" x14ac:dyDescent="0.25">
      <c r="B263" s="32" t="s">
        <v>167</v>
      </c>
      <c r="C263" s="31">
        <v>46232</v>
      </c>
      <c r="D263" s="32" t="s">
        <v>1249</v>
      </c>
      <c r="E263" s="32" t="s">
        <v>181</v>
      </c>
      <c r="F263" s="32" t="s">
        <v>182</v>
      </c>
      <c r="G263" s="32" t="s">
        <v>1250</v>
      </c>
      <c r="H263" s="32">
        <v>1039.5</v>
      </c>
      <c r="I263" s="32">
        <v>1039.5</v>
      </c>
      <c r="J263" s="32" t="s">
        <v>168</v>
      </c>
      <c r="K263" s="32">
        <v>1039.5</v>
      </c>
      <c r="L263" s="32">
        <v>0</v>
      </c>
      <c r="M263" s="32">
        <v>1039.5</v>
      </c>
      <c r="N263" s="32" t="s">
        <v>175</v>
      </c>
      <c r="O263" s="32" t="s">
        <v>654</v>
      </c>
      <c r="P263" s="32" t="s">
        <v>654</v>
      </c>
      <c r="Q263" s="32" t="s">
        <v>938</v>
      </c>
      <c r="R263" s="31">
        <v>46232</v>
      </c>
      <c r="S263" s="32" t="s">
        <v>987</v>
      </c>
      <c r="T263" s="32" t="s">
        <v>988</v>
      </c>
      <c r="U263" s="32" t="s">
        <v>937</v>
      </c>
      <c r="V263" s="32">
        <v>146.49</v>
      </c>
      <c r="W263" s="32">
        <v>146.49000248119401</v>
      </c>
      <c r="X263" s="32" t="s">
        <v>938</v>
      </c>
      <c r="Y263" s="31">
        <v>46232</v>
      </c>
      <c r="Z263" s="32" t="s">
        <v>193</v>
      </c>
      <c r="AA263" s="32" t="s">
        <v>193</v>
      </c>
      <c r="AB263" s="32"/>
      <c r="AC263" s="32" t="s">
        <v>193</v>
      </c>
      <c r="AD263" s="32" t="s">
        <v>193</v>
      </c>
      <c r="AE263" s="32">
        <v>0</v>
      </c>
      <c r="AF263" s="32">
        <v>0</v>
      </c>
      <c r="AG263" s="32">
        <v>0</v>
      </c>
      <c r="AH263" s="32">
        <v>0</v>
      </c>
      <c r="AI263" s="32">
        <v>0</v>
      </c>
      <c r="AJ263" s="32" t="s">
        <v>965</v>
      </c>
      <c r="AK263" s="32">
        <v>0</v>
      </c>
      <c r="AL263" s="32">
        <v>0</v>
      </c>
      <c r="AM263" s="32">
        <v>0</v>
      </c>
      <c r="AN263" s="32">
        <v>0</v>
      </c>
      <c r="AO263" s="32">
        <v>0</v>
      </c>
      <c r="AP263" s="32"/>
      <c r="AQ263" s="32">
        <v>0</v>
      </c>
      <c r="AR263" s="32">
        <v>0</v>
      </c>
      <c r="AS263" s="32">
        <v>531361.22</v>
      </c>
      <c r="AT263" s="32" t="s">
        <v>169</v>
      </c>
      <c r="AU263" s="32" t="s">
        <v>182</v>
      </c>
      <c r="AV263" s="32" t="s">
        <v>154</v>
      </c>
      <c r="AW263" s="32" t="s">
        <v>171</v>
      </c>
      <c r="AX263" s="32" t="s">
        <v>966</v>
      </c>
      <c r="AY263" s="32">
        <v>0</v>
      </c>
      <c r="AZ263" s="32">
        <v>152276.35999999999</v>
      </c>
      <c r="BA263" s="32">
        <v>377</v>
      </c>
      <c r="BB263" s="31">
        <v>46232</v>
      </c>
      <c r="BC263" s="32" t="s">
        <v>177</v>
      </c>
      <c r="BD263" s="32" t="s">
        <v>967</v>
      </c>
      <c r="BE263" s="32" t="s">
        <v>967</v>
      </c>
      <c r="BF263" s="32">
        <v>9</v>
      </c>
      <c r="BG263" s="32">
        <v>13704.87</v>
      </c>
      <c r="BH263" s="32">
        <v>9</v>
      </c>
      <c r="BI263" s="32">
        <v>13704.87</v>
      </c>
      <c r="BJ263" s="32">
        <v>0</v>
      </c>
      <c r="BK263" s="32">
        <v>0</v>
      </c>
      <c r="BL263" s="32">
        <v>0</v>
      </c>
      <c r="BM263" s="32">
        <v>682153399060</v>
      </c>
      <c r="BN263" s="31">
        <v>46232</v>
      </c>
      <c r="BO263" s="32">
        <v>1039.5</v>
      </c>
    </row>
    <row r="264" spans="2:67" x14ac:dyDescent="0.25">
      <c r="B264" s="32" t="s">
        <v>167</v>
      </c>
      <c r="C264" s="31">
        <v>46232</v>
      </c>
      <c r="D264" s="32" t="s">
        <v>1249</v>
      </c>
      <c r="E264" s="32" t="s">
        <v>181</v>
      </c>
      <c r="F264" s="32" t="s">
        <v>182</v>
      </c>
      <c r="G264" s="32" t="s">
        <v>1250</v>
      </c>
      <c r="H264" s="32">
        <v>152</v>
      </c>
      <c r="I264" s="32">
        <v>152</v>
      </c>
      <c r="J264" s="32" t="s">
        <v>168</v>
      </c>
      <c r="K264" s="32">
        <v>152</v>
      </c>
      <c r="L264" s="32">
        <v>0</v>
      </c>
      <c r="M264" s="32">
        <v>152</v>
      </c>
      <c r="N264" s="32" t="s">
        <v>175</v>
      </c>
      <c r="O264" s="32" t="s">
        <v>654</v>
      </c>
      <c r="P264" s="32" t="s">
        <v>654</v>
      </c>
      <c r="Q264" s="32" t="s">
        <v>938</v>
      </c>
      <c r="R264" s="31">
        <v>46232</v>
      </c>
      <c r="S264" s="32" t="s">
        <v>987</v>
      </c>
      <c r="T264" s="32" t="s">
        <v>988</v>
      </c>
      <c r="U264" s="32" t="s">
        <v>937</v>
      </c>
      <c r="V264" s="32">
        <v>149.49</v>
      </c>
      <c r="W264" s="32">
        <v>149.490002532006</v>
      </c>
      <c r="X264" s="32" t="s">
        <v>938</v>
      </c>
      <c r="Y264" s="31">
        <v>46232</v>
      </c>
      <c r="Z264" s="32" t="s">
        <v>193</v>
      </c>
      <c r="AA264" s="32" t="s">
        <v>193</v>
      </c>
      <c r="AB264" s="32"/>
      <c r="AC264" s="32" t="s">
        <v>193</v>
      </c>
      <c r="AD264" s="32" t="s">
        <v>193</v>
      </c>
      <c r="AE264" s="32">
        <v>0</v>
      </c>
      <c r="AF264" s="32">
        <v>0</v>
      </c>
      <c r="AG264" s="32">
        <v>0</v>
      </c>
      <c r="AH264" s="32">
        <v>0</v>
      </c>
      <c r="AI264" s="32">
        <v>0</v>
      </c>
      <c r="AJ264" s="32" t="s">
        <v>965</v>
      </c>
      <c r="AK264" s="32">
        <v>0</v>
      </c>
      <c r="AL264" s="32">
        <v>0</v>
      </c>
      <c r="AM264" s="32">
        <v>0</v>
      </c>
      <c r="AN264" s="32">
        <v>0</v>
      </c>
      <c r="AO264" s="32">
        <v>0</v>
      </c>
      <c r="AP264" s="32"/>
      <c r="AQ264" s="32">
        <v>0</v>
      </c>
      <c r="AR264" s="32">
        <v>0</v>
      </c>
      <c r="AS264" s="32">
        <v>531361.22</v>
      </c>
      <c r="AT264" s="32" t="s">
        <v>169</v>
      </c>
      <c r="AU264" s="32" t="s">
        <v>182</v>
      </c>
      <c r="AV264" s="32" t="s">
        <v>154</v>
      </c>
      <c r="AW264" s="32" t="s">
        <v>171</v>
      </c>
      <c r="AX264" s="32" t="s">
        <v>966</v>
      </c>
      <c r="AY264" s="32">
        <v>0</v>
      </c>
      <c r="AZ264" s="32">
        <v>22722.48</v>
      </c>
      <c r="BA264" s="32">
        <v>377</v>
      </c>
      <c r="BB264" s="31">
        <v>46232</v>
      </c>
      <c r="BC264" s="32" t="s">
        <v>177</v>
      </c>
      <c r="BD264" s="32" t="s">
        <v>967</v>
      </c>
      <c r="BE264" s="32" t="s">
        <v>967</v>
      </c>
      <c r="BF264" s="32">
        <v>9</v>
      </c>
      <c r="BG264" s="32">
        <v>2045.02</v>
      </c>
      <c r="BH264" s="32">
        <v>9</v>
      </c>
      <c r="BI264" s="32">
        <v>2045.02</v>
      </c>
      <c r="BJ264" s="32">
        <v>0</v>
      </c>
      <c r="BK264" s="32">
        <v>0</v>
      </c>
      <c r="BL264" s="32">
        <v>0</v>
      </c>
      <c r="BM264" s="32">
        <v>682153399060</v>
      </c>
      <c r="BN264" s="31">
        <v>46232</v>
      </c>
      <c r="BO264" s="32">
        <v>152</v>
      </c>
    </row>
    <row r="265" spans="2:67" x14ac:dyDescent="0.25">
      <c r="B265" s="32" t="s">
        <v>167</v>
      </c>
      <c r="C265" s="31">
        <v>46232</v>
      </c>
      <c r="D265" s="32" t="s">
        <v>1249</v>
      </c>
      <c r="E265" s="32" t="s">
        <v>1006</v>
      </c>
      <c r="F265" s="32" t="s">
        <v>681</v>
      </c>
      <c r="G265" s="32" t="s">
        <v>1250</v>
      </c>
      <c r="H265" s="32">
        <v>186.4</v>
      </c>
      <c r="I265" s="32">
        <v>186.4</v>
      </c>
      <c r="J265" s="32" t="s">
        <v>168</v>
      </c>
      <c r="K265" s="32">
        <v>186.4</v>
      </c>
      <c r="L265" s="32">
        <v>0</v>
      </c>
      <c r="M265" s="32">
        <v>186.4</v>
      </c>
      <c r="N265" s="32" t="s">
        <v>175</v>
      </c>
      <c r="O265" s="32" t="s">
        <v>654</v>
      </c>
      <c r="P265" s="32" t="s">
        <v>654</v>
      </c>
      <c r="Q265" s="32" t="s">
        <v>938</v>
      </c>
      <c r="R265" s="31">
        <v>46232</v>
      </c>
      <c r="S265" s="32" t="s">
        <v>987</v>
      </c>
      <c r="T265" s="32" t="s">
        <v>988</v>
      </c>
      <c r="U265" s="32" t="s">
        <v>937</v>
      </c>
      <c r="V265" s="32">
        <v>160.99</v>
      </c>
      <c r="W265" s="32">
        <v>160.99000272678899</v>
      </c>
      <c r="X265" s="32" t="s">
        <v>938</v>
      </c>
      <c r="Y265" s="31">
        <v>46232</v>
      </c>
      <c r="Z265" s="32" t="s">
        <v>193</v>
      </c>
      <c r="AA265" s="32" t="s">
        <v>193</v>
      </c>
      <c r="AB265" s="32"/>
      <c r="AC265" s="32" t="s">
        <v>193</v>
      </c>
      <c r="AD265" s="32" t="s">
        <v>193</v>
      </c>
      <c r="AE265" s="32">
        <v>0</v>
      </c>
      <c r="AF265" s="32">
        <v>0</v>
      </c>
      <c r="AG265" s="32">
        <v>0</v>
      </c>
      <c r="AH265" s="32">
        <v>0</v>
      </c>
      <c r="AI265" s="32">
        <v>0</v>
      </c>
      <c r="AJ265" s="32" t="s">
        <v>965</v>
      </c>
      <c r="AK265" s="32">
        <v>0</v>
      </c>
      <c r="AL265" s="32">
        <v>0</v>
      </c>
      <c r="AM265" s="32">
        <v>0</v>
      </c>
      <c r="AN265" s="32">
        <v>0</v>
      </c>
      <c r="AO265" s="32">
        <v>0</v>
      </c>
      <c r="AP265" s="32"/>
      <c r="AQ265" s="32">
        <v>0</v>
      </c>
      <c r="AR265" s="32">
        <v>0</v>
      </c>
      <c r="AS265" s="32">
        <v>531361.22</v>
      </c>
      <c r="AT265" s="32" t="s">
        <v>169</v>
      </c>
      <c r="AU265" s="32" t="s">
        <v>170</v>
      </c>
      <c r="AV265" s="32" t="s">
        <v>157</v>
      </c>
      <c r="AW265" s="32" t="s">
        <v>171</v>
      </c>
      <c r="AX265" s="32" t="s">
        <v>966</v>
      </c>
      <c r="AY265" s="32">
        <v>0</v>
      </c>
      <c r="AZ265" s="32">
        <v>30008.54</v>
      </c>
      <c r="BA265" s="32">
        <v>377</v>
      </c>
      <c r="BB265" s="31">
        <v>46232</v>
      </c>
      <c r="BC265" s="32" t="s">
        <v>177</v>
      </c>
      <c r="BD265" s="32" t="s">
        <v>967</v>
      </c>
      <c r="BE265" s="32" t="s">
        <v>967</v>
      </c>
      <c r="BF265" s="32">
        <v>2.5</v>
      </c>
      <c r="BG265" s="32">
        <v>750.21</v>
      </c>
      <c r="BH265" s="32">
        <v>2.5</v>
      </c>
      <c r="BI265" s="32">
        <v>750.21</v>
      </c>
      <c r="BJ265" s="32">
        <v>0</v>
      </c>
      <c r="BK265" s="32">
        <v>0</v>
      </c>
      <c r="BL265" s="32">
        <v>0</v>
      </c>
      <c r="BM265" s="32">
        <v>682153399060</v>
      </c>
      <c r="BN265" s="31">
        <v>46232</v>
      </c>
      <c r="BO265" s="32">
        <v>186.4</v>
      </c>
    </row>
    <row r="266" spans="2:67" x14ac:dyDescent="0.25">
      <c r="B266" s="32" t="s">
        <v>167</v>
      </c>
      <c r="C266" s="31">
        <v>46232</v>
      </c>
      <c r="D266" s="32" t="s">
        <v>1251</v>
      </c>
      <c r="E266" s="32" t="s">
        <v>1008</v>
      </c>
      <c r="F266" s="32" t="s">
        <v>685</v>
      </c>
      <c r="G266" s="32" t="s">
        <v>1250</v>
      </c>
      <c r="H266" s="32">
        <v>464.3</v>
      </c>
      <c r="I266" s="32">
        <v>464.3</v>
      </c>
      <c r="J266" s="32" t="s">
        <v>188</v>
      </c>
      <c r="K266" s="32">
        <v>464.3</v>
      </c>
      <c r="L266" s="32">
        <v>0</v>
      </c>
      <c r="M266" s="32">
        <v>464.3</v>
      </c>
      <c r="N266" s="32" t="s">
        <v>175</v>
      </c>
      <c r="O266" s="32" t="s">
        <v>654</v>
      </c>
      <c r="P266" s="32" t="s">
        <v>654</v>
      </c>
      <c r="Q266" s="32" t="s">
        <v>940</v>
      </c>
      <c r="R266" s="31">
        <v>46232</v>
      </c>
      <c r="S266" s="32" t="s">
        <v>987</v>
      </c>
      <c r="T266" s="32" t="s">
        <v>988</v>
      </c>
      <c r="U266" s="32" t="s">
        <v>939</v>
      </c>
      <c r="V266" s="32">
        <v>156.49</v>
      </c>
      <c r="W266" s="32">
        <v>156.49000265768399</v>
      </c>
      <c r="X266" s="32" t="s">
        <v>940</v>
      </c>
      <c r="Y266" s="31">
        <v>46232</v>
      </c>
      <c r="Z266" s="32" t="s">
        <v>193</v>
      </c>
      <c r="AA266" s="32" t="s">
        <v>193</v>
      </c>
      <c r="AB266" s="32"/>
      <c r="AC266" s="32" t="s">
        <v>193</v>
      </c>
      <c r="AD266" s="32" t="s">
        <v>193</v>
      </c>
      <c r="AE266" s="32">
        <v>0</v>
      </c>
      <c r="AF266" s="32">
        <v>0</v>
      </c>
      <c r="AG266" s="32">
        <v>0</v>
      </c>
      <c r="AH266" s="32">
        <v>0</v>
      </c>
      <c r="AI266" s="32">
        <v>0</v>
      </c>
      <c r="AJ266" s="32" t="s">
        <v>965</v>
      </c>
      <c r="AK266" s="32">
        <v>0</v>
      </c>
      <c r="AL266" s="32">
        <v>0</v>
      </c>
      <c r="AM266" s="32">
        <v>0</v>
      </c>
      <c r="AN266" s="32">
        <v>0</v>
      </c>
      <c r="AO266" s="32">
        <v>0</v>
      </c>
      <c r="AP266" s="32"/>
      <c r="AQ266" s="32">
        <v>0</v>
      </c>
      <c r="AR266" s="32">
        <v>0</v>
      </c>
      <c r="AS266" s="32">
        <v>235528.41</v>
      </c>
      <c r="AT266" s="32" t="s">
        <v>169</v>
      </c>
      <c r="AU266" s="32" t="s">
        <v>170</v>
      </c>
      <c r="AV266" s="32" t="s">
        <v>157</v>
      </c>
      <c r="AW266" s="32" t="s">
        <v>171</v>
      </c>
      <c r="AX266" s="32"/>
      <c r="AY266" s="32">
        <v>0</v>
      </c>
      <c r="AZ266" s="32">
        <v>72658.31</v>
      </c>
      <c r="BA266" s="32">
        <v>378</v>
      </c>
      <c r="BB266" s="31">
        <v>46232</v>
      </c>
      <c r="BC266" s="32" t="s">
        <v>177</v>
      </c>
      <c r="BD266" s="32" t="s">
        <v>967</v>
      </c>
      <c r="BE266" s="32" t="s">
        <v>967</v>
      </c>
      <c r="BF266" s="32">
        <v>2.5</v>
      </c>
      <c r="BG266" s="32">
        <v>1816.46</v>
      </c>
      <c r="BH266" s="32">
        <v>2.5</v>
      </c>
      <c r="BI266" s="32">
        <v>1816.46</v>
      </c>
      <c r="BJ266" s="32">
        <v>0</v>
      </c>
      <c r="BK266" s="32">
        <v>0</v>
      </c>
      <c r="BL266" s="32">
        <v>235528.41</v>
      </c>
      <c r="BM266" s="32">
        <v>632153455437</v>
      </c>
      <c r="BN266" s="31">
        <v>46232</v>
      </c>
      <c r="BO266" s="32">
        <v>464.3</v>
      </c>
    </row>
    <row r="267" spans="2:67" x14ac:dyDescent="0.25">
      <c r="B267" s="32" t="s">
        <v>167</v>
      </c>
      <c r="C267" s="31">
        <v>46232</v>
      </c>
      <c r="D267" s="32" t="s">
        <v>1251</v>
      </c>
      <c r="E267" s="32" t="s">
        <v>1009</v>
      </c>
      <c r="F267" s="32" t="s">
        <v>684</v>
      </c>
      <c r="G267" s="32" t="s">
        <v>1250</v>
      </c>
      <c r="H267" s="32">
        <v>969.1</v>
      </c>
      <c r="I267" s="32">
        <v>969.1</v>
      </c>
      <c r="J267" s="32" t="s">
        <v>188</v>
      </c>
      <c r="K267" s="32">
        <v>969.1</v>
      </c>
      <c r="L267" s="32">
        <v>0</v>
      </c>
      <c r="M267" s="32">
        <v>969.1</v>
      </c>
      <c r="N267" s="32" t="s">
        <v>175</v>
      </c>
      <c r="O267" s="32" t="s">
        <v>654</v>
      </c>
      <c r="P267" s="32" t="s">
        <v>654</v>
      </c>
      <c r="Q267" s="32" t="s">
        <v>940</v>
      </c>
      <c r="R267" s="31">
        <v>46232</v>
      </c>
      <c r="S267" s="32" t="s">
        <v>987</v>
      </c>
      <c r="T267" s="32" t="s">
        <v>988</v>
      </c>
      <c r="U267" s="32" t="s">
        <v>939</v>
      </c>
      <c r="V267" s="32">
        <v>156.49</v>
      </c>
      <c r="W267" s="32">
        <v>156.49000265768399</v>
      </c>
      <c r="X267" s="32" t="s">
        <v>940</v>
      </c>
      <c r="Y267" s="31">
        <v>46232</v>
      </c>
      <c r="Z267" s="32" t="s">
        <v>193</v>
      </c>
      <c r="AA267" s="32" t="s">
        <v>193</v>
      </c>
      <c r="AB267" s="32"/>
      <c r="AC267" s="32" t="s">
        <v>193</v>
      </c>
      <c r="AD267" s="32" t="s">
        <v>193</v>
      </c>
      <c r="AE267" s="32">
        <v>0</v>
      </c>
      <c r="AF267" s="32">
        <v>0</v>
      </c>
      <c r="AG267" s="32">
        <v>0</v>
      </c>
      <c r="AH267" s="32">
        <v>0</v>
      </c>
      <c r="AI267" s="32">
        <v>0</v>
      </c>
      <c r="AJ267" s="32" t="s">
        <v>965</v>
      </c>
      <c r="AK267" s="32">
        <v>0</v>
      </c>
      <c r="AL267" s="32">
        <v>0</v>
      </c>
      <c r="AM267" s="32">
        <v>0</v>
      </c>
      <c r="AN267" s="32">
        <v>0</v>
      </c>
      <c r="AO267" s="32">
        <v>0</v>
      </c>
      <c r="AP267" s="32"/>
      <c r="AQ267" s="32">
        <v>0</v>
      </c>
      <c r="AR267" s="32">
        <v>0</v>
      </c>
      <c r="AS267" s="32">
        <v>235528.41</v>
      </c>
      <c r="AT267" s="32" t="s">
        <v>169</v>
      </c>
      <c r="AU267" s="32" t="s">
        <v>170</v>
      </c>
      <c r="AV267" s="32" t="s">
        <v>157</v>
      </c>
      <c r="AW267" s="32" t="s">
        <v>171</v>
      </c>
      <c r="AX267" s="32"/>
      <c r="AY267" s="32">
        <v>0</v>
      </c>
      <c r="AZ267" s="32">
        <v>151654.46</v>
      </c>
      <c r="BA267" s="32">
        <v>378</v>
      </c>
      <c r="BB267" s="31">
        <v>46232</v>
      </c>
      <c r="BC267" s="32" t="s">
        <v>177</v>
      </c>
      <c r="BD267" s="32" t="s">
        <v>967</v>
      </c>
      <c r="BE267" s="32" t="s">
        <v>967</v>
      </c>
      <c r="BF267" s="32">
        <v>2.5</v>
      </c>
      <c r="BG267" s="32">
        <v>3791.36</v>
      </c>
      <c r="BH267" s="32">
        <v>2.5</v>
      </c>
      <c r="BI267" s="32">
        <v>3791.36</v>
      </c>
      <c r="BJ267" s="32">
        <v>0</v>
      </c>
      <c r="BK267" s="32">
        <v>0</v>
      </c>
      <c r="BL267" s="32">
        <v>0</v>
      </c>
      <c r="BM267" s="32">
        <v>632153455437</v>
      </c>
      <c r="BN267" s="31">
        <v>46232</v>
      </c>
      <c r="BO267" s="32">
        <v>969.1</v>
      </c>
    </row>
    <row r="268" spans="2:67" x14ac:dyDescent="0.25">
      <c r="B268" s="32" t="s">
        <v>167</v>
      </c>
      <c r="C268" s="31">
        <v>46233</v>
      </c>
      <c r="D268" s="32" t="s">
        <v>1252</v>
      </c>
      <c r="E268" s="32" t="s">
        <v>186</v>
      </c>
      <c r="F268" s="32" t="s">
        <v>187</v>
      </c>
      <c r="G268" s="32" t="s">
        <v>1253</v>
      </c>
      <c r="H268" s="32">
        <v>512</v>
      </c>
      <c r="I268" s="32">
        <v>512</v>
      </c>
      <c r="J268" s="32" t="s">
        <v>168</v>
      </c>
      <c r="K268" s="32">
        <v>512</v>
      </c>
      <c r="L268" s="32">
        <v>0</v>
      </c>
      <c r="M268" s="32">
        <v>512</v>
      </c>
      <c r="N268" s="32" t="s">
        <v>996</v>
      </c>
      <c r="O268" s="32" t="s">
        <v>665</v>
      </c>
      <c r="P268" s="32" t="s">
        <v>665</v>
      </c>
      <c r="Q268" s="32" t="s">
        <v>942</v>
      </c>
      <c r="R268" s="31">
        <v>46232</v>
      </c>
      <c r="S268" s="32" t="s">
        <v>987</v>
      </c>
      <c r="T268" s="32" t="s">
        <v>988</v>
      </c>
      <c r="U268" s="32" t="s">
        <v>941</v>
      </c>
      <c r="V268" s="32">
        <v>159.49</v>
      </c>
      <c r="W268" s="32">
        <v>159.49</v>
      </c>
      <c r="X268" s="32" t="s">
        <v>942</v>
      </c>
      <c r="Y268" s="31">
        <v>46232</v>
      </c>
      <c r="Z268" s="32" t="s">
        <v>193</v>
      </c>
      <c r="AA268" s="32" t="s">
        <v>193</v>
      </c>
      <c r="AB268" s="32"/>
      <c r="AC268" s="32" t="s">
        <v>1069</v>
      </c>
      <c r="AD268" s="32">
        <v>2531</v>
      </c>
      <c r="AE268" s="32">
        <v>0</v>
      </c>
      <c r="AF268" s="32">
        <v>0</v>
      </c>
      <c r="AG268" s="32">
        <v>0</v>
      </c>
      <c r="AH268" s="32">
        <v>0</v>
      </c>
      <c r="AI268" s="32">
        <v>0</v>
      </c>
      <c r="AJ268" s="32" t="s">
        <v>965</v>
      </c>
      <c r="AK268" s="32">
        <v>0</v>
      </c>
      <c r="AL268" s="32">
        <v>0</v>
      </c>
      <c r="AM268" s="32">
        <v>0</v>
      </c>
      <c r="AN268" s="32">
        <v>0</v>
      </c>
      <c r="AO268" s="32">
        <v>0</v>
      </c>
      <c r="AP268" s="32"/>
      <c r="AQ268" s="32">
        <v>0</v>
      </c>
      <c r="AR268" s="32">
        <v>0</v>
      </c>
      <c r="AS268" s="32">
        <v>1436052.73</v>
      </c>
      <c r="AT268" s="32" t="s">
        <v>169</v>
      </c>
      <c r="AU268" s="32" t="s">
        <v>180</v>
      </c>
      <c r="AV268" s="32" t="s">
        <v>155</v>
      </c>
      <c r="AW268" s="32" t="s">
        <v>171</v>
      </c>
      <c r="AX268" s="32" t="s">
        <v>966</v>
      </c>
      <c r="AY268" s="32">
        <v>0</v>
      </c>
      <c r="AZ268" s="32">
        <v>81658.880000000005</v>
      </c>
      <c r="BA268" s="32">
        <v>379</v>
      </c>
      <c r="BB268" s="31">
        <v>46233</v>
      </c>
      <c r="BC268" s="32" t="s">
        <v>189</v>
      </c>
      <c r="BD268" s="32" t="s">
        <v>967</v>
      </c>
      <c r="BE268" s="32" t="s">
        <v>967</v>
      </c>
      <c r="BF268" s="32">
        <v>9</v>
      </c>
      <c r="BG268" s="32">
        <v>7349.3</v>
      </c>
      <c r="BH268" s="32">
        <v>9</v>
      </c>
      <c r="BI268" s="32">
        <v>7349.3</v>
      </c>
      <c r="BJ268" s="32">
        <v>0</v>
      </c>
      <c r="BK268" s="32">
        <v>0</v>
      </c>
      <c r="BL268" s="32">
        <v>1436052.73</v>
      </c>
      <c r="BM268" s="32">
        <v>652153316705</v>
      </c>
      <c r="BN268" s="31">
        <v>46232</v>
      </c>
      <c r="BO268" s="32">
        <v>512</v>
      </c>
    </row>
    <row r="269" spans="2:67" x14ac:dyDescent="0.25">
      <c r="B269" s="32" t="s">
        <v>167</v>
      </c>
      <c r="C269" s="31">
        <v>46233</v>
      </c>
      <c r="D269" s="32" t="s">
        <v>1252</v>
      </c>
      <c r="E269" s="32" t="s">
        <v>186</v>
      </c>
      <c r="F269" s="32" t="s">
        <v>187</v>
      </c>
      <c r="G269" s="32" t="s">
        <v>1253</v>
      </c>
      <c r="H269" s="32">
        <v>7255</v>
      </c>
      <c r="I269" s="32">
        <v>7255</v>
      </c>
      <c r="J269" s="32" t="s">
        <v>168</v>
      </c>
      <c r="K269" s="32">
        <v>7255</v>
      </c>
      <c r="L269" s="32">
        <v>0</v>
      </c>
      <c r="M269" s="32">
        <v>7255</v>
      </c>
      <c r="N269" s="32" t="s">
        <v>996</v>
      </c>
      <c r="O269" s="32" t="s">
        <v>665</v>
      </c>
      <c r="P269" s="32" t="s">
        <v>665</v>
      </c>
      <c r="Q269" s="32" t="s">
        <v>942</v>
      </c>
      <c r="R269" s="31">
        <v>46232</v>
      </c>
      <c r="S269" s="32" t="s">
        <v>987</v>
      </c>
      <c r="T269" s="32" t="s">
        <v>988</v>
      </c>
      <c r="U269" s="32" t="s">
        <v>941</v>
      </c>
      <c r="V269" s="32">
        <v>156.49</v>
      </c>
      <c r="W269" s="32">
        <v>156.49</v>
      </c>
      <c r="X269" s="32" t="s">
        <v>942</v>
      </c>
      <c r="Y269" s="31">
        <v>46232</v>
      </c>
      <c r="Z269" s="32" t="s">
        <v>193</v>
      </c>
      <c r="AA269" s="32" t="s">
        <v>193</v>
      </c>
      <c r="AB269" s="32"/>
      <c r="AC269" s="32" t="s">
        <v>1069</v>
      </c>
      <c r="AD269" s="32">
        <v>2531</v>
      </c>
      <c r="AE269" s="32">
        <v>0</v>
      </c>
      <c r="AF269" s="32">
        <v>0</v>
      </c>
      <c r="AG269" s="32">
        <v>0</v>
      </c>
      <c r="AH269" s="32">
        <v>0</v>
      </c>
      <c r="AI269" s="32">
        <v>0</v>
      </c>
      <c r="AJ269" s="32" t="s">
        <v>965</v>
      </c>
      <c r="AK269" s="32">
        <v>0</v>
      </c>
      <c r="AL269" s="32">
        <v>0</v>
      </c>
      <c r="AM269" s="32">
        <v>0</v>
      </c>
      <c r="AN269" s="32">
        <v>0</v>
      </c>
      <c r="AO269" s="32">
        <v>0</v>
      </c>
      <c r="AP269" s="32"/>
      <c r="AQ269" s="32">
        <v>0</v>
      </c>
      <c r="AR269" s="32">
        <v>0</v>
      </c>
      <c r="AS269" s="32">
        <v>1436052.73</v>
      </c>
      <c r="AT269" s="32" t="s">
        <v>169</v>
      </c>
      <c r="AU269" s="32" t="s">
        <v>180</v>
      </c>
      <c r="AV269" s="32" t="s">
        <v>155</v>
      </c>
      <c r="AW269" s="32" t="s">
        <v>171</v>
      </c>
      <c r="AX269" s="32" t="s">
        <v>966</v>
      </c>
      <c r="AY269" s="32">
        <v>0</v>
      </c>
      <c r="AZ269" s="32">
        <v>1135334.95</v>
      </c>
      <c r="BA269" s="32">
        <v>379</v>
      </c>
      <c r="BB269" s="31">
        <v>46233</v>
      </c>
      <c r="BC269" s="32" t="s">
        <v>189</v>
      </c>
      <c r="BD269" s="32" t="s">
        <v>967</v>
      </c>
      <c r="BE269" s="32" t="s">
        <v>967</v>
      </c>
      <c r="BF269" s="32">
        <v>9</v>
      </c>
      <c r="BG269" s="32">
        <v>102180.15</v>
      </c>
      <c r="BH269" s="32">
        <v>9</v>
      </c>
      <c r="BI269" s="32">
        <v>102180.15</v>
      </c>
      <c r="BJ269" s="32">
        <v>0</v>
      </c>
      <c r="BK269" s="32">
        <v>0</v>
      </c>
      <c r="BL269" s="32">
        <v>0</v>
      </c>
      <c r="BM269" s="32">
        <v>652153316705</v>
      </c>
      <c r="BN269" s="31">
        <v>46232</v>
      </c>
      <c r="BO269" s="32">
        <v>7255</v>
      </c>
    </row>
    <row r="270" spans="2:67" x14ac:dyDescent="0.25">
      <c r="B270" s="32" t="s">
        <v>167</v>
      </c>
      <c r="C270" s="31">
        <v>46233</v>
      </c>
      <c r="D270" s="32" t="s">
        <v>1254</v>
      </c>
      <c r="E270" s="32" t="s">
        <v>186</v>
      </c>
      <c r="F270" s="32" t="s">
        <v>187</v>
      </c>
      <c r="G270" s="32" t="s">
        <v>1255</v>
      </c>
      <c r="H270" s="32">
        <v>2090</v>
      </c>
      <c r="I270" s="32">
        <v>2090</v>
      </c>
      <c r="J270" s="32" t="s">
        <v>168</v>
      </c>
      <c r="K270" s="32">
        <v>2090</v>
      </c>
      <c r="L270" s="32">
        <v>0</v>
      </c>
      <c r="M270" s="32">
        <v>2090</v>
      </c>
      <c r="N270" s="32" t="s">
        <v>307</v>
      </c>
      <c r="O270" s="32" t="s">
        <v>654</v>
      </c>
      <c r="P270" s="32" t="s">
        <v>654</v>
      </c>
      <c r="Q270" s="32" t="s">
        <v>948</v>
      </c>
      <c r="R270" s="31">
        <v>46233</v>
      </c>
      <c r="S270" s="32" t="s">
        <v>987</v>
      </c>
      <c r="T270" s="32" t="s">
        <v>988</v>
      </c>
      <c r="U270" s="32" t="s">
        <v>947</v>
      </c>
      <c r="V270" s="32">
        <v>171.49</v>
      </c>
      <c r="W270" s="32">
        <v>171.49</v>
      </c>
      <c r="X270" s="32" t="s">
        <v>948</v>
      </c>
      <c r="Y270" s="31">
        <v>46233</v>
      </c>
      <c r="Z270" s="32" t="s">
        <v>193</v>
      </c>
      <c r="AA270" s="32" t="s">
        <v>193</v>
      </c>
      <c r="AB270" s="32"/>
      <c r="AC270" s="32" t="s">
        <v>193</v>
      </c>
      <c r="AD270" s="32" t="s">
        <v>193</v>
      </c>
      <c r="AE270" s="32">
        <v>0</v>
      </c>
      <c r="AF270" s="32">
        <v>0</v>
      </c>
      <c r="AG270" s="32">
        <v>0</v>
      </c>
      <c r="AH270" s="32">
        <v>0</v>
      </c>
      <c r="AI270" s="32">
        <v>0</v>
      </c>
      <c r="AJ270" s="32" t="s">
        <v>965</v>
      </c>
      <c r="AK270" s="32">
        <v>0</v>
      </c>
      <c r="AL270" s="32">
        <v>0</v>
      </c>
      <c r="AM270" s="32">
        <v>0</v>
      </c>
      <c r="AN270" s="32">
        <v>0</v>
      </c>
      <c r="AO270" s="32">
        <v>0</v>
      </c>
      <c r="AP270" s="32"/>
      <c r="AQ270" s="32">
        <v>0</v>
      </c>
      <c r="AR270" s="32">
        <v>0</v>
      </c>
      <c r="AS270" s="32">
        <v>1115662.83</v>
      </c>
      <c r="AT270" s="32" t="s">
        <v>169</v>
      </c>
      <c r="AU270" s="32" t="s">
        <v>180</v>
      </c>
      <c r="AV270" s="32" t="s">
        <v>155</v>
      </c>
      <c r="AW270" s="32" t="s">
        <v>171</v>
      </c>
      <c r="AX270" s="32" t="s">
        <v>966</v>
      </c>
      <c r="AY270" s="32">
        <v>0</v>
      </c>
      <c r="AZ270" s="32">
        <v>358414.1</v>
      </c>
      <c r="BA270" s="32">
        <v>382</v>
      </c>
      <c r="BB270" s="31">
        <v>46233</v>
      </c>
      <c r="BC270" s="32" t="s">
        <v>177</v>
      </c>
      <c r="BD270" s="32" t="s">
        <v>967</v>
      </c>
      <c r="BE270" s="32" t="s">
        <v>967</v>
      </c>
      <c r="BF270" s="32">
        <v>9</v>
      </c>
      <c r="BG270" s="32">
        <v>32257.27</v>
      </c>
      <c r="BH270" s="32">
        <v>9</v>
      </c>
      <c r="BI270" s="32">
        <v>32257.27</v>
      </c>
      <c r="BJ270" s="32">
        <v>0</v>
      </c>
      <c r="BK270" s="32">
        <v>0</v>
      </c>
      <c r="BL270" s="32">
        <v>1115662.83</v>
      </c>
      <c r="BM270" s="32">
        <v>692153828679</v>
      </c>
      <c r="BN270" s="31">
        <v>46233</v>
      </c>
      <c r="BO270" s="32">
        <v>2090</v>
      </c>
    </row>
    <row r="271" spans="2:67" x14ac:dyDescent="0.25">
      <c r="B271" s="32" t="s">
        <v>167</v>
      </c>
      <c r="C271" s="31">
        <v>46233</v>
      </c>
      <c r="D271" s="32" t="s">
        <v>1254</v>
      </c>
      <c r="E271" s="32" t="s">
        <v>186</v>
      </c>
      <c r="F271" s="32" t="s">
        <v>187</v>
      </c>
      <c r="G271" s="32" t="s">
        <v>1255</v>
      </c>
      <c r="H271" s="32">
        <v>4063</v>
      </c>
      <c r="I271" s="32">
        <v>4063</v>
      </c>
      <c r="J271" s="32" t="s">
        <v>168</v>
      </c>
      <c r="K271" s="32">
        <v>4063</v>
      </c>
      <c r="L271" s="32">
        <v>0</v>
      </c>
      <c r="M271" s="32">
        <v>4063</v>
      </c>
      <c r="N271" s="32" t="s">
        <v>307</v>
      </c>
      <c r="O271" s="32" t="s">
        <v>654</v>
      </c>
      <c r="P271" s="32" t="s">
        <v>654</v>
      </c>
      <c r="Q271" s="32" t="s">
        <v>948</v>
      </c>
      <c r="R271" s="31">
        <v>46233</v>
      </c>
      <c r="S271" s="32" t="s">
        <v>987</v>
      </c>
      <c r="T271" s="32" t="s">
        <v>988</v>
      </c>
      <c r="U271" s="32" t="s">
        <v>947</v>
      </c>
      <c r="V271" s="32">
        <v>144.49</v>
      </c>
      <c r="W271" s="32">
        <v>144.49</v>
      </c>
      <c r="X271" s="32" t="s">
        <v>948</v>
      </c>
      <c r="Y271" s="31">
        <v>46233</v>
      </c>
      <c r="Z271" s="32" t="s">
        <v>193</v>
      </c>
      <c r="AA271" s="32" t="s">
        <v>193</v>
      </c>
      <c r="AB271" s="32"/>
      <c r="AC271" s="32" t="s">
        <v>193</v>
      </c>
      <c r="AD271" s="32" t="s">
        <v>193</v>
      </c>
      <c r="AE271" s="32">
        <v>0</v>
      </c>
      <c r="AF271" s="32">
        <v>0</v>
      </c>
      <c r="AG271" s="32">
        <v>0</v>
      </c>
      <c r="AH271" s="32">
        <v>0</v>
      </c>
      <c r="AI271" s="32">
        <v>0</v>
      </c>
      <c r="AJ271" s="32" t="s">
        <v>965</v>
      </c>
      <c r="AK271" s="32">
        <v>0</v>
      </c>
      <c r="AL271" s="32">
        <v>0</v>
      </c>
      <c r="AM271" s="32">
        <v>0</v>
      </c>
      <c r="AN271" s="32">
        <v>0</v>
      </c>
      <c r="AO271" s="32">
        <v>0</v>
      </c>
      <c r="AP271" s="32"/>
      <c r="AQ271" s="32">
        <v>0</v>
      </c>
      <c r="AR271" s="32">
        <v>0</v>
      </c>
      <c r="AS271" s="32">
        <v>1115662.83</v>
      </c>
      <c r="AT271" s="32" t="s">
        <v>169</v>
      </c>
      <c r="AU271" s="32" t="s">
        <v>180</v>
      </c>
      <c r="AV271" s="32" t="s">
        <v>155</v>
      </c>
      <c r="AW271" s="32" t="s">
        <v>171</v>
      </c>
      <c r="AX271" s="32" t="s">
        <v>966</v>
      </c>
      <c r="AY271" s="32">
        <v>0</v>
      </c>
      <c r="AZ271" s="32">
        <v>587062.87</v>
      </c>
      <c r="BA271" s="32">
        <v>382</v>
      </c>
      <c r="BB271" s="31">
        <v>46233</v>
      </c>
      <c r="BC271" s="32" t="s">
        <v>177</v>
      </c>
      <c r="BD271" s="32" t="s">
        <v>967</v>
      </c>
      <c r="BE271" s="32" t="s">
        <v>967</v>
      </c>
      <c r="BF271" s="32">
        <v>9</v>
      </c>
      <c r="BG271" s="32">
        <v>52835.66</v>
      </c>
      <c r="BH271" s="32">
        <v>9</v>
      </c>
      <c r="BI271" s="32">
        <v>52835.66</v>
      </c>
      <c r="BJ271" s="32">
        <v>0</v>
      </c>
      <c r="BK271" s="32">
        <v>0</v>
      </c>
      <c r="BL271" s="32">
        <v>0</v>
      </c>
      <c r="BM271" s="32">
        <v>692153828679</v>
      </c>
      <c r="BN271" s="31">
        <v>46233</v>
      </c>
      <c r="BO271" s="32">
        <v>4063</v>
      </c>
    </row>
    <row r="272" spans="2:67" x14ac:dyDescent="0.25">
      <c r="B272" s="32" t="s">
        <v>167</v>
      </c>
      <c r="C272" s="31">
        <v>46233</v>
      </c>
      <c r="D272" s="32" t="s">
        <v>1256</v>
      </c>
      <c r="E272" s="32" t="s">
        <v>190</v>
      </c>
      <c r="F272" s="32" t="s">
        <v>191</v>
      </c>
      <c r="G272" s="32" t="s">
        <v>1257</v>
      </c>
      <c r="H272" s="32">
        <v>428.3</v>
      </c>
      <c r="I272" s="32">
        <v>428.3</v>
      </c>
      <c r="J272" s="32" t="s">
        <v>168</v>
      </c>
      <c r="K272" s="32">
        <v>428.3</v>
      </c>
      <c r="L272" s="32">
        <v>0</v>
      </c>
      <c r="M272" s="32">
        <v>428.3</v>
      </c>
      <c r="N272" s="32" t="s">
        <v>1174</v>
      </c>
      <c r="O272" s="32" t="s">
        <v>676</v>
      </c>
      <c r="P272" s="32" t="s">
        <v>676</v>
      </c>
      <c r="Q272" s="32" t="s">
        <v>944</v>
      </c>
      <c r="R272" s="31">
        <v>46232</v>
      </c>
      <c r="S272" s="32" t="s">
        <v>987</v>
      </c>
      <c r="T272" s="32" t="s">
        <v>988</v>
      </c>
      <c r="U272" s="32" t="s">
        <v>943</v>
      </c>
      <c r="V272" s="32">
        <v>257.04000000000002</v>
      </c>
      <c r="W272" s="32">
        <v>257.03999604269097</v>
      </c>
      <c r="X272" s="32" t="s">
        <v>944</v>
      </c>
      <c r="Y272" s="31">
        <v>46232</v>
      </c>
      <c r="Z272" s="32" t="s">
        <v>193</v>
      </c>
      <c r="AA272" s="32" t="s">
        <v>193</v>
      </c>
      <c r="AB272" s="32"/>
      <c r="AC272" s="32" t="s">
        <v>1069</v>
      </c>
      <c r="AD272" s="32">
        <v>2448</v>
      </c>
      <c r="AE272" s="32">
        <v>0</v>
      </c>
      <c r="AF272" s="32">
        <v>0</v>
      </c>
      <c r="AG272" s="32">
        <v>0</v>
      </c>
      <c r="AH272" s="32">
        <v>0</v>
      </c>
      <c r="AI272" s="32">
        <v>0</v>
      </c>
      <c r="AJ272" s="32" t="s">
        <v>965</v>
      </c>
      <c r="AK272" s="32">
        <v>0</v>
      </c>
      <c r="AL272" s="32">
        <v>0</v>
      </c>
      <c r="AM272" s="32">
        <v>0</v>
      </c>
      <c r="AN272" s="32">
        <v>0</v>
      </c>
      <c r="AO272" s="32">
        <v>0</v>
      </c>
      <c r="AP272" s="32"/>
      <c r="AQ272" s="32">
        <v>0</v>
      </c>
      <c r="AR272" s="32">
        <v>0</v>
      </c>
      <c r="AS272" s="32">
        <v>129906.47</v>
      </c>
      <c r="AT272" s="32" t="s">
        <v>192</v>
      </c>
      <c r="AU272" s="32" t="s">
        <v>152</v>
      </c>
      <c r="AV272" s="32" t="s">
        <v>152</v>
      </c>
      <c r="AW272" s="32" t="s">
        <v>171</v>
      </c>
      <c r="AX272" s="32" t="s">
        <v>966</v>
      </c>
      <c r="AY272" s="32">
        <v>0</v>
      </c>
      <c r="AZ272" s="32">
        <v>110090.23</v>
      </c>
      <c r="BA272" s="32">
        <v>381</v>
      </c>
      <c r="BB272" s="31">
        <v>46233</v>
      </c>
      <c r="BC272" s="32" t="s">
        <v>172</v>
      </c>
      <c r="BD272" s="32" t="s">
        <v>967</v>
      </c>
      <c r="BE272" s="32" t="s">
        <v>967</v>
      </c>
      <c r="BF272" s="32">
        <v>9</v>
      </c>
      <c r="BG272" s="32">
        <v>9908.1200000000008</v>
      </c>
      <c r="BH272" s="32">
        <v>9</v>
      </c>
      <c r="BI272" s="32">
        <v>9908.1200000000008</v>
      </c>
      <c r="BJ272" s="32">
        <v>0</v>
      </c>
      <c r="BK272" s="32">
        <v>0</v>
      </c>
      <c r="BL272" s="32">
        <v>129906.47</v>
      </c>
      <c r="BM272" s="32">
        <v>652153601078</v>
      </c>
      <c r="BN272" s="31">
        <v>46232</v>
      </c>
      <c r="BO272" s="32">
        <v>428.3</v>
      </c>
    </row>
    <row r="273" spans="2:67" x14ac:dyDescent="0.25">
      <c r="B273" s="32" t="s">
        <v>167</v>
      </c>
      <c r="C273" s="31">
        <v>46233</v>
      </c>
      <c r="D273" s="32" t="s">
        <v>1258</v>
      </c>
      <c r="E273" s="32" t="s">
        <v>1066</v>
      </c>
      <c r="F273" s="32" t="s">
        <v>757</v>
      </c>
      <c r="G273" s="32" t="s">
        <v>1259</v>
      </c>
      <c r="H273" s="32">
        <v>1949.9</v>
      </c>
      <c r="I273" s="32">
        <v>1949.9</v>
      </c>
      <c r="J273" s="32" t="s">
        <v>168</v>
      </c>
      <c r="K273" s="32">
        <v>1949.9</v>
      </c>
      <c r="L273" s="32">
        <v>0</v>
      </c>
      <c r="M273" s="32">
        <v>1949.9</v>
      </c>
      <c r="N273" s="32" t="s">
        <v>1174</v>
      </c>
      <c r="O273" s="32" t="s">
        <v>676</v>
      </c>
      <c r="P273" s="32" t="s">
        <v>676</v>
      </c>
      <c r="Q273" s="32" t="s">
        <v>946</v>
      </c>
      <c r="R273" s="31">
        <v>46232</v>
      </c>
      <c r="S273" s="32" t="s">
        <v>987</v>
      </c>
      <c r="T273" s="32" t="s">
        <v>988</v>
      </c>
      <c r="U273" s="32" t="s">
        <v>945</v>
      </c>
      <c r="V273" s="32">
        <v>154.15</v>
      </c>
      <c r="W273" s="32">
        <v>154.15</v>
      </c>
      <c r="X273" s="32" t="s">
        <v>946</v>
      </c>
      <c r="Y273" s="31">
        <v>46232</v>
      </c>
      <c r="Z273" s="32" t="s">
        <v>193</v>
      </c>
      <c r="AA273" s="32" t="s">
        <v>193</v>
      </c>
      <c r="AB273" s="32"/>
      <c r="AC273" s="32" t="s">
        <v>1069</v>
      </c>
      <c r="AD273" s="32">
        <v>2448</v>
      </c>
      <c r="AE273" s="32">
        <v>0</v>
      </c>
      <c r="AF273" s="32">
        <v>0</v>
      </c>
      <c r="AG273" s="32">
        <v>0</v>
      </c>
      <c r="AH273" s="32">
        <v>0</v>
      </c>
      <c r="AI273" s="32">
        <v>0</v>
      </c>
      <c r="AJ273" s="32" t="s">
        <v>965</v>
      </c>
      <c r="AK273" s="32">
        <v>0</v>
      </c>
      <c r="AL273" s="32">
        <v>0</v>
      </c>
      <c r="AM273" s="32">
        <v>0</v>
      </c>
      <c r="AN273" s="32">
        <v>0</v>
      </c>
      <c r="AO273" s="32">
        <v>0</v>
      </c>
      <c r="AP273" s="32"/>
      <c r="AQ273" s="32">
        <v>0</v>
      </c>
      <c r="AR273" s="32">
        <v>0</v>
      </c>
      <c r="AS273" s="32">
        <v>514482.31</v>
      </c>
      <c r="AT273" s="32" t="s">
        <v>169</v>
      </c>
      <c r="AU273" s="32" t="s">
        <v>170</v>
      </c>
      <c r="AV273" s="32" t="s">
        <v>157</v>
      </c>
      <c r="AW273" s="32" t="s">
        <v>171</v>
      </c>
      <c r="AX273" s="32" t="s">
        <v>966</v>
      </c>
      <c r="AY273" s="32">
        <v>0</v>
      </c>
      <c r="AZ273" s="32">
        <v>300577.09000000003</v>
      </c>
      <c r="BA273" s="32">
        <v>380</v>
      </c>
      <c r="BB273" s="31">
        <v>46233</v>
      </c>
      <c r="BC273" s="32" t="s">
        <v>172</v>
      </c>
      <c r="BD273" s="32" t="s">
        <v>967</v>
      </c>
      <c r="BE273" s="32" t="s">
        <v>967</v>
      </c>
      <c r="BF273" s="32">
        <v>2.5</v>
      </c>
      <c r="BG273" s="32">
        <v>7514.43</v>
      </c>
      <c r="BH273" s="32">
        <v>2.5</v>
      </c>
      <c r="BI273" s="32">
        <v>7514.43</v>
      </c>
      <c r="BJ273" s="32">
        <v>0</v>
      </c>
      <c r="BK273" s="32">
        <v>0</v>
      </c>
      <c r="BL273" s="32">
        <v>514482.31</v>
      </c>
      <c r="BM273" s="32">
        <v>692153597104</v>
      </c>
      <c r="BN273" s="31">
        <v>46232</v>
      </c>
      <c r="BO273" s="32">
        <v>1949.9</v>
      </c>
    </row>
    <row r="274" spans="2:67" x14ac:dyDescent="0.25">
      <c r="B274" s="32" t="s">
        <v>167</v>
      </c>
      <c r="C274" s="31">
        <v>46233</v>
      </c>
      <c r="D274" s="32" t="s">
        <v>1258</v>
      </c>
      <c r="E274" s="32" t="s">
        <v>1025</v>
      </c>
      <c r="F274" s="32" t="s">
        <v>709</v>
      </c>
      <c r="G274" s="32" t="s">
        <v>1259</v>
      </c>
      <c r="H274" s="32">
        <v>1253.0999999999999</v>
      </c>
      <c r="I274" s="32">
        <v>1253.0999999999999</v>
      </c>
      <c r="J274" s="32" t="s">
        <v>168</v>
      </c>
      <c r="K274" s="32">
        <v>1253.0999999999999</v>
      </c>
      <c r="L274" s="32">
        <v>0</v>
      </c>
      <c r="M274" s="32">
        <v>1253.0999999999999</v>
      </c>
      <c r="N274" s="32" t="s">
        <v>1174</v>
      </c>
      <c r="O274" s="32" t="s">
        <v>676</v>
      </c>
      <c r="P274" s="32" t="s">
        <v>676</v>
      </c>
      <c r="Q274" s="32" t="s">
        <v>946</v>
      </c>
      <c r="R274" s="31">
        <v>46232</v>
      </c>
      <c r="S274" s="32" t="s">
        <v>987</v>
      </c>
      <c r="T274" s="32" t="s">
        <v>988</v>
      </c>
      <c r="U274" s="32" t="s">
        <v>945</v>
      </c>
      <c r="V274" s="32">
        <v>151.15</v>
      </c>
      <c r="W274" s="32">
        <v>151.15</v>
      </c>
      <c r="X274" s="32" t="s">
        <v>946</v>
      </c>
      <c r="Y274" s="31">
        <v>46232</v>
      </c>
      <c r="Z274" s="32" t="s">
        <v>193</v>
      </c>
      <c r="AA274" s="32" t="s">
        <v>193</v>
      </c>
      <c r="AB274" s="32"/>
      <c r="AC274" s="32" t="s">
        <v>1069</v>
      </c>
      <c r="AD274" s="32">
        <v>2448</v>
      </c>
      <c r="AE274" s="32">
        <v>0</v>
      </c>
      <c r="AF274" s="32">
        <v>0</v>
      </c>
      <c r="AG274" s="32">
        <v>0</v>
      </c>
      <c r="AH274" s="32">
        <v>0</v>
      </c>
      <c r="AI274" s="32">
        <v>0</v>
      </c>
      <c r="AJ274" s="32" t="s">
        <v>965</v>
      </c>
      <c r="AK274" s="32">
        <v>0</v>
      </c>
      <c r="AL274" s="32">
        <v>0</v>
      </c>
      <c r="AM274" s="32">
        <v>0</v>
      </c>
      <c r="AN274" s="32">
        <v>0</v>
      </c>
      <c r="AO274" s="32">
        <v>0</v>
      </c>
      <c r="AP274" s="32"/>
      <c r="AQ274" s="32">
        <v>0</v>
      </c>
      <c r="AR274" s="32">
        <v>0</v>
      </c>
      <c r="AS274" s="32">
        <v>514482.31</v>
      </c>
      <c r="AT274" s="32" t="s">
        <v>169</v>
      </c>
      <c r="AU274" s="32" t="s">
        <v>170</v>
      </c>
      <c r="AV274" s="32" t="s">
        <v>157</v>
      </c>
      <c r="AW274" s="32" t="s">
        <v>171</v>
      </c>
      <c r="AX274" s="32" t="s">
        <v>966</v>
      </c>
      <c r="AY274" s="32">
        <v>0</v>
      </c>
      <c r="AZ274" s="32">
        <v>189406.07</v>
      </c>
      <c r="BA274" s="32">
        <v>380</v>
      </c>
      <c r="BB274" s="31">
        <v>46233</v>
      </c>
      <c r="BC274" s="32" t="s">
        <v>172</v>
      </c>
      <c r="BD274" s="32" t="s">
        <v>967</v>
      </c>
      <c r="BE274" s="32" t="s">
        <v>967</v>
      </c>
      <c r="BF274" s="32">
        <v>2.5</v>
      </c>
      <c r="BG274" s="32">
        <v>4735.1499999999996</v>
      </c>
      <c r="BH274" s="32">
        <v>2.5</v>
      </c>
      <c r="BI274" s="32">
        <v>4735.1499999999996</v>
      </c>
      <c r="BJ274" s="32">
        <v>0</v>
      </c>
      <c r="BK274" s="32">
        <v>0</v>
      </c>
      <c r="BL274" s="32">
        <v>0</v>
      </c>
      <c r="BM274" s="32">
        <v>692153597104</v>
      </c>
      <c r="BN274" s="31">
        <v>46232</v>
      </c>
      <c r="BO274" s="32">
        <v>1253.0999999999999</v>
      </c>
    </row>
    <row r="275" spans="2:67" x14ac:dyDescent="0.25">
      <c r="B275" s="32" t="s">
        <v>167</v>
      </c>
      <c r="C275" s="31">
        <v>46233</v>
      </c>
      <c r="D275" s="32" t="s">
        <v>1260</v>
      </c>
      <c r="E275" s="32" t="s">
        <v>1006</v>
      </c>
      <c r="F275" s="32" t="s">
        <v>681</v>
      </c>
      <c r="G275" s="32" t="s">
        <v>1261</v>
      </c>
      <c r="H275" s="32">
        <v>149.30000000000001</v>
      </c>
      <c r="I275" s="32">
        <v>149.30000000000001</v>
      </c>
      <c r="J275" s="32" t="s">
        <v>168</v>
      </c>
      <c r="K275" s="32">
        <v>149.30000000000001</v>
      </c>
      <c r="L275" s="32">
        <v>0</v>
      </c>
      <c r="M275" s="32">
        <v>149.30000000000001</v>
      </c>
      <c r="N275" s="32" t="s">
        <v>175</v>
      </c>
      <c r="O275" s="32" t="s">
        <v>654</v>
      </c>
      <c r="P275" s="32" t="s">
        <v>654</v>
      </c>
      <c r="Q275" s="32" t="s">
        <v>950</v>
      </c>
      <c r="R275" s="31">
        <v>46233</v>
      </c>
      <c r="S275" s="32" t="s">
        <v>987</v>
      </c>
      <c r="T275" s="32" t="s">
        <v>988</v>
      </c>
      <c r="U275" s="32" t="s">
        <v>949</v>
      </c>
      <c r="V275" s="32">
        <v>160.99</v>
      </c>
      <c r="W275" s="32">
        <v>160.99000239322501</v>
      </c>
      <c r="X275" s="32" t="s">
        <v>950</v>
      </c>
      <c r="Y275" s="31">
        <v>46233</v>
      </c>
      <c r="Z275" s="32" t="s">
        <v>193</v>
      </c>
      <c r="AA275" s="32" t="s">
        <v>193</v>
      </c>
      <c r="AB275" s="32"/>
      <c r="AC275" s="32" t="s">
        <v>193</v>
      </c>
      <c r="AD275" s="32" t="s">
        <v>193</v>
      </c>
      <c r="AE275" s="32">
        <v>0</v>
      </c>
      <c r="AF275" s="32">
        <v>0</v>
      </c>
      <c r="AG275" s="32">
        <v>0</v>
      </c>
      <c r="AH275" s="32">
        <v>0</v>
      </c>
      <c r="AI275" s="32">
        <v>0</v>
      </c>
      <c r="AJ275" s="32" t="s">
        <v>965</v>
      </c>
      <c r="AK275" s="32">
        <v>0</v>
      </c>
      <c r="AL275" s="32">
        <v>0</v>
      </c>
      <c r="AM275" s="32">
        <v>0</v>
      </c>
      <c r="AN275" s="32">
        <v>0</v>
      </c>
      <c r="AO275" s="32">
        <v>0</v>
      </c>
      <c r="AP275" s="32"/>
      <c r="AQ275" s="32">
        <v>0</v>
      </c>
      <c r="AR275" s="32">
        <v>0</v>
      </c>
      <c r="AS275" s="32">
        <v>336345.34</v>
      </c>
      <c r="AT275" s="32" t="s">
        <v>169</v>
      </c>
      <c r="AU275" s="32" t="s">
        <v>170</v>
      </c>
      <c r="AV275" s="32" t="s">
        <v>157</v>
      </c>
      <c r="AW275" s="32" t="s">
        <v>171</v>
      </c>
      <c r="AX275" s="32" t="s">
        <v>966</v>
      </c>
      <c r="AY275" s="32">
        <v>0</v>
      </c>
      <c r="AZ275" s="32">
        <v>24035.81</v>
      </c>
      <c r="BA275" s="32">
        <v>383</v>
      </c>
      <c r="BB275" s="31">
        <v>46233</v>
      </c>
      <c r="BC275" s="32" t="s">
        <v>177</v>
      </c>
      <c r="BD275" s="32" t="s">
        <v>967</v>
      </c>
      <c r="BE275" s="32" t="s">
        <v>967</v>
      </c>
      <c r="BF275" s="32">
        <v>2.5</v>
      </c>
      <c r="BG275" s="32">
        <v>600.9</v>
      </c>
      <c r="BH275" s="32">
        <v>2.5</v>
      </c>
      <c r="BI275" s="32">
        <v>600.9</v>
      </c>
      <c r="BJ275" s="32">
        <v>0</v>
      </c>
      <c r="BK275" s="32">
        <v>0</v>
      </c>
      <c r="BL275" s="32">
        <v>336345.34</v>
      </c>
      <c r="BM275" s="32">
        <v>642154284284</v>
      </c>
      <c r="BN275" s="31">
        <v>46233</v>
      </c>
      <c r="BO275" s="32">
        <v>149.30000000000001</v>
      </c>
    </row>
    <row r="276" spans="2:67" x14ac:dyDescent="0.25">
      <c r="B276" s="32" t="s">
        <v>167</v>
      </c>
      <c r="C276" s="31">
        <v>46233</v>
      </c>
      <c r="D276" s="32" t="s">
        <v>1260</v>
      </c>
      <c r="E276" s="32" t="s">
        <v>181</v>
      </c>
      <c r="F276" s="32" t="s">
        <v>182</v>
      </c>
      <c r="G276" s="32" t="s">
        <v>1261</v>
      </c>
      <c r="H276" s="32">
        <v>237.5</v>
      </c>
      <c r="I276" s="32">
        <v>237.5</v>
      </c>
      <c r="J276" s="32" t="s">
        <v>168</v>
      </c>
      <c r="K276" s="32">
        <v>237.5</v>
      </c>
      <c r="L276" s="32">
        <v>0</v>
      </c>
      <c r="M276" s="32">
        <v>237.5</v>
      </c>
      <c r="N276" s="32" t="s">
        <v>175</v>
      </c>
      <c r="O276" s="32" t="s">
        <v>654</v>
      </c>
      <c r="P276" s="32" t="s">
        <v>654</v>
      </c>
      <c r="Q276" s="32" t="s">
        <v>950</v>
      </c>
      <c r="R276" s="31">
        <v>46233</v>
      </c>
      <c r="S276" s="32" t="s">
        <v>987</v>
      </c>
      <c r="T276" s="32" t="s">
        <v>988</v>
      </c>
      <c r="U276" s="32" t="s">
        <v>949</v>
      </c>
      <c r="V276" s="32">
        <v>149.49</v>
      </c>
      <c r="W276" s="32">
        <v>149.49000222226999</v>
      </c>
      <c r="X276" s="32" t="s">
        <v>950</v>
      </c>
      <c r="Y276" s="31">
        <v>46233</v>
      </c>
      <c r="Z276" s="32" t="s">
        <v>193</v>
      </c>
      <c r="AA276" s="32" t="s">
        <v>193</v>
      </c>
      <c r="AB276" s="32"/>
      <c r="AC276" s="32" t="s">
        <v>193</v>
      </c>
      <c r="AD276" s="32" t="s">
        <v>193</v>
      </c>
      <c r="AE276" s="32">
        <v>0</v>
      </c>
      <c r="AF276" s="32">
        <v>0</v>
      </c>
      <c r="AG276" s="32">
        <v>0</v>
      </c>
      <c r="AH276" s="32">
        <v>0</v>
      </c>
      <c r="AI276" s="32">
        <v>0</v>
      </c>
      <c r="AJ276" s="32" t="s">
        <v>965</v>
      </c>
      <c r="AK276" s="32">
        <v>0</v>
      </c>
      <c r="AL276" s="32">
        <v>0</v>
      </c>
      <c r="AM276" s="32">
        <v>0</v>
      </c>
      <c r="AN276" s="32">
        <v>0</v>
      </c>
      <c r="AO276" s="32">
        <v>0</v>
      </c>
      <c r="AP276" s="32"/>
      <c r="AQ276" s="32">
        <v>0</v>
      </c>
      <c r="AR276" s="32">
        <v>0</v>
      </c>
      <c r="AS276" s="32">
        <v>336345.34</v>
      </c>
      <c r="AT276" s="32" t="s">
        <v>169</v>
      </c>
      <c r="AU276" s="32" t="s">
        <v>182</v>
      </c>
      <c r="AV276" s="32" t="s">
        <v>154</v>
      </c>
      <c r="AW276" s="32" t="s">
        <v>171</v>
      </c>
      <c r="AX276" s="32" t="s">
        <v>966</v>
      </c>
      <c r="AY276" s="32">
        <v>0</v>
      </c>
      <c r="AZ276" s="32">
        <v>35503.879999999997</v>
      </c>
      <c r="BA276" s="32">
        <v>383</v>
      </c>
      <c r="BB276" s="31">
        <v>46233</v>
      </c>
      <c r="BC276" s="32" t="s">
        <v>177</v>
      </c>
      <c r="BD276" s="32" t="s">
        <v>967</v>
      </c>
      <c r="BE276" s="32" t="s">
        <v>967</v>
      </c>
      <c r="BF276" s="32">
        <v>9</v>
      </c>
      <c r="BG276" s="32">
        <v>3195.35</v>
      </c>
      <c r="BH276" s="32">
        <v>9</v>
      </c>
      <c r="BI276" s="32">
        <v>3195.35</v>
      </c>
      <c r="BJ276" s="32">
        <v>0</v>
      </c>
      <c r="BK276" s="32">
        <v>0</v>
      </c>
      <c r="BL276" s="32">
        <v>0</v>
      </c>
      <c r="BM276" s="32">
        <v>642154284284</v>
      </c>
      <c r="BN276" s="31">
        <v>46233</v>
      </c>
      <c r="BO276" s="32">
        <v>237.5</v>
      </c>
    </row>
    <row r="277" spans="2:67" x14ac:dyDescent="0.25">
      <c r="B277" s="32" t="s">
        <v>167</v>
      </c>
      <c r="C277" s="31">
        <v>46233</v>
      </c>
      <c r="D277" s="32" t="s">
        <v>1260</v>
      </c>
      <c r="E277" s="32" t="s">
        <v>181</v>
      </c>
      <c r="F277" s="32" t="s">
        <v>182</v>
      </c>
      <c r="G277" s="32" t="s">
        <v>1261</v>
      </c>
      <c r="H277" s="32">
        <v>275.7</v>
      </c>
      <c r="I277" s="32">
        <v>275.7</v>
      </c>
      <c r="J277" s="32" t="s">
        <v>168</v>
      </c>
      <c r="K277" s="32">
        <v>275.7</v>
      </c>
      <c r="L277" s="32">
        <v>0</v>
      </c>
      <c r="M277" s="32">
        <v>275.7</v>
      </c>
      <c r="N277" s="32" t="s">
        <v>175</v>
      </c>
      <c r="O277" s="32" t="s">
        <v>654</v>
      </c>
      <c r="P277" s="32" t="s">
        <v>654</v>
      </c>
      <c r="Q277" s="32" t="s">
        <v>950</v>
      </c>
      <c r="R277" s="31">
        <v>46233</v>
      </c>
      <c r="S277" s="32" t="s">
        <v>987</v>
      </c>
      <c r="T277" s="32" t="s">
        <v>988</v>
      </c>
      <c r="U277" s="32" t="s">
        <v>949</v>
      </c>
      <c r="V277" s="32">
        <v>146.49</v>
      </c>
      <c r="W277" s="32">
        <v>146.49000217767301</v>
      </c>
      <c r="X277" s="32" t="s">
        <v>950</v>
      </c>
      <c r="Y277" s="31">
        <v>46233</v>
      </c>
      <c r="Z277" s="32" t="s">
        <v>193</v>
      </c>
      <c r="AA277" s="32" t="s">
        <v>193</v>
      </c>
      <c r="AB277" s="32"/>
      <c r="AC277" s="32" t="s">
        <v>193</v>
      </c>
      <c r="AD277" s="32" t="s">
        <v>193</v>
      </c>
      <c r="AE277" s="32">
        <v>0</v>
      </c>
      <c r="AF277" s="32">
        <v>0</v>
      </c>
      <c r="AG277" s="32">
        <v>0</v>
      </c>
      <c r="AH277" s="32">
        <v>0</v>
      </c>
      <c r="AI277" s="32">
        <v>0</v>
      </c>
      <c r="AJ277" s="32" t="s">
        <v>965</v>
      </c>
      <c r="AK277" s="32">
        <v>0</v>
      </c>
      <c r="AL277" s="32">
        <v>0</v>
      </c>
      <c r="AM277" s="32">
        <v>0</v>
      </c>
      <c r="AN277" s="32">
        <v>0</v>
      </c>
      <c r="AO277" s="32">
        <v>0</v>
      </c>
      <c r="AP277" s="32"/>
      <c r="AQ277" s="32">
        <v>0</v>
      </c>
      <c r="AR277" s="32">
        <v>0</v>
      </c>
      <c r="AS277" s="32">
        <v>336345.34</v>
      </c>
      <c r="AT277" s="32" t="s">
        <v>169</v>
      </c>
      <c r="AU277" s="32" t="s">
        <v>182</v>
      </c>
      <c r="AV277" s="32" t="s">
        <v>154</v>
      </c>
      <c r="AW277" s="32" t="s">
        <v>171</v>
      </c>
      <c r="AX277" s="32" t="s">
        <v>966</v>
      </c>
      <c r="AY277" s="32">
        <v>0</v>
      </c>
      <c r="AZ277" s="32">
        <v>40387.29</v>
      </c>
      <c r="BA277" s="32">
        <v>383</v>
      </c>
      <c r="BB277" s="31">
        <v>46233</v>
      </c>
      <c r="BC277" s="32" t="s">
        <v>177</v>
      </c>
      <c r="BD277" s="32" t="s">
        <v>967</v>
      </c>
      <c r="BE277" s="32" t="s">
        <v>967</v>
      </c>
      <c r="BF277" s="32">
        <v>9</v>
      </c>
      <c r="BG277" s="32">
        <v>3634.86</v>
      </c>
      <c r="BH277" s="32">
        <v>9</v>
      </c>
      <c r="BI277" s="32">
        <v>3634.86</v>
      </c>
      <c r="BJ277" s="32">
        <v>0</v>
      </c>
      <c r="BK277" s="32">
        <v>0</v>
      </c>
      <c r="BL277" s="32">
        <v>0</v>
      </c>
      <c r="BM277" s="32">
        <v>642154284284</v>
      </c>
      <c r="BN277" s="31">
        <v>46233</v>
      </c>
      <c r="BO277" s="32">
        <v>275.7</v>
      </c>
    </row>
    <row r="278" spans="2:67" x14ac:dyDescent="0.25">
      <c r="B278" s="32" t="s">
        <v>167</v>
      </c>
      <c r="C278" s="31">
        <v>46233</v>
      </c>
      <c r="D278" s="32" t="s">
        <v>1260</v>
      </c>
      <c r="E278" s="32" t="s">
        <v>186</v>
      </c>
      <c r="F278" s="32" t="s">
        <v>187</v>
      </c>
      <c r="G278" s="32" t="s">
        <v>1261</v>
      </c>
      <c r="H278" s="32">
        <v>1256</v>
      </c>
      <c r="I278" s="32">
        <v>1256</v>
      </c>
      <c r="J278" s="32" t="s">
        <v>168</v>
      </c>
      <c r="K278" s="32">
        <v>1256</v>
      </c>
      <c r="L278" s="32">
        <v>0</v>
      </c>
      <c r="M278" s="32">
        <v>1256</v>
      </c>
      <c r="N278" s="32" t="s">
        <v>175</v>
      </c>
      <c r="O278" s="32" t="s">
        <v>654</v>
      </c>
      <c r="P278" s="32" t="s">
        <v>654</v>
      </c>
      <c r="Q278" s="32" t="s">
        <v>950</v>
      </c>
      <c r="R278" s="31">
        <v>46233</v>
      </c>
      <c r="S278" s="32" t="s">
        <v>987</v>
      </c>
      <c r="T278" s="32" t="s">
        <v>988</v>
      </c>
      <c r="U278" s="32" t="s">
        <v>949</v>
      </c>
      <c r="V278" s="32">
        <v>149.49</v>
      </c>
      <c r="W278" s="32">
        <v>149.49000222226999</v>
      </c>
      <c r="X278" s="32" t="s">
        <v>950</v>
      </c>
      <c r="Y278" s="31">
        <v>46233</v>
      </c>
      <c r="Z278" s="32" t="s">
        <v>193</v>
      </c>
      <c r="AA278" s="32" t="s">
        <v>193</v>
      </c>
      <c r="AB278" s="32"/>
      <c r="AC278" s="32" t="s">
        <v>193</v>
      </c>
      <c r="AD278" s="32" t="s">
        <v>193</v>
      </c>
      <c r="AE278" s="32">
        <v>0</v>
      </c>
      <c r="AF278" s="32">
        <v>0</v>
      </c>
      <c r="AG278" s="32">
        <v>0</v>
      </c>
      <c r="AH278" s="32">
        <v>0</v>
      </c>
      <c r="AI278" s="32">
        <v>0</v>
      </c>
      <c r="AJ278" s="32" t="s">
        <v>965</v>
      </c>
      <c r="AK278" s="32">
        <v>0</v>
      </c>
      <c r="AL278" s="32">
        <v>0</v>
      </c>
      <c r="AM278" s="32">
        <v>0</v>
      </c>
      <c r="AN278" s="32">
        <v>0</v>
      </c>
      <c r="AO278" s="32">
        <v>0</v>
      </c>
      <c r="AP278" s="32"/>
      <c r="AQ278" s="32">
        <v>0</v>
      </c>
      <c r="AR278" s="32">
        <v>0</v>
      </c>
      <c r="AS278" s="32">
        <v>336345.34</v>
      </c>
      <c r="AT278" s="32" t="s">
        <v>169</v>
      </c>
      <c r="AU278" s="32" t="s">
        <v>180</v>
      </c>
      <c r="AV278" s="32" t="s">
        <v>155</v>
      </c>
      <c r="AW278" s="32" t="s">
        <v>171</v>
      </c>
      <c r="AX278" s="32" t="s">
        <v>966</v>
      </c>
      <c r="AY278" s="32">
        <v>0</v>
      </c>
      <c r="AZ278" s="32">
        <v>187759.44</v>
      </c>
      <c r="BA278" s="32">
        <v>383</v>
      </c>
      <c r="BB278" s="31">
        <v>46233</v>
      </c>
      <c r="BC278" s="32" t="s">
        <v>177</v>
      </c>
      <c r="BD278" s="32" t="s">
        <v>967</v>
      </c>
      <c r="BE278" s="32" t="s">
        <v>967</v>
      </c>
      <c r="BF278" s="32">
        <v>9</v>
      </c>
      <c r="BG278" s="32">
        <v>16898.349999999999</v>
      </c>
      <c r="BH278" s="32">
        <v>9</v>
      </c>
      <c r="BI278" s="32">
        <v>16898.349999999999</v>
      </c>
      <c r="BJ278" s="32">
        <v>0</v>
      </c>
      <c r="BK278" s="32">
        <v>0</v>
      </c>
      <c r="BL278" s="32">
        <v>0</v>
      </c>
      <c r="BM278" s="32">
        <v>642154284284</v>
      </c>
      <c r="BN278" s="31">
        <v>46233</v>
      </c>
      <c r="BO278" s="32">
        <v>1256</v>
      </c>
    </row>
    <row r="279" spans="2:67" x14ac:dyDescent="0.25">
      <c r="B279" s="32" t="s">
        <v>167</v>
      </c>
      <c r="C279" s="31">
        <v>46233</v>
      </c>
      <c r="D279" s="32" t="s">
        <v>1262</v>
      </c>
      <c r="E279" s="32" t="s">
        <v>1263</v>
      </c>
      <c r="F279" s="32" t="s">
        <v>953</v>
      </c>
      <c r="G279" s="32" t="s">
        <v>1264</v>
      </c>
      <c r="H279" s="32">
        <v>4500</v>
      </c>
      <c r="I279" s="32">
        <v>4500</v>
      </c>
      <c r="J279" s="32" t="s">
        <v>168</v>
      </c>
      <c r="K279" s="32">
        <v>4500</v>
      </c>
      <c r="L279" s="32">
        <v>0</v>
      </c>
      <c r="M279" s="32">
        <v>4500</v>
      </c>
      <c r="N279" s="32" t="s">
        <v>175</v>
      </c>
      <c r="O279" s="32" t="s">
        <v>654</v>
      </c>
      <c r="P279" s="32" t="s">
        <v>654</v>
      </c>
      <c r="Q279" s="32" t="s">
        <v>952</v>
      </c>
      <c r="R279" s="31">
        <v>46233</v>
      </c>
      <c r="S279" s="32" t="s">
        <v>987</v>
      </c>
      <c r="T279" s="32" t="s">
        <v>988</v>
      </c>
      <c r="U279" s="32" t="s">
        <v>951</v>
      </c>
      <c r="V279" s="32">
        <v>37.5</v>
      </c>
      <c r="W279" s="32">
        <v>37.5</v>
      </c>
      <c r="X279" s="32" t="s">
        <v>952</v>
      </c>
      <c r="Y279" s="31">
        <v>46233</v>
      </c>
      <c r="Z279" s="32" t="s">
        <v>193</v>
      </c>
      <c r="AA279" s="32" t="s">
        <v>193</v>
      </c>
      <c r="AB279" s="32"/>
      <c r="AC279" s="32" t="s">
        <v>193</v>
      </c>
      <c r="AD279" s="32" t="s">
        <v>193</v>
      </c>
      <c r="AE279" s="32">
        <v>0</v>
      </c>
      <c r="AF279" s="32">
        <v>0</v>
      </c>
      <c r="AG279" s="32">
        <v>0</v>
      </c>
      <c r="AH279" s="32">
        <v>0</v>
      </c>
      <c r="AI279" s="32">
        <v>0</v>
      </c>
      <c r="AJ279" s="32" t="s">
        <v>965</v>
      </c>
      <c r="AK279" s="32">
        <v>0</v>
      </c>
      <c r="AL279" s="32">
        <v>0</v>
      </c>
      <c r="AM279" s="32">
        <v>0</v>
      </c>
      <c r="AN279" s="32">
        <v>0</v>
      </c>
      <c r="AO279" s="32">
        <v>0</v>
      </c>
      <c r="AP279" s="32"/>
      <c r="AQ279" s="32">
        <v>0</v>
      </c>
      <c r="AR279" s="32">
        <v>0</v>
      </c>
      <c r="AS279" s="32">
        <v>199125</v>
      </c>
      <c r="AT279" s="32" t="s">
        <v>171</v>
      </c>
      <c r="AU279" s="32" t="s">
        <v>185</v>
      </c>
      <c r="AV279" s="32" t="s">
        <v>164</v>
      </c>
      <c r="AW279" s="32" t="s">
        <v>171</v>
      </c>
      <c r="AX279" s="32"/>
      <c r="AY279" s="32">
        <v>0</v>
      </c>
      <c r="AZ279" s="32">
        <v>168750</v>
      </c>
      <c r="BA279" s="32">
        <v>384</v>
      </c>
      <c r="BB279" s="31">
        <v>46233</v>
      </c>
      <c r="BC279" s="32" t="s">
        <v>177</v>
      </c>
      <c r="BD279" s="32" t="s">
        <v>967</v>
      </c>
      <c r="BE279" s="32" t="s">
        <v>967</v>
      </c>
      <c r="BF279" s="32">
        <v>9</v>
      </c>
      <c r="BG279" s="32">
        <v>15187.5</v>
      </c>
      <c r="BH279" s="32">
        <v>9</v>
      </c>
      <c r="BI279" s="32">
        <v>15187.5</v>
      </c>
      <c r="BJ279" s="32">
        <v>0</v>
      </c>
      <c r="BK279" s="32">
        <v>0</v>
      </c>
      <c r="BL279" s="32">
        <v>199125</v>
      </c>
      <c r="BM279" s="32">
        <v>672154285062</v>
      </c>
      <c r="BN279" s="31">
        <v>46233</v>
      </c>
      <c r="BO279" s="32">
        <v>4500</v>
      </c>
    </row>
    <row r="280" spans="2:67" x14ac:dyDescent="0.25">
      <c r="B280" s="32" t="s">
        <v>167</v>
      </c>
      <c r="C280" s="31">
        <v>46234</v>
      </c>
      <c r="D280" s="32" t="s">
        <v>1265</v>
      </c>
      <c r="E280" s="32" t="s">
        <v>173</v>
      </c>
      <c r="F280" s="32" t="s">
        <v>174</v>
      </c>
      <c r="G280" s="32" t="s">
        <v>1266</v>
      </c>
      <c r="H280" s="32">
        <v>108</v>
      </c>
      <c r="I280" s="32">
        <v>108</v>
      </c>
      <c r="J280" s="32" t="s">
        <v>168</v>
      </c>
      <c r="K280" s="32">
        <v>108</v>
      </c>
      <c r="L280" s="32">
        <v>0</v>
      </c>
      <c r="M280" s="32">
        <v>108</v>
      </c>
      <c r="N280" s="32" t="s">
        <v>175</v>
      </c>
      <c r="O280" s="32" t="s">
        <v>654</v>
      </c>
      <c r="P280" s="32" t="s">
        <v>654</v>
      </c>
      <c r="Q280" s="32" t="s">
        <v>955</v>
      </c>
      <c r="R280" s="31">
        <v>46234</v>
      </c>
      <c r="S280" s="32" t="s">
        <v>987</v>
      </c>
      <c r="T280" s="32" t="s">
        <v>988</v>
      </c>
      <c r="U280" s="32" t="s">
        <v>954</v>
      </c>
      <c r="V280" s="32">
        <v>182.78</v>
      </c>
      <c r="W280" s="32">
        <v>182.78000053490001</v>
      </c>
      <c r="X280" s="32" t="s">
        <v>955</v>
      </c>
      <c r="Y280" s="31">
        <v>46234</v>
      </c>
      <c r="Z280" s="32" t="s">
        <v>193</v>
      </c>
      <c r="AA280" s="32" t="s">
        <v>193</v>
      </c>
      <c r="AB280" s="32"/>
      <c r="AC280" s="32" t="s">
        <v>193</v>
      </c>
      <c r="AD280" s="32" t="s">
        <v>193</v>
      </c>
      <c r="AE280" s="32">
        <v>0</v>
      </c>
      <c r="AF280" s="32">
        <v>0</v>
      </c>
      <c r="AG280" s="32">
        <v>0</v>
      </c>
      <c r="AH280" s="32">
        <v>0</v>
      </c>
      <c r="AI280" s="32">
        <v>0</v>
      </c>
      <c r="AJ280" s="32" t="s">
        <v>965</v>
      </c>
      <c r="AK280" s="32">
        <v>0</v>
      </c>
      <c r="AL280" s="32">
        <v>0</v>
      </c>
      <c r="AM280" s="32">
        <v>0</v>
      </c>
      <c r="AN280" s="32">
        <v>0</v>
      </c>
      <c r="AO280" s="32">
        <v>0</v>
      </c>
      <c r="AP280" s="32"/>
      <c r="AQ280" s="32">
        <v>0</v>
      </c>
      <c r="AR280" s="32">
        <v>0</v>
      </c>
      <c r="AS280" s="32">
        <v>1025127.02</v>
      </c>
      <c r="AT280" s="32" t="s">
        <v>169</v>
      </c>
      <c r="AU280" s="32" t="s">
        <v>176</v>
      </c>
      <c r="AV280" s="32" t="s">
        <v>159</v>
      </c>
      <c r="AW280" s="32" t="s">
        <v>171</v>
      </c>
      <c r="AX280" s="32" t="s">
        <v>966</v>
      </c>
      <c r="AY280" s="32">
        <v>0</v>
      </c>
      <c r="AZ280" s="32">
        <v>19740.240000000002</v>
      </c>
      <c r="BA280" s="32">
        <v>385</v>
      </c>
      <c r="BB280" s="31">
        <v>46234</v>
      </c>
      <c r="BC280" s="32" t="s">
        <v>177</v>
      </c>
      <c r="BD280" s="32" t="s">
        <v>967</v>
      </c>
      <c r="BE280" s="32" t="s">
        <v>967</v>
      </c>
      <c r="BF280" s="32">
        <v>9</v>
      </c>
      <c r="BG280" s="32">
        <v>1776.62</v>
      </c>
      <c r="BH280" s="32">
        <v>9</v>
      </c>
      <c r="BI280" s="32">
        <v>1776.62</v>
      </c>
      <c r="BJ280" s="32">
        <v>0</v>
      </c>
      <c r="BK280" s="32">
        <v>0</v>
      </c>
      <c r="BL280" s="32">
        <v>1025127.02</v>
      </c>
      <c r="BM280" s="32">
        <v>672154937668</v>
      </c>
      <c r="BN280" s="31">
        <v>46234</v>
      </c>
      <c r="BO280" s="32">
        <v>108</v>
      </c>
    </row>
    <row r="281" spans="2:67" x14ac:dyDescent="0.25">
      <c r="B281" s="32" t="s">
        <v>167</v>
      </c>
      <c r="C281" s="31">
        <v>46234</v>
      </c>
      <c r="D281" s="32" t="s">
        <v>1265</v>
      </c>
      <c r="E281" s="32" t="s">
        <v>178</v>
      </c>
      <c r="F281" s="32" t="s">
        <v>179</v>
      </c>
      <c r="G281" s="32" t="s">
        <v>1266</v>
      </c>
      <c r="H281" s="32">
        <v>3211</v>
      </c>
      <c r="I281" s="32">
        <v>3211</v>
      </c>
      <c r="J281" s="32" t="s">
        <v>168</v>
      </c>
      <c r="K281" s="32">
        <v>3211</v>
      </c>
      <c r="L281" s="32">
        <v>0</v>
      </c>
      <c r="M281" s="32">
        <v>3211</v>
      </c>
      <c r="N281" s="32" t="s">
        <v>175</v>
      </c>
      <c r="O281" s="32" t="s">
        <v>654</v>
      </c>
      <c r="P281" s="32" t="s">
        <v>654</v>
      </c>
      <c r="Q281" s="32" t="s">
        <v>955</v>
      </c>
      <c r="R281" s="31">
        <v>46234</v>
      </c>
      <c r="S281" s="32" t="s">
        <v>987</v>
      </c>
      <c r="T281" s="32" t="s">
        <v>988</v>
      </c>
      <c r="U281" s="32" t="s">
        <v>954</v>
      </c>
      <c r="V281" s="32">
        <v>151.49</v>
      </c>
      <c r="W281" s="32">
        <v>151.49000044332999</v>
      </c>
      <c r="X281" s="32" t="s">
        <v>955</v>
      </c>
      <c r="Y281" s="31">
        <v>46234</v>
      </c>
      <c r="Z281" s="32" t="s">
        <v>193</v>
      </c>
      <c r="AA281" s="32" t="s">
        <v>193</v>
      </c>
      <c r="AB281" s="32"/>
      <c r="AC281" s="32" t="s">
        <v>193</v>
      </c>
      <c r="AD281" s="32" t="s">
        <v>193</v>
      </c>
      <c r="AE281" s="32">
        <v>0</v>
      </c>
      <c r="AF281" s="32">
        <v>0</v>
      </c>
      <c r="AG281" s="32">
        <v>0</v>
      </c>
      <c r="AH281" s="32">
        <v>0</v>
      </c>
      <c r="AI281" s="32">
        <v>0</v>
      </c>
      <c r="AJ281" s="32" t="s">
        <v>965</v>
      </c>
      <c r="AK281" s="32">
        <v>0</v>
      </c>
      <c r="AL281" s="32">
        <v>0</v>
      </c>
      <c r="AM281" s="32">
        <v>0</v>
      </c>
      <c r="AN281" s="32">
        <v>0</v>
      </c>
      <c r="AO281" s="32">
        <v>0</v>
      </c>
      <c r="AP281" s="32"/>
      <c r="AQ281" s="32">
        <v>0</v>
      </c>
      <c r="AR281" s="32">
        <v>0</v>
      </c>
      <c r="AS281" s="32">
        <v>1025127.02</v>
      </c>
      <c r="AT281" s="32" t="s">
        <v>169</v>
      </c>
      <c r="AU281" s="32" t="s">
        <v>180</v>
      </c>
      <c r="AV281" s="32" t="s">
        <v>156</v>
      </c>
      <c r="AW281" s="32" t="s">
        <v>171</v>
      </c>
      <c r="AX281" s="32" t="s">
        <v>966</v>
      </c>
      <c r="AY281" s="32">
        <v>0</v>
      </c>
      <c r="AZ281" s="32">
        <v>486434.39</v>
      </c>
      <c r="BA281" s="32">
        <v>385</v>
      </c>
      <c r="BB281" s="31">
        <v>46234</v>
      </c>
      <c r="BC281" s="32" t="s">
        <v>177</v>
      </c>
      <c r="BD281" s="32" t="s">
        <v>967</v>
      </c>
      <c r="BE281" s="32" t="s">
        <v>967</v>
      </c>
      <c r="BF281" s="32">
        <v>9</v>
      </c>
      <c r="BG281" s="32">
        <v>43779.1</v>
      </c>
      <c r="BH281" s="32">
        <v>9</v>
      </c>
      <c r="BI281" s="32">
        <v>43779.1</v>
      </c>
      <c r="BJ281" s="32">
        <v>0</v>
      </c>
      <c r="BK281" s="32">
        <v>0</v>
      </c>
      <c r="BL281" s="32">
        <v>0</v>
      </c>
      <c r="BM281" s="32">
        <v>672154937668</v>
      </c>
      <c r="BN281" s="31">
        <v>46234</v>
      </c>
      <c r="BO281" s="32">
        <v>3211</v>
      </c>
    </row>
    <row r="282" spans="2:67" x14ac:dyDescent="0.25">
      <c r="B282" s="32" t="s">
        <v>167</v>
      </c>
      <c r="C282" s="31">
        <v>46234</v>
      </c>
      <c r="D282" s="32" t="s">
        <v>1265</v>
      </c>
      <c r="E282" s="32" t="s">
        <v>186</v>
      </c>
      <c r="F282" s="32" t="s">
        <v>187</v>
      </c>
      <c r="G282" s="32" t="s">
        <v>1266</v>
      </c>
      <c r="H282" s="32">
        <v>1949</v>
      </c>
      <c r="I282" s="32">
        <v>1949</v>
      </c>
      <c r="J282" s="32" t="s">
        <v>168</v>
      </c>
      <c r="K282" s="32">
        <v>1949</v>
      </c>
      <c r="L282" s="32">
        <v>0</v>
      </c>
      <c r="M282" s="32">
        <v>1949</v>
      </c>
      <c r="N282" s="32" t="s">
        <v>175</v>
      </c>
      <c r="O282" s="32" t="s">
        <v>654</v>
      </c>
      <c r="P282" s="32" t="s">
        <v>654</v>
      </c>
      <c r="Q282" s="32" t="s">
        <v>955</v>
      </c>
      <c r="R282" s="31">
        <v>46234</v>
      </c>
      <c r="S282" s="32" t="s">
        <v>987</v>
      </c>
      <c r="T282" s="32" t="s">
        <v>988</v>
      </c>
      <c r="U282" s="32" t="s">
        <v>954</v>
      </c>
      <c r="V282" s="32">
        <v>149.49</v>
      </c>
      <c r="W282" s="32">
        <v>149.49000043747799</v>
      </c>
      <c r="X282" s="32" t="s">
        <v>955</v>
      </c>
      <c r="Y282" s="31">
        <v>46234</v>
      </c>
      <c r="Z282" s="32" t="s">
        <v>193</v>
      </c>
      <c r="AA282" s="32" t="s">
        <v>193</v>
      </c>
      <c r="AB282" s="32"/>
      <c r="AC282" s="32" t="s">
        <v>193</v>
      </c>
      <c r="AD282" s="32" t="s">
        <v>193</v>
      </c>
      <c r="AE282" s="32">
        <v>0</v>
      </c>
      <c r="AF282" s="32">
        <v>0</v>
      </c>
      <c r="AG282" s="32">
        <v>0</v>
      </c>
      <c r="AH282" s="32">
        <v>0</v>
      </c>
      <c r="AI282" s="32">
        <v>0</v>
      </c>
      <c r="AJ282" s="32" t="s">
        <v>965</v>
      </c>
      <c r="AK282" s="32">
        <v>0</v>
      </c>
      <c r="AL282" s="32">
        <v>0</v>
      </c>
      <c r="AM282" s="32">
        <v>0</v>
      </c>
      <c r="AN282" s="32">
        <v>0</v>
      </c>
      <c r="AO282" s="32">
        <v>0</v>
      </c>
      <c r="AP282" s="32"/>
      <c r="AQ282" s="32">
        <v>0</v>
      </c>
      <c r="AR282" s="32">
        <v>0</v>
      </c>
      <c r="AS282" s="32">
        <v>1025127.02</v>
      </c>
      <c r="AT282" s="32" t="s">
        <v>169</v>
      </c>
      <c r="AU282" s="32" t="s">
        <v>180</v>
      </c>
      <c r="AV282" s="32" t="s">
        <v>155</v>
      </c>
      <c r="AW282" s="32" t="s">
        <v>171</v>
      </c>
      <c r="AX282" s="32" t="s">
        <v>966</v>
      </c>
      <c r="AY282" s="32">
        <v>0</v>
      </c>
      <c r="AZ282" s="32">
        <v>291356.01</v>
      </c>
      <c r="BA282" s="32">
        <v>385</v>
      </c>
      <c r="BB282" s="31">
        <v>46234</v>
      </c>
      <c r="BC282" s="32" t="s">
        <v>177</v>
      </c>
      <c r="BD282" s="32" t="s">
        <v>967</v>
      </c>
      <c r="BE282" s="32" t="s">
        <v>967</v>
      </c>
      <c r="BF282" s="32">
        <v>9</v>
      </c>
      <c r="BG282" s="32">
        <v>26222.04</v>
      </c>
      <c r="BH282" s="32">
        <v>9</v>
      </c>
      <c r="BI282" s="32">
        <v>26222.04</v>
      </c>
      <c r="BJ282" s="32">
        <v>0</v>
      </c>
      <c r="BK282" s="32">
        <v>0</v>
      </c>
      <c r="BL282" s="32">
        <v>0</v>
      </c>
      <c r="BM282" s="32">
        <v>672154937668</v>
      </c>
      <c r="BN282" s="31">
        <v>46234</v>
      </c>
      <c r="BO282" s="32">
        <v>1949</v>
      </c>
    </row>
    <row r="283" spans="2:67" x14ac:dyDescent="0.25">
      <c r="B283" s="32" t="s">
        <v>167</v>
      </c>
      <c r="C283" s="31">
        <v>46234</v>
      </c>
      <c r="D283" s="32" t="s">
        <v>1265</v>
      </c>
      <c r="E283" s="32" t="s">
        <v>181</v>
      </c>
      <c r="F283" s="32" t="s">
        <v>182</v>
      </c>
      <c r="G283" s="32" t="s">
        <v>1266</v>
      </c>
      <c r="H283" s="32">
        <v>433.4</v>
      </c>
      <c r="I283" s="32">
        <v>433.4</v>
      </c>
      <c r="J283" s="32" t="s">
        <v>168</v>
      </c>
      <c r="K283" s="32">
        <v>433.4</v>
      </c>
      <c r="L283" s="32">
        <v>0</v>
      </c>
      <c r="M283" s="32">
        <v>433.4</v>
      </c>
      <c r="N283" s="32" t="s">
        <v>175</v>
      </c>
      <c r="O283" s="32" t="s">
        <v>654</v>
      </c>
      <c r="P283" s="32" t="s">
        <v>654</v>
      </c>
      <c r="Q283" s="32" t="s">
        <v>955</v>
      </c>
      <c r="R283" s="31">
        <v>46234</v>
      </c>
      <c r="S283" s="32" t="s">
        <v>987</v>
      </c>
      <c r="T283" s="32" t="s">
        <v>988</v>
      </c>
      <c r="U283" s="32" t="s">
        <v>954</v>
      </c>
      <c r="V283" s="32">
        <v>149.49</v>
      </c>
      <c r="W283" s="32">
        <v>149.49000043747799</v>
      </c>
      <c r="X283" s="32" t="s">
        <v>955</v>
      </c>
      <c r="Y283" s="31">
        <v>46234</v>
      </c>
      <c r="Z283" s="32" t="s">
        <v>193</v>
      </c>
      <c r="AA283" s="32" t="s">
        <v>193</v>
      </c>
      <c r="AB283" s="32"/>
      <c r="AC283" s="32" t="s">
        <v>193</v>
      </c>
      <c r="AD283" s="32" t="s">
        <v>193</v>
      </c>
      <c r="AE283" s="32">
        <v>0</v>
      </c>
      <c r="AF283" s="32">
        <v>0</v>
      </c>
      <c r="AG283" s="32">
        <v>0</v>
      </c>
      <c r="AH283" s="32">
        <v>0</v>
      </c>
      <c r="AI283" s="32">
        <v>0</v>
      </c>
      <c r="AJ283" s="32" t="s">
        <v>965</v>
      </c>
      <c r="AK283" s="32">
        <v>0</v>
      </c>
      <c r="AL283" s="32">
        <v>0</v>
      </c>
      <c r="AM283" s="32">
        <v>0</v>
      </c>
      <c r="AN283" s="32">
        <v>0</v>
      </c>
      <c r="AO283" s="32">
        <v>0</v>
      </c>
      <c r="AP283" s="32"/>
      <c r="AQ283" s="32">
        <v>0</v>
      </c>
      <c r="AR283" s="32">
        <v>0</v>
      </c>
      <c r="AS283" s="32">
        <v>1025127.02</v>
      </c>
      <c r="AT283" s="32" t="s">
        <v>169</v>
      </c>
      <c r="AU283" s="32" t="s">
        <v>182</v>
      </c>
      <c r="AV283" s="32" t="s">
        <v>154</v>
      </c>
      <c r="AW283" s="32" t="s">
        <v>171</v>
      </c>
      <c r="AX283" s="32" t="s">
        <v>966</v>
      </c>
      <c r="AY283" s="32">
        <v>0</v>
      </c>
      <c r="AZ283" s="32">
        <v>64788.97</v>
      </c>
      <c r="BA283" s="32">
        <v>385</v>
      </c>
      <c r="BB283" s="31">
        <v>46234</v>
      </c>
      <c r="BC283" s="32" t="s">
        <v>177</v>
      </c>
      <c r="BD283" s="32" t="s">
        <v>967</v>
      </c>
      <c r="BE283" s="32" t="s">
        <v>967</v>
      </c>
      <c r="BF283" s="32">
        <v>9</v>
      </c>
      <c r="BG283" s="32">
        <v>5831.01</v>
      </c>
      <c r="BH283" s="32">
        <v>9</v>
      </c>
      <c r="BI283" s="32">
        <v>5831.01</v>
      </c>
      <c r="BJ283" s="32">
        <v>0</v>
      </c>
      <c r="BK283" s="32">
        <v>0</v>
      </c>
      <c r="BL283" s="32">
        <v>0</v>
      </c>
      <c r="BM283" s="32">
        <v>672154937668</v>
      </c>
      <c r="BN283" s="31">
        <v>46234</v>
      </c>
      <c r="BO283" s="32">
        <v>433.4</v>
      </c>
    </row>
    <row r="284" spans="2:67" x14ac:dyDescent="0.25">
      <c r="B284" s="32" t="s">
        <v>167</v>
      </c>
      <c r="C284" s="31">
        <v>46234</v>
      </c>
      <c r="D284" s="32" t="s">
        <v>1265</v>
      </c>
      <c r="E284" s="32" t="s">
        <v>1006</v>
      </c>
      <c r="F284" s="32" t="s">
        <v>681</v>
      </c>
      <c r="G284" s="32" t="s">
        <v>1266</v>
      </c>
      <c r="H284" s="32">
        <v>44.9</v>
      </c>
      <c r="I284" s="32">
        <v>44.9</v>
      </c>
      <c r="J284" s="32" t="s">
        <v>168</v>
      </c>
      <c r="K284" s="32">
        <v>44.9</v>
      </c>
      <c r="L284" s="32">
        <v>0</v>
      </c>
      <c r="M284" s="32">
        <v>44.9</v>
      </c>
      <c r="N284" s="32" t="s">
        <v>175</v>
      </c>
      <c r="O284" s="32" t="s">
        <v>654</v>
      </c>
      <c r="P284" s="32" t="s">
        <v>654</v>
      </c>
      <c r="Q284" s="32" t="s">
        <v>955</v>
      </c>
      <c r="R284" s="31">
        <v>46234</v>
      </c>
      <c r="S284" s="32" t="s">
        <v>987</v>
      </c>
      <c r="T284" s="32" t="s">
        <v>988</v>
      </c>
      <c r="U284" s="32" t="s">
        <v>954</v>
      </c>
      <c r="V284" s="32">
        <v>160.99</v>
      </c>
      <c r="W284" s="32">
        <v>160.99000047113199</v>
      </c>
      <c r="X284" s="32" t="s">
        <v>955</v>
      </c>
      <c r="Y284" s="31">
        <v>46234</v>
      </c>
      <c r="Z284" s="32" t="s">
        <v>193</v>
      </c>
      <c r="AA284" s="32" t="s">
        <v>193</v>
      </c>
      <c r="AB284" s="32"/>
      <c r="AC284" s="32" t="s">
        <v>193</v>
      </c>
      <c r="AD284" s="32" t="s">
        <v>193</v>
      </c>
      <c r="AE284" s="32">
        <v>0</v>
      </c>
      <c r="AF284" s="32">
        <v>0</v>
      </c>
      <c r="AG284" s="32">
        <v>0</v>
      </c>
      <c r="AH284" s="32">
        <v>0</v>
      </c>
      <c r="AI284" s="32">
        <v>0</v>
      </c>
      <c r="AJ284" s="32" t="s">
        <v>965</v>
      </c>
      <c r="AK284" s="32">
        <v>0</v>
      </c>
      <c r="AL284" s="32">
        <v>0</v>
      </c>
      <c r="AM284" s="32">
        <v>0</v>
      </c>
      <c r="AN284" s="32">
        <v>0</v>
      </c>
      <c r="AO284" s="32">
        <v>0</v>
      </c>
      <c r="AP284" s="32"/>
      <c r="AQ284" s="32">
        <v>0</v>
      </c>
      <c r="AR284" s="32">
        <v>0</v>
      </c>
      <c r="AS284" s="32">
        <v>1025127.02</v>
      </c>
      <c r="AT284" s="32" t="s">
        <v>169</v>
      </c>
      <c r="AU284" s="32" t="s">
        <v>170</v>
      </c>
      <c r="AV284" s="32" t="s">
        <v>157</v>
      </c>
      <c r="AW284" s="32" t="s">
        <v>171</v>
      </c>
      <c r="AX284" s="32" t="s">
        <v>966</v>
      </c>
      <c r="AY284" s="32">
        <v>0</v>
      </c>
      <c r="AZ284" s="32">
        <v>7228.45</v>
      </c>
      <c r="BA284" s="32">
        <v>385</v>
      </c>
      <c r="BB284" s="31">
        <v>46234</v>
      </c>
      <c r="BC284" s="32" t="s">
        <v>177</v>
      </c>
      <c r="BD284" s="32" t="s">
        <v>967</v>
      </c>
      <c r="BE284" s="32" t="s">
        <v>967</v>
      </c>
      <c r="BF284" s="32">
        <v>2.5</v>
      </c>
      <c r="BG284" s="32">
        <v>180.71</v>
      </c>
      <c r="BH284" s="32">
        <v>2.5</v>
      </c>
      <c r="BI284" s="32">
        <v>180.71</v>
      </c>
      <c r="BJ284" s="32">
        <v>0</v>
      </c>
      <c r="BK284" s="32">
        <v>0</v>
      </c>
      <c r="BL284" s="32">
        <v>0</v>
      </c>
      <c r="BM284" s="32">
        <v>672154937668</v>
      </c>
      <c r="BN284" s="31">
        <v>46234</v>
      </c>
      <c r="BO284" s="32">
        <v>44.9</v>
      </c>
    </row>
    <row r="285" spans="2:67" x14ac:dyDescent="0.25">
      <c r="G285"/>
    </row>
    <row r="286" spans="2:67" x14ac:dyDescent="0.25">
      <c r="G286"/>
    </row>
    <row r="287" spans="2:67" x14ac:dyDescent="0.25">
      <c r="G287"/>
    </row>
    <row r="288" spans="2:67" x14ac:dyDescent="0.25">
      <c r="G288"/>
    </row>
    <row r="289" spans="7:7" x14ac:dyDescent="0.25">
      <c r="G289"/>
    </row>
    <row r="290" spans="7:7" x14ac:dyDescent="0.25">
      <c r="G290"/>
    </row>
    <row r="291" spans="7:7" x14ac:dyDescent="0.25">
      <c r="G291"/>
    </row>
    <row r="292" spans="7:7" x14ac:dyDescent="0.25">
      <c r="G292"/>
    </row>
    <row r="293" spans="7:7" x14ac:dyDescent="0.25">
      <c r="G293"/>
    </row>
    <row r="294" spans="7:7" x14ac:dyDescent="0.25">
      <c r="G294"/>
    </row>
    <row r="295" spans="7:7" x14ac:dyDescent="0.25">
      <c r="G295"/>
    </row>
    <row r="296" spans="7:7" x14ac:dyDescent="0.25">
      <c r="G296"/>
    </row>
    <row r="297" spans="7:7" x14ac:dyDescent="0.25">
      <c r="G297"/>
    </row>
    <row r="298" spans="7:7" x14ac:dyDescent="0.25">
      <c r="G298"/>
    </row>
    <row r="299" spans="7:7" x14ac:dyDescent="0.25">
      <c r="G299"/>
    </row>
    <row r="300" spans="7:7" x14ac:dyDescent="0.25">
      <c r="G300"/>
    </row>
    <row r="301" spans="7:7" x14ac:dyDescent="0.25">
      <c r="G301"/>
    </row>
    <row r="302" spans="7:7" x14ac:dyDescent="0.25">
      <c r="G302"/>
    </row>
    <row r="303" spans="7:7" x14ac:dyDescent="0.25">
      <c r="G303"/>
    </row>
    <row r="304" spans="7:7" x14ac:dyDescent="0.25">
      <c r="G304"/>
    </row>
    <row r="305" spans="7:7" x14ac:dyDescent="0.25">
      <c r="G305"/>
    </row>
    <row r="306" spans="7:7" x14ac:dyDescent="0.25">
      <c r="G306"/>
    </row>
    <row r="307" spans="7:7" x14ac:dyDescent="0.25">
      <c r="G307"/>
    </row>
    <row r="308" spans="7:7" x14ac:dyDescent="0.25">
      <c r="G308"/>
    </row>
    <row r="309" spans="7:7" x14ac:dyDescent="0.25">
      <c r="G309"/>
    </row>
    <row r="310" spans="7:7" x14ac:dyDescent="0.25">
      <c r="G310"/>
    </row>
    <row r="311" spans="7:7" x14ac:dyDescent="0.25">
      <c r="G311"/>
    </row>
    <row r="312" spans="7:7" x14ac:dyDescent="0.25">
      <c r="G312"/>
    </row>
    <row r="313" spans="7:7" x14ac:dyDescent="0.25">
      <c r="G313"/>
    </row>
    <row r="314" spans="7:7" x14ac:dyDescent="0.25">
      <c r="G314"/>
    </row>
    <row r="315" spans="7:7" x14ac:dyDescent="0.25">
      <c r="G315"/>
    </row>
    <row r="316" spans="7:7" x14ac:dyDescent="0.25">
      <c r="G316"/>
    </row>
    <row r="317" spans="7:7" x14ac:dyDescent="0.25">
      <c r="G317"/>
    </row>
    <row r="318" spans="7:7" x14ac:dyDescent="0.25">
      <c r="G318"/>
    </row>
    <row r="319" spans="7:7" x14ac:dyDescent="0.25">
      <c r="G319"/>
    </row>
    <row r="320" spans="7:7" x14ac:dyDescent="0.25">
      <c r="G320"/>
    </row>
    <row r="321" spans="7:7" x14ac:dyDescent="0.25">
      <c r="G321"/>
    </row>
    <row r="322" spans="7:7" x14ac:dyDescent="0.25">
      <c r="G322"/>
    </row>
    <row r="323" spans="7:7" x14ac:dyDescent="0.25">
      <c r="G323"/>
    </row>
    <row r="324" spans="7:7" x14ac:dyDescent="0.25">
      <c r="G324"/>
    </row>
    <row r="325" spans="7:7" x14ac:dyDescent="0.25">
      <c r="G325"/>
    </row>
    <row r="326" spans="7:7" x14ac:dyDescent="0.25">
      <c r="G326"/>
    </row>
    <row r="327" spans="7:7" x14ac:dyDescent="0.25">
      <c r="G327"/>
    </row>
    <row r="328" spans="7:7" x14ac:dyDescent="0.25">
      <c r="G328"/>
    </row>
    <row r="329" spans="7:7" x14ac:dyDescent="0.25">
      <c r="G329"/>
    </row>
    <row r="330" spans="7:7" x14ac:dyDescent="0.25">
      <c r="G330"/>
    </row>
    <row r="331" spans="7:7" x14ac:dyDescent="0.25">
      <c r="G331"/>
    </row>
    <row r="332" spans="7:7" x14ac:dyDescent="0.25">
      <c r="G332"/>
    </row>
    <row r="333" spans="7:7" x14ac:dyDescent="0.25">
      <c r="G333"/>
    </row>
    <row r="334" spans="7:7" x14ac:dyDescent="0.25">
      <c r="G334"/>
    </row>
    <row r="335" spans="7:7" x14ac:dyDescent="0.25">
      <c r="G335"/>
    </row>
    <row r="336" spans="7:7" x14ac:dyDescent="0.25">
      <c r="G336"/>
    </row>
    <row r="337" spans="7:7" x14ac:dyDescent="0.25">
      <c r="G337"/>
    </row>
    <row r="338" spans="7:7" x14ac:dyDescent="0.25">
      <c r="G338"/>
    </row>
    <row r="339" spans="7:7" x14ac:dyDescent="0.25">
      <c r="G339"/>
    </row>
    <row r="340" spans="7:7" x14ac:dyDescent="0.25">
      <c r="G340"/>
    </row>
    <row r="341" spans="7:7" x14ac:dyDescent="0.25">
      <c r="G341"/>
    </row>
    <row r="342" spans="7:7" x14ac:dyDescent="0.25">
      <c r="G342"/>
    </row>
    <row r="343" spans="7:7" x14ac:dyDescent="0.25">
      <c r="G343"/>
    </row>
    <row r="344" spans="7:7" x14ac:dyDescent="0.25">
      <c r="G344"/>
    </row>
    <row r="345" spans="7:7" x14ac:dyDescent="0.25">
      <c r="G345"/>
    </row>
    <row r="346" spans="7:7" x14ac:dyDescent="0.25">
      <c r="G346"/>
    </row>
    <row r="347" spans="7:7" x14ac:dyDescent="0.25">
      <c r="G347"/>
    </row>
    <row r="348" spans="7:7" x14ac:dyDescent="0.25">
      <c r="G348"/>
    </row>
    <row r="349" spans="7:7" x14ac:dyDescent="0.25">
      <c r="G349"/>
    </row>
    <row r="350" spans="7:7" x14ac:dyDescent="0.25">
      <c r="G350"/>
    </row>
    <row r="351" spans="7:7" x14ac:dyDescent="0.25">
      <c r="G351"/>
    </row>
    <row r="352" spans="7:7" x14ac:dyDescent="0.25">
      <c r="G352"/>
    </row>
    <row r="353" spans="7:7" x14ac:dyDescent="0.25">
      <c r="G353"/>
    </row>
    <row r="354" spans="7:7" x14ac:dyDescent="0.25">
      <c r="G354"/>
    </row>
    <row r="355" spans="7:7" x14ac:dyDescent="0.25">
      <c r="G355"/>
    </row>
    <row r="356" spans="7:7" x14ac:dyDescent="0.25">
      <c r="G356"/>
    </row>
    <row r="357" spans="7:7" x14ac:dyDescent="0.25">
      <c r="G357"/>
    </row>
    <row r="358" spans="7:7" x14ac:dyDescent="0.25">
      <c r="G358"/>
    </row>
    <row r="359" spans="7:7" x14ac:dyDescent="0.25">
      <c r="G359"/>
    </row>
    <row r="360" spans="7:7" x14ac:dyDescent="0.25">
      <c r="G360"/>
    </row>
    <row r="361" spans="7:7" x14ac:dyDescent="0.25">
      <c r="G361"/>
    </row>
    <row r="362" spans="7:7" x14ac:dyDescent="0.25">
      <c r="G362"/>
    </row>
    <row r="363" spans="7:7" x14ac:dyDescent="0.25">
      <c r="G363"/>
    </row>
    <row r="364" spans="7:7" x14ac:dyDescent="0.25">
      <c r="G364"/>
    </row>
    <row r="365" spans="7:7" x14ac:dyDescent="0.25">
      <c r="G365"/>
    </row>
    <row r="366" spans="7:7" x14ac:dyDescent="0.25">
      <c r="G366"/>
    </row>
    <row r="367" spans="7:7" x14ac:dyDescent="0.25">
      <c r="G367"/>
    </row>
    <row r="368" spans="7:7" x14ac:dyDescent="0.25">
      <c r="G368"/>
    </row>
    <row r="369" spans="7:7" x14ac:dyDescent="0.25">
      <c r="G369"/>
    </row>
    <row r="370" spans="7:7" x14ac:dyDescent="0.25">
      <c r="G370"/>
    </row>
    <row r="371" spans="7:7" x14ac:dyDescent="0.25">
      <c r="G371"/>
    </row>
    <row r="372" spans="7:7" x14ac:dyDescent="0.25">
      <c r="G372"/>
    </row>
    <row r="373" spans="7:7" x14ac:dyDescent="0.25">
      <c r="G373"/>
    </row>
    <row r="374" spans="7:7" x14ac:dyDescent="0.25">
      <c r="G374"/>
    </row>
    <row r="375" spans="7:7" x14ac:dyDescent="0.25">
      <c r="G375"/>
    </row>
    <row r="376" spans="7:7" x14ac:dyDescent="0.25">
      <c r="G376"/>
    </row>
    <row r="377" spans="7:7" x14ac:dyDescent="0.25">
      <c r="G377"/>
    </row>
    <row r="378" spans="7:7" x14ac:dyDescent="0.25">
      <c r="G378"/>
    </row>
    <row r="379" spans="7:7" x14ac:dyDescent="0.25">
      <c r="G379"/>
    </row>
    <row r="380" spans="7:7" x14ac:dyDescent="0.25">
      <c r="G380"/>
    </row>
    <row r="381" spans="7:7" x14ac:dyDescent="0.25">
      <c r="G381"/>
    </row>
    <row r="382" spans="7:7" x14ac:dyDescent="0.25">
      <c r="G382"/>
    </row>
    <row r="383" spans="7:7" x14ac:dyDescent="0.25">
      <c r="G383"/>
    </row>
    <row r="384" spans="7:7" x14ac:dyDescent="0.25">
      <c r="G384"/>
    </row>
    <row r="385" spans="7:7" x14ac:dyDescent="0.25">
      <c r="G385"/>
    </row>
    <row r="386" spans="7:7" x14ac:dyDescent="0.25">
      <c r="G386"/>
    </row>
    <row r="387" spans="7:7" x14ac:dyDescent="0.25">
      <c r="G387"/>
    </row>
    <row r="388" spans="7:7" x14ac:dyDescent="0.25">
      <c r="G388"/>
    </row>
    <row r="389" spans="7:7" x14ac:dyDescent="0.25">
      <c r="G389"/>
    </row>
    <row r="390" spans="7:7" x14ac:dyDescent="0.25">
      <c r="G390"/>
    </row>
    <row r="391" spans="7:7" x14ac:dyDescent="0.25">
      <c r="G391"/>
    </row>
    <row r="392" spans="7:7" x14ac:dyDescent="0.25">
      <c r="G392"/>
    </row>
    <row r="393" spans="7:7" x14ac:dyDescent="0.25">
      <c r="G393"/>
    </row>
    <row r="394" spans="7:7" x14ac:dyDescent="0.25">
      <c r="G394"/>
    </row>
    <row r="395" spans="7:7" x14ac:dyDescent="0.25">
      <c r="G395"/>
    </row>
    <row r="396" spans="7:7" x14ac:dyDescent="0.25">
      <c r="G396"/>
    </row>
    <row r="397" spans="7:7" x14ac:dyDescent="0.25">
      <c r="G397"/>
    </row>
    <row r="398" spans="7:7" x14ac:dyDescent="0.25">
      <c r="G398"/>
    </row>
    <row r="399" spans="7:7" x14ac:dyDescent="0.25">
      <c r="G399"/>
    </row>
    <row r="400" spans="7:7" x14ac:dyDescent="0.25">
      <c r="G400"/>
    </row>
    <row r="401" spans="7:7" x14ac:dyDescent="0.25">
      <c r="G401"/>
    </row>
    <row r="402" spans="7:7" x14ac:dyDescent="0.25">
      <c r="G402"/>
    </row>
    <row r="403" spans="7:7" x14ac:dyDescent="0.25">
      <c r="G403"/>
    </row>
    <row r="404" spans="7:7" x14ac:dyDescent="0.25">
      <c r="G404"/>
    </row>
    <row r="405" spans="7:7" x14ac:dyDescent="0.25">
      <c r="G405"/>
    </row>
    <row r="406" spans="7:7" x14ac:dyDescent="0.25">
      <c r="G406"/>
    </row>
    <row r="407" spans="7:7" x14ac:dyDescent="0.25">
      <c r="G407"/>
    </row>
    <row r="408" spans="7:7" x14ac:dyDescent="0.25">
      <c r="G408"/>
    </row>
    <row r="409" spans="7:7" x14ac:dyDescent="0.25">
      <c r="G409"/>
    </row>
    <row r="410" spans="7:7" x14ac:dyDescent="0.25">
      <c r="G410"/>
    </row>
    <row r="411" spans="7:7" x14ac:dyDescent="0.25">
      <c r="G411"/>
    </row>
    <row r="412" spans="7:7" x14ac:dyDescent="0.25">
      <c r="G412"/>
    </row>
    <row r="413" spans="7:7" x14ac:dyDescent="0.25">
      <c r="G413"/>
    </row>
    <row r="414" spans="7:7" x14ac:dyDescent="0.25">
      <c r="G414"/>
    </row>
    <row r="415" spans="7:7" x14ac:dyDescent="0.25">
      <c r="G415"/>
    </row>
    <row r="416" spans="7:7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</sheetData>
  <autoFilter ref="B1:BO28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"/>
  <sheetViews>
    <sheetView workbookViewId="0">
      <selection activeCell="A8" sqref="A8"/>
    </sheetView>
  </sheetViews>
  <sheetFormatPr defaultRowHeight="15" x14ac:dyDescent="0.25"/>
  <cols>
    <col min="2" max="2" width="25" bestFit="1" customWidth="1"/>
    <col min="3" max="3" width="10.42578125" bestFit="1" customWidth="1"/>
    <col min="4" max="4" width="18" bestFit="1" customWidth="1"/>
    <col min="5" max="5" width="11.85546875" customWidth="1"/>
    <col min="6" max="6" width="16.140625" customWidth="1"/>
    <col min="7" max="7" width="19.140625" customWidth="1"/>
    <col min="8" max="8" width="12" customWidth="1"/>
    <col min="9" max="9" width="11.140625" customWidth="1"/>
    <col min="12" max="12" width="11.5703125" customWidth="1"/>
    <col min="13" max="13" width="11.85546875" customWidth="1"/>
    <col min="14" max="14" width="10.140625" bestFit="1" customWidth="1"/>
    <col min="15" max="15" width="26.85546875" style="8" customWidth="1"/>
    <col min="16" max="16" width="25.5703125" style="8" customWidth="1"/>
    <col min="17" max="17" width="14.140625" style="8" customWidth="1"/>
    <col min="18" max="18" width="15" style="8" customWidth="1"/>
    <col min="19" max="19" width="11.85546875" style="8" customWidth="1"/>
    <col min="20" max="20" width="17.85546875" style="8" customWidth="1"/>
    <col min="21" max="21" width="15.85546875" style="8" customWidth="1"/>
    <col min="25" max="25" width="10.7109375" bestFit="1" customWidth="1"/>
    <col min="26" max="26" width="16.28515625" bestFit="1" customWidth="1"/>
    <col min="27" max="27" width="15.7109375" bestFit="1" customWidth="1"/>
    <col min="28" max="28" width="15.85546875" bestFit="1" customWidth="1"/>
    <col min="29" max="29" width="19.7109375" bestFit="1" customWidth="1"/>
    <col min="30" max="30" width="13.140625" bestFit="1" customWidth="1"/>
    <col min="47" max="47" width="15.7109375" bestFit="1" customWidth="1"/>
    <col min="48" max="48" width="15.85546875" bestFit="1" customWidth="1"/>
    <col min="49" max="49" width="19.7109375" bestFit="1" customWidth="1"/>
    <col min="52" max="52" width="13.140625" bestFit="1" customWidth="1"/>
    <col min="66" max="66" width="12.140625" customWidth="1"/>
  </cols>
  <sheetData>
    <row r="1" spans="1:67" x14ac:dyDescent="0.25">
      <c r="A1" s="1"/>
      <c r="B1" s="1" t="s">
        <v>82</v>
      </c>
      <c r="C1" s="1" t="s">
        <v>0</v>
      </c>
      <c r="D1" s="1" t="s">
        <v>83</v>
      </c>
      <c r="E1" s="1" t="s">
        <v>77</v>
      </c>
      <c r="F1" s="1" t="s">
        <v>78</v>
      </c>
      <c r="G1" s="1" t="s">
        <v>84</v>
      </c>
      <c r="H1" s="1" t="s">
        <v>85</v>
      </c>
      <c r="I1" s="1" t="s">
        <v>86</v>
      </c>
      <c r="J1" s="1" t="s">
        <v>26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39</v>
      </c>
      <c r="W1" s="1" t="s">
        <v>13</v>
      </c>
      <c r="X1" s="1" t="s">
        <v>98</v>
      </c>
      <c r="Y1" s="1" t="s">
        <v>99</v>
      </c>
      <c r="Z1" s="1" t="s">
        <v>100</v>
      </c>
      <c r="AA1" s="1" t="s">
        <v>47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44</v>
      </c>
      <c r="AU1" s="10" t="s">
        <v>119</v>
      </c>
      <c r="AV1" s="4" t="s">
        <v>120</v>
      </c>
      <c r="AW1" s="1" t="s">
        <v>121</v>
      </c>
      <c r="AX1" s="1" t="s">
        <v>122</v>
      </c>
      <c r="AY1" s="10" t="s">
        <v>123</v>
      </c>
      <c r="AZ1" s="4" t="s">
        <v>124</v>
      </c>
      <c r="BA1" s="1" t="s">
        <v>125</v>
      </c>
      <c r="BB1" s="1" t="s">
        <v>126</v>
      </c>
      <c r="BC1" s="1" t="s">
        <v>127</v>
      </c>
      <c r="BD1" s="1" t="s">
        <v>128</v>
      </c>
      <c r="BE1" s="1" t="s">
        <v>129</v>
      </c>
      <c r="BF1" s="1" t="s">
        <v>130</v>
      </c>
      <c r="BG1" s="1" t="s">
        <v>131</v>
      </c>
      <c r="BH1" s="1" t="s">
        <v>132</v>
      </c>
      <c r="BI1" s="1" t="s">
        <v>133</v>
      </c>
      <c r="BJ1" s="1" t="s">
        <v>134</v>
      </c>
      <c r="BK1" s="1" t="s">
        <v>135</v>
      </c>
      <c r="BL1" s="1" t="s">
        <v>136</v>
      </c>
      <c r="BM1" s="1" t="s">
        <v>137</v>
      </c>
      <c r="BN1" s="1" t="s">
        <v>138</v>
      </c>
      <c r="BO1" s="4" t="s">
        <v>139</v>
      </c>
    </row>
    <row r="2" spans="1:67" x14ac:dyDescent="0.25">
      <c r="A2" s="26"/>
      <c r="B2" s="24" t="s">
        <v>167</v>
      </c>
      <c r="C2" s="27">
        <v>46088</v>
      </c>
      <c r="D2" s="24" t="s">
        <v>957</v>
      </c>
      <c r="E2" s="24" t="s">
        <v>958</v>
      </c>
      <c r="F2" s="24" t="s">
        <v>694</v>
      </c>
      <c r="G2" s="24" t="s">
        <v>959</v>
      </c>
      <c r="H2" s="24">
        <v>3.0979999999999999</v>
      </c>
      <c r="I2" s="24">
        <v>3.0979999999999999</v>
      </c>
      <c r="J2" s="24" t="s">
        <v>696</v>
      </c>
      <c r="K2" s="24">
        <v>3.0979999999999999</v>
      </c>
      <c r="L2" s="24">
        <v>0</v>
      </c>
      <c r="M2" s="24">
        <v>3.0979999999999999</v>
      </c>
      <c r="N2" s="24" t="s">
        <v>960</v>
      </c>
      <c r="O2" s="24" t="s">
        <v>689</v>
      </c>
      <c r="P2" s="24" t="s">
        <v>689</v>
      </c>
      <c r="Q2" s="24" t="s">
        <v>692</v>
      </c>
      <c r="R2" s="27">
        <v>46029</v>
      </c>
      <c r="S2" s="24" t="s">
        <v>961</v>
      </c>
      <c r="T2" s="24" t="s">
        <v>962</v>
      </c>
      <c r="U2" s="24" t="s">
        <v>690</v>
      </c>
      <c r="V2" s="24">
        <v>3429.6219999999998</v>
      </c>
      <c r="W2" s="24">
        <v>3470.58661674825</v>
      </c>
      <c r="X2" s="24" t="s">
        <v>692</v>
      </c>
      <c r="Y2" s="27">
        <v>46029</v>
      </c>
      <c r="Z2" s="24" t="s">
        <v>963</v>
      </c>
      <c r="AA2" s="24">
        <v>0</v>
      </c>
      <c r="AB2" s="24"/>
      <c r="AC2" s="24" t="s">
        <v>964</v>
      </c>
      <c r="AD2" s="24">
        <v>1344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 t="s">
        <v>965</v>
      </c>
      <c r="AK2" s="24">
        <v>0</v>
      </c>
      <c r="AL2" s="24">
        <v>0</v>
      </c>
      <c r="AM2" s="24">
        <v>367.5</v>
      </c>
      <c r="AN2" s="24">
        <v>0</v>
      </c>
      <c r="AO2" s="24">
        <v>0</v>
      </c>
      <c r="AP2" s="24"/>
      <c r="AQ2" s="24">
        <v>0</v>
      </c>
      <c r="AR2" s="24">
        <v>0</v>
      </c>
      <c r="AS2" s="24">
        <v>31159</v>
      </c>
      <c r="AT2" s="24" t="s">
        <v>204</v>
      </c>
      <c r="AU2" s="24" t="s">
        <v>693</v>
      </c>
      <c r="AV2" s="24"/>
      <c r="AW2" s="24" t="s">
        <v>688</v>
      </c>
      <c r="AX2" s="24" t="s">
        <v>966</v>
      </c>
      <c r="AY2" s="24">
        <v>0</v>
      </c>
      <c r="AZ2" s="24">
        <v>10751.88</v>
      </c>
      <c r="BA2" s="24">
        <v>433</v>
      </c>
      <c r="BB2" s="27">
        <v>46088</v>
      </c>
      <c r="BC2" s="24" t="s">
        <v>695</v>
      </c>
      <c r="BD2" s="24" t="s">
        <v>967</v>
      </c>
      <c r="BE2" s="24" t="s">
        <v>967</v>
      </c>
      <c r="BF2" s="24">
        <v>0</v>
      </c>
      <c r="BG2" s="24">
        <v>0</v>
      </c>
      <c r="BH2" s="24">
        <v>0</v>
      </c>
      <c r="BI2" s="24">
        <v>0</v>
      </c>
      <c r="BJ2" s="24">
        <v>5</v>
      </c>
      <c r="BK2" s="24">
        <v>531.25</v>
      </c>
      <c r="BL2" s="24">
        <v>31159</v>
      </c>
      <c r="BM2" s="24">
        <v>0</v>
      </c>
      <c r="BN2" s="27">
        <v>46204</v>
      </c>
      <c r="BO2" s="24">
        <v>3.0979999999999999</v>
      </c>
    </row>
    <row r="3" spans="1:67" x14ac:dyDescent="0.25">
      <c r="A3" s="26"/>
      <c r="B3" s="24" t="s">
        <v>167</v>
      </c>
      <c r="C3" s="27">
        <v>46088</v>
      </c>
      <c r="D3" s="24" t="s">
        <v>957</v>
      </c>
      <c r="E3" s="24" t="s">
        <v>958</v>
      </c>
      <c r="F3" s="24" t="s">
        <v>694</v>
      </c>
      <c r="G3" s="24" t="s">
        <v>959</v>
      </c>
      <c r="H3" s="24">
        <v>7.83</v>
      </c>
      <c r="I3" s="24">
        <v>7.83</v>
      </c>
      <c r="J3" s="24" t="s">
        <v>696</v>
      </c>
      <c r="K3" s="24">
        <v>7.83</v>
      </c>
      <c r="L3" s="24">
        <v>0</v>
      </c>
      <c r="M3" s="24">
        <v>7.83</v>
      </c>
      <c r="N3" s="24" t="s">
        <v>960</v>
      </c>
      <c r="O3" s="24" t="s">
        <v>689</v>
      </c>
      <c r="P3" s="24" t="s">
        <v>689</v>
      </c>
      <c r="Q3" s="24" t="s">
        <v>692</v>
      </c>
      <c r="R3" s="27">
        <v>46029</v>
      </c>
      <c r="S3" s="24" t="s">
        <v>961</v>
      </c>
      <c r="T3" s="24" t="s">
        <v>962</v>
      </c>
      <c r="U3" s="24" t="s">
        <v>690</v>
      </c>
      <c r="V3" s="24">
        <v>2388.2503000000002</v>
      </c>
      <c r="W3" s="24">
        <v>2416.7764052787702</v>
      </c>
      <c r="X3" s="24" t="s">
        <v>692</v>
      </c>
      <c r="Y3" s="27">
        <v>46029</v>
      </c>
      <c r="Z3" s="24" t="s">
        <v>968</v>
      </c>
      <c r="AA3" s="24">
        <v>0</v>
      </c>
      <c r="AB3" s="24"/>
      <c r="AC3" s="24" t="s">
        <v>964</v>
      </c>
      <c r="AD3" s="24">
        <v>1344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 t="s">
        <v>965</v>
      </c>
      <c r="AK3" s="24">
        <v>0</v>
      </c>
      <c r="AL3" s="24">
        <v>0</v>
      </c>
      <c r="AM3" s="24">
        <v>367.5</v>
      </c>
      <c r="AN3" s="24">
        <v>0</v>
      </c>
      <c r="AO3" s="24">
        <v>0</v>
      </c>
      <c r="AP3" s="24"/>
      <c r="AQ3" s="24">
        <v>0</v>
      </c>
      <c r="AR3" s="24">
        <v>0</v>
      </c>
      <c r="AS3" s="24">
        <v>31159</v>
      </c>
      <c r="AT3" s="24" t="s">
        <v>204</v>
      </c>
      <c r="AU3" s="24" t="s">
        <v>693</v>
      </c>
      <c r="AV3" s="24"/>
      <c r="AW3" s="24" t="s">
        <v>688</v>
      </c>
      <c r="AX3" s="24" t="s">
        <v>966</v>
      </c>
      <c r="AY3" s="24">
        <v>0</v>
      </c>
      <c r="AZ3" s="24">
        <v>18923.36</v>
      </c>
      <c r="BA3" s="24">
        <v>433</v>
      </c>
      <c r="BB3" s="27">
        <v>46088</v>
      </c>
      <c r="BC3" s="24" t="s">
        <v>695</v>
      </c>
      <c r="BD3" s="24" t="s">
        <v>967</v>
      </c>
      <c r="BE3" s="24" t="s">
        <v>967</v>
      </c>
      <c r="BF3" s="24">
        <v>0</v>
      </c>
      <c r="BG3" s="24">
        <v>0</v>
      </c>
      <c r="BH3" s="24">
        <v>0</v>
      </c>
      <c r="BI3" s="24">
        <v>0</v>
      </c>
      <c r="BJ3" s="24">
        <v>5</v>
      </c>
      <c r="BK3" s="24">
        <v>935</v>
      </c>
      <c r="BL3" s="24">
        <v>0</v>
      </c>
      <c r="BM3" s="24">
        <v>0</v>
      </c>
      <c r="BN3" s="27">
        <v>46204</v>
      </c>
      <c r="BO3" s="24">
        <v>7.83</v>
      </c>
    </row>
    <row r="4" spans="1:67" x14ac:dyDescent="0.25">
      <c r="A4" s="26"/>
      <c r="B4" s="24" t="s">
        <v>167</v>
      </c>
      <c r="C4" s="27">
        <v>46302</v>
      </c>
      <c r="D4" s="24" t="s">
        <v>969</v>
      </c>
      <c r="E4" s="24" t="s">
        <v>237</v>
      </c>
      <c r="F4" s="24" t="s">
        <v>238</v>
      </c>
      <c r="G4" s="24" t="s">
        <v>970</v>
      </c>
      <c r="H4" s="24">
        <v>63.78</v>
      </c>
      <c r="I4" s="24">
        <v>63.78</v>
      </c>
      <c r="J4" s="24" t="s">
        <v>168</v>
      </c>
      <c r="K4" s="24">
        <v>63.78</v>
      </c>
      <c r="L4" s="24">
        <v>0</v>
      </c>
      <c r="M4" s="24">
        <v>63.78</v>
      </c>
      <c r="N4" s="24" t="s">
        <v>960</v>
      </c>
      <c r="O4" s="24" t="s">
        <v>758</v>
      </c>
      <c r="P4" s="24" t="s">
        <v>758</v>
      </c>
      <c r="Q4" s="24">
        <v>21</v>
      </c>
      <c r="R4" s="27">
        <v>46149</v>
      </c>
      <c r="S4" s="24" t="s">
        <v>961</v>
      </c>
      <c r="T4" s="24" t="s">
        <v>962</v>
      </c>
      <c r="U4" s="24" t="s">
        <v>759</v>
      </c>
      <c r="V4" s="24">
        <v>218.5873</v>
      </c>
      <c r="W4" s="24">
        <v>218.58745952621899</v>
      </c>
      <c r="X4" s="24">
        <v>21</v>
      </c>
      <c r="Y4" s="27">
        <v>46149</v>
      </c>
      <c r="Z4" s="24" t="s">
        <v>193</v>
      </c>
      <c r="AA4" s="24" t="s">
        <v>193</v>
      </c>
      <c r="AB4" s="24"/>
      <c r="AC4" s="24" t="s">
        <v>193</v>
      </c>
      <c r="AD4" s="24" t="s">
        <v>193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 t="s">
        <v>965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/>
      <c r="AQ4" s="24">
        <v>0</v>
      </c>
      <c r="AR4" s="24">
        <v>0</v>
      </c>
      <c r="AS4" s="24">
        <v>16450.97</v>
      </c>
      <c r="AT4" s="24" t="s">
        <v>169</v>
      </c>
      <c r="AU4" s="24" t="s">
        <v>176</v>
      </c>
      <c r="AV4" s="24" t="s">
        <v>159</v>
      </c>
      <c r="AW4" s="24" t="s">
        <v>688</v>
      </c>
      <c r="AX4" s="24" t="s">
        <v>966</v>
      </c>
      <c r="AY4" s="24">
        <v>0</v>
      </c>
      <c r="AZ4" s="24">
        <v>13941.51</v>
      </c>
      <c r="BA4" s="24">
        <v>464</v>
      </c>
      <c r="BB4" s="27">
        <v>46241</v>
      </c>
      <c r="BC4" s="24" t="s">
        <v>760</v>
      </c>
      <c r="BD4" s="24" t="s">
        <v>967</v>
      </c>
      <c r="BE4" s="24" t="s">
        <v>967</v>
      </c>
      <c r="BF4" s="24">
        <v>9</v>
      </c>
      <c r="BG4" s="24">
        <v>1254.73</v>
      </c>
      <c r="BH4" s="24">
        <v>9</v>
      </c>
      <c r="BI4" s="24">
        <v>1254.73</v>
      </c>
      <c r="BJ4" s="24">
        <v>0</v>
      </c>
      <c r="BK4" s="24">
        <v>0</v>
      </c>
      <c r="BL4" s="24">
        <v>16450.97</v>
      </c>
      <c r="BM4" s="24">
        <v>0</v>
      </c>
      <c r="BN4" s="27">
        <v>46208</v>
      </c>
      <c r="BO4" s="24">
        <v>0</v>
      </c>
    </row>
    <row r="5" spans="1:67" x14ac:dyDescent="0.25">
      <c r="A5" s="26"/>
      <c r="B5" s="24" t="s">
        <v>167</v>
      </c>
      <c r="C5" s="24" t="s">
        <v>438</v>
      </c>
      <c r="D5" s="24" t="s">
        <v>971</v>
      </c>
      <c r="E5" s="24" t="s">
        <v>237</v>
      </c>
      <c r="F5" s="24" t="s">
        <v>238</v>
      </c>
      <c r="G5" s="24" t="s">
        <v>972</v>
      </c>
      <c r="H5" s="24">
        <v>90.58</v>
      </c>
      <c r="I5" s="24">
        <v>90.58</v>
      </c>
      <c r="J5" s="24" t="s">
        <v>168</v>
      </c>
      <c r="K5" s="24">
        <v>90.58</v>
      </c>
      <c r="L5" s="24">
        <v>0</v>
      </c>
      <c r="M5" s="24">
        <v>90.58</v>
      </c>
      <c r="N5" s="24" t="s">
        <v>960</v>
      </c>
      <c r="O5" s="24" t="s">
        <v>852</v>
      </c>
      <c r="P5" s="24" t="s">
        <v>852</v>
      </c>
      <c r="Q5" s="24">
        <v>339</v>
      </c>
      <c r="R5" s="24" t="s">
        <v>424</v>
      </c>
      <c r="S5" s="24" t="s">
        <v>961</v>
      </c>
      <c r="T5" s="24" t="s">
        <v>962</v>
      </c>
      <c r="U5" s="24" t="s">
        <v>853</v>
      </c>
      <c r="V5" s="24">
        <v>447.78089999999997</v>
      </c>
      <c r="W5" s="24">
        <v>447.78282804558302</v>
      </c>
      <c r="X5" s="24">
        <v>339</v>
      </c>
      <c r="Y5" s="24" t="s">
        <v>424</v>
      </c>
      <c r="Z5" s="24" t="s">
        <v>973</v>
      </c>
      <c r="AA5" s="24">
        <v>0</v>
      </c>
      <c r="AB5" s="24"/>
      <c r="AC5" s="24" t="s">
        <v>974</v>
      </c>
      <c r="AD5" s="22">
        <v>2870443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 t="s">
        <v>965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/>
      <c r="AQ5" s="24">
        <v>0</v>
      </c>
      <c r="AR5" s="24">
        <v>0</v>
      </c>
      <c r="AS5" s="24">
        <v>47861</v>
      </c>
      <c r="AT5" s="24" t="s">
        <v>169</v>
      </c>
      <c r="AU5" s="24" t="s">
        <v>176</v>
      </c>
      <c r="AV5" s="24" t="s">
        <v>159</v>
      </c>
      <c r="AW5" s="24" t="s">
        <v>688</v>
      </c>
      <c r="AX5" s="24" t="s">
        <v>966</v>
      </c>
      <c r="AY5" s="24">
        <v>0</v>
      </c>
      <c r="AZ5" s="24">
        <v>40560.17</v>
      </c>
      <c r="BA5" s="24">
        <v>503</v>
      </c>
      <c r="BB5" s="24" t="s">
        <v>438</v>
      </c>
      <c r="BC5" s="24" t="s">
        <v>854</v>
      </c>
      <c r="BD5" s="24" t="s">
        <v>967</v>
      </c>
      <c r="BE5" s="24" t="s">
        <v>967</v>
      </c>
      <c r="BF5" s="24">
        <v>9</v>
      </c>
      <c r="BG5" s="24">
        <v>3650.4</v>
      </c>
      <c r="BH5" s="24">
        <v>9</v>
      </c>
      <c r="BI5" s="24">
        <v>3650.4</v>
      </c>
      <c r="BJ5" s="24">
        <v>0</v>
      </c>
      <c r="BK5" s="24">
        <v>0</v>
      </c>
      <c r="BL5" s="24">
        <v>47861</v>
      </c>
      <c r="BM5" s="24">
        <v>0</v>
      </c>
      <c r="BN5" s="27">
        <v>46219</v>
      </c>
      <c r="BO5" s="24">
        <v>90.58</v>
      </c>
    </row>
    <row r="6" spans="1:67" x14ac:dyDescent="0.25">
      <c r="A6" s="26"/>
      <c r="B6" s="24" t="s">
        <v>167</v>
      </c>
      <c r="C6" s="24" t="s">
        <v>544</v>
      </c>
      <c r="D6" s="24" t="s">
        <v>975</v>
      </c>
      <c r="E6" s="24" t="s">
        <v>237</v>
      </c>
      <c r="F6" s="24" t="s">
        <v>238</v>
      </c>
      <c r="G6" s="24" t="s">
        <v>976</v>
      </c>
      <c r="H6" s="24">
        <v>1.83</v>
      </c>
      <c r="I6" s="24">
        <v>1.83</v>
      </c>
      <c r="J6" s="24" t="s">
        <v>168</v>
      </c>
      <c r="K6" s="24">
        <v>1.83</v>
      </c>
      <c r="L6" s="24">
        <v>0</v>
      </c>
      <c r="M6" s="24">
        <v>1.83</v>
      </c>
      <c r="N6" s="24" t="s">
        <v>960</v>
      </c>
      <c r="O6" s="24" t="s">
        <v>852</v>
      </c>
      <c r="P6" s="24" t="s">
        <v>852</v>
      </c>
      <c r="Q6" s="24">
        <v>379</v>
      </c>
      <c r="R6" s="24" t="s">
        <v>495</v>
      </c>
      <c r="S6" s="24" t="s">
        <v>961</v>
      </c>
      <c r="T6" s="24" t="s">
        <v>962</v>
      </c>
      <c r="U6" s="24" t="s">
        <v>932</v>
      </c>
      <c r="V6" s="24">
        <v>983.60649999999998</v>
      </c>
      <c r="W6" s="24">
        <v>983.60654862461797</v>
      </c>
      <c r="X6" s="24">
        <v>379</v>
      </c>
      <c r="Y6" s="24" t="s">
        <v>495</v>
      </c>
      <c r="Z6" s="24" t="s">
        <v>977</v>
      </c>
      <c r="AA6" s="24">
        <v>0</v>
      </c>
      <c r="AB6" s="24"/>
      <c r="AC6" s="24" t="s">
        <v>978</v>
      </c>
      <c r="AD6" s="24">
        <v>1478759472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 t="s">
        <v>965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/>
      <c r="AQ6" s="24">
        <v>0</v>
      </c>
      <c r="AR6" s="24">
        <v>0</v>
      </c>
      <c r="AS6" s="24">
        <v>2124</v>
      </c>
      <c r="AT6" s="24" t="s">
        <v>169</v>
      </c>
      <c r="AU6" s="24" t="s">
        <v>176</v>
      </c>
      <c r="AV6" s="24" t="s">
        <v>159</v>
      </c>
      <c r="AW6" s="24" t="s">
        <v>661</v>
      </c>
      <c r="AX6" s="24" t="s">
        <v>966</v>
      </c>
      <c r="AY6" s="24">
        <v>0</v>
      </c>
      <c r="AZ6" s="24">
        <v>1800</v>
      </c>
      <c r="BA6" s="24">
        <v>547</v>
      </c>
      <c r="BB6" s="24" t="s">
        <v>537</v>
      </c>
      <c r="BC6" s="24" t="s">
        <v>854</v>
      </c>
      <c r="BD6" s="24" t="s">
        <v>967</v>
      </c>
      <c r="BE6" s="24" t="s">
        <v>967</v>
      </c>
      <c r="BF6" s="24">
        <v>9</v>
      </c>
      <c r="BG6" s="24">
        <v>162</v>
      </c>
      <c r="BH6" s="24">
        <v>9</v>
      </c>
      <c r="BI6" s="24">
        <v>162</v>
      </c>
      <c r="BJ6" s="24">
        <v>0</v>
      </c>
      <c r="BK6" s="24">
        <v>0</v>
      </c>
      <c r="BL6" s="24">
        <v>2124</v>
      </c>
      <c r="BM6" s="24">
        <v>0</v>
      </c>
      <c r="BN6" s="27">
        <v>46226</v>
      </c>
      <c r="BO6" s="24">
        <v>1.83</v>
      </c>
    </row>
    <row r="7" spans="1:67" x14ac:dyDescent="0.25">
      <c r="A7" s="26"/>
      <c r="B7" s="24" t="s">
        <v>167</v>
      </c>
      <c r="C7" s="24" t="s">
        <v>544</v>
      </c>
      <c r="D7" s="24" t="s">
        <v>979</v>
      </c>
      <c r="E7" s="24" t="s">
        <v>237</v>
      </c>
      <c r="F7" s="24" t="s">
        <v>238</v>
      </c>
      <c r="G7" s="24" t="s">
        <v>980</v>
      </c>
      <c r="H7" s="24">
        <v>50.735999999999997</v>
      </c>
      <c r="I7" s="24">
        <v>50.735999999999997</v>
      </c>
      <c r="J7" s="24" t="s">
        <v>168</v>
      </c>
      <c r="K7" s="24">
        <v>50.735999999999997</v>
      </c>
      <c r="L7" s="24">
        <v>0</v>
      </c>
      <c r="M7" s="24">
        <v>50.735999999999997</v>
      </c>
      <c r="N7" s="24" t="s">
        <v>960</v>
      </c>
      <c r="O7" s="24" t="s">
        <v>852</v>
      </c>
      <c r="P7" s="24" t="s">
        <v>852</v>
      </c>
      <c r="Q7" s="24">
        <v>383</v>
      </c>
      <c r="R7" s="24" t="s">
        <v>519</v>
      </c>
      <c r="S7" s="24" t="s">
        <v>961</v>
      </c>
      <c r="T7" s="24" t="s">
        <v>962</v>
      </c>
      <c r="U7" s="24" t="s">
        <v>933</v>
      </c>
      <c r="V7" s="24">
        <v>325.23250000000002</v>
      </c>
      <c r="W7" s="24">
        <v>325.22955821838701</v>
      </c>
      <c r="X7" s="24">
        <v>383</v>
      </c>
      <c r="Y7" s="24" t="s">
        <v>519</v>
      </c>
      <c r="Z7" s="24" t="s">
        <v>981</v>
      </c>
      <c r="AA7" s="24">
        <v>0</v>
      </c>
      <c r="AB7" s="24"/>
      <c r="AC7" s="24" t="s">
        <v>982</v>
      </c>
      <c r="AD7" s="24" t="s">
        <v>983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 t="s">
        <v>965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/>
      <c r="AQ7" s="24">
        <v>0</v>
      </c>
      <c r="AR7" s="24">
        <v>0</v>
      </c>
      <c r="AS7" s="24">
        <v>19471</v>
      </c>
      <c r="AT7" s="24" t="s">
        <v>169</v>
      </c>
      <c r="AU7" s="24" t="s">
        <v>176</v>
      </c>
      <c r="AV7" s="24" t="s">
        <v>159</v>
      </c>
      <c r="AW7" s="24" t="s">
        <v>688</v>
      </c>
      <c r="AX7" s="24" t="s">
        <v>966</v>
      </c>
      <c r="AY7" s="24">
        <v>0</v>
      </c>
      <c r="AZ7" s="24">
        <v>16500.849999999999</v>
      </c>
      <c r="BA7" s="24">
        <v>549</v>
      </c>
      <c r="BB7" s="24" t="s">
        <v>537</v>
      </c>
      <c r="BC7" s="24" t="s">
        <v>854</v>
      </c>
      <c r="BD7" s="24" t="s">
        <v>967</v>
      </c>
      <c r="BE7" s="24" t="s">
        <v>967</v>
      </c>
      <c r="BF7" s="24">
        <v>9</v>
      </c>
      <c r="BG7" s="24">
        <v>1485.09</v>
      </c>
      <c r="BH7" s="24">
        <v>9</v>
      </c>
      <c r="BI7" s="24">
        <v>1485.09</v>
      </c>
      <c r="BJ7" s="24">
        <v>0</v>
      </c>
      <c r="BK7" s="24">
        <v>0</v>
      </c>
      <c r="BL7" s="24">
        <v>19471</v>
      </c>
      <c r="BM7" s="24">
        <v>0</v>
      </c>
      <c r="BN7" s="27">
        <v>46228</v>
      </c>
      <c r="BO7" s="24">
        <v>50.735999999999997</v>
      </c>
    </row>
    <row r="8" spans="1:67" x14ac:dyDescent="0.25">
      <c r="M8" s="14">
        <f>SUM(M2:M7)</f>
        <v>217.85400000000001</v>
      </c>
      <c r="N8" s="2"/>
      <c r="T8"/>
      <c r="U8"/>
    </row>
    <row r="9" spans="1:67" x14ac:dyDescent="0.25">
      <c r="M9" s="2"/>
      <c r="N9" s="2"/>
      <c r="T9"/>
      <c r="U9"/>
    </row>
    <row r="10" spans="1:67" x14ac:dyDescent="0.25">
      <c r="N10" s="2"/>
      <c r="U10"/>
    </row>
    <row r="11" spans="1:67" x14ac:dyDescent="0.25">
      <c r="N11" s="2"/>
      <c r="U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 Reco</vt:lpstr>
      <vt:lpstr>Purch Reco</vt:lpstr>
      <vt:lpstr>Sale-Account</vt:lpstr>
      <vt:lpstr>Dispatch-GST Report</vt:lpstr>
      <vt:lpstr>Purch-Account</vt:lpstr>
      <vt:lpstr>RM Report-Store</vt:lpstr>
      <vt:lpstr>PE Labels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2026-08-05T08:17:56Z</dcterms:modified>
</cp:coreProperties>
</file>