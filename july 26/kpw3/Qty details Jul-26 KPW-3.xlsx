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ul 2026\KPW-3\"/>
    </mc:Choice>
  </mc:AlternateContent>
  <bookViews>
    <workbookView xWindow="0" yWindow="0" windowWidth="20490" windowHeight="7760" activeTab="9"/>
  </bookViews>
  <sheets>
    <sheet name="Sep-25" sheetId="1" r:id="rId1"/>
    <sheet name="Oct-25" sheetId="2" r:id="rId2"/>
    <sheet name="Nov-25" sheetId="3" r:id="rId3"/>
    <sheet name="Dec-25" sheetId="4" r:id="rId4"/>
    <sheet name="Jan-26" sheetId="5" r:id="rId5"/>
    <sheet name="Feb-26" sheetId="6" r:id="rId6"/>
    <sheet name="Mar-26" sheetId="7" r:id="rId7"/>
    <sheet name="May-26" sheetId="8" r:id="rId8"/>
    <sheet name="Jun-26" sheetId="9" r:id="rId9"/>
    <sheet name="Jul-26" sheetId="10" r:id="rId10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0" l="1"/>
  <c r="D5" i="10"/>
  <c r="C5" i="10"/>
  <c r="C5" i="9" l="1"/>
  <c r="D5" i="9"/>
  <c r="D9" i="9"/>
  <c r="B15" i="9"/>
  <c r="B13" i="9"/>
  <c r="C15" i="8" l="1"/>
  <c r="D9" i="8"/>
  <c r="D5" i="8"/>
  <c r="C5" i="8"/>
  <c r="D5" i="7" l="1"/>
  <c r="C5" i="7"/>
  <c r="D9" i="7"/>
  <c r="B15" i="7"/>
  <c r="B15" i="6" l="1"/>
  <c r="B15" i="5" l="1"/>
  <c r="D9" i="5"/>
  <c r="D5" i="5"/>
  <c r="C5" i="5"/>
  <c r="C5" i="4" l="1"/>
  <c r="D5" i="4"/>
  <c r="D9" i="4"/>
  <c r="B13" i="4"/>
  <c r="B15" i="4"/>
  <c r="C5" i="3" l="1"/>
  <c r="D5" i="3"/>
  <c r="D9" i="3"/>
  <c r="B13" i="3"/>
  <c r="B15" i="3"/>
  <c r="C5" i="2" l="1"/>
  <c r="D5" i="2"/>
  <c r="D9" i="2"/>
  <c r="B13" i="2"/>
  <c r="B14" i="2"/>
  <c r="B15" i="2"/>
  <c r="C5" i="1" l="1"/>
  <c r="D5" i="1"/>
  <c r="D9" i="1"/>
</calcChain>
</file>

<file path=xl/sharedStrings.xml><?xml version="1.0" encoding="utf-8"?>
<sst xmlns="http://schemas.openxmlformats.org/spreadsheetml/2006/main" count="210" uniqueCount="17">
  <si>
    <t>PARTICULARS</t>
  </si>
  <si>
    <t>BUDGETED / PLANNED</t>
  </si>
  <si>
    <t>FIBC</t>
  </si>
  <si>
    <t>Fabric (Liner Mtr)</t>
  </si>
  <si>
    <t>DISPATCH</t>
  </si>
  <si>
    <t>Fabric</t>
  </si>
  <si>
    <t>PURCHASE</t>
  </si>
  <si>
    <t>PP Granules</t>
  </si>
  <si>
    <t>Sale</t>
  </si>
  <si>
    <t>Avg Sales price</t>
  </si>
  <si>
    <t>Production</t>
  </si>
  <si>
    <t>in Mt</t>
  </si>
  <si>
    <t>In Rs</t>
  </si>
  <si>
    <t>FIBC (JOB)</t>
  </si>
  <si>
    <t>Avg Purc price</t>
  </si>
  <si>
    <t>FIBC (Purchase)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</si>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</sst>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* #,##0.00_ ;_ * \-#,##0.00_ ;_ * &quot;-&quot;??_ ;_ @_ "/>
    <numFmt numFmtId="165" formatCode="_-* #,##0.00_-;\-* #,##0.00_-;_-* &quot;-&quot;??_-;_-@_-"/>
    <numFmt numFmtId="166" formatCode="mmmm\-yyyy"/>
    <numFmt numFmtId="167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3" fillId="2" borderId="0" xfId="0" applyFont="1" applyFill="1" applyBorder="1"/>
    <xf numFmtId="0" fontId="0" fillId="0" borderId="0" xfId="0" applyBorder="1"/>
    <xf numFmtId="0" fontId="3" fillId="2" borderId="2" xfId="0" applyFont="1" applyFill="1" applyBorder="1"/>
    <xf numFmtId="2" fontId="3" fillId="2" borderId="2" xfId="1" applyNumberFormat="1" applyFont="1" applyFill="1" applyBorder="1" applyAlignment="1">
      <alignment horizontal="center" wrapText="1"/>
    </xf>
    <xf numFmtId="10" fontId="3" fillId="2" borderId="2" xfId="0" applyNumberFormat="1" applyFont="1" applyFill="1" applyBorder="1"/>
    <xf numFmtId="0" fontId="0" fillId="0" borderId="2" xfId="0" applyBorder="1"/>
    <xf numFmtId="167" fontId="3" fillId="2" borderId="2" xfId="1" applyNumberFormat="1" applyFont="1" applyFill="1" applyBorder="1"/>
    <xf numFmtId="0" fontId="4" fillId="2" borderId="2" xfId="0" applyFont="1" applyFill="1" applyBorder="1"/>
    <xf numFmtId="0" fontId="4" fillId="0" borderId="2" xfId="0" applyFont="1" applyBorder="1"/>
    <xf numFmtId="2" fontId="3" fillId="0" borderId="2" xfId="2" applyNumberFormat="1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3" fillId="3" borderId="2" xfId="0" applyFont="1" applyFill="1" applyBorder="1" applyAlignment="1">
      <alignment wrapText="1"/>
    </xf>
    <xf numFmtId="10" fontId="3" fillId="3" borderId="2" xfId="0" applyNumberFormat="1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3" fillId="0" borderId="2" xfId="0" applyFont="1" applyBorder="1"/>
    <xf numFmtId="2" fontId="0" fillId="0" borderId="0" xfId="0" applyNumberFormat="1" applyBorder="1"/>
    <xf numFmtId="2" fontId="2" fillId="0" borderId="2" xfId="0" applyNumberFormat="1" applyFont="1" applyBorder="1"/>
    <xf numFmtId="0" fontId="2" fillId="0" borderId="2" xfId="0" applyFont="1" applyBorder="1"/>
    <xf numFmtId="164" fontId="2" fillId="0" borderId="2" xfId="0" applyNumberFormat="1" applyFont="1" applyBorder="1"/>
    <xf numFmtId="166" fontId="3" fillId="4" borderId="1" xfId="0" applyNumberFormat="1" applyFont="1" applyFill="1" applyBorder="1" applyAlignment="1">
      <alignment horizontal="center" wrapText="1"/>
    </xf>
  </cellXfs>
  <cellStyles count="3">
    <cellStyle name="Comma" xfId="1" builtinId="3"/>
    <cellStyle name="Comma 8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workbookViewId="0">
      <selection sqref="A1:E15"/>
    </sheetView>
  </sheetViews>
  <sheetFormatPr defaultColWidth="8.7265625" defaultRowHeight="14.5" x14ac:dyDescent="0.35"/>
  <cols>
    <col min="1" max="1" width="23.81640625" style="2" bestFit="1" customWidth="1"/>
    <col min="2" max="2" width="11.453125" style="2" customWidth="1"/>
    <col min="3" max="3" width="14.1796875" style="2" bestFit="1" customWidth="1"/>
    <col min="4" max="4" width="13.7265625" style="2" bestFit="1" customWidth="1"/>
    <col min="5" max="5" width="9.26953125" style="2" bestFit="1" customWidth="1"/>
    <col min="6" max="16384" width="8.7265625" style="2"/>
  </cols>
  <sheetData>
    <row r="1" spans="1:6" x14ac:dyDescent="0.35">
      <c r="A1" s="1" t="s">
        <v>0</v>
      </c>
      <c r="B1" s="1"/>
      <c r="C1" s="21">
        <v>45901</v>
      </c>
      <c r="D1" s="21"/>
      <c r="E1" s="21"/>
    </row>
    <row r="2" spans="1:6" x14ac:dyDescent="0.35">
      <c r="A2" s="3" t="s">
        <v>1</v>
      </c>
      <c r="B2" s="3"/>
      <c r="C2" s="4"/>
      <c r="D2" s="5"/>
      <c r="E2" s="6"/>
    </row>
    <row r="3" spans="1:6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6" s="15" customFormat="1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6" x14ac:dyDescent="0.35">
      <c r="A5" s="8" t="s">
        <v>13</v>
      </c>
      <c r="B5" s="10"/>
      <c r="C5" s="10">
        <f>278533.8/1000</f>
        <v>278.53379999999999</v>
      </c>
      <c r="D5" s="10">
        <f>227030.7/1000</f>
        <v>227.03070000000002</v>
      </c>
      <c r="E5" s="18">
        <v>212.72466521047593</v>
      </c>
      <c r="F5" s="17"/>
    </row>
    <row r="6" spans="1:6" x14ac:dyDescent="0.35">
      <c r="A6" s="8" t="s">
        <v>3</v>
      </c>
      <c r="B6" s="10"/>
      <c r="C6" s="10"/>
      <c r="D6" s="10"/>
      <c r="E6" s="19"/>
    </row>
    <row r="7" spans="1:6" x14ac:dyDescent="0.35">
      <c r="A7" s="8"/>
      <c r="B7" s="10"/>
      <c r="C7" s="10"/>
      <c r="D7" s="10"/>
      <c r="E7" s="19"/>
    </row>
    <row r="8" spans="1:6" x14ac:dyDescent="0.35">
      <c r="A8" s="3" t="s">
        <v>4</v>
      </c>
      <c r="B8" s="10"/>
      <c r="C8" s="10"/>
      <c r="D8" s="10"/>
      <c r="E8" s="20"/>
    </row>
    <row r="9" spans="1:6" x14ac:dyDescent="0.35">
      <c r="A9" s="9" t="s">
        <v>15</v>
      </c>
      <c r="B9" s="10"/>
      <c r="C9" s="10"/>
      <c r="D9" s="10">
        <f>301584.6/1000</f>
        <v>301.58459999999997</v>
      </c>
      <c r="E9" s="20">
        <v>195.27</v>
      </c>
    </row>
    <row r="10" spans="1:6" x14ac:dyDescent="0.35">
      <c r="A10" s="9" t="s">
        <v>5</v>
      </c>
      <c r="B10" s="10"/>
      <c r="C10" s="10"/>
      <c r="D10" s="10"/>
      <c r="E10" s="20"/>
    </row>
    <row r="11" spans="1:6" x14ac:dyDescent="0.35">
      <c r="A11" s="9" t="s">
        <v>7</v>
      </c>
      <c r="B11" s="10"/>
      <c r="C11" s="10"/>
      <c r="D11" s="10">
        <v>28</v>
      </c>
      <c r="E11" s="20">
        <v>82.9</v>
      </c>
    </row>
    <row r="12" spans="1:6" ht="29" x14ac:dyDescent="0.35">
      <c r="A12" s="16" t="s">
        <v>6</v>
      </c>
      <c r="B12" s="10"/>
      <c r="C12" s="10"/>
      <c r="D12" s="10"/>
      <c r="E12" s="14" t="s">
        <v>14</v>
      </c>
    </row>
    <row r="13" spans="1:6" x14ac:dyDescent="0.35">
      <c r="A13" s="9" t="s">
        <v>5</v>
      </c>
      <c r="B13" s="10">
        <v>122.953</v>
      </c>
      <c r="C13" s="10"/>
      <c r="D13" s="10"/>
      <c r="E13" s="20">
        <v>108.93176051395125</v>
      </c>
    </row>
    <row r="14" spans="1:6" x14ac:dyDescent="0.35">
      <c r="A14" s="9" t="s">
        <v>7</v>
      </c>
      <c r="B14" s="10">
        <v>252</v>
      </c>
      <c r="C14" s="10"/>
      <c r="D14" s="10"/>
      <c r="E14" s="20">
        <v>81.81</v>
      </c>
    </row>
    <row r="15" spans="1:6" x14ac:dyDescent="0.35">
      <c r="A15" s="9" t="s">
        <v>2</v>
      </c>
      <c r="B15" s="10">
        <v>301.82799999999997</v>
      </c>
      <c r="C15" s="10"/>
      <c r="D15" s="10"/>
      <c r="E15" s="20">
        <v>181.20197664968464</v>
      </c>
    </row>
  </sheetData>
  <mergeCells count="1">
    <mergeCell ref="C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12.90625" customWidth="1"/>
    <col min="3" max="3" width="11.453125" customWidth="1"/>
    <col min="4" max="4" width="9" customWidth="1"/>
    <col min="5" max="5" width="10.26953125" customWidth="1"/>
  </cols>
  <sheetData>
    <row r="1" spans="1:5" x14ac:dyDescent="0.35">
      <c r="A1" s="1" t="s">
        <v>0</v>
      </c>
      <c r="B1" s="1"/>
      <c r="C1" s="21">
        <v>45931</v>
      </c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f>333746.9/1000</f>
        <v>333.74690000000004</v>
      </c>
      <c r="D5" s="10">
        <f>287555.3/1000</f>
        <v>287.55529999999999</v>
      </c>
      <c r="E5" s="18">
        <v>208.93680366872039</v>
      </c>
    </row>
    <row r="6" spans="1:5" x14ac:dyDescent="0.35">
      <c r="A6" s="8" t="s">
        <v>3</v>
      </c>
      <c r="B6" s="10"/>
      <c r="C6" s="10"/>
      <c r="D6" s="10"/>
      <c r="E6" s="19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B9" s="10"/>
      <c r="C9" s="10"/>
      <c r="D9" s="10">
        <f>218070.7/1000</f>
        <v>218.07070000000002</v>
      </c>
      <c r="E9" s="20">
        <v>207.58430376020252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>
        <f>127116.4/1000</f>
        <v>127.1164</v>
      </c>
      <c r="C13" s="10"/>
      <c r="D13" s="10"/>
      <c r="E13" s="20">
        <v>107.27248734230989</v>
      </c>
    </row>
    <row r="14" spans="1:5" x14ac:dyDescent="0.35">
      <c r="A14" s="9" t="s">
        <v>7</v>
      </c>
      <c r="B14" s="10">
        <f>247500/1000</f>
        <v>247.5</v>
      </c>
      <c r="C14" s="10"/>
      <c r="D14" s="10"/>
      <c r="E14" s="20">
        <v>76.75</v>
      </c>
    </row>
    <row r="15" spans="1:5" x14ac:dyDescent="0.35">
      <c r="A15" s="9" t="s">
        <v>2</v>
      </c>
      <c r="B15" s="10">
        <f>189525.9/1000</f>
        <v>189.52590000000001</v>
      </c>
      <c r="C15" s="10"/>
      <c r="D15" s="10"/>
      <c r="E15" s="20">
        <v>188.42958851534269</v>
      </c>
    </row>
  </sheetData>
  <mergeCells count="1">
    <mergeCell ref="C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10.08984375" customWidth="1"/>
    <col min="3" max="3" width="11.6328125" customWidth="1"/>
    <col min="4" max="4" width="8.90625" customWidth="1"/>
    <col min="5" max="5" width="8.81640625" customWidth="1"/>
  </cols>
  <sheetData>
    <row r="1" spans="1:5" x14ac:dyDescent="0.35">
      <c r="A1" s="1" t="s">
        <v>0</v>
      </c>
      <c r="B1" s="21">
        <v>45962</v>
      </c>
      <c r="C1" s="21"/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f>227146.9/1000</f>
        <v>227.14689999999999</v>
      </c>
      <c r="D5" s="10">
        <f>222675.2/1000</f>
        <v>222.67520000000002</v>
      </c>
      <c r="E5" s="18">
        <v>191.14347529495876</v>
      </c>
    </row>
    <row r="6" spans="1:5" x14ac:dyDescent="0.35">
      <c r="A6" s="8" t="s">
        <v>3</v>
      </c>
      <c r="B6" s="10"/>
      <c r="C6" s="10"/>
      <c r="D6" s="10"/>
      <c r="E6" s="19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B9" s="10"/>
      <c r="C9" s="10"/>
      <c r="D9" s="10">
        <f>147773.4/1000</f>
        <v>147.77339999999998</v>
      </c>
      <c r="E9" s="20">
        <v>198.26404116031711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>
        <f>91556.2/1000</f>
        <v>91.556200000000004</v>
      </c>
      <c r="C13" s="10"/>
      <c r="D13" s="10"/>
      <c r="E13" s="20">
        <v>105.25982183620552</v>
      </c>
    </row>
    <row r="14" spans="1:5" x14ac:dyDescent="0.35">
      <c r="A14" s="9" t="s">
        <v>7</v>
      </c>
      <c r="B14" s="10"/>
      <c r="C14" s="10"/>
      <c r="D14" s="10"/>
      <c r="E14" s="20"/>
    </row>
    <row r="15" spans="1:5" x14ac:dyDescent="0.35">
      <c r="A15" s="9" t="s">
        <v>2</v>
      </c>
      <c r="B15" s="10">
        <f>142628.3/1000</f>
        <v>142.6283</v>
      </c>
      <c r="C15" s="10"/>
      <c r="D15" s="10"/>
      <c r="E15" s="20">
        <v>183.83711998249998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6"/>
    </sheetView>
  </sheetViews>
  <sheetFormatPr defaultRowHeight="14.5" x14ac:dyDescent="0.35"/>
  <cols>
    <col min="1" max="1" width="23.81640625" bestFit="1" customWidth="1"/>
    <col min="2" max="2" width="8.54296875" bestFit="1" customWidth="1"/>
    <col min="3" max="3" width="8.26953125" bestFit="1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21">
        <v>45992</v>
      </c>
      <c r="C1" s="21"/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f>289120.9/1000</f>
        <v>289.12090000000001</v>
      </c>
      <c r="D5" s="10">
        <f>212447.9/1000</f>
        <v>212.4479</v>
      </c>
      <c r="E5" s="18">
        <v>195.57999678980119</v>
      </c>
    </row>
    <row r="6" spans="1:5" x14ac:dyDescent="0.35">
      <c r="A6" s="8" t="s">
        <v>3</v>
      </c>
      <c r="B6" s="10"/>
      <c r="C6" s="10"/>
      <c r="D6" s="10"/>
      <c r="E6" s="19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B9" s="10"/>
      <c r="C9" s="10"/>
      <c r="D9" s="10">
        <f>190498.3/1000</f>
        <v>190.4983</v>
      </c>
      <c r="E9" s="20">
        <v>192.0623760422009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>
        <f>94529.7/1000</f>
        <v>94.529699999999991</v>
      </c>
      <c r="C13" s="10"/>
      <c r="D13" s="10"/>
      <c r="E13" s="20">
        <v>105.3091544773759</v>
      </c>
    </row>
    <row r="14" spans="1:5" x14ac:dyDescent="0.35">
      <c r="A14" s="9" t="s">
        <v>7</v>
      </c>
      <c r="B14" s="10"/>
      <c r="C14" s="10"/>
      <c r="D14" s="10"/>
      <c r="E14" s="20"/>
    </row>
    <row r="15" spans="1:5" x14ac:dyDescent="0.35">
      <c r="A15" s="9" t="s">
        <v>2</v>
      </c>
      <c r="B15" s="10">
        <f>244811.8/1000</f>
        <v>244.81179999999998</v>
      </c>
      <c r="C15" s="10"/>
      <c r="D15" s="10"/>
      <c r="E15" s="20">
        <v>187.70561537474913</v>
      </c>
    </row>
  </sheetData>
  <mergeCells count="1"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4" width="11.08984375" bestFit="1" customWidth="1"/>
    <col min="5" max="5" width="8.453125" bestFit="1" customWidth="1"/>
  </cols>
  <sheetData>
    <row r="1" spans="1:5" x14ac:dyDescent="0.35">
      <c r="A1" s="1" t="s">
        <v>0</v>
      </c>
      <c r="B1" s="21">
        <v>46023</v>
      </c>
      <c r="C1" s="21"/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f>282647/1000</f>
        <v>282.64699999999999</v>
      </c>
      <c r="D5" s="10">
        <f>380489.5/1000</f>
        <v>380.48950000000002</v>
      </c>
      <c r="E5" s="18">
        <v>198.14</v>
      </c>
    </row>
    <row r="6" spans="1:5" x14ac:dyDescent="0.35">
      <c r="A6" s="8" t="s">
        <v>3</v>
      </c>
      <c r="B6" s="10"/>
      <c r="C6" s="10"/>
      <c r="D6" s="10"/>
      <c r="E6" s="19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B9" s="10"/>
      <c r="C9" s="10"/>
      <c r="D9" s="10">
        <f>204453/1000</f>
        <v>204.453</v>
      </c>
      <c r="E9" s="20">
        <v>192.58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>
        <v>85.74</v>
      </c>
      <c r="C13" s="10"/>
      <c r="D13" s="10"/>
      <c r="E13" s="20">
        <v>112</v>
      </c>
    </row>
    <row r="14" spans="1:5" x14ac:dyDescent="0.35">
      <c r="A14" s="9" t="s">
        <v>7</v>
      </c>
      <c r="B14" s="10"/>
      <c r="C14" s="10"/>
      <c r="D14" s="10"/>
      <c r="E14" s="20"/>
    </row>
    <row r="15" spans="1:5" x14ac:dyDescent="0.35">
      <c r="A15" s="9" t="s">
        <v>2</v>
      </c>
      <c r="B15" s="10">
        <f>214953.4/1000</f>
        <v>214.95339999999999</v>
      </c>
      <c r="C15" s="10"/>
      <c r="D15" s="10"/>
      <c r="E15" s="20">
        <v>186.33</v>
      </c>
    </row>
  </sheetData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F16"/>
    </sheetView>
  </sheetViews>
  <sheetFormatPr defaultRowHeight="14.5" x14ac:dyDescent="0.35"/>
  <cols>
    <col min="1" max="1" width="23.81640625" bestFit="1" customWidth="1"/>
    <col min="2" max="2" width="8.54296875" bestFit="1" customWidth="1"/>
    <col min="3" max="3" width="8.26953125" bestFit="1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21">
        <v>46054</v>
      </c>
      <c r="C1" s="21"/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v>224.54</v>
      </c>
      <c r="D5" s="10">
        <v>204.68</v>
      </c>
      <c r="E5" s="18">
        <v>200.02825036829776</v>
      </c>
    </row>
    <row r="6" spans="1:5" x14ac:dyDescent="0.35">
      <c r="A6" s="8" t="s">
        <v>3</v>
      </c>
      <c r="B6" s="10"/>
      <c r="C6" s="10"/>
      <c r="D6" s="10"/>
      <c r="E6" s="19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B9" s="10"/>
      <c r="C9" s="10"/>
      <c r="D9" s="10">
        <v>168.54</v>
      </c>
      <c r="E9" s="20">
        <v>185.1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>
        <v>97.18</v>
      </c>
      <c r="C13" s="10"/>
      <c r="D13" s="10"/>
      <c r="E13" s="20">
        <v>104</v>
      </c>
    </row>
    <row r="14" spans="1:5" x14ac:dyDescent="0.35">
      <c r="A14" s="9" t="s">
        <v>7</v>
      </c>
      <c r="B14" s="10"/>
      <c r="C14" s="10"/>
      <c r="D14" s="10"/>
      <c r="E14" s="20"/>
    </row>
    <row r="15" spans="1:5" x14ac:dyDescent="0.35">
      <c r="A15" s="9" t="s">
        <v>2</v>
      </c>
      <c r="B15" s="10">
        <f>153888.7/1000</f>
        <v>153.8887</v>
      </c>
      <c r="C15" s="10"/>
      <c r="D15" s="10"/>
      <c r="E15" s="20">
        <v>185.79693395291537</v>
      </c>
    </row>
  </sheetData>
  <mergeCells count="1"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11.08984375" bestFit="1" customWidth="1"/>
    <col min="3" max="3" width="8.26953125" bestFit="1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21">
        <v>46082</v>
      </c>
      <c r="C1" s="21"/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f>222248.7/1000</f>
        <v>222.24870000000001</v>
      </c>
      <c r="D5" s="10">
        <f>230874.9/1000</f>
        <v>230.8749</v>
      </c>
      <c r="E5" s="18">
        <v>238.95</v>
      </c>
    </row>
    <row r="6" spans="1:5" x14ac:dyDescent="0.35">
      <c r="A6" s="8" t="s">
        <v>3</v>
      </c>
      <c r="B6" s="10"/>
      <c r="C6" s="20"/>
      <c r="D6" s="20"/>
      <c r="E6" s="20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B9" s="10"/>
      <c r="C9" s="10"/>
      <c r="D9" s="20">
        <f>145382.9/1000</f>
        <v>145.38290000000001</v>
      </c>
      <c r="E9" s="20">
        <v>207.43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>
        <v>47.22</v>
      </c>
      <c r="C13" s="10"/>
      <c r="D13" s="10"/>
      <c r="E13" s="20">
        <v>163.18</v>
      </c>
    </row>
    <row r="14" spans="1:5" x14ac:dyDescent="0.35">
      <c r="A14" s="9" t="s">
        <v>7</v>
      </c>
      <c r="B14" s="10">
        <v>196</v>
      </c>
      <c r="C14" s="10"/>
      <c r="D14" s="10"/>
      <c r="E14" s="20">
        <v>75.84</v>
      </c>
    </row>
    <row r="15" spans="1:5" x14ac:dyDescent="0.35">
      <c r="A15" s="9" t="s">
        <v>2</v>
      </c>
      <c r="B15" s="10">
        <f>161365.9/1000</f>
        <v>161.36589999999998</v>
      </c>
      <c r="C15" s="10"/>
      <c r="D15" s="10"/>
      <c r="E15" s="20">
        <v>205.35</v>
      </c>
    </row>
  </sheetData>
  <mergeCells count="1">
    <mergeCell ref="B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8.54296875" bestFit="1" customWidth="1"/>
    <col min="3" max="3" width="8.26953125" bestFit="1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21">
        <v>46143</v>
      </c>
      <c r="C1" s="21"/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f>232713/1000</f>
        <v>232.71299999999999</v>
      </c>
      <c r="D5" s="10">
        <f>196709.2/1000</f>
        <v>196.70920000000001</v>
      </c>
      <c r="E5" s="18">
        <v>276.98718311090687</v>
      </c>
    </row>
    <row r="6" spans="1:5" x14ac:dyDescent="0.35">
      <c r="A6" s="8" t="s">
        <v>3</v>
      </c>
      <c r="B6" s="10"/>
      <c r="C6" s="20"/>
      <c r="D6" s="20"/>
      <c r="E6" s="20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B9" s="10"/>
      <c r="C9" s="10"/>
      <c r="D9" s="20">
        <f>171345.4/1000</f>
        <v>171.34539999999998</v>
      </c>
      <c r="E9" s="20">
        <v>264.80110361877234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/>
      <c r="C13" s="10">
        <v>45.2</v>
      </c>
      <c r="D13" s="10"/>
      <c r="E13" s="20">
        <v>145</v>
      </c>
    </row>
    <row r="14" spans="1:5" x14ac:dyDescent="0.35">
      <c r="A14" s="9" t="s">
        <v>7</v>
      </c>
      <c r="B14" s="10"/>
      <c r="C14" s="10"/>
      <c r="D14" s="10"/>
      <c r="E14" s="20"/>
    </row>
    <row r="15" spans="1:5" x14ac:dyDescent="0.35">
      <c r="A15" s="9" t="s">
        <v>2</v>
      </c>
      <c r="B15" s="10"/>
      <c r="C15" s="10">
        <f>149059.8/1000</f>
        <v>149.0598</v>
      </c>
      <c r="D15" s="10"/>
      <c r="E15" s="20">
        <v>207.7</v>
      </c>
    </row>
  </sheetData>
  <mergeCells count="1">
    <mergeCell ref="B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sqref="A1:E15"/>
    </sheetView>
  </sheetViews>
  <sheetFormatPr defaultRowHeight="14.5" x14ac:dyDescent="0.35"/>
  <cols>
    <col min="1" max="1" width="23.81640625" bestFit="1" customWidth="1"/>
    <col min="2" max="2" width="9.453125" customWidth="1"/>
    <col min="3" max="3" width="13.54296875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21">
        <v>46174</v>
      </c>
      <c r="C1" s="21"/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f>264701.02/1000</f>
        <v>264.70102000000003</v>
      </c>
      <c r="D5" s="10">
        <f>306695.9/1000</f>
        <v>306.69590000000005</v>
      </c>
      <c r="E5" s="18">
        <v>274.97592302342485</v>
      </c>
    </row>
    <row r="6" spans="1:5" x14ac:dyDescent="0.35">
      <c r="A6" s="8" t="s">
        <v>3</v>
      </c>
      <c r="B6" s="10"/>
      <c r="C6" s="20"/>
      <c r="D6" s="20"/>
      <c r="E6" s="20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B9" s="10"/>
      <c r="C9" s="10"/>
      <c r="D9" s="20">
        <f>110616.3/1000</f>
        <v>110.61630000000001</v>
      </c>
      <c r="E9" s="20">
        <v>268.42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>
        <f>79939.8/1000</f>
        <v>79.939800000000005</v>
      </c>
      <c r="C13" s="10"/>
      <c r="D13" s="10"/>
      <c r="E13" s="20">
        <v>150.24</v>
      </c>
    </row>
    <row r="14" spans="1:5" x14ac:dyDescent="0.35">
      <c r="A14" s="9" t="s">
        <v>7</v>
      </c>
      <c r="B14" s="10">
        <v>1.25</v>
      </c>
      <c r="C14" s="10"/>
      <c r="D14" s="10"/>
      <c r="E14" s="20">
        <v>136.75</v>
      </c>
    </row>
    <row r="15" spans="1:5" x14ac:dyDescent="0.35">
      <c r="A15" s="9" t="s">
        <v>2</v>
      </c>
      <c r="B15" s="10">
        <f>102412.8/1000</f>
        <v>102.4128</v>
      </c>
      <c r="C15" s="10"/>
      <c r="D15" s="10"/>
      <c r="E15" s="20">
        <v>217.43226989204476</v>
      </c>
    </row>
  </sheetData>
  <mergeCells count="1">
    <mergeCell ref="B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H7" sqref="H7"/>
    </sheetView>
  </sheetViews>
  <sheetFormatPr defaultRowHeight="14.5" x14ac:dyDescent="0.35"/>
  <cols>
    <col min="1" max="1" width="23.81640625" bestFit="1" customWidth="1"/>
    <col min="2" max="2" width="9.7265625" customWidth="1"/>
    <col min="3" max="3" width="11.08984375" bestFit="1" customWidth="1"/>
    <col min="4" max="4" width="7.54296875" bestFit="1" customWidth="1"/>
    <col min="5" max="5" width="8.453125" bestFit="1" customWidth="1"/>
  </cols>
  <sheetData>
    <row r="1" spans="1:5" x14ac:dyDescent="0.35">
      <c r="A1" s="1" t="s">
        <v>0</v>
      </c>
      <c r="B1" s="21">
        <v>46204</v>
      </c>
      <c r="C1" s="21"/>
      <c r="D1" s="21"/>
      <c r="E1" s="21"/>
    </row>
    <row r="2" spans="1:5" x14ac:dyDescent="0.35">
      <c r="A2" s="3" t="s">
        <v>1</v>
      </c>
      <c r="B2" s="3"/>
      <c r="C2" s="4"/>
      <c r="D2" s="5"/>
      <c r="E2" s="6"/>
    </row>
    <row r="3" spans="1:5" x14ac:dyDescent="0.35">
      <c r="A3" s="3"/>
      <c r="B3" s="7" t="s">
        <v>11</v>
      </c>
      <c r="C3" s="7" t="s">
        <v>11</v>
      </c>
      <c r="D3" s="7" t="s">
        <v>11</v>
      </c>
      <c r="E3" s="7" t="s">
        <v>12</v>
      </c>
    </row>
    <row r="4" spans="1:5" ht="29" x14ac:dyDescent="0.35">
      <c r="A4" s="11"/>
      <c r="B4" s="12" t="s">
        <v>16</v>
      </c>
      <c r="C4" s="12" t="s">
        <v>10</v>
      </c>
      <c r="D4" s="13" t="s">
        <v>8</v>
      </c>
      <c r="E4" s="14" t="s">
        <v>9</v>
      </c>
    </row>
    <row r="5" spans="1:5" x14ac:dyDescent="0.35">
      <c r="A5" s="8" t="s">
        <v>13</v>
      </c>
      <c r="B5" s="10"/>
      <c r="C5" s="10">
        <f>358095.34/1000</f>
        <v>358.09534000000002</v>
      </c>
      <c r="D5" s="10">
        <f>234197.5/1000</f>
        <v>234.19749999999999</v>
      </c>
      <c r="E5" s="18">
        <v>267.44</v>
      </c>
    </row>
    <row r="6" spans="1:5" x14ac:dyDescent="0.35">
      <c r="A6" s="8" t="s">
        <v>3</v>
      </c>
      <c r="B6" s="10"/>
      <c r="C6" s="20"/>
      <c r="D6" s="20"/>
      <c r="E6" s="20"/>
    </row>
    <row r="7" spans="1:5" x14ac:dyDescent="0.35">
      <c r="A7" s="8"/>
      <c r="B7" s="10"/>
      <c r="C7" s="10"/>
      <c r="D7" s="10"/>
      <c r="E7" s="19"/>
    </row>
    <row r="8" spans="1:5" x14ac:dyDescent="0.35">
      <c r="A8" s="3" t="s">
        <v>4</v>
      </c>
      <c r="B8" s="10"/>
      <c r="C8" s="10"/>
      <c r="D8" s="10"/>
      <c r="E8" s="20"/>
    </row>
    <row r="9" spans="1:5" x14ac:dyDescent="0.35">
      <c r="A9" s="9" t="s">
        <v>15</v>
      </c>
      <c r="C9" s="10"/>
      <c r="D9" s="20">
        <v>189.93</v>
      </c>
      <c r="E9" s="20">
        <v>254.73189406990264</v>
      </c>
    </row>
    <row r="10" spans="1:5" x14ac:dyDescent="0.35">
      <c r="A10" s="9" t="s">
        <v>5</v>
      </c>
      <c r="B10" s="10"/>
      <c r="C10" s="10"/>
      <c r="D10" s="10"/>
      <c r="E10" s="20"/>
    </row>
    <row r="11" spans="1:5" x14ac:dyDescent="0.35">
      <c r="A11" s="9" t="s">
        <v>7</v>
      </c>
      <c r="B11" s="10"/>
      <c r="C11" s="10"/>
      <c r="D11" s="10"/>
      <c r="E11" s="20"/>
    </row>
    <row r="12" spans="1:5" ht="29" x14ac:dyDescent="0.35">
      <c r="A12" s="16" t="s">
        <v>6</v>
      </c>
      <c r="B12" s="10"/>
      <c r="C12" s="10"/>
      <c r="D12" s="10"/>
      <c r="E12" s="14" t="s">
        <v>14</v>
      </c>
    </row>
    <row r="13" spans="1:5" x14ac:dyDescent="0.35">
      <c r="A13" s="9" t="s">
        <v>5</v>
      </c>
      <c r="B13" s="10">
        <v>80.86</v>
      </c>
      <c r="C13" s="10"/>
      <c r="D13" s="10"/>
      <c r="E13" s="20">
        <v>142.72</v>
      </c>
    </row>
    <row r="14" spans="1:5" x14ac:dyDescent="0.35">
      <c r="A14" s="9" t="s">
        <v>7</v>
      </c>
      <c r="B14" s="10">
        <v>110</v>
      </c>
      <c r="C14" s="10"/>
      <c r="D14" s="10"/>
      <c r="E14" s="20">
        <v>122.07</v>
      </c>
    </row>
    <row r="15" spans="1:5" x14ac:dyDescent="0.35">
      <c r="A15" s="9" t="s">
        <v>2</v>
      </c>
      <c r="B15" s="10">
        <f>114016/1000</f>
        <v>114.01600000000001</v>
      </c>
      <c r="C15" s="10"/>
      <c r="D15" s="10"/>
      <c r="E15" s="20">
        <v>231.6957298863226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Sep-25</vt:lpstr>
      <vt:lpstr>Oct-25</vt:lpstr>
      <vt:lpstr>Nov-25</vt:lpstr>
      <vt:lpstr>Dec-25</vt:lpstr>
      <vt:lpstr>Jan-26</vt:lpstr>
      <vt:lpstr>Feb-26</vt:lpstr>
      <vt:lpstr>Mar-26</vt:lpstr>
      <vt:lpstr>May-26</vt:lpstr>
      <vt:lpstr>Jun-26</vt:lpstr>
      <vt:lpstr>Jul-26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2015-06-05T18:17:20Z</dcterms:created>
  <dcterms:modified xsi:type="dcterms:W3CDTF">2026-08-13T11:23:31Z</dcterms:modified>
</cp:coreProperties>
</file>